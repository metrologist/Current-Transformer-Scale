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Y:\Staff\KJ\PycharmProjects\CTs\"/>
    </mc:Choice>
  </mc:AlternateContent>
  <xr:revisionPtr revIDLastSave="0" documentId="13_ncr:1_{9F0A7732-874F-47B3-B413-4B8CDE01AF0E}" xr6:coauthVersionLast="41" xr6:coauthVersionMax="41" xr10:uidLastSave="{00000000-0000-0000-0000-000000000000}"/>
  <bookViews>
    <workbookView xWindow="-120" yWindow="-120" windowWidth="29040" windowHeight="15840" activeTab="2" xr2:uid="{00000000-000D-0000-FFFF-FFFF00000000}"/>
  </bookViews>
  <sheets>
    <sheet name="1A CT 2018" sheetId="6" r:id="rId1"/>
    <sheet name="PythonResults" sheetId="7" r:id="rId2"/>
    <sheet name="Table" sheetId="8" r:id="rId3"/>
    <sheet name="1A CT 2013" sheetId="5" r:id="rId4"/>
    <sheet name="1A CT original" sheetId="2" r:id="rId5"/>
  </sheets>
  <functionGroups builtInGroupCount="19"/>
  <externalReferences>
    <externalReference r:id="rId6"/>
    <externalReference r:id="rId7"/>
  </externalReferences>
  <definedNames>
    <definedName name="Comode_std">[1]uncertainties!$D$8</definedName>
    <definedName name="Descript">[2]Descriptors!$B$2:$D$8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4" i="8" l="1"/>
  <c r="I14" i="8"/>
  <c r="J13" i="8"/>
  <c r="I13" i="8"/>
  <c r="J12" i="8"/>
  <c r="I12" i="8"/>
  <c r="J11" i="8"/>
  <c r="I11" i="8"/>
  <c r="J10" i="8"/>
  <c r="I10" i="8"/>
  <c r="J9" i="8"/>
  <c r="I9" i="8"/>
  <c r="J8" i="8"/>
  <c r="I8" i="8"/>
  <c r="J7" i="8"/>
  <c r="I7" i="8"/>
  <c r="J6" i="8"/>
  <c r="I6" i="8"/>
  <c r="H14" i="8"/>
  <c r="H13" i="8"/>
  <c r="H12" i="8"/>
  <c r="H11" i="8"/>
  <c r="H10" i="8"/>
  <c r="H9" i="8"/>
  <c r="H8" i="8"/>
  <c r="H7" i="8"/>
  <c r="H6" i="8"/>
  <c r="G14" i="8"/>
  <c r="G13" i="8"/>
  <c r="G12" i="8"/>
  <c r="G11" i="8"/>
  <c r="G10" i="8"/>
  <c r="G9" i="8"/>
  <c r="G8" i="8"/>
  <c r="G7" i="8"/>
  <c r="G6" i="8"/>
  <c r="F14" i="8"/>
  <c r="F13" i="8"/>
  <c r="F12" i="8"/>
  <c r="F11" i="8"/>
  <c r="F10" i="8"/>
  <c r="F9" i="8"/>
  <c r="F8" i="8"/>
  <c r="F7" i="8"/>
  <c r="F6" i="8"/>
  <c r="E14" i="8"/>
  <c r="E13" i="8"/>
  <c r="E12" i="8"/>
  <c r="E11" i="8"/>
  <c r="E10" i="8"/>
  <c r="E9" i="8"/>
  <c r="E8" i="8"/>
  <c r="E7" i="8"/>
  <c r="E6" i="8"/>
  <c r="D14" i="8"/>
  <c r="D13" i="8"/>
  <c r="D12" i="8"/>
  <c r="D11" i="8"/>
  <c r="D10" i="8"/>
  <c r="D9" i="8"/>
  <c r="D8" i="8"/>
  <c r="D7" i="8"/>
  <c r="D6" i="8"/>
  <c r="N93" i="6" l="1"/>
  <c r="N92" i="6"/>
  <c r="N91" i="6"/>
  <c r="N90" i="6"/>
  <c r="N89" i="6"/>
  <c r="N88" i="6"/>
  <c r="N87" i="6"/>
  <c r="N86" i="6"/>
  <c r="N85" i="6"/>
  <c r="N84" i="6"/>
  <c r="N81" i="6"/>
  <c r="N80" i="6"/>
  <c r="N79" i="6"/>
  <c r="N78" i="6"/>
  <c r="N77" i="6"/>
  <c r="N76" i="6"/>
  <c r="N75" i="6"/>
  <c r="N74" i="6"/>
  <c r="N73" i="6"/>
  <c r="N72" i="6"/>
  <c r="N69" i="6"/>
  <c r="N68" i="6"/>
  <c r="N67" i="6"/>
  <c r="N66" i="6"/>
  <c r="N65" i="6"/>
  <c r="N64" i="6"/>
  <c r="N63" i="6"/>
  <c r="N62" i="6"/>
  <c r="N61" i="6"/>
  <c r="N60" i="6"/>
  <c r="N59" i="6"/>
  <c r="N58" i="6"/>
  <c r="N57" i="6"/>
  <c r="N56" i="6"/>
  <c r="N55" i="6"/>
  <c r="N54" i="6"/>
  <c r="N53" i="6"/>
  <c r="N52" i="6"/>
  <c r="N51" i="6"/>
  <c r="N50" i="6"/>
  <c r="N49" i="6"/>
  <c r="N48" i="6"/>
  <c r="N44" i="6"/>
  <c r="N43" i="6"/>
  <c r="N42" i="6"/>
  <c r="N41" i="6"/>
  <c r="N40" i="6"/>
  <c r="N39" i="6"/>
  <c r="N38" i="6"/>
  <c r="N37" i="6"/>
  <c r="N36" i="6"/>
  <c r="N35" i="6"/>
  <c r="N34" i="6"/>
  <c r="N33" i="6"/>
  <c r="N32" i="6"/>
  <c r="N31" i="6"/>
  <c r="N30" i="6"/>
  <c r="N29" i="6"/>
  <c r="N28" i="6"/>
  <c r="N27" i="6"/>
  <c r="N26" i="6"/>
  <c r="N25" i="6"/>
  <c r="N24" i="6"/>
  <c r="N23" i="6"/>
  <c r="N22" i="6"/>
  <c r="N19" i="6"/>
  <c r="N18" i="6"/>
  <c r="N17" i="6"/>
  <c r="N16" i="6"/>
  <c r="N15" i="6"/>
  <c r="N8" i="6"/>
  <c r="N9" i="6"/>
  <c r="N10" i="6"/>
  <c r="N11" i="6"/>
  <c r="N7" i="6"/>
  <c r="D109" i="6"/>
  <c r="E109" i="6"/>
  <c r="F109" i="6"/>
  <c r="G109" i="6"/>
  <c r="H109" i="6"/>
  <c r="I109" i="6"/>
  <c r="J109" i="6"/>
  <c r="K109" i="6"/>
  <c r="L109" i="6"/>
  <c r="M109" i="6"/>
  <c r="E108" i="6"/>
  <c r="F108" i="6"/>
  <c r="G108" i="6"/>
  <c r="H108" i="6"/>
  <c r="I108" i="6"/>
  <c r="J108" i="6"/>
  <c r="K108" i="6"/>
  <c r="L108" i="6"/>
  <c r="M108" i="6"/>
  <c r="D108" i="6"/>
  <c r="D103" i="6"/>
  <c r="E103" i="6"/>
  <c r="F103" i="6"/>
  <c r="G103" i="6"/>
  <c r="H103" i="6"/>
  <c r="I103" i="6"/>
  <c r="J103" i="6"/>
  <c r="K103" i="6"/>
  <c r="L103" i="6"/>
  <c r="M103" i="6"/>
  <c r="D104" i="6"/>
  <c r="E104" i="6"/>
  <c r="F104" i="6"/>
  <c r="G104" i="6"/>
  <c r="H104" i="6"/>
  <c r="I104" i="6"/>
  <c r="J104" i="6"/>
  <c r="K104" i="6"/>
  <c r="L104" i="6"/>
  <c r="M104" i="6"/>
  <c r="D105" i="6"/>
  <c r="E105" i="6"/>
  <c r="F105" i="6"/>
  <c r="G105" i="6"/>
  <c r="H105" i="6"/>
  <c r="I105" i="6"/>
  <c r="J105" i="6"/>
  <c r="K105" i="6"/>
  <c r="L105" i="6"/>
  <c r="M105" i="6"/>
  <c r="D106" i="6"/>
  <c r="E106" i="6"/>
  <c r="F106" i="6"/>
  <c r="G106" i="6"/>
  <c r="H106" i="6"/>
  <c r="I106" i="6"/>
  <c r="J106" i="6"/>
  <c r="K106" i="6"/>
  <c r="L106" i="6"/>
  <c r="M106" i="6"/>
  <c r="D107" i="6"/>
  <c r="E107" i="6"/>
  <c r="F107" i="6"/>
  <c r="G107" i="6"/>
  <c r="H107" i="6"/>
  <c r="I107" i="6"/>
  <c r="J107" i="6"/>
  <c r="K107" i="6"/>
  <c r="L107" i="6"/>
  <c r="M107" i="6"/>
  <c r="D102" i="6"/>
  <c r="E102" i="6"/>
  <c r="F102" i="6"/>
  <c r="G102" i="6"/>
  <c r="H102" i="6"/>
  <c r="I102" i="6"/>
  <c r="J102" i="6"/>
  <c r="K102" i="6"/>
  <c r="L102" i="6"/>
  <c r="M102" i="6"/>
  <c r="E101" i="6"/>
  <c r="F101" i="6"/>
  <c r="G101" i="6"/>
  <c r="H101" i="6"/>
  <c r="I101" i="6"/>
  <c r="J101" i="6"/>
  <c r="K101" i="6"/>
  <c r="L101" i="6"/>
  <c r="M101" i="6"/>
  <c r="D101" i="6"/>
  <c r="C99" i="6"/>
  <c r="D99" i="6"/>
  <c r="E99" i="6"/>
  <c r="F99" i="6"/>
  <c r="G99" i="6"/>
  <c r="H99" i="6"/>
  <c r="I99" i="6"/>
  <c r="J99" i="6"/>
  <c r="K99" i="6"/>
  <c r="L99" i="6"/>
  <c r="M99" i="6"/>
  <c r="C100" i="6"/>
  <c r="D100" i="6"/>
  <c r="E100" i="6"/>
  <c r="F100" i="6"/>
  <c r="G100" i="6"/>
  <c r="H100" i="6"/>
  <c r="I100" i="6"/>
  <c r="J100" i="6"/>
  <c r="K100" i="6"/>
  <c r="L100" i="6"/>
  <c r="M100" i="6"/>
  <c r="D98" i="6"/>
  <c r="E98" i="6"/>
  <c r="F98" i="6"/>
  <c r="G98" i="6"/>
  <c r="H98" i="6"/>
  <c r="I98" i="6"/>
  <c r="J98" i="6"/>
  <c r="K98" i="6"/>
  <c r="L98" i="6"/>
  <c r="M98" i="6"/>
  <c r="C98" i="6"/>
  <c r="T93" i="6" l="1"/>
  <c r="S93" i="6"/>
  <c r="R93" i="6"/>
  <c r="P93" i="6"/>
  <c r="O93" i="6"/>
  <c r="T92" i="6"/>
  <c r="S92" i="6"/>
  <c r="R92" i="6"/>
  <c r="P92" i="6"/>
  <c r="O92" i="6"/>
  <c r="T91" i="6"/>
  <c r="S91" i="6"/>
  <c r="R91" i="6"/>
  <c r="P91" i="6"/>
  <c r="O91" i="6"/>
  <c r="T90" i="6"/>
  <c r="S90" i="6"/>
  <c r="R90" i="6"/>
  <c r="P90" i="6"/>
  <c r="O90" i="6"/>
  <c r="T89" i="6"/>
  <c r="S89" i="6"/>
  <c r="R89" i="6"/>
  <c r="P89" i="6"/>
  <c r="O89" i="6"/>
  <c r="T88" i="6"/>
  <c r="S88" i="6"/>
  <c r="R88" i="6"/>
  <c r="P88" i="6"/>
  <c r="O88" i="6"/>
  <c r="T87" i="6"/>
  <c r="S87" i="6"/>
  <c r="R87" i="6"/>
  <c r="P87" i="6"/>
  <c r="O87" i="6"/>
  <c r="T86" i="6"/>
  <c r="S86" i="6"/>
  <c r="R86" i="6"/>
  <c r="P86" i="6"/>
  <c r="O86" i="6"/>
  <c r="T85" i="6"/>
  <c r="S85" i="6"/>
  <c r="R85" i="6"/>
  <c r="P85" i="6"/>
  <c r="O85" i="6"/>
  <c r="T84" i="6"/>
  <c r="S84" i="6"/>
  <c r="R84" i="6"/>
  <c r="P84" i="6"/>
  <c r="O84" i="6"/>
  <c r="N109" i="6"/>
  <c r="T81" i="6"/>
  <c r="S81" i="6"/>
  <c r="R81" i="6"/>
  <c r="P81" i="6"/>
  <c r="O81" i="6"/>
  <c r="T80" i="6"/>
  <c r="S80" i="6"/>
  <c r="R80" i="6"/>
  <c r="P80" i="6"/>
  <c r="O80" i="6"/>
  <c r="T79" i="6"/>
  <c r="S79" i="6"/>
  <c r="R79" i="6"/>
  <c r="P79" i="6"/>
  <c r="O79" i="6"/>
  <c r="T78" i="6"/>
  <c r="S78" i="6"/>
  <c r="R78" i="6"/>
  <c r="P78" i="6"/>
  <c r="O78" i="6"/>
  <c r="T77" i="6"/>
  <c r="S77" i="6"/>
  <c r="R77" i="6"/>
  <c r="P77" i="6"/>
  <c r="O77" i="6"/>
  <c r="T76" i="6"/>
  <c r="S76" i="6"/>
  <c r="R76" i="6"/>
  <c r="P76" i="6"/>
  <c r="O76" i="6"/>
  <c r="T75" i="6"/>
  <c r="S75" i="6"/>
  <c r="R75" i="6"/>
  <c r="P75" i="6"/>
  <c r="O75" i="6"/>
  <c r="T74" i="6"/>
  <c r="S74" i="6"/>
  <c r="R74" i="6"/>
  <c r="P74" i="6"/>
  <c r="O74" i="6"/>
  <c r="T73" i="6"/>
  <c r="S73" i="6"/>
  <c r="R73" i="6"/>
  <c r="P73" i="6"/>
  <c r="O73" i="6"/>
  <c r="T72" i="6"/>
  <c r="S72" i="6"/>
  <c r="R72" i="6"/>
  <c r="P72" i="6"/>
  <c r="O72" i="6"/>
  <c r="O48" i="6"/>
  <c r="P48" i="6"/>
  <c r="R48" i="6"/>
  <c r="S48" i="6"/>
  <c r="T48" i="6"/>
  <c r="O49" i="6"/>
  <c r="P49" i="6"/>
  <c r="R49" i="6"/>
  <c r="S49" i="6"/>
  <c r="T49" i="6"/>
  <c r="O50" i="6"/>
  <c r="P50" i="6"/>
  <c r="R50" i="6"/>
  <c r="S50" i="6"/>
  <c r="T50" i="6"/>
  <c r="O51" i="6"/>
  <c r="P51" i="6"/>
  <c r="R51" i="6"/>
  <c r="S51" i="6"/>
  <c r="T51" i="6"/>
  <c r="O52" i="6"/>
  <c r="P52" i="6"/>
  <c r="R52" i="6"/>
  <c r="S52" i="6"/>
  <c r="T52" i="6"/>
  <c r="O53" i="6"/>
  <c r="P53" i="6"/>
  <c r="R53" i="6"/>
  <c r="S53" i="6"/>
  <c r="T53" i="6"/>
  <c r="O54" i="6"/>
  <c r="P54" i="6"/>
  <c r="R54" i="6"/>
  <c r="S54" i="6"/>
  <c r="T54" i="6"/>
  <c r="O55" i="6"/>
  <c r="P55" i="6"/>
  <c r="R55" i="6"/>
  <c r="S55" i="6"/>
  <c r="T55" i="6"/>
  <c r="O56" i="6"/>
  <c r="P56" i="6"/>
  <c r="R56" i="6"/>
  <c r="S56" i="6"/>
  <c r="T56" i="6"/>
  <c r="O57" i="6"/>
  <c r="P57" i="6"/>
  <c r="R57" i="6"/>
  <c r="S57" i="6"/>
  <c r="T57" i="6"/>
  <c r="O58" i="6"/>
  <c r="P58" i="6"/>
  <c r="R58" i="6"/>
  <c r="S58" i="6"/>
  <c r="T58" i="6"/>
  <c r="O59" i="6"/>
  <c r="P59" i="6"/>
  <c r="R59" i="6"/>
  <c r="S59" i="6"/>
  <c r="T59" i="6"/>
  <c r="O60" i="6"/>
  <c r="P60" i="6"/>
  <c r="R60" i="6"/>
  <c r="S60" i="6"/>
  <c r="T60" i="6"/>
  <c r="O61" i="6"/>
  <c r="P61" i="6"/>
  <c r="R61" i="6"/>
  <c r="S61" i="6"/>
  <c r="T61" i="6"/>
  <c r="O62" i="6"/>
  <c r="P62" i="6"/>
  <c r="R62" i="6"/>
  <c r="S62" i="6"/>
  <c r="T62" i="6"/>
  <c r="O63" i="6"/>
  <c r="P63" i="6"/>
  <c r="R63" i="6"/>
  <c r="S63" i="6"/>
  <c r="T63" i="6"/>
  <c r="O64" i="6"/>
  <c r="P64" i="6"/>
  <c r="R64" i="6"/>
  <c r="S64" i="6"/>
  <c r="T64" i="6"/>
  <c r="O65" i="6"/>
  <c r="P65" i="6"/>
  <c r="R65" i="6"/>
  <c r="S65" i="6"/>
  <c r="T65" i="6"/>
  <c r="O66" i="6"/>
  <c r="P66" i="6"/>
  <c r="R66" i="6"/>
  <c r="S66" i="6"/>
  <c r="T66" i="6"/>
  <c r="O67" i="6"/>
  <c r="P67" i="6"/>
  <c r="R67" i="6"/>
  <c r="S67" i="6"/>
  <c r="T67" i="6"/>
  <c r="O68" i="6"/>
  <c r="P68" i="6"/>
  <c r="R68" i="6"/>
  <c r="S68" i="6"/>
  <c r="T68" i="6"/>
  <c r="O69" i="6"/>
  <c r="P69" i="6"/>
  <c r="R69" i="6"/>
  <c r="S69" i="6"/>
  <c r="T69" i="6"/>
  <c r="N103" i="6"/>
  <c r="O24" i="6"/>
  <c r="O103" i="6" s="1"/>
  <c r="P24" i="6"/>
  <c r="P103" i="6" s="1"/>
  <c r="R24" i="6"/>
  <c r="R103" i="6" s="1"/>
  <c r="S24" i="6"/>
  <c r="S103" i="6" s="1"/>
  <c r="T24" i="6"/>
  <c r="T103" i="6" s="1"/>
  <c r="N104" i="6"/>
  <c r="O25" i="6"/>
  <c r="O104" i="6" s="1"/>
  <c r="P25" i="6"/>
  <c r="P104" i="6" s="1"/>
  <c r="R25" i="6"/>
  <c r="R104" i="6" s="1"/>
  <c r="S25" i="6"/>
  <c r="S104" i="6" s="1"/>
  <c r="T25" i="6"/>
  <c r="T104" i="6" s="1"/>
  <c r="N105" i="6"/>
  <c r="O26" i="6"/>
  <c r="O105" i="6" s="1"/>
  <c r="P26" i="6"/>
  <c r="P105" i="6" s="1"/>
  <c r="R26" i="6"/>
  <c r="R105" i="6" s="1"/>
  <c r="S26" i="6"/>
  <c r="S105" i="6" s="1"/>
  <c r="T26" i="6"/>
  <c r="T105" i="6" s="1"/>
  <c r="N106" i="6"/>
  <c r="O27" i="6"/>
  <c r="O106" i="6" s="1"/>
  <c r="P27" i="6"/>
  <c r="P106" i="6" s="1"/>
  <c r="R27" i="6"/>
  <c r="R106" i="6" s="1"/>
  <c r="S27" i="6"/>
  <c r="S106" i="6" s="1"/>
  <c r="T27" i="6"/>
  <c r="T106" i="6" s="1"/>
  <c r="N107" i="6"/>
  <c r="O28" i="6"/>
  <c r="O107" i="6" s="1"/>
  <c r="P28" i="6"/>
  <c r="P107" i="6" s="1"/>
  <c r="R28" i="6"/>
  <c r="R107" i="6" s="1"/>
  <c r="S28" i="6"/>
  <c r="S107" i="6" s="1"/>
  <c r="T28" i="6"/>
  <c r="T107" i="6" s="1"/>
  <c r="O29" i="6"/>
  <c r="P29" i="6"/>
  <c r="R29" i="6"/>
  <c r="S29" i="6"/>
  <c r="T29" i="6"/>
  <c r="O30" i="6"/>
  <c r="P30" i="6"/>
  <c r="R30" i="6"/>
  <c r="S30" i="6"/>
  <c r="T30" i="6"/>
  <c r="O31" i="6"/>
  <c r="P31" i="6"/>
  <c r="R31" i="6"/>
  <c r="S31" i="6"/>
  <c r="T31" i="6"/>
  <c r="O32" i="6"/>
  <c r="P32" i="6"/>
  <c r="R32" i="6"/>
  <c r="S32" i="6"/>
  <c r="T32" i="6"/>
  <c r="O33" i="6"/>
  <c r="P33" i="6"/>
  <c r="R33" i="6"/>
  <c r="S33" i="6"/>
  <c r="T33" i="6"/>
  <c r="O34" i="6"/>
  <c r="P34" i="6"/>
  <c r="R34" i="6"/>
  <c r="S34" i="6"/>
  <c r="T34" i="6"/>
  <c r="O35" i="6"/>
  <c r="P35" i="6"/>
  <c r="R35" i="6"/>
  <c r="S35" i="6"/>
  <c r="T35" i="6"/>
  <c r="O36" i="6"/>
  <c r="P36" i="6"/>
  <c r="R36" i="6"/>
  <c r="S36" i="6"/>
  <c r="T36" i="6"/>
  <c r="O37" i="6"/>
  <c r="P37" i="6"/>
  <c r="R37" i="6"/>
  <c r="S37" i="6"/>
  <c r="T37" i="6"/>
  <c r="O38" i="6"/>
  <c r="P38" i="6"/>
  <c r="R38" i="6"/>
  <c r="S38" i="6"/>
  <c r="T38" i="6"/>
  <c r="O39" i="6"/>
  <c r="P39" i="6"/>
  <c r="R39" i="6"/>
  <c r="S39" i="6"/>
  <c r="T39" i="6"/>
  <c r="O40" i="6"/>
  <c r="P40" i="6"/>
  <c r="R40" i="6"/>
  <c r="S40" i="6"/>
  <c r="T40" i="6"/>
  <c r="O41" i="6"/>
  <c r="P41" i="6"/>
  <c r="R41" i="6"/>
  <c r="S41" i="6"/>
  <c r="T41" i="6"/>
  <c r="O42" i="6"/>
  <c r="P42" i="6"/>
  <c r="R42" i="6"/>
  <c r="S42" i="6"/>
  <c r="T42" i="6"/>
  <c r="O43" i="6"/>
  <c r="P43" i="6"/>
  <c r="R43" i="6"/>
  <c r="S43" i="6"/>
  <c r="T43" i="6"/>
  <c r="O44" i="6"/>
  <c r="P44" i="6"/>
  <c r="R44" i="6"/>
  <c r="S44" i="6"/>
  <c r="T44" i="6"/>
  <c r="T23" i="6"/>
  <c r="T102" i="6" s="1"/>
  <c r="S23" i="6"/>
  <c r="S102" i="6" s="1"/>
  <c r="R23" i="6"/>
  <c r="R102" i="6" s="1"/>
  <c r="P23" i="6"/>
  <c r="P102" i="6" s="1"/>
  <c r="O23" i="6"/>
  <c r="O102" i="6" s="1"/>
  <c r="N102" i="6"/>
  <c r="T22" i="6"/>
  <c r="T101" i="6" s="1"/>
  <c r="S22" i="6"/>
  <c r="S101" i="6" s="1"/>
  <c r="R22" i="6"/>
  <c r="R101" i="6" s="1"/>
  <c r="P22" i="6"/>
  <c r="P101" i="6" s="1"/>
  <c r="O22" i="6"/>
  <c r="O101" i="6" s="1"/>
  <c r="N101" i="6"/>
  <c r="T19" i="6"/>
  <c r="S19" i="6"/>
  <c r="R19" i="6"/>
  <c r="P19" i="6"/>
  <c r="O19" i="6"/>
  <c r="T18" i="6"/>
  <c r="T100" i="6" s="1"/>
  <c r="S18" i="6"/>
  <c r="S100" i="6" s="1"/>
  <c r="R18" i="6"/>
  <c r="R100" i="6" s="1"/>
  <c r="P18" i="6"/>
  <c r="P100" i="6" s="1"/>
  <c r="O18" i="6"/>
  <c r="O100" i="6" s="1"/>
  <c r="N100" i="6"/>
  <c r="T17" i="6"/>
  <c r="T99" i="6" s="1"/>
  <c r="S17" i="6"/>
  <c r="S99" i="6" s="1"/>
  <c r="R17" i="6"/>
  <c r="R99" i="6" s="1"/>
  <c r="P17" i="6"/>
  <c r="P99" i="6" s="1"/>
  <c r="O17" i="6"/>
  <c r="O99" i="6" s="1"/>
  <c r="N99" i="6"/>
  <c r="T16" i="6"/>
  <c r="T98" i="6" s="1"/>
  <c r="S16" i="6"/>
  <c r="S98" i="6" s="1"/>
  <c r="R16" i="6"/>
  <c r="R98" i="6" s="1"/>
  <c r="P16" i="6"/>
  <c r="P98" i="6" s="1"/>
  <c r="O16" i="6"/>
  <c r="O98" i="6" s="1"/>
  <c r="N98" i="6"/>
  <c r="T15" i="6"/>
  <c r="S15" i="6"/>
  <c r="R15" i="6"/>
  <c r="P15" i="6"/>
  <c r="O15" i="6"/>
  <c r="O7" i="6"/>
  <c r="P7" i="6"/>
  <c r="R7" i="6"/>
  <c r="S7" i="6"/>
  <c r="T7" i="6"/>
  <c r="O8" i="6"/>
  <c r="P8" i="6"/>
  <c r="R8" i="6"/>
  <c r="S8" i="6"/>
  <c r="T8" i="6"/>
  <c r="O9" i="6"/>
  <c r="P9" i="6"/>
  <c r="R9" i="6"/>
  <c r="S9" i="6"/>
  <c r="T9" i="6"/>
  <c r="T11" i="6"/>
  <c r="S11" i="6"/>
  <c r="R11" i="6"/>
  <c r="P11" i="6"/>
  <c r="O11" i="6"/>
  <c r="T10" i="6"/>
  <c r="S10" i="6"/>
  <c r="R10" i="6"/>
  <c r="P10" i="6"/>
  <c r="O10" i="6"/>
  <c r="T46" i="5"/>
  <c r="AH46" i="5" s="1"/>
  <c r="AF80" i="5" s="1"/>
  <c r="S46" i="5"/>
  <c r="AC46" i="5" s="1"/>
  <c r="AC80" i="5" s="1"/>
  <c r="T45" i="5"/>
  <c r="AH45" i="5"/>
  <c r="AF79" i="5" s="1"/>
  <c r="S45" i="5"/>
  <c r="AC45" i="5" s="1"/>
  <c r="AC79" i="5" s="1"/>
  <c r="T44" i="5"/>
  <c r="AH44" i="5" s="1"/>
  <c r="AF78" i="5" s="1"/>
  <c r="S44" i="5"/>
  <c r="AC44" i="5" s="1"/>
  <c r="AC78" i="5" s="1"/>
  <c r="T43" i="5"/>
  <c r="AH43" i="5" s="1"/>
  <c r="AF77" i="5" s="1"/>
  <c r="S43" i="5"/>
  <c r="AC43" i="5" s="1"/>
  <c r="AC77" i="5" s="1"/>
  <c r="T42" i="5"/>
  <c r="AH42" i="5" s="1"/>
  <c r="AF76" i="5" s="1"/>
  <c r="S42" i="5"/>
  <c r="AC42" i="5" s="1"/>
  <c r="AC76" i="5" s="1"/>
  <c r="T41" i="5"/>
  <c r="AH41" i="5"/>
  <c r="AF75" i="5" s="1"/>
  <c r="S41" i="5"/>
  <c r="AC41" i="5" s="1"/>
  <c r="AC75" i="5" s="1"/>
  <c r="T40" i="5"/>
  <c r="AH40" i="5" s="1"/>
  <c r="AF74" i="5" s="1"/>
  <c r="S40" i="5"/>
  <c r="AC40" i="5" s="1"/>
  <c r="AC74" i="5" s="1"/>
  <c r="Q24" i="5"/>
  <c r="X24" i="5"/>
  <c r="Q32" i="5"/>
  <c r="X32" i="5" s="1"/>
  <c r="Q46" i="5"/>
  <c r="Q54" i="5"/>
  <c r="P24" i="5"/>
  <c r="Z12" i="5" s="1"/>
  <c r="P32" i="5"/>
  <c r="P46" i="5"/>
  <c r="P54" i="5"/>
  <c r="Z46" i="5" s="1"/>
  <c r="AB80" i="5" s="1"/>
  <c r="Q23" i="5"/>
  <c r="X23" i="5" s="1"/>
  <c r="Q31" i="5"/>
  <c r="Q45" i="5"/>
  <c r="Q53" i="5"/>
  <c r="P23" i="5"/>
  <c r="W31" i="5" s="1"/>
  <c r="P31" i="5"/>
  <c r="P45" i="5"/>
  <c r="Z45" i="5" s="1"/>
  <c r="AB79" i="5" s="1"/>
  <c r="P53" i="5"/>
  <c r="Q22" i="5"/>
  <c r="Q30" i="5"/>
  <c r="Q44" i="5"/>
  <c r="AA44" i="5" s="1"/>
  <c r="AE78" i="5" s="1"/>
  <c r="Q52" i="5"/>
  <c r="P22" i="5"/>
  <c r="P30" i="5"/>
  <c r="W22" i="5" s="1"/>
  <c r="P44" i="5"/>
  <c r="W44" i="5" s="1"/>
  <c r="P52" i="5"/>
  <c r="W52" i="5" s="1"/>
  <c r="Q21" i="5"/>
  <c r="X29" i="5" s="1"/>
  <c r="Q29" i="5"/>
  <c r="Q43" i="5"/>
  <c r="Q51" i="5"/>
  <c r="P21" i="5"/>
  <c r="W29" i="5" s="1"/>
  <c r="P29" i="5"/>
  <c r="P43" i="5"/>
  <c r="W51" i="5"/>
  <c r="P51" i="5"/>
  <c r="Q20" i="5"/>
  <c r="Q28" i="5"/>
  <c r="AA8" i="5" s="1"/>
  <c r="Q42" i="5"/>
  <c r="X50" i="5" s="1"/>
  <c r="Q50" i="5"/>
  <c r="P20" i="5"/>
  <c r="P28" i="5"/>
  <c r="W28" i="5"/>
  <c r="P42" i="5"/>
  <c r="W42" i="5" s="1"/>
  <c r="P50" i="5"/>
  <c r="Q19" i="5"/>
  <c r="Q27" i="5"/>
  <c r="Q41" i="5"/>
  <c r="AA41" i="5" s="1"/>
  <c r="AE75" i="5" s="1"/>
  <c r="Q49" i="5"/>
  <c r="X49" i="5"/>
  <c r="P19" i="5"/>
  <c r="W27" i="5" s="1"/>
  <c r="P27" i="5"/>
  <c r="P41" i="5"/>
  <c r="W41" i="5" s="1"/>
  <c r="P49" i="5"/>
  <c r="Q18" i="5"/>
  <c r="Q26" i="5"/>
  <c r="X18" i="5"/>
  <c r="Q40" i="5"/>
  <c r="X40" i="5" s="1"/>
  <c r="Q48" i="5"/>
  <c r="X48" i="5"/>
  <c r="AA40" i="5"/>
  <c r="AE74" i="5" s="1"/>
  <c r="P18" i="5"/>
  <c r="Z6" i="5" s="1"/>
  <c r="P26" i="5"/>
  <c r="W26" i="5" s="1"/>
  <c r="P40" i="5"/>
  <c r="W48" i="5" s="1"/>
  <c r="P48" i="5"/>
  <c r="X31" i="5"/>
  <c r="X44" i="5"/>
  <c r="X41" i="5"/>
  <c r="W23" i="5"/>
  <c r="U54" i="5"/>
  <c r="T54" i="5"/>
  <c r="S54" i="5"/>
  <c r="O54" i="5"/>
  <c r="U53" i="5"/>
  <c r="T53" i="5"/>
  <c r="S53" i="5"/>
  <c r="O53" i="5"/>
  <c r="U52" i="5"/>
  <c r="T52" i="5"/>
  <c r="S52" i="5"/>
  <c r="O52" i="5"/>
  <c r="U51" i="5"/>
  <c r="T51" i="5"/>
  <c r="S51" i="5"/>
  <c r="O51" i="5"/>
  <c r="U50" i="5"/>
  <c r="T50" i="5"/>
  <c r="S50" i="5"/>
  <c r="O50" i="5"/>
  <c r="U49" i="5"/>
  <c r="T49" i="5"/>
  <c r="S49" i="5"/>
  <c r="O49" i="5"/>
  <c r="U48" i="5"/>
  <c r="T48" i="5"/>
  <c r="S48" i="5"/>
  <c r="O48" i="5"/>
  <c r="U46" i="5"/>
  <c r="O46" i="5"/>
  <c r="AA80" i="5" s="1"/>
  <c r="U45" i="5"/>
  <c r="O45" i="5"/>
  <c r="AA79" i="5" s="1"/>
  <c r="U44" i="5"/>
  <c r="O44" i="5"/>
  <c r="AA78" i="5" s="1"/>
  <c r="U43" i="5"/>
  <c r="O43" i="5"/>
  <c r="AA77" i="5" s="1"/>
  <c r="U42" i="5"/>
  <c r="O42" i="5"/>
  <c r="AA76" i="5" s="1"/>
  <c r="U41" i="5"/>
  <c r="O41" i="5"/>
  <c r="AA75" i="5" s="1"/>
  <c r="U40" i="5"/>
  <c r="O40" i="5"/>
  <c r="AA74" i="5" s="1"/>
  <c r="O6" i="5"/>
  <c r="AA59" i="5" s="1"/>
  <c r="AD16" i="5" s="1"/>
  <c r="P6" i="5"/>
  <c r="Q6" i="5"/>
  <c r="S6" i="5"/>
  <c r="AC6" i="5" s="1"/>
  <c r="AC59" i="5" s="1"/>
  <c r="T6" i="5"/>
  <c r="AH6" i="5" s="1"/>
  <c r="AF59" i="5" s="1"/>
  <c r="U6" i="5"/>
  <c r="O7" i="5"/>
  <c r="AA60" i="5" s="1"/>
  <c r="AD17" i="5" s="1"/>
  <c r="P7" i="5"/>
  <c r="Q7" i="5"/>
  <c r="S7" i="5"/>
  <c r="AC7" i="5" s="1"/>
  <c r="AC60" i="5" s="1"/>
  <c r="T7" i="5"/>
  <c r="AH7" i="5" s="1"/>
  <c r="AF60" i="5" s="1"/>
  <c r="U7" i="5"/>
  <c r="O8" i="5"/>
  <c r="AA61" i="5" s="1"/>
  <c r="AD18" i="5" s="1"/>
  <c r="P8" i="5"/>
  <c r="Q8" i="5"/>
  <c r="S8" i="5"/>
  <c r="AC8" i="5" s="1"/>
  <c r="AC61" i="5" s="1"/>
  <c r="T8" i="5"/>
  <c r="AH8" i="5" s="1"/>
  <c r="AF61" i="5" s="1"/>
  <c r="U8" i="5"/>
  <c r="O9" i="5"/>
  <c r="AA62" i="5" s="1"/>
  <c r="AD19" i="5" s="1"/>
  <c r="P9" i="5"/>
  <c r="Q9" i="5"/>
  <c r="S9" i="5"/>
  <c r="AC9" i="5" s="1"/>
  <c r="AC62" i="5" s="1"/>
  <c r="T9" i="5"/>
  <c r="AH9" i="5" s="1"/>
  <c r="AF62" i="5" s="1"/>
  <c r="U9" i="5"/>
  <c r="O10" i="5"/>
  <c r="AA63" i="5" s="1"/>
  <c r="AD20" i="5" s="1"/>
  <c r="P10" i="5"/>
  <c r="Q10" i="5"/>
  <c r="S10" i="5"/>
  <c r="AC10" i="5" s="1"/>
  <c r="AC63" i="5" s="1"/>
  <c r="T10" i="5"/>
  <c r="AH10" i="5" s="1"/>
  <c r="AF63" i="5" s="1"/>
  <c r="U10" i="5"/>
  <c r="O11" i="5"/>
  <c r="AA64" i="5" s="1"/>
  <c r="AD21" i="5" s="1"/>
  <c r="P11" i="5"/>
  <c r="Q11" i="5"/>
  <c r="S11" i="5"/>
  <c r="AC11" i="5" s="1"/>
  <c r="AC64" i="5" s="1"/>
  <c r="T11" i="5"/>
  <c r="AH11" i="5" s="1"/>
  <c r="AF64" i="5" s="1"/>
  <c r="U11" i="5"/>
  <c r="O12" i="5"/>
  <c r="AA65" i="5" s="1"/>
  <c r="AD22" i="5" s="1"/>
  <c r="P12" i="5"/>
  <c r="Q12" i="5"/>
  <c r="S12" i="5"/>
  <c r="AC12" i="5" s="1"/>
  <c r="AC65" i="5" s="1"/>
  <c r="T12" i="5"/>
  <c r="AH12" i="5" s="1"/>
  <c r="AF65" i="5" s="1"/>
  <c r="U12" i="5"/>
  <c r="O14" i="5"/>
  <c r="P14" i="5"/>
  <c r="Q14" i="5"/>
  <c r="S14" i="5"/>
  <c r="T14" i="5"/>
  <c r="U14" i="5"/>
  <c r="O15" i="5"/>
  <c r="P15" i="5"/>
  <c r="Q15" i="5"/>
  <c r="S15" i="5"/>
  <c r="T15" i="5"/>
  <c r="U15" i="5"/>
  <c r="O16" i="5"/>
  <c r="P16" i="5"/>
  <c r="Q16" i="5"/>
  <c r="S16" i="5"/>
  <c r="T16" i="5"/>
  <c r="U16" i="5"/>
  <c r="O18" i="5"/>
  <c r="S18" i="5"/>
  <c r="T18" i="5"/>
  <c r="U18" i="5"/>
  <c r="O19" i="5"/>
  <c r="S19" i="5"/>
  <c r="T19" i="5"/>
  <c r="U19" i="5"/>
  <c r="O20" i="5"/>
  <c r="S20" i="5"/>
  <c r="T20" i="5"/>
  <c r="U20" i="5"/>
  <c r="O21" i="5"/>
  <c r="S21" i="5"/>
  <c r="T21" i="5"/>
  <c r="U21" i="5"/>
  <c r="O22" i="5"/>
  <c r="S22" i="5"/>
  <c r="T22" i="5"/>
  <c r="U22" i="5"/>
  <c r="O23" i="5"/>
  <c r="S23" i="5"/>
  <c r="T23" i="5"/>
  <c r="U23" i="5"/>
  <c r="O24" i="5"/>
  <c r="S24" i="5"/>
  <c r="T24" i="5"/>
  <c r="U24" i="5"/>
  <c r="O26" i="5"/>
  <c r="S26" i="5"/>
  <c r="T26" i="5"/>
  <c r="U26" i="5"/>
  <c r="O27" i="5"/>
  <c r="S27" i="5"/>
  <c r="T27" i="5"/>
  <c r="U27" i="5"/>
  <c r="O28" i="5"/>
  <c r="S28" i="5"/>
  <c r="T28" i="5"/>
  <c r="U28" i="5"/>
  <c r="O29" i="5"/>
  <c r="S29" i="5"/>
  <c r="T29" i="5"/>
  <c r="U29" i="5"/>
  <c r="O30" i="5"/>
  <c r="S30" i="5"/>
  <c r="T30" i="5"/>
  <c r="U30" i="5"/>
  <c r="O31" i="5"/>
  <c r="S31" i="5"/>
  <c r="T31" i="5"/>
  <c r="U31" i="5"/>
  <c r="O32" i="5"/>
  <c r="S32" i="5"/>
  <c r="T32" i="5"/>
  <c r="U32" i="5"/>
  <c r="J86" i="2"/>
  <c r="K86" i="2"/>
  <c r="J87" i="2"/>
  <c r="K87" i="2"/>
  <c r="J88" i="2"/>
  <c r="K88" i="2"/>
  <c r="J89" i="2"/>
  <c r="K89" i="2"/>
  <c r="J90" i="2"/>
  <c r="K90" i="2"/>
  <c r="J91" i="2"/>
  <c r="K91" i="2"/>
  <c r="K85" i="2"/>
  <c r="J85" i="2"/>
  <c r="J77" i="2"/>
  <c r="K77" i="2"/>
  <c r="J78" i="2"/>
  <c r="K78" i="2"/>
  <c r="J79" i="2"/>
  <c r="K79" i="2"/>
  <c r="J80" i="2"/>
  <c r="K80" i="2"/>
  <c r="J81" i="2"/>
  <c r="K81" i="2"/>
  <c r="J82" i="2"/>
  <c r="K82" i="2"/>
  <c r="K76" i="2"/>
  <c r="J76" i="2"/>
  <c r="I82" i="2"/>
  <c r="I81" i="2"/>
  <c r="I80" i="2"/>
  <c r="I79" i="2"/>
  <c r="I78" i="2"/>
  <c r="I77" i="2"/>
  <c r="I76" i="2"/>
  <c r="I91" i="2"/>
  <c r="I90" i="2"/>
  <c r="I89" i="2"/>
  <c r="I88" i="2"/>
  <c r="I87" i="2"/>
  <c r="I86" i="2"/>
  <c r="I85" i="2"/>
  <c r="K73" i="2"/>
  <c r="J73" i="2"/>
  <c r="K72" i="2"/>
  <c r="J72" i="2"/>
  <c r="K71" i="2"/>
  <c r="J71" i="2"/>
  <c r="K70" i="2"/>
  <c r="J70" i="2"/>
  <c r="K69" i="2"/>
  <c r="J69" i="2"/>
  <c r="K68" i="2"/>
  <c r="J68" i="2"/>
  <c r="K67" i="2"/>
  <c r="J67" i="2"/>
  <c r="K58" i="2"/>
  <c r="K59" i="2"/>
  <c r="K60" i="2"/>
  <c r="K61" i="2"/>
  <c r="K62" i="2"/>
  <c r="K63" i="2"/>
  <c r="K64" i="2"/>
  <c r="J59" i="2"/>
  <c r="J60" i="2"/>
  <c r="J61" i="2"/>
  <c r="J62" i="2"/>
  <c r="J63" i="2"/>
  <c r="J64" i="2"/>
  <c r="J58" i="2"/>
  <c r="I73" i="2"/>
  <c r="I72" i="2"/>
  <c r="I71" i="2"/>
  <c r="I70" i="2"/>
  <c r="I69" i="2"/>
  <c r="I68" i="2"/>
  <c r="I67" i="2"/>
  <c r="I64" i="2"/>
  <c r="I63" i="2"/>
  <c r="I62" i="2"/>
  <c r="I61" i="2"/>
  <c r="I60" i="2"/>
  <c r="I59" i="2"/>
  <c r="I58" i="2"/>
  <c r="K55" i="2"/>
  <c r="J55" i="2"/>
  <c r="I55" i="2"/>
  <c r="K54" i="2"/>
  <c r="J54" i="2"/>
  <c r="I54" i="2"/>
  <c r="K53" i="2"/>
  <c r="J53" i="2"/>
  <c r="I53" i="2"/>
  <c r="K52" i="2"/>
  <c r="J52" i="2"/>
  <c r="I52" i="2"/>
  <c r="K51" i="2"/>
  <c r="J51" i="2"/>
  <c r="I51" i="2"/>
  <c r="K50" i="2"/>
  <c r="J50" i="2"/>
  <c r="I50" i="2"/>
  <c r="K49" i="2"/>
  <c r="J49" i="2"/>
  <c r="I49" i="2"/>
  <c r="I38" i="2"/>
  <c r="J38" i="2"/>
  <c r="K38" i="2"/>
  <c r="J39" i="2"/>
  <c r="K39" i="2"/>
  <c r="J40" i="2"/>
  <c r="K40" i="2"/>
  <c r="J41" i="2"/>
  <c r="K41" i="2"/>
  <c r="J42" i="2"/>
  <c r="K42" i="2"/>
  <c r="J43" i="2"/>
  <c r="K43" i="2"/>
  <c r="J44" i="2"/>
  <c r="K44" i="2"/>
  <c r="I44" i="2"/>
  <c r="I43" i="2"/>
  <c r="I42" i="2"/>
  <c r="I41" i="2"/>
  <c r="I40" i="2"/>
  <c r="I39" i="2"/>
  <c r="M7" i="2"/>
  <c r="W39" i="2" s="1"/>
  <c r="N7" i="2"/>
  <c r="X7" i="2" s="1"/>
  <c r="N19" i="2"/>
  <c r="Q7" i="2"/>
  <c r="AA7" i="2" s="1"/>
  <c r="Y39" i="2" s="1"/>
  <c r="O7" i="2"/>
  <c r="Y7" i="2" s="1"/>
  <c r="AA39" i="2" s="1"/>
  <c r="O19" i="2"/>
  <c r="R7" i="2"/>
  <c r="AF7" i="2"/>
  <c r="AB39" i="2" s="1"/>
  <c r="M8" i="2"/>
  <c r="W40" i="2"/>
  <c r="N8" i="2"/>
  <c r="X8" i="2" s="1"/>
  <c r="N20" i="2"/>
  <c r="Q8" i="2"/>
  <c r="AA8" i="2"/>
  <c r="Y40" i="2" s="1"/>
  <c r="O8" i="2"/>
  <c r="O20" i="2"/>
  <c r="R8" i="2"/>
  <c r="AF8" i="2" s="1"/>
  <c r="AB40" i="2" s="1"/>
  <c r="M9" i="2"/>
  <c r="W41" i="2" s="1"/>
  <c r="N9" i="2"/>
  <c r="X9" i="2" s="1"/>
  <c r="N21" i="2"/>
  <c r="Q9" i="2"/>
  <c r="AA9" i="2" s="1"/>
  <c r="Y41" i="2" s="1"/>
  <c r="O9" i="2"/>
  <c r="O21" i="2"/>
  <c r="Y9" i="2" s="1"/>
  <c r="R9" i="2"/>
  <c r="AF9" i="2" s="1"/>
  <c r="AB41" i="2" s="1"/>
  <c r="M10" i="2"/>
  <c r="W42" i="2" s="1"/>
  <c r="N10" i="2"/>
  <c r="N22" i="2"/>
  <c r="X10" i="2" s="1"/>
  <c r="Q10" i="2"/>
  <c r="AA10" i="2" s="1"/>
  <c r="Y42" i="2" s="1"/>
  <c r="O10" i="2"/>
  <c r="Y10" i="2" s="1"/>
  <c r="O22" i="2"/>
  <c r="R10" i="2"/>
  <c r="AF10" i="2" s="1"/>
  <c r="AB42" i="2" s="1"/>
  <c r="M11" i="2"/>
  <c r="W43" i="2" s="1"/>
  <c r="N11" i="2"/>
  <c r="X11" i="2" s="1"/>
  <c r="AF21" i="5" s="1"/>
  <c r="N23" i="2"/>
  <c r="Q11" i="2"/>
  <c r="AA11" i="2" s="1"/>
  <c r="Y43" i="2" s="1"/>
  <c r="O11" i="2"/>
  <c r="Y11" i="2" s="1"/>
  <c r="O23" i="2"/>
  <c r="R11" i="2"/>
  <c r="AF11" i="2" s="1"/>
  <c r="AB43" i="2" s="1"/>
  <c r="M12" i="2"/>
  <c r="W44" i="2" s="1"/>
  <c r="N12" i="2"/>
  <c r="X12" i="2" s="1"/>
  <c r="X44" i="2" s="1"/>
  <c r="N24" i="2"/>
  <c r="Q12" i="2"/>
  <c r="AA12" i="2"/>
  <c r="Y44" i="2" s="1"/>
  <c r="O12" i="2"/>
  <c r="Y12" i="2" s="1"/>
  <c r="O24" i="2"/>
  <c r="R12" i="2"/>
  <c r="AF12" i="2" s="1"/>
  <c r="AB44" i="2" s="1"/>
  <c r="R6" i="2"/>
  <c r="AF6" i="2"/>
  <c r="AB38" i="2" s="1"/>
  <c r="Q6" i="2"/>
  <c r="AA6" i="2"/>
  <c r="Y38" i="2" s="1"/>
  <c r="O6" i="2"/>
  <c r="Y6" i="2" s="1"/>
  <c r="O18" i="2"/>
  <c r="N6" i="2"/>
  <c r="X6" i="2" s="1"/>
  <c r="N18" i="2"/>
  <c r="M6" i="2"/>
  <c r="W38" i="2" s="1"/>
  <c r="S32" i="2"/>
  <c r="R32" i="2"/>
  <c r="Q32" i="2"/>
  <c r="O32" i="2"/>
  <c r="N32" i="2"/>
  <c r="M32" i="2"/>
  <c r="S31" i="2"/>
  <c r="R31" i="2"/>
  <c r="Q31" i="2"/>
  <c r="O31" i="2"/>
  <c r="N31" i="2"/>
  <c r="M31" i="2"/>
  <c r="S30" i="2"/>
  <c r="R30" i="2"/>
  <c r="Q30" i="2"/>
  <c r="O30" i="2"/>
  <c r="N30" i="2"/>
  <c r="M30" i="2"/>
  <c r="S29" i="2"/>
  <c r="R29" i="2"/>
  <c r="Q29" i="2"/>
  <c r="O29" i="2"/>
  <c r="N29" i="2"/>
  <c r="M29" i="2"/>
  <c r="S28" i="2"/>
  <c r="R28" i="2"/>
  <c r="Q28" i="2"/>
  <c r="O28" i="2"/>
  <c r="N28" i="2"/>
  <c r="M28" i="2"/>
  <c r="S27" i="2"/>
  <c r="R27" i="2"/>
  <c r="Q27" i="2"/>
  <c r="O27" i="2"/>
  <c r="N27" i="2"/>
  <c r="M27" i="2"/>
  <c r="S26" i="2"/>
  <c r="R26" i="2"/>
  <c r="Q26" i="2"/>
  <c r="O26" i="2"/>
  <c r="N26" i="2"/>
  <c r="M26" i="2"/>
  <c r="S24" i="2"/>
  <c r="R24" i="2"/>
  <c r="Q24" i="2"/>
  <c r="M24" i="2"/>
  <c r="S23" i="2"/>
  <c r="R23" i="2"/>
  <c r="Q23" i="2"/>
  <c r="M23" i="2"/>
  <c r="S22" i="2"/>
  <c r="R22" i="2"/>
  <c r="Q22" i="2"/>
  <c r="M22" i="2"/>
  <c r="S21" i="2"/>
  <c r="R21" i="2"/>
  <c r="Q21" i="2"/>
  <c r="M21" i="2"/>
  <c r="S20" i="2"/>
  <c r="R20" i="2"/>
  <c r="Q20" i="2"/>
  <c r="M20" i="2"/>
  <c r="S19" i="2"/>
  <c r="R19" i="2"/>
  <c r="Q19" i="2"/>
  <c r="M19" i="2"/>
  <c r="S18" i="2"/>
  <c r="R18" i="2"/>
  <c r="Q18" i="2"/>
  <c r="M18" i="2"/>
  <c r="S16" i="2"/>
  <c r="R16" i="2"/>
  <c r="Q16" i="2"/>
  <c r="O16" i="2"/>
  <c r="N16" i="2"/>
  <c r="M16" i="2"/>
  <c r="S15" i="2"/>
  <c r="R15" i="2"/>
  <c r="Q15" i="2"/>
  <c r="O15" i="2"/>
  <c r="N15" i="2"/>
  <c r="M15" i="2"/>
  <c r="S14" i="2"/>
  <c r="R14" i="2"/>
  <c r="Q14" i="2"/>
  <c r="O14" i="2"/>
  <c r="N14" i="2"/>
  <c r="M14" i="2"/>
  <c r="S12" i="2"/>
  <c r="S11" i="2"/>
  <c r="S10" i="2"/>
  <c r="S9" i="2"/>
  <c r="S8" i="2"/>
  <c r="S7" i="2"/>
  <c r="S6" i="2"/>
  <c r="W49" i="5"/>
  <c r="X26" i="5"/>
  <c r="Y8" i="2"/>
  <c r="AA40" i="2" s="1"/>
  <c r="W21" i="5"/>
  <c r="W54" i="5"/>
  <c r="W40" i="5"/>
  <c r="X42" i="5"/>
  <c r="W53" i="5"/>
  <c r="W30" i="5"/>
  <c r="X20" i="5"/>
  <c r="Z43" i="5"/>
  <c r="AB77" i="5" s="1"/>
  <c r="W32" i="5"/>
  <c r="Z42" i="5"/>
  <c r="AB76" i="5"/>
  <c r="AA42" i="5"/>
  <c r="AE76" i="5" s="1"/>
  <c r="AA43" i="5"/>
  <c r="AE77" i="5"/>
  <c r="AA10" i="5"/>
  <c r="AA45" i="5"/>
  <c r="AE79" i="5" s="1"/>
  <c r="W24" i="5"/>
  <c r="W45" i="5"/>
  <c r="X53" i="5"/>
  <c r="W50" i="5"/>
  <c r="X28" i="5"/>
  <c r="AG75" i="5"/>
  <c r="AC38" i="2"/>
  <c r="AG76" i="5"/>
  <c r="AG64" i="5"/>
  <c r="AG61" i="5"/>
  <c r="AD80" i="5"/>
  <c r="AD65" i="5"/>
  <c r="AD75" i="5"/>
  <c r="AD78" i="5"/>
  <c r="AC40" i="2"/>
  <c r="AG79" i="5"/>
  <c r="Z44" i="2"/>
  <c r="AC44" i="2"/>
  <c r="AG74" i="5"/>
  <c r="AD63" i="5"/>
  <c r="AC39" i="2"/>
  <c r="AD59" i="5"/>
  <c r="AD77" i="5"/>
  <c r="AG59" i="5"/>
  <c r="Z39" i="2"/>
  <c r="AD62" i="5"/>
  <c r="AG65" i="5"/>
  <c r="AD74" i="5"/>
  <c r="Z43" i="2"/>
  <c r="AC41" i="2"/>
  <c r="AD64" i="5"/>
  <c r="Z38" i="2"/>
  <c r="AD79" i="5"/>
  <c r="AC42" i="2"/>
  <c r="AG62" i="5"/>
  <c r="AG63" i="5"/>
  <c r="AD76" i="5"/>
  <c r="AG80" i="5"/>
  <c r="AG77" i="5"/>
  <c r="Z42" i="2"/>
  <c r="Z41" i="2"/>
  <c r="AC43" i="2"/>
  <c r="AG60" i="5"/>
  <c r="Z40" i="2"/>
  <c r="AD60" i="5"/>
  <c r="AD61" i="5"/>
  <c r="AG78" i="5"/>
  <c r="X40" i="2" l="1"/>
  <c r="AF18" i="5"/>
  <c r="X39" i="2"/>
  <c r="AF17" i="5"/>
  <c r="AB59" i="5"/>
  <c r="AE16" i="5"/>
  <c r="Z40" i="5"/>
  <c r="W43" i="5"/>
  <c r="AA22" i="5"/>
  <c r="AE63" i="5"/>
  <c r="Z41" i="5"/>
  <c r="X19" i="5"/>
  <c r="Z10" i="5"/>
  <c r="Z11" i="5"/>
  <c r="X45" i="5"/>
  <c r="W46" i="5"/>
  <c r="W19" i="5"/>
  <c r="AA6" i="5"/>
  <c r="Z7" i="5"/>
  <c r="Z8" i="5"/>
  <c r="AE18" i="5" s="1"/>
  <c r="AG18" i="5" s="1"/>
  <c r="Z9" i="5"/>
  <c r="X43" i="5"/>
  <c r="X52" i="5"/>
  <c r="X22" i="5"/>
  <c r="X54" i="5"/>
  <c r="AA38" i="2"/>
  <c r="AJ16" i="5"/>
  <c r="AA42" i="2"/>
  <c r="AJ20" i="5"/>
  <c r="AF16" i="5"/>
  <c r="AG16" i="5" s="1"/>
  <c r="X38" i="2"/>
  <c r="AJ21" i="5"/>
  <c r="AA43" i="2"/>
  <c r="AF20" i="5"/>
  <c r="X42" i="2"/>
  <c r="AA41" i="2"/>
  <c r="AJ19" i="5"/>
  <c r="AF19" i="5"/>
  <c r="X41" i="2"/>
  <c r="Z18" i="5"/>
  <c r="AB74" i="5"/>
  <c r="AB65" i="5"/>
  <c r="Z24" i="5"/>
  <c r="AE22" i="5"/>
  <c r="AJ22" i="5"/>
  <c r="AA44" i="2"/>
  <c r="Z19" i="5"/>
  <c r="AB75" i="5"/>
  <c r="AE61" i="5"/>
  <c r="AA20" i="5"/>
  <c r="AI18" i="5"/>
  <c r="AE20" i="5"/>
  <c r="AG20" i="5" s="1"/>
  <c r="AB63" i="5"/>
  <c r="Z23" i="5"/>
  <c r="AE21" i="5"/>
  <c r="AG21" i="5" s="1"/>
  <c r="AB64" i="5"/>
  <c r="AA18" i="5"/>
  <c r="AE59" i="5"/>
  <c r="AI16" i="5"/>
  <c r="AB61" i="5"/>
  <c r="AE19" i="5"/>
  <c r="AG19" i="5" s="1"/>
  <c r="AB62" i="5"/>
  <c r="Z21" i="5"/>
  <c r="AI20" i="5"/>
  <c r="AK20" i="5" s="1"/>
  <c r="X43" i="2"/>
  <c r="AJ17" i="5"/>
  <c r="AF22" i="5"/>
  <c r="W18" i="5"/>
  <c r="W20" i="5"/>
  <c r="X27" i="5"/>
  <c r="Z44" i="5"/>
  <c r="AB78" i="5" s="1"/>
  <c r="AA12" i="5"/>
  <c r="AJ18" i="5"/>
  <c r="X46" i="5"/>
  <c r="X30" i="5"/>
  <c r="AA7" i="5"/>
  <c r="X51" i="5"/>
  <c r="AA9" i="5"/>
  <c r="AA11" i="5"/>
  <c r="AA46" i="5"/>
  <c r="AE80" i="5" s="1"/>
  <c r="S109" i="6"/>
  <c r="X21" i="5"/>
  <c r="R109" i="6"/>
  <c r="P108" i="6"/>
  <c r="T108" i="6"/>
  <c r="O108" i="6"/>
  <c r="S108" i="6"/>
  <c r="N108" i="6"/>
  <c r="O109" i="6"/>
  <c r="T109" i="6"/>
  <c r="R108" i="6"/>
  <c r="P109" i="6"/>
  <c r="AK18" i="5" l="1"/>
  <c r="AE17" i="5"/>
  <c r="AG17" i="5" s="1"/>
  <c r="AB60" i="5"/>
  <c r="Z20" i="5"/>
  <c r="AI22" i="5"/>
  <c r="AK22" i="5" s="1"/>
  <c r="AA24" i="5"/>
  <c r="AE65" i="5"/>
  <c r="AE62" i="5"/>
  <c r="AI19" i="5"/>
  <c r="AK19" i="5" s="1"/>
  <c r="AA21" i="5"/>
  <c r="AK16" i="5"/>
  <c r="Z22" i="5"/>
  <c r="AG22" i="5"/>
  <c r="AE60" i="5"/>
  <c r="AA19" i="5"/>
  <c r="AI17" i="5"/>
  <c r="AK17" i="5" s="1"/>
  <c r="AI21" i="5"/>
  <c r="AK21" i="5" s="1"/>
  <c r="AA23" i="5"/>
  <c r="AE64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Andrew Corney</author>
  </authors>
  <commentList>
    <comment ref="AE6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Andrew Corney:</t>
        </r>
        <r>
          <rPr>
            <sz val="8"/>
            <color indexed="81"/>
            <rFont val="Tahoma"/>
            <family val="2"/>
          </rPr>
          <t xml:space="preserve">
200 readings of SR830 are averaged but these could be correllated. Take dfm of 20 as a measure of confidence
</t>
        </r>
      </text>
    </comment>
    <comment ref="AF6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Andrew Corney:</t>
        </r>
        <r>
          <rPr>
            <sz val="8"/>
            <color indexed="81"/>
            <rFont val="Tahoma"/>
            <family val="2"/>
          </rPr>
          <t xml:space="preserve">
value at 20% rated, Table 3, MSLT.E.056</t>
        </r>
      </text>
    </comment>
    <comment ref="AJ6" authorId="0" shapeId="0" xr:uid="{00000000-0006-0000-0100-000003000000}">
      <text>
        <r>
          <rPr>
            <b/>
            <sz val="8"/>
            <color indexed="81"/>
            <rFont val="Tahoma"/>
            <family val="2"/>
          </rPr>
          <t>Andrew Corney:</t>
        </r>
        <r>
          <rPr>
            <sz val="8"/>
            <color indexed="81"/>
            <rFont val="Tahoma"/>
            <family val="2"/>
          </rPr>
          <t xml:space="preserve">
200 readings of SR830 are averaged but these could be correllated. Take dfm of 20 as a measure of confidence
</t>
        </r>
      </text>
    </comment>
    <comment ref="AK6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>Andrew Corney:</t>
        </r>
        <r>
          <rPr>
            <sz val="8"/>
            <color indexed="81"/>
            <rFont val="Tahoma"/>
            <family val="2"/>
          </rPr>
          <t xml:space="preserve">
value at 20% rated, Table 3, MSLT.E.056</t>
        </r>
      </text>
    </comment>
    <comment ref="AE40" authorId="0" shapeId="0" xr:uid="{00000000-0006-0000-0100-000005000000}">
      <text>
        <r>
          <rPr>
            <b/>
            <sz val="8"/>
            <color indexed="81"/>
            <rFont val="Tahoma"/>
            <family val="2"/>
          </rPr>
          <t>Andrew Corney:</t>
        </r>
        <r>
          <rPr>
            <sz val="8"/>
            <color indexed="81"/>
            <rFont val="Tahoma"/>
            <family val="2"/>
          </rPr>
          <t xml:space="preserve">
200 readings of SR830 are averaged but these could be correllated. Take dfm of 20 as a measure of confidence
</t>
        </r>
      </text>
    </comment>
    <comment ref="AF40" authorId="0" shapeId="0" xr:uid="{00000000-0006-0000-0100-000006000000}">
      <text>
        <r>
          <rPr>
            <b/>
            <sz val="8"/>
            <color indexed="81"/>
            <rFont val="Tahoma"/>
            <family val="2"/>
          </rPr>
          <t>Andrew Corney:</t>
        </r>
        <r>
          <rPr>
            <sz val="8"/>
            <color indexed="81"/>
            <rFont val="Tahoma"/>
            <family val="2"/>
          </rPr>
          <t xml:space="preserve">
value at 20% rated, Table 3, MSLT.E.056</t>
        </r>
      </text>
    </comment>
    <comment ref="AJ40" authorId="0" shapeId="0" xr:uid="{00000000-0006-0000-0100-000007000000}">
      <text>
        <r>
          <rPr>
            <b/>
            <sz val="8"/>
            <color indexed="81"/>
            <rFont val="Tahoma"/>
            <family val="2"/>
          </rPr>
          <t>Andrew Corney:</t>
        </r>
        <r>
          <rPr>
            <sz val="8"/>
            <color indexed="81"/>
            <rFont val="Tahoma"/>
            <family val="2"/>
          </rPr>
          <t xml:space="preserve">
200 readings of SR830 are averaged but these could be correllated. Take dfm of 20 as a measure of confidence
</t>
        </r>
      </text>
    </comment>
    <comment ref="AK40" authorId="0" shapeId="0" xr:uid="{00000000-0006-0000-0100-000008000000}">
      <text>
        <r>
          <rPr>
            <b/>
            <sz val="8"/>
            <color indexed="81"/>
            <rFont val="Tahoma"/>
            <family val="2"/>
          </rPr>
          <t>Andrew Corney:</t>
        </r>
        <r>
          <rPr>
            <sz val="8"/>
            <color indexed="81"/>
            <rFont val="Tahoma"/>
            <family val="2"/>
          </rPr>
          <t xml:space="preserve">
value at 20% rated, Table 3, MSLT.E.056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Andrew Corney</author>
  </authors>
  <commentList>
    <comment ref="U6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Andrew Corney:</t>
        </r>
        <r>
          <rPr>
            <sz val="8"/>
            <color indexed="81"/>
            <rFont val="Tahoma"/>
            <family val="2"/>
          </rPr>
          <t xml:space="preserve">
value at 20% rated, Table 3, MSLT.E.056</t>
        </r>
      </text>
    </comment>
    <comment ref="V6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Andrew Corney:</t>
        </r>
        <r>
          <rPr>
            <sz val="8"/>
            <color indexed="81"/>
            <rFont val="Tahoma"/>
            <family val="2"/>
          </rPr>
          <t xml:space="preserve">
value at 20% rated, Table 3, MSLT.E.056</t>
        </r>
      </text>
    </comment>
    <comment ref="AC6" authorId="0" shapeId="0" xr:uid="{00000000-0006-0000-0200-000003000000}">
      <text>
        <r>
          <rPr>
            <b/>
            <sz val="8"/>
            <color indexed="81"/>
            <rFont val="Tahoma"/>
            <family val="2"/>
          </rPr>
          <t>Andrew Corney:</t>
        </r>
        <r>
          <rPr>
            <sz val="8"/>
            <color indexed="81"/>
            <rFont val="Tahoma"/>
            <family val="2"/>
          </rPr>
          <t xml:space="preserve">
200 readings of SR830 are averaged but these could be correllated. Take dfm of 20 as a measure of confidence
</t>
        </r>
      </text>
    </comment>
    <comment ref="AD6" authorId="0" shapeId="0" xr:uid="{00000000-0006-0000-0200-000004000000}">
      <text>
        <r>
          <rPr>
            <b/>
            <sz val="8"/>
            <color indexed="81"/>
            <rFont val="Tahoma"/>
            <family val="2"/>
          </rPr>
          <t>Andrew Corney:</t>
        </r>
        <r>
          <rPr>
            <sz val="8"/>
            <color indexed="81"/>
            <rFont val="Tahoma"/>
            <family val="2"/>
          </rPr>
          <t xml:space="preserve">
value at 20% rated, Table 3, MSLT.E.056</t>
        </r>
      </text>
    </comment>
    <comment ref="AH6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>Andrew Corney:</t>
        </r>
        <r>
          <rPr>
            <sz val="8"/>
            <color indexed="81"/>
            <rFont val="Tahoma"/>
            <family val="2"/>
          </rPr>
          <t xml:space="preserve">
200 readings of SR830 are averaged but these could be correllated. Take dfm of 20 as a measure of confidence
</t>
        </r>
      </text>
    </comment>
    <comment ref="AI6" authorId="0" shapeId="0" xr:uid="{00000000-0006-0000-0200-000006000000}">
      <text>
        <r>
          <rPr>
            <b/>
            <sz val="8"/>
            <color indexed="81"/>
            <rFont val="Tahoma"/>
            <family val="2"/>
          </rPr>
          <t>Andrew Corney:</t>
        </r>
        <r>
          <rPr>
            <sz val="8"/>
            <color indexed="81"/>
            <rFont val="Tahoma"/>
            <family val="2"/>
          </rPr>
          <t xml:space="preserve">
value at 20% rated, Table 3, MSLT.E.056</t>
        </r>
      </text>
    </comment>
    <comment ref="U8" authorId="0" shapeId="0" xr:uid="{00000000-0006-0000-0200-000007000000}">
      <text>
        <r>
          <rPr>
            <b/>
            <sz val="8"/>
            <color indexed="81"/>
            <rFont val="Tahoma"/>
            <family val="2"/>
          </rPr>
          <t>Andrew Corney:</t>
        </r>
        <r>
          <rPr>
            <sz val="8"/>
            <color indexed="81"/>
            <rFont val="Tahoma"/>
            <family val="2"/>
          </rPr>
          <t xml:space="preserve">
value at 10 % rated, Table 3, MSLT.E.056.  Polynomial fits show error negibly different for lower excitations
</t>
        </r>
      </text>
    </comment>
    <comment ref="V8" authorId="0" shapeId="0" xr:uid="{00000000-0006-0000-0200-000008000000}">
      <text>
        <r>
          <rPr>
            <b/>
            <sz val="8"/>
            <color indexed="81"/>
            <rFont val="Tahoma"/>
            <family val="2"/>
          </rPr>
          <t>Andrew Corney:</t>
        </r>
        <r>
          <rPr>
            <sz val="8"/>
            <color indexed="81"/>
            <rFont val="Tahoma"/>
            <family val="2"/>
          </rPr>
          <t xml:space="preserve">
value at 10 % rated, Table 3, MSLT.E.056.  Polynomial fits show error negibly different for lower excitations
</t>
        </r>
      </text>
    </comment>
  </commentList>
</comments>
</file>

<file path=xl/sharedStrings.xml><?xml version="1.0" encoding="utf-8"?>
<sst xmlns="http://schemas.openxmlformats.org/spreadsheetml/2006/main" count="366" uniqueCount="151">
  <si>
    <t>Index</t>
  </si>
  <si>
    <t>Date</t>
  </si>
  <si>
    <t>Conditions, comments</t>
  </si>
  <si>
    <t>Shunt</t>
  </si>
  <si>
    <t>X</t>
  </si>
  <si>
    <t>Y</t>
  </si>
  <si>
    <t xml:space="preserve">Sh V </t>
  </si>
  <si>
    <t>X stdev</t>
  </si>
  <si>
    <t>Y stdev</t>
  </si>
  <si>
    <t>SD ppm</t>
  </si>
  <si>
    <t>Volts</t>
  </si>
  <si>
    <t>V</t>
  </si>
  <si>
    <t>stdev/100</t>
  </si>
  <si>
    <t>Com R</t>
  </si>
  <si>
    <t>% load</t>
  </si>
  <si>
    <t>X ppm</t>
  </si>
  <si>
    <t>Y ppm</t>
  </si>
  <si>
    <t>shunt V</t>
  </si>
  <si>
    <t>50 Hz zero burden on aux sec</t>
  </si>
  <si>
    <t>CT Ratio</t>
  </si>
  <si>
    <t>0.2 ohm burden main secondaries</t>
  </si>
  <si>
    <t>disconnect aux sec of 5:1</t>
  </si>
  <si>
    <t>1 uF shunting sec of 5:1</t>
  </si>
  <si>
    <t>1 k shunting  sec of 5:1</t>
  </si>
  <si>
    <t>Sign Check</t>
  </si>
  <si>
    <t>53 Hz</t>
  </si>
  <si>
    <t>50 Hz Repeat</t>
  </si>
  <si>
    <t>Use test set-up, Fig 5, MSLT.E.056 "Current Transformers"</t>
  </si>
  <si>
    <t>Shunt
mV</t>
  </si>
  <si>
    <t>ratio error
%</t>
  </si>
  <si>
    <t>phase error
minutes</t>
  </si>
  <si>
    <t>multiply 
by</t>
  </si>
  <si>
    <t>0 ohms burden</t>
  </si>
  <si>
    <t>5:1 A CT vs 25:5 on 500 AT 2 stage</t>
  </si>
  <si>
    <t>500 AT errors</t>
  </si>
  <si>
    <t>uA/A</t>
  </si>
  <si>
    <t>urad</t>
  </si>
  <si>
    <t>Std uncertainties</t>
  </si>
  <si>
    <t>5:1</t>
  </si>
  <si>
    <t>25:1</t>
  </si>
  <si>
    <t>DoF</t>
  </si>
  <si>
    <t xml:space="preserve">Ratio </t>
  </si>
  <si>
    <t>Phase</t>
  </si>
  <si>
    <t>200 AT 5:1 transformer</t>
  </si>
  <si>
    <t>Load</t>
  </si>
  <si>
    <t>Ratio Error</t>
  </si>
  <si>
    <t>% of rated</t>
  </si>
  <si>
    <t>Error
(uA/A)</t>
  </si>
  <si>
    <t>Standard uncertainty (uA/A)</t>
  </si>
  <si>
    <t>Degrees of freedom</t>
  </si>
  <si>
    <t>Phase Error</t>
  </si>
  <si>
    <t>Error 
(urad)</t>
  </si>
  <si>
    <t>Standard uncertaintly 
(urad)</t>
  </si>
  <si>
    <t>5:1 errors</t>
  </si>
  <si>
    <t>% rated current</t>
  </si>
  <si>
    <t>Check Measurement: Cascade 100:5 120 turn 2 stage CT with 5:1 CT (Std) vesus 500:5 100 turn CT (Test)</t>
  </si>
  <si>
    <t>ratio error
(uA/A)</t>
  </si>
  <si>
    <t>phase error
urad</t>
  </si>
  <si>
    <t>Note 1: the "Standard" CT sees the burden imposed by the test set, which on the 1 A range is very high with the test set aux CT on its 1 A range.</t>
  </si>
  <si>
    <t>Note 2: A good test to see if the 2 stage CT aux secondary is phased correctly is to see if the transformer ratio is sensitive to burden.  If correct, burden has little effect.</t>
  </si>
  <si>
    <t>Using SR830 to read errors with slidewire and mutual set to zero</t>
  </si>
  <si>
    <t>mV</t>
  </si>
  <si>
    <t>X uV</t>
  </si>
  <si>
    <t>Y uV</t>
  </si>
  <si>
    <t>com R</t>
  </si>
  <si>
    <t>short 1A terminals of test set aux CT</t>
  </si>
  <si>
    <t>Calibrate Test Set aux CT on 1:5 A range</t>
  </si>
  <si>
    <t>5 ohm burden, shunt Test CT with 1200 ohms</t>
  </si>
  <si>
    <t>%</t>
  </si>
  <si>
    <t>min</t>
  </si>
  <si>
    <t>X by</t>
  </si>
  <si>
    <t>set slidewire, mutual to zero, read SR830</t>
  </si>
  <si>
    <t>crad</t>
  </si>
  <si>
    <t xml:space="preserve">SR830 </t>
  </si>
  <si>
    <t>Gain</t>
  </si>
  <si>
    <t>Reserve</t>
  </si>
  <si>
    <t>53 Hz zero burden on aux sec</t>
  </si>
  <si>
    <t>4.7 uF shunting sec of 5:1</t>
  </si>
  <si>
    <t>53 Hz Repeat</t>
  </si>
  <si>
    <t>Reserve set to "low noise"</t>
  </si>
  <si>
    <t>47 Hz</t>
  </si>
  <si>
    <t>Repeat 53Hz with a 10 ohm cropico as the common resistor.</t>
  </si>
  <si>
    <t>increase the time constant to 1 second</t>
  </si>
  <si>
    <t>Average 53Hz and 47Hz</t>
  </si>
  <si>
    <t>ratio</t>
  </si>
  <si>
    <t>phase</t>
  </si>
  <si>
    <t>difference of 53Hz and 47Hz</t>
  </si>
  <si>
    <t>difference between</t>
  </si>
  <si>
    <t>common resistor.</t>
  </si>
  <si>
    <t xml:space="preserve">5:1 errors </t>
  </si>
  <si>
    <t>(1 ohm common resistor)</t>
  </si>
  <si>
    <t>(10 ohm common resistor)</t>
  </si>
  <si>
    <t xml:space="preserve">using a 1 or 10 ohm </t>
  </si>
  <si>
    <t>Using the 1 ohm common resistor data. (as in 2002)</t>
  </si>
  <si>
    <t>Using the 10 ohm common resistor data.</t>
  </si>
  <si>
    <t>From: "Ctcal3_2013.xls"</t>
  </si>
  <si>
    <t>53Hz with a 10 ohm cropico as the common resistor. Reserve set to low noise.</t>
  </si>
  <si>
    <t>These ppm values higher than last time</t>
  </si>
  <si>
    <t>These values larger and of opposite sign from last time. Connections look ok.</t>
  </si>
  <si>
    <t>10 k shunting  sec of 5:1</t>
  </si>
  <si>
    <t>47Hz with a 10 ohm cropico as the common resistor. Reserve set to low noise.</t>
  </si>
  <si>
    <t>Selected/averaged points at 53 Hz</t>
  </si>
  <si>
    <t>e6.real</t>
  </si>
  <si>
    <t>-</t>
  </si>
  <si>
    <t>e6.imag</t>
  </si>
  <si>
    <t>1a</t>
  </si>
  <si>
    <t>1b</t>
  </si>
  <si>
    <t>2a</t>
  </si>
  <si>
    <t>3a</t>
  </si>
  <si>
    <t>2b</t>
  </si>
  <si>
    <t>real</t>
  </si>
  <si>
    <t>6.476170636821842e-10</t>
  </si>
  <si>
    <t>1.968546386339233e-08</t>
  </si>
  <si>
    <t>-1.0622402663419591e-07</t>
  </si>
  <si>
    <t>-6.132813765550067e-08</t>
  </si>
  <si>
    <t>-7.094267261374557e-11</t>
  </si>
  <si>
    <t>imag</t>
  </si>
  <si>
    <t>-2.0406753719131177e-09</t>
  </si>
  <si>
    <t>-4.772868736570222e-09</t>
  </si>
  <si>
    <t>-1.8427993259160942e-07</t>
  </si>
  <si>
    <t>-1.0729080164442446e-07</t>
  </si>
  <si>
    <t>-5.770797066207241e-10</t>
  </si>
  <si>
    <t>cap2a s - p</t>
  </si>
  <si>
    <t>ureal(-2.877527222469418794056764e-09,5.755054444938838415294141e-10,5)</t>
  </si>
  <si>
    <t>ureal(6.53209607547175413583531e-09,1.30641921509435095124415e-09,5)</t>
  </si>
  <si>
    <t>capb s - p</t>
  </si>
  <si>
    <t>ureal(-7.937033481081537829866893778e-13,1.58740669621630786889596636e-13,5)</t>
  </si>
  <si>
    <t>ureal(8.46164652028692852541406e-09,1.69232930405738591187797e-09,5)</t>
  </si>
  <si>
    <t>Tc</t>
  </si>
  <si>
    <t>Excitation</t>
  </si>
  <si>
    <t>Real</t>
  </si>
  <si>
    <t>Imag</t>
  </si>
  <si>
    <t>U real</t>
  </si>
  <si>
    <t>U imag</t>
  </si>
  <si>
    <t>k real</t>
  </si>
  <si>
    <t>k imag</t>
  </si>
  <si>
    <t>P2as_fifth</t>
  </si>
  <si>
    <t>P2ap full</t>
  </si>
  <si>
    <t xml:space="preserve">Configuration: </t>
  </si>
  <si>
    <t>Operating Conditions</t>
  </si>
  <si>
    <t>Error</t>
  </si>
  <si>
    <t>Expanded Uncertainty</t>
  </si>
  <si>
    <t>Coverage Factor</t>
  </si>
  <si>
    <t>Burden
(Ω)</t>
  </si>
  <si>
    <t>Primary current
(% of rated)</t>
  </si>
  <si>
    <t>Magnitude</t>
  </si>
  <si>
    <r>
      <rPr>
        <i/>
        <sz val="10"/>
        <rFont val="Arial"/>
        <family val="1"/>
      </rPr>
      <t>K</t>
    </r>
    <r>
      <rPr>
        <vertAlign val="subscript"/>
        <sz val="10"/>
        <rFont val="Arial"/>
        <family val="1"/>
      </rPr>
      <t>n</t>
    </r>
    <r>
      <rPr>
        <sz val="10"/>
        <rFont val="Arial"/>
        <family val="1"/>
      </rPr>
      <t xml:space="preserve"> = </t>
    </r>
  </si>
  <si>
    <r>
      <t>Magnitude
(</t>
    </r>
    <r>
      <rPr>
        <sz val="10"/>
        <rFont val="Calibri"/>
        <family val="2"/>
      </rPr>
      <t>µ</t>
    </r>
    <r>
      <rPr>
        <sz val="10"/>
        <rFont val="Times New Roman"/>
        <family val="1"/>
      </rPr>
      <t>A/A)</t>
    </r>
  </si>
  <si>
    <r>
      <t>Phase
(</t>
    </r>
    <r>
      <rPr>
        <sz val="10"/>
        <rFont val="Calibri"/>
        <family val="2"/>
      </rPr>
      <t>µ</t>
    </r>
    <r>
      <rPr>
        <sz val="10"/>
        <rFont val="Times New Roman"/>
        <family val="1"/>
      </rPr>
      <t>rad)</t>
    </r>
  </si>
  <si>
    <t>fixed</t>
  </si>
  <si>
    <t>Table 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</si>
</sst>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"/>
    <numFmt numFmtId="166" formatCode="#0.0\ \ \ \ "/>
    <numFmt numFmtId="167" formatCode="0\ \ \ \ \ \ \ \ \ \ \ \ "/>
    <numFmt numFmtId="168" formatCode="0.00\ \ \ \ \ \ \ \ "/>
    <numFmt numFmtId="169" formatCode="0.0\ \ \ \ \ \ \ \ \ \ "/>
  </numFmts>
  <fonts count="1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0"/>
      <name val="Times New Roman"/>
      <family val="1"/>
    </font>
    <font>
      <sz val="10"/>
      <name val="Times New Roman"/>
      <family val="1"/>
    </font>
    <font>
      <i/>
      <sz val="10"/>
      <name val="Arial"/>
      <family val="1"/>
    </font>
    <font>
      <vertAlign val="subscript"/>
      <sz val="10"/>
      <name val="Arial"/>
      <family val="1"/>
    </font>
    <font>
      <sz val="10"/>
      <name val="Arial"/>
      <family val="1"/>
    </font>
    <font>
      <i/>
      <sz val="10"/>
      <name val="Times New Roman"/>
      <family val="1"/>
    </font>
    <font>
      <i/>
      <sz val="10"/>
      <name val="Arial"/>
      <family val="2"/>
    </font>
    <font>
      <sz val="10"/>
      <name val="Calibri"/>
      <family val="2"/>
    </font>
    <font>
      <i/>
      <sz val="10"/>
      <name val="Gigi"/>
      <family val="5"/>
    </font>
  </fonts>
  <fills count="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80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165" fontId="0" fillId="0" borderId="0" xfId="0" applyNumberFormat="1"/>
    <xf numFmtId="1" fontId="0" fillId="0" borderId="0" xfId="0" applyNumberFormat="1"/>
    <xf numFmtId="164" fontId="0" fillId="0" borderId="0" xfId="0" applyNumberFormat="1"/>
    <xf numFmtId="2" fontId="0" fillId="0" borderId="0" xfId="0" applyNumberFormat="1"/>
    <xf numFmtId="11" fontId="0" fillId="0" borderId="0" xfId="0" applyNumberFormat="1"/>
    <xf numFmtId="0" fontId="1" fillId="0" borderId="0" xfId="0" applyFont="1" applyAlignment="1">
      <alignment horizontal="center"/>
    </xf>
    <xf numFmtId="11" fontId="1" fillId="0" borderId="0" xfId="0" applyNumberFormat="1" applyFont="1" applyAlignment="1">
      <alignment horizontal="center"/>
    </xf>
    <xf numFmtId="15" fontId="0" fillId="0" borderId="0" xfId="0" applyNumberFormat="1"/>
    <xf numFmtId="11" fontId="1" fillId="0" borderId="0" xfId="0" applyNumberFormat="1" applyFont="1"/>
    <xf numFmtId="0" fontId="0" fillId="0" borderId="0" xfId="0" applyAlignment="1">
      <alignment wrapText="1"/>
    </xf>
    <xf numFmtId="0" fontId="2" fillId="0" borderId="0" xfId="0" applyFont="1"/>
    <xf numFmtId="20" fontId="0" fillId="0" borderId="0" xfId="0" quotePrefix="1" applyNumberFormat="1"/>
    <xf numFmtId="0" fontId="0" fillId="0" borderId="0" xfId="0" quotePrefix="1"/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" fontId="0" fillId="0" borderId="3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2" fontId="0" fillId="0" borderId="3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0" fontId="0" fillId="0" borderId="0" xfId="0" applyNumberFormat="1"/>
    <xf numFmtId="20" fontId="1" fillId="0" borderId="0" xfId="0" quotePrefix="1" applyNumberFormat="1" applyFont="1"/>
    <xf numFmtId="0" fontId="1" fillId="0" borderId="0" xfId="0" quotePrefix="1" applyFont="1"/>
    <xf numFmtId="0" fontId="0" fillId="2" borderId="0" xfId="0" applyFill="1"/>
    <xf numFmtId="0" fontId="1" fillId="3" borderId="0" xfId="0" applyFont="1" applyFill="1"/>
    <xf numFmtId="0" fontId="0" fillId="3" borderId="0" xfId="0" applyFill="1"/>
    <xf numFmtId="14" fontId="0" fillId="0" borderId="0" xfId="0" applyNumberFormat="1"/>
    <xf numFmtId="1" fontId="0" fillId="0" borderId="0" xfId="0" applyNumberFormat="1" applyBorder="1" applyAlignment="1">
      <alignment horizontal="center"/>
    </xf>
    <xf numFmtId="2" fontId="0" fillId="3" borderId="0" xfId="0" applyNumberFormat="1" applyFill="1"/>
    <xf numFmtId="2" fontId="0" fillId="4" borderId="0" xfId="0" applyNumberFormat="1" applyFill="1"/>
    <xf numFmtId="2" fontId="1" fillId="4" borderId="0" xfId="0" applyNumberFormat="1" applyFont="1" applyFill="1"/>
    <xf numFmtId="2" fontId="1" fillId="0" borderId="0" xfId="0" applyNumberFormat="1" applyFont="1"/>
    <xf numFmtId="2" fontId="1" fillId="3" borderId="0" xfId="0" applyNumberFormat="1" applyFont="1" applyFill="1"/>
    <xf numFmtId="2" fontId="1" fillId="0" borderId="0" xfId="0" quotePrefix="1" applyNumberFormat="1" applyFont="1"/>
    <xf numFmtId="2" fontId="0" fillId="2" borderId="0" xfId="0" applyNumberFormat="1" applyFill="1"/>
    <xf numFmtId="2" fontId="1" fillId="2" borderId="0" xfId="0" applyNumberFormat="1" applyFont="1" applyFill="1"/>
    <xf numFmtId="0" fontId="1" fillId="5" borderId="0" xfId="0" applyFont="1" applyFill="1"/>
    <xf numFmtId="0" fontId="0" fillId="5" borderId="0" xfId="0" applyFill="1"/>
    <xf numFmtId="0" fontId="2" fillId="5" borderId="0" xfId="0" applyFont="1" applyFill="1"/>
    <xf numFmtId="2" fontId="0" fillId="5" borderId="0" xfId="0" applyNumberFormat="1" applyFill="1"/>
    <xf numFmtId="0" fontId="0" fillId="6" borderId="0" xfId="0" applyFill="1"/>
    <xf numFmtId="0" fontId="2" fillId="6" borderId="0" xfId="0" applyFont="1" applyFill="1"/>
    <xf numFmtId="0" fontId="0" fillId="7" borderId="0" xfId="0" applyFill="1"/>
    <xf numFmtId="0" fontId="2" fillId="7" borderId="0" xfId="0" applyFont="1" applyFill="1"/>
    <xf numFmtId="46" fontId="6" fillId="8" borderId="0" xfId="0" applyNumberFormat="1" applyFont="1" applyFill="1"/>
    <xf numFmtId="0" fontId="7" fillId="8" borderId="6" xfId="0" applyFont="1" applyFill="1" applyBorder="1" applyAlignment="1">
      <alignment horizontal="right" vertical="center"/>
    </xf>
    <xf numFmtId="0" fontId="7" fillId="8" borderId="6" xfId="0" applyFont="1" applyFill="1" applyBorder="1" applyAlignment="1">
      <alignment horizontal="center" vertical="top" wrapText="1"/>
    </xf>
    <xf numFmtId="166" fontId="7" fillId="8" borderId="0" xfId="0" applyNumberFormat="1" applyFont="1" applyFill="1" applyBorder="1" applyAlignment="1">
      <alignment horizontal="center"/>
    </xf>
    <xf numFmtId="0" fontId="7" fillId="8" borderId="0" xfId="0" applyFont="1" applyFill="1"/>
    <xf numFmtId="0" fontId="7" fillId="8" borderId="6" xfId="0" applyFont="1" applyFill="1" applyBorder="1" applyAlignment="1">
      <alignment horizontal="left" vertical="center"/>
    </xf>
    <xf numFmtId="167" fontId="7" fillId="8" borderId="0" xfId="0" applyNumberFormat="1" applyFont="1" applyFill="1" applyAlignment="1">
      <alignment horizontal="right"/>
    </xf>
    <xf numFmtId="0" fontId="7" fillId="8" borderId="6" xfId="0" applyFont="1" applyFill="1" applyBorder="1" applyAlignment="1">
      <alignment vertical="center"/>
    </xf>
    <xf numFmtId="168" fontId="7" fillId="8" borderId="0" xfId="0" applyNumberFormat="1" applyFont="1" applyFill="1" applyAlignment="1">
      <alignment horizontal="right"/>
    </xf>
    <xf numFmtId="0" fontId="2" fillId="8" borderId="0" xfId="0" applyFont="1" applyFill="1" applyAlignment="1">
      <alignment vertical="center"/>
    </xf>
    <xf numFmtId="0" fontId="2" fillId="8" borderId="0" xfId="0" applyFont="1" applyFill="1"/>
    <xf numFmtId="165" fontId="7" fillId="8" borderId="0" xfId="0" applyNumberFormat="1" applyFont="1" applyFill="1" applyAlignment="1">
      <alignment horizontal="center"/>
    </xf>
    <xf numFmtId="0" fontId="14" fillId="8" borderId="6" xfId="0" applyFont="1" applyFill="1" applyBorder="1" applyAlignment="1">
      <alignment horizontal="left" vertical="center"/>
    </xf>
    <xf numFmtId="20" fontId="7" fillId="8" borderId="6" xfId="0" quotePrefix="1" applyNumberFormat="1" applyFont="1" applyFill="1" applyBorder="1" applyAlignment="1">
      <alignment vertical="center"/>
    </xf>
    <xf numFmtId="169" fontId="7" fillId="8" borderId="0" xfId="0" applyNumberFormat="1" applyFont="1" applyFill="1" applyAlignment="1">
      <alignment horizontal="right"/>
    </xf>
    <xf numFmtId="0" fontId="11" fillId="8" borderId="1" xfId="0" applyFont="1" applyFill="1" applyBorder="1" applyAlignment="1">
      <alignment horizontal="center" vertical="top" wrapText="1"/>
    </xf>
    <xf numFmtId="0" fontId="12" fillId="8" borderId="1" xfId="0" applyFont="1" applyFill="1" applyBorder="1" applyAlignment="1"/>
    <xf numFmtId="0" fontId="1" fillId="0" borderId="11" xfId="0" applyFont="1" applyBorder="1" applyAlignment="1">
      <alignment horizontal="left" vertical="center" wrapText="1"/>
    </xf>
    <xf numFmtId="0" fontId="1" fillId="0" borderId="1" xfId="0" applyFont="1" applyBorder="1" applyAlignment="1">
      <alignment horizontal="left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'1A CT 2013'!$AE$15</c:f>
              <c:strCache>
                <c:ptCount val="1"/>
                <c:pt idx="0">
                  <c:v>13/03/2013</c:v>
                </c:pt>
              </c:strCache>
            </c:strRef>
          </c:tx>
          <c:marker>
            <c:symbol val="none"/>
          </c:marker>
          <c:xVal>
            <c:numRef>
              <c:f>'1A CT 2013'!$AD$16:$AD$22</c:f>
              <c:numCache>
                <c:formatCode>0</c:formatCode>
                <c:ptCount val="7"/>
                <c:pt idx="0">
                  <c:v>120.37466649000001</c:v>
                </c:pt>
                <c:pt idx="1">
                  <c:v>100.04312532</c:v>
                </c:pt>
                <c:pt idx="2">
                  <c:v>60.000146110000003</c:v>
                </c:pt>
                <c:pt idx="3">
                  <c:v>39.984390251999997</c:v>
                </c:pt>
                <c:pt idx="4">
                  <c:v>20.010119388</c:v>
                </c:pt>
                <c:pt idx="5">
                  <c:v>10.089814965000002</c:v>
                </c:pt>
                <c:pt idx="6">
                  <c:v>5.0286700739999999</c:v>
                </c:pt>
              </c:numCache>
            </c:numRef>
          </c:xVal>
          <c:yVal>
            <c:numRef>
              <c:f>'1A CT 2013'!$AE$16:$AE$22</c:f>
              <c:numCache>
                <c:formatCode>0.00</c:formatCode>
                <c:ptCount val="7"/>
                <c:pt idx="0">
                  <c:v>4.5437590617214696E-2</c:v>
                </c:pt>
                <c:pt idx="1">
                  <c:v>6.8800592563964452E-2</c:v>
                </c:pt>
                <c:pt idx="2">
                  <c:v>0.14645881592925342</c:v>
                </c:pt>
                <c:pt idx="3">
                  <c:v>0.19322315662582407</c:v>
                </c:pt>
                <c:pt idx="4">
                  <c:v>0.28382791334855118</c:v>
                </c:pt>
                <c:pt idx="5">
                  <c:v>0.35286189171530441</c:v>
                </c:pt>
                <c:pt idx="6">
                  <c:v>0.39774753068089019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BC-4F72-9F52-18A2313789E1}"/>
            </c:ext>
          </c:extLst>
        </c:ser>
        <c:ser>
          <c:idx val="1"/>
          <c:order val="1"/>
          <c:tx>
            <c:strRef>
              <c:f>'1A CT 2013'!$AF$15</c:f>
              <c:strCache>
                <c:ptCount val="1"/>
                <c:pt idx="0">
                  <c:v>5/06/2002</c:v>
                </c:pt>
              </c:strCache>
            </c:strRef>
          </c:tx>
          <c:marker>
            <c:symbol val="none"/>
          </c:marker>
          <c:xVal>
            <c:numRef>
              <c:f>'1A CT 2013'!$AD$16:$AD$22</c:f>
              <c:numCache>
                <c:formatCode>0</c:formatCode>
                <c:ptCount val="7"/>
                <c:pt idx="0">
                  <c:v>120.37466649000001</c:v>
                </c:pt>
                <c:pt idx="1">
                  <c:v>100.04312532</c:v>
                </c:pt>
                <c:pt idx="2">
                  <c:v>60.000146110000003</c:v>
                </c:pt>
                <c:pt idx="3">
                  <c:v>39.984390251999997</c:v>
                </c:pt>
                <c:pt idx="4">
                  <c:v>20.010119388</c:v>
                </c:pt>
                <c:pt idx="5">
                  <c:v>10.089814965000002</c:v>
                </c:pt>
                <c:pt idx="6">
                  <c:v>5.0286700739999999</c:v>
                </c:pt>
              </c:numCache>
            </c:numRef>
          </c:xVal>
          <c:yVal>
            <c:numRef>
              <c:f>'1A CT 2013'!$AF$16:$AF$22</c:f>
              <c:numCache>
                <c:formatCode>0.00</c:formatCode>
                <c:ptCount val="7"/>
                <c:pt idx="0">
                  <c:v>0.37008506489369392</c:v>
                </c:pt>
                <c:pt idx="1">
                  <c:v>0.32268444716691846</c:v>
                </c:pt>
                <c:pt idx="2">
                  <c:v>0.56939707258086503</c:v>
                </c:pt>
                <c:pt idx="3">
                  <c:v>-0.24502776802116155</c:v>
                </c:pt>
                <c:pt idx="4">
                  <c:v>0.15151180158196181</c:v>
                </c:pt>
                <c:pt idx="5">
                  <c:v>-0.5732006061000724</c:v>
                </c:pt>
                <c:pt idx="6">
                  <c:v>-0.77866940224460313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BC-4F72-9F52-18A231378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9229944"/>
        <c:axId val="1"/>
      </c:scatterChart>
      <c:valAx>
        <c:axId val="6792299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6792299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6458486439195106"/>
          <c:y val="0.39929415397469781"/>
          <c:w val="0.21666710411198598"/>
          <c:h val="0.17667874560662611"/>
        </c:manualLayout>
      </c:layout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523875</xdr:colOff>
      <xdr:row>13</xdr:row>
      <xdr:rowOff>85725</xdr:rowOff>
    </xdr:from>
    <xdr:to>
      <xdr:col>46</xdr:col>
      <xdr:colOff>219075</xdr:colOff>
      <xdr:row>30</xdr:row>
      <xdr:rowOff>28575</xdr:rowOff>
    </xdr:to>
    <xdr:graphicFrame macro="">
      <xdr:nvGraphicFramePr>
        <xdr:cNvPr id="2119" name="Chart 1">
          <a:extLst>
            <a:ext uri="{FF2B5EF4-FFF2-40B4-BE49-F238E27FC236}">
              <a16:creationId xmlns:a16="http://schemas.microsoft.com/office/drawing/2014/main" id="{21FF151E-638B-4945-B307-0A68DF215D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Quality/TECHPROC/E056-CTscale/Supporting%20Information/TwoStageCTs/Ctcal3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2018Te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ummary"/>
      <sheetName val="SR830"/>
      <sheetName val="shunts"/>
      <sheetName val="uncertainties"/>
      <sheetName val="Tables"/>
      <sheetName val="PaperTable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8">
          <cell r="D8">
            <v>0.1</v>
          </cell>
        </row>
      </sheetData>
      <sheetData sheetId="5" refreshError="1"/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(2018)"/>
      <sheetName val="Data(2018)"/>
      <sheetName val="PythonResults"/>
      <sheetName val="Tables"/>
      <sheetName val="Descriptors"/>
    </sheetNames>
    <sheetDataSet>
      <sheetData sheetId="0"/>
      <sheetData sheetId="1"/>
      <sheetData sheetId="2"/>
      <sheetData sheetId="3"/>
      <sheetData sheetId="4">
        <row r="2">
          <cell r="B2" t="str">
            <v>P1as</v>
          </cell>
          <cell r="C2">
            <v>1</v>
          </cell>
          <cell r="D2" t="str">
            <v>5:5</v>
          </cell>
        </row>
        <row r="3">
          <cell r="B3" t="str">
            <v>P1ap</v>
          </cell>
          <cell r="C3">
            <v>4</v>
          </cell>
          <cell r="D3" t="str">
            <v>20:5</v>
          </cell>
        </row>
        <row r="4">
          <cell r="B4" t="str">
            <v>P2ap</v>
          </cell>
          <cell r="C4">
            <v>20</v>
          </cell>
          <cell r="D4" t="str">
            <v>100:5</v>
          </cell>
        </row>
        <row r="5">
          <cell r="B5" t="str">
            <v>P3as</v>
          </cell>
          <cell r="C5">
            <v>20</v>
          </cell>
          <cell r="D5" t="str">
            <v>100:5</v>
          </cell>
        </row>
        <row r="6">
          <cell r="B6" t="str">
            <v>P1bs</v>
          </cell>
          <cell r="C6">
            <v>4</v>
          </cell>
          <cell r="D6" t="str">
            <v>20:5</v>
          </cell>
        </row>
        <row r="7">
          <cell r="B7" t="str">
            <v>P1bp</v>
          </cell>
          <cell r="C7">
            <v>20</v>
          </cell>
          <cell r="D7" t="str">
            <v>100:5</v>
          </cell>
        </row>
        <row r="8">
          <cell r="B8" t="str">
            <v>P2bs</v>
          </cell>
          <cell r="C8">
            <v>20</v>
          </cell>
          <cell r="D8" t="str">
            <v>100:5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U109"/>
  <sheetViews>
    <sheetView workbookViewId="0">
      <selection activeCell="C13" sqref="C13"/>
    </sheetView>
  </sheetViews>
  <sheetFormatPr defaultRowHeight="12.75" x14ac:dyDescent="0.2"/>
  <cols>
    <col min="2" max="2" width="10" customWidth="1"/>
    <col min="3" max="3" width="34.7109375" customWidth="1"/>
    <col min="16" max="16" width="11.140625" customWidth="1"/>
  </cols>
  <sheetData>
    <row r="2" spans="1:21" x14ac:dyDescent="0.2">
      <c r="C2" s="1" t="s">
        <v>33</v>
      </c>
      <c r="E2" s="1" t="s">
        <v>27</v>
      </c>
    </row>
    <row r="3" spans="1:21" x14ac:dyDescent="0.2">
      <c r="A3" s="1" t="s">
        <v>0</v>
      </c>
      <c r="B3" s="1" t="s">
        <v>1</v>
      </c>
      <c r="C3" s="1" t="s">
        <v>2</v>
      </c>
      <c r="D3" s="9" t="s">
        <v>3</v>
      </c>
      <c r="E3" s="10" t="s">
        <v>4</v>
      </c>
      <c r="F3" s="10" t="s">
        <v>5</v>
      </c>
      <c r="G3" s="10" t="s">
        <v>6</v>
      </c>
      <c r="H3" s="10" t="s">
        <v>7</v>
      </c>
      <c r="I3" s="10" t="s">
        <v>8</v>
      </c>
      <c r="J3" s="10" t="s">
        <v>73</v>
      </c>
      <c r="K3" s="10" t="s">
        <v>73</v>
      </c>
      <c r="R3" s="1" t="s">
        <v>9</v>
      </c>
      <c r="S3" s="1" t="s">
        <v>9</v>
      </c>
      <c r="T3" s="1" t="s">
        <v>9</v>
      </c>
    </row>
    <row r="4" spans="1:21" x14ac:dyDescent="0.2">
      <c r="D4" s="9" t="s">
        <v>10</v>
      </c>
      <c r="E4" s="10" t="s">
        <v>11</v>
      </c>
      <c r="F4" s="10" t="s">
        <v>11</v>
      </c>
      <c r="G4" s="10" t="s">
        <v>12</v>
      </c>
      <c r="H4" s="10" t="s">
        <v>11</v>
      </c>
      <c r="I4" s="10" t="s">
        <v>11</v>
      </c>
      <c r="J4" s="10" t="s">
        <v>74</v>
      </c>
      <c r="K4" s="10" t="s">
        <v>75</v>
      </c>
      <c r="L4" s="1" t="s">
        <v>3</v>
      </c>
      <c r="M4" s="1" t="s">
        <v>13</v>
      </c>
      <c r="N4" s="1" t="s">
        <v>14</v>
      </c>
      <c r="O4" s="1" t="s">
        <v>15</v>
      </c>
      <c r="P4" s="1" t="s">
        <v>16</v>
      </c>
      <c r="R4" s="1" t="s">
        <v>4</v>
      </c>
      <c r="S4" s="1" t="s">
        <v>5</v>
      </c>
      <c r="T4" s="1" t="s">
        <v>17</v>
      </c>
    </row>
    <row r="5" spans="1:21" x14ac:dyDescent="0.2">
      <c r="B5" s="40">
        <v>43315</v>
      </c>
      <c r="C5" s="1" t="s">
        <v>24</v>
      </c>
      <c r="J5" s="34"/>
      <c r="K5" s="34"/>
    </row>
    <row r="6" spans="1:21" x14ac:dyDescent="0.2">
      <c r="C6" s="1" t="s">
        <v>96</v>
      </c>
    </row>
    <row r="7" spans="1:21" x14ac:dyDescent="0.2">
      <c r="D7">
        <v>0.19994827511999999</v>
      </c>
      <c r="E7">
        <v>-5.8457090000000002E-6</v>
      </c>
      <c r="F7">
        <v>-9.204087E-6</v>
      </c>
      <c r="G7">
        <v>8.3821426586306402E-8</v>
      </c>
      <c r="H7">
        <v>2.8053161123124899E-8</v>
      </c>
      <c r="I7">
        <v>2.6063339406146699E-8</v>
      </c>
      <c r="J7">
        <v>12</v>
      </c>
      <c r="K7">
        <v>2</v>
      </c>
      <c r="L7">
        <v>0.2</v>
      </c>
      <c r="M7">
        <v>10</v>
      </c>
      <c r="N7" s="4">
        <f>100*D7/(L7)</f>
        <v>99.974137560000003</v>
      </c>
      <c r="O7" s="6">
        <f>1000000*E7*L7/(M7*D7)</f>
        <v>-0.58472212340833318</v>
      </c>
      <c r="P7" s="6">
        <f>1000000*F7*L7/(D7*M7)</f>
        <v>-0.92064680172670843</v>
      </c>
      <c r="Q7" s="6"/>
      <c r="R7" s="6">
        <f>1000000*L7*H7/(M7*D7)</f>
        <v>2.806041823195389E-3</v>
      </c>
      <c r="S7" s="6">
        <f>1000000*L7*I7/(M7*D7)</f>
        <v>2.6070081765401224E-3</v>
      </c>
      <c r="T7" s="8">
        <f>G7*100/D7</f>
        <v>4.1921555230221684E-5</v>
      </c>
      <c r="U7" s="54"/>
    </row>
    <row r="8" spans="1:21" x14ac:dyDescent="0.2">
      <c r="D8">
        <v>0.19987208411999999</v>
      </c>
      <c r="E8">
        <v>-5.8577695E-6</v>
      </c>
      <c r="F8">
        <v>-9.2079519999999993E-6</v>
      </c>
      <c r="G8">
        <v>5.1644708245439598E-8</v>
      </c>
      <c r="H8">
        <v>3.9156615338279698E-8</v>
      </c>
      <c r="I8">
        <v>2.9710202220786001E-8</v>
      </c>
      <c r="J8">
        <v>12</v>
      </c>
      <c r="K8">
        <v>2</v>
      </c>
      <c r="L8">
        <v>0.2</v>
      </c>
      <c r="M8">
        <v>10</v>
      </c>
      <c r="N8" s="4">
        <f>100*D8/(L8)</f>
        <v>99.936042059999977</v>
      </c>
      <c r="O8" s="6">
        <f>1000000*E8*L8/(M8*D8)</f>
        <v>-0.586151840642547</v>
      </c>
      <c r="P8" s="6">
        <f>1000000*F8*L8/(D8*M8)</f>
        <v>-0.92138449854474846</v>
      </c>
      <c r="Q8" s="6"/>
      <c r="R8" s="6">
        <f>1000000*L8*H8/(M8*D8)</f>
        <v>3.9181675130550691E-3</v>
      </c>
      <c r="S8" s="6">
        <f>1000000*L8*I8/(M8*D8)</f>
        <v>2.9729216415183297E-3</v>
      </c>
      <c r="T8" s="8">
        <f>G8*100/D8</f>
        <v>2.5838880138175248E-5</v>
      </c>
      <c r="U8" s="55" t="s">
        <v>97</v>
      </c>
    </row>
    <row r="9" spans="1:21" x14ac:dyDescent="0.2">
      <c r="C9" t="s">
        <v>21</v>
      </c>
      <c r="D9">
        <v>0.19939772510000001</v>
      </c>
      <c r="E9" s="8">
        <v>8.7522624999999998E-4</v>
      </c>
      <c r="F9">
        <v>-4.8001459999999999E-3</v>
      </c>
      <c r="G9" s="8">
        <v>4.6214081230713599E-8</v>
      </c>
      <c r="H9" s="8">
        <v>2.9675796114004401E-7</v>
      </c>
      <c r="I9" s="8">
        <v>8.5697141142624703E-8</v>
      </c>
      <c r="J9" s="34">
        <v>19</v>
      </c>
      <c r="K9" s="34">
        <v>2</v>
      </c>
      <c r="L9">
        <v>0.2</v>
      </c>
      <c r="M9">
        <v>10</v>
      </c>
      <c r="N9" s="4">
        <f>100*D9/(L9)</f>
        <v>99.698862550000001</v>
      </c>
      <c r="O9" s="6">
        <f>1000000*E9*L9/(M9*D9)</f>
        <v>87.786984486514584</v>
      </c>
      <c r="P9" s="6">
        <f>1000000*F9*L9/(D9*M9)</f>
        <v>-481.4644698270933</v>
      </c>
      <c r="Q9" s="6"/>
      <c r="R9" s="6">
        <f>1000000*L9*H9/(M9*D9)</f>
        <v>2.9765430973820475E-2</v>
      </c>
      <c r="S9" s="6">
        <f>1000000*L9*I9/(M9*D9)</f>
        <v>8.5955986809424945E-3</v>
      </c>
      <c r="T9" s="8">
        <f>G9*100/D9</f>
        <v>2.3176834744497093E-5</v>
      </c>
      <c r="U9" s="56"/>
    </row>
    <row r="10" spans="1:21" x14ac:dyDescent="0.2">
      <c r="C10" s="14" t="s">
        <v>99</v>
      </c>
      <c r="D10">
        <v>0.19808809620000001</v>
      </c>
      <c r="E10">
        <v>3.6714544999999997E-4</v>
      </c>
      <c r="F10">
        <v>5.2869600000000001E-6</v>
      </c>
      <c r="G10" s="8">
        <v>2.8798818213739901E-7</v>
      </c>
      <c r="H10" s="8">
        <v>1.0364143717644599E-7</v>
      </c>
      <c r="I10" s="8">
        <v>3.1817693191053402E-8</v>
      </c>
      <c r="J10" s="34">
        <v>16</v>
      </c>
      <c r="K10" s="34">
        <v>2</v>
      </c>
      <c r="L10">
        <v>0.2</v>
      </c>
      <c r="M10">
        <v>10</v>
      </c>
      <c r="N10" s="4">
        <f>100*D10/(L10)</f>
        <v>99.044048099999998</v>
      </c>
      <c r="O10" s="6">
        <f>1000000*E10*L10/(M10*D10)</f>
        <v>37.068905910359291</v>
      </c>
      <c r="P10" s="6">
        <f>1000000*F10*L10/(D10*M10)</f>
        <v>0.53379886034767199</v>
      </c>
      <c r="Q10" s="6"/>
      <c r="R10" s="6">
        <f>1000000*L10*H10/(M10*D10)</f>
        <v>1.0464176208933244E-2</v>
      </c>
      <c r="S10" s="6">
        <f>1000000*L10*I10/(M10*D10)</f>
        <v>3.2124790738489012E-3</v>
      </c>
      <c r="T10" s="8">
        <f>G10*100/D10</f>
        <v>1.453838911383303E-4</v>
      </c>
      <c r="U10" s="56"/>
    </row>
    <row r="11" spans="1:21" x14ac:dyDescent="0.2">
      <c r="C11" t="s">
        <v>77</v>
      </c>
      <c r="D11">
        <v>0.19808276216000001</v>
      </c>
      <c r="E11" s="8">
        <v>-4.8923715000000002E-5</v>
      </c>
      <c r="F11" s="8">
        <v>1.2223555E-3</v>
      </c>
      <c r="G11" s="8">
        <v>3.8488352833164498E-7</v>
      </c>
      <c r="H11" s="8">
        <v>6.9549538280280399E-8</v>
      </c>
      <c r="I11" s="8">
        <v>5.8102043853896796E-7</v>
      </c>
      <c r="J11" s="34">
        <v>18</v>
      </c>
      <c r="K11" s="34">
        <v>2</v>
      </c>
      <c r="L11">
        <v>0.2</v>
      </c>
      <c r="M11">
        <v>10</v>
      </c>
      <c r="N11" s="4">
        <f>100*D11/(L11)</f>
        <v>99.041381079999994</v>
      </c>
      <c r="O11" s="6">
        <f>1000000*E11*L11/(M11*D11)</f>
        <v>-4.939724634946498</v>
      </c>
      <c r="P11" s="6">
        <f>1000000*F11*L11/(D11*M11)</f>
        <v>123.41866467034126</v>
      </c>
      <c r="Q11" s="6"/>
      <c r="R11" s="6">
        <f>1000000*L11*H11/(M11*D11)</f>
        <v>7.0222706430256897E-3</v>
      </c>
      <c r="S11" s="6">
        <f>1000000*L11*I11/(M11*D11)</f>
        <v>5.8664412006699772E-2</v>
      </c>
      <c r="T11" s="8">
        <f>G11*100/D11</f>
        <v>1.94304402934748E-4</v>
      </c>
      <c r="U11" s="57" t="s">
        <v>98</v>
      </c>
    </row>
    <row r="13" spans="1:21" x14ac:dyDescent="0.2">
      <c r="B13" s="40">
        <v>43318</v>
      </c>
      <c r="C13" s="1" t="s">
        <v>24</v>
      </c>
      <c r="J13" s="34"/>
      <c r="K13" s="34"/>
    </row>
    <row r="14" spans="1:21" x14ac:dyDescent="0.2">
      <c r="C14" s="1" t="s">
        <v>96</v>
      </c>
    </row>
    <row r="15" spans="1:21" x14ac:dyDescent="0.2">
      <c r="D15">
        <v>0.202810301</v>
      </c>
      <c r="E15" s="8">
        <v>4.2933320000000001E-6</v>
      </c>
      <c r="F15" s="8">
        <v>3.7848210000000001E-6</v>
      </c>
      <c r="G15" s="8">
        <v>2.1482274563050701E-8</v>
      </c>
      <c r="H15" s="8">
        <v>4.22101347545824E-8</v>
      </c>
      <c r="I15" s="8">
        <v>3.7883845620528102E-8</v>
      </c>
      <c r="J15">
        <v>10</v>
      </c>
      <c r="K15">
        <v>2</v>
      </c>
      <c r="L15">
        <v>0.2</v>
      </c>
      <c r="M15">
        <v>10</v>
      </c>
      <c r="N15" s="4">
        <f>100*D15/(L15)</f>
        <v>101.40515049999999</v>
      </c>
      <c r="O15" s="6">
        <f>1000000*E15*L15/(M15*D15)</f>
        <v>0.42338401736310233</v>
      </c>
      <c r="P15" s="6">
        <f>1000000*F15*L15/(D15*M15)</f>
        <v>0.37323755069028769</v>
      </c>
      <c r="Q15" s="6"/>
      <c r="R15" s="6">
        <f>1000000*L15*H15/(M15*D15)</f>
        <v>4.1625237521423913E-3</v>
      </c>
      <c r="S15" s="6">
        <f>1000000*L15*I15/(M15*D15)</f>
        <v>3.735889689402719E-3</v>
      </c>
      <c r="T15" s="8">
        <f>G15*100/D15</f>
        <v>1.0592299531694251E-5</v>
      </c>
    </row>
    <row r="16" spans="1:21" x14ac:dyDescent="0.2">
      <c r="C16" t="s">
        <v>21</v>
      </c>
      <c r="D16" s="8">
        <v>0.20277461204</v>
      </c>
      <c r="E16" s="8">
        <v>-8.2677949999999999E-4</v>
      </c>
      <c r="F16">
        <v>4.2893599999999999E-3</v>
      </c>
      <c r="G16" s="8">
        <v>4.3223282210367402E-8</v>
      </c>
      <c r="H16" s="8">
        <v>1.03057023050328E-7</v>
      </c>
      <c r="I16" s="8">
        <v>1.6757088052521001E-7</v>
      </c>
      <c r="J16">
        <v>19</v>
      </c>
      <c r="K16">
        <v>2</v>
      </c>
      <c r="L16">
        <v>0.2</v>
      </c>
      <c r="M16">
        <v>10</v>
      </c>
      <c r="N16" s="4">
        <f>100*D16/(L16)</f>
        <v>101.38730601999998</v>
      </c>
      <c r="O16" s="6">
        <f>1000000*E16*L16/(M16*D16)</f>
        <v>-81.546648437123565</v>
      </c>
      <c r="P16" s="6">
        <f>1000000*F16*L16/(D16*M16)</f>
        <v>423.06676924169057</v>
      </c>
      <c r="Q16" s="6"/>
      <c r="R16" s="6">
        <f>1000000*L16*H16/(M16*D16)</f>
        <v>1.0164686990499446E-2</v>
      </c>
      <c r="S16" s="6">
        <f>1000000*L16*I16/(M16*D16)</f>
        <v>1.6527796930727642E-2</v>
      </c>
      <c r="T16" s="8">
        <f>G16*100/D16</f>
        <v>2.1315924008199326E-5</v>
      </c>
    </row>
    <row r="17" spans="3:20" x14ac:dyDescent="0.2">
      <c r="C17" s="14" t="s">
        <v>99</v>
      </c>
      <c r="D17" s="8">
        <v>0.20241156862000001</v>
      </c>
      <c r="E17" s="8">
        <v>-1.194257E-3</v>
      </c>
      <c r="F17">
        <v>4.3000299999999998E-3</v>
      </c>
      <c r="G17" s="8">
        <v>9.3939698710199204E-8</v>
      </c>
      <c r="H17" s="8">
        <v>3.6364955657886299E-7</v>
      </c>
      <c r="I17" s="8">
        <v>3.3514176105059201E-7</v>
      </c>
      <c r="J17">
        <v>19</v>
      </c>
      <c r="K17">
        <v>2</v>
      </c>
      <c r="L17">
        <v>0.2</v>
      </c>
      <c r="M17">
        <v>10</v>
      </c>
      <c r="N17" s="4">
        <f>100*D17/(L17)</f>
        <v>101.20578431</v>
      </c>
      <c r="O17" s="6">
        <f>1000000*E17*L17/(M17*D17)</f>
        <v>-118.00284026670965</v>
      </c>
      <c r="P17" s="6">
        <f>1000000*F17*L17/(D17*M17)</f>
        <v>424.87986524848463</v>
      </c>
      <c r="Q17" s="6"/>
      <c r="R17" s="6">
        <f>1000000*L17*H17/(M17*D17)</f>
        <v>3.5931696894416665E-2</v>
      </c>
      <c r="S17" s="6">
        <f>1000000*L17*I17/(M17*D17)</f>
        <v>3.311488205298925E-2</v>
      </c>
      <c r="T17" s="8">
        <f>G17*100/D17</f>
        <v>4.6410241939559354E-5</v>
      </c>
    </row>
    <row r="18" spans="3:20" x14ac:dyDescent="0.2">
      <c r="C18" t="s">
        <v>77</v>
      </c>
      <c r="D18" s="8">
        <v>0.20226592071999999</v>
      </c>
      <c r="E18" s="8">
        <v>-7.8341144999999996E-4</v>
      </c>
      <c r="F18">
        <v>3.1288179999999998E-3</v>
      </c>
      <c r="G18" s="8">
        <v>2.4025345534538497E-7</v>
      </c>
      <c r="H18" s="8">
        <v>2.6429348743395201E-7</v>
      </c>
      <c r="I18" s="8">
        <v>6.1366603295286195E-7</v>
      </c>
      <c r="J18">
        <v>19</v>
      </c>
      <c r="K18">
        <v>2</v>
      </c>
      <c r="L18">
        <v>0.2</v>
      </c>
      <c r="M18">
        <v>10</v>
      </c>
      <c r="N18" s="4">
        <f>100*D18/(L18)</f>
        <v>101.13296035999998</v>
      </c>
      <c r="O18" s="6">
        <f>1000000*E18*L18/(M18*D18)</f>
        <v>-77.463514091876036</v>
      </c>
      <c r="P18" s="6">
        <f>1000000*F18*L18/(D18*M18)</f>
        <v>309.37668479815477</v>
      </c>
      <c r="Q18" s="6"/>
      <c r="R18" s="6">
        <f>1000000*L18*H18/(M18*D18)</f>
        <v>2.6133269163006241E-2</v>
      </c>
      <c r="S18" s="6">
        <f>1000000*L18*I18/(M18*D18)</f>
        <v>6.0679132774163168E-2</v>
      </c>
      <c r="T18" s="8">
        <f>G18*100/D18</f>
        <v>1.1878098618401058E-4</v>
      </c>
    </row>
    <row r="19" spans="3:20" x14ac:dyDescent="0.2">
      <c r="D19" s="8">
        <v>0.20188527589999999</v>
      </c>
      <c r="E19" s="8">
        <v>4.3435080000000002E-6</v>
      </c>
      <c r="F19" s="8">
        <v>3.7301955000000001E-6</v>
      </c>
      <c r="G19" s="8">
        <v>1.11715401174573E-7</v>
      </c>
      <c r="H19" s="8">
        <v>5.5651011365472998E-8</v>
      </c>
      <c r="I19" s="8">
        <v>5.0367632510869499E-8</v>
      </c>
      <c r="J19">
        <v>11</v>
      </c>
      <c r="K19">
        <v>2</v>
      </c>
      <c r="L19">
        <v>0.2</v>
      </c>
      <c r="M19">
        <v>10</v>
      </c>
      <c r="N19" s="4">
        <f>100*D19/(L19)</f>
        <v>100.94263794999999</v>
      </c>
      <c r="O19" s="6">
        <f>1000000*E19*L19/(M19*D19)</f>
        <v>0.43029467905836516</v>
      </c>
      <c r="P19" s="6">
        <f>1000000*F19*L19/(D19*M19)</f>
        <v>0.36953616189896693</v>
      </c>
      <c r="Q19" s="6"/>
      <c r="R19" s="6">
        <f>1000000*L19*H19/(M19*D19)</f>
        <v>5.5131322596342945E-3</v>
      </c>
      <c r="S19" s="6">
        <f>1000000*L19*I19/(M19*D19)</f>
        <v>4.9897281796635962E-3</v>
      </c>
      <c r="T19" s="8">
        <f>G19*100/D19</f>
        <v>5.5336081681315425E-5</v>
      </c>
    </row>
    <row r="20" spans="3:20" x14ac:dyDescent="0.2">
      <c r="E20" s="8"/>
      <c r="F20" s="8"/>
      <c r="G20" s="8"/>
      <c r="H20" s="8"/>
      <c r="I20" s="8"/>
      <c r="N20" s="4"/>
      <c r="O20" s="6"/>
      <c r="P20" s="6"/>
      <c r="Q20" s="6"/>
      <c r="R20" s="6"/>
      <c r="S20" s="6"/>
      <c r="T20" s="8"/>
    </row>
    <row r="21" spans="3:20" x14ac:dyDescent="0.2">
      <c r="C21" s="1" t="s">
        <v>96</v>
      </c>
    </row>
    <row r="22" spans="3:20" x14ac:dyDescent="0.2">
      <c r="D22">
        <v>0.25068441945999997</v>
      </c>
      <c r="E22">
        <v>5.3811635000000004E-6</v>
      </c>
      <c r="F22">
        <v>4.7573644999999999E-6</v>
      </c>
      <c r="G22">
        <v>2.5209272213337699E-7</v>
      </c>
      <c r="H22">
        <v>3.48604811032493E-8</v>
      </c>
      <c r="I22">
        <v>3.0266267605207003E-8</v>
      </c>
      <c r="J22">
        <v>11</v>
      </c>
      <c r="K22">
        <v>2</v>
      </c>
      <c r="L22">
        <v>0.2</v>
      </c>
      <c r="M22">
        <v>10</v>
      </c>
      <c r="N22" s="4">
        <f t="shared" ref="N22:N44" si="0">100*D22/(L22)</f>
        <v>125.34220972999998</v>
      </c>
      <c r="O22" s="6">
        <f t="shared" ref="O22:O44" si="1">1000000*E22*L22/(M22*D22)</f>
        <v>0.42931774631958219</v>
      </c>
      <c r="P22" s="6">
        <f t="shared" ref="P22:P44" si="2">1000000*F22*L22/(D22*M22)</f>
        <v>0.37955007417276687</v>
      </c>
      <c r="Q22" s="6"/>
      <c r="R22" s="6">
        <f t="shared" ref="R22:R44" si="3">1000000*L22*H22/(M22*D22)</f>
        <v>2.7812243918742428E-3</v>
      </c>
      <c r="S22" s="6">
        <f t="shared" ref="S22:S44" si="4">1000000*L22*I22/(M22*D22)</f>
        <v>2.4146907630241765E-3</v>
      </c>
      <c r="T22" s="8">
        <f t="shared" ref="T22:T44" si="5">G22*100/D22</f>
        <v>1.0056178308823925E-4</v>
      </c>
    </row>
    <row r="23" spans="3:20" x14ac:dyDescent="0.2">
      <c r="D23">
        <v>0.23994566253999999</v>
      </c>
      <c r="E23">
        <v>5.1894050000000002E-6</v>
      </c>
      <c r="F23">
        <v>4.5540095000000001E-6</v>
      </c>
      <c r="G23">
        <v>4.8451210942905902E-8</v>
      </c>
      <c r="H23">
        <v>3.77300574476106E-8</v>
      </c>
      <c r="I23">
        <v>3.3869597499084603E-8</v>
      </c>
      <c r="J23">
        <v>11</v>
      </c>
      <c r="K23">
        <v>2</v>
      </c>
      <c r="L23">
        <v>0.2</v>
      </c>
      <c r="M23">
        <v>10</v>
      </c>
      <c r="N23" s="4">
        <f t="shared" si="0"/>
        <v>119.97283126999999</v>
      </c>
      <c r="O23" s="6">
        <f t="shared" si="1"/>
        <v>0.43254834824404492</v>
      </c>
      <c r="P23" s="6">
        <f t="shared" si="2"/>
        <v>0.37958673241203739</v>
      </c>
      <c r="Q23" s="6"/>
      <c r="R23" s="6">
        <f t="shared" si="3"/>
        <v>3.1448834747176005E-3</v>
      </c>
      <c r="S23" s="6">
        <f t="shared" si="4"/>
        <v>2.8231056265447924E-3</v>
      </c>
      <c r="T23" s="8">
        <f t="shared" si="5"/>
        <v>2.0192576281652463E-5</v>
      </c>
    </row>
    <row r="24" spans="3:20" x14ac:dyDescent="0.2">
      <c r="D24">
        <v>0.20039037638000001</v>
      </c>
      <c r="E24">
        <v>4.3176629999999998E-6</v>
      </c>
      <c r="F24">
        <v>3.7762045000000002E-6</v>
      </c>
      <c r="G24">
        <v>1.3075199021868799E-7</v>
      </c>
      <c r="H24">
        <v>2.5550655197078601E-8</v>
      </c>
      <c r="I24">
        <v>3.8834355855994297E-8</v>
      </c>
      <c r="J24">
        <v>11</v>
      </c>
      <c r="K24">
        <v>2</v>
      </c>
      <c r="L24">
        <v>0.2</v>
      </c>
      <c r="M24">
        <v>10</v>
      </c>
      <c r="N24" s="4">
        <f t="shared" si="0"/>
        <v>100.19518819</v>
      </c>
      <c r="O24" s="6">
        <f t="shared" si="1"/>
        <v>0.4309251849312784</v>
      </c>
      <c r="P24" s="6">
        <f t="shared" si="2"/>
        <v>0.37688481535053237</v>
      </c>
      <c r="Q24" s="6"/>
      <c r="R24" s="6">
        <f t="shared" si="3"/>
        <v>2.5500880490016073E-3</v>
      </c>
      <c r="S24" s="6">
        <f t="shared" si="4"/>
        <v>3.8758703444273946E-3</v>
      </c>
      <c r="T24" s="8">
        <f t="shared" si="5"/>
        <v>6.5248637474857158E-5</v>
      </c>
    </row>
    <row r="25" spans="3:20" x14ac:dyDescent="0.2">
      <c r="D25">
        <v>0.11999517234</v>
      </c>
      <c r="E25">
        <v>2.4905804999999999E-6</v>
      </c>
      <c r="F25">
        <v>2.2472264999999998E-6</v>
      </c>
      <c r="G25">
        <v>1.28975400998164E-7</v>
      </c>
      <c r="H25">
        <v>8.1942575897697999E-8</v>
      </c>
      <c r="I25">
        <v>5.9001540426924398E-8</v>
      </c>
      <c r="J25">
        <v>10</v>
      </c>
      <c r="K25">
        <v>2</v>
      </c>
      <c r="L25">
        <v>0.2</v>
      </c>
      <c r="M25">
        <v>10</v>
      </c>
      <c r="N25" s="4">
        <f t="shared" si="0"/>
        <v>59.997586169999991</v>
      </c>
      <c r="O25" s="6">
        <f t="shared" si="1"/>
        <v>0.41511345022165924</v>
      </c>
      <c r="P25" s="6">
        <f t="shared" si="2"/>
        <v>0.37455281844716259</v>
      </c>
      <c r="Q25" s="6"/>
      <c r="R25" s="6">
        <f t="shared" si="3"/>
        <v>1.3657645436854417E-2</v>
      </c>
      <c r="S25" s="6">
        <f t="shared" si="4"/>
        <v>9.8339856973156635E-3</v>
      </c>
      <c r="T25" s="8">
        <f t="shared" si="5"/>
        <v>1.0748382495982338E-4</v>
      </c>
    </row>
    <row r="26" spans="3:20" x14ac:dyDescent="0.2">
      <c r="D26">
        <v>8.0135004349999997E-2</v>
      </c>
      <c r="E26">
        <v>1.6402634999999999E-6</v>
      </c>
      <c r="F26">
        <v>1.507049E-6</v>
      </c>
      <c r="G26">
        <v>8.0351082442611107E-8</v>
      </c>
      <c r="H26">
        <v>7.1316756675763101E-8</v>
      </c>
      <c r="I26">
        <v>8.7580267977438894E-8</v>
      </c>
      <c r="J26">
        <v>10</v>
      </c>
      <c r="K26">
        <v>2</v>
      </c>
      <c r="L26">
        <v>0.2</v>
      </c>
      <c r="M26">
        <v>10</v>
      </c>
      <c r="N26" s="4">
        <f t="shared" si="0"/>
        <v>40.067502174999994</v>
      </c>
      <c r="O26" s="6">
        <f t="shared" si="1"/>
        <v>0.40937503237310302</v>
      </c>
      <c r="P26" s="6">
        <f t="shared" si="2"/>
        <v>0.37612751436757125</v>
      </c>
      <c r="Q26" s="6"/>
      <c r="R26" s="6">
        <f t="shared" si="3"/>
        <v>1.7799152131889314E-2</v>
      </c>
      <c r="S26" s="6">
        <f t="shared" si="4"/>
        <v>2.1858180126857106E-2</v>
      </c>
      <c r="T26" s="8">
        <f t="shared" si="5"/>
        <v>1.0026964257924959E-4</v>
      </c>
    </row>
    <row r="27" spans="3:20" x14ac:dyDescent="0.2">
      <c r="D27">
        <v>4.0114872019999998E-2</v>
      </c>
      <c r="E27">
        <v>7.8453235E-7</v>
      </c>
      <c r="F27">
        <v>8.4147674999999995E-7</v>
      </c>
      <c r="G27">
        <v>3.40197256597513E-8</v>
      </c>
      <c r="H27">
        <v>9.3730820707105198E-8</v>
      </c>
      <c r="I27">
        <v>5.6982295087926201E-8</v>
      </c>
      <c r="J27">
        <v>9</v>
      </c>
      <c r="K27">
        <v>2</v>
      </c>
      <c r="L27">
        <v>0.2</v>
      </c>
      <c r="M27">
        <v>10</v>
      </c>
      <c r="N27" s="4">
        <f t="shared" si="0"/>
        <v>20.057436009999996</v>
      </c>
      <c r="O27" s="6">
        <f t="shared" si="1"/>
        <v>0.39114289065105695</v>
      </c>
      <c r="P27" s="6">
        <f t="shared" si="2"/>
        <v>0.4195335583174572</v>
      </c>
      <c r="Q27" s="6"/>
      <c r="R27" s="6">
        <f t="shared" si="3"/>
        <v>4.6731207648063294E-2</v>
      </c>
      <c r="S27" s="6">
        <f t="shared" si="4"/>
        <v>2.8409560952614602E-2</v>
      </c>
      <c r="T27" s="8">
        <f t="shared" si="5"/>
        <v>8.4805768899848778E-5</v>
      </c>
    </row>
    <row r="28" spans="3:20" x14ac:dyDescent="0.2">
      <c r="D28">
        <v>2.0079960404000001E-2</v>
      </c>
      <c r="E28">
        <v>3.9371264999999997E-7</v>
      </c>
      <c r="F28">
        <v>3.8049949999999999E-7</v>
      </c>
      <c r="G28">
        <v>1.5956671008260199E-7</v>
      </c>
      <c r="H28">
        <v>3.4261072865972797E-8</v>
      </c>
      <c r="I28">
        <v>1.8828165084521601E-8</v>
      </c>
      <c r="J28">
        <v>9</v>
      </c>
      <c r="K28">
        <v>2</v>
      </c>
      <c r="L28">
        <v>0.2</v>
      </c>
      <c r="M28">
        <v>10</v>
      </c>
      <c r="N28" s="4">
        <f t="shared" si="0"/>
        <v>10.039980202000001</v>
      </c>
      <c r="O28" s="6">
        <f t="shared" si="1"/>
        <v>0.39214484698044627</v>
      </c>
      <c r="P28" s="6">
        <f t="shared" si="2"/>
        <v>0.37898431306089936</v>
      </c>
      <c r="Q28" s="6"/>
      <c r="R28" s="6">
        <f t="shared" si="3"/>
        <v>3.4124641858504723E-2</v>
      </c>
      <c r="S28" s="6">
        <f t="shared" si="4"/>
        <v>1.8753189454269004E-2</v>
      </c>
      <c r="T28" s="8">
        <f t="shared" si="5"/>
        <v>7.9465649768321108E-4</v>
      </c>
    </row>
    <row r="29" spans="3:20" x14ac:dyDescent="0.2">
      <c r="D29">
        <v>1.0087645106E-2</v>
      </c>
      <c r="E29">
        <v>1.9719980000000001E-7</v>
      </c>
      <c r="F29">
        <v>1.6363134999999999E-7</v>
      </c>
      <c r="G29">
        <v>3.7990943080297603E-8</v>
      </c>
      <c r="H29">
        <v>2.2518609636476199E-8</v>
      </c>
      <c r="I29">
        <v>2.5155357891063699E-8</v>
      </c>
      <c r="J29">
        <v>8</v>
      </c>
      <c r="K29">
        <v>2</v>
      </c>
      <c r="L29">
        <v>0.2</v>
      </c>
      <c r="M29">
        <v>10</v>
      </c>
      <c r="N29" s="4">
        <f t="shared" si="0"/>
        <v>5.043822553</v>
      </c>
      <c r="O29" s="6">
        <f t="shared" si="1"/>
        <v>0.39097291375309812</v>
      </c>
      <c r="P29" s="6">
        <f t="shared" si="2"/>
        <v>0.32441932340120527</v>
      </c>
      <c r="Q29" s="6"/>
      <c r="R29" s="6">
        <f t="shared" si="3"/>
        <v>4.4645919637046762E-2</v>
      </c>
      <c r="S29" s="6">
        <f t="shared" si="4"/>
        <v>4.9873598102894441E-2</v>
      </c>
      <c r="T29" s="8">
        <f t="shared" si="5"/>
        <v>3.7660864038229386E-4</v>
      </c>
    </row>
    <row r="30" spans="3:20" x14ac:dyDescent="0.2">
      <c r="D30">
        <v>1.0098126581999999E-2</v>
      </c>
      <c r="E30">
        <v>2.1973660000000001E-7</v>
      </c>
      <c r="F30">
        <v>2.0981365E-7</v>
      </c>
      <c r="G30">
        <v>8.7730407022749504E-8</v>
      </c>
      <c r="H30">
        <v>3.85646814512969E-8</v>
      </c>
      <c r="I30">
        <v>2.82641365908725E-8</v>
      </c>
      <c r="J30">
        <v>7</v>
      </c>
      <c r="K30">
        <v>2</v>
      </c>
      <c r="L30">
        <v>0.2</v>
      </c>
      <c r="M30">
        <v>10</v>
      </c>
      <c r="N30" s="4">
        <f t="shared" si="0"/>
        <v>5.0490632909999995</v>
      </c>
      <c r="O30" s="6">
        <f t="shared" si="1"/>
        <v>0.43520270461192767</v>
      </c>
      <c r="P30" s="6">
        <f t="shared" si="2"/>
        <v>0.41554965328716459</v>
      </c>
      <c r="Q30" s="6"/>
      <c r="R30" s="6">
        <f t="shared" si="3"/>
        <v>7.637987331241973E-2</v>
      </c>
      <c r="S30" s="6">
        <f t="shared" si="4"/>
        <v>5.5978970676112481E-2</v>
      </c>
      <c r="T30" s="8">
        <f t="shared" si="5"/>
        <v>8.6877903847164815E-4</v>
      </c>
    </row>
    <row r="31" spans="3:20" x14ac:dyDescent="0.2">
      <c r="D31">
        <v>1.0100662932E-2</v>
      </c>
      <c r="E31">
        <v>2.0817909999999999E-7</v>
      </c>
      <c r="F31">
        <v>1.9946839999999999E-7</v>
      </c>
      <c r="G31">
        <v>9.1978041773489399E-8</v>
      </c>
      <c r="H31">
        <v>2.4319006363130899E-8</v>
      </c>
      <c r="I31">
        <v>1.9899329615341299E-8</v>
      </c>
      <c r="J31">
        <v>7</v>
      </c>
      <c r="K31">
        <v>2</v>
      </c>
      <c r="L31">
        <v>0.2</v>
      </c>
      <c r="M31">
        <v>10</v>
      </c>
      <c r="N31" s="4">
        <f t="shared" si="0"/>
        <v>5.0503314659999994</v>
      </c>
      <c r="O31" s="6">
        <f t="shared" si="1"/>
        <v>0.4122087855054859</v>
      </c>
      <c r="P31" s="6">
        <f t="shared" si="2"/>
        <v>0.3949610067039509</v>
      </c>
      <c r="Q31" s="6"/>
      <c r="R31" s="6">
        <f t="shared" si="3"/>
        <v>4.815328761458941E-2</v>
      </c>
      <c r="S31" s="6">
        <f t="shared" si="4"/>
        <v>3.9402026875479737E-2</v>
      </c>
      <c r="T31" s="8">
        <f t="shared" si="5"/>
        <v>9.1061391111362541E-4</v>
      </c>
    </row>
    <row r="32" spans="3:20" x14ac:dyDescent="0.2">
      <c r="D32">
        <v>1.010271297E-2</v>
      </c>
      <c r="E32">
        <v>1.8994860000000001E-7</v>
      </c>
      <c r="F32">
        <v>1.8117665000000001E-7</v>
      </c>
      <c r="G32">
        <v>3.81462938942713E-8</v>
      </c>
      <c r="H32">
        <v>3.14788466917071E-8</v>
      </c>
      <c r="I32">
        <v>2.6843383878108601E-8</v>
      </c>
      <c r="J32">
        <v>7</v>
      </c>
      <c r="K32">
        <v>2</v>
      </c>
      <c r="L32">
        <v>0.2</v>
      </c>
      <c r="M32">
        <v>10</v>
      </c>
      <c r="N32" s="4">
        <f t="shared" si="0"/>
        <v>5.0513564850000003</v>
      </c>
      <c r="O32" s="6">
        <f t="shared" si="1"/>
        <v>0.37603483453217423</v>
      </c>
      <c r="P32" s="6">
        <f t="shared" si="2"/>
        <v>0.35866930108378609</v>
      </c>
      <c r="Q32" s="6"/>
      <c r="R32" s="6">
        <f t="shared" si="3"/>
        <v>6.2317610695629015E-2</v>
      </c>
      <c r="S32" s="6">
        <f t="shared" si="4"/>
        <v>5.3140941364601797E-2</v>
      </c>
      <c r="T32" s="8">
        <f t="shared" si="5"/>
        <v>3.7758465481051173E-4</v>
      </c>
    </row>
    <row r="33" spans="3:20" x14ac:dyDescent="0.2">
      <c r="D33">
        <v>1.0085357321999999E-2</v>
      </c>
      <c r="E33">
        <v>2.1029804999999999E-7</v>
      </c>
      <c r="F33">
        <v>1.8738445E-7</v>
      </c>
      <c r="G33">
        <v>3.0839052456803001E-8</v>
      </c>
      <c r="H33">
        <v>1.60047166531463E-8</v>
      </c>
      <c r="I33">
        <v>2.23882663341202E-8</v>
      </c>
      <c r="J33">
        <v>7</v>
      </c>
      <c r="K33">
        <v>2</v>
      </c>
      <c r="L33">
        <v>0.2</v>
      </c>
      <c r="M33">
        <v>10</v>
      </c>
      <c r="N33" s="4">
        <f t="shared" si="0"/>
        <v>5.0426786609999992</v>
      </c>
      <c r="O33" s="6">
        <f t="shared" si="1"/>
        <v>0.41703638906528373</v>
      </c>
      <c r="P33" s="6">
        <f t="shared" si="2"/>
        <v>0.37159704711947744</v>
      </c>
      <c r="Q33" s="6"/>
      <c r="R33" s="6">
        <f t="shared" si="3"/>
        <v>3.1738521783921184E-2</v>
      </c>
      <c r="S33" s="6">
        <f t="shared" si="4"/>
        <v>4.4397566926623173E-2</v>
      </c>
      <c r="T33" s="8">
        <f t="shared" si="5"/>
        <v>3.0578046441181913E-4</v>
      </c>
    </row>
    <row r="34" spans="3:20" x14ac:dyDescent="0.2">
      <c r="D34">
        <v>1.0104507069999999E-2</v>
      </c>
      <c r="E34">
        <v>2.1065165E-7</v>
      </c>
      <c r="F34">
        <v>2.00167E-7</v>
      </c>
      <c r="G34">
        <v>1.17370640352264E-7</v>
      </c>
      <c r="H34">
        <v>3.87823486437774E-8</v>
      </c>
      <c r="I34">
        <v>3.84953353810562E-8</v>
      </c>
      <c r="J34">
        <v>7</v>
      </c>
      <c r="K34">
        <v>2</v>
      </c>
      <c r="L34">
        <v>0.2</v>
      </c>
      <c r="M34">
        <v>10</v>
      </c>
      <c r="N34" s="4">
        <f t="shared" si="0"/>
        <v>5.0522535349999993</v>
      </c>
      <c r="O34" s="6">
        <f t="shared" si="1"/>
        <v>0.41694592035156053</v>
      </c>
      <c r="P34" s="6">
        <f t="shared" si="2"/>
        <v>0.39619349783878177</v>
      </c>
      <c r="Q34" s="6"/>
      <c r="R34" s="6">
        <f t="shared" si="3"/>
        <v>7.6762475151155307E-2</v>
      </c>
      <c r="S34" s="6">
        <f t="shared" si="4"/>
        <v>7.6194385563542799E-2</v>
      </c>
      <c r="T34" s="8">
        <f t="shared" si="5"/>
        <v>1.1615672050023518E-3</v>
      </c>
    </row>
    <row r="35" spans="3:20" x14ac:dyDescent="0.2">
      <c r="D35">
        <v>6.9281219360000004E-3</v>
      </c>
      <c r="E35">
        <v>1.5214097999999999E-7</v>
      </c>
      <c r="F35">
        <v>1.34889705E-7</v>
      </c>
      <c r="G35">
        <v>9.7596550470292299E-8</v>
      </c>
      <c r="H35">
        <v>4.9572930960521202E-8</v>
      </c>
      <c r="I35">
        <v>3.6316304958977798E-8</v>
      </c>
      <c r="J35">
        <v>7</v>
      </c>
      <c r="K35">
        <v>2</v>
      </c>
      <c r="L35">
        <v>0.2</v>
      </c>
      <c r="M35">
        <v>10</v>
      </c>
      <c r="N35" s="4">
        <f t="shared" si="0"/>
        <v>3.4640609680000001</v>
      </c>
      <c r="O35" s="6">
        <f t="shared" si="1"/>
        <v>0.43919833226214733</v>
      </c>
      <c r="P35" s="6">
        <f t="shared" si="2"/>
        <v>0.38939760658392658</v>
      </c>
      <c r="Q35" s="6"/>
      <c r="R35" s="6">
        <f t="shared" si="3"/>
        <v>0.14310640435737618</v>
      </c>
      <c r="S35" s="6">
        <f t="shared" si="4"/>
        <v>0.10483737236283479</v>
      </c>
      <c r="T35" s="8">
        <f t="shared" si="5"/>
        <v>1.4087013965958046E-3</v>
      </c>
    </row>
    <row r="36" spans="3:20" x14ac:dyDescent="0.2">
      <c r="D36">
        <v>6.9383399318E-3</v>
      </c>
      <c r="E36">
        <v>9.42429985E-8</v>
      </c>
      <c r="F36">
        <v>1.68814935E-7</v>
      </c>
      <c r="G36">
        <v>2.0205214886257101E-8</v>
      </c>
      <c r="H36">
        <v>6.7833855843339302E-8</v>
      </c>
      <c r="I36">
        <v>7.67034992440845E-8</v>
      </c>
      <c r="J36">
        <v>7</v>
      </c>
      <c r="K36">
        <v>2</v>
      </c>
      <c r="L36">
        <v>0.2</v>
      </c>
      <c r="M36">
        <v>10</v>
      </c>
      <c r="N36" s="4">
        <f t="shared" si="0"/>
        <v>3.4691699658999995</v>
      </c>
      <c r="O36" s="6">
        <f t="shared" si="1"/>
        <v>0.271658637156311</v>
      </c>
      <c r="P36" s="6">
        <f t="shared" si="2"/>
        <v>0.48661477142762211</v>
      </c>
      <c r="Q36" s="6"/>
      <c r="R36" s="6">
        <f t="shared" si="3"/>
        <v>0.19553338841886722</v>
      </c>
      <c r="S36" s="6">
        <f t="shared" si="4"/>
        <v>0.22110043612171495</v>
      </c>
      <c r="T36" s="8">
        <f t="shared" si="5"/>
        <v>2.9121108341279126E-4</v>
      </c>
    </row>
    <row r="37" spans="3:20" x14ac:dyDescent="0.2">
      <c r="D37">
        <v>6.9396775208000003E-3</v>
      </c>
      <c r="E37">
        <v>4.3527870000000003E-8</v>
      </c>
      <c r="F37">
        <v>1.6533543500000001E-7</v>
      </c>
      <c r="G37">
        <v>2.62879666368131E-8</v>
      </c>
      <c r="H37">
        <v>5.2777766268475903E-8</v>
      </c>
      <c r="I37">
        <v>4.6058388538389797E-8</v>
      </c>
      <c r="J37">
        <v>7</v>
      </c>
      <c r="K37">
        <v>2</v>
      </c>
      <c r="L37">
        <v>0.2</v>
      </c>
      <c r="M37">
        <v>10</v>
      </c>
      <c r="N37" s="4">
        <f t="shared" si="0"/>
        <v>3.4698387604000001</v>
      </c>
      <c r="O37" s="6">
        <f t="shared" si="1"/>
        <v>0.12544637663504038</v>
      </c>
      <c r="P37" s="6">
        <f t="shared" si="2"/>
        <v>0.47649313532061727</v>
      </c>
      <c r="Q37" s="6"/>
      <c r="R37" s="6">
        <f t="shared" si="3"/>
        <v>0.15210437692612472</v>
      </c>
      <c r="S37" s="6">
        <f t="shared" si="4"/>
        <v>0.13273927614169664</v>
      </c>
      <c r="T37" s="8">
        <f t="shared" si="5"/>
        <v>3.7880674653860061E-4</v>
      </c>
    </row>
    <row r="38" spans="3:20" x14ac:dyDescent="0.2">
      <c r="D38">
        <v>6.9282119564000001E-3</v>
      </c>
      <c r="E38">
        <v>1.3871264499999999E-7</v>
      </c>
      <c r="F38">
        <v>1.1235890500000001E-7</v>
      </c>
      <c r="G38">
        <v>2.6817261293259501E-8</v>
      </c>
      <c r="H38">
        <v>2.35600763325689E-8</v>
      </c>
      <c r="I38">
        <v>3.8068271534802803E-8</v>
      </c>
      <c r="J38">
        <v>7</v>
      </c>
      <c r="K38">
        <v>2</v>
      </c>
      <c r="L38">
        <v>0.2</v>
      </c>
      <c r="M38">
        <v>10</v>
      </c>
      <c r="N38" s="4">
        <f t="shared" si="0"/>
        <v>3.4641059781999997</v>
      </c>
      <c r="O38" s="6">
        <f t="shared" si="1"/>
        <v>0.40042841031115656</v>
      </c>
      <c r="P38" s="6">
        <f t="shared" si="2"/>
        <v>0.32435181171444222</v>
      </c>
      <c r="Q38" s="6"/>
      <c r="R38" s="6">
        <f t="shared" si="3"/>
        <v>6.8011996402058864E-2</v>
      </c>
      <c r="S38" s="6">
        <f t="shared" si="4"/>
        <v>0.10989349567931991</v>
      </c>
      <c r="T38" s="8">
        <f t="shared" si="5"/>
        <v>3.8707333814299384E-4</v>
      </c>
    </row>
    <row r="39" spans="3:20" x14ac:dyDescent="0.2">
      <c r="D39">
        <v>6.9272757816000001E-3</v>
      </c>
      <c r="E39">
        <v>1.4413316000000001E-7</v>
      </c>
      <c r="F39">
        <v>1.1176951649999999E-7</v>
      </c>
      <c r="G39">
        <v>2.8961714834713299E-8</v>
      </c>
      <c r="H39">
        <v>7.6097677794847304E-8</v>
      </c>
      <c r="I39">
        <v>8.6283795672561105E-8</v>
      </c>
      <c r="J39">
        <v>7</v>
      </c>
      <c r="K39">
        <v>2</v>
      </c>
      <c r="L39">
        <v>0.2</v>
      </c>
      <c r="M39">
        <v>10</v>
      </c>
      <c r="N39" s="4">
        <f t="shared" si="0"/>
        <v>3.4636378907999998</v>
      </c>
      <c r="O39" s="6">
        <f t="shared" si="1"/>
        <v>0.41613229946133146</v>
      </c>
      <c r="P39" s="6">
        <f t="shared" si="2"/>
        <v>0.32269399984588021</v>
      </c>
      <c r="Q39" s="6"/>
      <c r="R39" s="6">
        <f t="shared" si="3"/>
        <v>0.21970448468927833</v>
      </c>
      <c r="S39" s="6">
        <f t="shared" si="4"/>
        <v>0.2491132110020659</v>
      </c>
      <c r="T39" s="8">
        <f t="shared" si="5"/>
        <v>4.1808231327588322E-4</v>
      </c>
    </row>
    <row r="40" spans="3:20" x14ac:dyDescent="0.2">
      <c r="D40">
        <v>6.9337682487999996E-3</v>
      </c>
      <c r="E40">
        <v>1.5726775E-7</v>
      </c>
      <c r="F40">
        <v>1.1944136E-7</v>
      </c>
      <c r="G40">
        <v>7.4359080818298304E-8</v>
      </c>
      <c r="H40">
        <v>3.2557342827502103E-8</v>
      </c>
      <c r="I40">
        <v>3.3681415461800297E-8</v>
      </c>
      <c r="J40">
        <v>7</v>
      </c>
      <c r="K40">
        <v>2</v>
      </c>
      <c r="L40">
        <v>0.2</v>
      </c>
      <c r="M40">
        <v>10</v>
      </c>
      <c r="N40" s="4">
        <f t="shared" si="0"/>
        <v>3.4668841243999995</v>
      </c>
      <c r="O40" s="6">
        <f t="shared" si="1"/>
        <v>0.4536285158570672</v>
      </c>
      <c r="P40" s="6">
        <f t="shared" si="2"/>
        <v>0.34452077345005366</v>
      </c>
      <c r="Q40" s="6"/>
      <c r="R40" s="6">
        <f t="shared" si="3"/>
        <v>9.3909521227902804E-2</v>
      </c>
      <c r="S40" s="6">
        <f t="shared" si="4"/>
        <v>9.7151835057739083E-2</v>
      </c>
      <c r="T40" s="8">
        <f t="shared" si="5"/>
        <v>1.072419471636759E-3</v>
      </c>
    </row>
    <row r="41" spans="3:20" x14ac:dyDescent="0.2">
      <c r="D41">
        <v>6.9309949241999997E-3</v>
      </c>
      <c r="E41">
        <v>1.3977777000000001E-7</v>
      </c>
      <c r="F41">
        <v>1.4315961999999999E-7</v>
      </c>
      <c r="G41">
        <v>2.1403192301572599E-8</v>
      </c>
      <c r="H41">
        <v>3.0873806552838599E-8</v>
      </c>
      <c r="I41">
        <v>3.3861055154020199E-8</v>
      </c>
      <c r="J41">
        <v>7</v>
      </c>
      <c r="K41">
        <v>2</v>
      </c>
      <c r="L41">
        <v>0.2</v>
      </c>
      <c r="M41">
        <v>10</v>
      </c>
      <c r="N41" s="4">
        <f t="shared" si="0"/>
        <v>3.4654974621000001</v>
      </c>
      <c r="O41" s="6">
        <f t="shared" si="1"/>
        <v>0.40334114085686956</v>
      </c>
      <c r="P41" s="6">
        <f t="shared" si="2"/>
        <v>0.4130997686930899</v>
      </c>
      <c r="Q41" s="6"/>
      <c r="R41" s="6">
        <f t="shared" si="3"/>
        <v>8.9089104495058233E-2</v>
      </c>
      <c r="S41" s="6">
        <f t="shared" si="4"/>
        <v>9.7709075029884157E-2</v>
      </c>
      <c r="T41" s="8">
        <f t="shared" si="5"/>
        <v>3.0880403947263071E-4</v>
      </c>
    </row>
    <row r="42" spans="3:20" x14ac:dyDescent="0.2">
      <c r="D42">
        <v>6.9450103798000002E-3</v>
      </c>
      <c r="E42">
        <v>1.3147891499999999E-7</v>
      </c>
      <c r="F42">
        <v>1.16373835E-7</v>
      </c>
      <c r="G42">
        <v>2.5589701191036602E-8</v>
      </c>
      <c r="H42">
        <v>1.7045876513904299E-8</v>
      </c>
      <c r="I42">
        <v>3.5135998991508297E-8</v>
      </c>
      <c r="J42">
        <v>7</v>
      </c>
      <c r="K42">
        <v>2</v>
      </c>
      <c r="L42">
        <v>0.2</v>
      </c>
      <c r="M42">
        <v>10</v>
      </c>
      <c r="N42" s="4">
        <f t="shared" si="0"/>
        <v>3.4725051899000001</v>
      </c>
      <c r="O42" s="6">
        <f t="shared" si="1"/>
        <v>0.37862841899391458</v>
      </c>
      <c r="P42" s="6">
        <f t="shared" si="2"/>
        <v>0.33512933353845126</v>
      </c>
      <c r="Q42" s="6"/>
      <c r="R42" s="6">
        <f t="shared" si="3"/>
        <v>4.9088123938542422E-2</v>
      </c>
      <c r="S42" s="6">
        <f t="shared" si="4"/>
        <v>0.10118343118306508</v>
      </c>
      <c r="T42" s="8">
        <f t="shared" si="5"/>
        <v>3.6846166948095363E-4</v>
      </c>
    </row>
    <row r="43" spans="3:20" x14ac:dyDescent="0.2">
      <c r="D43">
        <v>6.9435473596000004E-3</v>
      </c>
      <c r="E43">
        <v>1.3962934E-7</v>
      </c>
      <c r="F43">
        <v>1.4532497999999999E-7</v>
      </c>
      <c r="G43">
        <v>9.1830276965805394E-8</v>
      </c>
      <c r="H43">
        <v>2.3845863708333099E-8</v>
      </c>
      <c r="I43">
        <v>2.7630976609732799E-8</v>
      </c>
      <c r="J43">
        <v>7</v>
      </c>
      <c r="K43">
        <v>2</v>
      </c>
      <c r="L43">
        <v>0.2</v>
      </c>
      <c r="M43">
        <v>10</v>
      </c>
      <c r="N43" s="4">
        <f t="shared" si="0"/>
        <v>3.4717736798000001</v>
      </c>
      <c r="O43" s="6">
        <f t="shared" si="1"/>
        <v>0.40218445347521525</v>
      </c>
      <c r="P43" s="6">
        <f t="shared" si="2"/>
        <v>0.41859001594934553</v>
      </c>
      <c r="Q43" s="6"/>
      <c r="R43" s="6">
        <f t="shared" si="3"/>
        <v>6.8684960218106147E-2</v>
      </c>
      <c r="S43" s="6">
        <f t="shared" si="4"/>
        <v>7.9587493765793368E-2</v>
      </c>
      <c r="T43" s="8">
        <f t="shared" si="5"/>
        <v>1.3225268326116162E-3</v>
      </c>
    </row>
    <row r="44" spans="3:20" x14ac:dyDescent="0.2">
      <c r="D44">
        <v>6.9296327597999996E-3</v>
      </c>
      <c r="E44">
        <v>1.3111923000000001E-7</v>
      </c>
      <c r="F44">
        <v>1.3199965500000001E-7</v>
      </c>
      <c r="G44">
        <v>1.6138915356077599E-8</v>
      </c>
      <c r="H44">
        <v>2.8930207970788899E-8</v>
      </c>
      <c r="I44">
        <v>4.2754823948152E-8</v>
      </c>
      <c r="J44">
        <v>7</v>
      </c>
      <c r="K44">
        <v>2</v>
      </c>
      <c r="L44">
        <v>0.2</v>
      </c>
      <c r="M44">
        <v>10</v>
      </c>
      <c r="N44" s="4">
        <f t="shared" si="0"/>
        <v>3.4648163798999998</v>
      </c>
      <c r="O44" s="6">
        <f t="shared" si="1"/>
        <v>0.37843053028912405</v>
      </c>
      <c r="P44" s="6">
        <f t="shared" si="2"/>
        <v>0.38097157403709153</v>
      </c>
      <c r="Q44" s="6"/>
      <c r="R44" s="6">
        <f t="shared" si="3"/>
        <v>8.3497088442025524E-2</v>
      </c>
      <c r="S44" s="6">
        <f t="shared" si="4"/>
        <v>0.12339708446363894</v>
      </c>
      <c r="T44" s="8">
        <f t="shared" si="5"/>
        <v>2.3289712334688563E-4</v>
      </c>
    </row>
    <row r="45" spans="3:20" x14ac:dyDescent="0.2">
      <c r="N45" s="4"/>
      <c r="O45" s="6"/>
      <c r="P45" s="6"/>
      <c r="Q45" s="6"/>
      <c r="R45" s="6"/>
      <c r="S45" s="6"/>
      <c r="T45" s="8"/>
    </row>
    <row r="46" spans="3:20" x14ac:dyDescent="0.2">
      <c r="C46" s="1" t="s">
        <v>100</v>
      </c>
      <c r="N46" s="4"/>
      <c r="O46" s="6"/>
      <c r="P46" s="6"/>
      <c r="Q46" s="6"/>
      <c r="R46" s="6"/>
      <c r="S46" s="6"/>
      <c r="T46" s="8"/>
    </row>
    <row r="47" spans="3:20" x14ac:dyDescent="0.2">
      <c r="N47" s="4"/>
      <c r="O47" s="6"/>
      <c r="P47" s="6"/>
      <c r="Q47" s="6"/>
      <c r="R47" s="6"/>
      <c r="S47" s="6"/>
      <c r="T47" s="8"/>
    </row>
    <row r="48" spans="3:20" x14ac:dyDescent="0.2">
      <c r="D48">
        <v>0.2499956193</v>
      </c>
      <c r="E48">
        <v>4.1745660000000001E-6</v>
      </c>
      <c r="F48">
        <v>5.9183505000000004E-6</v>
      </c>
      <c r="G48">
        <v>4.80565123703281E-8</v>
      </c>
      <c r="H48">
        <v>3.0093725658349502E-8</v>
      </c>
      <c r="I48">
        <v>3.8454685992086901E-8</v>
      </c>
      <c r="J48">
        <v>11</v>
      </c>
      <c r="K48">
        <v>2</v>
      </c>
      <c r="L48">
        <v>0.2</v>
      </c>
      <c r="M48">
        <v>10</v>
      </c>
      <c r="N48" s="4">
        <f t="shared" ref="N48:N69" si="6">100*D48/(L48)</f>
        <v>124.99780964999999</v>
      </c>
      <c r="O48" s="6">
        <f t="shared" ref="O48:O69" si="7">1000000*E48*L48/(M48*D48)</f>
        <v>0.33397113210935375</v>
      </c>
      <c r="P48" s="6">
        <f t="shared" ref="P48:P69" si="8">1000000*F48*L48/(D48*M48)</f>
        <v>0.47347633663115163</v>
      </c>
      <c r="Q48" s="6"/>
      <c r="R48" s="6">
        <f t="shared" ref="R48:R69" si="9">1000000*L48*H48/(M48*D48)</f>
        <v>2.4075402395140693E-3</v>
      </c>
      <c r="S48" s="6">
        <f t="shared" ref="S48:S69" si="10">1000000*L48*I48/(M48*D48)</f>
        <v>3.0764287870133009E-3</v>
      </c>
      <c r="T48" s="8">
        <f t="shared" ref="T48:T69" si="11">G48*100/D48</f>
        <v>1.9222941787895601E-5</v>
      </c>
    </row>
    <row r="49" spans="4:20" x14ac:dyDescent="0.2">
      <c r="D49">
        <v>0.24011208272000001</v>
      </c>
      <c r="E49">
        <v>4.0175680000000003E-6</v>
      </c>
      <c r="F49">
        <v>5.6707584999999998E-6</v>
      </c>
      <c r="G49">
        <v>3.8930160905947599E-8</v>
      </c>
      <c r="H49">
        <v>3.7572102363322699E-8</v>
      </c>
      <c r="I49">
        <v>3.9003456035971903E-8</v>
      </c>
      <c r="J49">
        <v>11</v>
      </c>
      <c r="K49">
        <v>2</v>
      </c>
      <c r="L49">
        <v>0.2</v>
      </c>
      <c r="M49">
        <v>10</v>
      </c>
      <c r="N49" s="4">
        <f t="shared" si="6"/>
        <v>120.05604135999999</v>
      </c>
      <c r="O49" s="6">
        <f t="shared" si="7"/>
        <v>0.33464105216937168</v>
      </c>
      <c r="P49" s="6">
        <f t="shared" si="8"/>
        <v>0.47234261897705471</v>
      </c>
      <c r="Q49" s="6"/>
      <c r="R49" s="6">
        <f t="shared" si="9"/>
        <v>3.1295469963613914E-3</v>
      </c>
      <c r="S49" s="6">
        <f t="shared" si="10"/>
        <v>3.2487707902192236E-3</v>
      </c>
      <c r="T49" s="8">
        <f t="shared" si="11"/>
        <v>1.6213328569285253E-5</v>
      </c>
    </row>
    <row r="50" spans="4:20" x14ac:dyDescent="0.2">
      <c r="D50">
        <v>0.20048224774000001</v>
      </c>
      <c r="E50">
        <v>3.3279334999999999E-6</v>
      </c>
      <c r="F50">
        <v>4.7366435000000003E-6</v>
      </c>
      <c r="G50">
        <v>1.8801292217247601E-7</v>
      </c>
      <c r="H50">
        <v>2.6040890014552102E-8</v>
      </c>
      <c r="I50">
        <v>1.6380516254074502E-8</v>
      </c>
      <c r="J50">
        <v>11</v>
      </c>
      <c r="K50">
        <v>2</v>
      </c>
      <c r="L50">
        <v>0.2</v>
      </c>
      <c r="M50">
        <v>10</v>
      </c>
      <c r="N50" s="4">
        <f t="shared" si="6"/>
        <v>100.24112387</v>
      </c>
      <c r="O50" s="6">
        <f t="shared" si="7"/>
        <v>0.3319928360256521</v>
      </c>
      <c r="P50" s="6">
        <f t="shared" si="8"/>
        <v>0.47252497948275446</v>
      </c>
      <c r="Q50" s="6"/>
      <c r="R50" s="6">
        <f t="shared" si="9"/>
        <v>2.597825025218574E-3</v>
      </c>
      <c r="S50" s="6">
        <f t="shared" si="10"/>
        <v>1.6341113927770749E-3</v>
      </c>
      <c r="T50" s="8">
        <f t="shared" si="11"/>
        <v>9.3780334314839118E-5</v>
      </c>
    </row>
    <row r="51" spans="4:20" x14ac:dyDescent="0.2">
      <c r="D51">
        <v>0.1200535331</v>
      </c>
      <c r="E51">
        <v>1.9881545E-6</v>
      </c>
      <c r="F51">
        <v>2.7481719999999999E-6</v>
      </c>
      <c r="G51">
        <v>2.21285820032818E-7</v>
      </c>
      <c r="H51">
        <v>3.8019631833435703E-8</v>
      </c>
      <c r="I51">
        <v>2.26112999626293E-8</v>
      </c>
      <c r="J51">
        <v>10</v>
      </c>
      <c r="K51">
        <v>2</v>
      </c>
      <c r="L51">
        <v>0.2</v>
      </c>
      <c r="M51">
        <v>10</v>
      </c>
      <c r="N51" s="4">
        <f t="shared" si="6"/>
        <v>60.026766549999998</v>
      </c>
      <c r="O51" s="6">
        <f t="shared" si="7"/>
        <v>0.33121132692428856</v>
      </c>
      <c r="P51" s="6">
        <f t="shared" si="8"/>
        <v>0.45782442699306114</v>
      </c>
      <c r="Q51" s="6"/>
      <c r="R51" s="6">
        <f t="shared" si="9"/>
        <v>6.3337797483672227E-3</v>
      </c>
      <c r="S51" s="6">
        <f t="shared" si="10"/>
        <v>3.7668695587317622E-3</v>
      </c>
      <c r="T51" s="8">
        <f t="shared" si="11"/>
        <v>1.8432262201604295E-4</v>
      </c>
    </row>
    <row r="52" spans="4:20" x14ac:dyDescent="0.2">
      <c r="D52">
        <v>8.0129055756000003E-2</v>
      </c>
      <c r="E52">
        <v>1.3072E-6</v>
      </c>
      <c r="F52">
        <v>1.840609E-6</v>
      </c>
      <c r="G52">
        <v>6.7930126990663498E-8</v>
      </c>
      <c r="H52">
        <v>2.59265365986281E-8</v>
      </c>
      <c r="I52">
        <v>3.0676233618226301E-8</v>
      </c>
      <c r="J52">
        <v>9</v>
      </c>
      <c r="K52">
        <v>2</v>
      </c>
      <c r="L52">
        <v>0.2</v>
      </c>
      <c r="M52">
        <v>10</v>
      </c>
      <c r="N52" s="4">
        <f t="shared" si="6"/>
        <v>40.064527877999993</v>
      </c>
      <c r="O52" s="6">
        <f t="shared" si="7"/>
        <v>0.32627365633273869</v>
      </c>
      <c r="P52" s="6">
        <f t="shared" si="8"/>
        <v>0.4594111293673086</v>
      </c>
      <c r="Q52" s="6"/>
      <c r="R52" s="6">
        <f t="shared" si="9"/>
        <v>6.4711948378816985E-3</v>
      </c>
      <c r="S52" s="6">
        <f t="shared" si="10"/>
        <v>7.6567066287759897E-3</v>
      </c>
      <c r="T52" s="8">
        <f t="shared" si="11"/>
        <v>8.4775898517407572E-5</v>
      </c>
    </row>
    <row r="53" spans="4:20" x14ac:dyDescent="0.2">
      <c r="D53">
        <v>3.9972346222000001E-2</v>
      </c>
      <c r="E53">
        <v>6.4803819999999995E-7</v>
      </c>
      <c r="F53">
        <v>9.0161700000000002E-7</v>
      </c>
      <c r="G53">
        <v>3.8929011503163899E-8</v>
      </c>
      <c r="H53">
        <v>2.6040052479977801E-8</v>
      </c>
      <c r="I53">
        <v>1.8860874934636501E-8</v>
      </c>
      <c r="J53">
        <v>8</v>
      </c>
      <c r="K53">
        <v>2</v>
      </c>
      <c r="L53">
        <v>0.2</v>
      </c>
      <c r="M53">
        <v>10</v>
      </c>
      <c r="N53" s="4">
        <f t="shared" si="6"/>
        <v>19.986173110999999</v>
      </c>
      <c r="O53" s="6">
        <f t="shared" si="7"/>
        <v>0.32424326378086477</v>
      </c>
      <c r="P53" s="6">
        <f t="shared" si="8"/>
        <v>0.45112037957069817</v>
      </c>
      <c r="Q53" s="6"/>
      <c r="R53" s="6">
        <f t="shared" si="9"/>
        <v>1.3029033790188611E-2</v>
      </c>
      <c r="S53" s="6">
        <f t="shared" si="10"/>
        <v>9.4369616583856383E-3</v>
      </c>
      <c r="T53" s="8">
        <f t="shared" si="11"/>
        <v>9.7389858696205666E-5</v>
      </c>
    </row>
    <row r="54" spans="4:20" x14ac:dyDescent="0.2">
      <c r="D54">
        <v>1.9997749953999999E-2</v>
      </c>
      <c r="E54">
        <v>2.9685785000000001E-7</v>
      </c>
      <c r="F54">
        <v>5.2784450000000001E-7</v>
      </c>
      <c r="G54">
        <v>1.7069638310469999E-7</v>
      </c>
      <c r="H54">
        <v>7.6145882357665903E-8</v>
      </c>
      <c r="I54">
        <v>2.2575895449671499E-7</v>
      </c>
      <c r="J54">
        <v>8</v>
      </c>
      <c r="K54">
        <v>2</v>
      </c>
      <c r="L54">
        <v>0.2</v>
      </c>
      <c r="M54">
        <v>10</v>
      </c>
      <c r="N54" s="4">
        <f t="shared" si="6"/>
        <v>9.9988749769999998</v>
      </c>
      <c r="O54" s="6">
        <f t="shared" si="7"/>
        <v>0.29689125094858165</v>
      </c>
      <c r="P54" s="6">
        <f t="shared" si="8"/>
        <v>0.52790389040184926</v>
      </c>
      <c r="Q54" s="6"/>
      <c r="R54" s="6">
        <f t="shared" si="9"/>
        <v>7.615444990843584E-2</v>
      </c>
      <c r="S54" s="6">
        <f t="shared" si="10"/>
        <v>0.22578435575604158</v>
      </c>
      <c r="T54" s="8">
        <f t="shared" si="11"/>
        <v>8.5357794500554246E-4</v>
      </c>
    </row>
    <row r="55" spans="4:20" x14ac:dyDescent="0.2">
      <c r="D55">
        <v>1.0043317592000001E-2</v>
      </c>
      <c r="E55">
        <v>1.7738874999999999E-7</v>
      </c>
      <c r="F55">
        <v>2.3608294999999999E-7</v>
      </c>
      <c r="G55">
        <v>5.2575695855607699E-8</v>
      </c>
      <c r="H55">
        <v>2.2394373138971801E-8</v>
      </c>
      <c r="I55">
        <v>3.4355863519165101E-8</v>
      </c>
      <c r="J55">
        <v>8</v>
      </c>
      <c r="K55">
        <v>2</v>
      </c>
      <c r="L55">
        <v>0.2</v>
      </c>
      <c r="M55">
        <v>10</v>
      </c>
      <c r="N55" s="4">
        <f t="shared" si="6"/>
        <v>5.0216587959999996</v>
      </c>
      <c r="O55" s="6">
        <f t="shared" si="7"/>
        <v>0.35324731768175666</v>
      </c>
      <c r="P55" s="6">
        <f t="shared" si="8"/>
        <v>0.47012941259181479</v>
      </c>
      <c r="Q55" s="6"/>
      <c r="R55" s="6">
        <f t="shared" si="9"/>
        <v>4.459556901159837E-2</v>
      </c>
      <c r="S55" s="6">
        <f t="shared" si="10"/>
        <v>6.8415368137977134E-2</v>
      </c>
      <c r="T55" s="8">
        <f t="shared" si="11"/>
        <v>5.2348932883977347E-4</v>
      </c>
    </row>
    <row r="56" spans="4:20" x14ac:dyDescent="0.2">
      <c r="D56">
        <v>1.0046790381999999E-2</v>
      </c>
      <c r="E56">
        <v>1.4724680000000001E-7</v>
      </c>
      <c r="F56">
        <v>2.1134145E-7</v>
      </c>
      <c r="G56">
        <v>5.7081323120246697E-8</v>
      </c>
      <c r="H56">
        <v>3.0615118682768501E-8</v>
      </c>
      <c r="I56">
        <v>1.2567545004793101E-8</v>
      </c>
      <c r="J56">
        <v>6</v>
      </c>
      <c r="K56">
        <v>2</v>
      </c>
      <c r="L56">
        <v>0.2</v>
      </c>
      <c r="M56">
        <v>10</v>
      </c>
      <c r="N56" s="4">
        <f t="shared" si="6"/>
        <v>5.0233951909999996</v>
      </c>
      <c r="O56" s="6">
        <f t="shared" si="7"/>
        <v>0.29312207063423934</v>
      </c>
      <c r="P56" s="6">
        <f t="shared" si="8"/>
        <v>0.42071436143157315</v>
      </c>
      <c r="Q56" s="6"/>
      <c r="R56" s="6">
        <f t="shared" si="9"/>
        <v>6.094507304067788E-2</v>
      </c>
      <c r="S56" s="6">
        <f t="shared" si="10"/>
        <v>2.501802969296409E-2</v>
      </c>
      <c r="T56" s="8">
        <f t="shared" si="11"/>
        <v>5.6815481312832571E-4</v>
      </c>
    </row>
    <row r="57" spans="4:20" x14ac:dyDescent="0.2">
      <c r="D57">
        <v>1.0048293816E-2</v>
      </c>
      <c r="E57">
        <v>1.7367931500000001E-7</v>
      </c>
      <c r="F57">
        <v>3.1653945000000002E-7</v>
      </c>
      <c r="G57">
        <v>5.5042616302047802E-8</v>
      </c>
      <c r="H57">
        <v>2.96835222624485E-8</v>
      </c>
      <c r="I57">
        <v>2.7752259132321101E-8</v>
      </c>
      <c r="J57">
        <v>7</v>
      </c>
      <c r="K57">
        <v>2</v>
      </c>
      <c r="L57">
        <v>0.2</v>
      </c>
      <c r="M57">
        <v>10</v>
      </c>
      <c r="N57" s="4">
        <f t="shared" si="6"/>
        <v>5.0241469079999996</v>
      </c>
      <c r="O57" s="6">
        <f t="shared" si="7"/>
        <v>0.34568916510671421</v>
      </c>
      <c r="P57" s="6">
        <f t="shared" si="8"/>
        <v>0.63003621469740667</v>
      </c>
      <c r="Q57" s="6"/>
      <c r="R57" s="6">
        <f t="shared" si="9"/>
        <v>5.9081716370958666E-2</v>
      </c>
      <c r="S57" s="6">
        <f t="shared" si="10"/>
        <v>5.5237754071503956E-2</v>
      </c>
      <c r="T57" s="8">
        <f t="shared" si="11"/>
        <v>5.4778072088619545E-4</v>
      </c>
    </row>
    <row r="58" spans="4:20" x14ac:dyDescent="0.2">
      <c r="D58">
        <v>1.005174981E-2</v>
      </c>
      <c r="E58">
        <v>1.516931E-7</v>
      </c>
      <c r="F58">
        <v>2.2102154999999999E-7</v>
      </c>
      <c r="G58">
        <v>4.9692674732112701E-8</v>
      </c>
      <c r="H58">
        <v>1.81204231929058E-8</v>
      </c>
      <c r="I58">
        <v>4.2837319328448898E-8</v>
      </c>
      <c r="J58">
        <v>7</v>
      </c>
      <c r="K58">
        <v>2</v>
      </c>
      <c r="L58">
        <v>0.2</v>
      </c>
      <c r="M58">
        <v>10</v>
      </c>
      <c r="N58" s="4">
        <f t="shared" si="6"/>
        <v>5.0258749049999993</v>
      </c>
      <c r="O58" s="6">
        <f t="shared" si="7"/>
        <v>0.30182426516244543</v>
      </c>
      <c r="P58" s="6">
        <f t="shared" si="8"/>
        <v>0.43976731251332252</v>
      </c>
      <c r="Q58" s="6"/>
      <c r="R58" s="6">
        <f t="shared" si="9"/>
        <v>3.6054266243034955E-2</v>
      </c>
      <c r="S58" s="6">
        <f t="shared" si="10"/>
        <v>8.5233556620822618E-2</v>
      </c>
      <c r="T58" s="8">
        <f t="shared" si="11"/>
        <v>4.9436840024286979E-4</v>
      </c>
    </row>
    <row r="59" spans="4:20" x14ac:dyDescent="0.2">
      <c r="D59">
        <v>1.0052631632E-2</v>
      </c>
      <c r="E59">
        <v>1.5144264999999999E-7</v>
      </c>
      <c r="F59">
        <v>2.232407E-7</v>
      </c>
      <c r="G59">
        <v>6.2936455936044395E-8</v>
      </c>
      <c r="H59">
        <v>2.19699074423972E-8</v>
      </c>
      <c r="I59">
        <v>3.0601944209641303E-8</v>
      </c>
      <c r="J59">
        <v>7</v>
      </c>
      <c r="K59">
        <v>2</v>
      </c>
      <c r="L59">
        <v>0.2</v>
      </c>
      <c r="M59">
        <v>10</v>
      </c>
      <c r="N59" s="4">
        <f t="shared" si="6"/>
        <v>5.0263158159999994</v>
      </c>
      <c r="O59" s="6">
        <f t="shared" si="7"/>
        <v>0.301299511498901</v>
      </c>
      <c r="P59" s="6">
        <f t="shared" si="8"/>
        <v>0.44414379870315734</v>
      </c>
      <c r="Q59" s="6"/>
      <c r="R59" s="6">
        <f t="shared" si="9"/>
        <v>4.3709763267285311E-2</v>
      </c>
      <c r="S59" s="6">
        <f t="shared" si="10"/>
        <v>6.0883448891587325E-2</v>
      </c>
      <c r="T59" s="8">
        <f t="shared" si="11"/>
        <v>6.2606945365134201E-4</v>
      </c>
    </row>
    <row r="60" spans="4:20" x14ac:dyDescent="0.2">
      <c r="D60">
        <v>1.0056338356E-2</v>
      </c>
      <c r="E60">
        <v>1.5766365E-7</v>
      </c>
      <c r="F60">
        <v>2.2743174999999999E-7</v>
      </c>
      <c r="G60">
        <v>4.9379388457519301E-8</v>
      </c>
      <c r="H60">
        <v>3.4321690251610603E-8</v>
      </c>
      <c r="I60">
        <v>2.68461481294338E-8</v>
      </c>
      <c r="J60">
        <v>7</v>
      </c>
      <c r="K60">
        <v>2</v>
      </c>
      <c r="L60">
        <v>0.2</v>
      </c>
      <c r="M60">
        <v>10</v>
      </c>
      <c r="N60" s="4">
        <f t="shared" si="6"/>
        <v>5.0281691779999997</v>
      </c>
      <c r="O60" s="6">
        <f t="shared" si="7"/>
        <v>0.31356075028229691</v>
      </c>
      <c r="P60" s="6">
        <f t="shared" si="8"/>
        <v>0.45231523035281612</v>
      </c>
      <c r="Q60" s="6"/>
      <c r="R60" s="6">
        <f t="shared" si="9"/>
        <v>6.8258821524502425E-2</v>
      </c>
      <c r="S60" s="6">
        <f t="shared" si="10"/>
        <v>5.3391497340413867E-2</v>
      </c>
      <c r="T60" s="8">
        <f t="shared" si="11"/>
        <v>4.910275162734321E-4</v>
      </c>
    </row>
    <row r="61" spans="4:20" x14ac:dyDescent="0.2">
      <c r="D61">
        <v>6.9190050960000003E-3</v>
      </c>
      <c r="E61">
        <v>1.2467126999999999E-7</v>
      </c>
      <c r="F61">
        <v>1.5878405E-7</v>
      </c>
      <c r="G61">
        <v>4.9475330183386303E-8</v>
      </c>
      <c r="H61">
        <v>1.56484554146759E-8</v>
      </c>
      <c r="I61">
        <v>2.62476748845969E-8</v>
      </c>
      <c r="J61">
        <v>7</v>
      </c>
      <c r="K61">
        <v>2</v>
      </c>
      <c r="L61">
        <v>0.2</v>
      </c>
      <c r="M61">
        <v>10</v>
      </c>
      <c r="N61" s="4">
        <f t="shared" si="6"/>
        <v>3.4595025480000001</v>
      </c>
      <c r="O61" s="6">
        <f t="shared" si="7"/>
        <v>0.36037340129168188</v>
      </c>
      <c r="P61" s="6">
        <f t="shared" si="8"/>
        <v>0.45897942781338869</v>
      </c>
      <c r="Q61" s="6"/>
      <c r="R61" s="6">
        <f t="shared" si="9"/>
        <v>4.5233253040159058E-2</v>
      </c>
      <c r="S61" s="6">
        <f t="shared" si="10"/>
        <v>7.5871240215652239E-2</v>
      </c>
      <c r="T61" s="8">
        <f t="shared" si="11"/>
        <v>7.1506422523071804E-4</v>
      </c>
    </row>
    <row r="62" spans="4:20" x14ac:dyDescent="0.2">
      <c r="D62">
        <v>6.9167881474000003E-3</v>
      </c>
      <c r="E62">
        <v>1.3757301500000001E-7</v>
      </c>
      <c r="F62">
        <v>1.4887424999999999E-7</v>
      </c>
      <c r="G62">
        <v>2.6063393760009099E-8</v>
      </c>
      <c r="H62">
        <v>4.6291623840293997E-8</v>
      </c>
      <c r="I62">
        <v>2.4854877865069101E-8</v>
      </c>
      <c r="J62">
        <v>7</v>
      </c>
      <c r="K62">
        <v>2</v>
      </c>
      <c r="L62">
        <v>0.2</v>
      </c>
      <c r="M62">
        <v>10</v>
      </c>
      <c r="N62" s="4">
        <f t="shared" si="6"/>
        <v>3.4583940737000001</v>
      </c>
      <c r="O62" s="6">
        <f t="shared" si="7"/>
        <v>0.39779450250102949</v>
      </c>
      <c r="P62" s="6">
        <f t="shared" si="8"/>
        <v>0.43047219844650403</v>
      </c>
      <c r="Q62" s="6"/>
      <c r="R62" s="6">
        <f t="shared" si="9"/>
        <v>0.13385294692796071</v>
      </c>
      <c r="S62" s="6">
        <f t="shared" si="10"/>
        <v>7.1868264100041795E-2</v>
      </c>
      <c r="T62" s="8">
        <f t="shared" si="11"/>
        <v>3.7681353259035771E-4</v>
      </c>
    </row>
    <row r="63" spans="4:20" x14ac:dyDescent="0.2">
      <c r="D63">
        <v>6.9211025530000001E-3</v>
      </c>
      <c r="E63">
        <v>1.0990246500000001E-7</v>
      </c>
      <c r="F63">
        <v>1.17939705E-7</v>
      </c>
      <c r="G63">
        <v>7.4201364302016705E-8</v>
      </c>
      <c r="H63">
        <v>4.7713194462887003E-8</v>
      </c>
      <c r="I63">
        <v>2.4161116739411599E-8</v>
      </c>
      <c r="J63">
        <v>7</v>
      </c>
      <c r="K63">
        <v>2</v>
      </c>
      <c r="L63">
        <v>0.2</v>
      </c>
      <c r="M63">
        <v>10</v>
      </c>
      <c r="N63" s="4">
        <f t="shared" si="6"/>
        <v>3.4605512764999999</v>
      </c>
      <c r="O63" s="6">
        <f t="shared" si="7"/>
        <v>0.31758658149737151</v>
      </c>
      <c r="P63" s="6">
        <f t="shared" si="8"/>
        <v>0.34081189838424869</v>
      </c>
      <c r="Q63" s="6"/>
      <c r="R63" s="6">
        <f t="shared" si="9"/>
        <v>0.1378774381610785</v>
      </c>
      <c r="S63" s="6">
        <f t="shared" si="10"/>
        <v>6.9818693060511847E-2</v>
      </c>
      <c r="T63" s="8">
        <f t="shared" si="11"/>
        <v>1.0721032340411372E-3</v>
      </c>
    </row>
    <row r="64" spans="4:20" x14ac:dyDescent="0.2">
      <c r="D64">
        <v>6.9213269295999996E-3</v>
      </c>
      <c r="E64">
        <v>1.0510038999999999E-7</v>
      </c>
      <c r="F64">
        <v>1.5201889999999999E-7</v>
      </c>
      <c r="G64">
        <v>4.7283325480632198E-8</v>
      </c>
      <c r="H64">
        <v>2.8332561106241399E-8</v>
      </c>
      <c r="I64">
        <v>2.1661908223653802E-8</v>
      </c>
      <c r="J64">
        <v>7</v>
      </c>
      <c r="K64">
        <v>2</v>
      </c>
      <c r="L64">
        <v>0.2</v>
      </c>
      <c r="M64">
        <v>10</v>
      </c>
      <c r="N64" s="4">
        <f t="shared" si="6"/>
        <v>3.4606634648000001</v>
      </c>
      <c r="O64" s="6">
        <f t="shared" si="7"/>
        <v>0.3037001172434835</v>
      </c>
      <c r="P64" s="6">
        <f t="shared" si="8"/>
        <v>0.43927675009793399</v>
      </c>
      <c r="Q64" s="6"/>
      <c r="R64" s="6">
        <f t="shared" si="9"/>
        <v>8.1870315892963619E-2</v>
      </c>
      <c r="S64" s="6">
        <f t="shared" si="10"/>
        <v>6.2594668461660716E-2</v>
      </c>
      <c r="T64" s="8">
        <f t="shared" si="11"/>
        <v>6.8315405357343545E-4</v>
      </c>
    </row>
    <row r="65" spans="3:20" x14ac:dyDescent="0.2">
      <c r="D65">
        <v>6.9218209237999996E-3</v>
      </c>
      <c r="E65">
        <v>1.0473948E-7</v>
      </c>
      <c r="F65">
        <v>1.6739879999999999E-7</v>
      </c>
      <c r="G65">
        <v>4.67210986509488E-8</v>
      </c>
      <c r="H65">
        <v>4.2101173645096898E-8</v>
      </c>
      <c r="I65">
        <v>3.65019005444922E-8</v>
      </c>
      <c r="J65">
        <v>7</v>
      </c>
      <c r="K65">
        <v>2</v>
      </c>
      <c r="L65">
        <v>0.2</v>
      </c>
      <c r="M65">
        <v>10</v>
      </c>
      <c r="N65" s="4">
        <f t="shared" si="6"/>
        <v>3.4609104618999997</v>
      </c>
      <c r="O65" s="6">
        <f t="shared" si="7"/>
        <v>0.30263562479596556</v>
      </c>
      <c r="P65" s="6">
        <f t="shared" si="8"/>
        <v>0.48368428436053784</v>
      </c>
      <c r="Q65" s="6"/>
      <c r="R65" s="6">
        <f t="shared" si="9"/>
        <v>0.1216476823326537</v>
      </c>
      <c r="S65" s="6">
        <f t="shared" si="10"/>
        <v>0.10546906932822839</v>
      </c>
      <c r="T65" s="8">
        <f t="shared" si="11"/>
        <v>6.7498277065075325E-4</v>
      </c>
    </row>
    <row r="66" spans="3:20" x14ac:dyDescent="0.2">
      <c r="D66">
        <v>6.9249727483999997E-3</v>
      </c>
      <c r="E66">
        <v>1.2595196E-7</v>
      </c>
      <c r="F66">
        <v>1.98655E-7</v>
      </c>
      <c r="G66">
        <v>4.0231831073658E-8</v>
      </c>
      <c r="H66">
        <v>5.343391896736E-8</v>
      </c>
      <c r="I66">
        <v>3.0529322470372601E-8</v>
      </c>
      <c r="J66">
        <v>7</v>
      </c>
      <c r="K66">
        <v>2</v>
      </c>
      <c r="L66">
        <v>0.2</v>
      </c>
      <c r="M66">
        <v>10</v>
      </c>
      <c r="N66" s="4">
        <f t="shared" si="6"/>
        <v>3.4624863742</v>
      </c>
      <c r="O66" s="6">
        <f t="shared" si="7"/>
        <v>0.36376160477772557</v>
      </c>
      <c r="P66" s="6">
        <f t="shared" si="8"/>
        <v>0.57373510977613262</v>
      </c>
      <c r="Q66" s="6"/>
      <c r="R66" s="6">
        <f t="shared" si="9"/>
        <v>0.15432239492843</v>
      </c>
      <c r="S66" s="6">
        <f t="shared" si="10"/>
        <v>8.81716754117952E-2</v>
      </c>
      <c r="T66" s="8">
        <f t="shared" si="11"/>
        <v>5.8096735590697419E-4</v>
      </c>
    </row>
    <row r="67" spans="3:20" x14ac:dyDescent="0.2">
      <c r="D67">
        <v>6.9212945406000002E-3</v>
      </c>
      <c r="E67">
        <v>1.17047495E-7</v>
      </c>
      <c r="F67">
        <v>1.3991764500000001E-7</v>
      </c>
      <c r="G67">
        <v>5.3810084269137503E-8</v>
      </c>
      <c r="H67">
        <v>2.3078435154760301E-8</v>
      </c>
      <c r="I67">
        <v>2.4973212640837301E-8</v>
      </c>
      <c r="J67">
        <v>7</v>
      </c>
      <c r="K67">
        <v>2</v>
      </c>
      <c r="L67">
        <v>0.2</v>
      </c>
      <c r="M67">
        <v>10</v>
      </c>
      <c r="N67" s="4">
        <f t="shared" si="6"/>
        <v>3.4606472703</v>
      </c>
      <c r="O67" s="6">
        <f t="shared" si="7"/>
        <v>0.33822428539460264</v>
      </c>
      <c r="P67" s="6">
        <f t="shared" si="8"/>
        <v>0.40431062189088884</v>
      </c>
      <c r="Q67" s="6"/>
      <c r="R67" s="6">
        <f t="shared" si="9"/>
        <v>6.6688204119571104E-2</v>
      </c>
      <c r="S67" s="6">
        <f t="shared" si="10"/>
        <v>7.2163415367878264E-2</v>
      </c>
      <c r="T67" s="8">
        <f t="shared" si="11"/>
        <v>7.7745693314292561E-4</v>
      </c>
    </row>
    <row r="68" spans="3:20" x14ac:dyDescent="0.2">
      <c r="D68">
        <v>6.9252305588000003E-3</v>
      </c>
      <c r="E68">
        <v>8.4315674999999998E-8</v>
      </c>
      <c r="F68">
        <v>1.648232E-7</v>
      </c>
      <c r="G68">
        <v>1.18181389414913E-8</v>
      </c>
      <c r="H68">
        <v>2.29841781027052E-8</v>
      </c>
      <c r="I68">
        <v>1.59930265322108E-8</v>
      </c>
      <c r="J68">
        <v>7</v>
      </c>
      <c r="K68">
        <v>2</v>
      </c>
      <c r="L68">
        <v>0.2</v>
      </c>
      <c r="M68">
        <v>10</v>
      </c>
      <c r="N68" s="4">
        <f t="shared" si="6"/>
        <v>3.4626152794</v>
      </c>
      <c r="O68" s="6">
        <f t="shared" si="7"/>
        <v>0.24350286762036746</v>
      </c>
      <c r="P68" s="6">
        <f t="shared" si="8"/>
        <v>0.47600783425342158</v>
      </c>
      <c r="Q68" s="6"/>
      <c r="R68" s="6">
        <f t="shared" si="9"/>
        <v>6.6378087798098923E-2</v>
      </c>
      <c r="S68" s="6">
        <f t="shared" si="10"/>
        <v>4.6187708543185498E-2</v>
      </c>
      <c r="T68" s="8">
        <f t="shared" si="11"/>
        <v>1.7065336440638505E-4</v>
      </c>
    </row>
    <row r="69" spans="3:20" x14ac:dyDescent="0.2">
      <c r="D69">
        <v>6.9229524050000001E-3</v>
      </c>
      <c r="E69">
        <v>1.1018907999999999E-7</v>
      </c>
      <c r="F69">
        <v>1.6961660000000001E-7</v>
      </c>
      <c r="G69">
        <v>5.1918466619640102E-8</v>
      </c>
      <c r="H69">
        <v>2.95949090017624E-8</v>
      </c>
      <c r="I69">
        <v>2.71593401271091E-8</v>
      </c>
      <c r="J69">
        <v>7</v>
      </c>
      <c r="K69">
        <v>2</v>
      </c>
      <c r="L69">
        <v>0.2</v>
      </c>
      <c r="M69">
        <v>10</v>
      </c>
      <c r="N69" s="4">
        <f t="shared" si="6"/>
        <v>3.4614762025000001</v>
      </c>
      <c r="O69" s="6">
        <f t="shared" si="7"/>
        <v>0.31832973434980594</v>
      </c>
      <c r="P69" s="6">
        <f t="shared" si="8"/>
        <v>0.49001232444555565</v>
      </c>
      <c r="Q69" s="6"/>
      <c r="R69" s="6">
        <f t="shared" si="9"/>
        <v>8.5497941544095873E-2</v>
      </c>
      <c r="S69" s="6">
        <f t="shared" si="10"/>
        <v>7.8461727131024811E-2</v>
      </c>
      <c r="T69" s="8">
        <f t="shared" si="11"/>
        <v>7.4994689523132877E-4</v>
      </c>
    </row>
    <row r="71" spans="3:20" x14ac:dyDescent="0.2">
      <c r="C71" s="1" t="s">
        <v>100</v>
      </c>
    </row>
    <row r="72" spans="3:20" x14ac:dyDescent="0.2">
      <c r="D72">
        <v>1.9878146484E-3</v>
      </c>
      <c r="E72">
        <v>1.2390989E-7</v>
      </c>
      <c r="F72">
        <v>2.0925035E-7</v>
      </c>
      <c r="G72">
        <v>9.7198392284653995E-9</v>
      </c>
      <c r="H72">
        <v>2.3303890803573999E-8</v>
      </c>
      <c r="I72">
        <v>1.7194167951008801E-8</v>
      </c>
      <c r="J72">
        <v>6</v>
      </c>
      <c r="K72">
        <v>2</v>
      </c>
      <c r="L72">
        <v>0.2</v>
      </c>
      <c r="M72">
        <v>10</v>
      </c>
      <c r="N72" s="4">
        <f t="shared" ref="N72:N81" si="12">100*D72/(L72)</f>
        <v>0.99390732419999994</v>
      </c>
      <c r="O72" s="6">
        <f t="shared" ref="O72:O81" si="13">1000000*E72*L72/(M72*D72)</f>
        <v>1.2466946060563098</v>
      </c>
      <c r="P72" s="6">
        <f t="shared" ref="P72:P81" si="14">1000000*F72*L72/(D72*M72)</f>
        <v>2.1053305967779892</v>
      </c>
      <c r="Q72" s="6"/>
      <c r="R72" s="6">
        <f t="shared" ref="R72:R81" si="15">1000000*L72*H72/(M72*D72)</f>
        <v>0.23446744214639323</v>
      </c>
      <c r="S72" s="6">
        <f t="shared" ref="S72:S81" si="16">1000000*L72*I72/(M72*D72)</f>
        <v>0.17299568614054089</v>
      </c>
      <c r="T72" s="8">
        <f t="shared" ref="T72:T81" si="17">G72*100/D72</f>
        <v>4.889711038345017E-4</v>
      </c>
    </row>
    <row r="73" spans="3:20" x14ac:dyDescent="0.2">
      <c r="D73">
        <v>1.9866629072000002E-3</v>
      </c>
      <c r="E73">
        <v>1.26034905E-7</v>
      </c>
      <c r="F73">
        <v>2.3411255000000001E-7</v>
      </c>
      <c r="G73">
        <v>3.52144860373393E-8</v>
      </c>
      <c r="H73">
        <v>3.1419517809579401E-8</v>
      </c>
      <c r="I73">
        <v>3.05593182441543E-8</v>
      </c>
      <c r="J73">
        <v>8</v>
      </c>
      <c r="K73">
        <v>2</v>
      </c>
      <c r="L73">
        <v>0.2</v>
      </c>
      <c r="M73">
        <v>10</v>
      </c>
      <c r="N73" s="4">
        <f t="shared" si="12"/>
        <v>0.99333145360000008</v>
      </c>
      <c r="O73" s="6">
        <f t="shared" si="13"/>
        <v>1.2688101694880229</v>
      </c>
      <c r="P73" s="6">
        <f t="shared" si="14"/>
        <v>2.356842211645839</v>
      </c>
      <c r="Q73" s="6"/>
      <c r="R73" s="6">
        <f t="shared" si="15"/>
        <v>0.3163044691246793</v>
      </c>
      <c r="S73" s="6">
        <f t="shared" si="16"/>
        <v>0.30764472556871325</v>
      </c>
      <c r="T73" s="8">
        <f t="shared" si="17"/>
        <v>1.7725445977632183E-3</v>
      </c>
    </row>
    <row r="74" spans="3:20" x14ac:dyDescent="0.2">
      <c r="D74">
        <v>1.9873194931999999E-3</v>
      </c>
      <c r="E74">
        <v>1.2570879999999999E-7</v>
      </c>
      <c r="F74">
        <v>2.3392919999999999E-7</v>
      </c>
      <c r="G74">
        <v>2.9392986686392801E-8</v>
      </c>
      <c r="H74">
        <v>3.3916833375375702E-8</v>
      </c>
      <c r="I74">
        <v>3.3830820947177701E-8</v>
      </c>
      <c r="J74">
        <v>7</v>
      </c>
      <c r="K74">
        <v>2</v>
      </c>
      <c r="L74">
        <v>0.2</v>
      </c>
      <c r="M74">
        <v>10</v>
      </c>
      <c r="N74" s="4">
        <f t="shared" si="12"/>
        <v>0.99365974659999989</v>
      </c>
      <c r="O74" s="6">
        <f t="shared" si="13"/>
        <v>1.2651091123509541</v>
      </c>
      <c r="P74" s="6">
        <f t="shared" si="14"/>
        <v>2.3542183408398523</v>
      </c>
      <c r="Q74" s="6"/>
      <c r="R74" s="6">
        <f t="shared" si="15"/>
        <v>0.34133246809512757</v>
      </c>
      <c r="S74" s="6">
        <f t="shared" si="16"/>
        <v>0.34046685561064977</v>
      </c>
      <c r="T74" s="8">
        <f t="shared" si="17"/>
        <v>1.4790267386279167E-3</v>
      </c>
    </row>
    <row r="75" spans="3:20" x14ac:dyDescent="0.2">
      <c r="D75">
        <v>1.9891796590000002E-3</v>
      </c>
      <c r="E75">
        <v>1.5653440000000001E-7</v>
      </c>
      <c r="F75">
        <v>2.6168720000000002E-7</v>
      </c>
      <c r="G75">
        <v>1.7961947972473999E-8</v>
      </c>
      <c r="H75">
        <v>2.6244187191452501E-8</v>
      </c>
      <c r="I75">
        <v>3.1171269524355301E-8</v>
      </c>
      <c r="J75">
        <v>7</v>
      </c>
      <c r="K75">
        <v>2</v>
      </c>
      <c r="L75">
        <v>0.2</v>
      </c>
      <c r="M75">
        <v>10</v>
      </c>
      <c r="N75" s="4">
        <f t="shared" si="12"/>
        <v>0.99458982950000008</v>
      </c>
      <c r="O75" s="6">
        <f t="shared" si="13"/>
        <v>1.5738588446927204</v>
      </c>
      <c r="P75" s="6">
        <f t="shared" si="14"/>
        <v>2.6311067360457057</v>
      </c>
      <c r="Q75" s="6"/>
      <c r="R75" s="6">
        <f t="shared" si="15"/>
        <v>0.26386945063218642</v>
      </c>
      <c r="S75" s="6">
        <f t="shared" si="16"/>
        <v>0.31340828751512279</v>
      </c>
      <c r="T75" s="8">
        <f t="shared" si="17"/>
        <v>9.0298268892935614E-4</v>
      </c>
    </row>
    <row r="76" spans="3:20" x14ac:dyDescent="0.2">
      <c r="D76">
        <v>1.9881472732E-3</v>
      </c>
      <c r="E76">
        <v>1.5389607999999999E-7</v>
      </c>
      <c r="F76">
        <v>2.2526914999999999E-7</v>
      </c>
      <c r="G76">
        <v>1.64696606570178E-8</v>
      </c>
      <c r="H76">
        <v>3.4826236319212002E-8</v>
      </c>
      <c r="I76">
        <v>3.0776468798864798E-8</v>
      </c>
      <c r="J76">
        <v>7</v>
      </c>
      <c r="K76">
        <v>2</v>
      </c>
      <c r="L76">
        <v>0.2</v>
      </c>
      <c r="M76">
        <v>10</v>
      </c>
      <c r="N76" s="4">
        <f t="shared" si="12"/>
        <v>0.99407363659999992</v>
      </c>
      <c r="O76" s="6">
        <f t="shared" si="13"/>
        <v>1.5481356142424831</v>
      </c>
      <c r="P76" s="6">
        <f t="shared" si="14"/>
        <v>2.2661213586800399</v>
      </c>
      <c r="Q76" s="6"/>
      <c r="R76" s="6">
        <f t="shared" si="15"/>
        <v>0.35033859703117293</v>
      </c>
      <c r="S76" s="6">
        <f t="shared" si="16"/>
        <v>0.30959948705740375</v>
      </c>
      <c r="T76" s="8">
        <f t="shared" si="17"/>
        <v>8.2839238717508307E-4</v>
      </c>
    </row>
    <row r="77" spans="3:20" x14ac:dyDescent="0.2">
      <c r="D77">
        <v>1.9875922134000002E-3</v>
      </c>
      <c r="E77">
        <v>1.500165E-7</v>
      </c>
      <c r="F77">
        <v>2.563816E-7</v>
      </c>
      <c r="G77">
        <v>2.49944916144228E-8</v>
      </c>
      <c r="H77">
        <v>2.4976981930369399E-8</v>
      </c>
      <c r="I77">
        <v>3.5743717532456E-8</v>
      </c>
      <c r="J77">
        <v>7</v>
      </c>
      <c r="K77">
        <v>2</v>
      </c>
      <c r="L77">
        <v>0.2</v>
      </c>
      <c r="M77">
        <v>10</v>
      </c>
      <c r="N77" s="4">
        <f t="shared" si="12"/>
        <v>0.99379610670000007</v>
      </c>
      <c r="O77" s="6">
        <f t="shared" si="13"/>
        <v>1.5095299628225036</v>
      </c>
      <c r="P77" s="6">
        <f t="shared" si="14"/>
        <v>2.5798209338064413</v>
      </c>
      <c r="Q77" s="6"/>
      <c r="R77" s="6">
        <f t="shared" si="15"/>
        <v>0.25132903783763028</v>
      </c>
      <c r="S77" s="6">
        <f t="shared" si="16"/>
        <v>0.35966852044879311</v>
      </c>
      <c r="T77" s="8">
        <f t="shared" si="17"/>
        <v>1.2575261387076432E-3</v>
      </c>
    </row>
    <row r="78" spans="3:20" x14ac:dyDescent="0.2">
      <c r="D78">
        <v>1.9881501336000001E-3</v>
      </c>
      <c r="E78">
        <v>1.2440796E-7</v>
      </c>
      <c r="F78">
        <v>2.0513799999999999E-7</v>
      </c>
      <c r="G78">
        <v>2.7996206207918101E-8</v>
      </c>
      <c r="H78">
        <v>4.7280628429309198E-8</v>
      </c>
      <c r="I78">
        <v>1.7036080247521698E-8</v>
      </c>
      <c r="J78">
        <v>6</v>
      </c>
      <c r="K78">
        <v>2</v>
      </c>
      <c r="L78">
        <v>0.2</v>
      </c>
      <c r="M78">
        <v>10</v>
      </c>
      <c r="N78" s="4">
        <f t="shared" si="12"/>
        <v>0.99407506680000002</v>
      </c>
      <c r="O78" s="6">
        <f t="shared" si="13"/>
        <v>1.2514946220357208</v>
      </c>
      <c r="P78" s="6">
        <f t="shared" si="14"/>
        <v>2.0636067320383975</v>
      </c>
      <c r="Q78" s="6"/>
      <c r="R78" s="6">
        <f t="shared" si="15"/>
        <v>0.47562432665682869</v>
      </c>
      <c r="S78" s="6">
        <f t="shared" si="16"/>
        <v>0.17137619498255879</v>
      </c>
      <c r="T78" s="8">
        <f t="shared" si="17"/>
        <v>1.4081535259726375E-3</v>
      </c>
    </row>
    <row r="79" spans="3:20" x14ac:dyDescent="0.2">
      <c r="D79">
        <v>1.9897702050000001E-3</v>
      </c>
      <c r="E79">
        <v>1.5881470000000001E-7</v>
      </c>
      <c r="F79">
        <v>2.4722404999999999E-7</v>
      </c>
      <c r="G79">
        <v>3.8321227832632903E-8</v>
      </c>
      <c r="H79">
        <v>2.8512985643562501E-8</v>
      </c>
      <c r="I79">
        <v>2.7661023449024801E-8</v>
      </c>
      <c r="J79">
        <v>7</v>
      </c>
      <c r="K79">
        <v>2</v>
      </c>
      <c r="L79">
        <v>0.2</v>
      </c>
      <c r="M79">
        <v>10</v>
      </c>
      <c r="N79" s="4">
        <f t="shared" si="12"/>
        <v>0.99488510250000006</v>
      </c>
      <c r="O79" s="6">
        <f t="shared" si="13"/>
        <v>1.5963119721153933</v>
      </c>
      <c r="P79" s="6">
        <f t="shared" si="14"/>
        <v>2.4849507684732872</v>
      </c>
      <c r="Q79" s="6"/>
      <c r="R79" s="6">
        <f t="shared" si="15"/>
        <v>0.28659576439443668</v>
      </c>
      <c r="S79" s="6">
        <f t="shared" si="16"/>
        <v>0.27803234141828753</v>
      </c>
      <c r="T79" s="8">
        <f t="shared" si="17"/>
        <v>1.9259122353092477E-3</v>
      </c>
    </row>
    <row r="80" spans="3:20" x14ac:dyDescent="0.2">
      <c r="D80">
        <v>1.9884077286E-3</v>
      </c>
      <c r="E80">
        <v>1.1195722000000001E-7</v>
      </c>
      <c r="F80">
        <v>2.3239835000000001E-7</v>
      </c>
      <c r="G80">
        <v>1.5841281926964799E-8</v>
      </c>
      <c r="H80">
        <v>2.9350958068717301E-8</v>
      </c>
      <c r="I80">
        <v>3.1949620245434801E-8</v>
      </c>
      <c r="J80">
        <v>7</v>
      </c>
      <c r="K80">
        <v>2</v>
      </c>
      <c r="L80">
        <v>0.2</v>
      </c>
      <c r="M80">
        <v>10</v>
      </c>
      <c r="N80" s="4">
        <f t="shared" si="12"/>
        <v>0.99420386429999985</v>
      </c>
      <c r="O80" s="6">
        <f t="shared" si="13"/>
        <v>1.1260992239134673</v>
      </c>
      <c r="P80" s="6">
        <f t="shared" si="14"/>
        <v>2.337532153565177</v>
      </c>
      <c r="Q80" s="6"/>
      <c r="R80" s="6">
        <f t="shared" si="15"/>
        <v>0.29522072004198807</v>
      </c>
      <c r="S80" s="6">
        <f t="shared" si="16"/>
        <v>0.32135884191045583</v>
      </c>
      <c r="T80" s="8">
        <f t="shared" si="17"/>
        <v>7.966817720085177E-4</v>
      </c>
    </row>
    <row r="81" spans="3:20" x14ac:dyDescent="0.2">
      <c r="D81">
        <v>1.9892749912000002E-3</v>
      </c>
      <c r="E81">
        <v>1.3830951E-7</v>
      </c>
      <c r="F81">
        <v>2.2508160000000001E-7</v>
      </c>
      <c r="G81">
        <v>2.9982873777035402E-8</v>
      </c>
      <c r="H81">
        <v>2.5025586089538399E-8</v>
      </c>
      <c r="I81">
        <v>3.0346861525370299E-8</v>
      </c>
      <c r="J81">
        <v>7</v>
      </c>
      <c r="K81">
        <v>2</v>
      </c>
      <c r="L81">
        <v>0.2</v>
      </c>
      <c r="M81">
        <v>10</v>
      </c>
      <c r="N81" s="4">
        <f t="shared" si="12"/>
        <v>0.99463749560000003</v>
      </c>
      <c r="O81" s="6">
        <f t="shared" si="13"/>
        <v>1.390551940901513</v>
      </c>
      <c r="P81" s="6">
        <f t="shared" si="14"/>
        <v>2.2629510851511077</v>
      </c>
      <c r="Q81" s="6"/>
      <c r="R81" s="6">
        <f t="shared" si="15"/>
        <v>0.25160509432074135</v>
      </c>
      <c r="S81" s="6">
        <f t="shared" si="16"/>
        <v>0.30510474076853511</v>
      </c>
      <c r="T81" s="8">
        <f t="shared" si="17"/>
        <v>1.5072261959593973E-3</v>
      </c>
    </row>
    <row r="83" spans="3:20" x14ac:dyDescent="0.2">
      <c r="C83" s="1" t="s">
        <v>96</v>
      </c>
    </row>
    <row r="84" spans="3:20" x14ac:dyDescent="0.2">
      <c r="D84">
        <v>1.9923111724000002E-3</v>
      </c>
      <c r="E84">
        <v>1.4807235E-7</v>
      </c>
      <c r="F84">
        <v>1.9722010000000001E-7</v>
      </c>
      <c r="G84">
        <v>1.12928825674026E-8</v>
      </c>
      <c r="H84">
        <v>2.6473658168592799E-8</v>
      </c>
      <c r="I84">
        <v>2.5018404960948201E-8</v>
      </c>
      <c r="J84">
        <v>7</v>
      </c>
      <c r="K84">
        <v>2</v>
      </c>
      <c r="L84">
        <v>0.2</v>
      </c>
      <c r="M84">
        <v>10</v>
      </c>
      <c r="N84" s="4">
        <f t="shared" ref="N84:N93" si="18">100*D84/(L84)</f>
        <v>0.9961555862</v>
      </c>
      <c r="O84" s="6">
        <f t="shared" ref="O84:O93" si="19">1000000*E84*L84/(M84*D84)</f>
        <v>1.486437982693511</v>
      </c>
      <c r="P84" s="6">
        <f t="shared" ref="P84:P93" si="20">1000000*F84*L84/(D84*M84)</f>
        <v>1.9798122174100197</v>
      </c>
      <c r="Q84" s="6"/>
      <c r="R84" s="6">
        <f t="shared" ref="R84:R93" si="21">1000000*L84*H84/(M84*D84)</f>
        <v>0.26575826643286654</v>
      </c>
      <c r="S84" s="6">
        <f t="shared" ref="S84:S93" si="22">1000000*L84*I84/(M84*D84)</f>
        <v>0.25114957249183367</v>
      </c>
      <c r="T84" s="8">
        <f t="shared" ref="T84:T93" si="23">G84*100/D84</f>
        <v>5.6682323142317385E-4</v>
      </c>
    </row>
    <row r="85" spans="3:20" x14ac:dyDescent="0.2">
      <c r="D85">
        <v>1.9876296755999999E-3</v>
      </c>
      <c r="E85">
        <v>1.6919849999999999E-7</v>
      </c>
      <c r="F85">
        <v>1.9885075E-7</v>
      </c>
      <c r="G85">
        <v>1.7452940718957402E-8</v>
      </c>
      <c r="H85">
        <v>1.9065904341258E-8</v>
      </c>
      <c r="I85">
        <v>2.3938801928824701E-8</v>
      </c>
      <c r="J85">
        <v>6</v>
      </c>
      <c r="K85">
        <v>2</v>
      </c>
      <c r="L85">
        <v>0.2</v>
      </c>
      <c r="M85">
        <v>10</v>
      </c>
      <c r="N85" s="4">
        <f t="shared" si="18"/>
        <v>0.9938148377999998</v>
      </c>
      <c r="O85" s="6">
        <f t="shared" si="19"/>
        <v>1.7025153334855956</v>
      </c>
      <c r="P85" s="6">
        <f t="shared" si="20"/>
        <v>2.0008832876775551</v>
      </c>
      <c r="Q85" s="6"/>
      <c r="R85" s="6">
        <f t="shared" si="21"/>
        <v>0.19184563981218111</v>
      </c>
      <c r="S85" s="6">
        <f t="shared" si="22"/>
        <v>0.24087788809651742</v>
      </c>
      <c r="T85" s="8">
        <f t="shared" si="23"/>
        <v>8.7807809136724289E-4</v>
      </c>
    </row>
    <row r="86" spans="3:20" x14ac:dyDescent="0.2">
      <c r="D86">
        <v>1.9886120929999999E-3</v>
      </c>
      <c r="E86">
        <v>1.4643520999999999E-7</v>
      </c>
      <c r="F86">
        <v>2.0218819999999999E-7</v>
      </c>
      <c r="G86">
        <v>9.7955336026733608E-9</v>
      </c>
      <c r="H86">
        <v>3.1894117334971E-8</v>
      </c>
      <c r="I86">
        <v>2.2967274293219901E-8</v>
      </c>
      <c r="J86">
        <v>7</v>
      </c>
      <c r="K86">
        <v>2</v>
      </c>
      <c r="L86">
        <v>0.2</v>
      </c>
      <c r="M86">
        <v>10</v>
      </c>
      <c r="N86" s="4">
        <f t="shared" si="18"/>
        <v>0.99430604649999987</v>
      </c>
      <c r="O86" s="6">
        <f t="shared" si="19"/>
        <v>1.472737800554047</v>
      </c>
      <c r="P86" s="6">
        <f t="shared" si="20"/>
        <v>2.0334604291275422</v>
      </c>
      <c r="Q86" s="6"/>
      <c r="R86" s="6">
        <f t="shared" si="21"/>
        <v>0.32076760920080555</v>
      </c>
      <c r="S86" s="6">
        <f t="shared" si="22"/>
        <v>0.2309879777364896</v>
      </c>
      <c r="T86" s="8">
        <f t="shared" si="23"/>
        <v>4.9258141581025577E-4</v>
      </c>
    </row>
    <row r="87" spans="3:20" x14ac:dyDescent="0.2">
      <c r="D87">
        <v>1.9928843113999999E-3</v>
      </c>
      <c r="E87">
        <v>1.4843185E-7</v>
      </c>
      <c r="F87">
        <v>2.0548569999999999E-7</v>
      </c>
      <c r="G87">
        <v>2.9621641842545499E-8</v>
      </c>
      <c r="H87">
        <v>2.36763178583052E-8</v>
      </c>
      <c r="I87">
        <v>2.9989804634408702E-8</v>
      </c>
      <c r="J87">
        <v>7</v>
      </c>
      <c r="K87">
        <v>2</v>
      </c>
      <c r="L87">
        <v>0.2</v>
      </c>
      <c r="M87">
        <v>10</v>
      </c>
      <c r="N87" s="4">
        <f t="shared" si="18"/>
        <v>0.99644215569999994</v>
      </c>
      <c r="O87" s="6">
        <f t="shared" si="19"/>
        <v>1.4896183300848682</v>
      </c>
      <c r="P87" s="6">
        <f t="shared" si="20"/>
        <v>2.0621939650440266</v>
      </c>
      <c r="Q87" s="6"/>
      <c r="R87" s="6">
        <f t="shared" si="21"/>
        <v>0.23760855281832793</v>
      </c>
      <c r="S87" s="6">
        <f t="shared" si="22"/>
        <v>0.30096884663958129</v>
      </c>
      <c r="T87" s="8">
        <f t="shared" si="23"/>
        <v>1.4863703664632854E-3</v>
      </c>
    </row>
    <row r="88" spans="3:20" x14ac:dyDescent="0.2">
      <c r="D88">
        <v>1.9884408618E-3</v>
      </c>
      <c r="E88">
        <v>1.0077693775E-7</v>
      </c>
      <c r="F88">
        <v>1.9758249999999999E-7</v>
      </c>
      <c r="G88">
        <v>2.1012897904079499E-8</v>
      </c>
      <c r="H88">
        <v>6.0743710859355395E-8</v>
      </c>
      <c r="I88">
        <v>3.1290980993730397E-8</v>
      </c>
      <c r="J88">
        <v>7</v>
      </c>
      <c r="K88">
        <v>2</v>
      </c>
      <c r="L88">
        <v>0.2</v>
      </c>
      <c r="M88">
        <v>10</v>
      </c>
      <c r="N88" s="4">
        <f t="shared" si="18"/>
        <v>0.9942204308999999</v>
      </c>
      <c r="O88" s="6">
        <f t="shared" si="19"/>
        <v>1.0136277088851766</v>
      </c>
      <c r="P88" s="6">
        <f t="shared" si="20"/>
        <v>1.9873108000923099</v>
      </c>
      <c r="Q88" s="6"/>
      <c r="R88" s="6">
        <f t="shared" si="21"/>
        <v>0.61096824176473874</v>
      </c>
      <c r="S88" s="6">
        <f t="shared" si="22"/>
        <v>0.31472880682410442</v>
      </c>
      <c r="T88" s="8">
        <f t="shared" si="23"/>
        <v>1.0567524691208546E-3</v>
      </c>
    </row>
    <row r="89" spans="3:20" x14ac:dyDescent="0.2">
      <c r="D89">
        <v>1.9908475842E-3</v>
      </c>
      <c r="E89">
        <v>1.5996429999999999E-7</v>
      </c>
      <c r="F89">
        <v>2.099625E-7</v>
      </c>
      <c r="G89">
        <v>1.23932435292303E-8</v>
      </c>
      <c r="H89">
        <v>1.9727247367790601E-8</v>
      </c>
      <c r="I89">
        <v>1.0723481144199401E-8</v>
      </c>
      <c r="J89">
        <v>6</v>
      </c>
      <c r="K89">
        <v>2</v>
      </c>
      <c r="L89">
        <v>0.2</v>
      </c>
      <c r="M89">
        <v>10</v>
      </c>
      <c r="N89" s="4">
        <f t="shared" si="18"/>
        <v>0.99542379209999998</v>
      </c>
      <c r="O89" s="6">
        <f t="shared" si="19"/>
        <v>1.6069969521476946</v>
      </c>
      <c r="P89" s="6">
        <f t="shared" si="20"/>
        <v>2.1092774923236641</v>
      </c>
      <c r="Q89" s="6"/>
      <c r="R89" s="6">
        <f t="shared" si="21"/>
        <v>0.19817938373939134</v>
      </c>
      <c r="S89" s="6">
        <f t="shared" si="22"/>
        <v>0.10772779623417041</v>
      </c>
      <c r="T89" s="8">
        <f t="shared" si="23"/>
        <v>6.225109158323834E-4</v>
      </c>
    </row>
    <row r="90" spans="3:20" x14ac:dyDescent="0.2">
      <c r="D90">
        <v>1.9907026075999998E-3</v>
      </c>
      <c r="E90">
        <v>1.5648629999999999E-7</v>
      </c>
      <c r="F90">
        <v>2.1517450000000001E-7</v>
      </c>
      <c r="G90">
        <v>1.5000306581669599E-8</v>
      </c>
      <c r="H90">
        <v>2.3444380277797898E-8</v>
      </c>
      <c r="I90">
        <v>2.5806517197212E-8</v>
      </c>
      <c r="J90">
        <v>8</v>
      </c>
      <c r="K90">
        <v>2</v>
      </c>
      <c r="L90">
        <v>0.2</v>
      </c>
      <c r="M90">
        <v>10</v>
      </c>
      <c r="N90" s="4">
        <f t="shared" si="18"/>
        <v>0.99535130379999981</v>
      </c>
      <c r="O90" s="6">
        <f t="shared" si="19"/>
        <v>1.5721715479004732</v>
      </c>
      <c r="P90" s="6">
        <f t="shared" si="20"/>
        <v>2.161794525998189</v>
      </c>
      <c r="Q90" s="6"/>
      <c r="R90" s="6">
        <f t="shared" si="21"/>
        <v>0.23553875087412024</v>
      </c>
      <c r="S90" s="6">
        <f t="shared" si="22"/>
        <v>0.25927044148823869</v>
      </c>
      <c r="T90" s="8">
        <f t="shared" si="23"/>
        <v>7.5351820630576436E-4</v>
      </c>
    </row>
    <row r="91" spans="3:20" x14ac:dyDescent="0.2">
      <c r="D91">
        <v>1.9922575474000002E-3</v>
      </c>
      <c r="E91">
        <v>1.881862E-7</v>
      </c>
      <c r="F91">
        <v>2.3481690000000001E-7</v>
      </c>
      <c r="G91">
        <v>2.13950118730158E-8</v>
      </c>
      <c r="H91">
        <v>2.7967644354861199E-8</v>
      </c>
      <c r="I91">
        <v>1.69863032997177E-8</v>
      </c>
      <c r="J91">
        <v>7</v>
      </c>
      <c r="K91">
        <v>2</v>
      </c>
      <c r="L91">
        <v>0.2</v>
      </c>
      <c r="M91">
        <v>10</v>
      </c>
      <c r="N91" s="4">
        <f t="shared" si="18"/>
        <v>0.99612877369999997</v>
      </c>
      <c r="O91" s="6">
        <f t="shared" si="19"/>
        <v>1.8891754255928686</v>
      </c>
      <c r="P91" s="6">
        <f t="shared" si="20"/>
        <v>2.3572946209334056</v>
      </c>
      <c r="Q91" s="6"/>
      <c r="R91" s="6">
        <f t="shared" si="21"/>
        <v>0.28076334198216923</v>
      </c>
      <c r="S91" s="6">
        <f t="shared" si="22"/>
        <v>0.17052316676511736</v>
      </c>
      <c r="T91" s="8">
        <f t="shared" si="23"/>
        <v>1.0739079342897912E-3</v>
      </c>
    </row>
    <row r="92" spans="3:20" x14ac:dyDescent="0.2">
      <c r="D92">
        <v>1.9921285918000002E-3</v>
      </c>
      <c r="E92">
        <v>1.7871005000000001E-7</v>
      </c>
      <c r="F92">
        <v>2.0119860000000001E-7</v>
      </c>
      <c r="G92">
        <v>2.26928660051016E-8</v>
      </c>
      <c r="H92">
        <v>3.7905833549039701E-8</v>
      </c>
      <c r="I92">
        <v>2.02752153068716E-8</v>
      </c>
      <c r="J92">
        <v>7</v>
      </c>
      <c r="K92">
        <v>2</v>
      </c>
      <c r="L92">
        <v>0.2</v>
      </c>
      <c r="M92">
        <v>10</v>
      </c>
      <c r="N92" s="4">
        <f t="shared" si="18"/>
        <v>0.99606429590000001</v>
      </c>
      <c r="O92" s="6">
        <f t="shared" si="19"/>
        <v>1.7941617899126223</v>
      </c>
      <c r="P92" s="6">
        <f t="shared" si="20"/>
        <v>2.0199358698848431</v>
      </c>
      <c r="Q92" s="6"/>
      <c r="R92" s="6">
        <f t="shared" si="21"/>
        <v>0.38055609166062565</v>
      </c>
      <c r="S92" s="6">
        <f t="shared" si="22"/>
        <v>0.20355327854164076</v>
      </c>
      <c r="T92" s="8">
        <f t="shared" si="23"/>
        <v>1.1391265653487419E-3</v>
      </c>
    </row>
    <row r="93" spans="3:20" x14ac:dyDescent="0.2">
      <c r="D93">
        <v>1.9891935588E-3</v>
      </c>
      <c r="E93">
        <v>1.7161904999999999E-7</v>
      </c>
      <c r="F93">
        <v>2.0225659999999999E-7</v>
      </c>
      <c r="G93">
        <v>2.52252974628058E-8</v>
      </c>
      <c r="H93">
        <v>2.7820410055344301E-8</v>
      </c>
      <c r="I93">
        <v>1.80222602561388E-8</v>
      </c>
      <c r="J93">
        <v>7</v>
      </c>
      <c r="K93">
        <v>2</v>
      </c>
      <c r="L93">
        <v>0.2</v>
      </c>
      <c r="M93">
        <v>10</v>
      </c>
      <c r="N93" s="4">
        <f t="shared" si="18"/>
        <v>0.99459677940000002</v>
      </c>
      <c r="O93" s="6">
        <f t="shared" si="19"/>
        <v>1.72551383188201</v>
      </c>
      <c r="P93" s="6">
        <f t="shared" si="20"/>
        <v>2.0335537394562371</v>
      </c>
      <c r="Q93" s="6"/>
      <c r="R93" s="6">
        <f t="shared" si="21"/>
        <v>0.27971546491561361</v>
      </c>
      <c r="S93" s="6">
        <f t="shared" si="22"/>
        <v>0.18120167518550484</v>
      </c>
      <c r="T93" s="8">
        <f t="shared" si="23"/>
        <v>1.2681167878918331E-3</v>
      </c>
    </row>
    <row r="96" spans="3:20" x14ac:dyDescent="0.2">
      <c r="C96" t="s">
        <v>101</v>
      </c>
    </row>
    <row r="98" spans="3:20" x14ac:dyDescent="0.2">
      <c r="C98" t="str">
        <f>C16</f>
        <v>disconnect aux sec of 5:1</v>
      </c>
      <c r="D98">
        <f t="shared" ref="D98:T98" si="24">D16</f>
        <v>0.20277461204</v>
      </c>
      <c r="E98">
        <f t="shared" si="24"/>
        <v>-8.2677949999999999E-4</v>
      </c>
      <c r="F98">
        <f t="shared" si="24"/>
        <v>4.2893599999999999E-3</v>
      </c>
      <c r="G98">
        <f t="shared" si="24"/>
        <v>4.3223282210367402E-8</v>
      </c>
      <c r="H98">
        <f t="shared" si="24"/>
        <v>1.03057023050328E-7</v>
      </c>
      <c r="I98">
        <f t="shared" si="24"/>
        <v>1.6757088052521001E-7</v>
      </c>
      <c r="J98">
        <f t="shared" si="24"/>
        <v>19</v>
      </c>
      <c r="K98">
        <f t="shared" si="24"/>
        <v>2</v>
      </c>
      <c r="L98">
        <f t="shared" si="24"/>
        <v>0.2</v>
      </c>
      <c r="M98">
        <f t="shared" si="24"/>
        <v>10</v>
      </c>
      <c r="N98">
        <f t="shared" si="24"/>
        <v>101.38730601999998</v>
      </c>
      <c r="O98">
        <f t="shared" si="24"/>
        <v>-81.546648437123565</v>
      </c>
      <c r="P98">
        <f t="shared" si="24"/>
        <v>423.06676924169057</v>
      </c>
      <c r="R98">
        <f t="shared" si="24"/>
        <v>1.0164686990499446E-2</v>
      </c>
      <c r="S98">
        <f t="shared" si="24"/>
        <v>1.6527796930727642E-2</v>
      </c>
      <c r="T98">
        <f t="shared" si="24"/>
        <v>2.1315924008199326E-5</v>
      </c>
    </row>
    <row r="99" spans="3:20" x14ac:dyDescent="0.2">
      <c r="C99" t="str">
        <f t="shared" ref="C99:T99" si="25">C17</f>
        <v>10 k shunting  sec of 5:1</v>
      </c>
      <c r="D99">
        <f t="shared" si="25"/>
        <v>0.20241156862000001</v>
      </c>
      <c r="E99">
        <f t="shared" si="25"/>
        <v>-1.194257E-3</v>
      </c>
      <c r="F99">
        <f t="shared" si="25"/>
        <v>4.3000299999999998E-3</v>
      </c>
      <c r="G99">
        <f t="shared" si="25"/>
        <v>9.3939698710199204E-8</v>
      </c>
      <c r="H99">
        <f t="shared" si="25"/>
        <v>3.6364955657886299E-7</v>
      </c>
      <c r="I99">
        <f t="shared" si="25"/>
        <v>3.3514176105059201E-7</v>
      </c>
      <c r="J99">
        <f t="shared" si="25"/>
        <v>19</v>
      </c>
      <c r="K99">
        <f t="shared" si="25"/>
        <v>2</v>
      </c>
      <c r="L99">
        <f t="shared" si="25"/>
        <v>0.2</v>
      </c>
      <c r="M99">
        <f t="shared" si="25"/>
        <v>10</v>
      </c>
      <c r="N99">
        <f t="shared" si="25"/>
        <v>101.20578431</v>
      </c>
      <c r="O99">
        <f t="shared" si="25"/>
        <v>-118.00284026670965</v>
      </c>
      <c r="P99">
        <f t="shared" si="25"/>
        <v>424.87986524848463</v>
      </c>
      <c r="R99">
        <f t="shared" si="25"/>
        <v>3.5931696894416665E-2</v>
      </c>
      <c r="S99">
        <f t="shared" si="25"/>
        <v>3.311488205298925E-2</v>
      </c>
      <c r="T99">
        <f t="shared" si="25"/>
        <v>4.6410241939559354E-5</v>
      </c>
    </row>
    <row r="100" spans="3:20" x14ac:dyDescent="0.2">
      <c r="C100" t="str">
        <f t="shared" ref="C100:T100" si="26">C18</f>
        <v>4.7 uF shunting sec of 5:1</v>
      </c>
      <c r="D100">
        <f t="shared" si="26"/>
        <v>0.20226592071999999</v>
      </c>
      <c r="E100">
        <f t="shared" si="26"/>
        <v>-7.8341144999999996E-4</v>
      </c>
      <c r="F100">
        <f t="shared" si="26"/>
        <v>3.1288179999999998E-3</v>
      </c>
      <c r="G100">
        <f t="shared" si="26"/>
        <v>2.4025345534538497E-7</v>
      </c>
      <c r="H100">
        <f t="shared" si="26"/>
        <v>2.6429348743395201E-7</v>
      </c>
      <c r="I100">
        <f t="shared" si="26"/>
        <v>6.1366603295286195E-7</v>
      </c>
      <c r="J100">
        <f t="shared" si="26"/>
        <v>19</v>
      </c>
      <c r="K100">
        <f t="shared" si="26"/>
        <v>2</v>
      </c>
      <c r="L100">
        <f t="shared" si="26"/>
        <v>0.2</v>
      </c>
      <c r="M100">
        <f t="shared" si="26"/>
        <v>10</v>
      </c>
      <c r="N100">
        <f t="shared" si="26"/>
        <v>101.13296035999998</v>
      </c>
      <c r="O100">
        <f t="shared" si="26"/>
        <v>-77.463514091876036</v>
      </c>
      <c r="P100">
        <f t="shared" si="26"/>
        <v>309.37668479815477</v>
      </c>
      <c r="R100">
        <f t="shared" si="26"/>
        <v>2.6133269163006241E-2</v>
      </c>
      <c r="S100">
        <f t="shared" si="26"/>
        <v>6.0679132774163168E-2</v>
      </c>
      <c r="T100">
        <f t="shared" si="26"/>
        <v>1.1878098618401058E-4</v>
      </c>
    </row>
    <row r="101" spans="3:20" x14ac:dyDescent="0.2">
      <c r="D101">
        <f>D22</f>
        <v>0.25068441945999997</v>
      </c>
      <c r="E101">
        <f t="shared" ref="E101:T102" si="27">E22</f>
        <v>5.3811635000000004E-6</v>
      </c>
      <c r="F101">
        <f t="shared" si="27"/>
        <v>4.7573644999999999E-6</v>
      </c>
      <c r="G101">
        <f t="shared" si="27"/>
        <v>2.5209272213337699E-7</v>
      </c>
      <c r="H101">
        <f t="shared" si="27"/>
        <v>3.48604811032493E-8</v>
      </c>
      <c r="I101">
        <f t="shared" si="27"/>
        <v>3.0266267605207003E-8</v>
      </c>
      <c r="J101">
        <f t="shared" si="27"/>
        <v>11</v>
      </c>
      <c r="K101">
        <f t="shared" si="27"/>
        <v>2</v>
      </c>
      <c r="L101">
        <f t="shared" si="27"/>
        <v>0.2</v>
      </c>
      <c r="M101">
        <f t="shared" si="27"/>
        <v>10</v>
      </c>
      <c r="N101">
        <f t="shared" si="27"/>
        <v>125.34220972999998</v>
      </c>
      <c r="O101">
        <f t="shared" si="27"/>
        <v>0.42931774631958219</v>
      </c>
      <c r="P101">
        <f t="shared" si="27"/>
        <v>0.37955007417276687</v>
      </c>
      <c r="R101">
        <f t="shared" si="27"/>
        <v>2.7812243918742428E-3</v>
      </c>
      <c r="S101">
        <f t="shared" si="27"/>
        <v>2.4146907630241765E-3</v>
      </c>
      <c r="T101">
        <f t="shared" si="27"/>
        <v>1.0056178308823925E-4</v>
      </c>
    </row>
    <row r="102" spans="3:20" x14ac:dyDescent="0.2">
      <c r="D102">
        <f>D23</f>
        <v>0.23994566253999999</v>
      </c>
      <c r="E102">
        <f t="shared" si="27"/>
        <v>5.1894050000000002E-6</v>
      </c>
      <c r="F102">
        <f t="shared" si="27"/>
        <v>4.5540095000000001E-6</v>
      </c>
      <c r="G102">
        <f t="shared" si="27"/>
        <v>4.8451210942905902E-8</v>
      </c>
      <c r="H102">
        <f t="shared" si="27"/>
        <v>3.77300574476106E-8</v>
      </c>
      <c r="I102">
        <f t="shared" si="27"/>
        <v>3.3869597499084603E-8</v>
      </c>
      <c r="J102">
        <f t="shared" si="27"/>
        <v>11</v>
      </c>
      <c r="K102">
        <f t="shared" si="27"/>
        <v>2</v>
      </c>
      <c r="L102">
        <f t="shared" si="27"/>
        <v>0.2</v>
      </c>
      <c r="M102">
        <f t="shared" si="27"/>
        <v>10</v>
      </c>
      <c r="N102">
        <f t="shared" si="27"/>
        <v>119.97283126999999</v>
      </c>
      <c r="O102">
        <f t="shared" si="27"/>
        <v>0.43254834824404492</v>
      </c>
      <c r="P102">
        <f t="shared" si="27"/>
        <v>0.37958673241203739</v>
      </c>
      <c r="R102">
        <f t="shared" si="27"/>
        <v>3.1448834747176005E-3</v>
      </c>
      <c r="S102">
        <f t="shared" si="27"/>
        <v>2.8231056265447924E-3</v>
      </c>
      <c r="T102">
        <f t="shared" si="27"/>
        <v>2.0192576281652463E-5</v>
      </c>
    </row>
    <row r="103" spans="3:20" x14ac:dyDescent="0.2">
      <c r="D103">
        <f t="shared" ref="D103:T103" si="28">D24</f>
        <v>0.20039037638000001</v>
      </c>
      <c r="E103">
        <f t="shared" si="28"/>
        <v>4.3176629999999998E-6</v>
      </c>
      <c r="F103">
        <f t="shared" si="28"/>
        <v>3.7762045000000002E-6</v>
      </c>
      <c r="G103">
        <f t="shared" si="28"/>
        <v>1.3075199021868799E-7</v>
      </c>
      <c r="H103">
        <f t="shared" si="28"/>
        <v>2.5550655197078601E-8</v>
      </c>
      <c r="I103">
        <f t="shared" si="28"/>
        <v>3.8834355855994297E-8</v>
      </c>
      <c r="J103">
        <f t="shared" si="28"/>
        <v>11</v>
      </c>
      <c r="K103">
        <f t="shared" si="28"/>
        <v>2</v>
      </c>
      <c r="L103">
        <f t="shared" si="28"/>
        <v>0.2</v>
      </c>
      <c r="M103">
        <f t="shared" si="28"/>
        <v>10</v>
      </c>
      <c r="N103">
        <f t="shared" si="28"/>
        <v>100.19518819</v>
      </c>
      <c r="O103">
        <f t="shared" si="28"/>
        <v>0.4309251849312784</v>
      </c>
      <c r="P103">
        <f t="shared" si="28"/>
        <v>0.37688481535053237</v>
      </c>
      <c r="R103">
        <f t="shared" si="28"/>
        <v>2.5500880490016073E-3</v>
      </c>
      <c r="S103">
        <f t="shared" si="28"/>
        <v>3.8758703444273946E-3</v>
      </c>
      <c r="T103">
        <f t="shared" si="28"/>
        <v>6.5248637474857158E-5</v>
      </c>
    </row>
    <row r="104" spans="3:20" x14ac:dyDescent="0.2">
      <c r="D104">
        <f t="shared" ref="D104:T104" si="29">D25</f>
        <v>0.11999517234</v>
      </c>
      <c r="E104">
        <f t="shared" si="29"/>
        <v>2.4905804999999999E-6</v>
      </c>
      <c r="F104">
        <f t="shared" si="29"/>
        <v>2.2472264999999998E-6</v>
      </c>
      <c r="G104">
        <f t="shared" si="29"/>
        <v>1.28975400998164E-7</v>
      </c>
      <c r="H104">
        <f t="shared" si="29"/>
        <v>8.1942575897697999E-8</v>
      </c>
      <c r="I104">
        <f t="shared" si="29"/>
        <v>5.9001540426924398E-8</v>
      </c>
      <c r="J104">
        <f t="shared" si="29"/>
        <v>10</v>
      </c>
      <c r="K104">
        <f t="shared" si="29"/>
        <v>2</v>
      </c>
      <c r="L104">
        <f t="shared" si="29"/>
        <v>0.2</v>
      </c>
      <c r="M104">
        <f t="shared" si="29"/>
        <v>10</v>
      </c>
      <c r="N104">
        <f t="shared" si="29"/>
        <v>59.997586169999991</v>
      </c>
      <c r="O104">
        <f t="shared" si="29"/>
        <v>0.41511345022165924</v>
      </c>
      <c r="P104">
        <f t="shared" si="29"/>
        <v>0.37455281844716259</v>
      </c>
      <c r="R104">
        <f t="shared" si="29"/>
        <v>1.3657645436854417E-2</v>
      </c>
      <c r="S104">
        <f t="shared" si="29"/>
        <v>9.8339856973156635E-3</v>
      </c>
      <c r="T104">
        <f t="shared" si="29"/>
        <v>1.0748382495982338E-4</v>
      </c>
    </row>
    <row r="105" spans="3:20" x14ac:dyDescent="0.2">
      <c r="D105">
        <f t="shared" ref="D105:T105" si="30">D26</f>
        <v>8.0135004349999997E-2</v>
      </c>
      <c r="E105">
        <f t="shared" si="30"/>
        <v>1.6402634999999999E-6</v>
      </c>
      <c r="F105">
        <f t="shared" si="30"/>
        <v>1.507049E-6</v>
      </c>
      <c r="G105">
        <f t="shared" si="30"/>
        <v>8.0351082442611107E-8</v>
      </c>
      <c r="H105">
        <f t="shared" si="30"/>
        <v>7.1316756675763101E-8</v>
      </c>
      <c r="I105">
        <f t="shared" si="30"/>
        <v>8.7580267977438894E-8</v>
      </c>
      <c r="J105">
        <f t="shared" si="30"/>
        <v>10</v>
      </c>
      <c r="K105">
        <f t="shared" si="30"/>
        <v>2</v>
      </c>
      <c r="L105">
        <f t="shared" si="30"/>
        <v>0.2</v>
      </c>
      <c r="M105">
        <f t="shared" si="30"/>
        <v>10</v>
      </c>
      <c r="N105">
        <f t="shared" si="30"/>
        <v>40.067502174999994</v>
      </c>
      <c r="O105">
        <f t="shared" si="30"/>
        <v>0.40937503237310302</v>
      </c>
      <c r="P105">
        <f t="shared" si="30"/>
        <v>0.37612751436757125</v>
      </c>
      <c r="R105">
        <f t="shared" si="30"/>
        <v>1.7799152131889314E-2</v>
      </c>
      <c r="S105">
        <f t="shared" si="30"/>
        <v>2.1858180126857106E-2</v>
      </c>
      <c r="T105">
        <f t="shared" si="30"/>
        <v>1.0026964257924959E-4</v>
      </c>
    </row>
    <row r="106" spans="3:20" x14ac:dyDescent="0.2">
      <c r="D106">
        <f t="shared" ref="D106:T106" si="31">D27</f>
        <v>4.0114872019999998E-2</v>
      </c>
      <c r="E106">
        <f t="shared" si="31"/>
        <v>7.8453235E-7</v>
      </c>
      <c r="F106">
        <f t="shared" si="31"/>
        <v>8.4147674999999995E-7</v>
      </c>
      <c r="G106">
        <f t="shared" si="31"/>
        <v>3.40197256597513E-8</v>
      </c>
      <c r="H106">
        <f t="shared" si="31"/>
        <v>9.3730820707105198E-8</v>
      </c>
      <c r="I106">
        <f t="shared" si="31"/>
        <v>5.6982295087926201E-8</v>
      </c>
      <c r="J106">
        <f t="shared" si="31"/>
        <v>9</v>
      </c>
      <c r="K106">
        <f t="shared" si="31"/>
        <v>2</v>
      </c>
      <c r="L106">
        <f t="shared" si="31"/>
        <v>0.2</v>
      </c>
      <c r="M106">
        <f t="shared" si="31"/>
        <v>10</v>
      </c>
      <c r="N106">
        <f t="shared" si="31"/>
        <v>20.057436009999996</v>
      </c>
      <c r="O106">
        <f t="shared" si="31"/>
        <v>0.39114289065105695</v>
      </c>
      <c r="P106">
        <f t="shared" si="31"/>
        <v>0.4195335583174572</v>
      </c>
      <c r="R106">
        <f t="shared" si="31"/>
        <v>4.6731207648063294E-2</v>
      </c>
      <c r="S106">
        <f t="shared" si="31"/>
        <v>2.8409560952614602E-2</v>
      </c>
      <c r="T106">
        <f t="shared" si="31"/>
        <v>8.4805768899848778E-5</v>
      </c>
    </row>
    <row r="107" spans="3:20" x14ac:dyDescent="0.2">
      <c r="D107">
        <f t="shared" ref="D107:T107" si="32">D28</f>
        <v>2.0079960404000001E-2</v>
      </c>
      <c r="E107">
        <f t="shared" si="32"/>
        <v>3.9371264999999997E-7</v>
      </c>
      <c r="F107">
        <f t="shared" si="32"/>
        <v>3.8049949999999999E-7</v>
      </c>
      <c r="G107">
        <f t="shared" si="32"/>
        <v>1.5956671008260199E-7</v>
      </c>
      <c r="H107">
        <f t="shared" si="32"/>
        <v>3.4261072865972797E-8</v>
      </c>
      <c r="I107">
        <f t="shared" si="32"/>
        <v>1.8828165084521601E-8</v>
      </c>
      <c r="J107">
        <f t="shared" si="32"/>
        <v>9</v>
      </c>
      <c r="K107">
        <f t="shared" si="32"/>
        <v>2</v>
      </c>
      <c r="L107">
        <f t="shared" si="32"/>
        <v>0.2</v>
      </c>
      <c r="M107">
        <f t="shared" si="32"/>
        <v>10</v>
      </c>
      <c r="N107">
        <f t="shared" si="32"/>
        <v>10.039980202000001</v>
      </c>
      <c r="O107">
        <f t="shared" si="32"/>
        <v>0.39214484698044627</v>
      </c>
      <c r="P107">
        <f t="shared" si="32"/>
        <v>0.37898431306089936</v>
      </c>
      <c r="R107">
        <f t="shared" si="32"/>
        <v>3.4124641858504723E-2</v>
      </c>
      <c r="S107">
        <f t="shared" si="32"/>
        <v>1.8753189454269004E-2</v>
      </c>
      <c r="T107">
        <f t="shared" si="32"/>
        <v>7.9465649768321108E-4</v>
      </c>
    </row>
    <row r="108" spans="3:20" x14ac:dyDescent="0.2">
      <c r="D108">
        <f>AVERAGE(D29:D34)</f>
        <v>1.0096501996999999E-2</v>
      </c>
      <c r="E108">
        <f t="shared" ref="E108:T108" si="33">AVERAGE(E29:E34)</f>
        <v>2.0600229999999997E-7</v>
      </c>
      <c r="F108">
        <f t="shared" si="33"/>
        <v>1.9027358333333332E-7</v>
      </c>
      <c r="G108">
        <f t="shared" si="33"/>
        <v>6.7342563096645797E-8</v>
      </c>
      <c r="H108">
        <f t="shared" si="33"/>
        <v>2.8611368239922465E-8</v>
      </c>
      <c r="I108">
        <f t="shared" si="33"/>
        <v>2.6840968281760413E-8</v>
      </c>
      <c r="J108">
        <f t="shared" si="33"/>
        <v>7.166666666666667</v>
      </c>
      <c r="K108">
        <f t="shared" si="33"/>
        <v>2</v>
      </c>
      <c r="L108">
        <f t="shared" si="33"/>
        <v>0.19999999999999998</v>
      </c>
      <c r="M108">
        <f t="shared" si="33"/>
        <v>10</v>
      </c>
      <c r="N108">
        <f t="shared" si="33"/>
        <v>5.0482509984999995</v>
      </c>
      <c r="O108">
        <f t="shared" si="33"/>
        <v>0.40806692463658828</v>
      </c>
      <c r="P108">
        <f t="shared" si="33"/>
        <v>0.37689830490572768</v>
      </c>
      <c r="R108">
        <f t="shared" si="33"/>
        <v>5.6666281365793568E-2</v>
      </c>
      <c r="S108">
        <f t="shared" si="33"/>
        <v>5.3164581584875741E-2</v>
      </c>
      <c r="T108">
        <f t="shared" si="33"/>
        <v>6.6682231903204164E-4</v>
      </c>
    </row>
    <row r="109" spans="3:20" x14ac:dyDescent="0.2">
      <c r="D109">
        <f t="shared" ref="D109:M109" si="34">AVERAGE(D84:D93)</f>
        <v>1.9905008003999998E-3</v>
      </c>
      <c r="E109">
        <f t="shared" si="34"/>
        <v>1.5678807477499999E-7</v>
      </c>
      <c r="F109">
        <f t="shared" si="34"/>
        <v>2.0647363499999997E-7</v>
      </c>
      <c r="G109">
        <f t="shared" si="34"/>
        <v>1.8588262208748145E-8</v>
      </c>
      <c r="H109">
        <f t="shared" si="34"/>
        <v>2.9871922416731607E-8</v>
      </c>
      <c r="I109">
        <f t="shared" si="34"/>
        <v>2.2501904401527139E-8</v>
      </c>
      <c r="J109">
        <f t="shared" si="34"/>
        <v>6.9</v>
      </c>
      <c r="K109">
        <f t="shared" si="34"/>
        <v>2</v>
      </c>
      <c r="L109">
        <f t="shared" si="34"/>
        <v>0.19999999999999998</v>
      </c>
      <c r="M109">
        <f t="shared" si="34"/>
        <v>10</v>
      </c>
      <c r="N109">
        <f>AVERAGE(N84:N93)</f>
        <v>0.99525040019999977</v>
      </c>
      <c r="O109">
        <f>AVERAGE(O84:O93)</f>
        <v>1.5752956703138865</v>
      </c>
      <c r="P109">
        <f>AVERAGE(P84:P93)</f>
        <v>2.0745516947947791</v>
      </c>
      <c r="R109">
        <f>AVERAGE(R84:R93)</f>
        <v>0.30017013432008399</v>
      </c>
      <c r="S109">
        <f>AVERAGE(S84:S93)</f>
        <v>0.22609894500031985</v>
      </c>
      <c r="T109">
        <f>AVERAGE(T84:T93)</f>
        <v>9.3377859838533262E-4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D5B24-5B2B-4A97-8BC8-EB3F4D7D70A7}">
  <dimension ref="A2:G63"/>
  <sheetViews>
    <sheetView workbookViewId="0">
      <selection activeCell="H10" sqref="H10"/>
    </sheetView>
  </sheetViews>
  <sheetFormatPr defaultRowHeight="12.75" x14ac:dyDescent="0.2"/>
  <sheetData>
    <row r="2" spans="1:7" x14ac:dyDescent="0.2">
      <c r="B2" t="s">
        <v>102</v>
      </c>
      <c r="C2" t="s">
        <v>103</v>
      </c>
      <c r="D2" t="s">
        <v>103</v>
      </c>
      <c r="E2" t="s">
        <v>103</v>
      </c>
      <c r="F2" t="s">
        <v>103</v>
      </c>
      <c r="G2" t="s">
        <v>103</v>
      </c>
    </row>
    <row r="3" spans="1:7" x14ac:dyDescent="0.2">
      <c r="A3">
        <v>125</v>
      </c>
      <c r="B3">
        <v>4.2931774631958221E-7</v>
      </c>
    </row>
    <row r="4" spans="1:7" x14ac:dyDescent="0.2">
      <c r="A4">
        <v>120</v>
      </c>
      <c r="B4">
        <v>4.3254834824404489E-7</v>
      </c>
    </row>
    <row r="5" spans="1:7" x14ac:dyDescent="0.2">
      <c r="A5">
        <v>100</v>
      </c>
      <c r="B5">
        <v>4.3092518493127848E-7</v>
      </c>
    </row>
    <row r="6" spans="1:7" x14ac:dyDescent="0.2">
      <c r="A6">
        <v>60</v>
      </c>
      <c r="B6">
        <v>4.1511345022165919E-7</v>
      </c>
    </row>
    <row r="7" spans="1:7" x14ac:dyDescent="0.2">
      <c r="A7">
        <v>40</v>
      </c>
      <c r="B7">
        <v>4.0937503237310299E-7</v>
      </c>
    </row>
    <row r="8" spans="1:7" x14ac:dyDescent="0.2">
      <c r="A8">
        <v>20</v>
      </c>
      <c r="B8">
        <v>3.9114289065105689E-7</v>
      </c>
    </row>
    <row r="9" spans="1:7" x14ac:dyDescent="0.2">
      <c r="A9">
        <v>10</v>
      </c>
      <c r="B9">
        <v>3.9214484698044632E-7</v>
      </c>
    </row>
    <row r="10" spans="1:7" x14ac:dyDescent="0.2">
      <c r="A10">
        <v>5</v>
      </c>
      <c r="B10">
        <v>4.0806667509442372E-7</v>
      </c>
    </row>
    <row r="11" spans="1:7" x14ac:dyDescent="0.2">
      <c r="A11">
        <v>1</v>
      </c>
      <c r="B11">
        <v>1.575363091976579E-6</v>
      </c>
    </row>
    <row r="12" spans="1:7" x14ac:dyDescent="0.2">
      <c r="B12" t="s">
        <v>104</v>
      </c>
      <c r="C12" t="s">
        <v>103</v>
      </c>
      <c r="D12" t="s">
        <v>103</v>
      </c>
      <c r="E12" t="s">
        <v>103</v>
      </c>
      <c r="F12" t="s">
        <v>103</v>
      </c>
      <c r="G12" t="s">
        <v>103</v>
      </c>
    </row>
    <row r="13" spans="1:7" x14ac:dyDescent="0.2">
      <c r="A13">
        <v>125</v>
      </c>
      <c r="B13">
        <v>3.7955007417276691E-7</v>
      </c>
    </row>
    <row r="14" spans="1:7" x14ac:dyDescent="0.2">
      <c r="A14">
        <v>120</v>
      </c>
      <c r="B14">
        <v>3.7958673241203751E-7</v>
      </c>
    </row>
    <row r="15" spans="1:7" x14ac:dyDescent="0.2">
      <c r="A15">
        <v>100</v>
      </c>
      <c r="B15">
        <v>3.7688481535053248E-7</v>
      </c>
    </row>
    <row r="16" spans="1:7" x14ac:dyDescent="0.2">
      <c r="A16">
        <v>60</v>
      </c>
      <c r="B16">
        <v>3.7455281844716249E-7</v>
      </c>
    </row>
    <row r="17" spans="1:7" x14ac:dyDescent="0.2">
      <c r="A17">
        <v>40</v>
      </c>
      <c r="B17">
        <v>3.7612751436757122E-7</v>
      </c>
    </row>
    <row r="18" spans="1:7" x14ac:dyDescent="0.2">
      <c r="A18">
        <v>20</v>
      </c>
      <c r="B18">
        <v>4.1953355831745708E-7</v>
      </c>
    </row>
    <row r="19" spans="1:7" x14ac:dyDescent="0.2">
      <c r="A19">
        <v>10</v>
      </c>
      <c r="B19">
        <v>3.7898431306089939E-7</v>
      </c>
    </row>
    <row r="20" spans="1:7" x14ac:dyDescent="0.2">
      <c r="A20">
        <v>5</v>
      </c>
      <c r="B20">
        <v>3.7690991075893379E-7</v>
      </c>
    </row>
    <row r="21" spans="1:7" x14ac:dyDescent="0.2">
      <c r="A21">
        <v>1</v>
      </c>
      <c r="B21">
        <v>2.0745898214008069E-6</v>
      </c>
    </row>
    <row r="22" spans="1:7" x14ac:dyDescent="0.2">
      <c r="B22" t="s">
        <v>105</v>
      </c>
      <c r="C22" t="s">
        <v>106</v>
      </c>
      <c r="D22" t="s">
        <v>107</v>
      </c>
      <c r="E22" t="s">
        <v>108</v>
      </c>
      <c r="F22" t="s">
        <v>109</v>
      </c>
    </row>
    <row r="23" spans="1:7" x14ac:dyDescent="0.2">
      <c r="A23" t="s">
        <v>110</v>
      </c>
      <c r="B23" t="s">
        <v>111</v>
      </c>
      <c r="C23" t="s">
        <v>112</v>
      </c>
      <c r="D23" t="s">
        <v>113</v>
      </c>
      <c r="E23" t="s">
        <v>114</v>
      </c>
      <c r="F23" t="s">
        <v>115</v>
      </c>
    </row>
    <row r="24" spans="1:7" x14ac:dyDescent="0.2">
      <c r="A24" t="s">
        <v>116</v>
      </c>
      <c r="B24" t="s">
        <v>117</v>
      </c>
      <c r="C24" t="s">
        <v>118</v>
      </c>
      <c r="D24" t="s">
        <v>119</v>
      </c>
      <c r="E24" t="s">
        <v>120</v>
      </c>
      <c r="F24" t="s">
        <v>121</v>
      </c>
    </row>
    <row r="25" spans="1:7" x14ac:dyDescent="0.2">
      <c r="B25" t="s">
        <v>110</v>
      </c>
      <c r="C25" t="s">
        <v>116</v>
      </c>
    </row>
    <row r="26" spans="1:7" x14ac:dyDescent="0.2">
      <c r="A26" t="s">
        <v>122</v>
      </c>
      <c r="B26" t="s">
        <v>123</v>
      </c>
      <c r="C26" t="s">
        <v>124</v>
      </c>
    </row>
    <row r="27" spans="1:7" x14ac:dyDescent="0.2">
      <c r="A27" t="s">
        <v>125</v>
      </c>
      <c r="B27" t="s">
        <v>126</v>
      </c>
      <c r="C27" t="s">
        <v>127</v>
      </c>
    </row>
    <row r="29" spans="1:7" x14ac:dyDescent="0.2">
      <c r="A29" t="s">
        <v>128</v>
      </c>
    </row>
    <row r="30" spans="1:7" x14ac:dyDescent="0.2">
      <c r="A30" t="s">
        <v>129</v>
      </c>
      <c r="B30" t="s">
        <v>130</v>
      </c>
      <c r="C30" t="s">
        <v>131</v>
      </c>
      <c r="D30" t="s">
        <v>132</v>
      </c>
      <c r="E30" t="s">
        <v>133</v>
      </c>
      <c r="F30" t="s">
        <v>134</v>
      </c>
      <c r="G30" t="s">
        <v>135</v>
      </c>
    </row>
    <row r="31" spans="1:7" x14ac:dyDescent="0.2">
      <c r="A31">
        <v>125</v>
      </c>
      <c r="B31">
        <v>2.589202175978396E-7</v>
      </c>
      <c r="C31">
        <v>1.1267026818970711E-7</v>
      </c>
      <c r="D31">
        <v>1.4325374226476361E-7</v>
      </c>
      <c r="E31">
        <v>2.3767095197184099E-7</v>
      </c>
      <c r="F31">
        <v>2.19349265868212</v>
      </c>
      <c r="G31">
        <v>2.3645167156854021</v>
      </c>
    </row>
    <row r="32" spans="1:7" x14ac:dyDescent="0.2">
      <c r="A32">
        <v>120</v>
      </c>
      <c r="B32">
        <v>2.605689878555706E-7</v>
      </c>
      <c r="C32">
        <v>1.120820456807461E-7</v>
      </c>
      <c r="D32">
        <v>1.4444257382196869E-7</v>
      </c>
      <c r="E32">
        <v>2.378277917426937E-7</v>
      </c>
      <c r="F32">
        <v>2.1793256378888142</v>
      </c>
      <c r="G32">
        <v>2.3583029588587299</v>
      </c>
    </row>
    <row r="33" spans="1:7" x14ac:dyDescent="0.2">
      <c r="A33">
        <v>100</v>
      </c>
      <c r="B33">
        <v>2.8170963989711198E-7</v>
      </c>
      <c r="C33">
        <v>1.125777056634894E-7</v>
      </c>
      <c r="D33">
        <v>1.5134567296473671E-7</v>
      </c>
      <c r="E33">
        <v>2.3880777782880892E-7</v>
      </c>
      <c r="F33">
        <v>2.122041502390684</v>
      </c>
      <c r="G33">
        <v>2.3274367463203252</v>
      </c>
    </row>
    <row r="34" spans="1:7" x14ac:dyDescent="0.2">
      <c r="A34">
        <v>60</v>
      </c>
      <c r="B34">
        <v>3.4613528329969729E-7</v>
      </c>
      <c r="C34">
        <v>1.101318489956455E-7</v>
      </c>
      <c r="D34">
        <v>1.5574523682807961E-7</v>
      </c>
      <c r="E34">
        <v>2.4102851932081909E-7</v>
      </c>
      <c r="F34">
        <v>2.0992451286696641</v>
      </c>
      <c r="G34">
        <v>2.2830034795188632</v>
      </c>
    </row>
    <row r="35" spans="1:7" x14ac:dyDescent="0.2">
      <c r="A35">
        <v>40</v>
      </c>
      <c r="B35">
        <v>3.9057391344741968E-7</v>
      </c>
      <c r="C35">
        <v>1.0496030019766609E-7</v>
      </c>
      <c r="D35">
        <v>1.6226941768990811E-7</v>
      </c>
      <c r="E35">
        <v>2.4551389634630267E-7</v>
      </c>
      <c r="F35">
        <v>2.076231473286871</v>
      </c>
      <c r="G35">
        <v>2.2266006701787662</v>
      </c>
    </row>
    <row r="36" spans="1:7" x14ac:dyDescent="0.2">
      <c r="A36">
        <v>20</v>
      </c>
      <c r="B36">
        <v>4.5866134486447628E-7</v>
      </c>
      <c r="C36">
        <v>5.3104530801170177E-8</v>
      </c>
      <c r="D36">
        <v>2.7772454280929772E-7</v>
      </c>
      <c r="E36">
        <v>3.1396239153098741E-7</v>
      </c>
      <c r="F36">
        <v>2.0060110486474669</v>
      </c>
      <c r="G36">
        <v>2.0494873113372609</v>
      </c>
    </row>
    <row r="37" spans="1:7" x14ac:dyDescent="0.2">
      <c r="A37">
        <v>10</v>
      </c>
      <c r="B37">
        <v>4.777297625473337E-7</v>
      </c>
      <c r="C37">
        <v>8.3961493618810119E-8</v>
      </c>
      <c r="D37">
        <v>5.9983992991460919E-7</v>
      </c>
      <c r="E37">
        <v>6.1397341360506208E-7</v>
      </c>
      <c r="F37">
        <v>2.0714271869404999</v>
      </c>
      <c r="G37">
        <v>2.063793095453172</v>
      </c>
    </row>
    <row r="38" spans="1:7" x14ac:dyDescent="0.2">
      <c r="A38">
        <v>5</v>
      </c>
      <c r="B38">
        <v>4.7184312143947962E-7</v>
      </c>
      <c r="C38">
        <v>8.1189754701316872E-8</v>
      </c>
      <c r="D38">
        <v>8.4960566295575818E-7</v>
      </c>
      <c r="E38">
        <v>8.5872455629778424E-7</v>
      </c>
      <c r="F38">
        <v>2.068050149452219</v>
      </c>
      <c r="G38">
        <v>2.0634710723956711</v>
      </c>
    </row>
    <row r="39" spans="1:7" x14ac:dyDescent="0.2">
      <c r="A39">
        <v>1</v>
      </c>
      <c r="B39">
        <v>-6.8742514583777723E-7</v>
      </c>
      <c r="C39">
        <v>-1.620367068916123E-6</v>
      </c>
      <c r="D39">
        <v>2.6114186960721602E-6</v>
      </c>
      <c r="E39">
        <v>2.6012868412028712E-6</v>
      </c>
      <c r="F39">
        <v>2.3076986402325121</v>
      </c>
      <c r="G39">
        <v>2.330799488512461</v>
      </c>
    </row>
    <row r="41" spans="1:7" x14ac:dyDescent="0.2">
      <c r="A41" t="s">
        <v>136</v>
      </c>
    </row>
    <row r="42" spans="1:7" x14ac:dyDescent="0.2">
      <c r="A42" t="s">
        <v>129</v>
      </c>
      <c r="B42" t="s">
        <v>130</v>
      </c>
      <c r="C42" t="s">
        <v>131</v>
      </c>
      <c r="D42" t="s">
        <v>132</v>
      </c>
      <c r="E42" t="s">
        <v>133</v>
      </c>
      <c r="F42" t="s">
        <v>134</v>
      </c>
      <c r="G42" t="s">
        <v>135</v>
      </c>
    </row>
    <row r="43" spans="1:7" x14ac:dyDescent="0.2">
      <c r="A43">
        <v>125</v>
      </c>
      <c r="B43">
        <v>6.8823796391742181E-7</v>
      </c>
      <c r="C43">
        <v>4.92220342362474E-7</v>
      </c>
      <c r="D43">
        <v>1.4261993898266749E-7</v>
      </c>
      <c r="E43">
        <v>2.3751828116925019E-7</v>
      </c>
      <c r="F43">
        <v>2.202295457882081</v>
      </c>
      <c r="G43">
        <v>2.3711652373520171</v>
      </c>
    </row>
    <row r="44" spans="1:7" x14ac:dyDescent="0.2">
      <c r="A44">
        <v>120</v>
      </c>
      <c r="B44">
        <v>6.9311733609961549E-7</v>
      </c>
      <c r="C44">
        <v>4.9166877809278359E-7</v>
      </c>
      <c r="D44">
        <v>1.4371497363622611E-7</v>
      </c>
      <c r="E44">
        <v>2.3764793467491941E-7</v>
      </c>
      <c r="F44">
        <v>2.188205129351537</v>
      </c>
      <c r="G44">
        <v>2.3655435571854682</v>
      </c>
    </row>
    <row r="45" spans="1:7" x14ac:dyDescent="0.2">
      <c r="A45">
        <v>100</v>
      </c>
      <c r="B45">
        <v>7.1263482482839047E-7</v>
      </c>
      <c r="C45">
        <v>4.8946252101402192E-7</v>
      </c>
      <c r="D45">
        <v>1.5027590144453319E-7</v>
      </c>
      <c r="E45">
        <v>2.3847186610170291E-7</v>
      </c>
      <c r="F45">
        <v>2.1293697281393031</v>
      </c>
      <c r="G45">
        <v>2.33692055853993</v>
      </c>
    </row>
    <row r="46" spans="1:7" x14ac:dyDescent="0.2">
      <c r="A46">
        <v>60</v>
      </c>
      <c r="B46">
        <v>7.6124873352135648E-7</v>
      </c>
      <c r="C46">
        <v>4.8468466744280803E-7</v>
      </c>
      <c r="D46">
        <v>1.509699287177662E-7</v>
      </c>
      <c r="E46">
        <v>2.3965589788520889E-7</v>
      </c>
      <c r="F46">
        <v>2.1265515308465499</v>
      </c>
      <c r="G46">
        <v>2.3091266645517412</v>
      </c>
    </row>
    <row r="47" spans="1:7" x14ac:dyDescent="0.2">
      <c r="A47">
        <v>40</v>
      </c>
      <c r="B47">
        <v>7.9994894582052267E-7</v>
      </c>
      <c r="C47">
        <v>4.8108781456523725E-7</v>
      </c>
      <c r="D47">
        <v>1.522652808241062E-7</v>
      </c>
      <c r="E47">
        <v>2.4068519354413772E-7</v>
      </c>
      <c r="F47">
        <v>2.1179407436149651</v>
      </c>
      <c r="G47">
        <v>2.2888715189156592</v>
      </c>
    </row>
    <row r="48" spans="1:7" x14ac:dyDescent="0.2">
      <c r="A48">
        <v>20</v>
      </c>
      <c r="B48">
        <v>8.4980423551553317E-7</v>
      </c>
      <c r="C48">
        <v>4.7263808911862731E-7</v>
      </c>
      <c r="D48">
        <v>2.4397765291663968E-7</v>
      </c>
      <c r="E48">
        <v>2.9471108251586162E-7</v>
      </c>
      <c r="F48">
        <v>2.0262755383521149</v>
      </c>
      <c r="G48">
        <v>2.074885672884955</v>
      </c>
    </row>
    <row r="49" spans="1:7" x14ac:dyDescent="0.2">
      <c r="A49">
        <v>10</v>
      </c>
      <c r="B49">
        <v>8.6987460952777991E-7</v>
      </c>
      <c r="C49">
        <v>4.6294580667970951E-7</v>
      </c>
      <c r="D49">
        <v>5.6663735514336105E-7</v>
      </c>
      <c r="E49">
        <v>5.8349018047851735E-7</v>
      </c>
      <c r="F49">
        <v>2.1005239272716549</v>
      </c>
      <c r="G49">
        <v>2.086121833444504</v>
      </c>
    </row>
    <row r="50" spans="1:7" x14ac:dyDescent="0.2">
      <c r="A50">
        <v>5</v>
      </c>
      <c r="B50">
        <v>8.7990979653390329E-7</v>
      </c>
      <c r="C50">
        <v>4.5809966546025071E-7</v>
      </c>
      <c r="D50">
        <v>7.4897592989858166E-7</v>
      </c>
      <c r="E50">
        <v>7.5970752904136136E-7</v>
      </c>
      <c r="F50">
        <v>2.1072796327872241</v>
      </c>
      <c r="G50">
        <v>2.098036534180177</v>
      </c>
    </row>
    <row r="51" spans="1:7" x14ac:dyDescent="0.2">
      <c r="A51">
        <v>1</v>
      </c>
      <c r="B51">
        <v>8.8793794613880203E-7</v>
      </c>
      <c r="C51">
        <v>4.5422275248468361E-7</v>
      </c>
      <c r="D51">
        <v>8.9695015036325046E-7</v>
      </c>
      <c r="E51">
        <v>9.043035831475606E-7</v>
      </c>
      <c r="F51">
        <v>2.108920089467591</v>
      </c>
      <c r="G51">
        <v>2.1031427664075801</v>
      </c>
    </row>
    <row r="53" spans="1:7" x14ac:dyDescent="0.2">
      <c r="A53" t="s">
        <v>137</v>
      </c>
    </row>
    <row r="54" spans="1:7" x14ac:dyDescent="0.2">
      <c r="A54" t="s">
        <v>129</v>
      </c>
      <c r="B54" t="s">
        <v>130</v>
      </c>
      <c r="C54" t="s">
        <v>131</v>
      </c>
      <c r="D54" t="s">
        <v>132</v>
      </c>
      <c r="E54" t="s">
        <v>133</v>
      </c>
      <c r="F54" t="s">
        <v>134</v>
      </c>
      <c r="G54" t="s">
        <v>135</v>
      </c>
    </row>
    <row r="55" spans="1:7" x14ac:dyDescent="0.2">
      <c r="A55">
        <v>125</v>
      </c>
      <c r="B55">
        <v>3.0652919430923179E-7</v>
      </c>
      <c r="C55">
        <v>3.2463980252905969E-7</v>
      </c>
      <c r="D55">
        <v>8.0239338661181388E-8</v>
      </c>
      <c r="E55">
        <v>8.4815635783231444E-8</v>
      </c>
      <c r="F55">
        <v>1.987187397723966</v>
      </c>
      <c r="G55">
        <v>2.1285899784744582</v>
      </c>
    </row>
    <row r="56" spans="1:7" x14ac:dyDescent="0.2">
      <c r="A56">
        <v>120</v>
      </c>
      <c r="B56">
        <v>2.562872830440442E-7</v>
      </c>
      <c r="C56">
        <v>3.2658036180873609E-7</v>
      </c>
      <c r="D56">
        <v>8.0372890412298395E-8</v>
      </c>
      <c r="E56">
        <v>8.4847760263373509E-8</v>
      </c>
      <c r="F56">
        <v>1.987021549024117</v>
      </c>
      <c r="G56">
        <v>2.128191875357166</v>
      </c>
    </row>
    <row r="57" spans="1:7" x14ac:dyDescent="0.2">
      <c r="A57">
        <v>100</v>
      </c>
      <c r="B57">
        <v>2.9664321710793488E-7</v>
      </c>
      <c r="C57">
        <v>3.3173025181870449E-7</v>
      </c>
      <c r="D57">
        <v>8.0651401360317239E-8</v>
      </c>
      <c r="E57">
        <v>8.4938945727676002E-8</v>
      </c>
      <c r="F57">
        <v>1.986802872417275</v>
      </c>
      <c r="G57">
        <v>2.1270591431366279</v>
      </c>
    </row>
    <row r="58" spans="1:7" x14ac:dyDescent="0.2">
      <c r="A58">
        <v>60</v>
      </c>
      <c r="B58">
        <v>4.1610290167094508E-7</v>
      </c>
      <c r="C58">
        <v>3.3963761423981458E-7</v>
      </c>
      <c r="D58">
        <v>8.2692428161416542E-8</v>
      </c>
      <c r="E58">
        <v>8.5265496853237982E-8</v>
      </c>
      <c r="F58">
        <v>1.9853163725715079</v>
      </c>
      <c r="G58">
        <v>2.1228512153202268</v>
      </c>
    </row>
    <row r="59" spans="1:7" x14ac:dyDescent="0.2">
      <c r="A59">
        <v>40</v>
      </c>
      <c r="B59">
        <v>5.0882335455031976E-7</v>
      </c>
      <c r="C59">
        <v>3.1621387381622082E-7</v>
      </c>
      <c r="D59">
        <v>8.4866869335982014E-8</v>
      </c>
      <c r="E59">
        <v>8.5851444110457743E-8</v>
      </c>
      <c r="F59">
        <v>1.984391778354021</v>
      </c>
      <c r="G59">
        <v>2.116190369268073</v>
      </c>
    </row>
    <row r="60" spans="1:7" x14ac:dyDescent="0.2">
      <c r="A60">
        <v>20</v>
      </c>
      <c r="B60">
        <v>6.0641079819419461E-7</v>
      </c>
      <c r="C60">
        <v>3.0518258842241247E-7</v>
      </c>
      <c r="D60">
        <v>9.1931886248614932E-8</v>
      </c>
      <c r="E60">
        <v>9.0262518340477391E-8</v>
      </c>
      <c r="F60">
        <v>1.9826430270117681</v>
      </c>
      <c r="G60">
        <v>2.081800558814606</v>
      </c>
    </row>
    <row r="61" spans="1:7" x14ac:dyDescent="0.2">
      <c r="A61">
        <v>10</v>
      </c>
      <c r="B61">
        <v>6.6717818406040213E-7</v>
      </c>
      <c r="C61">
        <v>2.9921027145839519E-7</v>
      </c>
      <c r="D61">
        <v>1.137598653384549E-7</v>
      </c>
      <c r="E61">
        <v>1.1006586307736501E-7</v>
      </c>
      <c r="F61">
        <v>1.990854347606309</v>
      </c>
      <c r="G61">
        <v>2.0347282212380611</v>
      </c>
    </row>
    <row r="62" spans="1:7" x14ac:dyDescent="0.2">
      <c r="A62">
        <v>5</v>
      </c>
      <c r="B62">
        <v>7.3354502187521383E-7</v>
      </c>
      <c r="C62">
        <v>2.9320429774647672E-7</v>
      </c>
      <c r="D62">
        <v>1.700138364408587E-7</v>
      </c>
      <c r="E62">
        <v>1.6565436879695461E-7</v>
      </c>
      <c r="F62">
        <v>2.039375861854356</v>
      </c>
      <c r="G62">
        <v>2.0594528749831271</v>
      </c>
    </row>
    <row r="63" spans="1:7" x14ac:dyDescent="0.2">
      <c r="A63">
        <v>1</v>
      </c>
      <c r="B63">
        <v>7.7368576989970743E-7</v>
      </c>
      <c r="C63">
        <v>2.7381973286864132E-7</v>
      </c>
      <c r="D63">
        <v>7.4301671551032897E-7</v>
      </c>
      <c r="E63">
        <v>7.4114833727585607E-7</v>
      </c>
      <c r="F63">
        <v>2.114334736232955</v>
      </c>
      <c r="G63">
        <v>2.1168237623425128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22186-F5BB-4AE4-8BCB-4A5D92C0BBA3}">
  <dimension ref="C2:J14"/>
  <sheetViews>
    <sheetView showGridLines="0" tabSelected="1" workbookViewId="0">
      <selection activeCell="M11" sqref="M11"/>
    </sheetView>
  </sheetViews>
  <sheetFormatPr defaultRowHeight="12.75" x14ac:dyDescent="0.2"/>
  <cols>
    <col min="3" max="3" width="9.5703125" customWidth="1"/>
    <col min="4" max="4" width="11.85546875" customWidth="1"/>
    <col min="5" max="6" width="9.7109375" customWidth="1"/>
    <col min="8" max="8" width="11.140625" customWidth="1"/>
    <col min="9" max="10" width="9.7109375" customWidth="1"/>
  </cols>
  <sheetData>
    <row r="2" spans="3:10" x14ac:dyDescent="0.2">
      <c r="C2" s="58" t="s">
        <v>150</v>
      </c>
      <c r="D2" s="62"/>
      <c r="E2" s="62"/>
      <c r="F2" s="62"/>
      <c r="G2" s="62"/>
      <c r="H2" s="62"/>
      <c r="I2" s="68"/>
      <c r="J2" s="68"/>
    </row>
    <row r="3" spans="3:10" ht="15.75" x14ac:dyDescent="0.2">
      <c r="C3" s="59" t="s">
        <v>146</v>
      </c>
      <c r="D3" s="63">
        <v>5</v>
      </c>
      <c r="E3" s="65"/>
      <c r="F3" s="71" t="s">
        <v>38</v>
      </c>
      <c r="G3" s="67"/>
      <c r="H3" s="59" t="s">
        <v>138</v>
      </c>
      <c r="I3" s="63" t="s">
        <v>149</v>
      </c>
      <c r="J3" s="70"/>
    </row>
    <row r="4" spans="3:10" ht="12.75" customHeight="1" x14ac:dyDescent="0.2">
      <c r="C4" s="73" t="s">
        <v>139</v>
      </c>
      <c r="D4" s="74"/>
      <c r="E4" s="73" t="s">
        <v>140</v>
      </c>
      <c r="F4" s="74"/>
      <c r="G4" s="73" t="s">
        <v>141</v>
      </c>
      <c r="H4" s="74"/>
      <c r="I4" s="73" t="s">
        <v>142</v>
      </c>
      <c r="J4" s="74"/>
    </row>
    <row r="5" spans="3:10" ht="38.25" x14ac:dyDescent="0.2">
      <c r="C5" s="60" t="s">
        <v>143</v>
      </c>
      <c r="D5" s="60" t="s">
        <v>144</v>
      </c>
      <c r="E5" s="60" t="s">
        <v>147</v>
      </c>
      <c r="F5" s="60" t="s">
        <v>148</v>
      </c>
      <c r="G5" s="60" t="s">
        <v>147</v>
      </c>
      <c r="H5" s="60" t="s">
        <v>148</v>
      </c>
      <c r="I5" s="60" t="s">
        <v>145</v>
      </c>
      <c r="J5" s="60" t="s">
        <v>42</v>
      </c>
    </row>
    <row r="6" spans="3:10" x14ac:dyDescent="0.2">
      <c r="C6" s="61">
        <v>0.2</v>
      </c>
      <c r="D6" s="64">
        <f>PythonResults!A31</f>
        <v>125</v>
      </c>
      <c r="E6" s="66">
        <f>PythonResults!B31*1000000</f>
        <v>0.25892021759783962</v>
      </c>
      <c r="F6" s="66">
        <f>PythonResults!C31*1000000</f>
        <v>0.1126702681897071</v>
      </c>
      <c r="G6" s="66">
        <f>PythonResults!D31*1000000</f>
        <v>0.14325374226476362</v>
      </c>
      <c r="H6" s="66">
        <f>PythonResults!E31*1000000</f>
        <v>0.23767095197184099</v>
      </c>
      <c r="I6" s="69">
        <f>PythonResults!F31</f>
        <v>2.19349265868212</v>
      </c>
      <c r="J6" s="69">
        <f>PythonResults!G31</f>
        <v>2.3645167156854021</v>
      </c>
    </row>
    <row r="7" spans="3:10" x14ac:dyDescent="0.2">
      <c r="C7" s="61">
        <v>0.2</v>
      </c>
      <c r="D7" s="64">
        <f>PythonResults!A32</f>
        <v>120</v>
      </c>
      <c r="E7" s="66">
        <f>PythonResults!B32*1000000</f>
        <v>0.26056898785557059</v>
      </c>
      <c r="F7" s="66">
        <f>PythonResults!C32*1000000</f>
        <v>0.1120820456807461</v>
      </c>
      <c r="G7" s="66">
        <f>PythonResults!D32*1000000</f>
        <v>0.14444257382196868</v>
      </c>
      <c r="H7" s="66">
        <f>PythonResults!E32*1000000</f>
        <v>0.23782779174269369</v>
      </c>
      <c r="I7" s="69">
        <f>PythonResults!F32</f>
        <v>2.1793256378888142</v>
      </c>
      <c r="J7" s="69">
        <f>PythonResults!G32</f>
        <v>2.3583029588587299</v>
      </c>
    </row>
    <row r="8" spans="3:10" x14ac:dyDescent="0.2">
      <c r="C8" s="61">
        <v>0.2</v>
      </c>
      <c r="D8" s="64">
        <f>PythonResults!A33</f>
        <v>100</v>
      </c>
      <c r="E8" s="66">
        <f>PythonResults!B33*1000000</f>
        <v>0.28170963989711201</v>
      </c>
      <c r="F8" s="66">
        <f>PythonResults!C33*1000000</f>
        <v>0.1125777056634894</v>
      </c>
      <c r="G8" s="66">
        <f>PythonResults!D33*1000000</f>
        <v>0.15134567296473672</v>
      </c>
      <c r="H8" s="66">
        <f>PythonResults!E33*1000000</f>
        <v>0.23880777782880891</v>
      </c>
      <c r="I8" s="69">
        <f>PythonResults!F33</f>
        <v>2.122041502390684</v>
      </c>
      <c r="J8" s="69">
        <f>PythonResults!G33</f>
        <v>2.3274367463203252</v>
      </c>
    </row>
    <row r="9" spans="3:10" ht="12.75" customHeight="1" x14ac:dyDescent="0.2">
      <c r="C9" s="61">
        <v>0.2</v>
      </c>
      <c r="D9" s="64">
        <f>PythonResults!A34</f>
        <v>60</v>
      </c>
      <c r="E9" s="66">
        <f>PythonResults!B34*1000000</f>
        <v>0.34613528329969728</v>
      </c>
      <c r="F9" s="66">
        <f>PythonResults!C34*1000000</f>
        <v>0.1101318489956455</v>
      </c>
      <c r="G9" s="66">
        <f>PythonResults!D34*1000000</f>
        <v>0.15574523682807961</v>
      </c>
      <c r="H9" s="66">
        <f>PythonResults!E34*1000000</f>
        <v>0.24102851932081909</v>
      </c>
      <c r="I9" s="69">
        <f>PythonResults!F34</f>
        <v>2.0992451286696641</v>
      </c>
      <c r="J9" s="69">
        <f>PythonResults!G34</f>
        <v>2.2830034795188632</v>
      </c>
    </row>
    <row r="10" spans="3:10" x14ac:dyDescent="0.2">
      <c r="C10" s="61">
        <v>0.2</v>
      </c>
      <c r="D10" s="64">
        <f>PythonResults!A35</f>
        <v>40</v>
      </c>
      <c r="E10" s="66">
        <f>PythonResults!B35*1000000</f>
        <v>0.39057391344741971</v>
      </c>
      <c r="F10" s="66">
        <f>PythonResults!C35*1000000</f>
        <v>0.1049603001976661</v>
      </c>
      <c r="G10" s="66">
        <f>PythonResults!D35*1000000</f>
        <v>0.1622694176899081</v>
      </c>
      <c r="H10" s="66">
        <f>PythonResults!E35*1000000</f>
        <v>0.24551389634630266</v>
      </c>
      <c r="I10" s="69">
        <f>PythonResults!F35</f>
        <v>2.076231473286871</v>
      </c>
      <c r="J10" s="69">
        <f>PythonResults!G35</f>
        <v>2.2266006701787662</v>
      </c>
    </row>
    <row r="11" spans="3:10" x14ac:dyDescent="0.2">
      <c r="C11" s="61">
        <v>0.2</v>
      </c>
      <c r="D11" s="64">
        <f>PythonResults!A36</f>
        <v>20</v>
      </c>
      <c r="E11" s="66">
        <f>PythonResults!B36*1000000</f>
        <v>0.45866134486447629</v>
      </c>
      <c r="F11" s="66">
        <f>PythonResults!C36*1000000</f>
        <v>5.3104530801170176E-2</v>
      </c>
      <c r="G11" s="66">
        <f>PythonResults!D36*1000000</f>
        <v>0.2777245428092977</v>
      </c>
      <c r="H11" s="66">
        <f>PythonResults!E36*1000000</f>
        <v>0.31396239153098743</v>
      </c>
      <c r="I11" s="69">
        <f>PythonResults!F36</f>
        <v>2.0060110486474669</v>
      </c>
      <c r="J11" s="69">
        <f>PythonResults!G36</f>
        <v>2.0494873113372609</v>
      </c>
    </row>
    <row r="12" spans="3:10" x14ac:dyDescent="0.2">
      <c r="C12" s="61">
        <v>0.2</v>
      </c>
      <c r="D12" s="64">
        <f>PythonResults!A37</f>
        <v>10</v>
      </c>
      <c r="E12" s="66">
        <f>PythonResults!B37*1000000</f>
        <v>0.47772976254733368</v>
      </c>
      <c r="F12" s="66">
        <f>PythonResults!C37*1000000</f>
        <v>8.3961493618810112E-2</v>
      </c>
      <c r="G12" s="66">
        <f>PythonResults!D37*1000000</f>
        <v>0.59983992991460922</v>
      </c>
      <c r="H12" s="66">
        <f>PythonResults!E37*1000000</f>
        <v>0.61397341360506208</v>
      </c>
      <c r="I12" s="69">
        <f>PythonResults!F37</f>
        <v>2.0714271869404999</v>
      </c>
      <c r="J12" s="69">
        <f>PythonResults!G37</f>
        <v>2.063793095453172</v>
      </c>
    </row>
    <row r="13" spans="3:10" x14ac:dyDescent="0.2">
      <c r="C13" s="61">
        <v>0.2</v>
      </c>
      <c r="D13" s="64">
        <f>PythonResults!A38</f>
        <v>5</v>
      </c>
      <c r="E13" s="66">
        <f>PythonResults!B38*1000000</f>
        <v>0.4718431214394796</v>
      </c>
      <c r="F13" s="66">
        <f>PythonResults!C38*1000000</f>
        <v>8.1189754701316869E-2</v>
      </c>
      <c r="G13" s="66">
        <f>PythonResults!D38*1000000</f>
        <v>0.84960566295575823</v>
      </c>
      <c r="H13" s="66">
        <f>PythonResults!E38*1000000</f>
        <v>0.85872455629778421</v>
      </c>
      <c r="I13" s="69">
        <f>PythonResults!F38</f>
        <v>2.068050149452219</v>
      </c>
      <c r="J13" s="69">
        <f>PythonResults!G38</f>
        <v>2.0634710723956711</v>
      </c>
    </row>
    <row r="14" spans="3:10" x14ac:dyDescent="0.2">
      <c r="C14" s="61">
        <v>0.2</v>
      </c>
      <c r="D14" s="64">
        <f>PythonResults!A39</f>
        <v>1</v>
      </c>
      <c r="E14" s="72">
        <f>PythonResults!B39*1000000</f>
        <v>-0.68742514583777725</v>
      </c>
      <c r="F14" s="72">
        <f>PythonResults!C39*1000000</f>
        <v>-1.6203670689161231</v>
      </c>
      <c r="G14" s="72">
        <f>PythonResults!D39*1000000</f>
        <v>2.6114186960721604</v>
      </c>
      <c r="H14" s="72">
        <f>PythonResults!E39*1000000</f>
        <v>2.6012868412028713</v>
      </c>
      <c r="I14" s="69">
        <f>PythonResults!F39</f>
        <v>2.3076986402325121</v>
      </c>
      <c r="J14" s="69">
        <f>PythonResults!G39</f>
        <v>2.330799488512461</v>
      </c>
    </row>
  </sheetData>
  <mergeCells count="4">
    <mergeCell ref="G4:H4"/>
    <mergeCell ref="I4:J4"/>
    <mergeCell ref="C4:D4"/>
    <mergeCell ref="E4:F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AL81"/>
  <sheetViews>
    <sheetView topLeftCell="A16" zoomScale="75" workbookViewId="0">
      <selection activeCell="M58" sqref="M58"/>
    </sheetView>
  </sheetViews>
  <sheetFormatPr defaultRowHeight="12.75" x14ac:dyDescent="0.2"/>
  <cols>
    <col min="2" max="2" width="13.7109375" customWidth="1"/>
    <col min="3" max="3" width="29.7109375" customWidth="1"/>
    <col min="4" max="4" width="12.5703125" customWidth="1"/>
    <col min="5" max="6" width="11" customWidth="1"/>
    <col min="7" max="7" width="10.42578125" customWidth="1"/>
    <col min="8" max="8" width="11.5703125" customWidth="1"/>
    <col min="9" max="9" width="12.140625" customWidth="1"/>
    <col min="14" max="14" width="10.28515625" customWidth="1"/>
    <col min="21" max="21" width="13.28515625" customWidth="1"/>
    <col min="24" max="24" width="10.85546875" customWidth="1"/>
    <col min="25" max="25" width="11" customWidth="1"/>
    <col min="26" max="26" width="9.7109375" customWidth="1"/>
    <col min="27" max="27" width="10.28515625" customWidth="1"/>
    <col min="28" max="28" width="11.7109375" customWidth="1"/>
    <col min="29" max="29" width="10.28515625" customWidth="1"/>
    <col min="31" max="31" width="10.85546875" customWidth="1"/>
    <col min="32" max="32" width="10.42578125" customWidth="1"/>
    <col min="35" max="35" width="11.28515625" customWidth="1"/>
    <col min="36" max="36" width="11.5703125" customWidth="1"/>
    <col min="37" max="37" width="13.5703125" customWidth="1"/>
  </cols>
  <sheetData>
    <row r="2" spans="1:37" x14ac:dyDescent="0.2">
      <c r="AC2" s="1" t="s">
        <v>41</v>
      </c>
      <c r="AD2" s="1"/>
      <c r="AE2" s="1"/>
      <c r="AF2" s="1"/>
      <c r="AG2" s="1"/>
      <c r="AH2" s="1" t="s">
        <v>42</v>
      </c>
      <c r="AI2" s="1"/>
      <c r="AJ2" s="1"/>
      <c r="AK2" s="1"/>
    </row>
    <row r="3" spans="1:37" x14ac:dyDescent="0.2">
      <c r="C3" s="1" t="s">
        <v>33</v>
      </c>
      <c r="E3" s="1" t="s">
        <v>27</v>
      </c>
      <c r="W3" s="50" t="s">
        <v>95</v>
      </c>
      <c r="X3" s="51"/>
      <c r="Y3" s="51"/>
      <c r="Z3" s="38" t="s">
        <v>89</v>
      </c>
      <c r="AA3" s="39"/>
      <c r="AB3" s="39"/>
      <c r="AC3" s="1" t="s">
        <v>37</v>
      </c>
      <c r="AD3" s="1"/>
      <c r="AE3" s="1" t="s">
        <v>40</v>
      </c>
      <c r="AF3" s="1"/>
      <c r="AG3" s="1"/>
      <c r="AH3" s="1" t="s">
        <v>37</v>
      </c>
      <c r="AI3" s="1"/>
      <c r="AJ3" s="1" t="s">
        <v>40</v>
      </c>
      <c r="AK3" s="1"/>
    </row>
    <row r="4" spans="1:37" x14ac:dyDescent="0.2">
      <c r="A4" s="1" t="s">
        <v>0</v>
      </c>
      <c r="B4" s="1" t="s">
        <v>1</v>
      </c>
      <c r="C4" s="1" t="s">
        <v>2</v>
      </c>
      <c r="D4" s="9" t="s">
        <v>3</v>
      </c>
      <c r="E4" s="10" t="s">
        <v>4</v>
      </c>
      <c r="F4" s="10" t="s">
        <v>5</v>
      </c>
      <c r="G4" s="10" t="s">
        <v>6</v>
      </c>
      <c r="H4" s="10" t="s">
        <v>7</v>
      </c>
      <c r="I4" s="10" t="s">
        <v>8</v>
      </c>
      <c r="J4" s="10" t="s">
        <v>73</v>
      </c>
      <c r="K4" s="10" t="s">
        <v>73</v>
      </c>
      <c r="L4" s="8"/>
      <c r="S4" s="1" t="s">
        <v>9</v>
      </c>
      <c r="T4" s="1" t="s">
        <v>9</v>
      </c>
      <c r="U4" s="1" t="s">
        <v>9</v>
      </c>
      <c r="V4" s="1"/>
      <c r="W4" s="50" t="s">
        <v>34</v>
      </c>
      <c r="X4" s="51"/>
      <c r="Y4" s="50"/>
      <c r="Z4" s="38" t="s">
        <v>90</v>
      </c>
      <c r="AA4" s="38"/>
      <c r="AB4" s="39"/>
      <c r="AC4" s="35" t="s">
        <v>38</v>
      </c>
      <c r="AD4" s="36" t="s">
        <v>39</v>
      </c>
      <c r="AE4" s="35" t="s">
        <v>38</v>
      </c>
      <c r="AF4" s="36" t="s">
        <v>39</v>
      </c>
      <c r="AG4" s="1"/>
      <c r="AH4" s="35" t="s">
        <v>38</v>
      </c>
      <c r="AI4" s="36" t="s">
        <v>39</v>
      </c>
      <c r="AJ4" s="35" t="s">
        <v>38</v>
      </c>
      <c r="AK4" s="36" t="s">
        <v>39</v>
      </c>
    </row>
    <row r="5" spans="1:37" x14ac:dyDescent="0.2">
      <c r="D5" s="9" t="s">
        <v>10</v>
      </c>
      <c r="E5" s="10" t="s">
        <v>11</v>
      </c>
      <c r="F5" s="10" t="s">
        <v>11</v>
      </c>
      <c r="G5" s="10" t="s">
        <v>12</v>
      </c>
      <c r="H5" s="10" t="s">
        <v>11</v>
      </c>
      <c r="I5" s="10" t="s">
        <v>11</v>
      </c>
      <c r="J5" s="10" t="s">
        <v>74</v>
      </c>
      <c r="K5" s="10" t="s">
        <v>75</v>
      </c>
      <c r="L5" s="12" t="s">
        <v>19</v>
      </c>
      <c r="M5" s="1" t="s">
        <v>3</v>
      </c>
      <c r="N5" s="1" t="s">
        <v>13</v>
      </c>
      <c r="O5" s="1" t="s">
        <v>14</v>
      </c>
      <c r="P5" s="1" t="s">
        <v>15</v>
      </c>
      <c r="Q5" s="1" t="s">
        <v>16</v>
      </c>
      <c r="S5" s="1" t="s">
        <v>4</v>
      </c>
      <c r="T5" s="1" t="s">
        <v>5</v>
      </c>
      <c r="U5" s="1" t="s">
        <v>17</v>
      </c>
      <c r="V5" s="1"/>
      <c r="W5" s="52" t="s">
        <v>35</v>
      </c>
      <c r="X5" s="51" t="s">
        <v>36</v>
      </c>
      <c r="Y5" s="51"/>
      <c r="Z5" s="38" t="s">
        <v>35</v>
      </c>
      <c r="AA5" s="38" t="s">
        <v>36</v>
      </c>
      <c r="AB5" s="39"/>
      <c r="AC5" s="1" t="s">
        <v>35</v>
      </c>
      <c r="AD5" s="1" t="s">
        <v>35</v>
      </c>
      <c r="AE5" s="1"/>
      <c r="AF5" s="1"/>
      <c r="AG5" s="1"/>
      <c r="AH5" s="1" t="s">
        <v>36</v>
      </c>
      <c r="AI5" s="1" t="s">
        <v>36</v>
      </c>
      <c r="AJ5" s="1"/>
      <c r="AK5" s="1"/>
    </row>
    <row r="6" spans="1:37" x14ac:dyDescent="0.2">
      <c r="B6" s="11">
        <v>41346</v>
      </c>
      <c r="C6" s="1" t="s">
        <v>76</v>
      </c>
      <c r="D6">
        <v>0.24074933298000001</v>
      </c>
      <c r="E6" s="8">
        <v>-1.27765452166667E-7</v>
      </c>
      <c r="F6" s="8">
        <v>-6.3493678166666606E-8</v>
      </c>
      <c r="G6" s="8">
        <v>8.8124929999140302E-8</v>
      </c>
      <c r="H6" s="8">
        <v>2.1550747174192399E-8</v>
      </c>
      <c r="I6" s="8">
        <v>1.6384051705230701E-8</v>
      </c>
      <c r="J6" s="34">
        <v>6</v>
      </c>
      <c r="K6" s="34">
        <v>1</v>
      </c>
      <c r="L6">
        <v>5</v>
      </c>
      <c r="M6">
        <v>0.2</v>
      </c>
      <c r="N6">
        <v>1</v>
      </c>
      <c r="O6" s="4">
        <f t="shared" ref="O6:O12" si="0">100*D6*L6/(M6*5)</f>
        <v>120.37466649000001</v>
      </c>
      <c r="P6" s="6">
        <f t="shared" ref="P6:P12" si="1">1000000*E6*M6/(N6*D6)</f>
        <v>-0.10613981819611601</v>
      </c>
      <c r="Q6" s="6">
        <f t="shared" ref="Q6:Q12" si="2">1000000*F6*M6/(D6*N6)</f>
        <v>-5.2746711594786666E-2</v>
      </c>
      <c r="R6" s="6"/>
      <c r="S6" s="6">
        <f t="shared" ref="S6:S12" si="3">1000000*M6*H6/(N6*D6)</f>
        <v>1.7903058677203234E-2</v>
      </c>
      <c r="T6" s="6">
        <f t="shared" ref="T6:T12" si="4">1000000*M6*I6/(N6*D6)</f>
        <v>1.3610880248288612E-2</v>
      </c>
      <c r="U6" s="8">
        <f t="shared" ref="U6:U12" si="5">G6*100/D6</f>
        <v>3.6604433710502195E-5</v>
      </c>
      <c r="V6" s="6"/>
      <c r="W6" s="53">
        <v>0.19099327491213469</v>
      </c>
      <c r="X6" s="53">
        <v>-5.3311247652281006E-2</v>
      </c>
      <c r="Y6" s="51"/>
      <c r="Z6" s="42">
        <f t="shared" ref="Z6:AA12" si="6">AVERAGE(P18,P26)+W6</f>
        <v>4.5437590617214696E-2</v>
      </c>
      <c r="AA6" s="42">
        <f t="shared" si="6"/>
        <v>-0.14359124872195925</v>
      </c>
      <c r="AB6" s="42"/>
      <c r="AC6" s="7">
        <f t="shared" ref="AC6:AC12" si="7">S6</f>
        <v>1.7903058677203234E-2</v>
      </c>
      <c r="AD6" s="7">
        <v>3.2000000000000001E-2</v>
      </c>
      <c r="AE6">
        <v>20</v>
      </c>
      <c r="AF6" s="5">
        <v>21</v>
      </c>
      <c r="AG6" s="7"/>
      <c r="AH6" s="7">
        <f t="shared" ref="AH6:AH12" si="8">T6</f>
        <v>1.3610880248288612E-2</v>
      </c>
      <c r="AI6" s="7">
        <v>1.7000000000000001E-2</v>
      </c>
      <c r="AJ6" s="5">
        <v>20</v>
      </c>
      <c r="AK6">
        <v>57</v>
      </c>
    </row>
    <row r="7" spans="1:37" x14ac:dyDescent="0.2">
      <c r="C7" s="1" t="s">
        <v>20</v>
      </c>
      <c r="D7">
        <v>0.20008625063999999</v>
      </c>
      <c r="E7" s="8">
        <v>-1.1967833416666701E-7</v>
      </c>
      <c r="F7" s="8">
        <v>-6.8467902266666701E-8</v>
      </c>
      <c r="G7" s="8">
        <v>8.4409120385349497E-8</v>
      </c>
      <c r="H7" s="8">
        <v>2.33250649518999E-8</v>
      </c>
      <c r="I7" s="8">
        <v>2.08650909674604E-8</v>
      </c>
      <c r="J7" s="34">
        <v>6</v>
      </c>
      <c r="K7" s="34">
        <v>1</v>
      </c>
      <c r="L7">
        <v>5</v>
      </c>
      <c r="M7">
        <v>0.2</v>
      </c>
      <c r="N7">
        <v>1</v>
      </c>
      <c r="O7" s="4">
        <f t="shared" si="0"/>
        <v>100.04312532</v>
      </c>
      <c r="P7" s="6">
        <f t="shared" si="1"/>
        <v>-0.11962674475018792</v>
      </c>
      <c r="Q7" s="6">
        <f t="shared" si="2"/>
        <v>-6.8438387992841951E-2</v>
      </c>
      <c r="R7" s="6"/>
      <c r="S7" s="6">
        <f t="shared" si="3"/>
        <v>2.3315010279109E-2</v>
      </c>
      <c r="T7" s="6">
        <f t="shared" si="4"/>
        <v>2.0856096709015129E-2</v>
      </c>
      <c r="U7" s="8">
        <f t="shared" si="5"/>
        <v>4.218636718682905E-5</v>
      </c>
      <c r="V7" s="6"/>
      <c r="W7" s="53">
        <v>0.20981100044611947</v>
      </c>
      <c r="X7" s="53">
        <v>-5.1208668683411999E-2</v>
      </c>
      <c r="Y7" s="51"/>
      <c r="Z7" s="42">
        <f t="shared" si="6"/>
        <v>6.8800592563964452E-2</v>
      </c>
      <c r="AA7" s="42">
        <f t="shared" si="6"/>
        <v>-0.14043503344146152</v>
      </c>
      <c r="AB7" s="42"/>
      <c r="AC7" s="7">
        <f t="shared" si="7"/>
        <v>2.3315010279109E-2</v>
      </c>
      <c r="AD7" s="7">
        <v>3.2000000000000001E-2</v>
      </c>
      <c r="AE7">
        <v>20</v>
      </c>
      <c r="AF7" s="5">
        <v>21</v>
      </c>
      <c r="AG7" s="7"/>
      <c r="AH7" s="7">
        <f t="shared" si="8"/>
        <v>2.0856096709015129E-2</v>
      </c>
      <c r="AI7" s="7">
        <v>1.7000000000000001E-2</v>
      </c>
      <c r="AJ7" s="5">
        <v>20</v>
      </c>
      <c r="AK7">
        <v>57</v>
      </c>
    </row>
    <row r="8" spans="1:37" x14ac:dyDescent="0.2">
      <c r="D8">
        <v>0.12000029222</v>
      </c>
      <c r="E8" s="8">
        <v>-6.5697495833333399E-8</v>
      </c>
      <c r="F8" s="8">
        <v>-3.6985262449999998E-8</v>
      </c>
      <c r="G8" s="8">
        <v>9.0521629197415401E-8</v>
      </c>
      <c r="H8" s="8">
        <v>1.9006938768343698E-8</v>
      </c>
      <c r="I8" s="8">
        <v>2.0602025488001601E-8</v>
      </c>
      <c r="J8" s="34">
        <v>6</v>
      </c>
      <c r="K8" s="34">
        <v>1</v>
      </c>
      <c r="L8">
        <v>5</v>
      </c>
      <c r="M8">
        <v>0.2</v>
      </c>
      <c r="N8">
        <v>1</v>
      </c>
      <c r="O8" s="4">
        <f t="shared" si="0"/>
        <v>60.000146110000003</v>
      </c>
      <c r="P8" s="6">
        <f t="shared" si="1"/>
        <v>-0.10949555974895175</v>
      </c>
      <c r="Q8" s="6">
        <f t="shared" si="2"/>
        <v>-6.1641953974901749E-2</v>
      </c>
      <c r="R8" s="6"/>
      <c r="S8" s="6">
        <f t="shared" si="3"/>
        <v>3.1678154138987807E-2</v>
      </c>
      <c r="T8" s="6">
        <f t="shared" si="4"/>
        <v>3.433662553126339E-2</v>
      </c>
      <c r="U8" s="8">
        <f t="shared" si="5"/>
        <v>7.5434507302248464E-5</v>
      </c>
      <c r="V8" s="6"/>
      <c r="W8" s="53">
        <v>0.27625827740036574</v>
      </c>
      <c r="X8" s="53">
        <v>-5.2592212289086532E-2</v>
      </c>
      <c r="Y8" s="51"/>
      <c r="Z8" s="42">
        <f t="shared" si="6"/>
        <v>0.14645881592925342</v>
      </c>
      <c r="AA8" s="42">
        <f t="shared" si="6"/>
        <v>-0.14730405862029322</v>
      </c>
      <c r="AB8" s="42"/>
      <c r="AC8" s="7">
        <f t="shared" si="7"/>
        <v>3.1678154138987807E-2</v>
      </c>
      <c r="AD8" s="7">
        <v>3.2000000000000001E-2</v>
      </c>
      <c r="AE8">
        <v>20</v>
      </c>
      <c r="AF8" s="5">
        <v>21</v>
      </c>
      <c r="AG8" s="7"/>
      <c r="AH8" s="7">
        <f t="shared" si="8"/>
        <v>3.433662553126339E-2</v>
      </c>
      <c r="AI8" s="7">
        <v>1.7000000000000001E-2</v>
      </c>
      <c r="AJ8" s="5">
        <v>20</v>
      </c>
      <c r="AK8">
        <v>57</v>
      </c>
    </row>
    <row r="9" spans="1:37" x14ac:dyDescent="0.2">
      <c r="D9">
        <v>7.9968780503999998E-2</v>
      </c>
      <c r="E9" s="8">
        <v>-4.5391456376666703E-8</v>
      </c>
      <c r="F9" s="8">
        <v>-2.5901261043333301E-8</v>
      </c>
      <c r="G9" s="8">
        <v>2.77361033411098E-8</v>
      </c>
      <c r="H9" s="8">
        <v>2.0431455009475799E-8</v>
      </c>
      <c r="I9" s="8">
        <v>1.5003900817487999E-8</v>
      </c>
      <c r="J9" s="34">
        <v>5</v>
      </c>
      <c r="K9" s="34">
        <v>1</v>
      </c>
      <c r="L9">
        <v>5</v>
      </c>
      <c r="M9">
        <v>0.2</v>
      </c>
      <c r="N9">
        <v>1</v>
      </c>
      <c r="O9" s="4">
        <f t="shared" si="0"/>
        <v>39.984390251999997</v>
      </c>
      <c r="P9" s="6">
        <f t="shared" si="1"/>
        <v>-0.11352294255480423</v>
      </c>
      <c r="Q9" s="6">
        <f t="shared" si="2"/>
        <v>-6.4778431983310625E-2</v>
      </c>
      <c r="R9" s="6"/>
      <c r="S9" s="6">
        <f t="shared" si="3"/>
        <v>5.1098578421997644E-2</v>
      </c>
      <c r="T9" s="6">
        <f t="shared" si="4"/>
        <v>3.7524395702739299E-2</v>
      </c>
      <c r="U9" s="8">
        <f t="shared" si="5"/>
        <v>3.4683664257856795E-5</v>
      </c>
      <c r="V9" s="6"/>
      <c r="W9" s="53">
        <v>0.32629674811974124</v>
      </c>
      <c r="X9" s="53">
        <v>-5.2664995388341844E-2</v>
      </c>
      <c r="Y9" s="51"/>
      <c r="Z9" s="42">
        <f t="shared" si="6"/>
        <v>0.19322315662582407</v>
      </c>
      <c r="AA9" s="42">
        <f t="shared" si="6"/>
        <v>-0.15211924467770688</v>
      </c>
      <c r="AB9" s="42"/>
      <c r="AC9" s="7">
        <f t="shared" si="7"/>
        <v>5.1098578421997644E-2</v>
      </c>
      <c r="AD9" s="7">
        <v>4.5999999999999999E-2</v>
      </c>
      <c r="AE9">
        <v>20</v>
      </c>
      <c r="AF9" s="5">
        <v>21</v>
      </c>
      <c r="AG9" s="7"/>
      <c r="AH9" s="7">
        <f t="shared" si="8"/>
        <v>3.7524395702739299E-2</v>
      </c>
      <c r="AI9" s="7">
        <v>2.9000000000000001E-2</v>
      </c>
      <c r="AJ9" s="5">
        <v>20</v>
      </c>
      <c r="AK9">
        <v>57</v>
      </c>
    </row>
    <row r="10" spans="1:37" x14ac:dyDescent="0.2">
      <c r="D10">
        <v>4.0020238776E-2</v>
      </c>
      <c r="E10" s="8">
        <v>-2.1189748373333301E-8</v>
      </c>
      <c r="F10" s="8">
        <v>-7.2949073715000003E-9</v>
      </c>
      <c r="G10" s="8">
        <v>4.0300359611662498E-8</v>
      </c>
      <c r="H10" s="8">
        <v>2.2115903707795501E-8</v>
      </c>
      <c r="I10" s="8">
        <v>2.27078100486368E-8</v>
      </c>
      <c r="J10" s="34">
        <v>5</v>
      </c>
      <c r="K10" s="34">
        <v>1</v>
      </c>
      <c r="L10">
        <v>5</v>
      </c>
      <c r="M10">
        <v>0.2</v>
      </c>
      <c r="N10">
        <v>1</v>
      </c>
      <c r="O10" s="4">
        <f t="shared" si="0"/>
        <v>20.010119388</v>
      </c>
      <c r="P10" s="6">
        <f t="shared" si="1"/>
        <v>-0.10589516215500802</v>
      </c>
      <c r="Q10" s="6">
        <f t="shared" si="2"/>
        <v>-3.6456091190913795E-2</v>
      </c>
      <c r="R10" s="6"/>
      <c r="S10" s="6">
        <f t="shared" si="3"/>
        <v>0.11052359698092723</v>
      </c>
      <c r="T10" s="6">
        <f t="shared" si="4"/>
        <v>0.11348163200992492</v>
      </c>
      <c r="U10" s="8">
        <f t="shared" si="5"/>
        <v>1.0069994793691857E-4</v>
      </c>
      <c r="V10" s="6"/>
      <c r="W10" s="53">
        <v>0.40232279277714023</v>
      </c>
      <c r="X10" s="53">
        <v>-5.0232881845906061E-2</v>
      </c>
      <c r="Y10" s="51"/>
      <c r="Z10" s="42">
        <f t="shared" si="6"/>
        <v>0.28382791334855118</v>
      </c>
      <c r="AA10" s="42">
        <f t="shared" si="6"/>
        <v>-0.15487384552550704</v>
      </c>
      <c r="AB10" s="42"/>
      <c r="AC10" s="7">
        <f t="shared" si="7"/>
        <v>0.11052359698092723</v>
      </c>
      <c r="AD10" s="7">
        <v>4.5999999999999999E-2</v>
      </c>
      <c r="AE10">
        <v>20</v>
      </c>
      <c r="AF10" s="5">
        <v>21</v>
      </c>
      <c r="AG10" s="7"/>
      <c r="AH10" s="7">
        <f t="shared" si="8"/>
        <v>0.11348163200992492</v>
      </c>
      <c r="AI10" s="7">
        <v>2.9000000000000001E-2</v>
      </c>
      <c r="AJ10" s="5">
        <v>20</v>
      </c>
      <c r="AK10">
        <v>57</v>
      </c>
    </row>
    <row r="11" spans="1:37" x14ac:dyDescent="0.2">
      <c r="D11">
        <v>2.0179629930000002E-2</v>
      </c>
      <c r="E11" s="8">
        <v>-1.2982986394999999E-8</v>
      </c>
      <c r="F11" s="8">
        <v>-2.0348187018466699E-8</v>
      </c>
      <c r="G11" s="8">
        <v>9.7176304940384899E-8</v>
      </c>
      <c r="H11" s="8">
        <v>2.2633737111064298E-8</v>
      </c>
      <c r="I11" s="8">
        <v>1.81480348401208E-8</v>
      </c>
      <c r="J11" s="34">
        <v>5</v>
      </c>
      <c r="K11" s="34">
        <v>1</v>
      </c>
      <c r="L11">
        <v>5</v>
      </c>
      <c r="M11">
        <v>0.2</v>
      </c>
      <c r="N11">
        <v>1</v>
      </c>
      <c r="O11" s="4">
        <f t="shared" si="0"/>
        <v>10.089814965000002</v>
      </c>
      <c r="P11" s="6">
        <f t="shared" si="1"/>
        <v>-0.12867417727714495</v>
      </c>
      <c r="Q11" s="6">
        <f t="shared" si="2"/>
        <v>-0.20167056669573621</v>
      </c>
      <c r="R11" s="6"/>
      <c r="S11" s="6">
        <f t="shared" si="3"/>
        <v>0.22432261829951503</v>
      </c>
      <c r="T11" s="6">
        <f t="shared" si="4"/>
        <v>0.17986489249875751</v>
      </c>
      <c r="U11" s="8">
        <f t="shared" si="5"/>
        <v>4.8155642733526034E-4</v>
      </c>
      <c r="V11" s="6"/>
      <c r="W11" s="53">
        <v>0.45121819923305623</v>
      </c>
      <c r="X11" s="53">
        <v>-4.8853767057275309E-2</v>
      </c>
      <c r="Y11" s="51"/>
      <c r="Z11" s="42">
        <f t="shared" si="6"/>
        <v>0.35286189171530441</v>
      </c>
      <c r="AA11" s="42">
        <f t="shared" si="6"/>
        <v>-0.15167838131663247</v>
      </c>
      <c r="AB11" s="42"/>
      <c r="AC11" s="7">
        <f t="shared" si="7"/>
        <v>0.22432261829951503</v>
      </c>
      <c r="AD11" s="7">
        <v>0.1</v>
      </c>
      <c r="AE11">
        <v>20</v>
      </c>
      <c r="AF11" s="5">
        <v>21</v>
      </c>
      <c r="AG11" s="7"/>
      <c r="AH11" s="7">
        <f t="shared" si="8"/>
        <v>0.17986489249875751</v>
      </c>
      <c r="AI11" s="7">
        <v>0.1</v>
      </c>
      <c r="AJ11" s="5">
        <v>20</v>
      </c>
      <c r="AK11">
        <v>57</v>
      </c>
    </row>
    <row r="12" spans="1:37" x14ac:dyDescent="0.2">
      <c r="D12">
        <v>1.0057340148000001E-2</v>
      </c>
      <c r="E12" s="8">
        <v>-3.8347103549999904E-9</v>
      </c>
      <c r="F12" s="8">
        <v>-1.32945733E-9</v>
      </c>
      <c r="G12" s="8">
        <v>2.9968004076438902E-8</v>
      </c>
      <c r="H12" s="8">
        <v>2.6390239201149699E-8</v>
      </c>
      <c r="I12" s="8">
        <v>2.3156273537940801E-8</v>
      </c>
      <c r="J12" s="34">
        <v>5</v>
      </c>
      <c r="K12" s="34">
        <v>1</v>
      </c>
      <c r="L12">
        <v>5</v>
      </c>
      <c r="M12">
        <v>0.2</v>
      </c>
      <c r="N12">
        <v>1</v>
      </c>
      <c r="O12" s="4">
        <f t="shared" si="0"/>
        <v>5.0286700739999999</v>
      </c>
      <c r="P12" s="6">
        <f t="shared" si="1"/>
        <v>-7.6256948627964213E-2</v>
      </c>
      <c r="Q12" s="6">
        <f t="shared" si="2"/>
        <v>-2.6437553278226857E-2</v>
      </c>
      <c r="R12" s="6"/>
      <c r="S12" s="6">
        <f t="shared" si="3"/>
        <v>0.52479559829539324</v>
      </c>
      <c r="T12" s="6">
        <f t="shared" si="4"/>
        <v>0.46048504270874541</v>
      </c>
      <c r="U12" s="8">
        <f t="shared" si="5"/>
        <v>2.97971467957145E-4</v>
      </c>
      <c r="V12" s="6"/>
      <c r="W12" s="53">
        <v>0.47859715367101707</v>
      </c>
      <c r="X12" s="53">
        <v>-5.1697474306049755E-2</v>
      </c>
      <c r="Y12" s="51"/>
      <c r="Z12" s="42">
        <f t="shared" si="6"/>
        <v>0.39774753068089019</v>
      </c>
      <c r="AA12" s="42">
        <f t="shared" si="6"/>
        <v>-0.18148736057044268</v>
      </c>
      <c r="AB12" s="42"/>
      <c r="AC12" s="7">
        <f t="shared" si="7"/>
        <v>0.52479559829539324</v>
      </c>
      <c r="AD12" s="7">
        <v>0.1</v>
      </c>
      <c r="AE12">
        <v>20</v>
      </c>
      <c r="AF12" s="5">
        <v>21</v>
      </c>
      <c r="AG12" s="7"/>
      <c r="AH12" s="7">
        <f t="shared" si="8"/>
        <v>0.46048504270874541</v>
      </c>
      <c r="AI12" s="7">
        <v>0.1</v>
      </c>
      <c r="AJ12" s="5">
        <v>20</v>
      </c>
      <c r="AK12">
        <v>57</v>
      </c>
    </row>
    <row r="13" spans="1:37" x14ac:dyDescent="0.2">
      <c r="C13" s="1" t="s">
        <v>24</v>
      </c>
      <c r="J13" s="34"/>
      <c r="K13" s="34"/>
      <c r="W13" s="7"/>
      <c r="X13" s="7"/>
      <c r="Z13" s="43"/>
      <c r="AA13" s="43"/>
      <c r="AB13" s="7"/>
      <c r="AC13" s="7"/>
    </row>
    <row r="14" spans="1:37" x14ac:dyDescent="0.2">
      <c r="C14" t="s">
        <v>21</v>
      </c>
      <c r="D14">
        <v>0.19987131922000001</v>
      </c>
      <c r="E14" s="8">
        <v>-6.9353927000000306E-5</v>
      </c>
      <c r="F14">
        <v>4.4351390000000002E-4</v>
      </c>
      <c r="G14" s="8">
        <v>2.1103025195590301E-7</v>
      </c>
      <c r="H14" s="8">
        <v>9.5068538960050106E-9</v>
      </c>
      <c r="I14" s="8">
        <v>1.20743529847296E-8</v>
      </c>
      <c r="J14" s="34">
        <v>16</v>
      </c>
      <c r="K14" s="34">
        <v>1</v>
      </c>
      <c r="L14">
        <v>5</v>
      </c>
      <c r="M14">
        <v>0.2</v>
      </c>
      <c r="N14">
        <v>1</v>
      </c>
      <c r="O14" s="4">
        <f>100*D14*L14/(M14*5)</f>
        <v>99.935659610000002</v>
      </c>
      <c r="P14" s="6">
        <f>1000000*E14*M14/(N14*D14)</f>
        <v>-69.39857831594324</v>
      </c>
      <c r="Q14" s="6">
        <f>1000000*F14*M14/(D14*N14)</f>
        <v>443.79944229198856</v>
      </c>
      <c r="R14" s="6"/>
      <c r="S14" s="6">
        <f>1000000*M14*H14/(N14*D14)</f>
        <v>9.5129745809509961E-3</v>
      </c>
      <c r="T14" s="6">
        <f>1000000*M14*I14/(N14*D14)</f>
        <v>1.2082126672150756E-2</v>
      </c>
      <c r="U14" s="8">
        <f>G14*100/D14</f>
        <v>1.0558305852958337E-4</v>
      </c>
      <c r="W14" s="7"/>
      <c r="X14" s="7"/>
      <c r="Z14" s="43"/>
      <c r="AA14" s="43"/>
      <c r="AB14" s="7"/>
      <c r="AC14" s="7"/>
    </row>
    <row r="15" spans="1:37" x14ac:dyDescent="0.2">
      <c r="C15" t="s">
        <v>23</v>
      </c>
      <c r="D15">
        <v>0.19963737992</v>
      </c>
      <c r="E15">
        <v>-3.1882699999999598E-4</v>
      </c>
      <c r="F15">
        <v>4.4047014999999798E-4</v>
      </c>
      <c r="G15" s="8">
        <v>1.32031430531353E-7</v>
      </c>
      <c r="H15" s="8">
        <v>3.9573379295720896E-18</v>
      </c>
      <c r="I15" s="8">
        <v>1.4088204285848199E-8</v>
      </c>
      <c r="J15" s="34">
        <v>16</v>
      </c>
      <c r="K15" s="34">
        <v>1</v>
      </c>
      <c r="L15">
        <v>5</v>
      </c>
      <c r="M15">
        <v>0.2</v>
      </c>
      <c r="N15">
        <v>1</v>
      </c>
      <c r="O15" s="4">
        <f>100*D15*L15/(M15*5)</f>
        <v>99.81868996</v>
      </c>
      <c r="P15" s="6">
        <f>1000000*E15*M15/(N15*D15)</f>
        <v>-319.40611535550948</v>
      </c>
      <c r="Q15" s="6">
        <f>1000000*F15*M15/(D15*N15)</f>
        <v>441.27021720732472</v>
      </c>
      <c r="R15" s="6"/>
      <c r="S15" s="6">
        <f>1000000*M15*H15/(N15*D15)</f>
        <v>3.9645260132725649E-12</v>
      </c>
      <c r="T15" s="6">
        <f>1000000*M15*I15/(N15*D15)</f>
        <v>1.4113794011415813E-2</v>
      </c>
      <c r="U15" s="8">
        <f>G15*100/D15</f>
        <v>6.6135625795260138E-5</v>
      </c>
      <c r="W15" s="48"/>
      <c r="X15" s="48"/>
      <c r="Y15" s="37"/>
      <c r="Z15" s="44" t="s">
        <v>87</v>
      </c>
      <c r="AA15" s="43"/>
      <c r="AB15" s="7"/>
      <c r="AC15" s="7"/>
      <c r="AE15" s="40">
        <v>41346</v>
      </c>
      <c r="AF15" s="40">
        <v>37412</v>
      </c>
      <c r="AI15" s="40">
        <v>41346</v>
      </c>
      <c r="AJ15" s="40">
        <v>37412</v>
      </c>
    </row>
    <row r="16" spans="1:37" x14ac:dyDescent="0.2">
      <c r="C16" t="s">
        <v>77</v>
      </c>
      <c r="D16">
        <v>0.19946603630000001</v>
      </c>
      <c r="E16" s="8">
        <v>-6.6710055000000597E-5</v>
      </c>
      <c r="F16" s="8">
        <v>7.5428811333333305E-5</v>
      </c>
      <c r="G16" s="8">
        <v>7.2949980641514294E-8</v>
      </c>
      <c r="H16" s="8">
        <v>1.58681284340438E-9</v>
      </c>
      <c r="I16" s="8">
        <v>3.6735615094649302E-7</v>
      </c>
      <c r="J16" s="34">
        <v>14</v>
      </c>
      <c r="K16" s="34">
        <v>1</v>
      </c>
      <c r="L16">
        <v>5</v>
      </c>
      <c r="M16">
        <v>0.2</v>
      </c>
      <c r="N16">
        <v>1</v>
      </c>
      <c r="O16" s="4">
        <f>100*D16*L16/(M16*5)</f>
        <v>99.733018150000007</v>
      </c>
      <c r="P16" s="6">
        <f>1000000*E16*M16/(N16*D16)</f>
        <v>-66.888635516542422</v>
      </c>
      <c r="Q16" s="6">
        <f>1000000*F16*M16/(D16*N16)</f>
        <v>75.630731659887402</v>
      </c>
      <c r="R16" s="6"/>
      <c r="S16" s="6">
        <f>1000000*M16*H16/(N16*D16)</f>
        <v>1.5910606866602482E-3</v>
      </c>
      <c r="T16" s="6">
        <f>1000000*M16*I16/(N16*D16)</f>
        <v>0.36833955069321545</v>
      </c>
      <c r="U16" s="8">
        <f>G16*100/D16</f>
        <v>3.6572632611898096E-5</v>
      </c>
      <c r="W16" s="49" t="s">
        <v>83</v>
      </c>
      <c r="X16" s="49"/>
      <c r="Y16" s="37"/>
      <c r="Z16" s="44" t="s">
        <v>92</v>
      </c>
      <c r="AA16" s="43"/>
      <c r="AB16" s="7"/>
      <c r="AC16" s="7"/>
      <c r="AD16" s="5">
        <f>AA59</f>
        <v>120.37466649000001</v>
      </c>
      <c r="AE16" s="7">
        <f>Z6</f>
        <v>4.5437590617214696E-2</v>
      </c>
      <c r="AF16" s="7">
        <f>'1A CT original'!X6</f>
        <v>0.37008506489369392</v>
      </c>
      <c r="AG16" s="4">
        <f>(AE16-AF16)/AC59</f>
        <v>-8.8537748588536864</v>
      </c>
      <c r="AI16" s="7">
        <f>AA6</f>
        <v>-0.14359124872195925</v>
      </c>
      <c r="AJ16" s="7">
        <f>'1A CT original'!Y6</f>
        <v>2.4215915632084806E-2</v>
      </c>
      <c r="AK16" s="4">
        <f>(AI16-AJ16)/AF59</f>
        <v>-7.7055572884819288</v>
      </c>
    </row>
    <row r="17" spans="3:37" x14ac:dyDescent="0.2">
      <c r="J17" s="34"/>
      <c r="K17" s="34"/>
      <c r="W17" s="49" t="s">
        <v>84</v>
      </c>
      <c r="X17" s="49" t="s">
        <v>85</v>
      </c>
      <c r="Y17" s="37"/>
      <c r="Z17" s="44" t="s">
        <v>88</v>
      </c>
      <c r="AA17" s="43"/>
      <c r="AB17" s="7"/>
      <c r="AC17" s="7"/>
      <c r="AD17" s="5">
        <f t="shared" ref="AD17:AD22" si="9">AA60</f>
        <v>100.04312532</v>
      </c>
      <c r="AE17" s="7">
        <f t="shared" ref="AE17:AE22" si="10">Z7</f>
        <v>6.8800592563964452E-2</v>
      </c>
      <c r="AF17" s="7">
        <f>'1A CT original'!X7</f>
        <v>0.32268444716691846</v>
      </c>
      <c r="AG17" s="4">
        <f t="shared" ref="AG17:AG22" si="11">(AE17-AF17)/AC60</f>
        <v>-6.4123745557331073</v>
      </c>
      <c r="AI17" s="7">
        <f t="shared" ref="AI17:AI22" si="12">AA7</f>
        <v>-0.14043503344146152</v>
      </c>
      <c r="AJ17" s="7">
        <f>'1A CT original'!Y7</f>
        <v>-1.7898372854963096E-2</v>
      </c>
      <c r="AK17" s="4">
        <f t="shared" ref="AK17:AK22" si="13">(AI17-AJ17)/AF60</f>
        <v>-4.5541121873105253</v>
      </c>
    </row>
    <row r="18" spans="3:37" x14ac:dyDescent="0.2">
      <c r="C18" s="1" t="s">
        <v>78</v>
      </c>
      <c r="D18">
        <v>0.24031446706000001</v>
      </c>
      <c r="E18" s="8">
        <v>-1.50466456666667E-7</v>
      </c>
      <c r="F18" s="8">
        <v>-9.6888110666666694E-8</v>
      </c>
      <c r="G18" s="8">
        <v>1.9648311605184601E-7</v>
      </c>
      <c r="H18" s="8">
        <v>9.9120750620033598E-9</v>
      </c>
      <c r="I18" s="8">
        <v>1.07393776162317E-8</v>
      </c>
      <c r="J18">
        <v>6</v>
      </c>
      <c r="K18">
        <v>2</v>
      </c>
      <c r="L18">
        <v>5</v>
      </c>
      <c r="M18">
        <v>0.2</v>
      </c>
      <c r="N18">
        <v>1</v>
      </c>
      <c r="O18" s="4">
        <f t="shared" ref="O18:O24" si="14">100*D18*L18/(M18*5)</f>
        <v>120.15723353</v>
      </c>
      <c r="P18" s="6">
        <f t="shared" ref="P18:P24" si="15">1000000*E18*M18/(N18*D18)</f>
        <v>-0.12522463462767691</v>
      </c>
      <c r="Q18" s="6">
        <f t="shared" ref="Q18:Q24" si="16">1000000*F18*M18/(D18*N18)</f>
        <v>-8.0634438577080234E-2</v>
      </c>
      <c r="R18" s="6"/>
      <c r="S18" s="6">
        <f t="shared" ref="S18:S24" si="17">1000000*M18*H18/(N18*D18)</f>
        <v>8.24925372431164E-3</v>
      </c>
      <c r="T18" s="6">
        <f t="shared" ref="T18:T24" si="18">1000000*M18*I18/(N18*D18)</f>
        <v>8.9377703703126359E-3</v>
      </c>
      <c r="U18" s="8">
        <f t="shared" ref="U18:U24" si="19">G18*100/D18</f>
        <v>8.1760835481781255E-5</v>
      </c>
      <c r="W18" s="48">
        <f>(P18+P26)/2</f>
        <v>-0.14555568429492</v>
      </c>
      <c r="X18" s="48">
        <f>(Q18+Q26)/2</f>
        <v>-9.0280001069678248E-2</v>
      </c>
      <c r="Y18" s="37"/>
      <c r="Z18" s="43">
        <f t="shared" ref="Z18:AA24" si="20">Z6-Z40</f>
        <v>-8.4131458558285577E-3</v>
      </c>
      <c r="AA18" s="43">
        <f t="shared" si="20"/>
        <v>3.8805206335430581E-2</v>
      </c>
      <c r="AB18" s="7"/>
      <c r="AC18" s="7"/>
      <c r="AD18" s="5">
        <f t="shared" si="9"/>
        <v>60.000146110000003</v>
      </c>
      <c r="AE18" s="7">
        <f t="shared" si="10"/>
        <v>0.14645881592925342</v>
      </c>
      <c r="AF18" s="7">
        <f>'1A CT original'!X8</f>
        <v>0.56939707258086503</v>
      </c>
      <c r="AG18" s="4">
        <f t="shared" si="11"/>
        <v>-9.3928190464438703</v>
      </c>
      <c r="AI18" s="7">
        <f t="shared" si="12"/>
        <v>-0.14730405862029322</v>
      </c>
      <c r="AJ18" s="7">
        <f>'1A CT original'!Y8</f>
        <v>-0.22074286532976972</v>
      </c>
      <c r="AK18" s="4">
        <f t="shared" si="13"/>
        <v>1.9167347376354462</v>
      </c>
    </row>
    <row r="19" spans="3:37" x14ac:dyDescent="0.2">
      <c r="C19" t="s">
        <v>79</v>
      </c>
      <c r="D19">
        <v>0.20036778438</v>
      </c>
      <c r="E19" s="8">
        <v>-1.2121652066666699E-7</v>
      </c>
      <c r="F19" s="8">
        <v>-8.0035935000000005E-8</v>
      </c>
      <c r="G19" s="8">
        <v>2.1995269331388799E-8</v>
      </c>
      <c r="H19" s="8">
        <v>1.09031595769562E-8</v>
      </c>
      <c r="I19" s="8">
        <v>9.0305493355724607E-9</v>
      </c>
      <c r="J19">
        <v>6</v>
      </c>
      <c r="K19">
        <v>2</v>
      </c>
      <c r="L19">
        <v>5</v>
      </c>
      <c r="M19">
        <v>0.2</v>
      </c>
      <c r="N19">
        <v>1</v>
      </c>
      <c r="O19" s="4">
        <f t="shared" si="14"/>
        <v>100.18389218999999</v>
      </c>
      <c r="P19" s="6">
        <f t="shared" si="15"/>
        <v>-0.1209940221096405</v>
      </c>
      <c r="Q19" s="6">
        <f t="shared" si="16"/>
        <v>-7.9889025321766158E-2</v>
      </c>
      <c r="R19" s="6"/>
      <c r="S19" s="6">
        <f t="shared" si="17"/>
        <v>1.0883146320845891E-2</v>
      </c>
      <c r="T19" s="6">
        <f t="shared" si="18"/>
        <v>9.0139733425867626E-3</v>
      </c>
      <c r="U19" s="8">
        <f t="shared" si="19"/>
        <v>1.0977447996168135E-5</v>
      </c>
      <c r="W19" s="48">
        <f t="shared" ref="W19:W24" si="21">(P19+P27)/2</f>
        <v>-0.14101040788215502</v>
      </c>
      <c r="X19" s="48">
        <f t="shared" ref="X19:X24" si="22">(Q19+Q27)/2</f>
        <v>-8.9226364758049515E-2</v>
      </c>
      <c r="Y19" s="37"/>
      <c r="Z19" s="43">
        <f t="shared" si="20"/>
        <v>-8.9276217733085805E-3</v>
      </c>
      <c r="AA19" s="43">
        <f t="shared" si="20"/>
        <v>4.2384656014118144E-2</v>
      </c>
      <c r="AB19" s="7"/>
      <c r="AC19" s="7"/>
      <c r="AD19" s="5">
        <f t="shared" si="9"/>
        <v>39.984390251999997</v>
      </c>
      <c r="AE19" s="7">
        <f t="shared" si="10"/>
        <v>0.19322315662582407</v>
      </c>
      <c r="AF19" s="7">
        <f>'1A CT original'!X9</f>
        <v>-0.24502776802116155</v>
      </c>
      <c r="AG19" s="4">
        <f t="shared" si="11"/>
        <v>6.3742202693618131</v>
      </c>
      <c r="AI19" s="7">
        <f t="shared" si="12"/>
        <v>-0.15211924467770688</v>
      </c>
      <c r="AJ19" s="7">
        <f>'1A CT original'!Y9</f>
        <v>-0.3750898441206908</v>
      </c>
      <c r="AK19" s="4">
        <f t="shared" si="13"/>
        <v>4.7015939978655412</v>
      </c>
    </row>
    <row r="20" spans="3:37" x14ac:dyDescent="0.2">
      <c r="D20">
        <v>0.1201786239</v>
      </c>
      <c r="E20" s="8">
        <v>-6.4452408666666597E-8</v>
      </c>
      <c r="F20" s="8">
        <v>-5.1947458833333297E-8</v>
      </c>
      <c r="G20" s="8">
        <v>5.04730038852263E-8</v>
      </c>
      <c r="H20" s="8">
        <v>7.8352155793480393E-9</v>
      </c>
      <c r="I20" s="8">
        <v>6.0212203312497401E-9</v>
      </c>
      <c r="J20">
        <v>5</v>
      </c>
      <c r="K20">
        <v>2</v>
      </c>
      <c r="L20">
        <v>5</v>
      </c>
      <c r="M20">
        <v>0.2</v>
      </c>
      <c r="N20">
        <v>1</v>
      </c>
      <c r="O20" s="4">
        <f t="shared" si="14"/>
        <v>60.08931195000001</v>
      </c>
      <c r="P20" s="6">
        <f t="shared" si="15"/>
        <v>-0.10726101959745704</v>
      </c>
      <c r="Q20" s="6">
        <f t="shared" si="16"/>
        <v>-8.645041380496836E-2</v>
      </c>
      <c r="R20" s="6"/>
      <c r="S20" s="6">
        <f t="shared" si="17"/>
        <v>1.3039283235374172E-2</v>
      </c>
      <c r="T20" s="6">
        <f t="shared" si="18"/>
        <v>1.0020451451099931E-2</v>
      </c>
      <c r="U20" s="8">
        <f t="shared" si="19"/>
        <v>4.1998320705706051E-5</v>
      </c>
      <c r="W20" s="48">
        <f t="shared" si="21"/>
        <v>-0.12979946147111232</v>
      </c>
      <c r="X20" s="48">
        <f t="shared" si="22"/>
        <v>-9.4711846331206703E-2</v>
      </c>
      <c r="Y20" s="37"/>
      <c r="Z20" s="43">
        <f t="shared" si="20"/>
        <v>-9.4826571100423696E-3</v>
      </c>
      <c r="AA20" s="43">
        <f t="shared" si="20"/>
        <v>4.1508546258001183E-2</v>
      </c>
      <c r="AB20" s="7"/>
      <c r="AC20" s="7"/>
      <c r="AD20" s="5">
        <f t="shared" si="9"/>
        <v>20.010119388</v>
      </c>
      <c r="AE20" s="7">
        <f t="shared" si="10"/>
        <v>0.28382791334855118</v>
      </c>
      <c r="AF20" s="7">
        <f>'1A CT original'!X10</f>
        <v>0.15151180158196181</v>
      </c>
      <c r="AG20" s="4">
        <f t="shared" si="11"/>
        <v>1.1052675743041236</v>
      </c>
      <c r="AI20" s="7">
        <f t="shared" si="12"/>
        <v>-0.15487384552550704</v>
      </c>
      <c r="AJ20" s="7">
        <f>'1A CT original'!Y10</f>
        <v>0.79712085349212425</v>
      </c>
      <c r="AK20" s="4">
        <f t="shared" si="13"/>
        <v>-8.1277815594644345</v>
      </c>
    </row>
    <row r="21" spans="3:37" x14ac:dyDescent="0.2">
      <c r="D21">
        <v>7.9965135261999998E-2</v>
      </c>
      <c r="E21" s="8">
        <v>-4.4211472666666601E-8</v>
      </c>
      <c r="F21" s="8">
        <v>-3.7294882299999998E-8</v>
      </c>
      <c r="G21" s="8">
        <v>2.7059736478804601E-8</v>
      </c>
      <c r="H21" s="8">
        <v>5.8471169866969102E-9</v>
      </c>
      <c r="I21" s="8">
        <v>9.26214063078493E-9</v>
      </c>
      <c r="J21">
        <v>5</v>
      </c>
      <c r="K21">
        <v>2</v>
      </c>
      <c r="L21">
        <v>5</v>
      </c>
      <c r="M21">
        <v>0.2</v>
      </c>
      <c r="N21">
        <v>1</v>
      </c>
      <c r="O21" s="4">
        <f t="shared" si="14"/>
        <v>39.982567630999995</v>
      </c>
      <c r="P21" s="6">
        <f t="shared" si="15"/>
        <v>-0.11057687208759392</v>
      </c>
      <c r="Q21" s="6">
        <f t="shared" si="16"/>
        <v>-9.3277857100612677E-2</v>
      </c>
      <c r="R21" s="6"/>
      <c r="S21" s="6">
        <f t="shared" si="17"/>
        <v>1.462416581311156E-2</v>
      </c>
      <c r="T21" s="6">
        <f t="shared" si="18"/>
        <v>2.3165447292593691E-2</v>
      </c>
      <c r="U21" s="8">
        <f t="shared" si="19"/>
        <v>3.383941812909504E-5</v>
      </c>
      <c r="W21" s="48">
        <f t="shared" si="21"/>
        <v>-0.13307359149391718</v>
      </c>
      <c r="X21" s="48">
        <f t="shared" si="22"/>
        <v>-9.945424928936504E-2</v>
      </c>
      <c r="Y21" s="37"/>
      <c r="Z21" s="43">
        <f t="shared" si="20"/>
        <v>-1.8747555198762311E-2</v>
      </c>
      <c r="AA21" s="43">
        <f t="shared" si="20"/>
        <v>3.8257082397806563E-2</v>
      </c>
      <c r="AB21" s="7"/>
      <c r="AC21" s="7"/>
      <c r="AD21" s="5">
        <f t="shared" si="9"/>
        <v>10.089814965000002</v>
      </c>
      <c r="AE21" s="7">
        <f t="shared" si="10"/>
        <v>0.35286189171530441</v>
      </c>
      <c r="AF21" s="7">
        <f>'1A CT original'!X11</f>
        <v>-0.5732006061000724</v>
      </c>
      <c r="AG21" s="4">
        <f t="shared" si="11"/>
        <v>3.770572861071332</v>
      </c>
      <c r="AI21" s="7">
        <f t="shared" si="12"/>
        <v>-0.15167838131663247</v>
      </c>
      <c r="AJ21" s="7">
        <f>'1A CT original'!Y11</f>
        <v>-0.8639492270981356</v>
      </c>
      <c r="AK21" s="4">
        <f t="shared" si="13"/>
        <v>3.4610780066295757</v>
      </c>
    </row>
    <row r="22" spans="3:37" x14ac:dyDescent="0.2">
      <c r="D22">
        <v>4.0149328836000003E-2</v>
      </c>
      <c r="E22" s="8">
        <v>-1.9242184250000001E-8</v>
      </c>
      <c r="F22" s="8">
        <v>-2.0194644128333299E-8</v>
      </c>
      <c r="G22" s="8">
        <v>1.98276829356831E-8</v>
      </c>
      <c r="H22" s="8">
        <v>8.8461190637149897E-9</v>
      </c>
      <c r="I22" s="8">
        <v>1.1868869459154801E-8</v>
      </c>
      <c r="J22">
        <v>4</v>
      </c>
      <c r="K22">
        <v>2</v>
      </c>
      <c r="L22">
        <v>5</v>
      </c>
      <c r="M22">
        <v>0.2</v>
      </c>
      <c r="N22">
        <v>1</v>
      </c>
      <c r="O22" s="4">
        <f t="shared" si="14"/>
        <v>20.074664418000001</v>
      </c>
      <c r="P22" s="6">
        <f t="shared" si="15"/>
        <v>-9.585308052644928E-2</v>
      </c>
      <c r="Q22" s="6">
        <f t="shared" si="16"/>
        <v>-0.10059766732750819</v>
      </c>
      <c r="R22" s="6"/>
      <c r="S22" s="6">
        <f t="shared" si="17"/>
        <v>4.4066086882045677E-2</v>
      </c>
      <c r="T22" s="6">
        <f t="shared" si="18"/>
        <v>5.9123625740475881E-2</v>
      </c>
      <c r="U22" s="8">
        <f t="shared" si="19"/>
        <v>4.938484281187922E-5</v>
      </c>
      <c r="W22" s="48">
        <f t="shared" si="21"/>
        <v>-0.11849487942858904</v>
      </c>
      <c r="X22" s="48">
        <f t="shared" si="22"/>
        <v>-0.10464096367960096</v>
      </c>
      <c r="Y22" s="37"/>
      <c r="Z22" s="43">
        <f t="shared" si="20"/>
        <v>-1.1174073573500531E-2</v>
      </c>
      <c r="AA22" s="43">
        <f t="shared" si="20"/>
        <v>3.7192789418393712E-2</v>
      </c>
      <c r="AB22" s="7"/>
      <c r="AC22" s="7"/>
      <c r="AD22" s="5">
        <f t="shared" si="9"/>
        <v>5.0286700739999999</v>
      </c>
      <c r="AE22" s="7">
        <f t="shared" si="10"/>
        <v>0.39774753068089019</v>
      </c>
      <c r="AF22" s="7">
        <f>'1A CT original'!X12</f>
        <v>-0.77866940224460313</v>
      </c>
      <c r="AG22" s="4">
        <f t="shared" si="11"/>
        <v>2.2020458359513135</v>
      </c>
      <c r="AI22" s="7">
        <f t="shared" si="12"/>
        <v>-0.18148736057044268</v>
      </c>
      <c r="AJ22" s="7">
        <f>'1A CT original'!Y12</f>
        <v>1.0165002710191082</v>
      </c>
      <c r="AK22" s="4">
        <f t="shared" si="13"/>
        <v>-2.5423210487853538</v>
      </c>
    </row>
    <row r="23" spans="3:37" x14ac:dyDescent="0.2">
      <c r="D23">
        <v>1.9945714345999999E-2</v>
      </c>
      <c r="E23" s="8">
        <v>-6.2881907716500002E-9</v>
      </c>
      <c r="F23" s="8">
        <v>-9.3130025083333297E-9</v>
      </c>
      <c r="G23" s="8">
        <v>6.5288095249155095E-8</v>
      </c>
      <c r="H23" s="8">
        <v>8.4498586727725503E-9</v>
      </c>
      <c r="I23" s="8">
        <v>7.4598401770222599E-9</v>
      </c>
      <c r="J23">
        <v>4</v>
      </c>
      <c r="K23">
        <v>2</v>
      </c>
      <c r="L23">
        <v>5</v>
      </c>
      <c r="M23">
        <v>0.2</v>
      </c>
      <c r="N23">
        <v>1</v>
      </c>
      <c r="O23" s="4">
        <f t="shared" si="14"/>
        <v>9.9728571729999995</v>
      </c>
      <c r="P23" s="6">
        <f t="shared" si="15"/>
        <v>-6.3053051523432269E-2</v>
      </c>
      <c r="Q23" s="6">
        <f t="shared" si="16"/>
        <v>-9.3383494286340268E-2</v>
      </c>
      <c r="R23" s="6"/>
      <c r="S23" s="6">
        <f t="shared" si="17"/>
        <v>8.4728564003195228E-2</v>
      </c>
      <c r="T23" s="6">
        <f t="shared" si="18"/>
        <v>7.4801434008487031E-2</v>
      </c>
      <c r="U23" s="8">
        <f t="shared" si="19"/>
        <v>3.2732893952353356E-4</v>
      </c>
      <c r="W23" s="48">
        <f t="shared" si="21"/>
        <v>-9.8356307517751818E-2</v>
      </c>
      <c r="X23" s="48">
        <f t="shared" si="22"/>
        <v>-0.10282461425935716</v>
      </c>
      <c r="Y23" s="37"/>
      <c r="Z23" s="43">
        <f t="shared" si="20"/>
        <v>1.4964581155413881E-3</v>
      </c>
      <c r="AA23" s="43">
        <f t="shared" si="20"/>
        <v>4.0924048272833302E-2</v>
      </c>
      <c r="AB23" s="7"/>
      <c r="AC23" s="7"/>
      <c r="AD23" s="7"/>
      <c r="AE23" s="6"/>
      <c r="AF23" s="6"/>
      <c r="AI23" s="6"/>
      <c r="AJ23" s="6"/>
    </row>
    <row r="24" spans="3:37" x14ac:dyDescent="0.2">
      <c r="C24" t="s">
        <v>82</v>
      </c>
      <c r="D24">
        <v>1.0070684147999999E-2</v>
      </c>
      <c r="E24" s="8">
        <v>-2.89741349833333E-9</v>
      </c>
      <c r="F24" s="8">
        <v>-5.9044700333333302E-9</v>
      </c>
      <c r="G24" s="8">
        <v>8.0758043357061695E-8</v>
      </c>
      <c r="H24" s="8">
        <v>4.7896487430125E-9</v>
      </c>
      <c r="I24" s="8">
        <v>2.81807911970861E-9</v>
      </c>
      <c r="J24">
        <v>3</v>
      </c>
      <c r="K24">
        <v>2</v>
      </c>
      <c r="L24">
        <v>5</v>
      </c>
      <c r="M24">
        <v>0.2</v>
      </c>
      <c r="N24">
        <v>1</v>
      </c>
      <c r="O24" s="4">
        <f t="shared" si="14"/>
        <v>5.0353420739999999</v>
      </c>
      <c r="P24" s="6">
        <f t="shared" si="15"/>
        <v>-5.7541542476212917E-2</v>
      </c>
      <c r="Q24" s="6">
        <f t="shared" si="16"/>
        <v>-0.1172605544282895</v>
      </c>
      <c r="R24" s="6"/>
      <c r="S24" s="6">
        <f t="shared" si="17"/>
        <v>9.5120622841968622E-2</v>
      </c>
      <c r="T24" s="6">
        <f t="shared" si="18"/>
        <v>5.5965991551195061E-2</v>
      </c>
      <c r="U24" s="8">
        <f t="shared" si="19"/>
        <v>8.019121856095541E-4</v>
      </c>
      <c r="W24" s="48">
        <f t="shared" si="21"/>
        <v>-8.0849622990126907E-2</v>
      </c>
      <c r="X24" s="48">
        <f t="shared" si="22"/>
        <v>-0.12978988626439292</v>
      </c>
      <c r="Y24" s="37"/>
      <c r="Z24" s="43">
        <f t="shared" si="20"/>
        <v>1.5629062012406603E-2</v>
      </c>
      <c r="AA24" s="43">
        <f t="shared" si="20"/>
        <v>9.2795163113159329E-3</v>
      </c>
      <c r="AB24" s="7"/>
      <c r="AC24" s="7"/>
      <c r="AD24" s="7"/>
      <c r="AE24" s="6"/>
      <c r="AF24" s="7"/>
      <c r="AG24" s="4"/>
      <c r="AI24" s="7"/>
      <c r="AJ24" s="7"/>
      <c r="AK24" s="4"/>
    </row>
    <row r="25" spans="3:37" x14ac:dyDescent="0.2">
      <c r="J25" s="34"/>
      <c r="K25" s="34"/>
      <c r="W25" s="49" t="s">
        <v>86</v>
      </c>
      <c r="X25" s="48"/>
      <c r="Y25" s="37"/>
      <c r="Z25" s="43"/>
      <c r="AA25" s="43"/>
      <c r="AB25" s="7"/>
      <c r="AC25" s="7"/>
      <c r="AF25" s="7"/>
      <c r="AG25" s="4"/>
      <c r="AI25" s="7"/>
      <c r="AJ25" s="7"/>
      <c r="AK25" s="4"/>
    </row>
    <row r="26" spans="3:37" x14ac:dyDescent="0.2">
      <c r="C26" s="1" t="s">
        <v>80</v>
      </c>
      <c r="D26">
        <v>0.24027275547999999</v>
      </c>
      <c r="E26" s="8">
        <v>-1.9929031333333301E-7</v>
      </c>
      <c r="F26" s="8">
        <v>-1.200469525E-7</v>
      </c>
      <c r="G26" s="8">
        <v>1.13913528645934E-7</v>
      </c>
      <c r="H26" s="8">
        <v>1.33680639692199E-8</v>
      </c>
      <c r="I26" s="8">
        <v>1.21998043040299E-8</v>
      </c>
      <c r="J26">
        <v>7</v>
      </c>
      <c r="K26">
        <v>2</v>
      </c>
      <c r="L26">
        <v>5</v>
      </c>
      <c r="M26">
        <v>0.2</v>
      </c>
      <c r="N26">
        <v>1</v>
      </c>
      <c r="O26" s="4">
        <f t="shared" ref="O26:O32" si="23">100*D26*L26/(M26*5)</f>
        <v>120.13637774</v>
      </c>
      <c r="P26" s="6">
        <f t="shared" ref="P26:P32" si="24">1000000*E26*M26/(N26*D26)</f>
        <v>-0.16588673396216305</v>
      </c>
      <c r="Q26" s="6">
        <f t="shared" ref="Q26:Q32" si="25">1000000*F26*M26/(D26*N26)</f>
        <v>-9.9925563562276262E-2</v>
      </c>
      <c r="R26" s="6"/>
      <c r="S26" s="6">
        <f t="shared" ref="S26:S32" si="26">1000000*M26*H26/(N26*D26)</f>
        <v>1.1127407218945088E-2</v>
      </c>
      <c r="T26" s="6">
        <f t="shared" ref="T26:T32" si="27">1000000*M26*I26/(N26*D26)</f>
        <v>1.0154962662877021E-2</v>
      </c>
      <c r="U26" s="8">
        <f t="shared" ref="U26:U32" si="28">G26*100/D26</f>
        <v>4.7410089595204237E-5</v>
      </c>
      <c r="W26" s="48">
        <f>P18-P26</f>
        <v>4.066209933448614E-2</v>
      </c>
      <c r="X26" s="48">
        <f>Q18-Q26</f>
        <v>1.9291124985196029E-2</v>
      </c>
      <c r="Y26" s="37"/>
      <c r="Z26" s="43"/>
      <c r="AA26" s="43"/>
      <c r="AB26" s="7"/>
      <c r="AC26" s="7"/>
      <c r="AF26" s="7"/>
      <c r="AG26" s="4"/>
      <c r="AI26" s="7"/>
      <c r="AJ26" s="7"/>
      <c r="AK26" s="4"/>
    </row>
    <row r="27" spans="3:37" x14ac:dyDescent="0.2">
      <c r="D27">
        <v>0.20024306474</v>
      </c>
      <c r="E27" s="8">
        <v>-1.6122249333333301E-7</v>
      </c>
      <c r="F27" s="8">
        <v>-9.8683491000000005E-8</v>
      </c>
      <c r="G27" s="8">
        <v>5.1872393600391299E-8</v>
      </c>
      <c r="H27" s="8">
        <v>1.25565316143945E-8</v>
      </c>
      <c r="I27" s="8">
        <v>1.11814975284598E-8</v>
      </c>
      <c r="J27">
        <v>7</v>
      </c>
      <c r="K27">
        <v>2</v>
      </c>
      <c r="L27">
        <v>5</v>
      </c>
      <c r="M27">
        <v>0.2</v>
      </c>
      <c r="N27">
        <v>1</v>
      </c>
      <c r="O27" s="4">
        <f t="shared" si="23"/>
        <v>100.12153237</v>
      </c>
      <c r="P27" s="6">
        <f t="shared" si="24"/>
        <v>-0.16102679365466951</v>
      </c>
      <c r="Q27" s="6">
        <f t="shared" si="25"/>
        <v>-9.8563704194332857E-2</v>
      </c>
      <c r="R27" s="6"/>
      <c r="S27" s="6">
        <f t="shared" si="26"/>
        <v>1.254128988756557E-2</v>
      </c>
      <c r="T27" s="6">
        <f t="shared" si="27"/>
        <v>1.1167924884667642E-2</v>
      </c>
      <c r="U27" s="8">
        <f t="shared" si="28"/>
        <v>2.5904714187102339E-5</v>
      </c>
      <c r="W27" s="48">
        <f t="shared" ref="W27:W32" si="29">P19-P27</f>
        <v>4.0032771545029017E-2</v>
      </c>
      <c r="X27" s="48">
        <f t="shared" ref="X27:X32" si="30">Q19-Q27</f>
        <v>1.86746788725667E-2</v>
      </c>
      <c r="Y27" s="37"/>
      <c r="Z27" s="43"/>
      <c r="AA27" s="43"/>
      <c r="AB27" s="7"/>
      <c r="AC27" s="7"/>
      <c r="AF27" s="7"/>
      <c r="AG27" s="4"/>
      <c r="AI27" s="7"/>
      <c r="AJ27" s="7"/>
      <c r="AK27" s="4"/>
    </row>
    <row r="28" spans="3:37" x14ac:dyDescent="0.2">
      <c r="D28">
        <v>0.1201968838</v>
      </c>
      <c r="E28" s="8">
        <v>-9.1552706333333304E-8</v>
      </c>
      <c r="F28" s="8">
        <v>-6.1885336166666599E-8</v>
      </c>
      <c r="G28" s="8">
        <v>8.6777500936598394E-8</v>
      </c>
      <c r="H28" s="8">
        <v>1.29330173215892E-8</v>
      </c>
      <c r="I28" s="8">
        <v>1.35446329542077E-8</v>
      </c>
      <c r="J28">
        <v>6</v>
      </c>
      <c r="K28">
        <v>2</v>
      </c>
      <c r="L28">
        <v>5</v>
      </c>
      <c r="M28">
        <v>0.2</v>
      </c>
      <c r="N28">
        <v>1</v>
      </c>
      <c r="O28" s="4">
        <f t="shared" si="23"/>
        <v>60.098441899999997</v>
      </c>
      <c r="P28" s="6">
        <f t="shared" si="24"/>
        <v>-0.15233790334476757</v>
      </c>
      <c r="Q28" s="6">
        <f t="shared" si="25"/>
        <v>-0.10297327885744505</v>
      </c>
      <c r="R28" s="6"/>
      <c r="S28" s="6">
        <f t="shared" si="26"/>
        <v>2.1519721498119572E-2</v>
      </c>
      <c r="T28" s="6">
        <f t="shared" si="27"/>
        <v>2.2537411164078282E-2</v>
      </c>
      <c r="U28" s="8">
        <f t="shared" si="28"/>
        <v>7.2196132040320326E-5</v>
      </c>
      <c r="W28" s="48">
        <f t="shared" si="29"/>
        <v>4.5076883747310531E-2</v>
      </c>
      <c r="X28" s="48">
        <f t="shared" si="30"/>
        <v>1.6522865052476687E-2</v>
      </c>
      <c r="Y28" s="37"/>
      <c r="Z28" s="43"/>
      <c r="AA28" s="43"/>
      <c r="AB28" s="7"/>
      <c r="AC28" s="7"/>
      <c r="AF28" s="7"/>
      <c r="AG28" s="4"/>
      <c r="AI28" s="7"/>
      <c r="AJ28" s="7"/>
      <c r="AK28" s="4"/>
    </row>
    <row r="29" spans="3:37" x14ac:dyDescent="0.2">
      <c r="D29">
        <v>8.0196805726000006E-2</v>
      </c>
      <c r="E29" s="8">
        <v>-6.2381210000000002E-8</v>
      </c>
      <c r="F29" s="8">
        <v>-4.2356200166666699E-8</v>
      </c>
      <c r="G29" s="8">
        <v>2.9901702615790302E-8</v>
      </c>
      <c r="H29" s="8">
        <v>1.42860721796056E-8</v>
      </c>
      <c r="I29" s="8">
        <v>1.4292832198792901E-8</v>
      </c>
      <c r="J29">
        <v>6</v>
      </c>
      <c r="K29">
        <v>2</v>
      </c>
      <c r="L29">
        <v>5</v>
      </c>
      <c r="M29">
        <v>0.2</v>
      </c>
      <c r="N29">
        <v>1</v>
      </c>
      <c r="O29" s="4">
        <f t="shared" si="23"/>
        <v>40.098402863000004</v>
      </c>
      <c r="P29" s="6">
        <f t="shared" si="24"/>
        <v>-0.1555703109002404</v>
      </c>
      <c r="Q29" s="6">
        <f t="shared" si="25"/>
        <v>-0.1056306414781174</v>
      </c>
      <c r="R29" s="6"/>
      <c r="S29" s="6">
        <f t="shared" si="26"/>
        <v>3.5627534164927518E-2</v>
      </c>
      <c r="T29" s="6">
        <f t="shared" si="27"/>
        <v>3.564439273959543E-2</v>
      </c>
      <c r="U29" s="8">
        <f t="shared" si="28"/>
        <v>3.7285403508404444E-5</v>
      </c>
      <c r="W29" s="48">
        <f t="shared" si="29"/>
        <v>4.4993438812646475E-2</v>
      </c>
      <c r="X29" s="48">
        <f t="shared" si="30"/>
        <v>1.2352784377504727E-2</v>
      </c>
      <c r="Y29" s="37"/>
      <c r="Z29" s="43"/>
      <c r="AA29" s="43"/>
      <c r="AB29" s="7"/>
      <c r="AC29" s="7"/>
      <c r="AF29" s="7"/>
      <c r="AG29" s="4"/>
      <c r="AI29" s="7"/>
      <c r="AJ29" s="7"/>
      <c r="AK29" s="4"/>
    </row>
    <row r="30" spans="3:37" x14ac:dyDescent="0.2">
      <c r="D30">
        <v>4.0023112136000003E-2</v>
      </c>
      <c r="E30" s="8">
        <v>-2.82436455166666E-8</v>
      </c>
      <c r="F30" s="8">
        <v>-2.1749411633333301E-8</v>
      </c>
      <c r="G30" s="8">
        <v>2.4626768818224898E-8</v>
      </c>
      <c r="H30" s="8">
        <v>1.0071148999594701E-8</v>
      </c>
      <c r="I30" s="8">
        <v>8.3872852251194495E-9</v>
      </c>
      <c r="J30">
        <v>5</v>
      </c>
      <c r="K30">
        <v>2</v>
      </c>
      <c r="L30">
        <v>5</v>
      </c>
      <c r="M30">
        <v>0.2</v>
      </c>
      <c r="N30">
        <v>1</v>
      </c>
      <c r="O30" s="4">
        <f t="shared" si="23"/>
        <v>20.011556068000004</v>
      </c>
      <c r="P30" s="6">
        <f t="shared" si="24"/>
        <v>-0.14113667833072879</v>
      </c>
      <c r="Q30" s="6">
        <f t="shared" si="25"/>
        <v>-0.10868426003169372</v>
      </c>
      <c r="R30" s="6"/>
      <c r="S30" s="6">
        <f t="shared" si="26"/>
        <v>5.0326666079202276E-2</v>
      </c>
      <c r="T30" s="6">
        <f t="shared" si="27"/>
        <v>4.1912209108672743E-2</v>
      </c>
      <c r="U30" s="8">
        <f t="shared" si="28"/>
        <v>6.153136901134083E-5</v>
      </c>
      <c r="W30" s="48">
        <f t="shared" si="29"/>
        <v>4.5283597804279513E-2</v>
      </c>
      <c r="X30" s="48">
        <f t="shared" si="30"/>
        <v>8.0865927041855329E-3</v>
      </c>
      <c r="Y30" s="37"/>
      <c r="Z30" s="43"/>
      <c r="AA30" s="43"/>
      <c r="AB30" s="7"/>
      <c r="AC30" s="7"/>
      <c r="AF30" s="7"/>
      <c r="AG30" s="4"/>
      <c r="AI30" s="7"/>
      <c r="AJ30" s="7"/>
      <c r="AK30" s="4"/>
    </row>
    <row r="31" spans="3:37" x14ac:dyDescent="0.2">
      <c r="D31">
        <v>2.0159743309999999E-2</v>
      </c>
      <c r="E31" s="8">
        <v>-1.3472712456650001E-8</v>
      </c>
      <c r="F31" s="8">
        <v>-1.13162419231667E-8</v>
      </c>
      <c r="G31" s="8">
        <v>1.0411784717958499E-7</v>
      </c>
      <c r="H31" s="8">
        <v>1.1524322176827699E-8</v>
      </c>
      <c r="I31" s="8">
        <v>8.3340870625102804E-9</v>
      </c>
      <c r="J31">
        <v>5</v>
      </c>
      <c r="K31">
        <v>2</v>
      </c>
      <c r="L31">
        <v>5</v>
      </c>
      <c r="M31">
        <v>0.2</v>
      </c>
      <c r="N31">
        <v>1</v>
      </c>
      <c r="O31" s="4">
        <f t="shared" si="23"/>
        <v>10.079871654999998</v>
      </c>
      <c r="P31" s="6">
        <f t="shared" si="24"/>
        <v>-0.13365956351207137</v>
      </c>
      <c r="Q31" s="6">
        <f t="shared" si="25"/>
        <v>-0.11226573423237403</v>
      </c>
      <c r="R31" s="6"/>
      <c r="S31" s="6">
        <f t="shared" si="26"/>
        <v>0.11433004874730918</v>
      </c>
      <c r="T31" s="6">
        <f t="shared" si="27"/>
        <v>8.2680487884746592E-2</v>
      </c>
      <c r="U31" s="8">
        <f t="shared" si="28"/>
        <v>5.1646415124709743E-4</v>
      </c>
      <c r="W31" s="48">
        <f t="shared" si="29"/>
        <v>7.0606511988639098E-2</v>
      </c>
      <c r="X31" s="48">
        <f t="shared" si="30"/>
        <v>1.888223994603376E-2</v>
      </c>
      <c r="Y31" s="37"/>
      <c r="Z31" s="43"/>
      <c r="AA31" s="43"/>
      <c r="AB31" s="7"/>
      <c r="AC31" s="7"/>
    </row>
    <row r="32" spans="3:37" x14ac:dyDescent="0.2">
      <c r="C32" t="s">
        <v>82</v>
      </c>
      <c r="D32">
        <v>1.012662927E-2</v>
      </c>
      <c r="E32" s="8">
        <v>-5.2738322450000101E-9</v>
      </c>
      <c r="F32" s="8">
        <v>-7.2060697984999998E-9</v>
      </c>
      <c r="G32" s="8">
        <v>4.4754036027602299E-8</v>
      </c>
      <c r="H32" s="8">
        <v>3.5148848054428501E-9</v>
      </c>
      <c r="I32" s="8">
        <v>4.1306115341597503E-9</v>
      </c>
      <c r="J32">
        <v>5</v>
      </c>
      <c r="K32">
        <v>2</v>
      </c>
      <c r="L32">
        <v>5</v>
      </c>
      <c r="M32">
        <v>0.2</v>
      </c>
      <c r="N32">
        <v>1</v>
      </c>
      <c r="O32" s="4">
        <f t="shared" si="23"/>
        <v>5.0633146350000002</v>
      </c>
      <c r="P32" s="6">
        <f t="shared" si="24"/>
        <v>-0.1041577035040409</v>
      </c>
      <c r="Q32" s="6">
        <f t="shared" si="25"/>
        <v>-0.14231921810049633</v>
      </c>
      <c r="R32" s="6"/>
      <c r="S32" s="6">
        <f t="shared" si="26"/>
        <v>6.941865277631222E-2</v>
      </c>
      <c r="T32" s="6">
        <f t="shared" si="27"/>
        <v>8.1579199238519182E-2</v>
      </c>
      <c r="U32" s="8">
        <f t="shared" si="28"/>
        <v>4.419440549698557E-4</v>
      </c>
      <c r="W32" s="48">
        <f t="shared" si="29"/>
        <v>4.6616161027827979E-2</v>
      </c>
      <c r="X32" s="48">
        <f t="shared" si="30"/>
        <v>2.5058663672206827E-2</v>
      </c>
      <c r="Y32" s="37"/>
      <c r="Z32" s="43"/>
      <c r="AA32" s="43"/>
      <c r="AB32" s="7"/>
      <c r="AC32" s="7"/>
    </row>
    <row r="33" spans="3:37" x14ac:dyDescent="0.2">
      <c r="E33" s="8"/>
      <c r="F33" s="8"/>
      <c r="G33" s="8"/>
      <c r="H33" s="8"/>
      <c r="I33" s="8"/>
      <c r="O33" s="4"/>
      <c r="P33" s="6"/>
      <c r="Q33" s="6"/>
      <c r="R33" s="6"/>
      <c r="S33" s="6"/>
      <c r="T33" s="6"/>
      <c r="U33" s="8"/>
      <c r="W33" s="48"/>
      <c r="X33" s="48"/>
      <c r="Y33" s="37"/>
      <c r="Z33" s="43"/>
      <c r="AA33" s="43"/>
      <c r="AB33" s="7"/>
      <c r="AC33" s="7"/>
    </row>
    <row r="34" spans="3:37" x14ac:dyDescent="0.2">
      <c r="E34" s="8"/>
      <c r="F34" s="8"/>
      <c r="G34" s="8"/>
      <c r="H34" s="8"/>
      <c r="I34" s="8"/>
      <c r="O34" s="4"/>
      <c r="P34" s="6"/>
      <c r="Q34" s="6"/>
      <c r="R34" s="6"/>
      <c r="S34" s="6"/>
      <c r="T34" s="6"/>
      <c r="U34" s="8"/>
      <c r="W34" s="48"/>
      <c r="X34" s="48"/>
      <c r="Y34" s="37"/>
      <c r="Z34" s="43"/>
      <c r="AA34" s="43"/>
      <c r="AB34" s="7"/>
      <c r="AC34" s="7"/>
    </row>
    <row r="35" spans="3:37" x14ac:dyDescent="0.2">
      <c r="E35" s="8"/>
      <c r="F35" s="8"/>
      <c r="G35" s="8"/>
      <c r="H35" s="8"/>
      <c r="I35" s="8"/>
      <c r="O35" s="4"/>
      <c r="P35" s="6"/>
      <c r="Q35" s="6"/>
      <c r="R35" s="6"/>
      <c r="S35" s="6"/>
      <c r="T35" s="6"/>
      <c r="U35" s="8"/>
      <c r="W35" s="48"/>
      <c r="X35" s="48"/>
      <c r="Y35" s="37"/>
      <c r="Z35" s="43"/>
      <c r="AA35" s="43"/>
      <c r="AB35" s="7"/>
      <c r="AC35" s="7"/>
    </row>
    <row r="36" spans="3:37" x14ac:dyDescent="0.2">
      <c r="E36" s="8"/>
      <c r="F36" s="8"/>
      <c r="G36" s="8"/>
      <c r="H36" s="8"/>
      <c r="I36" s="8"/>
      <c r="J36" s="8"/>
      <c r="K36" s="8"/>
      <c r="W36" s="48"/>
      <c r="X36" s="48"/>
      <c r="Y36" s="37"/>
      <c r="Z36" s="43"/>
      <c r="AA36" s="43"/>
      <c r="AB36" s="7"/>
      <c r="AC36" s="45" t="s">
        <v>41</v>
      </c>
      <c r="AD36" s="1"/>
      <c r="AE36" s="1"/>
      <c r="AF36" s="1"/>
      <c r="AG36" s="1"/>
      <c r="AH36" s="1" t="s">
        <v>42</v>
      </c>
      <c r="AI36" s="1"/>
      <c r="AJ36" s="1"/>
      <c r="AK36" s="1"/>
    </row>
    <row r="37" spans="3:37" x14ac:dyDescent="0.2">
      <c r="E37" s="8"/>
      <c r="F37" s="8"/>
      <c r="G37" s="8"/>
      <c r="H37" s="8"/>
      <c r="I37" s="8"/>
      <c r="J37" s="8"/>
      <c r="K37" s="8"/>
      <c r="W37" s="48"/>
      <c r="X37" s="48"/>
      <c r="Y37" s="37"/>
      <c r="Z37" s="46" t="s">
        <v>53</v>
      </c>
      <c r="AA37" s="42"/>
      <c r="AB37" s="42"/>
      <c r="AC37" s="45" t="s">
        <v>37</v>
      </c>
      <c r="AD37" s="1"/>
      <c r="AE37" s="1" t="s">
        <v>40</v>
      </c>
      <c r="AF37" s="1"/>
      <c r="AG37" s="1"/>
      <c r="AH37" s="1" t="s">
        <v>37</v>
      </c>
      <c r="AI37" s="1"/>
      <c r="AJ37" s="1" t="s">
        <v>40</v>
      </c>
      <c r="AK37" s="1"/>
    </row>
    <row r="38" spans="3:37" x14ac:dyDescent="0.2">
      <c r="C38" s="1" t="s">
        <v>81</v>
      </c>
      <c r="W38" s="49" t="s">
        <v>83</v>
      </c>
      <c r="X38" s="49"/>
      <c r="Y38" s="37"/>
      <c r="Z38" s="46" t="s">
        <v>91</v>
      </c>
      <c r="AA38" s="46"/>
      <c r="AB38" s="42"/>
      <c r="AC38" s="47" t="s">
        <v>38</v>
      </c>
      <c r="AD38" s="36" t="s">
        <v>39</v>
      </c>
      <c r="AE38" s="35" t="s">
        <v>38</v>
      </c>
      <c r="AF38" s="36" t="s">
        <v>39</v>
      </c>
      <c r="AG38" s="1"/>
      <c r="AH38" s="35" t="s">
        <v>38</v>
      </c>
      <c r="AI38" s="36" t="s">
        <v>39</v>
      </c>
      <c r="AJ38" s="35" t="s">
        <v>38</v>
      </c>
      <c r="AK38" s="36" t="s">
        <v>39</v>
      </c>
    </row>
    <row r="39" spans="3:37" x14ac:dyDescent="0.2">
      <c r="W39" s="49" t="s">
        <v>84</v>
      </c>
      <c r="X39" s="49" t="s">
        <v>85</v>
      </c>
      <c r="Y39" s="37"/>
      <c r="Z39" s="46" t="s">
        <v>35</v>
      </c>
      <c r="AA39" s="46" t="s">
        <v>36</v>
      </c>
      <c r="AB39" s="42"/>
      <c r="AC39" s="45" t="s">
        <v>35</v>
      </c>
      <c r="AD39" s="1" t="s">
        <v>35</v>
      </c>
      <c r="AE39" s="1"/>
      <c r="AF39" s="1"/>
      <c r="AG39" s="1"/>
      <c r="AH39" s="1" t="s">
        <v>36</v>
      </c>
      <c r="AI39" s="1" t="s">
        <v>36</v>
      </c>
      <c r="AJ39" s="1"/>
      <c r="AK39" s="1"/>
    </row>
    <row r="40" spans="3:37" x14ac:dyDescent="0.2">
      <c r="C40" t="s">
        <v>79</v>
      </c>
      <c r="D40">
        <v>0.24024336618</v>
      </c>
      <c r="E40" s="8">
        <v>-1.4570879333333301E-6</v>
      </c>
      <c r="F40" s="8">
        <v>-1.59096581666667E-6</v>
      </c>
      <c r="G40" s="8">
        <v>1.7286262705445699E-7</v>
      </c>
      <c r="H40" s="8">
        <v>4.9442626409023099E-9</v>
      </c>
      <c r="I40" s="8">
        <v>6.3244241898417403E-9</v>
      </c>
      <c r="J40">
        <v>9</v>
      </c>
      <c r="K40">
        <v>2</v>
      </c>
      <c r="L40">
        <v>5</v>
      </c>
      <c r="M40">
        <v>0.2</v>
      </c>
      <c r="N40">
        <v>10</v>
      </c>
      <c r="O40" s="4">
        <f t="shared" ref="O40:O46" si="31">100*D40*L40/(M40*5)</f>
        <v>120.12168309</v>
      </c>
      <c r="P40" s="6">
        <f t="shared" ref="P40:P46" si="32">1000000*E40*M40/(N40*D40)</f>
        <v>-0.12130099211493908</v>
      </c>
      <c r="Q40" s="6">
        <f t="shared" ref="Q40:Q46" si="33">1000000*F40*M40/(D40*N40)</f>
        <v>-0.13244618088431667</v>
      </c>
      <c r="R40" s="6"/>
      <c r="S40" s="6">
        <f t="shared" ref="S40:S46" si="34">1000000*M40*H40/(N40*D40)</f>
        <v>4.1160450917074391E-4</v>
      </c>
      <c r="T40" s="6">
        <f t="shared" ref="T40:T46" si="35">1000000*M40*I40/(N40*D40)</f>
        <v>5.2650146311246967E-4</v>
      </c>
      <c r="U40" s="8">
        <f t="shared" ref="U40:U46" si="36">G40*100/D40</f>
        <v>7.1953132277101606E-5</v>
      </c>
      <c r="W40" s="48">
        <f>(P40+P48)/2</f>
        <v>-0.13714253843909144</v>
      </c>
      <c r="X40" s="48">
        <f>(Q40+Q48)/2</f>
        <v>-0.12908520740510881</v>
      </c>
      <c r="Y40" s="37"/>
      <c r="Z40" s="42">
        <f>AVERAGE(P40,P48)+W6</f>
        <v>5.3850736473043254E-2</v>
      </c>
      <c r="AA40" s="42">
        <f>AVERAGE(Q40,Q48)+X6</f>
        <v>-0.18239645505738983</v>
      </c>
      <c r="AB40" s="42"/>
      <c r="AC40" s="7">
        <f t="shared" ref="AC40:AC46" si="37">S40</f>
        <v>4.1160450917074391E-4</v>
      </c>
      <c r="AD40" s="7">
        <v>3.2000000000000001E-2</v>
      </c>
      <c r="AE40">
        <v>20</v>
      </c>
      <c r="AF40" s="5">
        <v>21</v>
      </c>
      <c r="AG40" s="7"/>
      <c r="AH40" s="7">
        <f t="shared" ref="AH40:AH46" si="38">T40</f>
        <v>5.2650146311246967E-4</v>
      </c>
      <c r="AI40" s="7">
        <v>1.7000000000000001E-2</v>
      </c>
      <c r="AJ40" s="5">
        <v>20</v>
      </c>
      <c r="AK40">
        <v>57</v>
      </c>
    </row>
    <row r="41" spans="3:37" x14ac:dyDescent="0.2">
      <c r="D41">
        <v>0.20003104054000001</v>
      </c>
      <c r="E41" s="8">
        <v>-1.1708955666666701E-6</v>
      </c>
      <c r="F41" s="8">
        <v>-1.34848438333333E-6</v>
      </c>
      <c r="G41" s="8">
        <v>4.0934380618722102E-8</v>
      </c>
      <c r="H41" s="8">
        <v>8.73345473904164E-9</v>
      </c>
      <c r="I41" s="8">
        <v>7.1423654778877196E-9</v>
      </c>
      <c r="J41">
        <v>9</v>
      </c>
      <c r="K41">
        <v>2</v>
      </c>
      <c r="L41">
        <v>5</v>
      </c>
      <c r="M41">
        <v>0.2</v>
      </c>
      <c r="N41">
        <v>10</v>
      </c>
      <c r="O41" s="4">
        <f t="shared" si="31"/>
        <v>100.01552027000001</v>
      </c>
      <c r="P41" s="6">
        <f t="shared" si="32"/>
        <v>-0.11707138687133184</v>
      </c>
      <c r="Q41" s="6">
        <f t="shared" si="33"/>
        <v>-0.13482751273932159</v>
      </c>
      <c r="R41" s="6"/>
      <c r="S41" s="6">
        <f t="shared" si="34"/>
        <v>8.732099493623561E-4</v>
      </c>
      <c r="T41" s="6">
        <f t="shared" si="35"/>
        <v>7.1412571354988956E-4</v>
      </c>
      <c r="U41" s="8">
        <f t="shared" si="36"/>
        <v>2.0464014239098306E-5</v>
      </c>
      <c r="W41" s="48">
        <f t="shared" ref="W41:W46" si="39">(P41+P49)/2</f>
        <v>-0.13208278610884644</v>
      </c>
      <c r="X41" s="48">
        <f t="shared" ref="X41:X46" si="40">(Q41+Q49)/2</f>
        <v>-0.13161102077216766</v>
      </c>
      <c r="Y41" s="37"/>
      <c r="Z41" s="42">
        <f t="shared" ref="Z41:Z46" si="41">AVERAGE(P41,P49)+W7</f>
        <v>7.7728214337273033E-2</v>
      </c>
      <c r="AA41" s="42">
        <f t="shared" ref="AA41:AA46" si="42">AVERAGE(Q41,Q49)+X7</f>
        <v>-0.18281968945557966</v>
      </c>
      <c r="AB41" s="42"/>
      <c r="AC41" s="7">
        <f t="shared" si="37"/>
        <v>8.732099493623561E-4</v>
      </c>
      <c r="AD41" s="7">
        <v>3.2000000000000001E-2</v>
      </c>
      <c r="AE41">
        <v>20</v>
      </c>
      <c r="AF41" s="5">
        <v>21</v>
      </c>
      <c r="AG41" s="7"/>
      <c r="AH41" s="7">
        <f t="shared" si="38"/>
        <v>7.1412571354988956E-4</v>
      </c>
      <c r="AI41" s="7">
        <v>1.7000000000000001E-2</v>
      </c>
      <c r="AJ41" s="5">
        <v>20</v>
      </c>
      <c r="AK41">
        <v>57</v>
      </c>
    </row>
    <row r="42" spans="3:37" x14ac:dyDescent="0.2">
      <c r="D42">
        <v>0.12018524452</v>
      </c>
      <c r="E42" s="8">
        <v>-6.4342706666666605E-7</v>
      </c>
      <c r="F42" s="8">
        <v>-8.3043040833333404E-7</v>
      </c>
      <c r="G42" s="8">
        <v>8.8642479927832596E-8</v>
      </c>
      <c r="H42" s="8">
        <v>5.76907746052656E-9</v>
      </c>
      <c r="I42" s="8">
        <v>7.1784669810666396E-9</v>
      </c>
      <c r="J42">
        <v>9</v>
      </c>
      <c r="K42">
        <v>2</v>
      </c>
      <c r="L42">
        <v>5</v>
      </c>
      <c r="M42">
        <v>0.2</v>
      </c>
      <c r="N42">
        <v>10</v>
      </c>
      <c r="O42" s="4">
        <f t="shared" si="31"/>
        <v>60.092622259999999</v>
      </c>
      <c r="P42" s="6">
        <f t="shared" si="32"/>
        <v>-0.10707255607564931</v>
      </c>
      <c r="Q42" s="6">
        <f t="shared" si="33"/>
        <v>-0.13819174086634944</v>
      </c>
      <c r="R42" s="6"/>
      <c r="S42" s="6">
        <f t="shared" si="34"/>
        <v>9.6003090621769784E-4</v>
      </c>
      <c r="T42" s="6">
        <f t="shared" si="35"/>
        <v>1.1945671050945148E-3</v>
      </c>
      <c r="U42" s="8">
        <f t="shared" si="36"/>
        <v>7.3754877549116787E-5</v>
      </c>
      <c r="W42" s="48">
        <f t="shared" si="39"/>
        <v>-0.12031680436106994</v>
      </c>
      <c r="X42" s="48">
        <f t="shared" si="40"/>
        <v>-0.13622039258920787</v>
      </c>
      <c r="Y42" s="37"/>
      <c r="Z42" s="42">
        <f t="shared" si="41"/>
        <v>0.15594147303929579</v>
      </c>
      <c r="AA42" s="42">
        <f t="shared" si="42"/>
        <v>-0.1888126048782944</v>
      </c>
      <c r="AB42" s="42"/>
      <c r="AC42" s="7">
        <f t="shared" si="37"/>
        <v>9.6003090621769784E-4</v>
      </c>
      <c r="AD42" s="7">
        <v>3.2000000000000001E-2</v>
      </c>
      <c r="AE42">
        <v>20</v>
      </c>
      <c r="AF42" s="5">
        <v>21</v>
      </c>
      <c r="AG42" s="7"/>
      <c r="AH42" s="7">
        <f t="shared" si="38"/>
        <v>1.1945671050945148E-3</v>
      </c>
      <c r="AI42" s="7">
        <v>1.7000000000000001E-2</v>
      </c>
      <c r="AJ42" s="5">
        <v>20</v>
      </c>
      <c r="AK42">
        <v>57</v>
      </c>
    </row>
    <row r="43" spans="3:37" x14ac:dyDescent="0.2">
      <c r="D43">
        <v>7.9937922923999996E-2</v>
      </c>
      <c r="E43" s="8">
        <v>-4.0557602000000002E-7</v>
      </c>
      <c r="F43" s="8">
        <v>-5.5686189999999998E-7</v>
      </c>
      <c r="G43" s="8">
        <v>3.9636081927304302E-8</v>
      </c>
      <c r="H43" s="8">
        <v>8.5709390208774694E-9</v>
      </c>
      <c r="I43" s="8">
        <v>9.38313744828099E-9</v>
      </c>
      <c r="J43">
        <v>7</v>
      </c>
      <c r="K43">
        <v>2</v>
      </c>
      <c r="L43">
        <v>5</v>
      </c>
      <c r="M43">
        <v>0.2</v>
      </c>
      <c r="N43">
        <v>10</v>
      </c>
      <c r="O43" s="4">
        <f t="shared" si="31"/>
        <v>39.968961461999996</v>
      </c>
      <c r="P43" s="6">
        <f t="shared" si="32"/>
        <v>-0.10147274414062435</v>
      </c>
      <c r="Q43" s="6">
        <f t="shared" si="33"/>
        <v>-0.1393235850096905</v>
      </c>
      <c r="R43" s="6"/>
      <c r="S43" s="6">
        <f t="shared" si="34"/>
        <v>2.1443987302562726E-3</v>
      </c>
      <c r="T43" s="6">
        <f t="shared" si="35"/>
        <v>2.3476060185356313E-3</v>
      </c>
      <c r="U43" s="8">
        <f t="shared" si="36"/>
        <v>4.9583577452954116E-5</v>
      </c>
      <c r="W43" s="48">
        <f t="shared" si="39"/>
        <v>-0.11432603629515486</v>
      </c>
      <c r="X43" s="48">
        <f t="shared" si="40"/>
        <v>-0.13771133168717159</v>
      </c>
      <c r="Y43" s="37"/>
      <c r="Z43" s="42">
        <f t="shared" si="41"/>
        <v>0.21197071182458638</v>
      </c>
      <c r="AA43" s="42">
        <f t="shared" si="42"/>
        <v>-0.19037632707551344</v>
      </c>
      <c r="AB43" s="42"/>
      <c r="AC43" s="7">
        <f t="shared" si="37"/>
        <v>2.1443987302562726E-3</v>
      </c>
      <c r="AD43" s="7">
        <v>4.5999999999999999E-2</v>
      </c>
      <c r="AE43">
        <v>20</v>
      </c>
      <c r="AF43" s="5">
        <v>21</v>
      </c>
      <c r="AG43" s="7"/>
      <c r="AH43" s="7">
        <f t="shared" si="38"/>
        <v>2.3476060185356313E-3</v>
      </c>
      <c r="AI43" s="7">
        <v>2.9000000000000001E-2</v>
      </c>
      <c r="AJ43" s="5">
        <v>20</v>
      </c>
      <c r="AK43">
        <v>57</v>
      </c>
    </row>
    <row r="44" spans="3:37" x14ac:dyDescent="0.2">
      <c r="D44">
        <v>4.0021784159999997E-2</v>
      </c>
      <c r="E44" s="8">
        <v>-1.9089938666666699E-7</v>
      </c>
      <c r="F44" s="8">
        <v>-2.8693768666666599E-7</v>
      </c>
      <c r="G44" s="8">
        <v>2.7145005250549299E-8</v>
      </c>
      <c r="H44" s="8">
        <v>7.5926099656500796E-9</v>
      </c>
      <c r="I44" s="8">
        <v>8.9469766365602794E-9</v>
      </c>
      <c r="J44">
        <v>5</v>
      </c>
      <c r="K44">
        <v>2</v>
      </c>
      <c r="L44">
        <v>5</v>
      </c>
      <c r="M44">
        <v>0.2</v>
      </c>
      <c r="N44">
        <v>10</v>
      </c>
      <c r="O44" s="4">
        <f t="shared" si="31"/>
        <v>20.010892079999998</v>
      </c>
      <c r="P44" s="6">
        <f t="shared" si="32"/>
        <v>-9.5397739342896401E-2</v>
      </c>
      <c r="Q44" s="6">
        <f t="shared" si="33"/>
        <v>-0.14339075215614577</v>
      </c>
      <c r="R44" s="6"/>
      <c r="S44" s="6">
        <f t="shared" si="34"/>
        <v>3.7942386252927509E-3</v>
      </c>
      <c r="T44" s="6">
        <f t="shared" si="35"/>
        <v>4.4710533647334934E-3</v>
      </c>
      <c r="U44" s="8">
        <f t="shared" si="36"/>
        <v>6.7825575046900406E-5</v>
      </c>
      <c r="W44" s="48">
        <f t="shared" si="39"/>
        <v>-0.10732080585508853</v>
      </c>
      <c r="X44" s="48">
        <f t="shared" si="40"/>
        <v>-0.14183375309799467</v>
      </c>
      <c r="Y44" s="37"/>
      <c r="Z44" s="42">
        <f t="shared" si="41"/>
        <v>0.29500198692205171</v>
      </c>
      <c r="AA44" s="42">
        <f t="shared" si="42"/>
        <v>-0.19206663494390075</v>
      </c>
      <c r="AB44" s="42"/>
      <c r="AC44" s="7">
        <f t="shared" si="37"/>
        <v>3.7942386252927509E-3</v>
      </c>
      <c r="AD44" s="7">
        <v>4.5999999999999999E-2</v>
      </c>
      <c r="AE44">
        <v>20</v>
      </c>
      <c r="AF44" s="5">
        <v>21</v>
      </c>
      <c r="AG44" s="7"/>
      <c r="AH44" s="7">
        <f t="shared" si="38"/>
        <v>4.4710533647334934E-3</v>
      </c>
      <c r="AI44" s="7">
        <v>2.9000000000000001E-2</v>
      </c>
      <c r="AJ44" s="5">
        <v>20</v>
      </c>
      <c r="AK44">
        <v>57</v>
      </c>
    </row>
    <row r="45" spans="3:37" x14ac:dyDescent="0.2">
      <c r="D45">
        <v>2.0161794237999998E-2</v>
      </c>
      <c r="E45" s="8">
        <v>-9.0449246999999895E-8</v>
      </c>
      <c r="F45" s="8">
        <v>-1.4447651333333299E-7</v>
      </c>
      <c r="G45" s="8">
        <v>1.3375572737055199E-7</v>
      </c>
      <c r="H45" s="8">
        <v>7.8857302744741198E-9</v>
      </c>
      <c r="I45" s="8">
        <v>6.2181612839452399E-9</v>
      </c>
      <c r="J45">
        <v>7</v>
      </c>
      <c r="K45">
        <v>2</v>
      </c>
      <c r="L45">
        <v>5</v>
      </c>
      <c r="M45">
        <v>0.2</v>
      </c>
      <c r="N45">
        <v>10</v>
      </c>
      <c r="O45" s="4">
        <f t="shared" si="31"/>
        <v>10.080897118999999</v>
      </c>
      <c r="P45" s="6">
        <f t="shared" si="32"/>
        <v>-8.9723410458703551E-2</v>
      </c>
      <c r="Q45" s="6">
        <f t="shared" si="33"/>
        <v>-0.1433171191292395</v>
      </c>
      <c r="R45" s="6"/>
      <c r="S45" s="6">
        <f t="shared" si="34"/>
        <v>7.822448916388074E-3</v>
      </c>
      <c r="T45" s="6">
        <f t="shared" si="35"/>
        <v>6.1682618228744183E-3</v>
      </c>
      <c r="U45" s="8">
        <f t="shared" si="36"/>
        <v>6.634118263068845E-4</v>
      </c>
      <c r="W45" s="48">
        <f t="shared" si="39"/>
        <v>-9.9852765633293178E-2</v>
      </c>
      <c r="X45" s="48">
        <f t="shared" si="40"/>
        <v>-0.14374866253219046</v>
      </c>
      <c r="Y45" s="37"/>
      <c r="Z45" s="42">
        <f t="shared" si="41"/>
        <v>0.35136543359976302</v>
      </c>
      <c r="AA45" s="42">
        <f t="shared" si="42"/>
        <v>-0.19260242958946577</v>
      </c>
      <c r="AB45" s="42"/>
      <c r="AC45" s="7">
        <f t="shared" si="37"/>
        <v>7.822448916388074E-3</v>
      </c>
      <c r="AD45" s="7">
        <v>0.1</v>
      </c>
      <c r="AE45">
        <v>20</v>
      </c>
      <c r="AF45" s="5">
        <v>21</v>
      </c>
      <c r="AG45" s="7"/>
      <c r="AH45" s="7">
        <f t="shared" si="38"/>
        <v>6.1682618228744183E-3</v>
      </c>
      <c r="AI45" s="7">
        <v>0.1</v>
      </c>
      <c r="AJ45" s="5">
        <v>20</v>
      </c>
      <c r="AK45">
        <v>57</v>
      </c>
    </row>
    <row r="46" spans="3:37" x14ac:dyDescent="0.2">
      <c r="D46">
        <v>1.0085704460000001E-2</v>
      </c>
      <c r="E46" s="8">
        <v>-4.6563451666666697E-8</v>
      </c>
      <c r="F46" s="8">
        <v>-7.0854824833333399E-8</v>
      </c>
      <c r="G46" s="8">
        <v>4.6191414365615901E-8</v>
      </c>
      <c r="H46" s="8">
        <v>9.2029979613201999E-9</v>
      </c>
      <c r="I46" s="8">
        <v>7.5050030251759394E-9</v>
      </c>
      <c r="J46">
        <v>5</v>
      </c>
      <c r="K46">
        <v>2</v>
      </c>
      <c r="L46">
        <v>5</v>
      </c>
      <c r="M46">
        <v>0.2</v>
      </c>
      <c r="N46">
        <v>10</v>
      </c>
      <c r="O46" s="4">
        <f t="shared" si="31"/>
        <v>5.0428522300000003</v>
      </c>
      <c r="P46" s="6">
        <f t="shared" si="32"/>
        <v>-9.2335546518020228E-2</v>
      </c>
      <c r="Q46" s="6">
        <f t="shared" si="33"/>
        <v>-0.14050545524974345</v>
      </c>
      <c r="R46" s="6"/>
      <c r="S46" s="6">
        <f t="shared" si="34"/>
        <v>1.8249588807245695E-2</v>
      </c>
      <c r="T46" s="6">
        <f t="shared" si="35"/>
        <v>1.4882456758357044E-2</v>
      </c>
      <c r="U46" s="8">
        <f t="shared" si="36"/>
        <v>4.5798897388686616E-4</v>
      </c>
      <c r="W46" s="48">
        <f t="shared" si="39"/>
        <v>-9.6478685002533496E-2</v>
      </c>
      <c r="X46" s="48">
        <f t="shared" si="40"/>
        <v>-0.13906940257570885</v>
      </c>
      <c r="Y46" s="37"/>
      <c r="Z46" s="42">
        <f t="shared" si="41"/>
        <v>0.38211846866848359</v>
      </c>
      <c r="AA46" s="42">
        <f t="shared" si="42"/>
        <v>-0.19076687688175861</v>
      </c>
      <c r="AB46" s="42"/>
      <c r="AC46" s="7">
        <f t="shared" si="37"/>
        <v>1.8249588807245695E-2</v>
      </c>
      <c r="AD46" s="7">
        <v>0.1</v>
      </c>
      <c r="AE46">
        <v>20</v>
      </c>
      <c r="AF46" s="5">
        <v>21</v>
      </c>
      <c r="AG46" s="7"/>
      <c r="AH46" s="7">
        <f t="shared" si="38"/>
        <v>1.4882456758357044E-2</v>
      </c>
      <c r="AI46" s="7">
        <v>0.1</v>
      </c>
      <c r="AJ46" s="5">
        <v>20</v>
      </c>
      <c r="AK46">
        <v>57</v>
      </c>
    </row>
    <row r="47" spans="3:37" x14ac:dyDescent="0.2">
      <c r="E47" s="8"/>
      <c r="F47" s="8"/>
      <c r="G47" s="8"/>
      <c r="H47" s="8"/>
      <c r="I47" s="8"/>
      <c r="O47" s="4"/>
      <c r="P47" s="6"/>
      <c r="Q47" s="6"/>
      <c r="R47" s="6"/>
      <c r="S47" s="6"/>
      <c r="T47" s="6"/>
      <c r="U47" s="8"/>
      <c r="W47" s="49" t="s">
        <v>86</v>
      </c>
      <c r="X47" s="48"/>
      <c r="Y47" s="37"/>
      <c r="Z47" s="7"/>
      <c r="AA47" s="7"/>
      <c r="AB47" s="7"/>
      <c r="AC47" s="7"/>
    </row>
    <row r="48" spans="3:37" x14ac:dyDescent="0.2">
      <c r="C48" s="1" t="s">
        <v>78</v>
      </c>
      <c r="D48">
        <v>0.24010838158</v>
      </c>
      <c r="E48" s="8">
        <v>-1.8366380500000001E-6</v>
      </c>
      <c r="F48" s="8">
        <v>-1.50937211666667E-6</v>
      </c>
      <c r="G48" s="8">
        <v>1.2617554979535799E-7</v>
      </c>
      <c r="H48" s="8">
        <v>8.1638416629366295E-9</v>
      </c>
      <c r="I48" s="8">
        <v>1.01298707635581E-8</v>
      </c>
      <c r="J48">
        <v>9</v>
      </c>
      <c r="K48">
        <v>2</v>
      </c>
      <c r="L48">
        <v>5</v>
      </c>
      <c r="M48">
        <v>0.2</v>
      </c>
      <c r="N48">
        <v>10</v>
      </c>
      <c r="O48" s="4">
        <f t="shared" ref="O48:O54" si="43">100*D48*L48/(M48*5)</f>
        <v>120.05419078999999</v>
      </c>
      <c r="P48" s="6">
        <f t="shared" ref="P48:P54" si="44">1000000*E48*M48/(N48*D48)</f>
        <v>-0.15298408476324379</v>
      </c>
      <c r="Q48" s="6">
        <f t="shared" ref="Q48:Q54" si="45">1000000*F48*M48/(D48*N48)</f>
        <v>-0.12572423392590093</v>
      </c>
      <c r="R48" s="6"/>
      <c r="S48" s="6">
        <f t="shared" ref="S48:S54" si="46">1000000*M48*H48/(N48*D48)</f>
        <v>6.8001305154077494E-4</v>
      </c>
      <c r="T48" s="6">
        <f t="shared" ref="T48:T54" si="47">1000000*M48*I48/(N48*D48)</f>
        <v>8.4377485674593173E-4</v>
      </c>
      <c r="U48" s="8">
        <f t="shared" ref="U48:U54" si="48">G48*100/D48</f>
        <v>5.2549414962142191E-5</v>
      </c>
      <c r="W48" s="48">
        <f>P40-P48</f>
        <v>3.1683092648304712E-2</v>
      </c>
      <c r="X48" s="48">
        <f>Q40-Q48</f>
        <v>-6.7219469584157421E-3</v>
      </c>
      <c r="Y48" s="37"/>
    </row>
    <row r="49" spans="3:38" x14ac:dyDescent="0.2">
      <c r="C49" t="s">
        <v>79</v>
      </c>
      <c r="D49">
        <v>0.20010677692000001</v>
      </c>
      <c r="E49" s="8">
        <v>-1.4717271666666701E-6</v>
      </c>
      <c r="F49" s="8">
        <v>-1.2846307666666699E-6</v>
      </c>
      <c r="G49" s="8">
        <v>2.3205267845036101E-8</v>
      </c>
      <c r="H49" s="8">
        <v>8.6501323095211802E-9</v>
      </c>
      <c r="I49" s="8">
        <v>9.2975220755616104E-9</v>
      </c>
      <c r="J49">
        <v>9</v>
      </c>
      <c r="K49">
        <v>2</v>
      </c>
      <c r="L49">
        <v>5</v>
      </c>
      <c r="M49">
        <v>0.2</v>
      </c>
      <c r="N49">
        <v>10</v>
      </c>
      <c r="O49" s="4">
        <f t="shared" si="43"/>
        <v>100.05338846000001</v>
      </c>
      <c r="P49" s="6">
        <f t="shared" si="44"/>
        <v>-0.14709418534636104</v>
      </c>
      <c r="Q49" s="6">
        <f t="shared" si="45"/>
        <v>-0.12839452880501373</v>
      </c>
      <c r="R49" s="6"/>
      <c r="S49" s="6">
        <f t="shared" si="46"/>
        <v>8.6455166013486753E-4</v>
      </c>
      <c r="T49" s="6">
        <f t="shared" si="47"/>
        <v>9.2925609203916508E-4</v>
      </c>
      <c r="U49" s="8">
        <f t="shared" si="48"/>
        <v>1.1596442760313537E-5</v>
      </c>
      <c r="W49" s="48">
        <f t="shared" ref="W49:W54" si="49">P41-P49</f>
        <v>3.00227984750292E-2</v>
      </c>
      <c r="X49" s="48">
        <f t="shared" ref="X49:X54" si="50">Q41-Q49</f>
        <v>-6.4329839343078565E-3</v>
      </c>
      <c r="Y49" s="37"/>
    </row>
    <row r="50" spans="3:38" x14ac:dyDescent="0.2">
      <c r="D50">
        <v>0.11997562974000001</v>
      </c>
      <c r="E50" s="8">
        <v>-8.0120356999999998E-7</v>
      </c>
      <c r="F50" s="8">
        <v>-8.0533068166666602E-7</v>
      </c>
      <c r="G50" s="8">
        <v>3.4892742291773202E-8</v>
      </c>
      <c r="H50" s="8">
        <v>7.3099725121530601E-9</v>
      </c>
      <c r="I50" s="8">
        <v>7.2453248940492998E-9</v>
      </c>
      <c r="J50">
        <v>8</v>
      </c>
      <c r="K50">
        <v>2</v>
      </c>
      <c r="L50">
        <v>5</v>
      </c>
      <c r="M50">
        <v>0.2</v>
      </c>
      <c r="N50">
        <v>10</v>
      </c>
      <c r="O50" s="4">
        <f t="shared" si="43"/>
        <v>59.987814870000008</v>
      </c>
      <c r="P50" s="6">
        <f t="shared" si="44"/>
        <v>-0.13356105264649057</v>
      </c>
      <c r="Q50" s="6">
        <f t="shared" si="45"/>
        <v>-0.13424904431206633</v>
      </c>
      <c r="R50" s="6"/>
      <c r="S50" s="6">
        <f t="shared" si="46"/>
        <v>1.2185762271878966E-3</v>
      </c>
      <c r="T50" s="6">
        <f t="shared" si="47"/>
        <v>1.2077994355604871E-3</v>
      </c>
      <c r="U50" s="8">
        <f t="shared" si="48"/>
        <v>2.90831916176556E-5</v>
      </c>
      <c r="W50" s="48">
        <f t="shared" si="49"/>
        <v>2.6488496570841263E-2</v>
      </c>
      <c r="X50" s="48">
        <f t="shared" si="50"/>
        <v>-3.9426965542831149E-3</v>
      </c>
      <c r="Y50" s="37"/>
    </row>
    <row r="51" spans="3:38" x14ac:dyDescent="0.2">
      <c r="D51">
        <v>7.9965388432000004E-2</v>
      </c>
      <c r="E51" s="8">
        <v>-5.0849721999999995E-7</v>
      </c>
      <c r="F51" s="8">
        <v>-5.4416078333333304E-7</v>
      </c>
      <c r="G51" s="8">
        <v>6.4165202497502006E-8</v>
      </c>
      <c r="H51" s="8">
        <v>8.4332119749792405E-9</v>
      </c>
      <c r="I51" s="8">
        <v>3.23364814047367E-9</v>
      </c>
      <c r="J51">
        <v>7</v>
      </c>
      <c r="K51">
        <v>2</v>
      </c>
      <c r="L51">
        <v>5</v>
      </c>
      <c r="M51">
        <v>0.2</v>
      </c>
      <c r="N51">
        <v>10</v>
      </c>
      <c r="O51" s="4">
        <f t="shared" si="43"/>
        <v>39.982694216000006</v>
      </c>
      <c r="P51" s="6">
        <f t="shared" si="44"/>
        <v>-0.12717932844968538</v>
      </c>
      <c r="Q51" s="6">
        <f t="shared" si="45"/>
        <v>-0.13609907836465271</v>
      </c>
      <c r="R51" s="6"/>
      <c r="S51" s="6">
        <f t="shared" si="46"/>
        <v>2.1092155344560283E-3</v>
      </c>
      <c r="T51" s="6">
        <f t="shared" si="47"/>
        <v>8.0876194160513833E-4</v>
      </c>
      <c r="U51" s="8">
        <f t="shared" si="48"/>
        <v>8.0241219051997766E-5</v>
      </c>
      <c r="W51" s="48">
        <f t="shared" si="49"/>
        <v>2.5706584309061031E-2</v>
      </c>
      <c r="X51" s="48">
        <f t="shared" si="50"/>
        <v>-3.2245066450377891E-3</v>
      </c>
      <c r="Y51" s="37"/>
    </row>
    <row r="52" spans="3:38" x14ac:dyDescent="0.2">
      <c r="D52">
        <v>4.0190504872000002E-2</v>
      </c>
      <c r="E52" s="8">
        <v>-2.3962357166666698E-7</v>
      </c>
      <c r="F52" s="8">
        <v>-2.8188967833333398E-7</v>
      </c>
      <c r="G52" s="8">
        <v>3.4854847622993399E-8</v>
      </c>
      <c r="H52" s="8">
        <v>1.1068048301824999E-8</v>
      </c>
      <c r="I52" s="8">
        <v>9.7247601011471695E-9</v>
      </c>
      <c r="J52">
        <v>7</v>
      </c>
      <c r="K52">
        <v>2</v>
      </c>
      <c r="L52">
        <v>5</v>
      </c>
      <c r="M52">
        <v>0.2</v>
      </c>
      <c r="N52">
        <v>10</v>
      </c>
      <c r="O52" s="4">
        <f t="shared" si="43"/>
        <v>20.095252436000003</v>
      </c>
      <c r="P52" s="6">
        <f t="shared" si="44"/>
        <v>-0.11924387236728066</v>
      </c>
      <c r="Q52" s="6">
        <f t="shared" si="45"/>
        <v>-0.1402767540398436</v>
      </c>
      <c r="R52" s="6"/>
      <c r="S52" s="6">
        <f t="shared" si="46"/>
        <v>5.50779261772146E-3</v>
      </c>
      <c r="T52" s="6">
        <f t="shared" si="47"/>
        <v>4.8393321418175239E-3</v>
      </c>
      <c r="U52" s="8">
        <f t="shared" si="48"/>
        <v>8.6724085039489372E-5</v>
      </c>
      <c r="W52" s="48">
        <f t="shared" si="49"/>
        <v>2.3846133024384264E-2</v>
      </c>
      <c r="X52" s="48">
        <f t="shared" si="50"/>
        <v>-3.1139981163021691E-3</v>
      </c>
      <c r="Y52" s="37"/>
    </row>
    <row r="53" spans="3:38" x14ac:dyDescent="0.2">
      <c r="D53">
        <v>1.9968936198000001E-2</v>
      </c>
      <c r="E53" s="8">
        <v>-1.09811297666667E-7</v>
      </c>
      <c r="F53" s="8">
        <v>-1.43956266666667E-7</v>
      </c>
      <c r="G53" s="8">
        <v>1.2497318690284199E-7</v>
      </c>
      <c r="H53" s="8">
        <v>1.3866406701647499E-8</v>
      </c>
      <c r="I53" s="8">
        <v>1.2782163363409499E-8</v>
      </c>
      <c r="J53">
        <v>7</v>
      </c>
      <c r="K53">
        <v>2</v>
      </c>
      <c r="L53">
        <v>5</v>
      </c>
      <c r="M53">
        <v>0.2</v>
      </c>
      <c r="N53">
        <v>10</v>
      </c>
      <c r="O53" s="4">
        <f t="shared" si="43"/>
        <v>9.9844680990000008</v>
      </c>
      <c r="P53" s="6">
        <f t="shared" si="44"/>
        <v>-0.10998212080788282</v>
      </c>
      <c r="Q53" s="6">
        <f t="shared" si="45"/>
        <v>-0.14418020593514141</v>
      </c>
      <c r="R53" s="6"/>
      <c r="S53" s="6">
        <f t="shared" si="46"/>
        <v>1.3887977370608554E-2</v>
      </c>
      <c r="T53" s="6">
        <f t="shared" si="47"/>
        <v>1.2802047376654649E-2</v>
      </c>
      <c r="U53" s="8">
        <f t="shared" si="48"/>
        <v>6.25837979868746E-4</v>
      </c>
      <c r="W53" s="48">
        <f t="shared" si="49"/>
        <v>2.0258710349179268E-2</v>
      </c>
      <c r="X53" s="48">
        <f t="shared" si="50"/>
        <v>8.6308680590191367E-4</v>
      </c>
      <c r="Y53" s="37"/>
    </row>
    <row r="54" spans="3:38" x14ac:dyDescent="0.2">
      <c r="D54">
        <v>1.0046465538E-2</v>
      </c>
      <c r="E54" s="8">
        <v>-5.0544684101666703E-8</v>
      </c>
      <c r="F54" s="8">
        <v>-6.9136435333333293E-8</v>
      </c>
      <c r="G54" s="8">
        <v>2.7376663586083099E-8</v>
      </c>
      <c r="H54" s="8">
        <v>1.7730174606840999E-8</v>
      </c>
      <c r="I54" s="8">
        <v>1.4827305770456699E-8</v>
      </c>
      <c r="J54">
        <v>6</v>
      </c>
      <c r="K54">
        <v>2</v>
      </c>
      <c r="L54">
        <v>5</v>
      </c>
      <c r="M54">
        <v>0.2</v>
      </c>
      <c r="N54">
        <v>10</v>
      </c>
      <c r="O54" s="4">
        <f t="shared" si="43"/>
        <v>5.0232327689999998</v>
      </c>
      <c r="P54" s="6">
        <f t="shared" si="44"/>
        <v>-0.10062182348704676</v>
      </c>
      <c r="Q54" s="6">
        <f t="shared" si="45"/>
        <v>-0.13763334990167425</v>
      </c>
      <c r="R54" s="6"/>
      <c r="S54" s="6">
        <f t="shared" si="46"/>
        <v>3.5296342857650681E-2</v>
      </c>
      <c r="T54" s="6">
        <f t="shared" si="47"/>
        <v>2.9517457088512437E-2</v>
      </c>
      <c r="U54" s="8">
        <f t="shared" si="48"/>
        <v>2.7250044786928231E-4</v>
      </c>
      <c r="W54" s="48">
        <f t="shared" si="49"/>
        <v>8.2862769690265348E-3</v>
      </c>
      <c r="X54" s="48">
        <f t="shared" si="50"/>
        <v>-2.8721053480691983E-3</v>
      </c>
      <c r="Y54" s="37"/>
      <c r="AA54" t="s">
        <v>93</v>
      </c>
    </row>
    <row r="56" spans="3:38" x14ac:dyDescent="0.2">
      <c r="E56" s="8"/>
      <c r="F56" s="8"/>
      <c r="G56" s="8"/>
      <c r="H56" s="8"/>
      <c r="I56" s="8"/>
      <c r="O56" s="4"/>
      <c r="P56" s="6"/>
      <c r="Q56" s="6"/>
      <c r="R56" s="6"/>
      <c r="S56" s="6"/>
      <c r="T56" s="6"/>
      <c r="U56" s="8"/>
      <c r="AA56" s="75" t="s">
        <v>43</v>
      </c>
      <c r="AB56" s="76"/>
      <c r="AC56" s="76"/>
      <c r="AD56" s="76"/>
      <c r="AE56" s="19"/>
      <c r="AF56" s="19"/>
      <c r="AG56" s="20"/>
    </row>
    <row r="57" spans="3:38" x14ac:dyDescent="0.2">
      <c r="E57" s="8"/>
      <c r="F57" s="8"/>
      <c r="G57" s="8"/>
      <c r="H57" s="8"/>
      <c r="I57" s="8"/>
      <c r="O57" s="4"/>
      <c r="P57" s="6"/>
      <c r="Q57" s="6"/>
      <c r="R57" s="6"/>
      <c r="S57" s="6"/>
      <c r="T57" s="6"/>
      <c r="U57" s="8"/>
      <c r="AA57" s="28" t="s">
        <v>44</v>
      </c>
      <c r="AB57" s="77" t="s">
        <v>45</v>
      </c>
      <c r="AC57" s="78"/>
      <c r="AD57" s="79"/>
      <c r="AE57" s="78" t="s">
        <v>50</v>
      </c>
      <c r="AF57" s="78"/>
      <c r="AG57" s="79"/>
    </row>
    <row r="58" spans="3:38" ht="51" customHeight="1" x14ac:dyDescent="0.2">
      <c r="E58" s="8"/>
      <c r="F58" s="8"/>
      <c r="G58" s="8"/>
      <c r="H58" s="8"/>
      <c r="I58" s="8"/>
      <c r="O58" s="4"/>
      <c r="P58" s="6"/>
      <c r="Q58" s="6"/>
      <c r="R58" s="6"/>
      <c r="S58" s="6"/>
      <c r="T58" s="6"/>
      <c r="U58" s="8"/>
      <c r="AA58" s="28" t="s">
        <v>46</v>
      </c>
      <c r="AB58" s="28" t="s">
        <v>47</v>
      </c>
      <c r="AC58" s="29" t="s">
        <v>48</v>
      </c>
      <c r="AD58" s="30" t="s">
        <v>49</v>
      </c>
      <c r="AE58" s="29" t="s">
        <v>51</v>
      </c>
      <c r="AF58" s="29" t="s">
        <v>52</v>
      </c>
      <c r="AG58" s="30" t="s">
        <v>49</v>
      </c>
    </row>
    <row r="59" spans="3:38" ht="12.75" customHeight="1" x14ac:dyDescent="0.2">
      <c r="E59" s="8"/>
      <c r="F59" s="8"/>
      <c r="G59" s="8"/>
      <c r="H59" s="8"/>
      <c r="I59" s="8"/>
      <c r="O59" s="4"/>
      <c r="P59" s="6"/>
      <c r="Q59" s="6"/>
      <c r="R59" s="6"/>
      <c r="S59" s="6"/>
      <c r="T59" s="6"/>
      <c r="U59" s="8"/>
      <c r="AA59" s="21">
        <f t="shared" ref="AA59:AA65" si="51">O6</f>
        <v>120.37466649000001</v>
      </c>
      <c r="AB59" s="31">
        <f t="shared" ref="AB59:AB65" si="52">Z6</f>
        <v>4.5437590617214696E-2</v>
      </c>
      <c r="AC59" s="22">
        <f t="shared" ref="AC59:AC65" si="53">SQRT(SUMSQ(AC6,AD6))</f>
        <v>3.6667690273582569E-2</v>
      </c>
      <c r="AD59" s="23">
        <f t="shared" ref="AD59:AD65" si="54">dof_A(AC6:AD6,AE6:AF6)</f>
        <v>32.826787292915384</v>
      </c>
      <c r="AE59" s="22">
        <f t="shared" ref="AE59:AE65" si="55">AA6</f>
        <v>-0.14359124872195925</v>
      </c>
      <c r="AF59" s="22">
        <f t="shared" ref="AF59:AF65" si="56">SQRT(SUMSQ(AH6:AI6))</f>
        <v>2.1777420901779282E-2</v>
      </c>
      <c r="AG59" s="23">
        <f t="shared" ref="AG59:AG65" si="57">dof_A(AH6:AI6,AJ6:AK6)</f>
        <v>70.700925406176395</v>
      </c>
      <c r="AI59" s="4"/>
      <c r="AJ59" s="4"/>
      <c r="AK59" s="4"/>
      <c r="AL59" s="4"/>
    </row>
    <row r="60" spans="3:38" x14ac:dyDescent="0.2">
      <c r="E60" s="8"/>
      <c r="F60" s="8"/>
      <c r="G60" s="8"/>
      <c r="H60" s="8"/>
      <c r="I60" s="8"/>
      <c r="O60" s="4"/>
      <c r="P60" s="6"/>
      <c r="Q60" s="6"/>
      <c r="R60" s="6"/>
      <c r="S60" s="6"/>
      <c r="T60" s="6"/>
      <c r="U60" s="8"/>
      <c r="AA60" s="21">
        <f t="shared" si="51"/>
        <v>100.04312532</v>
      </c>
      <c r="AB60" s="31">
        <f t="shared" si="52"/>
        <v>6.8800592563964452E-2</v>
      </c>
      <c r="AC60" s="22">
        <f t="shared" si="53"/>
        <v>3.9592798642113673E-2</v>
      </c>
      <c r="AD60" s="23">
        <f t="shared" si="54"/>
        <v>37.976566350496775</v>
      </c>
      <c r="AE60" s="22">
        <f t="shared" si="55"/>
        <v>-0.14043503344146152</v>
      </c>
      <c r="AF60" s="22">
        <f t="shared" si="56"/>
        <v>2.6906816421416183E-2</v>
      </c>
      <c r="AG60" s="23">
        <f t="shared" si="57"/>
        <v>47.97413329590789</v>
      </c>
      <c r="AI60" s="4"/>
      <c r="AJ60" s="4"/>
      <c r="AK60" s="4"/>
      <c r="AL60" s="4"/>
    </row>
    <row r="61" spans="3:38" x14ac:dyDescent="0.2">
      <c r="E61" s="8"/>
      <c r="F61" s="8"/>
      <c r="G61" s="8"/>
      <c r="H61" s="8"/>
      <c r="I61" s="8"/>
      <c r="O61" s="4"/>
      <c r="P61" s="6"/>
      <c r="Q61" s="6"/>
      <c r="R61" s="6"/>
      <c r="S61" s="6"/>
      <c r="T61" s="6"/>
      <c r="U61" s="8"/>
      <c r="AA61" s="21">
        <f t="shared" si="51"/>
        <v>60.000146110000003</v>
      </c>
      <c r="AB61" s="31">
        <f t="shared" si="52"/>
        <v>0.14645881592925342</v>
      </c>
      <c r="AC61" s="22">
        <f t="shared" si="53"/>
        <v>4.5027829723999248E-2</v>
      </c>
      <c r="AD61" s="23">
        <f t="shared" si="54"/>
        <v>40.991633750835234</v>
      </c>
      <c r="AE61" s="22">
        <f t="shared" si="55"/>
        <v>-0.14730405862029322</v>
      </c>
      <c r="AF61" s="22">
        <f t="shared" si="56"/>
        <v>3.8314538400902196E-2</v>
      </c>
      <c r="AG61" s="23">
        <f t="shared" si="57"/>
        <v>30.366388261639187</v>
      </c>
      <c r="AI61" s="4"/>
      <c r="AJ61" s="4"/>
      <c r="AK61" s="4"/>
      <c r="AL61" s="4"/>
    </row>
    <row r="62" spans="3:38" x14ac:dyDescent="0.2">
      <c r="E62" s="8"/>
      <c r="F62" s="8"/>
      <c r="G62" s="8"/>
      <c r="H62" s="8"/>
      <c r="I62" s="8"/>
      <c r="O62" s="4"/>
      <c r="P62" s="6"/>
      <c r="Q62" s="6"/>
      <c r="R62" s="6"/>
      <c r="S62" s="6"/>
      <c r="T62" s="6"/>
      <c r="U62" s="8"/>
      <c r="AA62" s="21">
        <f t="shared" si="51"/>
        <v>39.984390251999997</v>
      </c>
      <c r="AB62" s="31">
        <f t="shared" si="52"/>
        <v>0.19322315662582407</v>
      </c>
      <c r="AC62" s="22">
        <f t="shared" si="53"/>
        <v>6.8753652388429828E-2</v>
      </c>
      <c r="AD62" s="23">
        <f t="shared" si="54"/>
        <v>40.327263848158331</v>
      </c>
      <c r="AE62" s="22">
        <f t="shared" si="55"/>
        <v>-0.15211924467770688</v>
      </c>
      <c r="AF62" s="22">
        <f t="shared" si="56"/>
        <v>4.7424469136256656E-2</v>
      </c>
      <c r="AG62" s="23">
        <f t="shared" si="57"/>
        <v>45.349011000855796</v>
      </c>
      <c r="AI62" s="4"/>
      <c r="AJ62" s="4"/>
      <c r="AK62" s="4"/>
      <c r="AL62" s="4"/>
    </row>
    <row r="63" spans="3:38" x14ac:dyDescent="0.2">
      <c r="E63" s="8"/>
      <c r="F63" s="8"/>
      <c r="G63" s="8"/>
      <c r="H63" s="8"/>
      <c r="I63" s="8"/>
      <c r="O63" s="4"/>
      <c r="P63" s="6"/>
      <c r="Q63" s="6"/>
      <c r="R63" s="6"/>
      <c r="S63" s="6"/>
      <c r="T63" s="6"/>
      <c r="U63" s="8"/>
      <c r="AA63" s="21">
        <f t="shared" si="51"/>
        <v>20.010119388</v>
      </c>
      <c r="AB63" s="31">
        <f t="shared" si="52"/>
        <v>0.28382791334855118</v>
      </c>
      <c r="AC63" s="22">
        <f t="shared" si="53"/>
        <v>0.11971409895915529</v>
      </c>
      <c r="AD63" s="23">
        <f t="shared" si="54"/>
        <v>26.764195923831288</v>
      </c>
      <c r="AE63" s="22">
        <f t="shared" si="55"/>
        <v>-0.15487384552550704</v>
      </c>
      <c r="AF63" s="22">
        <f t="shared" si="56"/>
        <v>0.11712847989979217</v>
      </c>
      <c r="AG63" s="23">
        <f t="shared" si="57"/>
        <v>22.663571167911712</v>
      </c>
      <c r="AI63" s="4"/>
      <c r="AJ63" s="4"/>
      <c r="AK63" s="4"/>
      <c r="AL63" s="4"/>
    </row>
    <row r="64" spans="3:38" x14ac:dyDescent="0.2">
      <c r="E64" s="8"/>
      <c r="F64" s="8"/>
      <c r="G64" s="8"/>
      <c r="H64" s="8"/>
      <c r="I64" s="8"/>
      <c r="O64" s="4"/>
      <c r="P64" s="6"/>
      <c r="Q64" s="6"/>
      <c r="R64" s="6"/>
      <c r="S64" s="6"/>
      <c r="T64" s="6"/>
      <c r="U64" s="8"/>
      <c r="AA64" s="21">
        <f t="shared" si="51"/>
        <v>10.089814965000002</v>
      </c>
      <c r="AB64" s="31">
        <f t="shared" si="52"/>
        <v>0.35286189171530441</v>
      </c>
      <c r="AC64" s="22">
        <f t="shared" si="53"/>
        <v>0.24560259990633226</v>
      </c>
      <c r="AD64" s="23">
        <f t="shared" si="54"/>
        <v>27.697136877738942</v>
      </c>
      <c r="AE64" s="22">
        <f t="shared" si="55"/>
        <v>-0.15167838131663247</v>
      </c>
      <c r="AF64" s="22">
        <f t="shared" si="56"/>
        <v>0.20579450807441291</v>
      </c>
      <c r="AG64" s="23">
        <f t="shared" si="57"/>
        <v>33.16335795742733</v>
      </c>
      <c r="AI64" s="4"/>
      <c r="AJ64" s="4"/>
      <c r="AK64" s="4"/>
      <c r="AL64" s="4"/>
    </row>
    <row r="65" spans="5:38" x14ac:dyDescent="0.2">
      <c r="E65" s="8"/>
      <c r="F65" s="8"/>
      <c r="G65" s="8"/>
      <c r="H65" s="8"/>
      <c r="I65" s="8"/>
      <c r="O65" s="4"/>
      <c r="P65" s="6"/>
      <c r="Q65" s="6"/>
      <c r="R65" s="6"/>
      <c r="S65" s="6"/>
      <c r="T65" s="6"/>
      <c r="U65" s="8"/>
      <c r="AA65" s="21">
        <f t="shared" si="51"/>
        <v>5.0286700739999999</v>
      </c>
      <c r="AB65" s="31">
        <f t="shared" si="52"/>
        <v>0.39774753068089019</v>
      </c>
      <c r="AC65" s="22">
        <f t="shared" si="53"/>
        <v>0.53423816785233513</v>
      </c>
      <c r="AD65" s="23">
        <f t="shared" si="54"/>
        <v>21.451810581431403</v>
      </c>
      <c r="AE65" s="22">
        <f t="shared" si="55"/>
        <v>-0.18148736057044268</v>
      </c>
      <c r="AF65" s="22">
        <f t="shared" si="56"/>
        <v>0.4712180753732555</v>
      </c>
      <c r="AG65" s="23">
        <f t="shared" si="57"/>
        <v>21.913758696458533</v>
      </c>
      <c r="AI65" s="4"/>
      <c r="AJ65" s="4"/>
      <c r="AK65" s="4"/>
      <c r="AL65" s="4"/>
    </row>
    <row r="66" spans="5:38" x14ac:dyDescent="0.2">
      <c r="E66" s="8"/>
      <c r="F66" s="8"/>
      <c r="G66" s="8"/>
      <c r="H66" s="8"/>
      <c r="I66" s="8"/>
      <c r="O66" s="4"/>
      <c r="P66" s="6"/>
      <c r="Q66" s="6"/>
      <c r="R66" s="6"/>
      <c r="S66" s="6"/>
      <c r="T66" s="6"/>
      <c r="U66" s="8"/>
      <c r="AA66" s="25"/>
      <c r="AB66" s="32"/>
      <c r="AC66" s="26"/>
      <c r="AD66" s="27"/>
      <c r="AE66" s="26"/>
      <c r="AF66" s="26"/>
      <c r="AG66" s="27"/>
    </row>
    <row r="67" spans="5:38" x14ac:dyDescent="0.2">
      <c r="E67" s="8"/>
      <c r="F67" s="8"/>
      <c r="G67" s="8"/>
      <c r="H67" s="8"/>
      <c r="I67" s="8"/>
      <c r="O67" s="4"/>
      <c r="P67" s="6"/>
      <c r="Q67" s="6"/>
      <c r="R67" s="6"/>
      <c r="S67" s="6"/>
      <c r="T67" s="6"/>
      <c r="U67" s="8"/>
      <c r="AA67" s="41"/>
      <c r="AB67" s="22"/>
      <c r="AC67" s="22"/>
      <c r="AD67" s="41"/>
      <c r="AE67" s="22"/>
      <c r="AF67" s="22"/>
      <c r="AG67" s="41"/>
    </row>
    <row r="68" spans="5:38" x14ac:dyDescent="0.2">
      <c r="E68" s="8"/>
      <c r="F68" s="8"/>
      <c r="G68" s="8"/>
      <c r="H68" s="8"/>
      <c r="I68" s="8"/>
      <c r="O68" s="4"/>
      <c r="P68" s="6"/>
      <c r="Q68" s="6"/>
      <c r="R68" s="6"/>
      <c r="S68" s="6"/>
      <c r="T68" s="6"/>
      <c r="U68" s="8"/>
    </row>
    <row r="69" spans="5:38" x14ac:dyDescent="0.2">
      <c r="E69" s="8"/>
      <c r="F69" s="8"/>
      <c r="G69" s="8"/>
      <c r="H69" s="8"/>
      <c r="I69" s="8"/>
      <c r="O69" s="4"/>
      <c r="P69" s="6"/>
      <c r="Q69" s="6"/>
      <c r="R69" s="6"/>
      <c r="S69" s="6"/>
      <c r="T69" s="6"/>
      <c r="U69" s="8"/>
      <c r="AA69" t="s">
        <v>94</v>
      </c>
    </row>
    <row r="70" spans="5:38" x14ac:dyDescent="0.2">
      <c r="E70" s="8"/>
      <c r="F70" s="8"/>
      <c r="G70" s="8"/>
      <c r="H70" s="8"/>
      <c r="I70" s="8"/>
      <c r="O70" s="4"/>
      <c r="P70" s="6"/>
      <c r="Q70" s="6"/>
      <c r="R70" s="6"/>
      <c r="S70" s="6"/>
      <c r="T70" s="6"/>
      <c r="U70" s="8"/>
    </row>
    <row r="71" spans="5:38" ht="12.75" customHeight="1" x14ac:dyDescent="0.2">
      <c r="E71" s="8"/>
      <c r="F71" s="8"/>
      <c r="G71" s="8"/>
      <c r="H71" s="8"/>
      <c r="I71" s="8"/>
      <c r="O71" s="4"/>
      <c r="P71" s="6"/>
      <c r="Q71" s="6"/>
      <c r="R71" s="6"/>
      <c r="S71" s="6"/>
      <c r="T71" s="6"/>
      <c r="U71" s="8"/>
      <c r="AA71" s="75" t="s">
        <v>43</v>
      </c>
      <c r="AB71" s="76"/>
      <c r="AC71" s="76"/>
      <c r="AD71" s="76"/>
      <c r="AE71" s="19"/>
      <c r="AF71" s="19"/>
      <c r="AG71" s="20"/>
    </row>
    <row r="72" spans="5:38" ht="12.75" customHeight="1" x14ac:dyDescent="0.2">
      <c r="E72" s="8"/>
      <c r="F72" s="8"/>
      <c r="G72" s="8"/>
      <c r="H72" s="8"/>
      <c r="I72" s="8"/>
      <c r="O72" s="4"/>
      <c r="P72" s="6"/>
      <c r="Q72" s="6"/>
      <c r="R72" s="6"/>
      <c r="S72" s="6"/>
      <c r="T72" s="6"/>
      <c r="U72" s="8"/>
      <c r="AA72" s="28" t="s">
        <v>44</v>
      </c>
      <c r="AB72" s="77" t="s">
        <v>45</v>
      </c>
      <c r="AC72" s="78"/>
      <c r="AD72" s="79"/>
      <c r="AE72" s="78" t="s">
        <v>50</v>
      </c>
      <c r="AF72" s="78"/>
      <c r="AG72" s="79"/>
    </row>
    <row r="73" spans="5:38" ht="51" x14ac:dyDescent="0.2">
      <c r="E73" s="8"/>
      <c r="F73" s="8"/>
      <c r="G73" s="8"/>
      <c r="H73" s="8"/>
      <c r="I73" s="8"/>
      <c r="O73" s="4"/>
      <c r="P73" s="6"/>
      <c r="Q73" s="6"/>
      <c r="R73" s="6"/>
      <c r="S73" s="6"/>
      <c r="T73" s="6"/>
      <c r="U73" s="8"/>
      <c r="AA73" s="28" t="s">
        <v>46</v>
      </c>
      <c r="AB73" s="28" t="s">
        <v>47</v>
      </c>
      <c r="AC73" s="29" t="s">
        <v>48</v>
      </c>
      <c r="AD73" s="30" t="s">
        <v>49</v>
      </c>
      <c r="AE73" s="29" t="s">
        <v>51</v>
      </c>
      <c r="AF73" s="29" t="s">
        <v>52</v>
      </c>
      <c r="AG73" s="30" t="s">
        <v>49</v>
      </c>
    </row>
    <row r="74" spans="5:38" x14ac:dyDescent="0.2">
      <c r="E74" s="8"/>
      <c r="F74" s="8"/>
      <c r="G74" s="8"/>
      <c r="H74" s="8"/>
      <c r="I74" s="8"/>
      <c r="O74" s="4"/>
      <c r="P74" s="6"/>
      <c r="Q74" s="6"/>
      <c r="R74" s="6"/>
      <c r="S74" s="6"/>
      <c r="T74" s="6"/>
      <c r="U74" s="8"/>
      <c r="AA74" s="21">
        <f t="shared" ref="AA74:AA80" si="58">O40</f>
        <v>120.12168309</v>
      </c>
      <c r="AB74" s="31">
        <f t="shared" ref="AB74:AB80" si="59">Z40</f>
        <v>5.3850736473043254E-2</v>
      </c>
      <c r="AC74" s="22">
        <f t="shared" ref="AC74:AC80" si="60">SQRT(SUMSQ(AC40,AD40))</f>
        <v>3.200264705101704E-2</v>
      </c>
      <c r="AD74" s="23">
        <f t="shared" ref="AD74:AD80" si="61">dof_A(AC40:AD40,AE40:AF40)</f>
        <v>21.006948767370009</v>
      </c>
      <c r="AE74" s="22">
        <f t="shared" ref="AE74:AE80" si="62">AA40</f>
        <v>-0.18239645505738983</v>
      </c>
      <c r="AF74" s="22">
        <f t="shared" ref="AF74:AF80" si="63">SQRT(SUMSQ(AH40:AI40))</f>
        <v>1.7008151098536831E-2</v>
      </c>
      <c r="AG74" s="23">
        <f t="shared" ref="AG74:AG80" si="64">dof_A(AH40:AI40,AJ40:AK40)</f>
        <v>57.109249520225319</v>
      </c>
    </row>
    <row r="75" spans="5:38" x14ac:dyDescent="0.2">
      <c r="E75" s="8"/>
      <c r="F75" s="8"/>
      <c r="G75" s="8"/>
      <c r="H75" s="8"/>
      <c r="I75" s="8"/>
      <c r="O75" s="4"/>
      <c r="P75" s="6"/>
      <c r="Q75" s="6"/>
      <c r="R75" s="6"/>
      <c r="S75" s="6"/>
      <c r="T75" s="6"/>
      <c r="U75" s="8"/>
      <c r="AA75" s="21">
        <f t="shared" si="58"/>
        <v>100.01552027000001</v>
      </c>
      <c r="AB75" s="31">
        <f t="shared" si="59"/>
        <v>7.7728214337273033E-2</v>
      </c>
      <c r="AC75" s="22">
        <f t="shared" si="60"/>
        <v>3.2011911776956795E-2</v>
      </c>
      <c r="AD75" s="23">
        <f t="shared" si="61"/>
        <v>21.031273633839977</v>
      </c>
      <c r="AE75" s="22">
        <f t="shared" si="62"/>
        <v>-0.18281968945557966</v>
      </c>
      <c r="AF75" s="22">
        <f t="shared" si="63"/>
        <v>1.7014992669253583E-2</v>
      </c>
      <c r="AG75" s="23">
        <f t="shared" si="64"/>
        <v>57.200836678098163</v>
      </c>
    </row>
    <row r="76" spans="5:38" x14ac:dyDescent="0.2">
      <c r="E76" s="8"/>
      <c r="F76" s="8"/>
      <c r="G76" s="8"/>
      <c r="H76" s="8"/>
      <c r="I76" s="8"/>
      <c r="O76" s="4"/>
      <c r="P76" s="6"/>
      <c r="Q76" s="6"/>
      <c r="R76" s="6"/>
      <c r="S76" s="6"/>
      <c r="T76" s="6"/>
      <c r="U76" s="8"/>
      <c r="AA76" s="21">
        <f t="shared" si="58"/>
        <v>60.092622259999999</v>
      </c>
      <c r="AB76" s="31">
        <f t="shared" si="59"/>
        <v>0.15594147303929579</v>
      </c>
      <c r="AC76" s="22">
        <f t="shared" si="60"/>
        <v>3.2014397688241665E-2</v>
      </c>
      <c r="AD76" s="23">
        <f t="shared" si="61"/>
        <v>21.037801551139925</v>
      </c>
      <c r="AE76" s="22">
        <f t="shared" si="62"/>
        <v>-0.1888126048782944</v>
      </c>
      <c r="AF76" s="22">
        <f t="shared" si="63"/>
        <v>1.7041918629326157E-2</v>
      </c>
      <c r="AG76" s="23">
        <f t="shared" si="64"/>
        <v>57.560286055236048</v>
      </c>
    </row>
    <row r="77" spans="5:38" x14ac:dyDescent="0.2">
      <c r="E77" s="8"/>
      <c r="F77" s="8"/>
      <c r="G77" s="8"/>
      <c r="H77" s="8"/>
      <c r="I77" s="8"/>
      <c r="O77" s="4"/>
      <c r="P77" s="6"/>
      <c r="Q77" s="6"/>
      <c r="R77" s="6"/>
      <c r="S77" s="6"/>
      <c r="T77" s="6"/>
      <c r="U77" s="8"/>
      <c r="AA77" s="21">
        <f t="shared" si="58"/>
        <v>39.968961461999996</v>
      </c>
      <c r="AB77" s="31">
        <f t="shared" si="59"/>
        <v>0.21197071182458638</v>
      </c>
      <c r="AC77" s="22">
        <f t="shared" si="60"/>
        <v>4.6049955981676299E-2</v>
      </c>
      <c r="AD77" s="23">
        <f t="shared" si="61"/>
        <v>21.091268089710606</v>
      </c>
      <c r="AE77" s="22">
        <f t="shared" si="62"/>
        <v>-0.19037632707551344</v>
      </c>
      <c r="AF77" s="22">
        <f t="shared" si="63"/>
        <v>2.9094866454724703E-2</v>
      </c>
      <c r="AG77" s="23">
        <f t="shared" si="64"/>
        <v>57.742447156581662</v>
      </c>
    </row>
    <row r="78" spans="5:38" x14ac:dyDescent="0.2">
      <c r="E78" s="8"/>
      <c r="F78" s="8"/>
      <c r="G78" s="8"/>
      <c r="H78" s="8"/>
      <c r="I78" s="8"/>
      <c r="O78" s="4"/>
      <c r="P78" s="6"/>
      <c r="Q78" s="6"/>
      <c r="R78" s="6"/>
      <c r="S78" s="6"/>
      <c r="T78" s="6"/>
      <c r="U78" s="8"/>
      <c r="AA78" s="21">
        <f t="shared" si="58"/>
        <v>20.010892079999998</v>
      </c>
      <c r="AB78" s="31">
        <f t="shared" si="59"/>
        <v>0.29500198692205171</v>
      </c>
      <c r="AC78" s="22">
        <f t="shared" si="60"/>
        <v>4.6156215689175203E-2</v>
      </c>
      <c r="AD78" s="23">
        <f t="shared" si="61"/>
        <v>21.285685321528817</v>
      </c>
      <c r="AE78" s="22">
        <f t="shared" si="62"/>
        <v>-0.19206663494390075</v>
      </c>
      <c r="AF78" s="22">
        <f t="shared" si="63"/>
        <v>2.9342636524182598E-2</v>
      </c>
      <c r="AG78" s="23">
        <f t="shared" si="64"/>
        <v>59.645906196759341</v>
      </c>
    </row>
    <row r="79" spans="5:38" x14ac:dyDescent="0.2">
      <c r="E79" s="8"/>
      <c r="F79" s="8"/>
      <c r="G79" s="8"/>
      <c r="H79" s="8"/>
      <c r="I79" s="8"/>
      <c r="AA79" s="21">
        <f t="shared" si="58"/>
        <v>10.080897118999999</v>
      </c>
      <c r="AB79" s="31">
        <f t="shared" si="59"/>
        <v>0.35136543359976302</v>
      </c>
      <c r="AC79" s="22">
        <f t="shared" si="60"/>
        <v>0.10030548692394402</v>
      </c>
      <c r="AD79" s="23">
        <f t="shared" si="61"/>
        <v>21.256951552334385</v>
      </c>
      <c r="AE79" s="22">
        <f t="shared" si="62"/>
        <v>-0.19260242958946577</v>
      </c>
      <c r="AF79" s="22">
        <f t="shared" si="63"/>
        <v>0.10019005666190399</v>
      </c>
      <c r="AG79" s="23">
        <f t="shared" si="64"/>
        <v>57.432196640139061</v>
      </c>
    </row>
    <row r="80" spans="5:38" x14ac:dyDescent="0.2">
      <c r="AA80" s="21">
        <f t="shared" si="58"/>
        <v>5.0428522300000003</v>
      </c>
      <c r="AB80" s="31">
        <f t="shared" si="59"/>
        <v>0.38211846866848359</v>
      </c>
      <c r="AC80" s="22">
        <f t="shared" si="60"/>
        <v>0.10165159856900211</v>
      </c>
      <c r="AD80" s="23">
        <f t="shared" si="61"/>
        <v>22.396008913228073</v>
      </c>
      <c r="AE80" s="22">
        <f t="shared" si="62"/>
        <v>-0.19076687688175861</v>
      </c>
      <c r="AF80" s="22">
        <f t="shared" si="63"/>
        <v>0.10110137248902396</v>
      </c>
      <c r="AG80" s="23">
        <f t="shared" si="64"/>
        <v>59.469774373592742</v>
      </c>
    </row>
    <row r="81" spans="16:33" x14ac:dyDescent="0.2">
      <c r="P81" s="6"/>
      <c r="Q81" s="6"/>
      <c r="AA81" s="25"/>
      <c r="AB81" s="32"/>
      <c r="AC81" s="26"/>
      <c r="AD81" s="27"/>
      <c r="AE81" s="26"/>
      <c r="AF81" s="26"/>
      <c r="AG81" s="27"/>
    </row>
  </sheetData>
  <mergeCells count="6">
    <mergeCell ref="AA56:AD56"/>
    <mergeCell ref="AB57:AD57"/>
    <mergeCell ref="AE57:AG57"/>
    <mergeCell ref="AA71:AD71"/>
    <mergeCell ref="AB72:AD72"/>
    <mergeCell ref="AE72:AG72"/>
  </mergeCells>
  <phoneticPr fontId="5" type="noConversion"/>
  <pageMargins left="0.75" right="0.75" top="1" bottom="1" header="0.5" footer="0.5"/>
  <pageSetup paperSize="9" orientation="portrait" horizontalDpi="360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2:AI91"/>
  <sheetViews>
    <sheetView zoomScale="75" workbookViewId="0">
      <selection activeCell="N15" sqref="N15"/>
    </sheetView>
  </sheetViews>
  <sheetFormatPr defaultRowHeight="12.75" x14ac:dyDescent="0.2"/>
  <cols>
    <col min="2" max="2" width="10.5703125" customWidth="1"/>
    <col min="3" max="3" width="29.7109375" customWidth="1"/>
    <col min="5" max="5" width="11.28515625" customWidth="1"/>
    <col min="6" max="6" width="11" customWidth="1"/>
    <col min="7" max="7" width="10.28515625" customWidth="1"/>
    <col min="8" max="8" width="10.7109375" customWidth="1"/>
    <col min="9" max="9" width="11.42578125" customWidth="1"/>
    <col min="14" max="14" width="10.28515625" customWidth="1"/>
    <col min="19" max="19" width="11.85546875" customWidth="1"/>
    <col min="24" max="24" width="10.85546875" customWidth="1"/>
    <col min="25" max="25" width="11" customWidth="1"/>
    <col min="28" max="28" width="11.7109375" customWidth="1"/>
  </cols>
  <sheetData>
    <row r="2" spans="1:35" x14ac:dyDescent="0.2">
      <c r="AA2" t="s">
        <v>41</v>
      </c>
      <c r="AF2" t="s">
        <v>42</v>
      </c>
    </row>
    <row r="3" spans="1:35" x14ac:dyDescent="0.2">
      <c r="C3" s="1" t="s">
        <v>33</v>
      </c>
      <c r="E3" s="1" t="s">
        <v>27</v>
      </c>
      <c r="AA3" t="s">
        <v>37</v>
      </c>
      <c r="AC3" t="s">
        <v>40</v>
      </c>
      <c r="AF3" t="s">
        <v>37</v>
      </c>
      <c r="AH3" t="s">
        <v>40</v>
      </c>
    </row>
    <row r="4" spans="1:35" x14ac:dyDescent="0.2">
      <c r="A4" s="1" t="s">
        <v>0</v>
      </c>
      <c r="B4" s="1" t="s">
        <v>1</v>
      </c>
      <c r="C4" s="1" t="s">
        <v>2</v>
      </c>
      <c r="D4" s="9" t="s">
        <v>3</v>
      </c>
      <c r="E4" s="10" t="s">
        <v>4</v>
      </c>
      <c r="F4" s="10" t="s">
        <v>5</v>
      </c>
      <c r="G4" s="10" t="s">
        <v>6</v>
      </c>
      <c r="H4" s="10" t="s">
        <v>7</v>
      </c>
      <c r="I4" s="10" t="s">
        <v>8</v>
      </c>
      <c r="J4" s="8"/>
      <c r="Q4" s="1" t="s">
        <v>9</v>
      </c>
      <c r="R4" s="1" t="s">
        <v>9</v>
      </c>
      <c r="S4" s="1" t="s">
        <v>9</v>
      </c>
      <c r="T4" s="1"/>
      <c r="U4" s="1" t="s">
        <v>34</v>
      </c>
      <c r="W4" s="1"/>
      <c r="X4" t="s">
        <v>53</v>
      </c>
      <c r="AA4" s="15" t="s">
        <v>38</v>
      </c>
      <c r="AB4" s="16" t="s">
        <v>39</v>
      </c>
      <c r="AC4" s="15" t="s">
        <v>38</v>
      </c>
      <c r="AD4" s="16" t="s">
        <v>39</v>
      </c>
      <c r="AF4" s="15" t="s">
        <v>38</v>
      </c>
      <c r="AG4" s="16" t="s">
        <v>39</v>
      </c>
      <c r="AH4" s="15" t="s">
        <v>38</v>
      </c>
      <c r="AI4" s="16" t="s">
        <v>39</v>
      </c>
    </row>
    <row r="5" spans="1:35" x14ac:dyDescent="0.2">
      <c r="D5" s="9" t="s">
        <v>10</v>
      </c>
      <c r="E5" s="10" t="s">
        <v>11</v>
      </c>
      <c r="F5" s="10" t="s">
        <v>11</v>
      </c>
      <c r="G5" s="10" t="s">
        <v>12</v>
      </c>
      <c r="H5" s="10" t="s">
        <v>11</v>
      </c>
      <c r="I5" s="10" t="s">
        <v>11</v>
      </c>
      <c r="J5" s="12" t="s">
        <v>19</v>
      </c>
      <c r="K5" s="1" t="s">
        <v>3</v>
      </c>
      <c r="L5" s="1" t="s">
        <v>13</v>
      </c>
      <c r="M5" s="1" t="s">
        <v>14</v>
      </c>
      <c r="N5" s="1" t="s">
        <v>15</v>
      </c>
      <c r="O5" s="1" t="s">
        <v>16</v>
      </c>
      <c r="Q5" s="1" t="s">
        <v>4</v>
      </c>
      <c r="R5" s="1" t="s">
        <v>5</v>
      </c>
      <c r="S5" s="1" t="s">
        <v>17</v>
      </c>
      <c r="T5" s="1"/>
      <c r="U5" s="14" t="s">
        <v>35</v>
      </c>
      <c r="V5" t="s">
        <v>36</v>
      </c>
      <c r="X5" s="14" t="s">
        <v>35</v>
      </c>
      <c r="Y5" t="s">
        <v>36</v>
      </c>
      <c r="AA5" t="s">
        <v>35</v>
      </c>
      <c r="AB5" t="s">
        <v>35</v>
      </c>
      <c r="AF5" t="s">
        <v>36</v>
      </c>
      <c r="AG5" t="s">
        <v>36</v>
      </c>
    </row>
    <row r="6" spans="1:35" x14ac:dyDescent="0.2">
      <c r="B6" s="11">
        <v>37412</v>
      </c>
      <c r="C6" s="1" t="s">
        <v>18</v>
      </c>
      <c r="D6">
        <v>0.23987950382000001</v>
      </c>
      <c r="E6" s="8">
        <v>6.6757377901666901E-8</v>
      </c>
      <c r="F6" s="8">
        <v>-7.9471703361666597E-8</v>
      </c>
      <c r="G6" s="8">
        <v>2.02621192712017E-8</v>
      </c>
      <c r="H6" s="8">
        <v>1.69697397815359E-7</v>
      </c>
      <c r="I6" s="8">
        <v>1.6778675036988299E-7</v>
      </c>
      <c r="J6">
        <v>5</v>
      </c>
      <c r="K6">
        <v>0.2</v>
      </c>
      <c r="L6">
        <v>1</v>
      </c>
      <c r="M6" s="4">
        <f>100*D6*J6/(K6*5)</f>
        <v>119.93975191000001</v>
      </c>
      <c r="N6" s="6">
        <f t="shared" ref="N6:N11" si="0">1000000*E6*K6/(L6*D6)</f>
        <v>5.565909286835951E-2</v>
      </c>
      <c r="O6" s="6">
        <f t="shared" ref="O6:O11" si="1">1000000*F6*K6/(D6*L6)</f>
        <v>-6.6259686297584067E-2</v>
      </c>
      <c r="P6" s="6"/>
      <c r="Q6" s="6">
        <f t="shared" ref="Q6:Q11" si="2">1000000*K6*H6/(L6*D6)</f>
        <v>0.14148553345574366</v>
      </c>
      <c r="R6" s="6">
        <f t="shared" ref="R6:R11" si="3">1000000*K6*I6/(L6*D6)</f>
        <v>0.13989252745477271</v>
      </c>
      <c r="S6" s="8">
        <f t="shared" ref="S6:S11" si="4">G6*100/D6</f>
        <v>8.4467905546469379E-6</v>
      </c>
      <c r="T6" s="6"/>
      <c r="U6" s="7">
        <v>0.34</v>
      </c>
      <c r="V6">
        <v>0.14000000000000001</v>
      </c>
      <c r="X6" s="6">
        <f>AVERAGE(N6,N18)+U6</f>
        <v>0.37008506489369392</v>
      </c>
      <c r="Y6" s="6">
        <f>AVERAGE(O6,O18)+V6</f>
        <v>2.4215915632084806E-2</v>
      </c>
      <c r="AA6" s="7">
        <f t="shared" ref="AA6:AA12" si="5">Q6</f>
        <v>0.14148553345574366</v>
      </c>
      <c r="AB6">
        <v>3.2000000000000001E-2</v>
      </c>
      <c r="AC6">
        <v>20</v>
      </c>
      <c r="AD6" s="5">
        <v>21</v>
      </c>
      <c r="AE6" s="7"/>
      <c r="AF6" s="7">
        <f t="shared" ref="AF6:AF12" si="6">R6</f>
        <v>0.13989252745477271</v>
      </c>
      <c r="AG6" s="6">
        <v>1.7000000000000001E-2</v>
      </c>
      <c r="AH6" s="5">
        <v>20</v>
      </c>
      <c r="AI6">
        <v>57</v>
      </c>
    </row>
    <row r="7" spans="1:35" x14ac:dyDescent="0.2">
      <c r="C7" s="1" t="s">
        <v>20</v>
      </c>
      <c r="D7">
        <v>0.19995545810000001</v>
      </c>
      <c r="E7" s="8">
        <v>2.1525153443333499E-8</v>
      </c>
      <c r="F7" s="8">
        <v>-1.9848785987E-7</v>
      </c>
      <c r="G7" s="8">
        <v>1.7472313035231898E-8</v>
      </c>
      <c r="H7" s="8">
        <v>2.7406063135701202E-7</v>
      </c>
      <c r="I7" s="8">
        <v>2.5504595247454198E-7</v>
      </c>
      <c r="J7">
        <v>5</v>
      </c>
      <c r="K7">
        <v>0.2</v>
      </c>
      <c r="L7">
        <v>1</v>
      </c>
      <c r="M7" s="4">
        <f t="shared" ref="M7:M12" si="7">100*D7*J7/(K7*5)</f>
        <v>99.977729049999994</v>
      </c>
      <c r="N7" s="6">
        <f t="shared" si="0"/>
        <v>2.1529948367369423E-2</v>
      </c>
      <c r="O7" s="6">
        <f t="shared" si="1"/>
        <v>-0.19853207484912364</v>
      </c>
      <c r="P7" s="6"/>
      <c r="Q7" s="6">
        <f t="shared" si="2"/>
        <v>0.2741216808594954</v>
      </c>
      <c r="R7" s="6">
        <f t="shared" si="3"/>
        <v>0.25510276628406969</v>
      </c>
      <c r="S7" s="8">
        <f t="shared" si="4"/>
        <v>8.7381025760716144E-6</v>
      </c>
      <c r="T7" s="6"/>
      <c r="U7" s="7">
        <v>0.34</v>
      </c>
      <c r="V7">
        <v>0.14000000000000001</v>
      </c>
      <c r="X7" s="6">
        <f t="shared" ref="X7:X12" si="8">AVERAGE(N7,N19)+U7</f>
        <v>0.32268444716691846</v>
      </c>
      <c r="Y7" s="6">
        <f t="shared" ref="Y7:Y12" si="9">AVERAGE(O7,O19)+V7</f>
        <v>-1.7898372854963096E-2</v>
      </c>
      <c r="AA7" s="7">
        <f t="shared" si="5"/>
        <v>0.2741216808594954</v>
      </c>
      <c r="AB7">
        <v>3.2000000000000001E-2</v>
      </c>
      <c r="AC7">
        <v>20</v>
      </c>
      <c r="AD7" s="5">
        <v>21</v>
      </c>
      <c r="AE7" s="7"/>
      <c r="AF7" s="7">
        <f t="shared" si="6"/>
        <v>0.25510276628406969</v>
      </c>
      <c r="AG7" s="6">
        <v>1.7000000000000001E-2</v>
      </c>
      <c r="AH7" s="5">
        <v>20</v>
      </c>
      <c r="AI7">
        <v>57</v>
      </c>
    </row>
    <row r="8" spans="1:35" x14ac:dyDescent="0.2">
      <c r="D8">
        <v>0.11998193128</v>
      </c>
      <c r="E8" s="8">
        <v>-4.37458657116666E-8</v>
      </c>
      <c r="F8" s="8">
        <v>-1.03447527935E-7</v>
      </c>
      <c r="G8" s="8">
        <v>1.6324704204361201E-8</v>
      </c>
      <c r="H8" s="8">
        <v>2.78127746118499E-7</v>
      </c>
      <c r="I8" s="8">
        <v>2.2823264033365101E-7</v>
      </c>
      <c r="J8">
        <v>5</v>
      </c>
      <c r="K8">
        <v>0.2</v>
      </c>
      <c r="L8">
        <v>1</v>
      </c>
      <c r="M8" s="4">
        <f t="shared" si="7"/>
        <v>59.990965639999992</v>
      </c>
      <c r="N8" s="6">
        <f t="shared" si="0"/>
        <v>-7.292075605880613E-2</v>
      </c>
      <c r="O8" s="6">
        <f t="shared" si="1"/>
        <v>-0.17243851108478342</v>
      </c>
      <c r="P8" s="6"/>
      <c r="Q8" s="6">
        <f t="shared" si="2"/>
        <v>0.46361605143600587</v>
      </c>
      <c r="R8" s="6">
        <f t="shared" si="3"/>
        <v>0.38044501851037554</v>
      </c>
      <c r="S8" s="8">
        <f t="shared" si="4"/>
        <v>1.3605968857314432E-5</v>
      </c>
      <c r="T8" s="6"/>
      <c r="U8" s="7">
        <v>0.4</v>
      </c>
      <c r="V8">
        <v>0.13</v>
      </c>
      <c r="X8" s="6">
        <f t="shared" si="8"/>
        <v>0.56939707258086503</v>
      </c>
      <c r="Y8" s="6">
        <f t="shared" si="9"/>
        <v>-0.22074286532976972</v>
      </c>
      <c r="AA8" s="7">
        <f t="shared" si="5"/>
        <v>0.46361605143600587</v>
      </c>
      <c r="AB8">
        <v>3.2000000000000001E-2</v>
      </c>
      <c r="AC8">
        <v>20</v>
      </c>
      <c r="AD8" s="5">
        <v>21</v>
      </c>
      <c r="AE8" s="7"/>
      <c r="AF8" s="7">
        <f t="shared" si="6"/>
        <v>0.38044501851037554</v>
      </c>
      <c r="AG8" s="6">
        <v>1.7000000000000001E-2</v>
      </c>
      <c r="AH8" s="5">
        <v>20</v>
      </c>
      <c r="AI8">
        <v>57</v>
      </c>
    </row>
    <row r="9" spans="1:35" x14ac:dyDescent="0.2">
      <c r="D9">
        <v>8.0034380969999999E-2</v>
      </c>
      <c r="E9" s="8">
        <v>-2.3554518558833301E-7</v>
      </c>
      <c r="F9" s="8">
        <v>-1.65911438278333E-7</v>
      </c>
      <c r="G9" s="8">
        <v>1.5301376219009401E-8</v>
      </c>
      <c r="H9" s="8">
        <v>1.2166643425902401E-7</v>
      </c>
      <c r="I9" s="8">
        <v>2.44340245725936E-7</v>
      </c>
      <c r="J9">
        <v>5</v>
      </c>
      <c r="K9">
        <v>0.2</v>
      </c>
      <c r="L9">
        <v>1</v>
      </c>
      <c r="M9" s="4">
        <f t="shared" si="7"/>
        <v>40.017190485</v>
      </c>
      <c r="N9" s="6">
        <f t="shared" si="0"/>
        <v>-0.58861000168571187</v>
      </c>
      <c r="O9" s="6">
        <f t="shared" si="1"/>
        <v>-0.41460041613996634</v>
      </c>
      <c r="P9" s="6"/>
      <c r="Q9" s="6">
        <f t="shared" si="2"/>
        <v>0.30403542273820877</v>
      </c>
      <c r="R9" s="6">
        <f t="shared" si="3"/>
        <v>0.61058820662965885</v>
      </c>
      <c r="S9" s="8">
        <f t="shared" si="4"/>
        <v>1.9118503864913946E-5</v>
      </c>
      <c r="T9" s="6"/>
      <c r="U9" s="7">
        <v>0.4</v>
      </c>
      <c r="V9">
        <v>0.13</v>
      </c>
      <c r="X9" s="6">
        <f t="shared" si="8"/>
        <v>-0.24502776802116155</v>
      </c>
      <c r="Y9" s="6">
        <f t="shared" si="9"/>
        <v>-0.3750898441206908</v>
      </c>
      <c r="AA9" s="7">
        <f t="shared" si="5"/>
        <v>0.30403542273820877</v>
      </c>
      <c r="AB9">
        <v>4.5999999999999999E-2</v>
      </c>
      <c r="AC9">
        <v>20</v>
      </c>
      <c r="AD9" s="5">
        <v>21</v>
      </c>
      <c r="AE9" s="7"/>
      <c r="AF9" s="7">
        <f t="shared" si="6"/>
        <v>0.61058820662965885</v>
      </c>
      <c r="AG9" s="6">
        <v>2.9000000000000001E-2</v>
      </c>
      <c r="AH9" s="5">
        <v>20</v>
      </c>
      <c r="AI9">
        <v>57</v>
      </c>
    </row>
    <row r="10" spans="1:35" x14ac:dyDescent="0.2">
      <c r="D10">
        <v>3.9986398792E-2</v>
      </c>
      <c r="E10" s="8">
        <v>3.4770459050000001E-8</v>
      </c>
      <c r="F10" s="8">
        <v>1.99790039333333E-8</v>
      </c>
      <c r="G10" s="8">
        <v>8.7380846185855993E-9</v>
      </c>
      <c r="H10" s="8">
        <v>2.6009121577342802E-7</v>
      </c>
      <c r="I10" s="8">
        <v>2.4768700141298499E-7</v>
      </c>
      <c r="J10">
        <v>5</v>
      </c>
      <c r="K10">
        <v>0.2</v>
      </c>
      <c r="L10">
        <v>1</v>
      </c>
      <c r="M10" s="4">
        <f t="shared" si="7"/>
        <v>19.993199395999998</v>
      </c>
      <c r="N10" s="6">
        <f t="shared" si="0"/>
        <v>0.17391143038845727</v>
      </c>
      <c r="O10" s="6">
        <f t="shared" si="1"/>
        <v>9.9928998544027245E-2</v>
      </c>
      <c r="P10" s="6"/>
      <c r="Q10" s="6">
        <f t="shared" si="2"/>
        <v>1.3008984236183028</v>
      </c>
      <c r="R10" s="6">
        <f t="shared" si="3"/>
        <v>1.2388562556052896</v>
      </c>
      <c r="S10" s="8">
        <f t="shared" si="4"/>
        <v>2.1852642104729396E-5</v>
      </c>
      <c r="T10" s="6"/>
      <c r="U10" s="7">
        <v>0.4</v>
      </c>
      <c r="V10">
        <v>0.13</v>
      </c>
      <c r="X10" s="6">
        <f t="shared" si="8"/>
        <v>0.15151180158196181</v>
      </c>
      <c r="Y10" s="6">
        <f t="shared" si="9"/>
        <v>0.79712085349212425</v>
      </c>
      <c r="AA10" s="7">
        <f t="shared" si="5"/>
        <v>1.3008984236183028</v>
      </c>
      <c r="AB10">
        <v>4.5999999999999999E-2</v>
      </c>
      <c r="AC10">
        <v>20</v>
      </c>
      <c r="AD10" s="5">
        <v>21</v>
      </c>
      <c r="AE10" s="7"/>
      <c r="AF10" s="7">
        <f t="shared" si="6"/>
        <v>1.2388562556052896</v>
      </c>
      <c r="AG10" s="6">
        <v>2.9000000000000001E-2</v>
      </c>
      <c r="AH10" s="5">
        <v>20</v>
      </c>
      <c r="AI10">
        <v>57</v>
      </c>
    </row>
    <row r="11" spans="1:35" x14ac:dyDescent="0.2">
      <c r="D11">
        <v>2.0063448580000001E-2</v>
      </c>
      <c r="E11" s="8">
        <v>-2.06377567333334E-8</v>
      </c>
      <c r="F11" s="8">
        <v>-2.9190773778333301E-8</v>
      </c>
      <c r="G11" s="8">
        <v>4.5540930500411999E-8</v>
      </c>
      <c r="H11" s="8">
        <v>2.2890088244453299E-7</v>
      </c>
      <c r="I11" s="8">
        <v>2.4178664705114698E-7</v>
      </c>
      <c r="J11">
        <v>5</v>
      </c>
      <c r="K11">
        <v>0.2</v>
      </c>
      <c r="L11">
        <v>1</v>
      </c>
      <c r="M11" s="4">
        <f t="shared" si="7"/>
        <v>10.03172429</v>
      </c>
      <c r="N11" s="6">
        <f t="shared" si="0"/>
        <v>-0.20572491963226994</v>
      </c>
      <c r="O11" s="6">
        <f t="shared" si="1"/>
        <v>-0.29098460976874896</v>
      </c>
      <c r="P11" s="6"/>
      <c r="Q11" s="6">
        <f t="shared" si="2"/>
        <v>2.2817700709010715</v>
      </c>
      <c r="R11" s="6">
        <f t="shared" si="3"/>
        <v>2.4102202179955143</v>
      </c>
      <c r="S11" s="8">
        <f t="shared" si="4"/>
        <v>2.2698456010104319E-4</v>
      </c>
      <c r="T11" s="6"/>
      <c r="U11" s="7">
        <v>0.4</v>
      </c>
      <c r="V11">
        <v>0.13</v>
      </c>
      <c r="X11" s="6">
        <f>AVERAGE(N11,N23)+U11</f>
        <v>-0.5732006061000724</v>
      </c>
      <c r="Y11" s="6">
        <f t="shared" si="9"/>
        <v>-0.8639492270981356</v>
      </c>
      <c r="AA11" s="7">
        <f t="shared" si="5"/>
        <v>2.2817700709010715</v>
      </c>
      <c r="AB11">
        <v>0.1</v>
      </c>
      <c r="AC11">
        <v>20</v>
      </c>
      <c r="AD11" s="5">
        <v>21</v>
      </c>
      <c r="AE11" s="7"/>
      <c r="AF11" s="7">
        <f t="shared" si="6"/>
        <v>2.4102202179955143</v>
      </c>
      <c r="AG11" s="6">
        <v>0.1</v>
      </c>
      <c r="AH11" s="5">
        <v>20</v>
      </c>
      <c r="AI11">
        <v>57</v>
      </c>
    </row>
    <row r="12" spans="1:35" x14ac:dyDescent="0.2">
      <c r="D12">
        <v>9.9819194673999995E-3</v>
      </c>
      <c r="E12" s="8">
        <v>-2.0012600843333299E-8</v>
      </c>
      <c r="F12" s="8">
        <v>1.1246768078333299E-8</v>
      </c>
      <c r="G12" s="8">
        <v>2.7251897124711898E-8</v>
      </c>
      <c r="H12" s="8">
        <v>2.0404879390418101E-7</v>
      </c>
      <c r="I12" s="8">
        <v>2.16314687687956E-7</v>
      </c>
      <c r="J12">
        <v>5</v>
      </c>
      <c r="K12">
        <v>0.2</v>
      </c>
      <c r="L12">
        <v>1</v>
      </c>
      <c r="M12" s="4">
        <f t="shared" si="7"/>
        <v>4.9909597337000005</v>
      </c>
      <c r="N12" s="6">
        <f>1000000*E12*K12/(L12*D12)</f>
        <v>-0.40097700464710329</v>
      </c>
      <c r="O12" s="6">
        <f>1000000*F12*K12/(D12*L12)</f>
        <v>0.22534279333877968</v>
      </c>
      <c r="P12" s="6"/>
      <c r="Q12" s="6">
        <f>1000000*K12*H12/(L12*D12)</f>
        <v>4.0883678649298858</v>
      </c>
      <c r="R12" s="6">
        <f>1000000*K12*I12/(L12*D12)</f>
        <v>4.3341300918008647</v>
      </c>
      <c r="S12" s="8">
        <f>G12*100/D12</f>
        <v>2.730125925551093E-4</v>
      </c>
      <c r="T12" s="6"/>
      <c r="U12" s="7">
        <v>0.4</v>
      </c>
      <c r="V12">
        <v>0.13</v>
      </c>
      <c r="X12" s="6">
        <f t="shared" si="8"/>
        <v>-0.77866940224460313</v>
      </c>
      <c r="Y12" s="6">
        <f t="shared" si="9"/>
        <v>1.0165002710191082</v>
      </c>
      <c r="AA12" s="7">
        <f t="shared" si="5"/>
        <v>4.0883678649298858</v>
      </c>
      <c r="AB12">
        <v>0.1</v>
      </c>
      <c r="AC12">
        <v>20</v>
      </c>
      <c r="AD12" s="5">
        <v>21</v>
      </c>
      <c r="AE12" s="7"/>
      <c r="AF12" s="7">
        <f t="shared" si="6"/>
        <v>4.3341300918008647</v>
      </c>
      <c r="AG12" s="6">
        <v>0.1</v>
      </c>
      <c r="AH12" s="5">
        <v>20</v>
      </c>
      <c r="AI12">
        <v>57</v>
      </c>
    </row>
    <row r="13" spans="1:35" x14ac:dyDescent="0.2">
      <c r="C13" s="1" t="s">
        <v>24</v>
      </c>
    </row>
    <row r="14" spans="1:35" x14ac:dyDescent="0.2">
      <c r="C14" t="s">
        <v>21</v>
      </c>
      <c r="D14">
        <v>0.19994932356</v>
      </c>
      <c r="E14" s="8">
        <v>-7.2398804666666503E-5</v>
      </c>
      <c r="F14">
        <v>5.3086829833333404E-4</v>
      </c>
      <c r="G14" s="8">
        <v>2.9629317491945601E-8</v>
      </c>
      <c r="H14" s="8">
        <v>7.3485007741594602E-7</v>
      </c>
      <c r="I14" s="8">
        <v>2.0280900701556401E-6</v>
      </c>
      <c r="J14">
        <v>5</v>
      </c>
      <c r="K14">
        <v>0.2</v>
      </c>
      <c r="L14">
        <v>1</v>
      </c>
      <c r="M14" s="4">
        <f>100*D14*J14/(K14*5)</f>
        <v>99.974661779999991</v>
      </c>
      <c r="N14" s="6">
        <f>1000000*E14*K14/(L14*D14)</f>
        <v>-72.417153884435493</v>
      </c>
      <c r="O14" s="6">
        <f>1000000*F14*K14/(D14*L14)</f>
        <v>531.00284500240696</v>
      </c>
      <c r="P14" s="6"/>
      <c r="Q14" s="6">
        <f>1000000*K14*H14/(L14*D14)</f>
        <v>0.73503632253643014</v>
      </c>
      <c r="R14" s="6">
        <f>1000000*K14*I14/(L14*D14)</f>
        <v>2.0286040823209475</v>
      </c>
      <c r="S14" s="8">
        <f>G14*100/D14</f>
        <v>1.4818413468177876E-5</v>
      </c>
    </row>
    <row r="15" spans="1:35" x14ac:dyDescent="0.2">
      <c r="C15" t="s">
        <v>23</v>
      </c>
      <c r="D15">
        <v>0.19994902708000001</v>
      </c>
      <c r="E15">
        <v>-2.9606977333333399E-4</v>
      </c>
      <c r="F15">
        <v>5.2511690333333495E-4</v>
      </c>
      <c r="G15" s="8">
        <v>1.46385012539257E-8</v>
      </c>
      <c r="H15" s="8">
        <v>6.7376301616781502E-7</v>
      </c>
      <c r="I15" s="8">
        <v>1.05776506086602E-6</v>
      </c>
      <c r="J15">
        <v>5</v>
      </c>
      <c r="K15">
        <v>0.2</v>
      </c>
      <c r="L15">
        <v>1</v>
      </c>
      <c r="M15" s="4">
        <f>100*D15*J15/(K15*5)</f>
        <v>99.974513540000004</v>
      </c>
      <c r="N15" s="6">
        <f>1000000*E15*K15/(L15*D15)</f>
        <v>-296.14525027408706</v>
      </c>
      <c r="O15" s="6">
        <f>1000000*F15*K15/(D15*L15)</f>
        <v>525.25077116102648</v>
      </c>
      <c r="P15" s="6"/>
      <c r="Q15" s="6">
        <f>1000000*K15*H15/(L15*D15)</f>
        <v>0.67393477828550885</v>
      </c>
      <c r="R15" s="6">
        <f>1000000*K15*I15/(L15*D15)</f>
        <v>1.0580347164608168</v>
      </c>
      <c r="S15" s="8">
        <f>G15*100/D15</f>
        <v>7.321116520396374E-6</v>
      </c>
    </row>
    <row r="16" spans="1:35" x14ac:dyDescent="0.2">
      <c r="C16" t="s">
        <v>22</v>
      </c>
      <c r="D16">
        <v>0.19995025197999999</v>
      </c>
      <c r="E16" s="8">
        <v>-7.1103339833333295E-5</v>
      </c>
      <c r="F16">
        <v>4.6030644833333401E-4</v>
      </c>
      <c r="G16" s="8">
        <v>5.6396402864027297E-9</v>
      </c>
      <c r="H16" s="8">
        <v>3.3771601476680397E-7</v>
      </c>
      <c r="I16" s="8">
        <v>4.0906873179278398E-7</v>
      </c>
      <c r="J16">
        <v>5</v>
      </c>
      <c r="K16">
        <v>0.2</v>
      </c>
      <c r="L16">
        <v>1</v>
      </c>
      <c r="M16" s="4">
        <f>100*D16*J16/(K16*5)</f>
        <v>99.975125990000009</v>
      </c>
      <c r="N16" s="6">
        <f>1000000*E16*K16/(L16*D16)</f>
        <v>-71.121030485568383</v>
      </c>
      <c r="O16" s="6">
        <f>1000000*F16*K16/(D16*L16)</f>
        <v>460.42097349232262</v>
      </c>
      <c r="P16" s="6"/>
      <c r="Q16" s="6">
        <f>1000000*K16*H16/(L16*D16)</f>
        <v>0.3378000391823302</v>
      </c>
      <c r="R16" s="6">
        <f>1000000*K16*I16/(L16*D16)</f>
        <v>0.40917050890608636</v>
      </c>
      <c r="S16" s="8">
        <f>G16*100/D16</f>
        <v>2.8205217200560638E-6</v>
      </c>
    </row>
    <row r="18" spans="3:31" x14ac:dyDescent="0.2">
      <c r="C18" s="1" t="s">
        <v>26</v>
      </c>
      <c r="D18">
        <v>0.23987085344</v>
      </c>
      <c r="E18" s="8">
        <v>5.4103313783333603E-9</v>
      </c>
      <c r="F18" s="8">
        <v>-1.9826343381666699E-7</v>
      </c>
      <c r="G18" s="8">
        <v>3.1565131265970897E-8</v>
      </c>
      <c r="H18" s="8">
        <v>2.5770637253496797E-7</v>
      </c>
      <c r="I18" s="8">
        <v>2.5325145494383198E-7</v>
      </c>
      <c r="J18">
        <v>5</v>
      </c>
      <c r="K18">
        <v>0.2</v>
      </c>
      <c r="L18">
        <v>1</v>
      </c>
      <c r="M18" s="4">
        <f>100*D18*J18/(K18*5)</f>
        <v>119.93542672000001</v>
      </c>
      <c r="N18" s="6">
        <f t="shared" ref="N18:N24" si="10">1000000*E18*K18/(L18*D18)</f>
        <v>4.5110369190283226E-3</v>
      </c>
      <c r="O18" s="6">
        <f t="shared" ref="O18:O24" si="11">1000000*F18*K18/(D18*L18)</f>
        <v>-0.16530848243824633</v>
      </c>
      <c r="P18" s="6"/>
      <c r="Q18" s="6">
        <f t="shared" ref="Q18:Q24" si="12">1000000*K18*H18/(L18*D18)</f>
        <v>0.21487093478777258</v>
      </c>
      <c r="R18" s="6">
        <f t="shared" ref="R18:R24" si="13">1000000*K18*I18/(L18*D18)</f>
        <v>0.2111565046873683</v>
      </c>
      <c r="S18" s="8">
        <f t="shared" ref="S18:S24" si="14">G18*100/D18</f>
        <v>1.3159219143674089E-5</v>
      </c>
      <c r="U18" s="7">
        <v>0.34</v>
      </c>
      <c r="V18">
        <v>0.14000000000000001</v>
      </c>
      <c r="X18" s="7"/>
      <c r="Y18" s="7"/>
      <c r="AA18" s="7"/>
      <c r="AB18" s="7"/>
      <c r="AD18" s="7"/>
      <c r="AE18" s="7"/>
    </row>
    <row r="19" spans="3:31" x14ac:dyDescent="0.2">
      <c r="D19">
        <v>0.19995098614000001</v>
      </c>
      <c r="E19" s="8">
        <v>-5.6147290683333301E-8</v>
      </c>
      <c r="F19" s="8">
        <v>-1.1723593289E-7</v>
      </c>
      <c r="G19" s="8">
        <v>3.8040254161086797E-8</v>
      </c>
      <c r="H19" s="8">
        <v>2.5380013451974102E-7</v>
      </c>
      <c r="I19" s="8">
        <v>2.4304066972692302E-7</v>
      </c>
      <c r="J19">
        <v>5</v>
      </c>
      <c r="K19">
        <v>0.2</v>
      </c>
      <c r="L19">
        <v>1</v>
      </c>
      <c r="M19" s="4">
        <f t="shared" ref="M19:M24" si="15">100*D19*J19/(K19*5)</f>
        <v>99.975493069999999</v>
      </c>
      <c r="N19" s="6">
        <f t="shared" si="10"/>
        <v>-5.6161054033532568E-2</v>
      </c>
      <c r="O19" s="6">
        <f t="shared" si="11"/>
        <v>-0.1172646708608026</v>
      </c>
      <c r="P19" s="6"/>
      <c r="Q19" s="6">
        <f t="shared" si="12"/>
        <v>0.25386234838775679</v>
      </c>
      <c r="R19" s="6">
        <f t="shared" si="13"/>
        <v>0.24310024613407291</v>
      </c>
      <c r="S19" s="8">
        <f t="shared" si="14"/>
        <v>1.9024789472382043E-5</v>
      </c>
      <c r="U19" s="7">
        <v>0.34</v>
      </c>
      <c r="V19">
        <v>0.14000000000000001</v>
      </c>
      <c r="X19" s="7"/>
      <c r="Y19" s="7"/>
      <c r="AA19" s="7"/>
      <c r="AB19" s="7"/>
      <c r="AD19" s="7"/>
      <c r="AE19" s="7"/>
    </row>
    <row r="20" spans="3:31" x14ac:dyDescent="0.2">
      <c r="D20">
        <v>0.11998350012</v>
      </c>
      <c r="E20" s="8">
        <v>2.4699497450000001E-7</v>
      </c>
      <c r="F20" s="8">
        <v>-3.1738468566666702E-7</v>
      </c>
      <c r="G20" s="8">
        <v>2.1922510525948899E-8</v>
      </c>
      <c r="H20" s="8">
        <v>8.79286731373979E-8</v>
      </c>
      <c r="I20" s="8">
        <v>9.8802046497843504E-8</v>
      </c>
      <c r="J20">
        <v>5</v>
      </c>
      <c r="K20">
        <v>0.2</v>
      </c>
      <c r="L20">
        <v>1</v>
      </c>
      <c r="M20" s="4">
        <f t="shared" si="15"/>
        <v>59.991750060000001</v>
      </c>
      <c r="N20" s="6">
        <f t="shared" si="10"/>
        <v>0.41171490122053628</v>
      </c>
      <c r="O20" s="6">
        <f t="shared" si="11"/>
        <v>-0.52904721957475598</v>
      </c>
      <c r="P20" s="6"/>
      <c r="Q20" s="6">
        <f t="shared" si="12"/>
        <v>0.14656794150771921</v>
      </c>
      <c r="R20" s="6">
        <f t="shared" si="13"/>
        <v>0.16469272258106799</v>
      </c>
      <c r="S20" s="8">
        <f t="shared" si="14"/>
        <v>1.8271271053122616E-5</v>
      </c>
      <c r="U20" s="7">
        <v>0.4</v>
      </c>
      <c r="V20">
        <v>0.13</v>
      </c>
      <c r="X20" s="7"/>
      <c r="Y20" s="7"/>
      <c r="AA20" s="7"/>
      <c r="AB20" s="7"/>
      <c r="AD20" s="7"/>
      <c r="AE20" s="7"/>
    </row>
    <row r="21" spans="3:31" x14ac:dyDescent="0.2">
      <c r="D21">
        <v>8.0039027324000006E-2</v>
      </c>
      <c r="E21" s="8">
        <v>-2.8071509145333301E-7</v>
      </c>
      <c r="F21" s="8">
        <v>-2.38347928166666E-7</v>
      </c>
      <c r="G21" s="8">
        <v>1.3992050198560501E-8</v>
      </c>
      <c r="H21" s="8">
        <v>1.4794552116561501E-7</v>
      </c>
      <c r="I21" s="8">
        <v>1.3619043422583001E-7</v>
      </c>
      <c r="J21">
        <v>5</v>
      </c>
      <c r="K21">
        <v>0.2</v>
      </c>
      <c r="L21">
        <v>1</v>
      </c>
      <c r="M21" s="4">
        <f t="shared" si="15"/>
        <v>40.019513662000001</v>
      </c>
      <c r="N21" s="6">
        <f t="shared" si="10"/>
        <v>-0.70144553435661139</v>
      </c>
      <c r="O21" s="6">
        <f t="shared" si="11"/>
        <v>-0.59557927210141515</v>
      </c>
      <c r="P21" s="6"/>
      <c r="Q21" s="6">
        <f t="shared" si="12"/>
        <v>0.3696834559638707</v>
      </c>
      <c r="R21" s="6">
        <f t="shared" si="13"/>
        <v>0.34031006817343668</v>
      </c>
      <c r="S21" s="8">
        <f t="shared" si="14"/>
        <v>1.7481534529299472E-5</v>
      </c>
      <c r="U21" s="7">
        <v>0.4</v>
      </c>
      <c r="V21">
        <v>0.13</v>
      </c>
      <c r="X21" s="7"/>
      <c r="Y21" s="7"/>
      <c r="AA21" s="7"/>
      <c r="AB21" s="7"/>
      <c r="AD21" s="7"/>
      <c r="AE21" s="7"/>
    </row>
    <row r="22" spans="3:31" x14ac:dyDescent="0.2">
      <c r="D22">
        <v>3.9985913594E-2</v>
      </c>
      <c r="E22" s="8">
        <v>-1.3413031345333301E-7</v>
      </c>
      <c r="F22" s="8">
        <v>2.46775606538334E-7</v>
      </c>
      <c r="G22" s="8">
        <v>2.0552074633636001E-8</v>
      </c>
      <c r="H22" s="8">
        <v>1.8872541598407601E-7</v>
      </c>
      <c r="I22" s="8">
        <v>1.02705113482556E-7</v>
      </c>
      <c r="J22">
        <v>5</v>
      </c>
      <c r="K22">
        <v>0.2</v>
      </c>
      <c r="L22">
        <v>1</v>
      </c>
      <c r="M22" s="4">
        <f t="shared" si="15"/>
        <v>19.992956796999998</v>
      </c>
      <c r="N22" s="6">
        <f t="shared" si="10"/>
        <v>-0.67088782722453366</v>
      </c>
      <c r="O22" s="6">
        <f t="shared" si="11"/>
        <v>1.2343127084402212</v>
      </c>
      <c r="P22" s="6"/>
      <c r="Q22" s="6">
        <f t="shared" si="12"/>
        <v>0.94395950484119884</v>
      </c>
      <c r="R22" s="6">
        <f t="shared" si="13"/>
        <v>0.51370647436184724</v>
      </c>
      <c r="S22" s="8">
        <f t="shared" si="14"/>
        <v>5.1398287012554089E-5</v>
      </c>
      <c r="U22" s="7">
        <v>0.4</v>
      </c>
      <c r="V22">
        <v>0.13</v>
      </c>
      <c r="X22" s="7"/>
      <c r="Y22" s="7"/>
      <c r="AA22" s="7"/>
      <c r="AB22" s="7"/>
      <c r="AD22" s="7"/>
      <c r="AE22" s="7"/>
    </row>
    <row r="23" spans="3:31" x14ac:dyDescent="0.2">
      <c r="D23">
        <v>2.0025647168E-2</v>
      </c>
      <c r="E23" s="8">
        <v>-1.7429084634333301E-7</v>
      </c>
      <c r="F23" s="8">
        <v>-1.69908989615E-7</v>
      </c>
      <c r="G23" s="8">
        <v>7.2891148010605197E-7</v>
      </c>
      <c r="H23" s="8">
        <v>1.9158846904565599E-7</v>
      </c>
      <c r="I23" s="8">
        <v>1.72629657719062E-7</v>
      </c>
      <c r="J23">
        <v>5</v>
      </c>
      <c r="K23">
        <v>0.2</v>
      </c>
      <c r="L23">
        <v>1</v>
      </c>
      <c r="M23" s="4">
        <f t="shared" si="15"/>
        <v>10.012823583999999</v>
      </c>
      <c r="N23" s="6">
        <f t="shared" si="10"/>
        <v>-1.7406762925678749</v>
      </c>
      <c r="O23" s="6">
        <f t="shared" si="11"/>
        <v>-1.6969138444275222</v>
      </c>
      <c r="P23" s="6"/>
      <c r="Q23" s="6">
        <f t="shared" si="12"/>
        <v>1.9134309861586392</v>
      </c>
      <c r="R23" s="6">
        <f t="shared" si="13"/>
        <v>1.7240856814347125</v>
      </c>
      <c r="S23" s="8">
        <f t="shared" si="14"/>
        <v>3.6398897573248806E-3</v>
      </c>
      <c r="U23" s="7">
        <v>0.4</v>
      </c>
      <c r="V23">
        <v>0.13</v>
      </c>
      <c r="X23" s="7"/>
      <c r="Y23" s="7"/>
      <c r="AA23" s="7"/>
      <c r="AB23" s="7"/>
      <c r="AD23" s="7"/>
      <c r="AE23" s="7"/>
    </row>
    <row r="24" spans="3:31" x14ac:dyDescent="0.2">
      <c r="D24">
        <v>9.9826196778E-3</v>
      </c>
      <c r="E24" s="8">
        <v>-9.7648078999999997E-8</v>
      </c>
      <c r="F24" s="8">
        <v>7.72483934833332E-8</v>
      </c>
      <c r="G24" s="8">
        <v>3.4595903087287301E-8</v>
      </c>
      <c r="H24" s="8">
        <v>2.0968760240687299E-7</v>
      </c>
      <c r="I24" s="8">
        <v>2.77270829084095E-7</v>
      </c>
      <c r="J24">
        <v>5</v>
      </c>
      <c r="K24">
        <v>0.2</v>
      </c>
      <c r="L24">
        <v>1</v>
      </c>
      <c r="M24" s="4">
        <f t="shared" si="15"/>
        <v>4.9913098388999995</v>
      </c>
      <c r="N24" s="6">
        <f t="shared" si="10"/>
        <v>-1.9563617998421028</v>
      </c>
      <c r="O24" s="6">
        <f t="shared" si="11"/>
        <v>1.5476577486994365</v>
      </c>
      <c r="P24" s="6"/>
      <c r="Q24" s="6">
        <f t="shared" si="12"/>
        <v>4.2010536146777175</v>
      </c>
      <c r="R24" s="6">
        <f t="shared" si="13"/>
        <v>5.5550714748896617</v>
      </c>
      <c r="S24" s="8">
        <f t="shared" si="14"/>
        <v>3.4656136569265406E-4</v>
      </c>
      <c r="U24" s="7">
        <v>0.4</v>
      </c>
      <c r="V24">
        <v>0.13</v>
      </c>
      <c r="X24" s="7"/>
      <c r="Y24" s="7"/>
      <c r="AA24" s="7"/>
      <c r="AB24" s="7"/>
      <c r="AD24" s="7"/>
      <c r="AE24" s="7"/>
    </row>
    <row r="26" spans="3:31" x14ac:dyDescent="0.2">
      <c r="C26" s="1" t="s">
        <v>25</v>
      </c>
      <c r="D26">
        <v>0.23986267364</v>
      </c>
      <c r="E26" s="8">
        <v>-6.2257495328333299E-8</v>
      </c>
      <c r="F26" s="8">
        <v>-1.7538717333333301E-7</v>
      </c>
      <c r="G26" s="8">
        <v>9.1481995080811304E-9</v>
      </c>
      <c r="H26" s="8">
        <v>5.5063990403466502E-8</v>
      </c>
      <c r="I26" s="8">
        <v>3.6720596633088001E-8</v>
      </c>
      <c r="J26">
        <v>5</v>
      </c>
      <c r="K26">
        <v>0.2</v>
      </c>
      <c r="L26">
        <v>1</v>
      </c>
      <c r="M26" s="4">
        <f>100*D26*J26/(K26*5)</f>
        <v>119.93133682</v>
      </c>
      <c r="N26" s="6">
        <f t="shared" ref="N26:N32" si="16">1000000*E26*K26/(L26*D26)</f>
        <v>-5.1910949197350328E-2</v>
      </c>
      <c r="O26" s="6">
        <f t="shared" ref="O26:O32" si="17">1000000*F26*K26/(D26*L26)</f>
        <v>-0.14623965510912665</v>
      </c>
      <c r="P26" s="6"/>
      <c r="Q26" s="6">
        <f t="shared" ref="Q26:Q32" si="18">1000000*K26*H26/(L26*D26)</f>
        <v>4.5912929734210982E-2</v>
      </c>
      <c r="R26" s="6">
        <f t="shared" ref="R26:R32" si="19">1000000*K26*I26/(L26*D26)</f>
        <v>3.0618016614123486E-2</v>
      </c>
      <c r="S26" s="8">
        <f t="shared" ref="S26:S32" si="20">G26*100/D26</f>
        <v>3.8139321009200815E-6</v>
      </c>
    </row>
    <row r="27" spans="3:31" x14ac:dyDescent="0.2">
      <c r="D27">
        <v>0.19994461372</v>
      </c>
      <c r="E27" s="8">
        <v>-4.8046448166667E-9</v>
      </c>
      <c r="F27" s="8">
        <v>-1.51211516666667E-7</v>
      </c>
      <c r="G27" s="8">
        <v>3.1211230885020603E-8</v>
      </c>
      <c r="H27" s="8">
        <v>1.1243304428415E-7</v>
      </c>
      <c r="I27" s="8">
        <v>2.39475921666401E-8</v>
      </c>
      <c r="J27">
        <v>5</v>
      </c>
      <c r="K27">
        <v>0.2</v>
      </c>
      <c r="L27">
        <v>1</v>
      </c>
      <c r="M27" s="4">
        <f t="shared" ref="M27:M32" si="21">100*D27*J27/(K27*5)</f>
        <v>99.972306860000003</v>
      </c>
      <c r="N27" s="6">
        <f t="shared" si="16"/>
        <v>-4.8059757422573689E-3</v>
      </c>
      <c r="O27" s="6">
        <f t="shared" si="17"/>
        <v>-0.15125340348344846</v>
      </c>
      <c r="P27" s="6"/>
      <c r="Q27" s="6">
        <f t="shared" si="18"/>
        <v>0.11246418914950104</v>
      </c>
      <c r="R27" s="6">
        <f t="shared" si="19"/>
        <v>2.3954225843938977E-2</v>
      </c>
      <c r="S27" s="8">
        <f t="shared" si="20"/>
        <v>1.560993832458444E-5</v>
      </c>
    </row>
    <row r="28" spans="3:31" x14ac:dyDescent="0.2">
      <c r="D28">
        <v>0.11997653951999999</v>
      </c>
      <c r="E28" s="8">
        <v>-1.2962572683333299E-8</v>
      </c>
      <c r="F28" s="8">
        <v>-1.07876022333333E-7</v>
      </c>
      <c r="G28" s="8">
        <v>1.61553466617031E-8</v>
      </c>
      <c r="H28" s="8">
        <v>8.9695345666772601E-8</v>
      </c>
      <c r="I28" s="8">
        <v>5.1531086676632101E-8</v>
      </c>
      <c r="J28">
        <v>5</v>
      </c>
      <c r="K28">
        <v>0.2</v>
      </c>
      <c r="L28">
        <v>1</v>
      </c>
      <c r="M28" s="4">
        <f t="shared" si="21"/>
        <v>59.988269760000001</v>
      </c>
      <c r="N28" s="6">
        <f t="shared" si="16"/>
        <v>-2.1608512356155178E-2</v>
      </c>
      <c r="O28" s="6">
        <f t="shared" si="17"/>
        <v>-0.17982852775204466</v>
      </c>
      <c r="P28" s="6"/>
      <c r="Q28" s="6">
        <f t="shared" si="18"/>
        <v>0.14952147482436839</v>
      </c>
      <c r="R28" s="6">
        <f t="shared" si="19"/>
        <v>8.5901938633664146E-2</v>
      </c>
      <c r="S28" s="8">
        <f t="shared" si="20"/>
        <v>1.3465421428503542E-5</v>
      </c>
    </row>
    <row r="29" spans="3:31" x14ac:dyDescent="0.2">
      <c r="D29">
        <v>8.0031056862000002E-2</v>
      </c>
      <c r="E29" s="8">
        <v>-1.00999212583334E-8</v>
      </c>
      <c r="F29" s="8">
        <v>-9.23158243333333E-8</v>
      </c>
      <c r="G29" s="8">
        <v>1.8471282887583499E-8</v>
      </c>
      <c r="H29" s="8">
        <v>8.8327754340460105E-8</v>
      </c>
      <c r="I29" s="8">
        <v>6.7686286582835E-8</v>
      </c>
      <c r="J29">
        <v>5</v>
      </c>
      <c r="K29">
        <v>0.2</v>
      </c>
      <c r="L29">
        <v>1</v>
      </c>
      <c r="M29" s="4">
        <f t="shared" si="21"/>
        <v>40.015528431</v>
      </c>
      <c r="N29" s="6">
        <f t="shared" si="16"/>
        <v>-2.5240004704046339E-2</v>
      </c>
      <c r="O29" s="6">
        <f t="shared" si="17"/>
        <v>-0.23070000060730497</v>
      </c>
      <c r="P29" s="6"/>
      <c r="Q29" s="6">
        <f t="shared" si="18"/>
        <v>0.22073369465248061</v>
      </c>
      <c r="R29" s="6">
        <f t="shared" si="19"/>
        <v>0.16915005058485866</v>
      </c>
      <c r="S29" s="8">
        <f t="shared" si="20"/>
        <v>2.3080143649026274E-5</v>
      </c>
    </row>
    <row r="30" spans="3:31" x14ac:dyDescent="0.2">
      <c r="D30">
        <v>3.9981788772000003E-2</v>
      </c>
      <c r="E30" s="8">
        <v>2.97902372166668E-9</v>
      </c>
      <c r="F30" s="8">
        <v>-5.9038070676666601E-8</v>
      </c>
      <c r="G30" s="8">
        <v>1.14776589859416E-8</v>
      </c>
      <c r="H30" s="8">
        <v>5.53219809288251E-8</v>
      </c>
      <c r="I30" s="8">
        <v>8.6402618707986494E-8</v>
      </c>
      <c r="J30">
        <v>5</v>
      </c>
      <c r="K30">
        <v>0.2</v>
      </c>
      <c r="L30">
        <v>1</v>
      </c>
      <c r="M30" s="4">
        <f t="shared" si="21"/>
        <v>19.990894386000001</v>
      </c>
      <c r="N30" s="6">
        <f t="shared" si="16"/>
        <v>1.4901903157234156E-2</v>
      </c>
      <c r="O30" s="6">
        <f t="shared" si="17"/>
        <v>-0.29532480906913339</v>
      </c>
      <c r="P30" s="6"/>
      <c r="Q30" s="6">
        <f t="shared" si="18"/>
        <v>0.27673589715709829</v>
      </c>
      <c r="R30" s="6">
        <f t="shared" si="19"/>
        <v>0.43220987035225333</v>
      </c>
      <c r="S30" s="8">
        <f t="shared" si="20"/>
        <v>2.8707217306844511E-5</v>
      </c>
    </row>
    <row r="31" spans="3:31" x14ac:dyDescent="0.2">
      <c r="D31">
        <v>2.0083832669999999E-2</v>
      </c>
      <c r="E31" s="8">
        <v>-3.5257813948333403E-8</v>
      </c>
      <c r="F31" s="8">
        <v>-1.77972253581667E-8</v>
      </c>
      <c r="G31" s="8">
        <v>9.70239764857138E-8</v>
      </c>
      <c r="H31" s="8">
        <v>9.9007676720868804E-8</v>
      </c>
      <c r="I31" s="8">
        <v>5.4735280679640797E-8</v>
      </c>
      <c r="J31">
        <v>5</v>
      </c>
      <c r="K31">
        <v>0.2</v>
      </c>
      <c r="L31">
        <v>1</v>
      </c>
      <c r="M31" s="4">
        <f t="shared" si="21"/>
        <v>10.041916335</v>
      </c>
      <c r="N31" s="6">
        <f t="shared" si="16"/>
        <v>-0.35110643000924191</v>
      </c>
      <c r="O31" s="6">
        <f t="shared" si="17"/>
        <v>-0.17722937300459696</v>
      </c>
      <c r="P31" s="6"/>
      <c r="Q31" s="6">
        <f t="shared" si="18"/>
        <v>0.98594405109499261</v>
      </c>
      <c r="R31" s="6">
        <f t="shared" si="19"/>
        <v>0.54506808116760519</v>
      </c>
      <c r="S31" s="8">
        <f t="shared" si="20"/>
        <v>4.8309492555493298E-4</v>
      </c>
    </row>
    <row r="32" spans="3:31" x14ac:dyDescent="0.2">
      <c r="D32">
        <v>9.9833730829999995E-3</v>
      </c>
      <c r="E32" s="8">
        <v>-3.2653076787166702E-8</v>
      </c>
      <c r="F32" s="8">
        <v>1.9818673941499999E-8</v>
      </c>
      <c r="G32" s="8">
        <v>5.2394852332335997E-8</v>
      </c>
      <c r="H32" s="8">
        <v>7.9912555302183897E-8</v>
      </c>
      <c r="I32" s="8">
        <v>1.14237745148437E-7</v>
      </c>
      <c r="J32">
        <v>5</v>
      </c>
      <c r="K32">
        <v>0.2</v>
      </c>
      <c r="L32">
        <v>1</v>
      </c>
      <c r="M32" s="4">
        <f t="shared" si="21"/>
        <v>4.9916865415</v>
      </c>
      <c r="N32" s="6">
        <f t="shared" si="16"/>
        <v>-0.65414918416240275</v>
      </c>
      <c r="O32" s="6">
        <f t="shared" si="17"/>
        <v>0.39703362334014858</v>
      </c>
      <c r="P32" s="6"/>
      <c r="Q32" s="6">
        <f t="shared" si="18"/>
        <v>1.6009129306859522</v>
      </c>
      <c r="R32" s="6">
        <f t="shared" si="19"/>
        <v>2.2885600728067472</v>
      </c>
      <c r="S32" s="8">
        <f t="shared" si="20"/>
        <v>5.24821139075285E-4</v>
      </c>
    </row>
    <row r="33" spans="1:30" x14ac:dyDescent="0.2">
      <c r="E33" s="8"/>
      <c r="F33" s="8"/>
      <c r="G33" s="8"/>
      <c r="H33" s="8"/>
      <c r="I33" s="8"/>
    </row>
    <row r="34" spans="1:30" x14ac:dyDescent="0.2">
      <c r="E34" s="8"/>
      <c r="F34" s="8"/>
      <c r="G34" s="8"/>
      <c r="H34" s="8"/>
      <c r="I34" s="8"/>
    </row>
    <row r="35" spans="1:30" ht="19.149999999999999" customHeight="1" x14ac:dyDescent="0.2">
      <c r="E35" s="8"/>
      <c r="F35" s="8"/>
      <c r="G35" s="8"/>
      <c r="H35" s="8"/>
      <c r="I35" s="8"/>
      <c r="W35" s="75" t="s">
        <v>43</v>
      </c>
      <c r="X35" s="76"/>
      <c r="Y35" s="76"/>
      <c r="Z35" s="76"/>
      <c r="AA35" s="19"/>
      <c r="AB35" s="19"/>
      <c r="AC35" s="20"/>
      <c r="AD35" s="2"/>
    </row>
    <row r="36" spans="1:30" ht="25.9" customHeight="1" x14ac:dyDescent="0.2">
      <c r="A36" s="1" t="s">
        <v>55</v>
      </c>
      <c r="E36" s="8"/>
      <c r="F36" s="8"/>
      <c r="G36" s="8"/>
      <c r="H36" s="8"/>
      <c r="I36" s="8"/>
      <c r="W36" s="28" t="s">
        <v>44</v>
      </c>
      <c r="X36" s="77" t="s">
        <v>45</v>
      </c>
      <c r="Y36" s="78"/>
      <c r="Z36" s="79"/>
      <c r="AA36" s="78" t="s">
        <v>50</v>
      </c>
      <c r="AB36" s="78"/>
      <c r="AC36" s="79"/>
      <c r="AD36" s="2"/>
    </row>
    <row r="37" spans="1:30" ht="38.25" x14ac:dyDescent="0.2">
      <c r="D37" s="13" t="s">
        <v>28</v>
      </c>
      <c r="E37" s="13" t="s">
        <v>29</v>
      </c>
      <c r="F37" s="13" t="s">
        <v>30</v>
      </c>
      <c r="G37" s="13" t="s">
        <v>31</v>
      </c>
      <c r="H37" s="13"/>
      <c r="I37" s="2" t="s">
        <v>54</v>
      </c>
      <c r="J37" s="2" t="s">
        <v>56</v>
      </c>
      <c r="K37" s="2" t="s">
        <v>57</v>
      </c>
      <c r="W37" s="28" t="s">
        <v>46</v>
      </c>
      <c r="X37" s="28" t="s">
        <v>47</v>
      </c>
      <c r="Y37" s="29" t="s">
        <v>48</v>
      </c>
      <c r="Z37" s="30" t="s">
        <v>49</v>
      </c>
      <c r="AA37" s="29" t="s">
        <v>51</v>
      </c>
      <c r="AB37" s="29" t="s">
        <v>52</v>
      </c>
      <c r="AC37" s="30" t="s">
        <v>49</v>
      </c>
      <c r="AD37" s="2"/>
    </row>
    <row r="38" spans="1:30" x14ac:dyDescent="0.2">
      <c r="A38" s="11">
        <v>37441</v>
      </c>
      <c r="C38" t="s">
        <v>32</v>
      </c>
      <c r="D38">
        <v>1.02</v>
      </c>
      <c r="E38">
        <v>-6.6000000000000003E-2</v>
      </c>
      <c r="F38">
        <v>-0.45</v>
      </c>
      <c r="G38">
        <v>0.1</v>
      </c>
      <c r="H38" s="8"/>
      <c r="I38" s="17">
        <f t="shared" ref="I38:I44" si="22">D38*0.1/0.02</f>
        <v>5.1000000000000005</v>
      </c>
      <c r="J38" s="17">
        <f>10000*E38*G38</f>
        <v>-66</v>
      </c>
      <c r="K38" s="17">
        <f>1000000*RADIANS(G38*F38/60)</f>
        <v>-13.089969389957474</v>
      </c>
      <c r="W38" s="21">
        <f>M6</f>
        <v>119.93975191000001</v>
      </c>
      <c r="X38" s="31">
        <f>X6</f>
        <v>0.37008506489369392</v>
      </c>
      <c r="Y38" s="22">
        <f>SQRT(SUMSQ(AA6,AB6))</f>
        <v>0.14505914716851315</v>
      </c>
      <c r="Z38" s="23">
        <f>dof_A(AA6:AB6,AC6:AD6)</f>
        <v>22.043541900886989</v>
      </c>
      <c r="AA38" s="22">
        <f>Y6</f>
        <v>2.4215915632084806E-2</v>
      </c>
      <c r="AB38" s="22">
        <f>SQRT(SUMSQ(AF6:AG6))</f>
        <v>0.14092167767126651</v>
      </c>
      <c r="AC38" s="23">
        <f>dof_A(AF6:AG6,AH6:AI6)</f>
        <v>20.593488300981253</v>
      </c>
    </row>
    <row r="39" spans="1:30" x14ac:dyDescent="0.2">
      <c r="D39">
        <v>2.04</v>
      </c>
      <c r="E39">
        <v>-2.9000000000000001E-2</v>
      </c>
      <c r="F39">
        <v>0.2</v>
      </c>
      <c r="G39">
        <v>0.1</v>
      </c>
      <c r="H39" s="8"/>
      <c r="I39" s="17">
        <f t="shared" si="22"/>
        <v>10.200000000000001</v>
      </c>
      <c r="J39" s="17">
        <f t="shared" ref="J39:J44" si="23">10000*E39*G39</f>
        <v>-29</v>
      </c>
      <c r="K39" s="17">
        <f t="shared" ref="K39:K44" si="24">1000000*RADIANS(G39*F39/60)</f>
        <v>5.8177641733144334</v>
      </c>
      <c r="W39" s="21">
        <f t="shared" ref="W39:W44" si="25">M7</f>
        <v>99.977729049999994</v>
      </c>
      <c r="X39" s="31">
        <f t="shared" ref="X39:X44" si="26">X7</f>
        <v>0.32268444716691846</v>
      </c>
      <c r="Y39" s="22">
        <f t="shared" ref="Y39:Y44" si="27">SQRT(SUMSQ(AA7,AB7))</f>
        <v>0.27598314426289705</v>
      </c>
      <c r="Z39" s="23">
        <f t="shared" ref="Z39:Z44" si="28">dof_A(AA7:AB7,AC7:AD7)</f>
        <v>20.545176668020403</v>
      </c>
      <c r="AA39" s="22">
        <f t="shared" ref="AA39:AA44" si="29">Y7</f>
        <v>-1.7898372854963096E-2</v>
      </c>
      <c r="AB39" s="22">
        <f t="shared" ref="AB39:AB44" si="30">SQRT(SUMSQ(AF7:AG7))</f>
        <v>0.2556685771966995</v>
      </c>
      <c r="AC39" s="23">
        <f t="shared" ref="AC39:AC44" si="31">dof_A(AF7:AG7,AH7:AI7)</f>
        <v>20.177889373324994</v>
      </c>
    </row>
    <row r="40" spans="1:30" x14ac:dyDescent="0.2">
      <c r="D40">
        <v>3.95</v>
      </c>
      <c r="E40">
        <v>-1.0999999999999999E-2</v>
      </c>
      <c r="F40">
        <v>0.05</v>
      </c>
      <c r="G40">
        <v>0.1</v>
      </c>
      <c r="I40" s="17">
        <f t="shared" si="22"/>
        <v>19.75</v>
      </c>
      <c r="J40" s="17">
        <f t="shared" si="23"/>
        <v>-11</v>
      </c>
      <c r="K40" s="17">
        <f t="shared" si="24"/>
        <v>1.4544410433286084</v>
      </c>
      <c r="W40" s="21">
        <f t="shared" si="25"/>
        <v>59.990965639999992</v>
      </c>
      <c r="X40" s="31">
        <f t="shared" si="26"/>
        <v>0.56939707258086503</v>
      </c>
      <c r="Y40" s="24">
        <f t="shared" si="27"/>
        <v>0.4647191013387692</v>
      </c>
      <c r="Z40" s="23">
        <f t="shared" si="28"/>
        <v>20.190582444274604</v>
      </c>
      <c r="AA40" s="22">
        <f t="shared" si="29"/>
        <v>-0.22074286532976972</v>
      </c>
      <c r="AB40" s="22">
        <f t="shared" si="30"/>
        <v>0.38082464745517719</v>
      </c>
      <c r="AC40" s="23">
        <f t="shared" si="31"/>
        <v>20.079919871643963</v>
      </c>
    </row>
    <row r="41" spans="1:30" x14ac:dyDescent="0.2">
      <c r="D41">
        <v>8.0399999999999991</v>
      </c>
      <c r="E41">
        <v>-5.0000000000000001E-3</v>
      </c>
      <c r="F41">
        <v>-0.05</v>
      </c>
      <c r="G41">
        <v>0.1</v>
      </c>
      <c r="I41" s="17">
        <f t="shared" si="22"/>
        <v>40.199999999999996</v>
      </c>
      <c r="J41" s="17">
        <f t="shared" si="23"/>
        <v>-5</v>
      </c>
      <c r="K41" s="17">
        <f t="shared" si="24"/>
        <v>-1.4544410433286084</v>
      </c>
      <c r="W41" s="21">
        <f t="shared" si="25"/>
        <v>40.017190485</v>
      </c>
      <c r="X41" s="31">
        <f t="shared" si="26"/>
        <v>-0.24502776802116155</v>
      </c>
      <c r="Y41" s="24">
        <f t="shared" si="27"/>
        <v>0.30749559066692533</v>
      </c>
      <c r="Z41" s="23">
        <f t="shared" si="28"/>
        <v>20.915687403697447</v>
      </c>
      <c r="AA41" s="22">
        <f t="shared" si="29"/>
        <v>-0.3750898441206908</v>
      </c>
      <c r="AB41" s="24">
        <f t="shared" si="30"/>
        <v>0.61127649887364632</v>
      </c>
      <c r="AC41" s="23">
        <f t="shared" si="31"/>
        <v>20.090297606275517</v>
      </c>
    </row>
    <row r="42" spans="1:30" x14ac:dyDescent="0.2">
      <c r="D42">
        <v>12</v>
      </c>
      <c r="E42">
        <v>-4.0000000000000001E-3</v>
      </c>
      <c r="F42">
        <v>-0.1</v>
      </c>
      <c r="G42">
        <v>0.1</v>
      </c>
      <c r="I42" s="17">
        <f t="shared" si="22"/>
        <v>60.000000000000007</v>
      </c>
      <c r="J42" s="17">
        <f t="shared" si="23"/>
        <v>-4</v>
      </c>
      <c r="K42" s="17">
        <f t="shared" si="24"/>
        <v>-2.9088820866572167</v>
      </c>
      <c r="W42" s="21">
        <f t="shared" si="25"/>
        <v>19.993199395999998</v>
      </c>
      <c r="X42" s="31">
        <f t="shared" si="26"/>
        <v>0.15151180158196181</v>
      </c>
      <c r="Y42" s="24">
        <f t="shared" si="27"/>
        <v>1.3017114536534529</v>
      </c>
      <c r="Z42" s="23">
        <f t="shared" si="28"/>
        <v>20.050015102363233</v>
      </c>
      <c r="AA42" s="24">
        <f t="shared" si="29"/>
        <v>0.79712085349212425</v>
      </c>
      <c r="AB42" s="24">
        <f t="shared" si="30"/>
        <v>1.2391956351005917</v>
      </c>
      <c r="AC42" s="23">
        <f t="shared" si="31"/>
        <v>20.02192256351373</v>
      </c>
    </row>
    <row r="43" spans="1:30" x14ac:dyDescent="0.2">
      <c r="D43">
        <v>20</v>
      </c>
      <c r="E43">
        <v>-3.0000000000000001E-3</v>
      </c>
      <c r="F43">
        <v>-0.05</v>
      </c>
      <c r="G43">
        <v>0.1</v>
      </c>
      <c r="I43" s="17">
        <f t="shared" si="22"/>
        <v>100</v>
      </c>
      <c r="J43" s="17">
        <f t="shared" si="23"/>
        <v>-3</v>
      </c>
      <c r="K43" s="17">
        <f t="shared" si="24"/>
        <v>-1.4544410433286084</v>
      </c>
      <c r="W43" s="21">
        <f t="shared" si="25"/>
        <v>10.03172429</v>
      </c>
      <c r="X43" s="33">
        <f t="shared" si="26"/>
        <v>-0.5732006061000724</v>
      </c>
      <c r="Y43" s="24">
        <f t="shared" si="27"/>
        <v>2.2839603009815823</v>
      </c>
      <c r="Z43" s="23">
        <f t="shared" si="28"/>
        <v>20.076830660520127</v>
      </c>
      <c r="AA43" s="24">
        <f t="shared" si="29"/>
        <v>-0.8639492270981356</v>
      </c>
      <c r="AB43" s="24">
        <f t="shared" si="30"/>
        <v>2.4122938252282502</v>
      </c>
      <c r="AC43" s="23">
        <f t="shared" si="31"/>
        <v>20.068895152315225</v>
      </c>
    </row>
    <row r="44" spans="1:30" x14ac:dyDescent="0.2">
      <c r="D44">
        <v>24</v>
      </c>
      <c r="E44">
        <v>-2E-3</v>
      </c>
      <c r="F44">
        <v>0</v>
      </c>
      <c r="G44">
        <v>0.1</v>
      </c>
      <c r="I44" s="17">
        <f t="shared" si="22"/>
        <v>120.00000000000001</v>
      </c>
      <c r="J44" s="17">
        <f t="shared" si="23"/>
        <v>-2</v>
      </c>
      <c r="K44" s="17">
        <f t="shared" si="24"/>
        <v>0</v>
      </c>
      <c r="W44" s="21">
        <f t="shared" si="25"/>
        <v>4.9909597337000005</v>
      </c>
      <c r="X44" s="33">
        <f t="shared" si="26"/>
        <v>-0.77866940224460313</v>
      </c>
      <c r="Y44" s="24">
        <f t="shared" si="27"/>
        <v>4.0895906639896564</v>
      </c>
      <c r="Z44" s="23">
        <f t="shared" si="28"/>
        <v>20.023931289336538</v>
      </c>
      <c r="AA44" s="24">
        <f t="shared" si="29"/>
        <v>1.0165002710191082</v>
      </c>
      <c r="AB44" s="24">
        <f t="shared" si="30"/>
        <v>4.3352835723460785</v>
      </c>
      <c r="AC44" s="23">
        <f t="shared" si="31"/>
        <v>20.021297620952222</v>
      </c>
    </row>
    <row r="45" spans="1:30" x14ac:dyDescent="0.2">
      <c r="W45" s="25"/>
      <c r="X45" s="32"/>
      <c r="Y45" s="26"/>
      <c r="Z45" s="27"/>
      <c r="AA45" s="26"/>
      <c r="AB45" s="26"/>
      <c r="AC45" s="27"/>
    </row>
    <row r="46" spans="1:30" x14ac:dyDescent="0.2">
      <c r="A46" t="s">
        <v>58</v>
      </c>
      <c r="W46" s="5"/>
      <c r="X46" s="7"/>
      <c r="Y46" s="7"/>
      <c r="Z46" s="5"/>
      <c r="AA46" s="7"/>
      <c r="AB46" s="7"/>
      <c r="AC46" s="5"/>
    </row>
    <row r="47" spans="1:30" x14ac:dyDescent="0.2">
      <c r="A47" t="s">
        <v>59</v>
      </c>
      <c r="W47" s="5"/>
      <c r="X47" s="7"/>
      <c r="Y47" s="7"/>
      <c r="Z47" s="5"/>
      <c r="AA47" s="7"/>
      <c r="AB47" s="7"/>
      <c r="AC47" s="5"/>
    </row>
    <row r="49" spans="1:11" x14ac:dyDescent="0.2">
      <c r="A49" s="11">
        <v>37446</v>
      </c>
      <c r="C49" t="s">
        <v>32</v>
      </c>
      <c r="D49">
        <v>1.01</v>
      </c>
      <c r="E49">
        <v>-0.08</v>
      </c>
      <c r="F49">
        <v>-0.6</v>
      </c>
      <c r="G49">
        <v>0.1</v>
      </c>
      <c r="I49" s="17">
        <f>D49*0.1/0.02</f>
        <v>5.05</v>
      </c>
      <c r="J49" s="17">
        <f>10000*E49*G49</f>
        <v>-80</v>
      </c>
      <c r="K49" s="17">
        <f>1000000*RADIANS(G49*F49/60)</f>
        <v>-17.453292519943297</v>
      </c>
    </row>
    <row r="50" spans="1:11" x14ac:dyDescent="0.2">
      <c r="D50">
        <v>1.95</v>
      </c>
      <c r="E50">
        <v>-3.7999999999999999E-2</v>
      </c>
      <c r="F50">
        <v>0.15</v>
      </c>
      <c r="G50">
        <v>0.1</v>
      </c>
      <c r="I50" s="17">
        <f t="shared" ref="I50:I55" si="32">D50*0.1/0.02</f>
        <v>9.75</v>
      </c>
      <c r="J50" s="17">
        <f t="shared" ref="J50:J55" si="33">10000*E50*G50</f>
        <v>-38</v>
      </c>
      <c r="K50" s="17">
        <f t="shared" ref="K50:K55" si="34">1000000*RADIANS(G50*F50/60)</f>
        <v>4.3633231299858242</v>
      </c>
    </row>
    <row r="51" spans="1:11" x14ac:dyDescent="0.2">
      <c r="D51">
        <v>3.9</v>
      </c>
      <c r="E51">
        <v>-2.1000000000000001E-2</v>
      </c>
      <c r="F51">
        <v>0.2</v>
      </c>
      <c r="G51">
        <v>0.1</v>
      </c>
      <c r="I51" s="17">
        <f t="shared" si="32"/>
        <v>19.5</v>
      </c>
      <c r="J51" s="17">
        <f t="shared" si="33"/>
        <v>-21</v>
      </c>
      <c r="K51" s="17">
        <f t="shared" si="34"/>
        <v>5.8177641733144334</v>
      </c>
    </row>
    <row r="52" spans="1:11" x14ac:dyDescent="0.2">
      <c r="D52">
        <v>8</v>
      </c>
      <c r="E52">
        <v>-0.01</v>
      </c>
      <c r="F52">
        <v>0.15</v>
      </c>
      <c r="G52">
        <v>0.1</v>
      </c>
      <c r="I52" s="17">
        <f t="shared" si="32"/>
        <v>40</v>
      </c>
      <c r="J52" s="17">
        <f t="shared" si="33"/>
        <v>-10</v>
      </c>
      <c r="K52" s="17">
        <f t="shared" si="34"/>
        <v>4.3633231299858242</v>
      </c>
    </row>
    <row r="53" spans="1:11" x14ac:dyDescent="0.2">
      <c r="D53">
        <v>11.9</v>
      </c>
      <c r="E53">
        <v>-8.0000000000000002E-3</v>
      </c>
      <c r="F53">
        <v>0.18</v>
      </c>
      <c r="G53">
        <v>0.1</v>
      </c>
      <c r="I53" s="17">
        <f t="shared" si="32"/>
        <v>59.500000000000007</v>
      </c>
      <c r="J53" s="17">
        <f t="shared" si="33"/>
        <v>-8</v>
      </c>
      <c r="K53" s="17">
        <f t="shared" si="34"/>
        <v>5.2359877559829888</v>
      </c>
    </row>
    <row r="54" spans="1:11" x14ac:dyDescent="0.2">
      <c r="D54">
        <v>20</v>
      </c>
      <c r="E54">
        <v>-4.0000000000000001E-3</v>
      </c>
      <c r="F54">
        <v>0.15</v>
      </c>
      <c r="G54">
        <v>0.1</v>
      </c>
      <c r="I54" s="17">
        <f t="shared" si="32"/>
        <v>100</v>
      </c>
      <c r="J54" s="17">
        <f t="shared" si="33"/>
        <v>-4</v>
      </c>
      <c r="K54" s="17">
        <f t="shared" si="34"/>
        <v>4.3633231299858242</v>
      </c>
    </row>
    <row r="55" spans="1:11" x14ac:dyDescent="0.2">
      <c r="D55">
        <v>24.1</v>
      </c>
      <c r="E55">
        <v>-3.0000000000000001E-3</v>
      </c>
      <c r="F55">
        <v>0.15</v>
      </c>
      <c r="G55">
        <v>0.1</v>
      </c>
      <c r="I55" s="17">
        <f t="shared" si="32"/>
        <v>120.5</v>
      </c>
      <c r="J55" s="17">
        <f t="shared" si="33"/>
        <v>-3</v>
      </c>
      <c r="K55" s="17">
        <f t="shared" si="34"/>
        <v>4.3633231299858242</v>
      </c>
    </row>
    <row r="57" spans="1:11" x14ac:dyDescent="0.2">
      <c r="A57" t="s">
        <v>60</v>
      </c>
      <c r="D57" t="s">
        <v>61</v>
      </c>
      <c r="E57" t="s">
        <v>62</v>
      </c>
      <c r="F57" t="s">
        <v>63</v>
      </c>
      <c r="G57" t="s">
        <v>64</v>
      </c>
    </row>
    <row r="58" spans="1:11" x14ac:dyDescent="0.2">
      <c r="D58">
        <v>1.0580000000000001</v>
      </c>
      <c r="E58">
        <v>-17.5</v>
      </c>
      <c r="F58">
        <v>-5</v>
      </c>
      <c r="G58">
        <v>5</v>
      </c>
      <c r="I58" s="17">
        <f>D58*0.1/0.02</f>
        <v>5.29</v>
      </c>
      <c r="J58" s="17">
        <f>1000*0.02*E58/($G58*$D58)</f>
        <v>-66.162570888468807</v>
      </c>
      <c r="K58" s="17">
        <f>1000*0.02*F58/($G58*$D58)</f>
        <v>-18.903591682419659</v>
      </c>
    </row>
    <row r="59" spans="1:11" x14ac:dyDescent="0.2">
      <c r="D59">
        <v>2.2759999999999998</v>
      </c>
      <c r="E59">
        <v>-15.5</v>
      </c>
      <c r="F59">
        <v>-9</v>
      </c>
      <c r="G59">
        <v>5</v>
      </c>
      <c r="I59" s="17">
        <f t="shared" ref="I59:I64" si="35">D59*0.1/0.02</f>
        <v>11.379999999999999</v>
      </c>
      <c r="J59" s="17">
        <f t="shared" ref="J59:K64" si="36">1000*0.02*E59/($G59*$D59)</f>
        <v>-27.240773286467491</v>
      </c>
      <c r="K59" s="17">
        <f t="shared" si="36"/>
        <v>-15.817223198594027</v>
      </c>
    </row>
    <row r="60" spans="1:11" x14ac:dyDescent="0.2">
      <c r="D60">
        <v>3.88</v>
      </c>
      <c r="E60">
        <v>-16</v>
      </c>
      <c r="F60">
        <v>-2</v>
      </c>
      <c r="G60">
        <v>5</v>
      </c>
      <c r="I60" s="17">
        <f t="shared" si="35"/>
        <v>19.399999999999999</v>
      </c>
      <c r="J60" s="17">
        <f t="shared" si="36"/>
        <v>-16.494845360824744</v>
      </c>
      <c r="K60" s="17">
        <f t="shared" si="36"/>
        <v>-2.061855670103093</v>
      </c>
    </row>
    <row r="61" spans="1:11" x14ac:dyDescent="0.2">
      <c r="D61">
        <v>7.95</v>
      </c>
      <c r="E61">
        <v>-16.5</v>
      </c>
      <c r="F61">
        <v>-3</v>
      </c>
      <c r="G61">
        <v>5</v>
      </c>
      <c r="I61" s="17">
        <f t="shared" si="35"/>
        <v>39.75</v>
      </c>
      <c r="J61" s="17">
        <f t="shared" si="36"/>
        <v>-8.3018867924528301</v>
      </c>
      <c r="K61" s="17">
        <f t="shared" si="36"/>
        <v>-1.5094339622641511</v>
      </c>
    </row>
    <row r="62" spans="1:11" x14ac:dyDescent="0.2">
      <c r="D62">
        <v>11.99</v>
      </c>
      <c r="E62">
        <v>-16.5</v>
      </c>
      <c r="F62">
        <v>10</v>
      </c>
      <c r="G62">
        <v>5</v>
      </c>
      <c r="I62" s="17">
        <f t="shared" si="35"/>
        <v>59.95</v>
      </c>
      <c r="J62" s="17">
        <f t="shared" si="36"/>
        <v>-5.5045871559633026</v>
      </c>
      <c r="K62" s="17">
        <f t="shared" si="36"/>
        <v>3.3361134278565467</v>
      </c>
    </row>
    <row r="63" spans="1:11" x14ac:dyDescent="0.2">
      <c r="D63">
        <v>20.059999999999999</v>
      </c>
      <c r="E63">
        <v>-18</v>
      </c>
      <c r="F63">
        <v>35</v>
      </c>
      <c r="G63">
        <v>5</v>
      </c>
      <c r="I63" s="17">
        <f t="shared" si="35"/>
        <v>100.29999999999998</v>
      </c>
      <c r="J63" s="17">
        <f t="shared" si="36"/>
        <v>-3.589232303090728</v>
      </c>
      <c r="K63" s="17">
        <f t="shared" si="36"/>
        <v>6.9790628115653046</v>
      </c>
    </row>
    <row r="64" spans="1:11" x14ac:dyDescent="0.2">
      <c r="D64">
        <v>23.98</v>
      </c>
      <c r="E64">
        <v>-17</v>
      </c>
      <c r="F64">
        <v>43</v>
      </c>
      <c r="G64">
        <v>5</v>
      </c>
      <c r="I64" s="17">
        <f t="shared" si="35"/>
        <v>119.9</v>
      </c>
      <c r="J64" s="17">
        <f t="shared" si="36"/>
        <v>-2.8356964136780651</v>
      </c>
      <c r="K64" s="17">
        <f t="shared" si="36"/>
        <v>7.1726438698915755</v>
      </c>
    </row>
    <row r="65" spans="1:17" x14ac:dyDescent="0.2">
      <c r="I65" s="3"/>
      <c r="J65" s="3"/>
      <c r="K65" s="3"/>
    </row>
    <row r="66" spans="1:17" x14ac:dyDescent="0.2">
      <c r="A66" t="s">
        <v>60</v>
      </c>
      <c r="D66" t="s">
        <v>61</v>
      </c>
      <c r="E66" t="s">
        <v>62</v>
      </c>
      <c r="F66" t="s">
        <v>63</v>
      </c>
      <c r="G66" t="s">
        <v>64</v>
      </c>
      <c r="I66" s="3"/>
      <c r="J66" s="3"/>
      <c r="K66" s="3"/>
      <c r="P66" s="6"/>
      <c r="Q66" s="5"/>
    </row>
    <row r="67" spans="1:17" x14ac:dyDescent="0.2">
      <c r="C67" t="s">
        <v>65</v>
      </c>
      <c r="D67">
        <v>1.08</v>
      </c>
      <c r="E67">
        <v>-18</v>
      </c>
      <c r="F67">
        <v>-3</v>
      </c>
      <c r="G67">
        <v>5</v>
      </c>
      <c r="I67" s="17">
        <f>D67*0.1/0.02</f>
        <v>5.4</v>
      </c>
      <c r="J67" s="17">
        <f>1000*0.02*E67/($G67*$D67)</f>
        <v>-66.666666666666657</v>
      </c>
      <c r="K67" s="17">
        <f>1000*0.02*F67/($G67*$D67)</f>
        <v>-11.111111111111111</v>
      </c>
    </row>
    <row r="68" spans="1:17" x14ac:dyDescent="0.2">
      <c r="D68">
        <v>2.0299999999999998</v>
      </c>
      <c r="E68">
        <v>-18</v>
      </c>
      <c r="F68">
        <v>-3</v>
      </c>
      <c r="G68">
        <v>5</v>
      </c>
      <c r="I68" s="17">
        <f t="shared" ref="I68:I73" si="37">D68*0.1/0.02</f>
        <v>10.149999999999999</v>
      </c>
      <c r="J68" s="17">
        <f t="shared" ref="J68:J73" si="38">1000*0.02*E68/($G68*$D68)</f>
        <v>-35.467980295566505</v>
      </c>
      <c r="K68" s="17">
        <f t="shared" ref="K68:K73" si="39">1000*0.02*F68/($G68*$D68)</f>
        <v>-5.9113300492610845</v>
      </c>
    </row>
    <row r="69" spans="1:17" x14ac:dyDescent="0.2">
      <c r="D69">
        <v>4.0999999999999996</v>
      </c>
      <c r="E69">
        <v>-19</v>
      </c>
      <c r="F69">
        <v>-3</v>
      </c>
      <c r="G69">
        <v>5</v>
      </c>
      <c r="I69" s="17">
        <f t="shared" si="37"/>
        <v>20.5</v>
      </c>
      <c r="J69" s="17">
        <f t="shared" si="38"/>
        <v>-18.536585365853657</v>
      </c>
      <c r="K69" s="17">
        <f t="shared" si="39"/>
        <v>-2.9268292682926829</v>
      </c>
    </row>
    <row r="70" spans="1:17" x14ac:dyDescent="0.2">
      <c r="D70">
        <v>8.0299999999999994</v>
      </c>
      <c r="E70">
        <v>-20</v>
      </c>
      <c r="F70">
        <v>-4</v>
      </c>
      <c r="G70">
        <v>5</v>
      </c>
      <c r="I70" s="17">
        <f t="shared" si="37"/>
        <v>40.15</v>
      </c>
      <c r="J70" s="17">
        <f t="shared" si="38"/>
        <v>-9.9626400996264017</v>
      </c>
      <c r="K70" s="17">
        <f t="shared" si="39"/>
        <v>-1.9925280199252802</v>
      </c>
    </row>
    <row r="71" spans="1:17" x14ac:dyDescent="0.2">
      <c r="D71">
        <v>12.15</v>
      </c>
      <c r="E71">
        <v>-19</v>
      </c>
      <c r="F71">
        <v>-5</v>
      </c>
      <c r="G71">
        <v>5</v>
      </c>
      <c r="I71" s="17">
        <f t="shared" si="37"/>
        <v>60.75</v>
      </c>
      <c r="J71" s="17">
        <f t="shared" si="38"/>
        <v>-6.2551440329218106</v>
      </c>
      <c r="K71" s="17">
        <f t="shared" si="39"/>
        <v>-1.6460905349794239</v>
      </c>
    </row>
    <row r="72" spans="1:17" x14ac:dyDescent="0.2">
      <c r="D72">
        <v>19.93</v>
      </c>
      <c r="E72">
        <v>-19.899999999999999</v>
      </c>
      <c r="F72">
        <v>-1</v>
      </c>
      <c r="G72">
        <v>5</v>
      </c>
      <c r="I72" s="17">
        <f t="shared" si="37"/>
        <v>99.65</v>
      </c>
      <c r="J72" s="17">
        <f t="shared" si="38"/>
        <v>-3.9939789262418461</v>
      </c>
      <c r="K72" s="17">
        <f t="shared" si="39"/>
        <v>-0.2007024586051179</v>
      </c>
      <c r="P72" s="2"/>
      <c r="Q72" s="2"/>
    </row>
    <row r="73" spans="1:17" x14ac:dyDescent="0.2">
      <c r="D73">
        <v>24.04</v>
      </c>
      <c r="E73">
        <v>-20.5</v>
      </c>
      <c r="F73">
        <v>0</v>
      </c>
      <c r="G73">
        <v>5</v>
      </c>
      <c r="I73" s="17">
        <f t="shared" si="37"/>
        <v>120.19999999999999</v>
      </c>
      <c r="J73" s="17">
        <f t="shared" si="38"/>
        <v>-3.4109816971713816</v>
      </c>
      <c r="K73" s="17">
        <f t="shared" si="39"/>
        <v>0</v>
      </c>
      <c r="P73" s="6"/>
      <c r="Q73" s="5"/>
    </row>
    <row r="74" spans="1:17" x14ac:dyDescent="0.2">
      <c r="I74" s="3"/>
      <c r="J74" s="3"/>
      <c r="K74" s="3"/>
      <c r="P74" s="6"/>
      <c r="Q74" s="5"/>
    </row>
    <row r="75" spans="1:17" x14ac:dyDescent="0.2">
      <c r="A75" t="s">
        <v>66</v>
      </c>
      <c r="D75" t="s">
        <v>61</v>
      </c>
      <c r="E75" t="s">
        <v>68</v>
      </c>
      <c r="F75" t="s">
        <v>69</v>
      </c>
      <c r="G75" t="s">
        <v>70</v>
      </c>
      <c r="I75" s="3"/>
      <c r="J75" s="3" t="s">
        <v>68</v>
      </c>
      <c r="K75" s="3" t="s">
        <v>72</v>
      </c>
      <c r="P75" s="6"/>
      <c r="Q75" s="5"/>
    </row>
    <row r="76" spans="1:17" x14ac:dyDescent="0.2">
      <c r="C76" t="s">
        <v>67</v>
      </c>
      <c r="D76">
        <v>1.04</v>
      </c>
      <c r="E76">
        <v>-0.48699999999999999</v>
      </c>
      <c r="F76">
        <v>0.3</v>
      </c>
      <c r="G76">
        <v>1</v>
      </c>
      <c r="I76" s="17">
        <f>D76*0.1/0.02</f>
        <v>5.2</v>
      </c>
      <c r="J76" s="18">
        <f>E76*G76</f>
        <v>-0.48699999999999999</v>
      </c>
      <c r="K76" s="18">
        <f>100*RADIANS(G76*F76/60)</f>
        <v>8.7266462599716477E-3</v>
      </c>
      <c r="P76" s="6"/>
      <c r="Q76" s="5"/>
    </row>
    <row r="77" spans="1:17" x14ac:dyDescent="0.2">
      <c r="D77">
        <v>2.0499999999999998</v>
      </c>
      <c r="E77">
        <v>-0.45400000000000001</v>
      </c>
      <c r="F77">
        <v>-0.05</v>
      </c>
      <c r="G77">
        <v>1</v>
      </c>
      <c r="I77" s="17">
        <f t="shared" ref="I77:I82" si="40">D77*0.1/0.02</f>
        <v>10.25</v>
      </c>
      <c r="J77" s="18">
        <f t="shared" ref="J77:J82" si="41">E77*G77</f>
        <v>-0.45400000000000001</v>
      </c>
      <c r="K77" s="18">
        <f t="shared" ref="K77:K82" si="42">100*RADIANS(G77*F77/60)</f>
        <v>-1.454441043328608E-3</v>
      </c>
      <c r="P77" s="6"/>
      <c r="Q77" s="5"/>
    </row>
    <row r="78" spans="1:17" x14ac:dyDescent="0.2">
      <c r="D78">
        <v>4.04</v>
      </c>
      <c r="E78">
        <v>-0.44</v>
      </c>
      <c r="F78">
        <v>-0.1</v>
      </c>
      <c r="G78">
        <v>1</v>
      </c>
      <c r="I78" s="17">
        <f t="shared" si="40"/>
        <v>20.2</v>
      </c>
      <c r="J78" s="18">
        <f t="shared" si="41"/>
        <v>-0.44</v>
      </c>
      <c r="K78" s="18">
        <f t="shared" si="42"/>
        <v>-2.9088820866572159E-3</v>
      </c>
      <c r="P78" s="6"/>
      <c r="Q78" s="5"/>
    </row>
    <row r="79" spans="1:17" x14ac:dyDescent="0.2">
      <c r="D79">
        <v>8.08</v>
      </c>
      <c r="E79">
        <v>-0.43099999999999999</v>
      </c>
      <c r="F79">
        <v>0</v>
      </c>
      <c r="G79">
        <v>1</v>
      </c>
      <c r="I79" s="17">
        <f t="shared" si="40"/>
        <v>40.4</v>
      </c>
      <c r="J79" s="18">
        <f t="shared" si="41"/>
        <v>-0.43099999999999999</v>
      </c>
      <c r="K79" s="18">
        <f t="shared" si="42"/>
        <v>0</v>
      </c>
      <c r="P79" s="6"/>
      <c r="Q79" s="5"/>
    </row>
    <row r="80" spans="1:17" x14ac:dyDescent="0.2">
      <c r="D80">
        <v>12.06</v>
      </c>
      <c r="E80">
        <v>-0.42899999999999999</v>
      </c>
      <c r="F80">
        <v>0</v>
      </c>
      <c r="G80">
        <v>1</v>
      </c>
      <c r="I80" s="17">
        <f t="shared" si="40"/>
        <v>60.300000000000011</v>
      </c>
      <c r="J80" s="18">
        <f t="shared" si="41"/>
        <v>-0.42899999999999999</v>
      </c>
      <c r="K80" s="18">
        <f t="shared" si="42"/>
        <v>0</v>
      </c>
    </row>
    <row r="81" spans="3:14" x14ac:dyDescent="0.2">
      <c r="D81">
        <v>20</v>
      </c>
      <c r="E81">
        <v>-0.42599999999999999</v>
      </c>
      <c r="F81">
        <v>0</v>
      </c>
      <c r="G81">
        <v>1</v>
      </c>
      <c r="I81" s="17">
        <f t="shared" si="40"/>
        <v>100</v>
      </c>
      <c r="J81" s="18">
        <f t="shared" si="41"/>
        <v>-0.42599999999999999</v>
      </c>
      <c r="K81" s="18">
        <f t="shared" si="42"/>
        <v>0</v>
      </c>
    </row>
    <row r="82" spans="3:14" x14ac:dyDescent="0.2">
      <c r="D82">
        <v>24</v>
      </c>
      <c r="E82">
        <v>-0.42499999999999999</v>
      </c>
      <c r="F82">
        <v>0</v>
      </c>
      <c r="G82">
        <v>1</v>
      </c>
      <c r="I82" s="17">
        <f t="shared" si="40"/>
        <v>120.00000000000001</v>
      </c>
      <c r="J82" s="18">
        <f t="shared" si="41"/>
        <v>-0.42499999999999999</v>
      </c>
      <c r="K82" s="18">
        <f t="shared" si="42"/>
        <v>0</v>
      </c>
    </row>
    <row r="83" spans="3:14" x14ac:dyDescent="0.2">
      <c r="I83" s="3"/>
      <c r="J83" s="3"/>
      <c r="K83" s="3"/>
    </row>
    <row r="84" spans="3:14" x14ac:dyDescent="0.2">
      <c r="C84" t="s">
        <v>71</v>
      </c>
      <c r="D84" t="s">
        <v>61</v>
      </c>
      <c r="E84" t="s">
        <v>62</v>
      </c>
      <c r="F84" t="s">
        <v>63</v>
      </c>
      <c r="G84" t="s">
        <v>64</v>
      </c>
      <c r="I84" s="3"/>
      <c r="J84" s="3"/>
      <c r="K84" s="3"/>
    </row>
    <row r="85" spans="3:14" x14ac:dyDescent="0.2">
      <c r="D85">
        <v>1.0649999999999999</v>
      </c>
      <c r="E85">
        <v>-122</v>
      </c>
      <c r="F85">
        <v>-4</v>
      </c>
      <c r="G85">
        <v>0.5</v>
      </c>
      <c r="I85" s="17">
        <f>D85*0.1/0.02</f>
        <v>5.3250000000000002</v>
      </c>
      <c r="J85" s="18">
        <f>0.1*0.02*E85/($G85*$D85)</f>
        <v>-0.45821596244131457</v>
      </c>
      <c r="K85" s="18">
        <f>0.1*0.02*F85/($G85*$D85)</f>
        <v>-1.5023474178403757E-2</v>
      </c>
      <c r="M85" s="6"/>
      <c r="N85" s="6"/>
    </row>
    <row r="86" spans="3:14" x14ac:dyDescent="0.2">
      <c r="D86">
        <v>2.08</v>
      </c>
      <c r="E86">
        <v>-231</v>
      </c>
      <c r="F86">
        <v>-2</v>
      </c>
      <c r="G86">
        <v>0.5</v>
      </c>
      <c r="I86" s="17">
        <f t="shared" ref="I86:I91" si="43">D86*0.1/0.02</f>
        <v>10.4</v>
      </c>
      <c r="J86" s="18">
        <f t="shared" ref="J86:J91" si="44">0.1*0.02*E86/($G86*$D86)</f>
        <v>-0.44423076923076926</v>
      </c>
      <c r="K86" s="18">
        <f t="shared" ref="K86:K91" si="45">0.1*0.02*F86/($G86*$D86)</f>
        <v>-3.8461538461538459E-3</v>
      </c>
      <c r="M86" s="6"/>
      <c r="N86" s="6"/>
    </row>
    <row r="87" spans="3:14" x14ac:dyDescent="0.2">
      <c r="D87">
        <v>4.024</v>
      </c>
      <c r="E87">
        <v>-439</v>
      </c>
      <c r="F87">
        <v>3</v>
      </c>
      <c r="G87">
        <v>0.5</v>
      </c>
      <c r="I87" s="17">
        <f t="shared" si="43"/>
        <v>20.12</v>
      </c>
      <c r="J87" s="18">
        <f t="shared" si="44"/>
        <v>-0.43638170974155072</v>
      </c>
      <c r="K87" s="18">
        <f t="shared" si="45"/>
        <v>2.982107355864811E-3</v>
      </c>
      <c r="M87" s="6"/>
      <c r="N87" s="6"/>
    </row>
    <row r="88" spans="3:14" x14ac:dyDescent="0.2">
      <c r="D88">
        <v>7.9</v>
      </c>
      <c r="E88">
        <v>-850</v>
      </c>
      <c r="F88">
        <v>18</v>
      </c>
      <c r="G88">
        <v>0.5</v>
      </c>
      <c r="I88" s="17">
        <f t="shared" si="43"/>
        <v>39.5</v>
      </c>
      <c r="J88" s="18">
        <f t="shared" si="44"/>
        <v>-0.430379746835443</v>
      </c>
      <c r="K88" s="18">
        <f t="shared" si="45"/>
        <v>9.1139240506329117E-3</v>
      </c>
      <c r="M88" s="6"/>
      <c r="N88" s="6"/>
    </row>
    <row r="89" spans="3:14" x14ac:dyDescent="0.2">
      <c r="D89">
        <v>12.06</v>
      </c>
      <c r="E89">
        <v>-1292</v>
      </c>
      <c r="F89">
        <v>47</v>
      </c>
      <c r="G89">
        <v>0.5</v>
      </c>
      <c r="I89" s="17">
        <f t="shared" si="43"/>
        <v>60.300000000000011</v>
      </c>
      <c r="J89" s="18">
        <f t="shared" si="44"/>
        <v>-0.42852404643449421</v>
      </c>
      <c r="K89" s="18">
        <f t="shared" si="45"/>
        <v>1.5588723051409618E-2</v>
      </c>
      <c r="M89" s="6"/>
      <c r="N89" s="6"/>
    </row>
    <row r="90" spans="3:14" x14ac:dyDescent="0.2">
      <c r="D90">
        <v>20.2</v>
      </c>
      <c r="E90">
        <v>-2151</v>
      </c>
      <c r="F90">
        <v>100</v>
      </c>
      <c r="G90">
        <v>0.5</v>
      </c>
      <c r="I90" s="17">
        <f t="shared" si="43"/>
        <v>101</v>
      </c>
      <c r="J90" s="18">
        <f t="shared" si="44"/>
        <v>-0.42594059405940599</v>
      </c>
      <c r="K90" s="18">
        <f t="shared" si="45"/>
        <v>1.9801980198019802E-2</v>
      </c>
      <c r="M90" s="6"/>
      <c r="N90" s="6"/>
    </row>
    <row r="91" spans="3:14" x14ac:dyDescent="0.2">
      <c r="D91">
        <v>24.2</v>
      </c>
      <c r="E91">
        <v>-2570</v>
      </c>
      <c r="F91">
        <v>121</v>
      </c>
      <c r="G91">
        <v>0.5</v>
      </c>
      <c r="I91" s="17">
        <f t="shared" si="43"/>
        <v>121</v>
      </c>
      <c r="J91" s="18">
        <f t="shared" si="44"/>
        <v>-0.42479338842975206</v>
      </c>
      <c r="K91" s="18">
        <f t="shared" si="45"/>
        <v>0.02</v>
      </c>
      <c r="M91" s="6"/>
      <c r="N91" s="6"/>
    </row>
  </sheetData>
  <mergeCells count="3">
    <mergeCell ref="W35:Z35"/>
    <mergeCell ref="X36:Z36"/>
    <mergeCell ref="AA36:AC36"/>
  </mergeCells>
  <phoneticPr fontId="5" type="noConversion"/>
  <pageMargins left="0.75" right="0.75" top="1" bottom="1" header="0.5" footer="0.5"/>
  <pageSetup paperSize="9" orientation="portrait" horizontalDpi="36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1A CT 2018</vt:lpstr>
      <vt:lpstr>PythonResults</vt:lpstr>
      <vt:lpstr>Table</vt:lpstr>
      <vt:lpstr>1A CT 2013</vt:lpstr>
      <vt:lpstr>1A CT original</vt:lpstr>
    </vt:vector>
  </TitlesOfParts>
  <Company>INDUSTRIAL RESEARCH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G.K. WOOLLETT</dc:creator>
  <cp:lastModifiedBy>Keith Jones</cp:lastModifiedBy>
  <dcterms:created xsi:type="dcterms:W3CDTF">1999-10-14T23:54:00Z</dcterms:created>
  <dcterms:modified xsi:type="dcterms:W3CDTF">2019-04-11T23:35:22Z</dcterms:modified>
</cp:coreProperties>
</file>