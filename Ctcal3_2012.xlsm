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Y:\Staff\KJ\PycharmProjects\CTs\"/>
    </mc:Choice>
  </mc:AlternateContent>
  <xr:revisionPtr revIDLastSave="0" documentId="10_ncr:100000_{7D069B4E-407C-42C9-91EE-69D684C9AEA8}" xr6:coauthVersionLast="31" xr6:coauthVersionMax="31" xr10:uidLastSave="{00000000-0000-0000-0000-000000000000}"/>
  <bookViews>
    <workbookView xWindow="120" yWindow="60" windowWidth="6630" windowHeight="5085" firstSheet="5" activeTab="7" xr2:uid="{00000000-000D-0000-FFFF-FFFF00000000}"/>
  </bookViews>
  <sheets>
    <sheet name="Ambient conditions" sheetId="12" r:id="rId1"/>
    <sheet name="SelfCals2013" sheetId="11" r:id="rId2"/>
    <sheet name="Data(2013)b" sheetId="10" r:id="rId3"/>
    <sheet name="Data(2013)" sheetId="9" r:id="rId4"/>
    <sheet name="Data2013" sheetId="14" r:id="rId5"/>
    <sheet name="Data (2012)" sheetId="8" r:id="rId6"/>
    <sheet name="summary" sheetId="2" r:id="rId7"/>
    <sheet name="Python2018" sheetId="15" r:id="rId8"/>
    <sheet name="SR830" sheetId="6" r:id="rId9"/>
    <sheet name="uncertainties" sheetId="4" r:id="rId10"/>
    <sheet name="uncert_summary" sheetId="13" r:id="rId11"/>
    <sheet name="ReportTables" sheetId="5" r:id="rId12"/>
    <sheet name="shunts" sheetId="3" r:id="rId13"/>
    <sheet name="Data(2000)" sheetId="1" r:id="rId14"/>
    <sheet name="PaperTables" sheetId="7" r:id="rId15"/>
  </sheets>
  <functionGroups builtInGroupCount="19"/>
  <externalReferences>
    <externalReference r:id="rId16"/>
  </externalReferences>
  <definedNames>
    <definedName name="Burden1_dfm">uncertainties!$G$11</definedName>
    <definedName name="Burden1_std">uncertainties!$D$11</definedName>
    <definedName name="Burden2_dfm">uncertainties!$G$12</definedName>
    <definedName name="Burden2_std">uncertainties!$D$12</definedName>
    <definedName name="Comode_dfm">uncertainties!$G$8</definedName>
    <definedName name="Comode_std">uncertainties!$D$8</definedName>
    <definedName name="S_P_dfm">uncertainties!$G$9</definedName>
    <definedName name="S_P_std">uncertainties!$D$9</definedName>
    <definedName name="solver_adj" localSheetId="5" hidden="1">'Data (2012)'!$AI$9</definedName>
    <definedName name="solver_adj" localSheetId="13" hidden="1">'Data(2000)'!$AI$9</definedName>
    <definedName name="solver_adj" localSheetId="3" hidden="1">'Data(2013)'!$AI$9</definedName>
    <definedName name="solver_cvg" localSheetId="5" hidden="1">0.001</definedName>
    <definedName name="solver_cvg" localSheetId="13" hidden="1">0.001</definedName>
    <definedName name="solver_cvg" localSheetId="3" hidden="1">0.001</definedName>
    <definedName name="solver_drv" localSheetId="5" hidden="1">1</definedName>
    <definedName name="solver_drv" localSheetId="13" hidden="1">1</definedName>
    <definedName name="solver_drv" localSheetId="3" hidden="1">1</definedName>
    <definedName name="solver_est" localSheetId="5" hidden="1">1</definedName>
    <definedName name="solver_est" localSheetId="13" hidden="1">1</definedName>
    <definedName name="solver_est" localSheetId="3" hidden="1">1</definedName>
    <definedName name="solver_itr" localSheetId="5" hidden="1">100</definedName>
    <definedName name="solver_itr" localSheetId="13" hidden="1">100</definedName>
    <definedName name="solver_itr" localSheetId="3" hidden="1">100</definedName>
    <definedName name="solver_lin" localSheetId="5" hidden="1">2</definedName>
    <definedName name="solver_lin" localSheetId="13" hidden="1">2</definedName>
    <definedName name="solver_lin" localSheetId="3" hidden="1">2</definedName>
    <definedName name="solver_neg" localSheetId="5" hidden="1">2</definedName>
    <definedName name="solver_neg" localSheetId="13" hidden="1">2</definedName>
    <definedName name="solver_neg" localSheetId="3" hidden="1">2</definedName>
    <definedName name="solver_num" localSheetId="5" hidden="1">0</definedName>
    <definedName name="solver_num" localSheetId="13" hidden="1">0</definedName>
    <definedName name="solver_num" localSheetId="3" hidden="1">0</definedName>
    <definedName name="solver_nwt" localSheetId="5" hidden="1">1</definedName>
    <definedName name="solver_nwt" localSheetId="13" hidden="1">1</definedName>
    <definedName name="solver_nwt" localSheetId="3" hidden="1">1</definedName>
    <definedName name="solver_opt" localSheetId="5" hidden="1">'Data (2012)'!$AL$15</definedName>
    <definedName name="solver_opt" localSheetId="13" hidden="1">'Data(2000)'!$AL$15</definedName>
    <definedName name="solver_opt" localSheetId="3" hidden="1">'Data(2013)'!$AL$15</definedName>
    <definedName name="solver_pre" localSheetId="5" hidden="1">0.000001</definedName>
    <definedName name="solver_pre" localSheetId="13" hidden="1">0.000001</definedName>
    <definedName name="solver_pre" localSheetId="3" hidden="1">0.000001</definedName>
    <definedName name="solver_scl" localSheetId="5" hidden="1">2</definedName>
    <definedName name="solver_scl" localSheetId="13" hidden="1">2</definedName>
    <definedName name="solver_scl" localSheetId="3" hidden="1">2</definedName>
    <definedName name="solver_sho" localSheetId="5" hidden="1">2</definedName>
    <definedName name="solver_sho" localSheetId="13" hidden="1">2</definedName>
    <definedName name="solver_sho" localSheetId="3" hidden="1">2</definedName>
    <definedName name="solver_tim" localSheetId="5" hidden="1">100</definedName>
    <definedName name="solver_tim" localSheetId="13" hidden="1">100</definedName>
    <definedName name="solver_tim" localSheetId="3" hidden="1">100</definedName>
    <definedName name="solver_tol" localSheetId="5" hidden="1">0.05</definedName>
    <definedName name="solver_tol" localSheetId="13" hidden="1">0.05</definedName>
    <definedName name="solver_tol" localSheetId="3" hidden="1">0.05</definedName>
    <definedName name="solver_typ" localSheetId="5" hidden="1">2</definedName>
    <definedName name="solver_typ" localSheetId="13" hidden="1">2</definedName>
    <definedName name="solver_typ" localSheetId="3" hidden="1">2</definedName>
    <definedName name="solver_val" localSheetId="5" hidden="1">0</definedName>
    <definedName name="solver_val" localSheetId="13" hidden="1">0</definedName>
    <definedName name="solver_val" localSheetId="3" hidden="1">0</definedName>
    <definedName name="SPelect_dfm">uncertainties!$G$10</definedName>
    <definedName name="SPelect_std">uncertainties!$D$10</definedName>
    <definedName name="SR830_dfm">uncertainties!$G$7</definedName>
    <definedName name="SR830_std">uncertainties!$D$7</definedName>
    <definedName name="Summary">'[1]Template Sheet'!$AO$1:$EX$4</definedName>
    <definedName name="X_stability_dfm">uncertainties!$G$5</definedName>
    <definedName name="X_stability_std">uncertainties!$D$5</definedName>
    <definedName name="Y_stability_dfm">uncertainties!$G$6</definedName>
    <definedName name="Y_stability_std">uncertainties!$D$6</definedName>
  </definedNames>
  <calcPr calcId="179017"/>
</workbook>
</file>

<file path=xl/calcChain.xml><?xml version="1.0" encoding="utf-8"?>
<calcChain xmlns="http://schemas.openxmlformats.org/spreadsheetml/2006/main">
  <c r="AQ13" i="15" l="1"/>
  <c r="AQ12" i="15"/>
  <c r="AQ11" i="15"/>
  <c r="AQ10" i="15"/>
  <c r="AQ9" i="15"/>
  <c r="AQ8" i="15"/>
  <c r="AR13" i="15"/>
  <c r="AR12" i="15"/>
  <c r="AR11" i="15"/>
  <c r="AR10" i="15"/>
  <c r="AR9" i="15"/>
  <c r="AR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8" i="15"/>
  <c r="R58" i="15"/>
  <c r="S58" i="15"/>
  <c r="T58" i="15"/>
  <c r="U58" i="15"/>
  <c r="V58" i="15"/>
  <c r="W58" i="15"/>
  <c r="X58" i="15"/>
  <c r="R59" i="15"/>
  <c r="S59" i="15"/>
  <c r="T59" i="15"/>
  <c r="U59" i="15"/>
  <c r="V59" i="15"/>
  <c r="W59" i="15"/>
  <c r="X59" i="15"/>
  <c r="R60" i="15"/>
  <c r="S60" i="15"/>
  <c r="T60" i="15"/>
  <c r="U60" i="15"/>
  <c r="V60" i="15"/>
  <c r="W60" i="15"/>
  <c r="X60" i="15"/>
  <c r="R61" i="15"/>
  <c r="S61" i="15"/>
  <c r="T61" i="15"/>
  <c r="U61" i="15"/>
  <c r="V61" i="15"/>
  <c r="W61" i="15"/>
  <c r="X61" i="15"/>
  <c r="R62" i="15"/>
  <c r="S62" i="15"/>
  <c r="T62" i="15"/>
  <c r="U62" i="15"/>
  <c r="V62" i="15"/>
  <c r="W62" i="15"/>
  <c r="X62" i="15"/>
  <c r="R63" i="15"/>
  <c r="S63" i="15"/>
  <c r="T63" i="15"/>
  <c r="U63" i="15"/>
  <c r="V63" i="15"/>
  <c r="W63" i="15"/>
  <c r="X63" i="15"/>
  <c r="S57" i="15"/>
  <c r="T57" i="15"/>
  <c r="U57" i="15"/>
  <c r="V57" i="15"/>
  <c r="W57" i="15"/>
  <c r="X57" i="15"/>
  <c r="R57" i="15"/>
  <c r="R88" i="15"/>
  <c r="S88" i="15"/>
  <c r="T88" i="15"/>
  <c r="U88" i="15"/>
  <c r="V88" i="15"/>
  <c r="W88" i="15"/>
  <c r="X88" i="15"/>
  <c r="R89" i="15"/>
  <c r="S89" i="15"/>
  <c r="T89" i="15"/>
  <c r="U89" i="15"/>
  <c r="V89" i="15"/>
  <c r="W89" i="15"/>
  <c r="X89" i="15"/>
  <c r="R90" i="15"/>
  <c r="S90" i="15"/>
  <c r="T90" i="15"/>
  <c r="U90" i="15"/>
  <c r="V90" i="15"/>
  <c r="W90" i="15"/>
  <c r="X90" i="15"/>
  <c r="R91" i="15"/>
  <c r="S91" i="15"/>
  <c r="T91" i="15"/>
  <c r="U91" i="15"/>
  <c r="V91" i="15"/>
  <c r="W91" i="15"/>
  <c r="X91" i="15"/>
  <c r="R92" i="15"/>
  <c r="S92" i="15"/>
  <c r="T92" i="15"/>
  <c r="U92" i="15"/>
  <c r="V92" i="15"/>
  <c r="W92" i="15"/>
  <c r="X92" i="15"/>
  <c r="R93" i="15"/>
  <c r="S93" i="15"/>
  <c r="T93" i="15"/>
  <c r="U93" i="15"/>
  <c r="V93" i="15"/>
  <c r="W93" i="15"/>
  <c r="X93" i="15"/>
  <c r="S87" i="15"/>
  <c r="T87" i="15"/>
  <c r="U87" i="15"/>
  <c r="V87" i="15"/>
  <c r="W87" i="15"/>
  <c r="X87" i="15"/>
  <c r="R87" i="15"/>
  <c r="R48" i="15"/>
  <c r="S48" i="15"/>
  <c r="T48" i="15"/>
  <c r="U48" i="15"/>
  <c r="V48" i="15"/>
  <c r="W48" i="15"/>
  <c r="X48" i="15"/>
  <c r="R49" i="15"/>
  <c r="S49" i="15"/>
  <c r="T49" i="15"/>
  <c r="U49" i="15"/>
  <c r="V49" i="15"/>
  <c r="W49" i="15"/>
  <c r="X49" i="15"/>
  <c r="R50" i="15"/>
  <c r="S50" i="15"/>
  <c r="T50" i="15"/>
  <c r="U50" i="15"/>
  <c r="V50" i="15"/>
  <c r="W50" i="15"/>
  <c r="X50" i="15"/>
  <c r="R51" i="15"/>
  <c r="S51" i="15"/>
  <c r="T51" i="15"/>
  <c r="U51" i="15"/>
  <c r="V51" i="15"/>
  <c r="W51" i="15"/>
  <c r="X51" i="15"/>
  <c r="R52" i="15"/>
  <c r="S52" i="15"/>
  <c r="T52" i="15"/>
  <c r="U52" i="15"/>
  <c r="V52" i="15"/>
  <c r="W52" i="15"/>
  <c r="X52" i="15"/>
  <c r="R53" i="15"/>
  <c r="S53" i="15"/>
  <c r="T53" i="15"/>
  <c r="U53" i="15"/>
  <c r="V53" i="15"/>
  <c r="W53" i="15"/>
  <c r="X53" i="15"/>
  <c r="S47" i="15"/>
  <c r="T47" i="15"/>
  <c r="U47" i="15"/>
  <c r="V47" i="15"/>
  <c r="W47" i="15"/>
  <c r="X47" i="15"/>
  <c r="R47" i="15"/>
  <c r="R68" i="15"/>
  <c r="S68" i="15"/>
  <c r="T68" i="15"/>
  <c r="U68" i="15"/>
  <c r="V68" i="15"/>
  <c r="W68" i="15"/>
  <c r="X68" i="15"/>
  <c r="R69" i="15"/>
  <c r="S69" i="15"/>
  <c r="T69" i="15"/>
  <c r="U69" i="15"/>
  <c r="V69" i="15"/>
  <c r="W69" i="15"/>
  <c r="X69" i="15"/>
  <c r="R70" i="15"/>
  <c r="S70" i="15"/>
  <c r="T70" i="15"/>
  <c r="U70" i="15"/>
  <c r="V70" i="15"/>
  <c r="W70" i="15"/>
  <c r="X70" i="15"/>
  <c r="R71" i="15"/>
  <c r="S71" i="15"/>
  <c r="T71" i="15"/>
  <c r="U71" i="15"/>
  <c r="V71" i="15"/>
  <c r="W71" i="15"/>
  <c r="X71" i="15"/>
  <c r="R72" i="15"/>
  <c r="S72" i="15"/>
  <c r="T72" i="15"/>
  <c r="U72" i="15"/>
  <c r="V72" i="15"/>
  <c r="W72" i="15"/>
  <c r="X72" i="15"/>
  <c r="R73" i="15"/>
  <c r="S73" i="15"/>
  <c r="T73" i="15"/>
  <c r="U73" i="15"/>
  <c r="V73" i="15"/>
  <c r="W73" i="15"/>
  <c r="X73" i="15"/>
  <c r="S67" i="15"/>
  <c r="T67" i="15"/>
  <c r="U67" i="15"/>
  <c r="V67" i="15"/>
  <c r="W67" i="15"/>
  <c r="X67" i="15"/>
  <c r="R67" i="15"/>
  <c r="R28" i="15"/>
  <c r="S28" i="15"/>
  <c r="T28" i="15"/>
  <c r="U28" i="15"/>
  <c r="V28" i="15"/>
  <c r="W28" i="15"/>
  <c r="X28" i="15"/>
  <c r="R29" i="15"/>
  <c r="S29" i="15"/>
  <c r="T29" i="15"/>
  <c r="U29" i="15"/>
  <c r="V29" i="15"/>
  <c r="W29" i="15"/>
  <c r="X29" i="15"/>
  <c r="R30" i="15"/>
  <c r="S30" i="15"/>
  <c r="T30" i="15"/>
  <c r="U30" i="15"/>
  <c r="V30" i="15"/>
  <c r="W30" i="15"/>
  <c r="X30" i="15"/>
  <c r="R31" i="15"/>
  <c r="S31" i="15"/>
  <c r="T31" i="15"/>
  <c r="U31" i="15"/>
  <c r="V31" i="15"/>
  <c r="W31" i="15"/>
  <c r="X31" i="15"/>
  <c r="R32" i="15"/>
  <c r="S32" i="15"/>
  <c r="T32" i="15"/>
  <c r="U32" i="15"/>
  <c r="V32" i="15"/>
  <c r="W32" i="15"/>
  <c r="X32" i="15"/>
  <c r="R33" i="15"/>
  <c r="S33" i="15"/>
  <c r="T33" i="15"/>
  <c r="U33" i="15"/>
  <c r="V33" i="15"/>
  <c r="W33" i="15"/>
  <c r="X33" i="15"/>
  <c r="R27" i="15"/>
  <c r="S27" i="15"/>
  <c r="T27" i="15"/>
  <c r="U27" i="15"/>
  <c r="V27" i="15"/>
  <c r="W27" i="15"/>
  <c r="X27" i="15"/>
  <c r="P93" i="15"/>
  <c r="AE93" i="15" s="1"/>
  <c r="O93" i="15"/>
  <c r="N93" i="15"/>
  <c r="AC93" i="15" s="1"/>
  <c r="M93" i="15"/>
  <c r="AB93" i="15" s="1"/>
  <c r="L93" i="15"/>
  <c r="AA93" i="15" s="1"/>
  <c r="K93" i="15"/>
  <c r="P92" i="15"/>
  <c r="AE92" i="15" s="1"/>
  <c r="O92" i="15"/>
  <c r="N92" i="15"/>
  <c r="M92" i="15"/>
  <c r="L92" i="15"/>
  <c r="AA92" i="15" s="1"/>
  <c r="K92" i="15"/>
  <c r="P91" i="15"/>
  <c r="O91" i="15"/>
  <c r="AD91" i="15" s="1"/>
  <c r="N91" i="15"/>
  <c r="M91" i="15"/>
  <c r="AB91" i="15" s="1"/>
  <c r="L91" i="15"/>
  <c r="K91" i="15"/>
  <c r="Z91" i="15" s="1"/>
  <c r="P90" i="15"/>
  <c r="O90" i="15"/>
  <c r="AD90" i="15" s="1"/>
  <c r="N90" i="15"/>
  <c r="M90" i="15"/>
  <c r="L90" i="15"/>
  <c r="K90" i="15"/>
  <c r="Z90" i="15" s="1"/>
  <c r="P89" i="15"/>
  <c r="AE89" i="15" s="1"/>
  <c r="O89" i="15"/>
  <c r="N89" i="15"/>
  <c r="AC89" i="15" s="1"/>
  <c r="M89" i="15"/>
  <c r="AB89" i="15" s="1"/>
  <c r="L89" i="15"/>
  <c r="AA89" i="15" s="1"/>
  <c r="K89" i="15"/>
  <c r="P88" i="15"/>
  <c r="AE88" i="15" s="1"/>
  <c r="O88" i="15"/>
  <c r="N88" i="15"/>
  <c r="M88" i="15"/>
  <c r="L88" i="15"/>
  <c r="AA88" i="15" s="1"/>
  <c r="K88" i="15"/>
  <c r="P87" i="15"/>
  <c r="O87" i="15"/>
  <c r="AD87" i="15" s="1"/>
  <c r="N87" i="15"/>
  <c r="AC87" i="15" s="1"/>
  <c r="M87" i="15"/>
  <c r="L87" i="15"/>
  <c r="K87" i="15"/>
  <c r="Z87" i="15" s="1"/>
  <c r="P83" i="15"/>
  <c r="O83" i="15"/>
  <c r="N83" i="15"/>
  <c r="M83" i="15"/>
  <c r="L83" i="15"/>
  <c r="K83" i="15"/>
  <c r="P82" i="15"/>
  <c r="O82" i="15"/>
  <c r="N82" i="15"/>
  <c r="M82" i="15"/>
  <c r="L82" i="15"/>
  <c r="K82" i="15"/>
  <c r="P81" i="15"/>
  <c r="O81" i="15"/>
  <c r="N81" i="15"/>
  <c r="M81" i="15"/>
  <c r="L81" i="15"/>
  <c r="K81" i="15"/>
  <c r="P80" i="15"/>
  <c r="O80" i="15"/>
  <c r="N80" i="15"/>
  <c r="M80" i="15"/>
  <c r="L80" i="15"/>
  <c r="K80" i="15"/>
  <c r="P79" i="15"/>
  <c r="O79" i="15"/>
  <c r="N79" i="15"/>
  <c r="M79" i="15"/>
  <c r="L79" i="15"/>
  <c r="K79" i="15"/>
  <c r="P78" i="15"/>
  <c r="O78" i="15"/>
  <c r="N78" i="15"/>
  <c r="M78" i="15"/>
  <c r="L78" i="15"/>
  <c r="K78" i="15"/>
  <c r="P77" i="15"/>
  <c r="O77" i="15"/>
  <c r="N77" i="15"/>
  <c r="M77" i="15"/>
  <c r="L77" i="15"/>
  <c r="K77" i="15"/>
  <c r="P73" i="15"/>
  <c r="O73" i="15"/>
  <c r="N73" i="15"/>
  <c r="AC73" i="15" s="1"/>
  <c r="M73" i="15"/>
  <c r="AB73" i="15" s="1"/>
  <c r="L73" i="15"/>
  <c r="K73" i="15"/>
  <c r="P72" i="15"/>
  <c r="AE72" i="15" s="1"/>
  <c r="O72" i="15"/>
  <c r="N72" i="15"/>
  <c r="M72" i="15"/>
  <c r="L72" i="15"/>
  <c r="AA72" i="15" s="1"/>
  <c r="K72" i="15"/>
  <c r="P71" i="15"/>
  <c r="AE71" i="15" s="1"/>
  <c r="O71" i="15"/>
  <c r="AD71" i="15" s="1"/>
  <c r="N71" i="15"/>
  <c r="M71" i="15"/>
  <c r="AB71" i="15" s="1"/>
  <c r="L71" i="15"/>
  <c r="AA71" i="15" s="1"/>
  <c r="K71" i="15"/>
  <c r="Z71" i="15" s="1"/>
  <c r="P70" i="15"/>
  <c r="O70" i="15"/>
  <c r="AD70" i="15" s="1"/>
  <c r="N70" i="15"/>
  <c r="M70" i="15"/>
  <c r="L70" i="15"/>
  <c r="K70" i="15"/>
  <c r="Z70" i="15" s="1"/>
  <c r="P69" i="15"/>
  <c r="O69" i="15"/>
  <c r="N69" i="15"/>
  <c r="AC69" i="15" s="1"/>
  <c r="M69" i="15"/>
  <c r="AB69" i="15" s="1"/>
  <c r="L69" i="15"/>
  <c r="K69" i="15"/>
  <c r="P68" i="15"/>
  <c r="AE68" i="15" s="1"/>
  <c r="O68" i="15"/>
  <c r="N68" i="15"/>
  <c r="M68" i="15"/>
  <c r="L68" i="15"/>
  <c r="AA68" i="15" s="1"/>
  <c r="K68" i="15"/>
  <c r="P67" i="15"/>
  <c r="AE67" i="15" s="1"/>
  <c r="O67" i="15"/>
  <c r="N67" i="15"/>
  <c r="AC67" i="15" s="1"/>
  <c r="M67" i="15"/>
  <c r="AB67" i="15" s="1"/>
  <c r="L67" i="15"/>
  <c r="AA67" i="15" s="1"/>
  <c r="K67" i="15"/>
  <c r="P63" i="15"/>
  <c r="AE63" i="15" s="1"/>
  <c r="O63" i="15"/>
  <c r="AD63" i="15" s="1"/>
  <c r="N63" i="15"/>
  <c r="AC63" i="15" s="1"/>
  <c r="M63" i="15"/>
  <c r="AB63" i="15" s="1"/>
  <c r="L63" i="15"/>
  <c r="AA63" i="15" s="1"/>
  <c r="K63" i="15"/>
  <c r="Z63" i="15" s="1"/>
  <c r="P62" i="15"/>
  <c r="AE62" i="15" s="1"/>
  <c r="O62" i="15"/>
  <c r="AD62" i="15" s="1"/>
  <c r="N62" i="15"/>
  <c r="AC62" i="15" s="1"/>
  <c r="M62" i="15"/>
  <c r="AB62" i="15" s="1"/>
  <c r="L62" i="15"/>
  <c r="AA62" i="15" s="1"/>
  <c r="K62" i="15"/>
  <c r="Z62" i="15" s="1"/>
  <c r="P61" i="15"/>
  <c r="AE61" i="15" s="1"/>
  <c r="O61" i="15"/>
  <c r="AD61" i="15" s="1"/>
  <c r="N61" i="15"/>
  <c r="AC61" i="15" s="1"/>
  <c r="M61" i="15"/>
  <c r="AB61" i="15" s="1"/>
  <c r="L61" i="15"/>
  <c r="AA61" i="15" s="1"/>
  <c r="K61" i="15"/>
  <c r="Z61" i="15" s="1"/>
  <c r="P60" i="15"/>
  <c r="AE60" i="15" s="1"/>
  <c r="O60" i="15"/>
  <c r="AD60" i="15" s="1"/>
  <c r="N60" i="15"/>
  <c r="AC60" i="15" s="1"/>
  <c r="M60" i="15"/>
  <c r="AB60" i="15" s="1"/>
  <c r="L60" i="15"/>
  <c r="AA60" i="15" s="1"/>
  <c r="K60" i="15"/>
  <c r="Z60" i="15" s="1"/>
  <c r="P59" i="15"/>
  <c r="AE59" i="15" s="1"/>
  <c r="O59" i="15"/>
  <c r="AD59" i="15" s="1"/>
  <c r="N59" i="15"/>
  <c r="AC59" i="15" s="1"/>
  <c r="M59" i="15"/>
  <c r="AB59" i="15" s="1"/>
  <c r="L59" i="15"/>
  <c r="AA59" i="15" s="1"/>
  <c r="K59" i="15"/>
  <c r="Z59" i="15" s="1"/>
  <c r="P58" i="15"/>
  <c r="AE58" i="15" s="1"/>
  <c r="O58" i="15"/>
  <c r="AD58" i="15" s="1"/>
  <c r="N58" i="15"/>
  <c r="AC58" i="15" s="1"/>
  <c r="M58" i="15"/>
  <c r="AB58" i="15" s="1"/>
  <c r="L58" i="15"/>
  <c r="AA58" i="15" s="1"/>
  <c r="K58" i="15"/>
  <c r="Z58" i="15" s="1"/>
  <c r="P57" i="15"/>
  <c r="AE57" i="15" s="1"/>
  <c r="O57" i="15"/>
  <c r="AD57" i="15" s="1"/>
  <c r="N57" i="15"/>
  <c r="AC57" i="15" s="1"/>
  <c r="M57" i="15"/>
  <c r="AB57" i="15" s="1"/>
  <c r="L57" i="15"/>
  <c r="AA57" i="15" s="1"/>
  <c r="K57" i="15"/>
  <c r="Z57" i="15" s="1"/>
  <c r="P53" i="15"/>
  <c r="O53" i="15"/>
  <c r="AD53" i="15" s="1"/>
  <c r="N53" i="15"/>
  <c r="AC53" i="15" s="1"/>
  <c r="M53" i="15"/>
  <c r="AB53" i="15" s="1"/>
  <c r="L53" i="15"/>
  <c r="K53" i="15"/>
  <c r="Z53" i="15" s="1"/>
  <c r="P52" i="15"/>
  <c r="AE52" i="15" s="1"/>
  <c r="O52" i="15"/>
  <c r="N52" i="15"/>
  <c r="M52" i="15"/>
  <c r="L52" i="15"/>
  <c r="AA52" i="15" s="1"/>
  <c r="K52" i="15"/>
  <c r="P51" i="15"/>
  <c r="O51" i="15"/>
  <c r="AD51" i="15" s="1"/>
  <c r="N51" i="15"/>
  <c r="AC51" i="15" s="1"/>
  <c r="M51" i="15"/>
  <c r="AB51" i="15" s="1"/>
  <c r="L51" i="15"/>
  <c r="K51" i="15"/>
  <c r="Z51" i="15" s="1"/>
  <c r="P50" i="15"/>
  <c r="AE50" i="15" s="1"/>
  <c r="O50" i="15"/>
  <c r="N50" i="15"/>
  <c r="AC50" i="15" s="1"/>
  <c r="M50" i="15"/>
  <c r="L50" i="15"/>
  <c r="AA50" i="15" s="1"/>
  <c r="K50" i="15"/>
  <c r="P49" i="15"/>
  <c r="O49" i="15"/>
  <c r="AD49" i="15" s="1"/>
  <c r="N49" i="15"/>
  <c r="AC49" i="15" s="1"/>
  <c r="M49" i="15"/>
  <c r="AB49" i="15" s="1"/>
  <c r="L49" i="15"/>
  <c r="K49" i="15"/>
  <c r="Z49" i="15" s="1"/>
  <c r="P48" i="15"/>
  <c r="AE48" i="15" s="1"/>
  <c r="O48" i="15"/>
  <c r="N48" i="15"/>
  <c r="AC48" i="15" s="1"/>
  <c r="M48" i="15"/>
  <c r="L48" i="15"/>
  <c r="AA48" i="15" s="1"/>
  <c r="K48" i="15"/>
  <c r="P47" i="15"/>
  <c r="O47" i="15"/>
  <c r="N47" i="15"/>
  <c r="AC47" i="15" s="1"/>
  <c r="M47" i="15"/>
  <c r="AB47" i="15" s="1"/>
  <c r="L47" i="15"/>
  <c r="K47" i="15"/>
  <c r="P43" i="15"/>
  <c r="O43" i="15"/>
  <c r="N43" i="15"/>
  <c r="M43" i="15"/>
  <c r="L43" i="15"/>
  <c r="K43" i="15"/>
  <c r="P42" i="15"/>
  <c r="O42" i="15"/>
  <c r="N42" i="15"/>
  <c r="M42" i="15"/>
  <c r="L42" i="15"/>
  <c r="K42" i="15"/>
  <c r="P41" i="15"/>
  <c r="O41" i="15"/>
  <c r="N41" i="15"/>
  <c r="M41" i="15"/>
  <c r="L41" i="15"/>
  <c r="K41" i="15"/>
  <c r="P40" i="15"/>
  <c r="O40" i="15"/>
  <c r="N40" i="15"/>
  <c r="M40" i="15"/>
  <c r="L40" i="15"/>
  <c r="K40" i="15"/>
  <c r="P39" i="15"/>
  <c r="O39" i="15"/>
  <c r="N39" i="15"/>
  <c r="M39" i="15"/>
  <c r="L39" i="15"/>
  <c r="K39" i="15"/>
  <c r="P38" i="15"/>
  <c r="O38" i="15"/>
  <c r="N38" i="15"/>
  <c r="M38" i="15"/>
  <c r="L38" i="15"/>
  <c r="K38" i="15"/>
  <c r="P37" i="15"/>
  <c r="O37" i="15"/>
  <c r="N37" i="15"/>
  <c r="M37" i="15"/>
  <c r="L37" i="15"/>
  <c r="K37" i="15"/>
  <c r="M28" i="15"/>
  <c r="M29" i="15"/>
  <c r="AB29" i="15" s="1"/>
  <c r="M30" i="15"/>
  <c r="AB30" i="15" s="1"/>
  <c r="M31" i="15"/>
  <c r="AB31" i="15" s="1"/>
  <c r="M32" i="15"/>
  <c r="M33" i="15"/>
  <c r="AB33" i="15" s="1"/>
  <c r="O28" i="15"/>
  <c r="AD28" i="15" s="1"/>
  <c r="O29" i="15"/>
  <c r="AD29" i="15" s="1"/>
  <c r="O30" i="15"/>
  <c r="O31" i="15"/>
  <c r="AD31" i="15" s="1"/>
  <c r="O32" i="15"/>
  <c r="AD32" i="15" s="1"/>
  <c r="O33" i="15"/>
  <c r="AD33" i="15" s="1"/>
  <c r="O27" i="15"/>
  <c r="M27" i="15"/>
  <c r="AB27" i="15" s="1"/>
  <c r="J93" i="15"/>
  <c r="J92" i="15"/>
  <c r="J91" i="15"/>
  <c r="J90" i="15"/>
  <c r="J89" i="15"/>
  <c r="J88" i="15"/>
  <c r="J87" i="15"/>
  <c r="J83" i="15"/>
  <c r="J82" i="15"/>
  <c r="J81" i="15"/>
  <c r="J80" i="15"/>
  <c r="J79" i="15"/>
  <c r="J78" i="15"/>
  <c r="J77" i="15"/>
  <c r="J73" i="15"/>
  <c r="J72" i="15"/>
  <c r="J71" i="15"/>
  <c r="J70" i="15"/>
  <c r="J69" i="15"/>
  <c r="J68" i="15"/>
  <c r="J67" i="15"/>
  <c r="J63" i="15"/>
  <c r="J62" i="15"/>
  <c r="J61" i="15"/>
  <c r="J60" i="15"/>
  <c r="J59" i="15"/>
  <c r="J58" i="15"/>
  <c r="J57" i="15"/>
  <c r="J53" i="15"/>
  <c r="J52" i="15"/>
  <c r="J51" i="15"/>
  <c r="J50" i="15"/>
  <c r="J49" i="15"/>
  <c r="J48" i="15"/>
  <c r="J47" i="15"/>
  <c r="J43" i="15"/>
  <c r="J42" i="15"/>
  <c r="J41" i="15"/>
  <c r="J40" i="15"/>
  <c r="J39" i="15"/>
  <c r="J38" i="15"/>
  <c r="J37" i="15"/>
  <c r="N28" i="15"/>
  <c r="AC28" i="15" s="1"/>
  <c r="P28" i="15"/>
  <c r="AE28" i="15" s="1"/>
  <c r="N29" i="15"/>
  <c r="AC29" i="15" s="1"/>
  <c r="P29" i="15"/>
  <c r="AE29" i="15" s="1"/>
  <c r="N30" i="15"/>
  <c r="AC30" i="15" s="1"/>
  <c r="P30" i="15"/>
  <c r="AE30" i="15" s="1"/>
  <c r="N31" i="15"/>
  <c r="AC31" i="15" s="1"/>
  <c r="P31" i="15"/>
  <c r="AE31" i="15" s="1"/>
  <c r="N32" i="15"/>
  <c r="AC32" i="15" s="1"/>
  <c r="P32" i="15"/>
  <c r="AE32" i="15" s="1"/>
  <c r="N33" i="15"/>
  <c r="AC33" i="15" s="1"/>
  <c r="P33" i="15"/>
  <c r="AE33" i="15" s="1"/>
  <c r="P27" i="15"/>
  <c r="N27" i="15"/>
  <c r="AC27" i="15" s="1"/>
  <c r="L28" i="15"/>
  <c r="AA28" i="15" s="1"/>
  <c r="L29" i="15"/>
  <c r="AA29" i="15" s="1"/>
  <c r="L30" i="15"/>
  <c r="L31" i="15"/>
  <c r="AA31" i="15" s="1"/>
  <c r="L32" i="15"/>
  <c r="AA32" i="15" s="1"/>
  <c r="L33" i="15"/>
  <c r="AA33" i="15" s="1"/>
  <c r="L27" i="15"/>
  <c r="K28" i="15"/>
  <c r="Z28" i="15" s="1"/>
  <c r="K29" i="15"/>
  <c r="Z29" i="15" s="1"/>
  <c r="K30" i="15"/>
  <c r="Z30" i="15" s="1"/>
  <c r="K31" i="15"/>
  <c r="K32" i="15"/>
  <c r="Z32" i="15" s="1"/>
  <c r="K33" i="15"/>
  <c r="Z33" i="15" s="1"/>
  <c r="K27" i="15"/>
  <c r="Z27" i="15" s="1"/>
  <c r="J28" i="15"/>
  <c r="J29" i="15"/>
  <c r="J30" i="15"/>
  <c r="J31" i="15"/>
  <c r="J32" i="15"/>
  <c r="J33" i="15"/>
  <c r="J27" i="15"/>
  <c r="D5" i="2"/>
  <c r="K12" i="15"/>
  <c r="K13" i="15"/>
  <c r="K14" i="15"/>
  <c r="K15" i="15"/>
  <c r="K16" i="15"/>
  <c r="K17" i="15"/>
  <c r="K11" i="15"/>
  <c r="K4" i="15"/>
  <c r="Q4" i="15" s="1"/>
  <c r="K5" i="15"/>
  <c r="Q5" i="15" s="1"/>
  <c r="K6" i="15"/>
  <c r="K7" i="15"/>
  <c r="Q7" i="15" s="1"/>
  <c r="K8" i="15"/>
  <c r="K9" i="15"/>
  <c r="Q11" i="15"/>
  <c r="R11" i="15"/>
  <c r="S11" i="15"/>
  <c r="T11" i="15"/>
  <c r="Q12" i="15"/>
  <c r="R12" i="15"/>
  <c r="S12" i="15"/>
  <c r="T12" i="15"/>
  <c r="Q13" i="15"/>
  <c r="R13" i="15"/>
  <c r="S13" i="15"/>
  <c r="T13" i="15"/>
  <c r="Q14" i="15"/>
  <c r="R14" i="15"/>
  <c r="S14" i="15"/>
  <c r="T14" i="15"/>
  <c r="Q15" i="15"/>
  <c r="R15" i="15"/>
  <c r="S15" i="15"/>
  <c r="T15" i="15"/>
  <c r="Q16" i="15"/>
  <c r="R16" i="15"/>
  <c r="S16" i="15"/>
  <c r="T16" i="15"/>
  <c r="Q17" i="15"/>
  <c r="R17" i="15"/>
  <c r="S17" i="15"/>
  <c r="T17" i="15"/>
  <c r="R3" i="15"/>
  <c r="S3" i="15"/>
  <c r="T3" i="15"/>
  <c r="R4" i="15"/>
  <c r="S4" i="15"/>
  <c r="T4" i="15"/>
  <c r="R5" i="15"/>
  <c r="S5" i="15"/>
  <c r="T5" i="15"/>
  <c r="Q6" i="15"/>
  <c r="R6" i="15"/>
  <c r="S6" i="15"/>
  <c r="T6" i="15"/>
  <c r="R7" i="15"/>
  <c r="S7" i="15"/>
  <c r="T7" i="15"/>
  <c r="Q8" i="15"/>
  <c r="R8" i="15"/>
  <c r="S8" i="15"/>
  <c r="T8" i="15"/>
  <c r="Q9" i="15"/>
  <c r="R9" i="15"/>
  <c r="S9" i="15"/>
  <c r="T9" i="15"/>
  <c r="P17" i="15"/>
  <c r="P16" i="15"/>
  <c r="P13" i="15"/>
  <c r="P12" i="15"/>
  <c r="P6" i="15"/>
  <c r="P9" i="15"/>
  <c r="J12" i="15"/>
  <c r="J13" i="15"/>
  <c r="J14" i="15"/>
  <c r="P14" i="15" s="1"/>
  <c r="J15" i="15"/>
  <c r="P15" i="15" s="1"/>
  <c r="J16" i="15"/>
  <c r="J17" i="15"/>
  <c r="J11" i="15"/>
  <c r="P11" i="15" s="1"/>
  <c r="J4" i="15"/>
  <c r="P4" i="15" s="1"/>
  <c r="J5" i="15"/>
  <c r="P5" i="15" s="1"/>
  <c r="J6" i="15"/>
  <c r="J7" i="15"/>
  <c r="P7" i="15" s="1"/>
  <c r="J8" i="15"/>
  <c r="P8" i="15" s="1"/>
  <c r="J9" i="15"/>
  <c r="AR15" i="15" l="1"/>
  <c r="AQ15" i="15" s="1"/>
  <c r="Z88" i="15"/>
  <c r="AD88" i="15"/>
  <c r="Z92" i="15"/>
  <c r="AD92" i="15"/>
  <c r="AA90" i="15"/>
  <c r="AE90" i="15"/>
  <c r="AC91" i="15"/>
  <c r="AB88" i="15"/>
  <c r="Z89" i="15"/>
  <c r="AD89" i="15"/>
  <c r="AB90" i="15"/>
  <c r="AB92" i="15"/>
  <c r="Z93" i="15"/>
  <c r="AD93" i="15"/>
  <c r="AB87" i="15"/>
  <c r="AB48" i="15"/>
  <c r="AB50" i="15"/>
  <c r="AB52" i="15"/>
  <c r="Z48" i="15"/>
  <c r="AD48" i="15"/>
  <c r="Z50" i="15"/>
  <c r="AD50" i="15"/>
  <c r="Z52" i="15"/>
  <c r="AD52" i="15"/>
  <c r="Z47" i="15"/>
  <c r="AD47" i="15"/>
  <c r="Z68" i="15"/>
  <c r="AD68" i="15"/>
  <c r="Z72" i="15"/>
  <c r="AD72" i="15"/>
  <c r="AA70" i="15"/>
  <c r="AE70" i="15"/>
  <c r="AC71" i="15"/>
  <c r="AB68" i="15"/>
  <c r="Z69" i="15"/>
  <c r="AD69" i="15"/>
  <c r="AB70" i="15"/>
  <c r="AB72" i="15"/>
  <c r="Z73" i="15"/>
  <c r="AD73" i="15"/>
  <c r="Z67" i="15"/>
  <c r="AD67" i="15"/>
  <c r="AE27" i="15"/>
  <c r="AA27" i="15"/>
  <c r="AA30" i="15"/>
  <c r="AE53" i="15"/>
  <c r="AA53" i="15"/>
  <c r="AE49" i="15"/>
  <c r="AA49" i="15"/>
  <c r="AC70" i="15"/>
  <c r="AC92" i="15"/>
  <c r="AC88" i="15"/>
  <c r="AD27" i="15"/>
  <c r="AB32" i="15"/>
  <c r="AD30" i="15"/>
  <c r="AB28" i="15"/>
  <c r="AC52" i="15"/>
  <c r="AE73" i="15"/>
  <c r="AA73" i="15"/>
  <c r="AE69" i="15"/>
  <c r="AA69" i="15"/>
  <c r="AE87" i="15"/>
  <c r="AA87" i="15"/>
  <c r="AE91" i="15"/>
  <c r="AA91" i="15"/>
  <c r="Z31" i="15"/>
  <c r="AE47" i="15"/>
  <c r="AA47" i="15"/>
  <c r="AE51" i="15"/>
  <c r="AA51" i="15"/>
  <c r="AC72" i="15"/>
  <c r="AC68" i="15"/>
  <c r="AC90" i="15"/>
  <c r="D12" i="4"/>
  <c r="D11" i="4"/>
  <c r="D13" i="13"/>
  <c r="D12" i="13"/>
  <c r="D40" i="13"/>
  <c r="G28" i="13"/>
  <c r="G29" i="13"/>
  <c r="G34" i="13" s="1"/>
  <c r="G30" i="13"/>
  <c r="G31" i="13"/>
  <c r="G35" i="13" s="1"/>
  <c r="G32" i="13"/>
  <c r="G27" i="13"/>
  <c r="G23" i="13"/>
  <c r="E23" i="13" s="1"/>
  <c r="G22" i="13"/>
  <c r="E22" i="13" s="1"/>
  <c r="AH304" i="9"/>
  <c r="AH303" i="9"/>
  <c r="AH302" i="9"/>
  <c r="AH301" i="9"/>
  <c r="AH300" i="9"/>
  <c r="AH299" i="9"/>
  <c r="AH305" i="9" s="1"/>
  <c r="AG300" i="9"/>
  <c r="AG301" i="9"/>
  <c r="AG302" i="9"/>
  <c r="AG303" i="9"/>
  <c r="AG304" i="9"/>
  <c r="AG299" i="9"/>
  <c r="AG305" i="9" s="1"/>
  <c r="P290" i="9"/>
  <c r="P291" i="9"/>
  <c r="S289" i="9"/>
  <c r="P288" i="9" s="1"/>
  <c r="L194" i="9"/>
  <c r="L193" i="9"/>
  <c r="L190" i="9"/>
  <c r="L184" i="9"/>
  <c r="M184" i="9" s="1"/>
  <c r="L186" i="9"/>
  <c r="L183" i="9"/>
  <c r="S184" i="9"/>
  <c r="L192" i="9" s="1"/>
  <c r="H194" i="9"/>
  <c r="H193" i="9"/>
  <c r="H192" i="9"/>
  <c r="H191" i="9"/>
  <c r="H190" i="9"/>
  <c r="H184" i="9"/>
  <c r="H185" i="9"/>
  <c r="H186" i="9"/>
  <c r="H187" i="9"/>
  <c r="H183" i="9"/>
  <c r="I183" i="9" s="1"/>
  <c r="H269" i="9"/>
  <c r="H270" i="9"/>
  <c r="H271" i="9"/>
  <c r="H272" i="9"/>
  <c r="H268" i="9"/>
  <c r="H288" i="9"/>
  <c r="H289" i="9"/>
  <c r="H290" i="9"/>
  <c r="H291" i="9"/>
  <c r="H287" i="9"/>
  <c r="O216" i="9"/>
  <c r="N216" i="9"/>
  <c r="O214" i="9"/>
  <c r="N214" i="9"/>
  <c r="O212" i="9"/>
  <c r="N212" i="9"/>
  <c r="O210" i="9"/>
  <c r="N210" i="9"/>
  <c r="O208" i="9"/>
  <c r="N208" i="9"/>
  <c r="O206" i="9"/>
  <c r="N206" i="9"/>
  <c r="O204" i="9"/>
  <c r="N204" i="9"/>
  <c r="O202" i="9"/>
  <c r="N202" i="9"/>
  <c r="O200" i="9"/>
  <c r="N200" i="9"/>
  <c r="O198" i="9"/>
  <c r="N198" i="9"/>
  <c r="C23" i="12"/>
  <c r="C28" i="12" s="1"/>
  <c r="B23" i="12"/>
  <c r="B28" i="12" s="1"/>
  <c r="C22" i="12"/>
  <c r="C26" i="12" s="1"/>
  <c r="B22" i="12"/>
  <c r="B26" i="12" s="1"/>
  <c r="P163" i="10"/>
  <c r="P162" i="10"/>
  <c r="P161" i="10"/>
  <c r="P160" i="10"/>
  <c r="P159" i="10"/>
  <c r="P158" i="10"/>
  <c r="P157" i="10"/>
  <c r="P156" i="10"/>
  <c r="P155" i="10"/>
  <c r="P169" i="10"/>
  <c r="P170" i="10"/>
  <c r="O156" i="10"/>
  <c r="O157" i="10"/>
  <c r="O158" i="10"/>
  <c r="O159" i="10"/>
  <c r="O160" i="10"/>
  <c r="O161" i="10"/>
  <c r="O162" i="10"/>
  <c r="O163" i="10"/>
  <c r="O155" i="10"/>
  <c r="AC29" i="6"/>
  <c r="AC30" i="6"/>
  <c r="AC31" i="6"/>
  <c r="AC32" i="6"/>
  <c r="AC33" i="6"/>
  <c r="AC34" i="6"/>
  <c r="AC35" i="6"/>
  <c r="AC36" i="6"/>
  <c r="AC28" i="6"/>
  <c r="AC5" i="6"/>
  <c r="AD5" i="6"/>
  <c r="AC6" i="6"/>
  <c r="AD6" i="6"/>
  <c r="AC7" i="6"/>
  <c r="AD7" i="6"/>
  <c r="AC8" i="6"/>
  <c r="AD8" i="6"/>
  <c r="AC9" i="6"/>
  <c r="AD9" i="6"/>
  <c r="AC10" i="6"/>
  <c r="AD10" i="6"/>
  <c r="AC11" i="6"/>
  <c r="AD11" i="6"/>
  <c r="AC12" i="6"/>
  <c r="AD12" i="6"/>
  <c r="AC13" i="6"/>
  <c r="AD13" i="6"/>
  <c r="AC14" i="6"/>
  <c r="AD14" i="6"/>
  <c r="AC15" i="6"/>
  <c r="AD15" i="6"/>
  <c r="AC16" i="6"/>
  <c r="AD16" i="6"/>
  <c r="AC17" i="6"/>
  <c r="AD17" i="6"/>
  <c r="AC18" i="6"/>
  <c r="AD18" i="6"/>
  <c r="AC19" i="6"/>
  <c r="AD19" i="6"/>
  <c r="AC20" i="6"/>
  <c r="AD20" i="6"/>
  <c r="AC21" i="6"/>
  <c r="AD21" i="6"/>
  <c r="AC22" i="6"/>
  <c r="AD22" i="6"/>
  <c r="AC23" i="6"/>
  <c r="AD23" i="6"/>
  <c r="AC24" i="6"/>
  <c r="AD24" i="6"/>
  <c r="AC25" i="6"/>
  <c r="AD25" i="6"/>
  <c r="AC26" i="6"/>
  <c r="AD26" i="6"/>
  <c r="AC27" i="6"/>
  <c r="AD27" i="6"/>
  <c r="AD28" i="6"/>
  <c r="AD29" i="6"/>
  <c r="AD30" i="6"/>
  <c r="AD31" i="6"/>
  <c r="AD32" i="6"/>
  <c r="AD33" i="6"/>
  <c r="AD34" i="6"/>
  <c r="AD35" i="6"/>
  <c r="AD36" i="6"/>
  <c r="AC39" i="6"/>
  <c r="AD39" i="6"/>
  <c r="AC40" i="6"/>
  <c r="AD40" i="6"/>
  <c r="AC41" i="6"/>
  <c r="AD41" i="6"/>
  <c r="AC42" i="6"/>
  <c r="AD42" i="6"/>
  <c r="AC43" i="6"/>
  <c r="AD43" i="6"/>
  <c r="AC44" i="6"/>
  <c r="AD44" i="6"/>
  <c r="AC45" i="6"/>
  <c r="AD45" i="6"/>
  <c r="AC46" i="6"/>
  <c r="AD46" i="6"/>
  <c r="AC47" i="6"/>
  <c r="AD47" i="6"/>
  <c r="AC48" i="6"/>
  <c r="AD48" i="6"/>
  <c r="Z50" i="6"/>
  <c r="AC50" i="6" s="1"/>
  <c r="AD50" i="6"/>
  <c r="AD51" i="6"/>
  <c r="Z52" i="6"/>
  <c r="AC52" i="6" s="1"/>
  <c r="AD52" i="6"/>
  <c r="AD53" i="6"/>
  <c r="Z54" i="6"/>
  <c r="AC54" i="6" s="1"/>
  <c r="AD54" i="6"/>
  <c r="AD55" i="6"/>
  <c r="Z56" i="6"/>
  <c r="AC56" i="6" s="1"/>
  <c r="AD56" i="6"/>
  <c r="AD57" i="6"/>
  <c r="AC60" i="6"/>
  <c r="AD60" i="6"/>
  <c r="AC61" i="6"/>
  <c r="AD61" i="6"/>
  <c r="AC62" i="6"/>
  <c r="AD62" i="6"/>
  <c r="AC63" i="6"/>
  <c r="AD63" i="6"/>
  <c r="AC64" i="6"/>
  <c r="AD64" i="6"/>
  <c r="AC65" i="6"/>
  <c r="AD65" i="6"/>
  <c r="AC66" i="6"/>
  <c r="AD66" i="6"/>
  <c r="AC67" i="6"/>
  <c r="AD67" i="6"/>
  <c r="AC68" i="6"/>
  <c r="AD68" i="6"/>
  <c r="AC69" i="6"/>
  <c r="AD69" i="6"/>
  <c r="AC70" i="6"/>
  <c r="AD70" i="6"/>
  <c r="AC71" i="6"/>
  <c r="AD71" i="6"/>
  <c r="AC72" i="6"/>
  <c r="AD72" i="6"/>
  <c r="AC73" i="6"/>
  <c r="AD73" i="6"/>
  <c r="AC74" i="6"/>
  <c r="AD74" i="6"/>
  <c r="AC75" i="6"/>
  <c r="AD75" i="6"/>
  <c r="Z77" i="6"/>
  <c r="AC77" i="6" s="1"/>
  <c r="AD77" i="6"/>
  <c r="AD78" i="6"/>
  <c r="Z79" i="6"/>
  <c r="AC79" i="6" s="1"/>
  <c r="AD79" i="6"/>
  <c r="AD80" i="6"/>
  <c r="Z81" i="6"/>
  <c r="AC81" i="6" s="1"/>
  <c r="AD81" i="6"/>
  <c r="AD82" i="6"/>
  <c r="Z84" i="6"/>
  <c r="AC84" i="6" s="1"/>
  <c r="AD84" i="6"/>
  <c r="AD85" i="6"/>
  <c r="Z86" i="6"/>
  <c r="AC86" i="6" s="1"/>
  <c r="AD86" i="6"/>
  <c r="AD87" i="6"/>
  <c r="Z88" i="6"/>
  <c r="AC88" i="6" s="1"/>
  <c r="AD88" i="6"/>
  <c r="AD89" i="6"/>
  <c r="AA68" i="4"/>
  <c r="AA66" i="4"/>
  <c r="AA64" i="4"/>
  <c r="AV69" i="4"/>
  <c r="AU69" i="4"/>
  <c r="AT69" i="4"/>
  <c r="AR69" i="4"/>
  <c r="AQ69" i="4"/>
  <c r="AL69" i="4"/>
  <c r="AK69" i="4"/>
  <c r="AI69" i="4"/>
  <c r="AH69" i="4"/>
  <c r="AB69" i="4"/>
  <c r="AA69" i="4"/>
  <c r="AV68" i="4"/>
  <c r="AU68" i="4"/>
  <c r="AT68" i="4"/>
  <c r="AR68" i="4"/>
  <c r="AQ68" i="4"/>
  <c r="AL68" i="4"/>
  <c r="AK68" i="4"/>
  <c r="AI68" i="4"/>
  <c r="AH68" i="4"/>
  <c r="AB68" i="4"/>
  <c r="AV67" i="4"/>
  <c r="AU67" i="4"/>
  <c r="AT67" i="4"/>
  <c r="AR67" i="4"/>
  <c r="AQ67" i="4"/>
  <c r="AL67" i="4"/>
  <c r="AK67" i="4"/>
  <c r="AI67" i="4"/>
  <c r="AH67" i="4"/>
  <c r="AB67" i="4"/>
  <c r="AA67" i="4"/>
  <c r="AV66" i="4"/>
  <c r="AU66" i="4"/>
  <c r="AT66" i="4"/>
  <c r="AR66" i="4"/>
  <c r="AQ66" i="4"/>
  <c r="AL66" i="4"/>
  <c r="AK66" i="4"/>
  <c r="AI66" i="4"/>
  <c r="AH66" i="4"/>
  <c r="AB66" i="4"/>
  <c r="AV65" i="4"/>
  <c r="AU65" i="4"/>
  <c r="AT65" i="4"/>
  <c r="AR65" i="4"/>
  <c r="AQ65" i="4"/>
  <c r="AL65" i="4"/>
  <c r="AK65" i="4"/>
  <c r="AI65" i="4"/>
  <c r="AH65" i="4"/>
  <c r="AB65" i="4"/>
  <c r="AA65" i="4"/>
  <c r="AV64" i="4"/>
  <c r="AU64" i="4"/>
  <c r="AT64" i="4"/>
  <c r="AR64" i="4"/>
  <c r="AQ64" i="4"/>
  <c r="AL64" i="4"/>
  <c r="AK64" i="4"/>
  <c r="AI64" i="4"/>
  <c r="AH64" i="4"/>
  <c r="AB64" i="4"/>
  <c r="AV63" i="4"/>
  <c r="AU63" i="4"/>
  <c r="AT63" i="4"/>
  <c r="AR63" i="4"/>
  <c r="AQ63" i="4"/>
  <c r="AL63" i="4"/>
  <c r="AK63" i="4"/>
  <c r="AI63" i="4"/>
  <c r="AH63" i="4"/>
  <c r="AB63" i="4"/>
  <c r="AA63" i="4"/>
  <c r="R69" i="4"/>
  <c r="R68" i="4"/>
  <c r="H68" i="4"/>
  <c r="N68" i="4" s="1"/>
  <c r="R67" i="4"/>
  <c r="R66" i="4"/>
  <c r="F66" i="4"/>
  <c r="M66" i="4" s="1"/>
  <c r="R65" i="4"/>
  <c r="R64" i="4"/>
  <c r="H64" i="4"/>
  <c r="N64" i="4" s="1"/>
  <c r="R63" i="4"/>
  <c r="AA43" i="4"/>
  <c r="AA41" i="4"/>
  <c r="AV58" i="4"/>
  <c r="AU58" i="4"/>
  <c r="AT58" i="4"/>
  <c r="AR58" i="4"/>
  <c r="AQ58" i="4"/>
  <c r="AL58" i="4"/>
  <c r="AK58" i="4"/>
  <c r="AI58" i="4"/>
  <c r="AH58" i="4"/>
  <c r="AB58" i="4"/>
  <c r="AV57" i="4"/>
  <c r="AU57" i="4"/>
  <c r="AT57" i="4"/>
  <c r="AR57" i="4"/>
  <c r="AQ57" i="4"/>
  <c r="AL57" i="4"/>
  <c r="AK57" i="4"/>
  <c r="AI57" i="4"/>
  <c r="AH57" i="4"/>
  <c r="AB57" i="4"/>
  <c r="AV56" i="4"/>
  <c r="AU56" i="4"/>
  <c r="AT56" i="4"/>
  <c r="AR56" i="4"/>
  <c r="AQ56" i="4"/>
  <c r="AL56" i="4"/>
  <c r="AK56" i="4"/>
  <c r="AI56" i="4"/>
  <c r="AH56" i="4"/>
  <c r="AB56" i="4"/>
  <c r="AV55" i="4"/>
  <c r="AU55" i="4"/>
  <c r="AT55" i="4"/>
  <c r="AR55" i="4"/>
  <c r="AQ55" i="4"/>
  <c r="AL55" i="4"/>
  <c r="AK55" i="4"/>
  <c r="AI55" i="4"/>
  <c r="AH55" i="4"/>
  <c r="AB55" i="4"/>
  <c r="AV54" i="4"/>
  <c r="AU54" i="4"/>
  <c r="AT54" i="4"/>
  <c r="AR54" i="4"/>
  <c r="AQ54" i="4"/>
  <c r="AL54" i="4"/>
  <c r="AK54" i="4"/>
  <c r="AI54" i="4"/>
  <c r="AH54" i="4"/>
  <c r="AB54" i="4"/>
  <c r="AV53" i="4"/>
  <c r="AU53" i="4"/>
  <c r="AT53" i="4"/>
  <c r="AR53" i="4"/>
  <c r="AQ53" i="4"/>
  <c r="AL53" i="4"/>
  <c r="AK53" i="4"/>
  <c r="AI53" i="4"/>
  <c r="AH53" i="4"/>
  <c r="AB53" i="4"/>
  <c r="AV52" i="4"/>
  <c r="AU52" i="4"/>
  <c r="AT52" i="4"/>
  <c r="AR52" i="4"/>
  <c r="AQ52" i="4"/>
  <c r="AL52" i="4"/>
  <c r="AK52" i="4"/>
  <c r="AI52" i="4"/>
  <c r="AH52" i="4"/>
  <c r="AB52" i="4"/>
  <c r="AV47" i="4"/>
  <c r="AU47" i="4"/>
  <c r="AT47" i="4"/>
  <c r="AR47" i="4"/>
  <c r="AQ47" i="4"/>
  <c r="AL47" i="4"/>
  <c r="AK47" i="4"/>
  <c r="AI47" i="4"/>
  <c r="AH47" i="4"/>
  <c r="AB47" i="4"/>
  <c r="AA47" i="4"/>
  <c r="R47" i="4"/>
  <c r="G47" i="4"/>
  <c r="V47" i="4" s="1"/>
  <c r="R43" i="4"/>
  <c r="H43" i="4"/>
  <c r="R41" i="4"/>
  <c r="AV36" i="4"/>
  <c r="AU36" i="4"/>
  <c r="AT36" i="4"/>
  <c r="AR36" i="4"/>
  <c r="AQ36" i="4"/>
  <c r="AL36" i="4"/>
  <c r="AK36" i="4"/>
  <c r="AI36" i="4"/>
  <c r="AH36" i="4"/>
  <c r="AB36" i="4"/>
  <c r="Z36" i="4"/>
  <c r="Z47" i="4" s="1"/>
  <c r="Z58" i="4" s="1"/>
  <c r="Z69" i="4" s="1"/>
  <c r="Q36" i="4"/>
  <c r="Q47" i="4" s="1"/>
  <c r="Q58" i="4" s="1"/>
  <c r="Q69" i="4" s="1"/>
  <c r="AB35" i="4"/>
  <c r="Z35" i="4"/>
  <c r="Q35" i="4"/>
  <c r="AB34" i="4"/>
  <c r="Z34" i="4"/>
  <c r="Q34" i="4"/>
  <c r="AB33" i="4"/>
  <c r="Z33" i="4"/>
  <c r="Q33" i="4"/>
  <c r="AB32" i="4"/>
  <c r="Z32" i="4"/>
  <c r="Q32" i="4"/>
  <c r="AB31" i="4"/>
  <c r="Z31" i="4"/>
  <c r="Q31" i="4"/>
  <c r="Q42" i="4" s="1"/>
  <c r="Q53" i="4" s="1"/>
  <c r="Q64" i="4" s="1"/>
  <c r="AB30" i="4"/>
  <c r="Z30" i="4"/>
  <c r="Z41" i="4" s="1"/>
  <c r="Z52" i="4" s="1"/>
  <c r="Z63" i="4" s="1"/>
  <c r="Q30" i="4"/>
  <c r="C34" i="4"/>
  <c r="C33" i="4"/>
  <c r="F25" i="4"/>
  <c r="M25" i="4" s="1"/>
  <c r="C20" i="4"/>
  <c r="C25" i="4"/>
  <c r="R25" i="4"/>
  <c r="AA25" i="4"/>
  <c r="AB25" i="4"/>
  <c r="AH25" i="4"/>
  <c r="AI25" i="4"/>
  <c r="AJ25" i="4"/>
  <c r="AJ36" i="4" s="1"/>
  <c r="AJ47" i="4" s="1"/>
  <c r="AJ58" i="4" s="1"/>
  <c r="AJ69" i="4" s="1"/>
  <c r="AK25" i="4"/>
  <c r="AL25" i="4"/>
  <c r="AQ25" i="4"/>
  <c r="AR25" i="4"/>
  <c r="AS25" i="4"/>
  <c r="AS36" i="4" s="1"/>
  <c r="AS47" i="4" s="1"/>
  <c r="AS58" i="4" s="1"/>
  <c r="AS69" i="4" s="1"/>
  <c r="AT25" i="4"/>
  <c r="AU25" i="4"/>
  <c r="AV25" i="4"/>
  <c r="AI53" i="2"/>
  <c r="AH53" i="2"/>
  <c r="AD53" i="2"/>
  <c r="AC53" i="2"/>
  <c r="AI52" i="2"/>
  <c r="AH52" i="2"/>
  <c r="AD52" i="2"/>
  <c r="AC52" i="2"/>
  <c r="AI51" i="2"/>
  <c r="AH51" i="2"/>
  <c r="AD51" i="2"/>
  <c r="AC51" i="2"/>
  <c r="AI50" i="2"/>
  <c r="AH50" i="2"/>
  <c r="AD50" i="2"/>
  <c r="AC50" i="2"/>
  <c r="AI49" i="2"/>
  <c r="AH49" i="2"/>
  <c r="AD49" i="2"/>
  <c r="AC49" i="2"/>
  <c r="AI42" i="2"/>
  <c r="AH42" i="2"/>
  <c r="AD42" i="2"/>
  <c r="AC42" i="2"/>
  <c r="AI41" i="2"/>
  <c r="AH41" i="2"/>
  <c r="AD41" i="2"/>
  <c r="AC41" i="2"/>
  <c r="AI40" i="2"/>
  <c r="AH40" i="2"/>
  <c r="AD40" i="2"/>
  <c r="AC40" i="2"/>
  <c r="AI39" i="2"/>
  <c r="AH39" i="2"/>
  <c r="AD39" i="2"/>
  <c r="AC39" i="2"/>
  <c r="AI38" i="2"/>
  <c r="AH38" i="2"/>
  <c r="AD38" i="2"/>
  <c r="AC38" i="2"/>
  <c r="AI33" i="2"/>
  <c r="AH33" i="2"/>
  <c r="AD33" i="2"/>
  <c r="AC33" i="2"/>
  <c r="AI32" i="2"/>
  <c r="AH32" i="2"/>
  <c r="AD32" i="2"/>
  <c r="AC32" i="2"/>
  <c r="AI31" i="2"/>
  <c r="AH31" i="2"/>
  <c r="AD31" i="2"/>
  <c r="AC31" i="2"/>
  <c r="AI30" i="2"/>
  <c r="AH30" i="2"/>
  <c r="AD30" i="2"/>
  <c r="AC30" i="2"/>
  <c r="AI29" i="2"/>
  <c r="AH29" i="2"/>
  <c r="AD29" i="2"/>
  <c r="AC29" i="2"/>
  <c r="AI28" i="2"/>
  <c r="AH28" i="2"/>
  <c r="AD28" i="2"/>
  <c r="AC28" i="2"/>
  <c r="AI22" i="2"/>
  <c r="AH22" i="2"/>
  <c r="AD22" i="2"/>
  <c r="AC22" i="2"/>
  <c r="AI21" i="2"/>
  <c r="AH21" i="2"/>
  <c r="AD21" i="2"/>
  <c r="AC21" i="2"/>
  <c r="AI20" i="2"/>
  <c r="AH20" i="2"/>
  <c r="AD20" i="2"/>
  <c r="AC20" i="2"/>
  <c r="AI19" i="2"/>
  <c r="AH19" i="2"/>
  <c r="AD19" i="2"/>
  <c r="AC19" i="2"/>
  <c r="AI18" i="2"/>
  <c r="AH18" i="2"/>
  <c r="AD18" i="2"/>
  <c r="AC18" i="2"/>
  <c r="AI17" i="2"/>
  <c r="AH17" i="2"/>
  <c r="AD17" i="2"/>
  <c r="AC17" i="2"/>
  <c r="U8" i="11"/>
  <c r="U9" i="11"/>
  <c r="U10" i="11"/>
  <c r="U11" i="11"/>
  <c r="U12" i="11"/>
  <c r="U13" i="11"/>
  <c r="U14" i="11"/>
  <c r="U18" i="11"/>
  <c r="U19" i="11"/>
  <c r="U20" i="11"/>
  <c r="U21" i="11"/>
  <c r="U22" i="11"/>
  <c r="U23" i="11"/>
  <c r="U24" i="11"/>
  <c r="U25" i="11"/>
  <c r="U7" i="11"/>
  <c r="N372" i="10"/>
  <c r="O372" i="10"/>
  <c r="P372" i="10"/>
  <c r="R372" i="10"/>
  <c r="S372" i="10"/>
  <c r="T372" i="10"/>
  <c r="U372" i="10"/>
  <c r="V372" i="10"/>
  <c r="N373" i="10"/>
  <c r="O373" i="10"/>
  <c r="P373" i="10"/>
  <c r="R373" i="10"/>
  <c r="S373" i="10"/>
  <c r="T373" i="10"/>
  <c r="U373" i="10"/>
  <c r="V373" i="10"/>
  <c r="N374" i="10"/>
  <c r="O374" i="10"/>
  <c r="P374" i="10"/>
  <c r="R374" i="10"/>
  <c r="S374" i="10"/>
  <c r="T374" i="10"/>
  <c r="U374" i="10"/>
  <c r="V374" i="10"/>
  <c r="N371" i="10"/>
  <c r="O371" i="10"/>
  <c r="P371" i="10"/>
  <c r="R371" i="10"/>
  <c r="S371" i="10"/>
  <c r="T371" i="10"/>
  <c r="U371" i="10"/>
  <c r="V371" i="10"/>
  <c r="N370" i="10"/>
  <c r="O370" i="10"/>
  <c r="P370" i="10"/>
  <c r="R370" i="10"/>
  <c r="S370" i="10"/>
  <c r="T370" i="10"/>
  <c r="U370" i="10"/>
  <c r="V370" i="10"/>
  <c r="V369" i="10"/>
  <c r="U369" i="10"/>
  <c r="T369" i="10"/>
  <c r="S369" i="10"/>
  <c r="R369" i="10"/>
  <c r="V368" i="10"/>
  <c r="U368" i="10"/>
  <c r="T368" i="10"/>
  <c r="S368" i="10"/>
  <c r="R368" i="10"/>
  <c r="V367" i="10"/>
  <c r="U367" i="10"/>
  <c r="T367" i="10"/>
  <c r="S367" i="10"/>
  <c r="R367" i="10"/>
  <c r="V366" i="10"/>
  <c r="U366" i="10"/>
  <c r="T366" i="10"/>
  <c r="S366" i="10"/>
  <c r="R366" i="10"/>
  <c r="V365" i="10"/>
  <c r="U365" i="10"/>
  <c r="T365" i="10"/>
  <c r="S365" i="10"/>
  <c r="R365" i="10"/>
  <c r="V364" i="10"/>
  <c r="U364" i="10"/>
  <c r="T364" i="10"/>
  <c r="S364" i="10"/>
  <c r="R364" i="10"/>
  <c r="V362" i="10"/>
  <c r="U362" i="10"/>
  <c r="T362" i="10"/>
  <c r="S362" i="10"/>
  <c r="R362" i="10"/>
  <c r="V361" i="10"/>
  <c r="U361" i="10"/>
  <c r="T361" i="10"/>
  <c r="S361" i="10"/>
  <c r="R361" i="10"/>
  <c r="V360" i="10"/>
  <c r="U360" i="10"/>
  <c r="T360" i="10"/>
  <c r="S360" i="10"/>
  <c r="R360" i="10"/>
  <c r="V359" i="10"/>
  <c r="U359" i="10"/>
  <c r="T359" i="10"/>
  <c r="S359" i="10"/>
  <c r="R359" i="10"/>
  <c r="V358" i="10"/>
  <c r="U358" i="10"/>
  <c r="T358" i="10"/>
  <c r="S358" i="10"/>
  <c r="R358" i="10"/>
  <c r="V357" i="10"/>
  <c r="U357" i="10"/>
  <c r="T357" i="10"/>
  <c r="S357" i="10"/>
  <c r="R357" i="10"/>
  <c r="V356" i="10"/>
  <c r="U356" i="10"/>
  <c r="T356" i="10"/>
  <c r="S356" i="10"/>
  <c r="R356" i="10"/>
  <c r="V355" i="10"/>
  <c r="U355" i="10"/>
  <c r="T355" i="10"/>
  <c r="S355" i="10"/>
  <c r="R355" i="10"/>
  <c r="V354" i="10"/>
  <c r="U354" i="10"/>
  <c r="T354" i="10"/>
  <c r="S354" i="10"/>
  <c r="R354" i="10"/>
  <c r="V353" i="10"/>
  <c r="U353" i="10"/>
  <c r="T353" i="10"/>
  <c r="S353" i="10"/>
  <c r="R353" i="10"/>
  <c r="N368" i="10"/>
  <c r="O368" i="10"/>
  <c r="P368" i="10"/>
  <c r="N369" i="10"/>
  <c r="O369" i="10"/>
  <c r="P369" i="10"/>
  <c r="P367" i="10"/>
  <c r="O367" i="10"/>
  <c r="N367" i="10"/>
  <c r="P366" i="10"/>
  <c r="O366" i="10"/>
  <c r="N366" i="10"/>
  <c r="P365" i="10"/>
  <c r="O365" i="10"/>
  <c r="N365" i="10"/>
  <c r="P364" i="10"/>
  <c r="O364" i="10"/>
  <c r="N364" i="10"/>
  <c r="P362" i="10"/>
  <c r="T25" i="11"/>
  <c r="O362" i="10"/>
  <c r="T14" i="11" s="1"/>
  <c r="N362" i="10"/>
  <c r="P361" i="10"/>
  <c r="S25" i="11" s="1"/>
  <c r="O361" i="10"/>
  <c r="S14" i="11" s="1"/>
  <c r="N361" i="10"/>
  <c r="P360" i="10"/>
  <c r="R25" i="11" s="1"/>
  <c r="O360" i="10"/>
  <c r="R14" i="11"/>
  <c r="N360" i="10"/>
  <c r="P359" i="10"/>
  <c r="T24" i="11" s="1"/>
  <c r="X24" i="11" s="1"/>
  <c r="O359" i="10"/>
  <c r="T13" i="11"/>
  <c r="N359" i="10"/>
  <c r="P358" i="10"/>
  <c r="T23" i="11"/>
  <c r="O358" i="10"/>
  <c r="T12" i="11" s="1"/>
  <c r="N358" i="10"/>
  <c r="P357" i="10"/>
  <c r="T22" i="11" s="1"/>
  <c r="O357" i="10"/>
  <c r="T11" i="11" s="1"/>
  <c r="N357" i="10"/>
  <c r="P356" i="10"/>
  <c r="T21" i="11" s="1"/>
  <c r="O356" i="10"/>
  <c r="T10" i="11"/>
  <c r="N356" i="10"/>
  <c r="P355" i="10"/>
  <c r="T20" i="11" s="1"/>
  <c r="O355" i="10"/>
  <c r="T9" i="11"/>
  <c r="N355" i="10"/>
  <c r="P354" i="10"/>
  <c r="T19" i="11"/>
  <c r="O354" i="10"/>
  <c r="T8" i="11" s="1"/>
  <c r="N354" i="10"/>
  <c r="P353" i="10"/>
  <c r="T18" i="11" s="1"/>
  <c r="O353" i="10"/>
  <c r="T7" i="11" s="1"/>
  <c r="N353" i="10"/>
  <c r="V350" i="10"/>
  <c r="U350" i="10"/>
  <c r="T350" i="10"/>
  <c r="S350" i="10"/>
  <c r="R350" i="10"/>
  <c r="P350" i="10"/>
  <c r="O350" i="10"/>
  <c r="N350" i="10"/>
  <c r="V349" i="10"/>
  <c r="U349" i="10"/>
  <c r="T349" i="10"/>
  <c r="S349" i="10"/>
  <c r="R349" i="10"/>
  <c r="P349" i="10"/>
  <c r="O349" i="10"/>
  <c r="N349" i="10"/>
  <c r="V348" i="10"/>
  <c r="U348" i="10"/>
  <c r="T348" i="10"/>
  <c r="S348" i="10"/>
  <c r="R348" i="10"/>
  <c r="P348" i="10"/>
  <c r="O348" i="10"/>
  <c r="N348" i="10"/>
  <c r="V347" i="10"/>
  <c r="U347" i="10"/>
  <c r="T347" i="10"/>
  <c r="S347" i="10"/>
  <c r="R347" i="10"/>
  <c r="P347" i="10"/>
  <c r="O347" i="10"/>
  <c r="N347" i="10"/>
  <c r="V346" i="10"/>
  <c r="U346" i="10"/>
  <c r="T346" i="10"/>
  <c r="S346" i="10"/>
  <c r="R346" i="10"/>
  <c r="P346" i="10"/>
  <c r="O346" i="10"/>
  <c r="N346" i="10"/>
  <c r="V345" i="10"/>
  <c r="U345" i="10"/>
  <c r="T345" i="10"/>
  <c r="S345" i="10"/>
  <c r="R345" i="10"/>
  <c r="P345" i="10"/>
  <c r="O345" i="10"/>
  <c r="N345" i="10"/>
  <c r="V344" i="10"/>
  <c r="U344" i="10"/>
  <c r="T344" i="10"/>
  <c r="S344" i="10"/>
  <c r="R344" i="10"/>
  <c r="P344" i="10"/>
  <c r="O344" i="10"/>
  <c r="N344" i="10"/>
  <c r="V343" i="10"/>
  <c r="U343" i="10"/>
  <c r="T343" i="10"/>
  <c r="S343" i="10"/>
  <c r="R343" i="10"/>
  <c r="P343" i="10"/>
  <c r="O343" i="10"/>
  <c r="N343" i="10"/>
  <c r="V342" i="10"/>
  <c r="U342" i="10"/>
  <c r="T342" i="10"/>
  <c r="S342" i="10"/>
  <c r="R342" i="10"/>
  <c r="P342" i="10"/>
  <c r="O342" i="10"/>
  <c r="N342" i="10"/>
  <c r="V341" i="10"/>
  <c r="U341" i="10"/>
  <c r="T341" i="10"/>
  <c r="S341" i="10"/>
  <c r="R341" i="10"/>
  <c r="P341" i="10"/>
  <c r="O341" i="10"/>
  <c r="N341" i="10"/>
  <c r="V339" i="10"/>
  <c r="U339" i="10"/>
  <c r="T339" i="10"/>
  <c r="S339" i="10"/>
  <c r="R339" i="10"/>
  <c r="P339" i="10"/>
  <c r="Q25" i="11" s="1"/>
  <c r="O339" i="10"/>
  <c r="Q14" i="11"/>
  <c r="N339" i="10"/>
  <c r="V338" i="10"/>
  <c r="U338" i="10"/>
  <c r="T338" i="10"/>
  <c r="S338" i="10"/>
  <c r="R338" i="10"/>
  <c r="P338" i="10"/>
  <c r="P25" i="11"/>
  <c r="O338" i="10"/>
  <c r="P14" i="11" s="1"/>
  <c r="N338" i="10"/>
  <c r="V337" i="10"/>
  <c r="U337" i="10"/>
  <c r="T337" i="10"/>
  <c r="S337" i="10"/>
  <c r="R337" i="10"/>
  <c r="P337" i="10"/>
  <c r="O25" i="11" s="1"/>
  <c r="O337" i="10"/>
  <c r="O14" i="11" s="1"/>
  <c r="N337" i="10"/>
  <c r="V336" i="10"/>
  <c r="U336" i="10"/>
  <c r="T336" i="10"/>
  <c r="S336" i="10"/>
  <c r="R336" i="10"/>
  <c r="P336" i="10"/>
  <c r="S24" i="11" s="1"/>
  <c r="O336" i="10"/>
  <c r="S13" i="11" s="1"/>
  <c r="N336" i="10"/>
  <c r="V335" i="10"/>
  <c r="U335" i="10"/>
  <c r="T335" i="10"/>
  <c r="S335" i="10"/>
  <c r="R335" i="10"/>
  <c r="P335" i="10"/>
  <c r="S23" i="11" s="1"/>
  <c r="O335" i="10"/>
  <c r="S12" i="11"/>
  <c r="N335" i="10"/>
  <c r="V334" i="10"/>
  <c r="U334" i="10"/>
  <c r="T334" i="10"/>
  <c r="S334" i="10"/>
  <c r="R334" i="10"/>
  <c r="P334" i="10"/>
  <c r="S22" i="11"/>
  <c r="O334" i="10"/>
  <c r="S11" i="11" s="1"/>
  <c r="N334" i="10"/>
  <c r="V333" i="10"/>
  <c r="U333" i="10"/>
  <c r="T333" i="10"/>
  <c r="S333" i="10"/>
  <c r="R333" i="10"/>
  <c r="P333" i="10"/>
  <c r="S21" i="11" s="1"/>
  <c r="O333" i="10"/>
  <c r="S10" i="11" s="1"/>
  <c r="N333" i="10"/>
  <c r="V332" i="10"/>
  <c r="U332" i="10"/>
  <c r="T332" i="10"/>
  <c r="S332" i="10"/>
  <c r="R332" i="10"/>
  <c r="P332" i="10"/>
  <c r="S20" i="11" s="1"/>
  <c r="O332" i="10"/>
  <c r="S9" i="11" s="1"/>
  <c r="N332" i="10"/>
  <c r="V331" i="10"/>
  <c r="U331" i="10"/>
  <c r="T331" i="10"/>
  <c r="S331" i="10"/>
  <c r="R331" i="10"/>
  <c r="P331" i="10"/>
  <c r="S19" i="11" s="1"/>
  <c r="O331" i="10"/>
  <c r="S8" i="11"/>
  <c r="N331" i="10"/>
  <c r="V330" i="10"/>
  <c r="U330" i="10"/>
  <c r="T330" i="10"/>
  <c r="S330" i="10"/>
  <c r="R330" i="10"/>
  <c r="P330" i="10"/>
  <c r="S18" i="11"/>
  <c r="O330" i="10"/>
  <c r="S7" i="11" s="1"/>
  <c r="N330" i="10"/>
  <c r="P277" i="10"/>
  <c r="P278" i="10"/>
  <c r="P279" i="10"/>
  <c r="P280" i="10"/>
  <c r="P281" i="10"/>
  <c r="P282" i="10"/>
  <c r="P283" i="10"/>
  <c r="O278" i="10"/>
  <c r="O279" i="10"/>
  <c r="O280" i="10"/>
  <c r="O281" i="10"/>
  <c r="O282" i="10"/>
  <c r="O283" i="10"/>
  <c r="O277" i="10"/>
  <c r="R19" i="11"/>
  <c r="R20" i="11"/>
  <c r="R21" i="11"/>
  <c r="R22" i="11"/>
  <c r="R23" i="11"/>
  <c r="R8" i="11"/>
  <c r="R9" i="11"/>
  <c r="R10" i="11"/>
  <c r="R11" i="11"/>
  <c r="R12" i="11"/>
  <c r="R7" i="11"/>
  <c r="P27" i="10"/>
  <c r="Q18" i="11" s="1"/>
  <c r="P28" i="10"/>
  <c r="Q19" i="11" s="1"/>
  <c r="P29" i="10"/>
  <c r="Q20" i="11" s="1"/>
  <c r="P30" i="10"/>
  <c r="Q21" i="11"/>
  <c r="P31" i="10"/>
  <c r="Q22" i="11" s="1"/>
  <c r="P32" i="10"/>
  <c r="Q23" i="11"/>
  <c r="P33" i="10"/>
  <c r="Q24" i="11" s="1"/>
  <c r="O30" i="10"/>
  <c r="Q10" i="11"/>
  <c r="O31" i="10"/>
  <c r="Q11" i="11" s="1"/>
  <c r="O32" i="10"/>
  <c r="Q12" i="11" s="1"/>
  <c r="O33" i="10"/>
  <c r="Q13" i="11" s="1"/>
  <c r="O27" i="10"/>
  <c r="Q7" i="11"/>
  <c r="V7" i="11" s="1"/>
  <c r="O28" i="10"/>
  <c r="Q8" i="11" s="1"/>
  <c r="O29" i="10"/>
  <c r="Q9" i="11"/>
  <c r="P19" i="10"/>
  <c r="P18" i="11" s="1"/>
  <c r="V18" i="11" s="1"/>
  <c r="P20" i="10"/>
  <c r="P19" i="11"/>
  <c r="P21" i="10"/>
  <c r="P20" i="11" s="1"/>
  <c r="P22" i="10"/>
  <c r="P21" i="11" s="1"/>
  <c r="X21" i="11" s="1"/>
  <c r="P23" i="10"/>
  <c r="P22" i="11" s="1"/>
  <c r="P24" i="10"/>
  <c r="P23" i="11"/>
  <c r="P25" i="10"/>
  <c r="P24" i="11" s="1"/>
  <c r="O20" i="10"/>
  <c r="P8" i="11"/>
  <c r="O21" i="10"/>
  <c r="P9" i="11" s="1"/>
  <c r="O22" i="10"/>
  <c r="P10" i="11"/>
  <c r="O23" i="10"/>
  <c r="P11" i="11" s="1"/>
  <c r="O24" i="10"/>
  <c r="P12" i="11" s="1"/>
  <c r="O25" i="10"/>
  <c r="P13" i="11" s="1"/>
  <c r="O19" i="10"/>
  <c r="P7" i="11"/>
  <c r="N322" i="10"/>
  <c r="O322" i="10"/>
  <c r="P322" i="10"/>
  <c r="R322" i="10"/>
  <c r="S322" i="10"/>
  <c r="T322" i="10"/>
  <c r="U322" i="10"/>
  <c r="V322" i="10"/>
  <c r="N323" i="10"/>
  <c r="O323" i="10"/>
  <c r="P323" i="10"/>
  <c r="R323" i="10"/>
  <c r="S323" i="10"/>
  <c r="T323" i="10"/>
  <c r="U323" i="10"/>
  <c r="V323" i="10"/>
  <c r="N324" i="10"/>
  <c r="O324" i="10"/>
  <c r="P324" i="10"/>
  <c r="R324" i="10"/>
  <c r="S324" i="10"/>
  <c r="T324" i="10"/>
  <c r="U324" i="10"/>
  <c r="V324" i="10"/>
  <c r="V321" i="10"/>
  <c r="U321" i="10"/>
  <c r="T321" i="10"/>
  <c r="S321" i="10"/>
  <c r="R321" i="10"/>
  <c r="P321" i="10"/>
  <c r="O321" i="10"/>
  <c r="N321" i="10"/>
  <c r="V320" i="10"/>
  <c r="U320" i="10"/>
  <c r="T320" i="10"/>
  <c r="S320" i="10"/>
  <c r="R320" i="10"/>
  <c r="P320" i="10"/>
  <c r="O320" i="10"/>
  <c r="N320" i="10"/>
  <c r="V319" i="10"/>
  <c r="U319" i="10"/>
  <c r="T319" i="10"/>
  <c r="S319" i="10"/>
  <c r="R319" i="10"/>
  <c r="P319" i="10"/>
  <c r="O319" i="10"/>
  <c r="N319" i="10"/>
  <c r="V318" i="10"/>
  <c r="U318" i="10"/>
  <c r="T318" i="10"/>
  <c r="S318" i="10"/>
  <c r="R318" i="10"/>
  <c r="P318" i="10"/>
  <c r="O318" i="10"/>
  <c r="N318" i="10"/>
  <c r="V317" i="10"/>
  <c r="U317" i="10"/>
  <c r="T317" i="10"/>
  <c r="S317" i="10"/>
  <c r="R317" i="10"/>
  <c r="P317" i="10"/>
  <c r="O317" i="10"/>
  <c r="N317" i="10"/>
  <c r="V316" i="10"/>
  <c r="U316" i="10"/>
  <c r="T316" i="10"/>
  <c r="S316" i="10"/>
  <c r="R316" i="10"/>
  <c r="P316" i="10"/>
  <c r="O316" i="10"/>
  <c r="N316" i="10"/>
  <c r="V315" i="10"/>
  <c r="U315" i="10"/>
  <c r="T315" i="10"/>
  <c r="S315" i="10"/>
  <c r="R315" i="10"/>
  <c r="P315" i="10"/>
  <c r="O315" i="10"/>
  <c r="N315" i="10"/>
  <c r="V314" i="10"/>
  <c r="U314" i="10"/>
  <c r="T314" i="10"/>
  <c r="S314" i="10"/>
  <c r="R314" i="10"/>
  <c r="P314" i="10"/>
  <c r="O314" i="10"/>
  <c r="N314" i="10"/>
  <c r="V313" i="10"/>
  <c r="U313" i="10"/>
  <c r="T313" i="10"/>
  <c r="S313" i="10"/>
  <c r="R313" i="10"/>
  <c r="P313" i="10"/>
  <c r="O313" i="10"/>
  <c r="N313" i="10"/>
  <c r="V312" i="10"/>
  <c r="U312" i="10"/>
  <c r="T312" i="10"/>
  <c r="S312" i="10"/>
  <c r="R312" i="10"/>
  <c r="P312" i="10"/>
  <c r="O312" i="10"/>
  <c r="N312" i="10"/>
  <c r="V311" i="10"/>
  <c r="U311" i="10"/>
  <c r="T311" i="10"/>
  <c r="S311" i="10"/>
  <c r="R311" i="10"/>
  <c r="P311" i="10"/>
  <c r="O311" i="10"/>
  <c r="N311" i="10"/>
  <c r="V310" i="10"/>
  <c r="U310" i="10"/>
  <c r="T310" i="10"/>
  <c r="S310" i="10"/>
  <c r="R310" i="10"/>
  <c r="P310" i="10"/>
  <c r="O310" i="10"/>
  <c r="N310" i="10"/>
  <c r="V308" i="10"/>
  <c r="U308" i="10"/>
  <c r="T308" i="10"/>
  <c r="S308" i="10"/>
  <c r="R308" i="10"/>
  <c r="P308" i="10"/>
  <c r="O308" i="10"/>
  <c r="N308" i="10"/>
  <c r="V307" i="10"/>
  <c r="U307" i="10"/>
  <c r="T307" i="10"/>
  <c r="S307" i="10"/>
  <c r="R307" i="10"/>
  <c r="P307" i="10"/>
  <c r="O307" i="10"/>
  <c r="N307" i="10"/>
  <c r="V306" i="10"/>
  <c r="U306" i="10"/>
  <c r="T306" i="10"/>
  <c r="S306" i="10"/>
  <c r="R306" i="10"/>
  <c r="P306" i="10"/>
  <c r="O306" i="10"/>
  <c r="N306" i="10"/>
  <c r="V305" i="10"/>
  <c r="U305" i="10"/>
  <c r="T305" i="10"/>
  <c r="S305" i="10"/>
  <c r="R305" i="10"/>
  <c r="P305" i="10"/>
  <c r="O305" i="10"/>
  <c r="N305" i="10"/>
  <c r="V304" i="10"/>
  <c r="U304" i="10"/>
  <c r="T304" i="10"/>
  <c r="S304" i="10"/>
  <c r="R304" i="10"/>
  <c r="P304" i="10"/>
  <c r="O304" i="10"/>
  <c r="N304" i="10"/>
  <c r="V303" i="10"/>
  <c r="U303" i="10"/>
  <c r="T303" i="10"/>
  <c r="S303" i="10"/>
  <c r="R303" i="10"/>
  <c r="P303" i="10"/>
  <c r="O303" i="10"/>
  <c r="N303" i="10"/>
  <c r="V302" i="10"/>
  <c r="U302" i="10"/>
  <c r="T302" i="10"/>
  <c r="S302" i="10"/>
  <c r="R302" i="10"/>
  <c r="P302" i="10"/>
  <c r="O302" i="10"/>
  <c r="N302" i="10"/>
  <c r="V301" i="10"/>
  <c r="U301" i="10"/>
  <c r="T301" i="10"/>
  <c r="S301" i="10"/>
  <c r="R301" i="10"/>
  <c r="P301" i="10"/>
  <c r="O301" i="10"/>
  <c r="N301" i="10"/>
  <c r="V300" i="10"/>
  <c r="U300" i="10"/>
  <c r="T300" i="10"/>
  <c r="S300" i="10"/>
  <c r="R300" i="10"/>
  <c r="P300" i="10"/>
  <c r="O300" i="10"/>
  <c r="N300" i="10"/>
  <c r="R284" i="10"/>
  <c r="S284" i="10"/>
  <c r="T284" i="10"/>
  <c r="U284" i="10"/>
  <c r="V284" i="10"/>
  <c r="R285" i="10"/>
  <c r="S285" i="10"/>
  <c r="T285" i="10"/>
  <c r="U285" i="10"/>
  <c r="V285" i="10"/>
  <c r="R286" i="10"/>
  <c r="S286" i="10"/>
  <c r="T286" i="10"/>
  <c r="U286" i="10"/>
  <c r="V286" i="10"/>
  <c r="R287" i="10"/>
  <c r="S287" i="10"/>
  <c r="T287" i="10"/>
  <c r="U287" i="10"/>
  <c r="V287" i="10"/>
  <c r="R288" i="10"/>
  <c r="S288" i="10"/>
  <c r="T288" i="10"/>
  <c r="U288" i="10"/>
  <c r="V288" i="10"/>
  <c r="R289" i="10"/>
  <c r="S289" i="10"/>
  <c r="T289" i="10"/>
  <c r="U289" i="10"/>
  <c r="V289" i="10"/>
  <c r="R290" i="10"/>
  <c r="S290" i="10"/>
  <c r="T290" i="10"/>
  <c r="U290" i="10"/>
  <c r="V290" i="10"/>
  <c r="R291" i="10"/>
  <c r="S291" i="10"/>
  <c r="T291" i="10"/>
  <c r="U291" i="10"/>
  <c r="V291" i="10"/>
  <c r="R292" i="10"/>
  <c r="S292" i="10"/>
  <c r="T292" i="10"/>
  <c r="U292" i="10"/>
  <c r="V292" i="10"/>
  <c r="N291" i="10"/>
  <c r="O291" i="10"/>
  <c r="P291" i="10"/>
  <c r="N292" i="10"/>
  <c r="O292" i="10"/>
  <c r="P292" i="10"/>
  <c r="N284" i="10"/>
  <c r="O284" i="10"/>
  <c r="P284" i="10"/>
  <c r="N285" i="10"/>
  <c r="O285" i="10"/>
  <c r="P285" i="10"/>
  <c r="N286" i="10"/>
  <c r="O286" i="10"/>
  <c r="P286" i="10"/>
  <c r="N287" i="10"/>
  <c r="O287" i="10"/>
  <c r="P287" i="10"/>
  <c r="N288" i="10"/>
  <c r="O288" i="10"/>
  <c r="P288" i="10"/>
  <c r="N289" i="10"/>
  <c r="O289" i="10"/>
  <c r="P289" i="10"/>
  <c r="N290" i="10"/>
  <c r="O290" i="10"/>
  <c r="P290" i="10"/>
  <c r="V299" i="10"/>
  <c r="U299" i="10"/>
  <c r="T299" i="10"/>
  <c r="S299" i="10"/>
  <c r="R299" i="10"/>
  <c r="P299" i="10"/>
  <c r="O299" i="10"/>
  <c r="N299" i="10"/>
  <c r="V298" i="10"/>
  <c r="U298" i="10"/>
  <c r="T298" i="10"/>
  <c r="S298" i="10"/>
  <c r="R298" i="10"/>
  <c r="P298" i="10"/>
  <c r="O298" i="10"/>
  <c r="N298" i="10"/>
  <c r="V297" i="10"/>
  <c r="U297" i="10"/>
  <c r="T297" i="10"/>
  <c r="S297" i="10"/>
  <c r="R297" i="10"/>
  <c r="P297" i="10"/>
  <c r="O297" i="10"/>
  <c r="N297" i="10"/>
  <c r="V296" i="10"/>
  <c r="U296" i="10"/>
  <c r="T296" i="10"/>
  <c r="S296" i="10"/>
  <c r="R296" i="10"/>
  <c r="P296" i="10"/>
  <c r="O296" i="10"/>
  <c r="N296" i="10"/>
  <c r="V295" i="10"/>
  <c r="U295" i="10"/>
  <c r="T295" i="10"/>
  <c r="S295" i="10"/>
  <c r="R295" i="10"/>
  <c r="P295" i="10"/>
  <c r="O295" i="10"/>
  <c r="N295" i="10"/>
  <c r="V283" i="10"/>
  <c r="U283" i="10"/>
  <c r="T283" i="10"/>
  <c r="S283" i="10"/>
  <c r="R283" i="10"/>
  <c r="N283" i="10"/>
  <c r="V282" i="10"/>
  <c r="U282" i="10"/>
  <c r="T282" i="10"/>
  <c r="S282" i="10"/>
  <c r="R282" i="10"/>
  <c r="N282" i="10"/>
  <c r="V281" i="10"/>
  <c r="U281" i="10"/>
  <c r="T281" i="10"/>
  <c r="S281" i="10"/>
  <c r="R281" i="10"/>
  <c r="N281" i="10"/>
  <c r="V280" i="10"/>
  <c r="U280" i="10"/>
  <c r="T280" i="10"/>
  <c r="S280" i="10"/>
  <c r="R280" i="10"/>
  <c r="N280" i="10"/>
  <c r="V279" i="10"/>
  <c r="U279" i="10"/>
  <c r="T279" i="10"/>
  <c r="S279" i="10"/>
  <c r="R279" i="10"/>
  <c r="N279" i="10"/>
  <c r="V278" i="10"/>
  <c r="U278" i="10"/>
  <c r="T278" i="10"/>
  <c r="S278" i="10"/>
  <c r="R278" i="10"/>
  <c r="N278" i="10"/>
  <c r="V277" i="10"/>
  <c r="U277" i="10"/>
  <c r="T277" i="10"/>
  <c r="S277" i="10"/>
  <c r="R277" i="10"/>
  <c r="N277" i="10"/>
  <c r="O234" i="10"/>
  <c r="D69" i="2" s="1"/>
  <c r="O207" i="10"/>
  <c r="O184" i="10"/>
  <c r="D28" i="2"/>
  <c r="O169" i="10"/>
  <c r="D17" i="2" s="1"/>
  <c r="P234" i="10"/>
  <c r="E69" i="2"/>
  <c r="P207" i="10"/>
  <c r="P184" i="10"/>
  <c r="E28" i="2" s="1"/>
  <c r="E17" i="2"/>
  <c r="O236" i="10"/>
  <c r="D70" i="2"/>
  <c r="O208" i="10"/>
  <c r="O185" i="10"/>
  <c r="D29" i="2"/>
  <c r="O170" i="10"/>
  <c r="D18" i="2" s="1"/>
  <c r="D6" i="2"/>
  <c r="P236" i="10"/>
  <c r="E70" i="2"/>
  <c r="P208" i="10"/>
  <c r="P185" i="10"/>
  <c r="E29" i="2"/>
  <c r="E18" i="2"/>
  <c r="E6" i="2"/>
  <c r="O237" i="10"/>
  <c r="D71" i="2"/>
  <c r="O209" i="10"/>
  <c r="O186" i="10"/>
  <c r="D30" i="2" s="1"/>
  <c r="O171" i="10"/>
  <c r="D19" i="2" s="1"/>
  <c r="D7" i="2"/>
  <c r="P237" i="10"/>
  <c r="E71" i="2" s="1"/>
  <c r="P209" i="10"/>
  <c r="E50" i="2"/>
  <c r="P186" i="10"/>
  <c r="E30" i="2" s="1"/>
  <c r="P171" i="10"/>
  <c r="E19" i="2"/>
  <c r="E7" i="2"/>
  <c r="O238" i="10"/>
  <c r="D72" i="2" s="1"/>
  <c r="O210" i="10"/>
  <c r="W251" i="10" s="1"/>
  <c r="Y251" i="10" s="1"/>
  <c r="O187" i="10"/>
  <c r="D31" i="2" s="1"/>
  <c r="O172" i="10"/>
  <c r="D20" i="2"/>
  <c r="D8" i="2"/>
  <c r="P238" i="10"/>
  <c r="E72" i="2"/>
  <c r="P210" i="10"/>
  <c r="P187" i="10"/>
  <c r="E31" i="2"/>
  <c r="P172" i="10"/>
  <c r="E20" i="2" s="1"/>
  <c r="E8" i="2"/>
  <c r="O239" i="10"/>
  <c r="D73" i="2"/>
  <c r="O211" i="10"/>
  <c r="O188" i="10"/>
  <c r="D32" i="2" s="1"/>
  <c r="O173" i="10"/>
  <c r="D21" i="2" s="1"/>
  <c r="D9" i="2"/>
  <c r="P239" i="10"/>
  <c r="E73" i="2" s="1"/>
  <c r="P211" i="10"/>
  <c r="P188" i="10"/>
  <c r="E32" i="2" s="1"/>
  <c r="P173" i="10"/>
  <c r="E21" i="2"/>
  <c r="E9" i="2"/>
  <c r="O240" i="10"/>
  <c r="D74" i="2" s="1"/>
  <c r="O212" i="10"/>
  <c r="D53" i="2"/>
  <c r="O189" i="10"/>
  <c r="D33" i="2" s="1"/>
  <c r="O174" i="10"/>
  <c r="D22" i="2"/>
  <c r="D10" i="2"/>
  <c r="P240" i="10"/>
  <c r="E74" i="2"/>
  <c r="P212" i="10"/>
  <c r="X254" i="10" s="1"/>
  <c r="P189" i="10"/>
  <c r="E33" i="2"/>
  <c r="P174" i="10"/>
  <c r="E22" i="2" s="1"/>
  <c r="E10" i="2"/>
  <c r="O241" i="10"/>
  <c r="D75" i="2"/>
  <c r="O213" i="10"/>
  <c r="O190" i="10"/>
  <c r="D34" i="2" s="1"/>
  <c r="O175" i="10"/>
  <c r="D23" i="2" s="1"/>
  <c r="D11" i="2"/>
  <c r="P11" i="2" s="1"/>
  <c r="AB11" i="2" s="1"/>
  <c r="P241" i="10"/>
  <c r="E75" i="2" s="1"/>
  <c r="P213" i="10"/>
  <c r="E54" i="2"/>
  <c r="P190" i="10"/>
  <c r="E34" i="2" s="1"/>
  <c r="P175" i="10"/>
  <c r="E23" i="2"/>
  <c r="E11" i="2"/>
  <c r="N241" i="10"/>
  <c r="C75" i="2" s="1"/>
  <c r="N240" i="10"/>
  <c r="C74" i="2" s="1"/>
  <c r="E135" i="7" s="1"/>
  <c r="N239" i="10"/>
  <c r="C73" i="2" s="1"/>
  <c r="N238" i="10"/>
  <c r="C72" i="2"/>
  <c r="N237" i="10"/>
  <c r="C71" i="2" s="1"/>
  <c r="N236" i="10"/>
  <c r="C70" i="2"/>
  <c r="N234" i="10"/>
  <c r="C69" i="2" s="1"/>
  <c r="N224" i="10"/>
  <c r="C58" i="4" s="1"/>
  <c r="C63" i="2"/>
  <c r="N71" i="5" s="1"/>
  <c r="O224" i="10"/>
  <c r="D63" i="2" s="1"/>
  <c r="P224" i="10"/>
  <c r="E63" i="2" s="1"/>
  <c r="N219" i="10"/>
  <c r="C53" i="4" s="1"/>
  <c r="O219" i="10"/>
  <c r="D58" i="2"/>
  <c r="P219" i="10"/>
  <c r="E58" i="2" s="1"/>
  <c r="N220" i="10"/>
  <c r="C54" i="4" s="1"/>
  <c r="C59" i="2"/>
  <c r="N67" i="5" s="1"/>
  <c r="O220" i="10"/>
  <c r="D59" i="2" s="1"/>
  <c r="P220" i="10"/>
  <c r="E59" i="2"/>
  <c r="N221" i="10"/>
  <c r="C55" i="4" s="1"/>
  <c r="O221" i="10"/>
  <c r="D60" i="2" s="1"/>
  <c r="P221" i="10"/>
  <c r="E60" i="2" s="1"/>
  <c r="N222" i="10"/>
  <c r="C56" i="4" s="1"/>
  <c r="C61" i="2"/>
  <c r="N69" i="5" s="1"/>
  <c r="O222" i="10"/>
  <c r="D61" i="2" s="1"/>
  <c r="P222" i="10"/>
  <c r="E61" i="2"/>
  <c r="N223" i="10"/>
  <c r="C57" i="4" s="1"/>
  <c r="O223" i="10"/>
  <c r="D62" i="2"/>
  <c r="P223" i="10"/>
  <c r="E62" i="2" s="1"/>
  <c r="N208" i="10"/>
  <c r="N209" i="10"/>
  <c r="N210" i="10"/>
  <c r="C51" i="2"/>
  <c r="N54" i="5" s="1"/>
  <c r="N211" i="10"/>
  <c r="N212" i="10"/>
  <c r="N213" i="10"/>
  <c r="N218" i="10"/>
  <c r="C52" i="4" s="1"/>
  <c r="C57" i="2"/>
  <c r="N65" i="5" s="1"/>
  <c r="P218" i="10"/>
  <c r="E57" i="2" s="1"/>
  <c r="O218" i="10"/>
  <c r="D57" i="2" s="1"/>
  <c r="N264" i="10"/>
  <c r="V264" i="10" s="1"/>
  <c r="R267" i="10"/>
  <c r="S267" i="10"/>
  <c r="T267" i="10"/>
  <c r="R268" i="10"/>
  <c r="S268" i="10"/>
  <c r="T268" i="10"/>
  <c r="R269" i="10"/>
  <c r="S269" i="10"/>
  <c r="T269" i="10"/>
  <c r="R270" i="10"/>
  <c r="S270" i="10"/>
  <c r="T270" i="10"/>
  <c r="R271" i="10"/>
  <c r="S271" i="10"/>
  <c r="T271" i="10"/>
  <c r="N267" i="10"/>
  <c r="V267" i="10"/>
  <c r="O267" i="10"/>
  <c r="P267" i="10"/>
  <c r="N268" i="10"/>
  <c r="V268" i="10"/>
  <c r="O268" i="10"/>
  <c r="P268" i="10"/>
  <c r="N269" i="10"/>
  <c r="V269" i="10"/>
  <c r="O269" i="10"/>
  <c r="P269" i="10"/>
  <c r="N270" i="10"/>
  <c r="V270" i="10"/>
  <c r="O270" i="10"/>
  <c r="P270" i="10"/>
  <c r="N271" i="10"/>
  <c r="O271" i="10"/>
  <c r="P271" i="10"/>
  <c r="T266" i="10"/>
  <c r="S266" i="10"/>
  <c r="R266" i="10"/>
  <c r="P266" i="10"/>
  <c r="O266" i="10"/>
  <c r="N266" i="10"/>
  <c r="V266" i="10"/>
  <c r="T265" i="10"/>
  <c r="S265" i="10"/>
  <c r="R265" i="10"/>
  <c r="P265" i="10"/>
  <c r="O265" i="10"/>
  <c r="N265" i="10"/>
  <c r="V265" i="10" s="1"/>
  <c r="T264" i="10"/>
  <c r="S264" i="10"/>
  <c r="R264" i="10"/>
  <c r="P264" i="10"/>
  <c r="O264" i="10"/>
  <c r="T263" i="10"/>
  <c r="S263" i="10"/>
  <c r="R263" i="10"/>
  <c r="P263" i="10"/>
  <c r="X263" i="10" s="1"/>
  <c r="O263" i="10"/>
  <c r="N263" i="10"/>
  <c r="V263" i="10" s="1"/>
  <c r="T262" i="10"/>
  <c r="S262" i="10"/>
  <c r="R262" i="10"/>
  <c r="P262" i="10"/>
  <c r="O262" i="10"/>
  <c r="N262" i="10"/>
  <c r="V262" i="10" s="1"/>
  <c r="T261" i="10"/>
  <c r="S261" i="10"/>
  <c r="R261" i="10"/>
  <c r="P261" i="10"/>
  <c r="O261" i="10"/>
  <c r="N261" i="10"/>
  <c r="V261" i="10" s="1"/>
  <c r="T260" i="10"/>
  <c r="S260" i="10"/>
  <c r="R260" i="10"/>
  <c r="P260" i="10"/>
  <c r="O260" i="10"/>
  <c r="N260" i="10"/>
  <c r="V260" i="10"/>
  <c r="R256" i="10"/>
  <c r="S256" i="10"/>
  <c r="T256" i="10"/>
  <c r="R257" i="10"/>
  <c r="S257" i="10"/>
  <c r="T257" i="10"/>
  <c r="N256" i="10"/>
  <c r="O256" i="10"/>
  <c r="W269" i="10" s="1"/>
  <c r="P256" i="10"/>
  <c r="X269" i="10" s="1"/>
  <c r="N257" i="10"/>
  <c r="O257" i="10"/>
  <c r="W270" i="10" s="1"/>
  <c r="P257" i="10"/>
  <c r="X270" i="10"/>
  <c r="T255" i="10"/>
  <c r="S255" i="10"/>
  <c r="R255" i="10"/>
  <c r="P255" i="10"/>
  <c r="X268" i="10"/>
  <c r="O255" i="10"/>
  <c r="W268" i="10" s="1"/>
  <c r="N255" i="10"/>
  <c r="T254" i="10"/>
  <c r="H69" i="4" s="1"/>
  <c r="N69" i="4" s="1"/>
  <c r="S254" i="10"/>
  <c r="G69" i="4" s="1"/>
  <c r="V69" i="4" s="1"/>
  <c r="R254" i="10"/>
  <c r="F69" i="4" s="1"/>
  <c r="M69" i="4" s="1"/>
  <c r="P254" i="10"/>
  <c r="X267" i="10"/>
  <c r="O254" i="10"/>
  <c r="D54" i="2" s="1"/>
  <c r="N254" i="10"/>
  <c r="T253" i="10"/>
  <c r="S253" i="10"/>
  <c r="G68" i="4" s="1"/>
  <c r="V68" i="4" s="1"/>
  <c r="R253" i="10"/>
  <c r="F68" i="4" s="1"/>
  <c r="M68" i="4" s="1"/>
  <c r="P253" i="10"/>
  <c r="O253" i="10"/>
  <c r="W266" i="10" s="1"/>
  <c r="N253" i="10"/>
  <c r="C68" i="4" s="1"/>
  <c r="T252" i="10"/>
  <c r="H67" i="4" s="1"/>
  <c r="N67" i="4" s="1"/>
  <c r="S252" i="10"/>
  <c r="G67" i="4" s="1"/>
  <c r="V67" i="4" s="1"/>
  <c r="R252" i="10"/>
  <c r="F67" i="4" s="1"/>
  <c r="M67" i="4" s="1"/>
  <c r="P252" i="10"/>
  <c r="E52" i="2" s="1"/>
  <c r="X265" i="10"/>
  <c r="O252" i="10"/>
  <c r="D52" i="2" s="1"/>
  <c r="N252" i="10"/>
  <c r="T251" i="10"/>
  <c r="H66" i="4" s="1"/>
  <c r="N66" i="4" s="1"/>
  <c r="S251" i="10"/>
  <c r="G66" i="4" s="1"/>
  <c r="V66" i="4" s="1"/>
  <c r="R251" i="10"/>
  <c r="P251" i="10"/>
  <c r="E51" i="2" s="1"/>
  <c r="O251" i="10"/>
  <c r="W264" i="10" s="1"/>
  <c r="N251" i="10"/>
  <c r="C66" i="4" s="1"/>
  <c r="T250" i="10"/>
  <c r="H65" i="4" s="1"/>
  <c r="N65" i="4" s="1"/>
  <c r="S250" i="10"/>
  <c r="G65" i="4" s="1"/>
  <c r="V65" i="4" s="1"/>
  <c r="R250" i="10"/>
  <c r="F65" i="4" s="1"/>
  <c r="M65" i="4" s="1"/>
  <c r="P250" i="10"/>
  <c r="O250" i="10"/>
  <c r="D50" i="2" s="1"/>
  <c r="N250" i="10"/>
  <c r="C65" i="4" s="1"/>
  <c r="T249" i="10"/>
  <c r="S249" i="10"/>
  <c r="G64" i="4" s="1"/>
  <c r="V64" i="4" s="1"/>
  <c r="R249" i="10"/>
  <c r="F64" i="4" s="1"/>
  <c r="M64" i="4" s="1"/>
  <c r="P249" i="10"/>
  <c r="E49" i="2" s="1"/>
  <c r="O249" i="10"/>
  <c r="D49" i="2" s="1"/>
  <c r="W262" i="10"/>
  <c r="N249" i="10"/>
  <c r="C64" i="4" s="1"/>
  <c r="T248" i="10"/>
  <c r="H63" i="4" s="1"/>
  <c r="N63" i="4" s="1"/>
  <c r="S248" i="10"/>
  <c r="G63" i="4" s="1"/>
  <c r="V63" i="4" s="1"/>
  <c r="R248" i="10"/>
  <c r="F63" i="4" s="1"/>
  <c r="M63" i="4" s="1"/>
  <c r="P248" i="10"/>
  <c r="O248" i="10"/>
  <c r="D48" i="2" s="1"/>
  <c r="N248" i="10"/>
  <c r="C63" i="4" s="1"/>
  <c r="T247" i="10"/>
  <c r="S247" i="10"/>
  <c r="R247" i="10"/>
  <c r="P247" i="10"/>
  <c r="X260" i="10" s="1"/>
  <c r="O247" i="10"/>
  <c r="N247" i="10"/>
  <c r="T243" i="10"/>
  <c r="S243" i="10"/>
  <c r="R243" i="10"/>
  <c r="P243" i="10"/>
  <c r="O243" i="10"/>
  <c r="N243" i="10"/>
  <c r="T242" i="10"/>
  <c r="S242" i="10"/>
  <c r="R242" i="10"/>
  <c r="P242" i="10"/>
  <c r="O242" i="10"/>
  <c r="N242" i="10"/>
  <c r="T241" i="10"/>
  <c r="S241" i="10"/>
  <c r="R241" i="10"/>
  <c r="T240" i="10"/>
  <c r="S240" i="10"/>
  <c r="R240" i="10"/>
  <c r="T239" i="10"/>
  <c r="S239" i="10"/>
  <c r="R239" i="10"/>
  <c r="T238" i="10"/>
  <c r="S238" i="10"/>
  <c r="R238" i="10"/>
  <c r="T237" i="10"/>
  <c r="S237" i="10"/>
  <c r="R237" i="10"/>
  <c r="T236" i="10"/>
  <c r="S236" i="10"/>
  <c r="R236" i="10"/>
  <c r="T235" i="10"/>
  <c r="S235" i="10"/>
  <c r="R235" i="10"/>
  <c r="P235" i="10"/>
  <c r="O235" i="10"/>
  <c r="N235" i="10"/>
  <c r="T234" i="10"/>
  <c r="S234" i="10"/>
  <c r="R234" i="10"/>
  <c r="T231" i="10"/>
  <c r="S231" i="10"/>
  <c r="R231" i="10"/>
  <c r="P231" i="10"/>
  <c r="O231" i="10"/>
  <c r="N231" i="10"/>
  <c r="T230" i="10"/>
  <c r="S230" i="10"/>
  <c r="R230" i="10"/>
  <c r="P230" i="10"/>
  <c r="O230" i="10"/>
  <c r="N230" i="10"/>
  <c r="T229" i="10"/>
  <c r="S229" i="10"/>
  <c r="R229" i="10"/>
  <c r="P229" i="10"/>
  <c r="O229" i="10"/>
  <c r="N229" i="10"/>
  <c r="T226" i="10"/>
  <c r="S226" i="10"/>
  <c r="R226" i="10"/>
  <c r="P226" i="10"/>
  <c r="O226" i="10"/>
  <c r="N226" i="10"/>
  <c r="T225" i="10"/>
  <c r="S225" i="10"/>
  <c r="R225" i="10"/>
  <c r="P225" i="10"/>
  <c r="O225" i="10"/>
  <c r="N225" i="10"/>
  <c r="T224" i="10"/>
  <c r="H58" i="4" s="1"/>
  <c r="N58" i="4" s="1"/>
  <c r="S224" i="10"/>
  <c r="G58" i="4" s="1"/>
  <c r="V58" i="4" s="1"/>
  <c r="R224" i="10"/>
  <c r="F58" i="4" s="1"/>
  <c r="M58" i="4" s="1"/>
  <c r="T223" i="10"/>
  <c r="H57" i="4" s="1"/>
  <c r="N57" i="4" s="1"/>
  <c r="S223" i="10"/>
  <c r="G57" i="4" s="1"/>
  <c r="V57" i="4" s="1"/>
  <c r="R223" i="10"/>
  <c r="F57" i="4" s="1"/>
  <c r="M57" i="4" s="1"/>
  <c r="T222" i="10"/>
  <c r="H56" i="4" s="1"/>
  <c r="N56" i="4" s="1"/>
  <c r="S222" i="10"/>
  <c r="G56" i="4" s="1"/>
  <c r="V56" i="4" s="1"/>
  <c r="R222" i="10"/>
  <c r="F56" i="4" s="1"/>
  <c r="M56" i="4" s="1"/>
  <c r="T221" i="10"/>
  <c r="H55" i="4" s="1"/>
  <c r="N55" i="4" s="1"/>
  <c r="S221" i="10"/>
  <c r="G55" i="4" s="1"/>
  <c r="V55" i="4" s="1"/>
  <c r="R221" i="10"/>
  <c r="F55" i="4" s="1"/>
  <c r="M55" i="4" s="1"/>
  <c r="T220" i="10"/>
  <c r="H54" i="4" s="1"/>
  <c r="N54" i="4" s="1"/>
  <c r="S220" i="10"/>
  <c r="G54" i="4" s="1"/>
  <c r="V54" i="4" s="1"/>
  <c r="R220" i="10"/>
  <c r="F54" i="4" s="1"/>
  <c r="M54" i="4" s="1"/>
  <c r="T219" i="10"/>
  <c r="H53" i="4" s="1"/>
  <c r="N53" i="4" s="1"/>
  <c r="S219" i="10"/>
  <c r="G53" i="4" s="1"/>
  <c r="V53" i="4" s="1"/>
  <c r="R219" i="10"/>
  <c r="F53" i="4" s="1"/>
  <c r="M53" i="4" s="1"/>
  <c r="T218" i="10"/>
  <c r="H52" i="4" s="1"/>
  <c r="N52" i="4" s="1"/>
  <c r="S218" i="10"/>
  <c r="G52" i="4" s="1"/>
  <c r="V52" i="4" s="1"/>
  <c r="R218" i="10"/>
  <c r="F52" i="4" s="1"/>
  <c r="M52" i="4" s="1"/>
  <c r="T217" i="10"/>
  <c r="S217" i="10"/>
  <c r="R217" i="10"/>
  <c r="P217" i="10"/>
  <c r="O217" i="10"/>
  <c r="N217" i="10"/>
  <c r="R213" i="10"/>
  <c r="S213" i="10"/>
  <c r="T213" i="10"/>
  <c r="R214" i="10"/>
  <c r="S214" i="10"/>
  <c r="T214" i="10"/>
  <c r="P214" i="10"/>
  <c r="X256" i="10" s="1"/>
  <c r="O214" i="10"/>
  <c r="W256" i="10"/>
  <c r="N214" i="10"/>
  <c r="V256" i="10" s="1"/>
  <c r="T212" i="10"/>
  <c r="S212" i="10"/>
  <c r="R212" i="10"/>
  <c r="T211" i="10"/>
  <c r="S211" i="10"/>
  <c r="R211" i="10"/>
  <c r="T210" i="10"/>
  <c r="S210" i="10"/>
  <c r="R210" i="10"/>
  <c r="T209" i="10"/>
  <c r="S209" i="10"/>
  <c r="R209" i="10"/>
  <c r="T208" i="10"/>
  <c r="S208" i="10"/>
  <c r="R208" i="10"/>
  <c r="T207" i="10"/>
  <c r="S207" i="10"/>
  <c r="R207" i="10"/>
  <c r="N207" i="10"/>
  <c r="T206" i="10"/>
  <c r="S206" i="10"/>
  <c r="R206" i="10"/>
  <c r="P206" i="10"/>
  <c r="X247" i="10" s="1"/>
  <c r="Z247" i="10" s="1"/>
  <c r="O206" i="10"/>
  <c r="W247" i="10"/>
  <c r="N206" i="10"/>
  <c r="V247" i="10" s="1"/>
  <c r="T203" i="10"/>
  <c r="S203" i="10"/>
  <c r="R203" i="10"/>
  <c r="P203" i="10"/>
  <c r="E43" i="2"/>
  <c r="O203" i="10"/>
  <c r="D43" i="2" s="1"/>
  <c r="N203" i="10"/>
  <c r="C43" i="2"/>
  <c r="T202" i="10"/>
  <c r="S202" i="10"/>
  <c r="R202" i="10"/>
  <c r="P202" i="10"/>
  <c r="O202" i="10"/>
  <c r="N202" i="10"/>
  <c r="T201" i="10"/>
  <c r="S201" i="10"/>
  <c r="R201" i="10"/>
  <c r="P201" i="10"/>
  <c r="O201" i="10"/>
  <c r="N201" i="10"/>
  <c r="T200" i="10"/>
  <c r="S200" i="10"/>
  <c r="R200" i="10"/>
  <c r="P200" i="10"/>
  <c r="O200" i="10"/>
  <c r="N200" i="10"/>
  <c r="T199" i="10"/>
  <c r="S199" i="10"/>
  <c r="R199" i="10"/>
  <c r="P199" i="10"/>
  <c r="E42" i="2" s="1"/>
  <c r="O199" i="10"/>
  <c r="D42" i="2"/>
  <c r="N199" i="10"/>
  <c r="C42" i="2" s="1"/>
  <c r="T198" i="10"/>
  <c r="S198" i="10"/>
  <c r="R198" i="10"/>
  <c r="P198" i="10"/>
  <c r="E41" i="2"/>
  <c r="O198" i="10"/>
  <c r="D41" i="2" s="1"/>
  <c r="N198" i="10"/>
  <c r="C41" i="2"/>
  <c r="T197" i="10"/>
  <c r="S197" i="10"/>
  <c r="R197" i="10"/>
  <c r="P197" i="10"/>
  <c r="E40" i="2" s="1"/>
  <c r="O197" i="10"/>
  <c r="D40" i="2" s="1"/>
  <c r="N197" i="10"/>
  <c r="C40" i="2"/>
  <c r="T196" i="10"/>
  <c r="S196" i="10"/>
  <c r="R196" i="10"/>
  <c r="P196" i="10"/>
  <c r="E39" i="2" s="1"/>
  <c r="O196" i="10"/>
  <c r="D39" i="2"/>
  <c r="N196" i="10"/>
  <c r="C39" i="2" s="1"/>
  <c r="T195" i="10"/>
  <c r="S195" i="10"/>
  <c r="R195" i="10"/>
  <c r="P195" i="10"/>
  <c r="E38" i="2" s="1"/>
  <c r="O195" i="10"/>
  <c r="D38" i="2" s="1"/>
  <c r="N195" i="10"/>
  <c r="C38" i="2" s="1"/>
  <c r="T194" i="10"/>
  <c r="S194" i="10"/>
  <c r="R194" i="10"/>
  <c r="P194" i="10"/>
  <c r="E37" i="2"/>
  <c r="O194" i="10"/>
  <c r="D37" i="2" s="1"/>
  <c r="N194" i="10"/>
  <c r="C37" i="2"/>
  <c r="R190" i="10"/>
  <c r="F47" i="4" s="1"/>
  <c r="M47" i="4" s="1"/>
  <c r="S190" i="10"/>
  <c r="T190" i="10"/>
  <c r="H47" i="4" s="1"/>
  <c r="W47" i="4" s="1"/>
  <c r="R191" i="10"/>
  <c r="S191" i="10"/>
  <c r="T191" i="10"/>
  <c r="N190" i="10"/>
  <c r="C47" i="4" s="1"/>
  <c r="C34" i="2"/>
  <c r="N43" i="5" s="1"/>
  <c r="N191" i="10"/>
  <c r="O191" i="10"/>
  <c r="P191" i="10"/>
  <c r="T189" i="10"/>
  <c r="H46" i="4" s="1"/>
  <c r="S189" i="10"/>
  <c r="G46" i="4" s="1"/>
  <c r="R189" i="10"/>
  <c r="F46" i="4" s="1"/>
  <c r="N189" i="10"/>
  <c r="C46" i="4" s="1"/>
  <c r="C33" i="2"/>
  <c r="D42" i="5" s="1"/>
  <c r="T188" i="10"/>
  <c r="H45" i="4" s="1"/>
  <c r="S188" i="10"/>
  <c r="G45" i="4" s="1"/>
  <c r="V45" i="4" s="1"/>
  <c r="R188" i="10"/>
  <c r="F45" i="4" s="1"/>
  <c r="N188" i="10"/>
  <c r="C45" i="4" s="1"/>
  <c r="C32" i="2"/>
  <c r="T187" i="10"/>
  <c r="H44" i="4" s="1"/>
  <c r="S187" i="10"/>
  <c r="G44" i="4" s="1"/>
  <c r="R187" i="10"/>
  <c r="F44" i="4" s="1"/>
  <c r="N187" i="10"/>
  <c r="T186" i="10"/>
  <c r="S186" i="10"/>
  <c r="G43" i="4" s="1"/>
  <c r="R186" i="10"/>
  <c r="F43" i="4" s="1"/>
  <c r="N186" i="10"/>
  <c r="C43" i="4" s="1"/>
  <c r="T185" i="10"/>
  <c r="H42" i="4" s="1"/>
  <c r="S185" i="10"/>
  <c r="G42" i="4" s="1"/>
  <c r="R185" i="10"/>
  <c r="F42" i="4" s="1"/>
  <c r="N185" i="10"/>
  <c r="C42" i="4" s="1"/>
  <c r="C29" i="2"/>
  <c r="D38" i="5" s="1"/>
  <c r="T184" i="10"/>
  <c r="H41" i="4" s="1"/>
  <c r="S184" i="10"/>
  <c r="G41" i="4" s="1"/>
  <c r="R184" i="10"/>
  <c r="F41" i="4" s="1"/>
  <c r="N184" i="10"/>
  <c r="T183" i="10"/>
  <c r="S183" i="10"/>
  <c r="R183" i="10"/>
  <c r="P183" i="10"/>
  <c r="O183" i="10"/>
  <c r="N183" i="10"/>
  <c r="T180" i="10"/>
  <c r="S180" i="10"/>
  <c r="R180" i="10"/>
  <c r="P180" i="10"/>
  <c r="O180" i="10"/>
  <c r="N180" i="10"/>
  <c r="T179" i="10"/>
  <c r="S179" i="10"/>
  <c r="R179" i="10"/>
  <c r="P179" i="10"/>
  <c r="O179" i="10"/>
  <c r="N179" i="10"/>
  <c r="T177" i="10"/>
  <c r="S177" i="10"/>
  <c r="R177" i="10"/>
  <c r="P177" i="10"/>
  <c r="O177" i="10"/>
  <c r="N177" i="10"/>
  <c r="T176" i="10"/>
  <c r="S176" i="10"/>
  <c r="R176" i="10"/>
  <c r="P176" i="10"/>
  <c r="O176" i="10"/>
  <c r="N176" i="10"/>
  <c r="T175" i="10"/>
  <c r="H36" i="4" s="1"/>
  <c r="W36" i="4" s="1"/>
  <c r="S175" i="10"/>
  <c r="G36" i="4" s="1"/>
  <c r="V36" i="4" s="1"/>
  <c r="R175" i="10"/>
  <c r="F36" i="4" s="1"/>
  <c r="M36" i="4" s="1"/>
  <c r="N175" i="10"/>
  <c r="C36" i="4" s="1"/>
  <c r="C23" i="2"/>
  <c r="N29" i="5" s="1"/>
  <c r="T174" i="10"/>
  <c r="H35" i="4" s="1"/>
  <c r="N35" i="4" s="1"/>
  <c r="S174" i="10"/>
  <c r="G35" i="4" s="1"/>
  <c r="V35" i="4" s="1"/>
  <c r="R174" i="10"/>
  <c r="F35" i="4" s="1"/>
  <c r="M35" i="4" s="1"/>
  <c r="N174" i="10"/>
  <c r="T173" i="10"/>
  <c r="H34" i="4" s="1"/>
  <c r="W34" i="4" s="1"/>
  <c r="S173" i="10"/>
  <c r="G34" i="4" s="1"/>
  <c r="V34" i="4" s="1"/>
  <c r="R173" i="10"/>
  <c r="F34" i="4" s="1"/>
  <c r="M34" i="4" s="1"/>
  <c r="N173" i="10"/>
  <c r="C21" i="2" s="1"/>
  <c r="N27" i="5" s="1"/>
  <c r="T172" i="10"/>
  <c r="H33" i="4" s="1"/>
  <c r="N33" i="4" s="1"/>
  <c r="S172" i="10"/>
  <c r="G33" i="4" s="1"/>
  <c r="V33" i="4" s="1"/>
  <c r="R172" i="10"/>
  <c r="F33" i="4" s="1"/>
  <c r="M33" i="4" s="1"/>
  <c r="N172" i="10"/>
  <c r="C20" i="2" s="1"/>
  <c r="N26" i="5" s="1"/>
  <c r="T171" i="10"/>
  <c r="H32" i="4" s="1"/>
  <c r="W32" i="4" s="1"/>
  <c r="S171" i="10"/>
  <c r="G32" i="4" s="1"/>
  <c r="V32" i="4" s="1"/>
  <c r="R171" i="10"/>
  <c r="F32" i="4" s="1"/>
  <c r="M32" i="4" s="1"/>
  <c r="N171" i="10"/>
  <c r="C32" i="4" s="1"/>
  <c r="C19" i="2"/>
  <c r="T170" i="10"/>
  <c r="H31" i="4" s="1"/>
  <c r="N31" i="4" s="1"/>
  <c r="S170" i="10"/>
  <c r="G31" i="4" s="1"/>
  <c r="V31" i="4" s="1"/>
  <c r="P48" i="7" s="1"/>
  <c r="R170" i="10"/>
  <c r="F31" i="4" s="1"/>
  <c r="M31" i="4" s="1"/>
  <c r="O48" i="7" s="1"/>
  <c r="N170" i="10"/>
  <c r="C31" i="4" s="1"/>
  <c r="C18" i="2"/>
  <c r="N24" i="5" s="1"/>
  <c r="T169" i="10"/>
  <c r="H30" i="4" s="1"/>
  <c r="W30" i="4" s="1"/>
  <c r="S169" i="10"/>
  <c r="G30" i="4" s="1"/>
  <c r="V30" i="4" s="1"/>
  <c r="R169" i="10"/>
  <c r="F30" i="4" s="1"/>
  <c r="M30" i="4" s="1"/>
  <c r="N169" i="10"/>
  <c r="C17" i="2" s="1"/>
  <c r="N23" i="5" s="1"/>
  <c r="R162" i="10"/>
  <c r="S162" i="10"/>
  <c r="T162" i="10"/>
  <c r="U162" i="10"/>
  <c r="V162" i="10"/>
  <c r="R163" i="10"/>
  <c r="S163" i="10"/>
  <c r="G25" i="4" s="1"/>
  <c r="V25" i="4" s="1"/>
  <c r="T163" i="10"/>
  <c r="H25" i="4" s="1"/>
  <c r="W25" i="4" s="1"/>
  <c r="U163" i="10"/>
  <c r="Q25" i="4" s="1"/>
  <c r="V163" i="10"/>
  <c r="Z25" i="4" s="1"/>
  <c r="N162" i="10"/>
  <c r="N163" i="10"/>
  <c r="C11" i="2" s="1"/>
  <c r="V161" i="10"/>
  <c r="U161" i="10"/>
  <c r="T161" i="10"/>
  <c r="S161" i="10"/>
  <c r="R161" i="10"/>
  <c r="N161" i="10"/>
  <c r="V160" i="10"/>
  <c r="Z24" i="4" s="1"/>
  <c r="U160" i="10"/>
  <c r="Q24" i="4" s="1"/>
  <c r="T160" i="10"/>
  <c r="H24" i="4" s="1"/>
  <c r="S160" i="10"/>
  <c r="G24" i="4" s="1"/>
  <c r="R160" i="10"/>
  <c r="F24" i="4" s="1"/>
  <c r="N160" i="10"/>
  <c r="V159" i="10"/>
  <c r="Z23" i="4"/>
  <c r="U159" i="10"/>
  <c r="Q23" i="4" s="1"/>
  <c r="T159" i="10"/>
  <c r="H23" i="4" s="1"/>
  <c r="S159" i="10"/>
  <c r="G23" i="4" s="1"/>
  <c r="R159" i="10"/>
  <c r="F23" i="4" s="1"/>
  <c r="M23" i="4" s="1"/>
  <c r="N159" i="10"/>
  <c r="V158" i="10"/>
  <c r="Z22" i="4" s="1"/>
  <c r="U158" i="10"/>
  <c r="Q22" i="4" s="1"/>
  <c r="T158" i="10"/>
  <c r="H22" i="4" s="1"/>
  <c r="S158" i="10"/>
  <c r="G22" i="4" s="1"/>
  <c r="R158" i="10"/>
  <c r="F22" i="4" s="1"/>
  <c r="N158" i="10"/>
  <c r="C22" i="4" s="1"/>
  <c r="C8" i="2"/>
  <c r="N12" i="5" s="1"/>
  <c r="V157" i="10"/>
  <c r="Z21" i="4"/>
  <c r="U157" i="10"/>
  <c r="Q21" i="4"/>
  <c r="T157" i="10"/>
  <c r="H21" i="4" s="1"/>
  <c r="S157" i="10"/>
  <c r="G21" i="4" s="1"/>
  <c r="R157" i="10"/>
  <c r="F21" i="4" s="1"/>
  <c r="N157" i="10"/>
  <c r="V156" i="10"/>
  <c r="Z20" i="4" s="1"/>
  <c r="U156" i="10"/>
  <c r="Q20" i="4" s="1"/>
  <c r="T156" i="10"/>
  <c r="H20" i="4" s="1"/>
  <c r="S156" i="10"/>
  <c r="G20" i="4" s="1"/>
  <c r="R156" i="10"/>
  <c r="F20" i="4" s="1"/>
  <c r="N156" i="10"/>
  <c r="C6" i="2"/>
  <c r="N10" i="5" s="1"/>
  <c r="V155" i="10"/>
  <c r="Z19" i="4"/>
  <c r="U155" i="10"/>
  <c r="Q19" i="4"/>
  <c r="T155" i="10"/>
  <c r="H19" i="4" s="1"/>
  <c r="S155" i="10"/>
  <c r="G19" i="4" s="1"/>
  <c r="R155" i="10"/>
  <c r="F19" i="4" s="1"/>
  <c r="M19" i="4" s="1"/>
  <c r="N155" i="10"/>
  <c r="N148" i="10"/>
  <c r="O148" i="10"/>
  <c r="P148" i="10"/>
  <c r="R148" i="10"/>
  <c r="S148" i="10"/>
  <c r="T148" i="10"/>
  <c r="N147" i="10"/>
  <c r="O147" i="10"/>
  <c r="P147" i="10"/>
  <c r="R147" i="10"/>
  <c r="S147" i="10"/>
  <c r="T147" i="10"/>
  <c r="T146" i="10"/>
  <c r="S146" i="10"/>
  <c r="R146" i="10"/>
  <c r="P146" i="10"/>
  <c r="O146" i="10"/>
  <c r="N146" i="10"/>
  <c r="T145" i="10"/>
  <c r="S145" i="10"/>
  <c r="R145" i="10"/>
  <c r="P145" i="10"/>
  <c r="O145" i="10"/>
  <c r="N145" i="10"/>
  <c r="T144" i="10"/>
  <c r="S144" i="10"/>
  <c r="R144" i="10"/>
  <c r="P144" i="10"/>
  <c r="O144" i="10"/>
  <c r="N144" i="10"/>
  <c r="T143" i="10"/>
  <c r="S143" i="10"/>
  <c r="R143" i="10"/>
  <c r="P143" i="10"/>
  <c r="O143" i="10"/>
  <c r="N143" i="10"/>
  <c r="T142" i="10"/>
  <c r="S142" i="10"/>
  <c r="R142" i="10"/>
  <c r="P142" i="10"/>
  <c r="O142" i="10"/>
  <c r="N142" i="10"/>
  <c r="T141" i="10"/>
  <c r="S141" i="10"/>
  <c r="R141" i="10"/>
  <c r="P141" i="10"/>
  <c r="O141" i="10"/>
  <c r="N141" i="10"/>
  <c r="T140" i="10"/>
  <c r="S140" i="10"/>
  <c r="R140" i="10"/>
  <c r="P140" i="10"/>
  <c r="O140" i="10"/>
  <c r="N140" i="10"/>
  <c r="T139" i="10"/>
  <c r="S139" i="10"/>
  <c r="R139" i="10"/>
  <c r="P139" i="10"/>
  <c r="O139" i="10"/>
  <c r="N139" i="10"/>
  <c r="R133" i="10"/>
  <c r="S133" i="10"/>
  <c r="T133" i="10"/>
  <c r="R134" i="10"/>
  <c r="S134" i="10"/>
  <c r="T134" i="10"/>
  <c r="R135" i="10"/>
  <c r="S135" i="10"/>
  <c r="T135" i="10"/>
  <c r="N133" i="10"/>
  <c r="O133" i="10"/>
  <c r="P133" i="10"/>
  <c r="N134" i="10"/>
  <c r="O134" i="10"/>
  <c r="P134" i="10"/>
  <c r="N135" i="10"/>
  <c r="O135" i="10"/>
  <c r="P135" i="10"/>
  <c r="T132" i="10"/>
  <c r="S132" i="10"/>
  <c r="R132" i="10"/>
  <c r="P132" i="10"/>
  <c r="O132" i="10"/>
  <c r="N132" i="10"/>
  <c r="T131" i="10"/>
  <c r="S131" i="10"/>
  <c r="R131" i="10"/>
  <c r="P131" i="10"/>
  <c r="O131" i="10"/>
  <c r="N131" i="10"/>
  <c r="T130" i="10"/>
  <c r="S130" i="10"/>
  <c r="R130" i="10"/>
  <c r="P130" i="10"/>
  <c r="O130" i="10"/>
  <c r="N130" i="10"/>
  <c r="T129" i="10"/>
  <c r="S129" i="10"/>
  <c r="R129" i="10"/>
  <c r="P129" i="10"/>
  <c r="O129" i="10"/>
  <c r="N129" i="10"/>
  <c r="T128" i="10"/>
  <c r="S128" i="10"/>
  <c r="R128" i="10"/>
  <c r="P128" i="10"/>
  <c r="O128" i="10"/>
  <c r="N128" i="10"/>
  <c r="T125" i="10"/>
  <c r="S125" i="10"/>
  <c r="R125" i="10"/>
  <c r="P125" i="10"/>
  <c r="O125" i="10"/>
  <c r="N125" i="10"/>
  <c r="T122" i="10"/>
  <c r="S122" i="10"/>
  <c r="R122" i="10"/>
  <c r="P122" i="10"/>
  <c r="O122" i="10"/>
  <c r="N122" i="10"/>
  <c r="T121" i="10"/>
  <c r="S121" i="10"/>
  <c r="R121" i="10"/>
  <c r="P121" i="10"/>
  <c r="O121" i="10"/>
  <c r="N121" i="10"/>
  <c r="T120" i="10"/>
  <c r="S120" i="10"/>
  <c r="R120" i="10"/>
  <c r="P120" i="10"/>
  <c r="O120" i="10"/>
  <c r="N120" i="10"/>
  <c r="T119" i="10"/>
  <c r="S119" i="10"/>
  <c r="R119" i="10"/>
  <c r="P119" i="10"/>
  <c r="O119" i="10"/>
  <c r="N119" i="10"/>
  <c r="T118" i="10"/>
  <c r="S118" i="10"/>
  <c r="R118" i="10"/>
  <c r="P118" i="10"/>
  <c r="O118" i="10"/>
  <c r="N118" i="10"/>
  <c r="T117" i="10"/>
  <c r="S117" i="10"/>
  <c r="R117" i="10"/>
  <c r="P117" i="10"/>
  <c r="O117" i="10"/>
  <c r="N117" i="10"/>
  <c r="T116" i="10"/>
  <c r="S116" i="10"/>
  <c r="R116" i="10"/>
  <c r="P116" i="10"/>
  <c r="O116" i="10"/>
  <c r="N116" i="10"/>
  <c r="R107" i="10"/>
  <c r="S107" i="10"/>
  <c r="T107" i="10"/>
  <c r="R108" i="10"/>
  <c r="S108" i="10"/>
  <c r="T108" i="10"/>
  <c r="R109" i="10"/>
  <c r="S109" i="10"/>
  <c r="T109" i="10"/>
  <c r="R110" i="10"/>
  <c r="S110" i="10"/>
  <c r="T110" i="10"/>
  <c r="R111" i="10"/>
  <c r="S111" i="10"/>
  <c r="T111" i="10"/>
  <c r="R112" i="10"/>
  <c r="S112" i="10"/>
  <c r="T112" i="10"/>
  <c r="R113" i="10"/>
  <c r="S113" i="10"/>
  <c r="T113" i="10"/>
  <c r="N107" i="10"/>
  <c r="O107" i="10"/>
  <c r="P107" i="10"/>
  <c r="N108" i="10"/>
  <c r="O108" i="10"/>
  <c r="P108" i="10"/>
  <c r="N109" i="10"/>
  <c r="O109" i="10"/>
  <c r="P109" i="10"/>
  <c r="N110" i="10"/>
  <c r="O110" i="10"/>
  <c r="P110" i="10"/>
  <c r="N111" i="10"/>
  <c r="O111" i="10"/>
  <c r="P111" i="10"/>
  <c r="N112" i="10"/>
  <c r="O112" i="10"/>
  <c r="P112" i="10"/>
  <c r="N113" i="10"/>
  <c r="O113" i="10"/>
  <c r="P113" i="10"/>
  <c r="R102" i="10"/>
  <c r="S102" i="10"/>
  <c r="T102" i="10"/>
  <c r="R103" i="10"/>
  <c r="S103" i="10"/>
  <c r="T103" i="10"/>
  <c r="R104" i="10"/>
  <c r="S104" i="10"/>
  <c r="T104" i="10"/>
  <c r="N102" i="10"/>
  <c r="O102" i="10"/>
  <c r="W102" i="10"/>
  <c r="P102" i="10"/>
  <c r="AA102" i="10" s="1"/>
  <c r="N103" i="10"/>
  <c r="O103" i="10"/>
  <c r="W103" i="10" s="1"/>
  <c r="P103" i="10"/>
  <c r="AA103" i="10"/>
  <c r="N104" i="10"/>
  <c r="O104" i="10"/>
  <c r="W104" i="10" s="1"/>
  <c r="P104" i="10"/>
  <c r="AA104" i="10"/>
  <c r="P89" i="10"/>
  <c r="AA89" i="10" s="1"/>
  <c r="P90" i="10"/>
  <c r="AA90" i="10"/>
  <c r="P91" i="10"/>
  <c r="AA91" i="10" s="1"/>
  <c r="P92" i="10"/>
  <c r="AA92" i="10"/>
  <c r="P93" i="10"/>
  <c r="AA93" i="10" s="1"/>
  <c r="P94" i="10"/>
  <c r="AA94" i="10"/>
  <c r="O89" i="10"/>
  <c r="W89" i="10" s="1"/>
  <c r="O90" i="10"/>
  <c r="W90" i="10"/>
  <c r="O91" i="10"/>
  <c r="W91" i="10" s="1"/>
  <c r="O92" i="10"/>
  <c r="W92" i="10"/>
  <c r="O93" i="10"/>
  <c r="W93" i="10" s="1"/>
  <c r="O94" i="10"/>
  <c r="W94" i="10"/>
  <c r="P88" i="10"/>
  <c r="AA88" i="10" s="1"/>
  <c r="O88" i="10"/>
  <c r="W88" i="10"/>
  <c r="O68" i="10"/>
  <c r="X89" i="10" s="1"/>
  <c r="P68" i="10"/>
  <c r="AB89" i="10"/>
  <c r="O69" i="10"/>
  <c r="X90" i="10" s="1"/>
  <c r="P69" i="10"/>
  <c r="AB90" i="10"/>
  <c r="O70" i="10"/>
  <c r="X91" i="10" s="1"/>
  <c r="P70" i="10"/>
  <c r="AB91" i="10"/>
  <c r="O71" i="10"/>
  <c r="X92" i="10" s="1"/>
  <c r="P71" i="10"/>
  <c r="AB92" i="10"/>
  <c r="O72" i="10"/>
  <c r="X93" i="10" s="1"/>
  <c r="P72" i="10"/>
  <c r="AB93" i="10"/>
  <c r="O73" i="10"/>
  <c r="X94" i="10" s="1"/>
  <c r="P73" i="10"/>
  <c r="AB94" i="10"/>
  <c r="P67" i="10"/>
  <c r="AB88" i="10" s="1"/>
  <c r="O67" i="10"/>
  <c r="X88" i="10"/>
  <c r="T94" i="10"/>
  <c r="S94" i="10"/>
  <c r="R94" i="10"/>
  <c r="N94" i="10"/>
  <c r="T93" i="10"/>
  <c r="S93" i="10"/>
  <c r="R93" i="10"/>
  <c r="N93" i="10"/>
  <c r="T92" i="10"/>
  <c r="S92" i="10"/>
  <c r="R92" i="10"/>
  <c r="N92" i="10"/>
  <c r="T91" i="10"/>
  <c r="S91" i="10"/>
  <c r="R91" i="10"/>
  <c r="N91" i="10"/>
  <c r="T90" i="10"/>
  <c r="S90" i="10"/>
  <c r="R90" i="10"/>
  <c r="N90" i="10"/>
  <c r="T89" i="10"/>
  <c r="S89" i="10"/>
  <c r="R89" i="10"/>
  <c r="N89" i="10"/>
  <c r="T88" i="10"/>
  <c r="S88" i="10"/>
  <c r="R88" i="10"/>
  <c r="N88" i="10"/>
  <c r="T101" i="10"/>
  <c r="S101" i="10"/>
  <c r="R101" i="10"/>
  <c r="P101" i="10"/>
  <c r="AA101" i="10"/>
  <c r="O101" i="10"/>
  <c r="W101" i="10"/>
  <c r="N101" i="10"/>
  <c r="T100" i="10"/>
  <c r="S100" i="10"/>
  <c r="R100" i="10"/>
  <c r="P100" i="10"/>
  <c r="AA100" i="10"/>
  <c r="O100" i="10"/>
  <c r="W100" i="10"/>
  <c r="N100" i="10"/>
  <c r="T99" i="10"/>
  <c r="S99" i="10"/>
  <c r="R99" i="10"/>
  <c r="P99" i="10"/>
  <c r="AA99" i="10"/>
  <c r="O99" i="10"/>
  <c r="W99" i="10"/>
  <c r="N99" i="10"/>
  <c r="T98" i="10"/>
  <c r="S98" i="10"/>
  <c r="R98" i="10"/>
  <c r="P98" i="10"/>
  <c r="AA98" i="10"/>
  <c r="O98" i="10"/>
  <c r="W98" i="10"/>
  <c r="N98" i="10"/>
  <c r="N82" i="10"/>
  <c r="O82" i="10"/>
  <c r="P82" i="10"/>
  <c r="T78" i="10"/>
  <c r="S78" i="10"/>
  <c r="R78" i="10"/>
  <c r="P78" i="10"/>
  <c r="O78" i="10"/>
  <c r="N78" i="10"/>
  <c r="T77" i="10"/>
  <c r="S77" i="10"/>
  <c r="R77" i="10"/>
  <c r="P77" i="10"/>
  <c r="O77" i="10"/>
  <c r="N77" i="10"/>
  <c r="T76" i="10"/>
  <c r="S76" i="10"/>
  <c r="R76" i="10"/>
  <c r="P76" i="10"/>
  <c r="O76" i="10"/>
  <c r="N76" i="10"/>
  <c r="T75" i="10"/>
  <c r="S75" i="10"/>
  <c r="R75" i="10"/>
  <c r="P75" i="10"/>
  <c r="O75" i="10"/>
  <c r="N75" i="10"/>
  <c r="T74" i="10"/>
  <c r="S74" i="10"/>
  <c r="R74" i="10"/>
  <c r="P74" i="10"/>
  <c r="O74" i="10"/>
  <c r="N74" i="10"/>
  <c r="T73" i="10"/>
  <c r="S73" i="10"/>
  <c r="R73" i="10"/>
  <c r="N73" i="10"/>
  <c r="T72" i="10"/>
  <c r="S72" i="10"/>
  <c r="R72" i="10"/>
  <c r="N72" i="10"/>
  <c r="T71" i="10"/>
  <c r="S71" i="10"/>
  <c r="R71" i="10"/>
  <c r="N71" i="10"/>
  <c r="T70" i="10"/>
  <c r="S70" i="10"/>
  <c r="R70" i="10"/>
  <c r="N70" i="10"/>
  <c r="T69" i="10"/>
  <c r="S69" i="10"/>
  <c r="R69" i="10"/>
  <c r="N69" i="10"/>
  <c r="T68" i="10"/>
  <c r="S68" i="10"/>
  <c r="R68" i="10"/>
  <c r="N68" i="10"/>
  <c r="T67" i="10"/>
  <c r="S67" i="10"/>
  <c r="R67" i="10"/>
  <c r="N67" i="10"/>
  <c r="P48" i="10"/>
  <c r="P49" i="10"/>
  <c r="P50" i="10"/>
  <c r="P51" i="10"/>
  <c r="P52" i="10"/>
  <c r="P53" i="10"/>
  <c r="O49" i="10"/>
  <c r="O50" i="10"/>
  <c r="O51" i="10"/>
  <c r="O52" i="10"/>
  <c r="O53" i="10"/>
  <c r="O48" i="10"/>
  <c r="N54" i="10"/>
  <c r="O54" i="10"/>
  <c r="P54" i="10"/>
  <c r="R54" i="10"/>
  <c r="S54" i="10"/>
  <c r="T54" i="10"/>
  <c r="N55" i="10"/>
  <c r="O55" i="10"/>
  <c r="P55" i="10"/>
  <c r="R55" i="10"/>
  <c r="S55" i="10"/>
  <c r="T55" i="10"/>
  <c r="N56" i="10"/>
  <c r="O56" i="10"/>
  <c r="P56" i="10"/>
  <c r="R56" i="10"/>
  <c r="S56" i="10"/>
  <c r="T56" i="10"/>
  <c r="N57" i="10"/>
  <c r="O57" i="10"/>
  <c r="P57" i="10"/>
  <c r="R57" i="10"/>
  <c r="S57" i="10"/>
  <c r="T57" i="10"/>
  <c r="N58" i="10"/>
  <c r="O58" i="10"/>
  <c r="P58" i="10"/>
  <c r="R58" i="10"/>
  <c r="S58" i="10"/>
  <c r="T58" i="10"/>
  <c r="N59" i="10"/>
  <c r="O59" i="10"/>
  <c r="P59" i="10"/>
  <c r="R59" i="10"/>
  <c r="S59" i="10"/>
  <c r="T59" i="10"/>
  <c r="N60" i="10"/>
  <c r="O60" i="10"/>
  <c r="P60" i="10"/>
  <c r="R60" i="10"/>
  <c r="S60" i="10"/>
  <c r="T60" i="10"/>
  <c r="N61" i="10"/>
  <c r="O61" i="10"/>
  <c r="P61" i="10"/>
  <c r="R61" i="10"/>
  <c r="S61" i="10"/>
  <c r="T61" i="10"/>
  <c r="N42" i="10"/>
  <c r="O42" i="10"/>
  <c r="P42" i="10"/>
  <c r="R42" i="10"/>
  <c r="S42" i="10"/>
  <c r="T42" i="10"/>
  <c r="T41" i="10"/>
  <c r="S41" i="10"/>
  <c r="R41" i="10"/>
  <c r="P41" i="10"/>
  <c r="O41" i="10"/>
  <c r="N41" i="10"/>
  <c r="T40" i="10"/>
  <c r="S40" i="10"/>
  <c r="R40" i="10"/>
  <c r="P40" i="10"/>
  <c r="O40" i="10"/>
  <c r="N40" i="10"/>
  <c r="T39" i="10"/>
  <c r="S39" i="10"/>
  <c r="R39" i="10"/>
  <c r="P39" i="10"/>
  <c r="O39" i="10"/>
  <c r="N39" i="10"/>
  <c r="T38" i="10"/>
  <c r="S38" i="10"/>
  <c r="R38" i="10"/>
  <c r="P38" i="10"/>
  <c r="O38" i="10"/>
  <c r="N38" i="10"/>
  <c r="T37" i="10"/>
  <c r="S37" i="10"/>
  <c r="R37" i="10"/>
  <c r="P37" i="10"/>
  <c r="O37" i="10"/>
  <c r="N37" i="10"/>
  <c r="T36" i="10"/>
  <c r="S36" i="10"/>
  <c r="R36" i="10"/>
  <c r="P36" i="10"/>
  <c r="O36" i="10"/>
  <c r="N36" i="10"/>
  <c r="P81" i="10"/>
  <c r="O81" i="10"/>
  <c r="N81" i="10"/>
  <c r="T53" i="10"/>
  <c r="S53" i="10"/>
  <c r="R53" i="10"/>
  <c r="N53" i="10"/>
  <c r="T52" i="10"/>
  <c r="S52" i="10"/>
  <c r="R52" i="10"/>
  <c r="N52" i="10"/>
  <c r="T51" i="10"/>
  <c r="S51" i="10"/>
  <c r="R51" i="10"/>
  <c r="N51" i="10"/>
  <c r="T50" i="10"/>
  <c r="S50" i="10"/>
  <c r="R50" i="10"/>
  <c r="N50" i="10"/>
  <c r="T49" i="10"/>
  <c r="S49" i="10"/>
  <c r="R49" i="10"/>
  <c r="N49" i="10"/>
  <c r="T48" i="10"/>
  <c r="S48" i="10"/>
  <c r="R48" i="10"/>
  <c r="N48" i="10"/>
  <c r="T47" i="10"/>
  <c r="S47" i="10"/>
  <c r="R47" i="10"/>
  <c r="P47" i="10"/>
  <c r="O47" i="10"/>
  <c r="N47" i="10"/>
  <c r="V33" i="10"/>
  <c r="U33" i="10"/>
  <c r="T33" i="10"/>
  <c r="S33" i="10"/>
  <c r="R33" i="10"/>
  <c r="N33" i="10"/>
  <c r="V32" i="10"/>
  <c r="U32" i="10"/>
  <c r="T32" i="10"/>
  <c r="S32" i="10"/>
  <c r="R32" i="10"/>
  <c r="N32" i="10"/>
  <c r="X32" i="10" s="1"/>
  <c r="V31" i="10"/>
  <c r="U31" i="10"/>
  <c r="T31" i="10"/>
  <c r="S31" i="10"/>
  <c r="R31" i="10"/>
  <c r="N31" i="10"/>
  <c r="V30" i="10"/>
  <c r="U30" i="10"/>
  <c r="T30" i="10"/>
  <c r="S30" i="10"/>
  <c r="R30" i="10"/>
  <c r="N30" i="10"/>
  <c r="V29" i="10"/>
  <c r="U29" i="10"/>
  <c r="T29" i="10"/>
  <c r="S29" i="10"/>
  <c r="R29" i="10"/>
  <c r="N29" i="10"/>
  <c r="V28" i="10"/>
  <c r="U28" i="10"/>
  <c r="T28" i="10"/>
  <c r="S28" i="10"/>
  <c r="R28" i="10"/>
  <c r="N28" i="10"/>
  <c r="X28" i="10" s="1"/>
  <c r="V27" i="10"/>
  <c r="U27" i="10"/>
  <c r="T27" i="10"/>
  <c r="S27" i="10"/>
  <c r="R27" i="10"/>
  <c r="N27" i="10"/>
  <c r="N25" i="10"/>
  <c r="O12" i="10"/>
  <c r="O8" i="11"/>
  <c r="P12" i="10"/>
  <c r="O19" i="11"/>
  <c r="O13" i="10"/>
  <c r="O9" i="11"/>
  <c r="P13" i="10"/>
  <c r="O20" i="11"/>
  <c r="O14" i="10"/>
  <c r="O10" i="11"/>
  <c r="P14" i="10"/>
  <c r="O21" i="11"/>
  <c r="O15" i="10"/>
  <c r="O11" i="11"/>
  <c r="P15" i="10"/>
  <c r="O22" i="11"/>
  <c r="O16" i="10"/>
  <c r="O12" i="11"/>
  <c r="P16" i="10"/>
  <c r="O23" i="11"/>
  <c r="P11" i="10"/>
  <c r="O18" i="11"/>
  <c r="O11" i="10"/>
  <c r="O7" i="11"/>
  <c r="R12" i="10"/>
  <c r="S12" i="10"/>
  <c r="R13" i="10"/>
  <c r="S13" i="10"/>
  <c r="R14" i="10"/>
  <c r="S14" i="10"/>
  <c r="R15" i="10"/>
  <c r="S15" i="10"/>
  <c r="R16" i="10"/>
  <c r="S16" i="10"/>
  <c r="O17" i="10"/>
  <c r="O13" i="11"/>
  <c r="P17" i="10"/>
  <c r="O24" i="11"/>
  <c r="R17" i="10"/>
  <c r="S17" i="10"/>
  <c r="R19" i="10"/>
  <c r="S19" i="10"/>
  <c r="R20" i="10"/>
  <c r="S20" i="10"/>
  <c r="R21" i="10"/>
  <c r="S21" i="10"/>
  <c r="R22" i="10"/>
  <c r="S22" i="10"/>
  <c r="R23" i="10"/>
  <c r="S23" i="10"/>
  <c r="R24" i="10"/>
  <c r="S24" i="10"/>
  <c r="S11" i="10"/>
  <c r="R11" i="10"/>
  <c r="N17" i="10"/>
  <c r="X33" i="10"/>
  <c r="T17" i="10"/>
  <c r="U17" i="10"/>
  <c r="V17" i="10"/>
  <c r="V24" i="10"/>
  <c r="U24" i="10"/>
  <c r="T24" i="10"/>
  <c r="N24" i="10"/>
  <c r="V23" i="10"/>
  <c r="U23" i="10"/>
  <c r="T23" i="10"/>
  <c r="N23" i="10"/>
  <c r="V22" i="10"/>
  <c r="U22" i="10"/>
  <c r="T22" i="10"/>
  <c r="N22" i="10"/>
  <c r="V21" i="10"/>
  <c r="U21" i="10"/>
  <c r="T21" i="10"/>
  <c r="N21" i="10"/>
  <c r="V20" i="10"/>
  <c r="U20" i="10"/>
  <c r="T20" i="10"/>
  <c r="N20" i="10"/>
  <c r="V19" i="10"/>
  <c r="U19" i="10"/>
  <c r="T19" i="10"/>
  <c r="N19" i="10"/>
  <c r="V16" i="10"/>
  <c r="U16" i="10"/>
  <c r="T16" i="10"/>
  <c r="N16" i="10"/>
  <c r="V15" i="10"/>
  <c r="U15" i="10"/>
  <c r="T15" i="10"/>
  <c r="N15" i="10"/>
  <c r="X31" i="10"/>
  <c r="V14" i="10"/>
  <c r="U14" i="10"/>
  <c r="T14" i="10"/>
  <c r="N14" i="10"/>
  <c r="X30" i="10" s="1"/>
  <c r="V13" i="10"/>
  <c r="U13" i="10"/>
  <c r="T13" i="10"/>
  <c r="N13" i="10"/>
  <c r="X29" i="10" s="1"/>
  <c r="V12" i="10"/>
  <c r="U12" i="10"/>
  <c r="T12" i="10"/>
  <c r="N12" i="10"/>
  <c r="V11" i="10"/>
  <c r="U11" i="10"/>
  <c r="T11" i="10"/>
  <c r="N11" i="10"/>
  <c r="X27" i="10"/>
  <c r="O69" i="2"/>
  <c r="N69" i="2"/>
  <c r="O48" i="2"/>
  <c r="O57" i="2"/>
  <c r="N48" i="2"/>
  <c r="N57" i="2" s="1"/>
  <c r="O37" i="2"/>
  <c r="N37" i="2"/>
  <c r="V70" i="2"/>
  <c r="W74" i="2"/>
  <c r="V74" i="2"/>
  <c r="W73" i="2"/>
  <c r="V73" i="2"/>
  <c r="W72" i="2"/>
  <c r="V72" i="2"/>
  <c r="W71" i="2"/>
  <c r="V71" i="2"/>
  <c r="W70" i="2"/>
  <c r="S353" i="9"/>
  <c r="R353" i="9"/>
  <c r="Q353" i="9"/>
  <c r="O353" i="9"/>
  <c r="N353" i="9"/>
  <c r="M353" i="9"/>
  <c r="S352" i="9"/>
  <c r="R352" i="9"/>
  <c r="Q352" i="9"/>
  <c r="O352" i="9"/>
  <c r="N352" i="9"/>
  <c r="M352" i="9"/>
  <c r="S351" i="9"/>
  <c r="R351" i="9"/>
  <c r="Q351" i="9"/>
  <c r="O351" i="9"/>
  <c r="N351" i="9"/>
  <c r="M351" i="9"/>
  <c r="S350" i="9"/>
  <c r="R350" i="9"/>
  <c r="Q350" i="9"/>
  <c r="O350" i="9"/>
  <c r="N350" i="9"/>
  <c r="M350" i="9"/>
  <c r="S349" i="9"/>
  <c r="R349" i="9"/>
  <c r="Q349" i="9"/>
  <c r="O349" i="9"/>
  <c r="N349" i="9"/>
  <c r="M349" i="9"/>
  <c r="S348" i="9"/>
  <c r="R348" i="9"/>
  <c r="Q348" i="9"/>
  <c r="O348" i="9"/>
  <c r="N348" i="9"/>
  <c r="M348" i="9"/>
  <c r="W62" i="2"/>
  <c r="V62" i="2"/>
  <c r="W61" i="2"/>
  <c r="V61" i="2"/>
  <c r="W60" i="2"/>
  <c r="V60" i="2"/>
  <c r="W59" i="2"/>
  <c r="V59" i="2"/>
  <c r="W58" i="2"/>
  <c r="V58" i="2"/>
  <c r="V49" i="2"/>
  <c r="W49" i="2"/>
  <c r="V50" i="2"/>
  <c r="W50" i="2"/>
  <c r="V51" i="2"/>
  <c r="W51" i="2"/>
  <c r="V52" i="2"/>
  <c r="W52" i="2"/>
  <c r="V53" i="2"/>
  <c r="W53" i="2"/>
  <c r="W48" i="2"/>
  <c r="V48" i="2"/>
  <c r="W42" i="2"/>
  <c r="V42" i="2"/>
  <c r="W41" i="2"/>
  <c r="V41" i="2"/>
  <c r="W40" i="2"/>
  <c r="V40" i="2"/>
  <c r="W39" i="2"/>
  <c r="V39" i="2"/>
  <c r="W38" i="2"/>
  <c r="V38" i="2"/>
  <c r="W33" i="2"/>
  <c r="V33" i="2"/>
  <c r="W32" i="2"/>
  <c r="V32" i="2"/>
  <c r="W31" i="2"/>
  <c r="V31" i="2"/>
  <c r="W30" i="2"/>
  <c r="V30" i="2"/>
  <c r="W29" i="2"/>
  <c r="V29" i="2"/>
  <c r="W28" i="2"/>
  <c r="V28" i="2"/>
  <c r="W22" i="2"/>
  <c r="V22" i="2"/>
  <c r="W21" i="2"/>
  <c r="V21" i="2"/>
  <c r="W20" i="2"/>
  <c r="V20" i="2"/>
  <c r="W19" i="2"/>
  <c r="V19" i="2"/>
  <c r="W18" i="2"/>
  <c r="V18" i="2"/>
  <c r="W17" i="2"/>
  <c r="V17" i="2"/>
  <c r="AH5" i="2"/>
  <c r="AH6" i="2"/>
  <c r="AH7" i="2"/>
  <c r="AH8" i="2"/>
  <c r="AH9" i="2"/>
  <c r="AH10" i="2"/>
  <c r="AI5" i="2"/>
  <c r="AI6" i="2"/>
  <c r="AI7" i="2"/>
  <c r="AI8" i="2"/>
  <c r="AI9" i="2"/>
  <c r="AI10" i="2"/>
  <c r="AC6" i="2"/>
  <c r="AD6" i="2"/>
  <c r="AC7" i="2"/>
  <c r="AD7" i="2"/>
  <c r="AC8" i="2"/>
  <c r="AD8" i="2"/>
  <c r="AC9" i="2"/>
  <c r="AD9" i="2"/>
  <c r="AC10" i="2"/>
  <c r="AD10" i="2"/>
  <c r="AC5" i="2"/>
  <c r="AD5" i="2"/>
  <c r="V6" i="2"/>
  <c r="W6" i="2"/>
  <c r="V7" i="2"/>
  <c r="W7" i="2"/>
  <c r="V8" i="2"/>
  <c r="W8" i="2"/>
  <c r="V9" i="2"/>
  <c r="W9" i="2"/>
  <c r="V10" i="2"/>
  <c r="W10" i="2"/>
  <c r="W5" i="2"/>
  <c r="V5" i="2"/>
  <c r="W306" i="9"/>
  <c r="W305" i="9"/>
  <c r="W304" i="9"/>
  <c r="W303" i="9"/>
  <c r="W302" i="9"/>
  <c r="W301" i="9"/>
  <c r="U343" i="9"/>
  <c r="T343" i="9"/>
  <c r="S343" i="9"/>
  <c r="R343" i="9"/>
  <c r="Q343" i="9"/>
  <c r="O343" i="9"/>
  <c r="N23" i="11"/>
  <c r="N343" i="9"/>
  <c r="N12" i="11"/>
  <c r="M343" i="9"/>
  <c r="U342" i="9"/>
  <c r="T342" i="9"/>
  <c r="S342" i="9"/>
  <c r="R342" i="9"/>
  <c r="Q342" i="9"/>
  <c r="O342" i="9"/>
  <c r="N22" i="11"/>
  <c r="N342" i="9"/>
  <c r="N11" i="11"/>
  <c r="M342" i="9"/>
  <c r="U341" i="9"/>
  <c r="T341" i="9"/>
  <c r="S341" i="9"/>
  <c r="R341" i="9"/>
  <c r="Q341" i="9"/>
  <c r="O341" i="9"/>
  <c r="N21" i="11"/>
  <c r="N341" i="9"/>
  <c r="N10" i="11"/>
  <c r="M341" i="9"/>
  <c r="U340" i="9"/>
  <c r="T340" i="9"/>
  <c r="S340" i="9"/>
  <c r="R340" i="9"/>
  <c r="Q340" i="9"/>
  <c r="O340" i="9"/>
  <c r="N20" i="11"/>
  <c r="N340" i="9"/>
  <c r="N9" i="11"/>
  <c r="M340" i="9"/>
  <c r="U339" i="9"/>
  <c r="T339" i="9"/>
  <c r="S339" i="9"/>
  <c r="R339" i="9"/>
  <c r="Q339" i="9"/>
  <c r="O339" i="9"/>
  <c r="N19" i="11"/>
  <c r="N339" i="9"/>
  <c r="N8" i="11"/>
  <c r="M339" i="9"/>
  <c r="U338" i="9"/>
  <c r="T338" i="9"/>
  <c r="S338" i="9"/>
  <c r="R338" i="9"/>
  <c r="Q338" i="9"/>
  <c r="O338" i="9"/>
  <c r="N18" i="11"/>
  <c r="N338" i="9"/>
  <c r="N7" i="11"/>
  <c r="M338" i="9"/>
  <c r="U334" i="9"/>
  <c r="T334" i="9"/>
  <c r="S334" i="9"/>
  <c r="R334" i="9"/>
  <c r="Q334" i="9"/>
  <c r="O334" i="9"/>
  <c r="M47" i="11"/>
  <c r="M18" i="11" s="1"/>
  <c r="N334" i="9"/>
  <c r="M36" i="11"/>
  <c r="M7" i="11" s="1"/>
  <c r="M334" i="9"/>
  <c r="U333" i="9"/>
  <c r="T333" i="9"/>
  <c r="S333" i="9"/>
  <c r="R333" i="9"/>
  <c r="Q333" i="9"/>
  <c r="O333" i="9"/>
  <c r="M46" i="11" s="1"/>
  <c r="M19" i="11" s="1"/>
  <c r="N333" i="9"/>
  <c r="M35" i="11"/>
  <c r="M8" i="11"/>
  <c r="M333" i="9"/>
  <c r="U332" i="9"/>
  <c r="T332" i="9"/>
  <c r="S332" i="9"/>
  <c r="R332" i="9"/>
  <c r="Q332" i="9"/>
  <c r="O332" i="9"/>
  <c r="M45" i="11"/>
  <c r="M20" i="11" s="1"/>
  <c r="N332" i="9"/>
  <c r="M34" i="11"/>
  <c r="M9" i="11"/>
  <c r="M332" i="9"/>
  <c r="U331" i="9"/>
  <c r="T331" i="9"/>
  <c r="S331" i="9"/>
  <c r="R331" i="9"/>
  <c r="Q331" i="9"/>
  <c r="O331" i="9"/>
  <c r="M44" i="11"/>
  <c r="M21" i="11" s="1"/>
  <c r="N331" i="9"/>
  <c r="M331" i="9"/>
  <c r="U330" i="9"/>
  <c r="T330" i="9"/>
  <c r="S330" i="9"/>
  <c r="R330" i="9"/>
  <c r="Q330" i="9"/>
  <c r="O330" i="9"/>
  <c r="M43" i="11"/>
  <c r="M22" i="11" s="1"/>
  <c r="N330" i="9"/>
  <c r="M32" i="11"/>
  <c r="M11" i="11" s="1"/>
  <c r="M330" i="9"/>
  <c r="U329" i="9"/>
  <c r="T329" i="9"/>
  <c r="S329" i="9"/>
  <c r="R329" i="9"/>
  <c r="Q329" i="9"/>
  <c r="O329" i="9"/>
  <c r="M42" i="11" s="1"/>
  <c r="M23" i="11" s="1"/>
  <c r="N329" i="9"/>
  <c r="M31" i="11"/>
  <c r="M12" i="11" s="1"/>
  <c r="M329" i="9"/>
  <c r="U326" i="9"/>
  <c r="T326" i="9"/>
  <c r="S326" i="9"/>
  <c r="R326" i="9"/>
  <c r="Q326" i="9"/>
  <c r="O326" i="9"/>
  <c r="L47" i="11" s="1"/>
  <c r="L18" i="11" s="1"/>
  <c r="N326" i="9"/>
  <c r="L36" i="11"/>
  <c r="L7" i="11"/>
  <c r="M326" i="9"/>
  <c r="U325" i="9"/>
  <c r="T325" i="9"/>
  <c r="S325" i="9"/>
  <c r="R325" i="9"/>
  <c r="Q325" i="9"/>
  <c r="O325" i="9"/>
  <c r="L46" i="11"/>
  <c r="L19" i="11" s="1"/>
  <c r="N325" i="9"/>
  <c r="L35" i="11" s="1"/>
  <c r="L8" i="11"/>
  <c r="M325" i="9"/>
  <c r="U324" i="9"/>
  <c r="T324" i="9"/>
  <c r="S324" i="9"/>
  <c r="R324" i="9"/>
  <c r="Q324" i="9"/>
  <c r="O324" i="9"/>
  <c r="L45" i="11"/>
  <c r="L20" i="11" s="1"/>
  <c r="N324" i="9"/>
  <c r="L34" i="11"/>
  <c r="L9" i="11" s="1"/>
  <c r="M324" i="9"/>
  <c r="U323" i="9"/>
  <c r="T323" i="9"/>
  <c r="S323" i="9"/>
  <c r="R323" i="9"/>
  <c r="Q323" i="9"/>
  <c r="O323" i="9"/>
  <c r="L44" i="11" s="1"/>
  <c r="L21" i="11" s="1"/>
  <c r="N323" i="9"/>
  <c r="L33" i="11" s="1"/>
  <c r="L10" i="11" s="1"/>
  <c r="M323" i="9"/>
  <c r="U322" i="9"/>
  <c r="T322" i="9"/>
  <c r="S322" i="9"/>
  <c r="R322" i="9"/>
  <c r="Q322" i="9"/>
  <c r="O322" i="9"/>
  <c r="L43" i="11"/>
  <c r="L22" i="11" s="1"/>
  <c r="N322" i="9"/>
  <c r="L32" i="11"/>
  <c r="L11" i="11" s="1"/>
  <c r="M322" i="9"/>
  <c r="U321" i="9"/>
  <c r="T321" i="9"/>
  <c r="S321" i="9"/>
  <c r="R321" i="9"/>
  <c r="Q321" i="9"/>
  <c r="O321" i="9"/>
  <c r="L42" i="11" s="1"/>
  <c r="L23" i="11" s="1"/>
  <c r="N321" i="9"/>
  <c r="L31" i="11" s="1"/>
  <c r="L12" i="11"/>
  <c r="M321" i="9"/>
  <c r="U318" i="9"/>
  <c r="T318" i="9"/>
  <c r="S318" i="9"/>
  <c r="R318" i="9"/>
  <c r="Q318" i="9"/>
  <c r="O318" i="9"/>
  <c r="K47" i="11"/>
  <c r="K18" i="11" s="1"/>
  <c r="N318" i="9"/>
  <c r="K36" i="11" s="1"/>
  <c r="K7" i="11" s="1"/>
  <c r="M318" i="9"/>
  <c r="U317" i="9"/>
  <c r="T317" i="9"/>
  <c r="S317" i="9"/>
  <c r="R317" i="9"/>
  <c r="Q317" i="9"/>
  <c r="O317" i="9"/>
  <c r="N317" i="9"/>
  <c r="K35" i="11"/>
  <c r="K8" i="11" s="1"/>
  <c r="M317" i="9"/>
  <c r="U316" i="9"/>
  <c r="T316" i="9"/>
  <c r="S316" i="9"/>
  <c r="R316" i="9"/>
  <c r="Q316" i="9"/>
  <c r="O316" i="9"/>
  <c r="K45" i="11"/>
  <c r="K20" i="11"/>
  <c r="N316" i="9"/>
  <c r="K34" i="11"/>
  <c r="K9" i="11" s="1"/>
  <c r="M316" i="9"/>
  <c r="U315" i="9"/>
  <c r="T315" i="9"/>
  <c r="S315" i="9"/>
  <c r="R315" i="9"/>
  <c r="Q315" i="9"/>
  <c r="O315" i="9"/>
  <c r="K44" i="11"/>
  <c r="K21" i="11"/>
  <c r="N315" i="9"/>
  <c r="M315" i="9"/>
  <c r="U314" i="9"/>
  <c r="T314" i="9"/>
  <c r="S314" i="9"/>
  <c r="R314" i="9"/>
  <c r="Q314" i="9"/>
  <c r="O314" i="9"/>
  <c r="K43" i="11" s="1"/>
  <c r="K22" i="11"/>
  <c r="N314" i="9"/>
  <c r="K32" i="11"/>
  <c r="K11" i="11" s="1"/>
  <c r="M314" i="9"/>
  <c r="U313" i="9"/>
  <c r="T313" i="9"/>
  <c r="S313" i="9"/>
  <c r="R313" i="9"/>
  <c r="Q313" i="9"/>
  <c r="O313" i="9"/>
  <c r="N313" i="9"/>
  <c r="M313" i="9"/>
  <c r="U310" i="9"/>
  <c r="T310" i="9"/>
  <c r="S310" i="9"/>
  <c r="R310" i="9"/>
  <c r="Q310" i="9"/>
  <c r="O310" i="9"/>
  <c r="N310" i="9"/>
  <c r="M310" i="9"/>
  <c r="U309" i="9"/>
  <c r="T309" i="9"/>
  <c r="S309" i="9"/>
  <c r="R309" i="9"/>
  <c r="Q309" i="9"/>
  <c r="O309" i="9"/>
  <c r="N309" i="9"/>
  <c r="M309" i="9"/>
  <c r="U308" i="9"/>
  <c r="T308" i="9"/>
  <c r="S308" i="9"/>
  <c r="R308" i="9"/>
  <c r="Q308" i="9"/>
  <c r="O308" i="9"/>
  <c r="N308" i="9"/>
  <c r="M308" i="9"/>
  <c r="U307" i="9"/>
  <c r="T307" i="9"/>
  <c r="S307" i="9"/>
  <c r="R307" i="9"/>
  <c r="Q307" i="9"/>
  <c r="O307" i="9"/>
  <c r="N307" i="9"/>
  <c r="M307" i="9"/>
  <c r="U306" i="9"/>
  <c r="T306" i="9"/>
  <c r="S306" i="9"/>
  <c r="R306" i="9"/>
  <c r="Q306" i="9"/>
  <c r="O306" i="9"/>
  <c r="N306" i="9"/>
  <c r="M306" i="9"/>
  <c r="U305" i="9"/>
  <c r="T305" i="9"/>
  <c r="S305" i="9"/>
  <c r="R305" i="9"/>
  <c r="Q305" i="9"/>
  <c r="O305" i="9"/>
  <c r="N305" i="9"/>
  <c r="M305" i="9"/>
  <c r="N296" i="9"/>
  <c r="S301" i="9"/>
  <c r="R301" i="9"/>
  <c r="Q301" i="9"/>
  <c r="U301" i="9"/>
  <c r="O301" i="9"/>
  <c r="I47" i="11" s="1"/>
  <c r="I18" i="11"/>
  <c r="N301" i="9"/>
  <c r="I36" i="11" s="1"/>
  <c r="I7" i="11" s="1"/>
  <c r="S300" i="9"/>
  <c r="R300" i="9"/>
  <c r="Q300" i="9"/>
  <c r="U300" i="9"/>
  <c r="O300" i="9"/>
  <c r="I46" i="11"/>
  <c r="I19" i="11"/>
  <c r="N300" i="9"/>
  <c r="I35" i="11" s="1"/>
  <c r="I8" i="11" s="1"/>
  <c r="S299" i="9"/>
  <c r="R299" i="9"/>
  <c r="Q299" i="9"/>
  <c r="U299" i="9"/>
  <c r="O299" i="9"/>
  <c r="I45" i="11"/>
  <c r="I20" i="11"/>
  <c r="N299" i="9"/>
  <c r="I34" i="11"/>
  <c r="I9" i="11" s="1"/>
  <c r="S298" i="9"/>
  <c r="R298" i="9"/>
  <c r="Q298" i="9"/>
  <c r="U298" i="9"/>
  <c r="O298" i="9"/>
  <c r="I44" i="11"/>
  <c r="I21" i="11" s="1"/>
  <c r="N298" i="9"/>
  <c r="I33" i="11"/>
  <c r="I10" i="11" s="1"/>
  <c r="S297" i="9"/>
  <c r="R297" i="9"/>
  <c r="Q297" i="9"/>
  <c r="U297" i="9"/>
  <c r="O297" i="9"/>
  <c r="I43" i="11" s="1"/>
  <c r="I22" i="11"/>
  <c r="N297" i="9"/>
  <c r="I32" i="11"/>
  <c r="I11" i="11" s="1"/>
  <c r="S296" i="9"/>
  <c r="R296" i="9"/>
  <c r="Q296" i="9"/>
  <c r="O296" i="9"/>
  <c r="I42" i="11" s="1"/>
  <c r="I23" i="11" s="1"/>
  <c r="AL291" i="9"/>
  <c r="N258" i="9"/>
  <c r="AG268" i="9" s="1"/>
  <c r="N9" i="9"/>
  <c r="D7" i="11" s="1"/>
  <c r="T301" i="9"/>
  <c r="M301" i="9"/>
  <c r="T300" i="9"/>
  <c r="M300" i="9"/>
  <c r="T299" i="9"/>
  <c r="M299" i="9"/>
  <c r="T298" i="9"/>
  <c r="M298" i="9"/>
  <c r="T297" i="9"/>
  <c r="M297" i="9"/>
  <c r="U296" i="9"/>
  <c r="T296" i="9"/>
  <c r="M296" i="9"/>
  <c r="F291" i="9"/>
  <c r="I291" i="9"/>
  <c r="F290" i="9"/>
  <c r="I290" i="9"/>
  <c r="F289" i="9"/>
  <c r="I289" i="9"/>
  <c r="F288" i="9"/>
  <c r="I288" i="9"/>
  <c r="F287" i="9"/>
  <c r="I287" i="9"/>
  <c r="S262" i="9"/>
  <c r="R262" i="9"/>
  <c r="Q262" i="9"/>
  <c r="N262" i="9"/>
  <c r="AG272" i="9" s="1"/>
  <c r="O262" i="9"/>
  <c r="M262" i="9"/>
  <c r="S261" i="9"/>
  <c r="R261" i="9"/>
  <c r="Q261" i="9"/>
  <c r="N261" i="9"/>
  <c r="AG271" i="9"/>
  <c r="O261" i="9"/>
  <c r="M261" i="9"/>
  <c r="S260" i="9"/>
  <c r="R260" i="9"/>
  <c r="Q260" i="9"/>
  <c r="N260" i="9"/>
  <c r="O260" i="9"/>
  <c r="AM270" i="9"/>
  <c r="M260" i="9"/>
  <c r="S259" i="9"/>
  <c r="R259" i="9"/>
  <c r="Q259" i="9"/>
  <c r="N259" i="9"/>
  <c r="AG269" i="9"/>
  <c r="O259" i="9"/>
  <c r="AM269" i="9"/>
  <c r="M259" i="9"/>
  <c r="S258" i="9"/>
  <c r="R258" i="9"/>
  <c r="Q258" i="9"/>
  <c r="O258" i="9"/>
  <c r="AM268" i="9"/>
  <c r="M258" i="9"/>
  <c r="S257" i="9"/>
  <c r="R257" i="9"/>
  <c r="Q257" i="9"/>
  <c r="N257" i="9"/>
  <c r="O257" i="9"/>
  <c r="AM267" i="9" s="1"/>
  <c r="M257" i="9"/>
  <c r="AM271" i="9"/>
  <c r="AM272" i="9"/>
  <c r="AG270" i="9"/>
  <c r="AG267" i="9"/>
  <c r="T34" i="9"/>
  <c r="O284" i="9"/>
  <c r="M284" i="9"/>
  <c r="Q284" i="9"/>
  <c r="N284" i="9"/>
  <c r="O280" i="9"/>
  <c r="M280" i="9"/>
  <c r="Q280" i="9"/>
  <c r="F269" i="9"/>
  <c r="I269" i="9"/>
  <c r="F268" i="9"/>
  <c r="I268" i="9"/>
  <c r="O281" i="9"/>
  <c r="Q281" i="9" s="1"/>
  <c r="M281" i="9"/>
  <c r="F270" i="9"/>
  <c r="I270" i="9"/>
  <c r="O282" i="9"/>
  <c r="M282" i="9"/>
  <c r="Q282" i="9"/>
  <c r="F271" i="9"/>
  <c r="I271" i="9"/>
  <c r="O283" i="9"/>
  <c r="M283" i="9"/>
  <c r="Q283" i="9"/>
  <c r="F272" i="9"/>
  <c r="I272" i="9"/>
  <c r="N280" i="9"/>
  <c r="P280" i="9"/>
  <c r="N281" i="9"/>
  <c r="P281" i="9"/>
  <c r="N282" i="9"/>
  <c r="N283" i="9"/>
  <c r="P283" i="9" s="1"/>
  <c r="O278" i="9"/>
  <c r="M278" i="9"/>
  <c r="Q278" i="9"/>
  <c r="N278" i="9"/>
  <c r="O277" i="9"/>
  <c r="M277" i="9"/>
  <c r="P277" i="9" s="1"/>
  <c r="Q277" i="9"/>
  <c r="N277" i="9"/>
  <c r="O276" i="9"/>
  <c r="M276" i="9"/>
  <c r="P276" i="9" s="1"/>
  <c r="N276" i="9"/>
  <c r="S264" i="9"/>
  <c r="R264" i="9"/>
  <c r="Q264" i="9"/>
  <c r="O264" i="9"/>
  <c r="N264" i="9"/>
  <c r="M264" i="9"/>
  <c r="S256" i="9"/>
  <c r="R256" i="9"/>
  <c r="Q256" i="9"/>
  <c r="O256" i="9"/>
  <c r="N256" i="9"/>
  <c r="M256" i="9"/>
  <c r="F191" i="9"/>
  <c r="I191" i="9"/>
  <c r="F190" i="9"/>
  <c r="I190" i="9"/>
  <c r="F192" i="9"/>
  <c r="I192" i="9"/>
  <c r="F193" i="9"/>
  <c r="I193" i="9"/>
  <c r="F194" i="9"/>
  <c r="I194" i="9"/>
  <c r="F184" i="9"/>
  <c r="I184" i="9"/>
  <c r="F183" i="9"/>
  <c r="F185" i="9"/>
  <c r="I185" i="9"/>
  <c r="F186" i="9"/>
  <c r="I186" i="9"/>
  <c r="F187" i="9"/>
  <c r="I187" i="9"/>
  <c r="M232" i="9"/>
  <c r="N232" i="9"/>
  <c r="O232" i="9"/>
  <c r="Q232" i="9"/>
  <c r="R232" i="9"/>
  <c r="S232" i="9"/>
  <c r="T221" i="9"/>
  <c r="T220" i="9"/>
  <c r="O228" i="9"/>
  <c r="N228" i="9"/>
  <c r="M228" i="9"/>
  <c r="O227" i="9"/>
  <c r="N227" i="9"/>
  <c r="M227" i="9"/>
  <c r="O226" i="9"/>
  <c r="Q226" i="9" s="1"/>
  <c r="M226" i="9"/>
  <c r="F223" i="9"/>
  <c r="H223" i="9"/>
  <c r="I223" i="9" s="1"/>
  <c r="F222" i="9"/>
  <c r="H222" i="9"/>
  <c r="I222" i="9"/>
  <c r="N226" i="9"/>
  <c r="P226" i="9"/>
  <c r="M216" i="9"/>
  <c r="P216" i="9" s="1"/>
  <c r="Q216" i="9"/>
  <c r="M214" i="9"/>
  <c r="Q214" i="9"/>
  <c r="P214" i="9"/>
  <c r="M212" i="9"/>
  <c r="Q212" i="9"/>
  <c r="P212" i="9"/>
  <c r="M210" i="9"/>
  <c r="M208" i="9"/>
  <c r="P208" i="9" s="1"/>
  <c r="Q208" i="9"/>
  <c r="M206" i="9"/>
  <c r="Q206" i="9"/>
  <c r="P206" i="9"/>
  <c r="M198" i="9"/>
  <c r="Q198" i="9"/>
  <c r="M200" i="9"/>
  <c r="P200" i="9" s="1"/>
  <c r="Q200" i="9"/>
  <c r="M202" i="9"/>
  <c r="Q202" i="9"/>
  <c r="M204" i="9"/>
  <c r="P204" i="9" s="1"/>
  <c r="Q204" i="9"/>
  <c r="AK172" i="9"/>
  <c r="AJ172" i="9"/>
  <c r="AI172" i="9"/>
  <c r="AG172" i="9"/>
  <c r="AF172" i="9"/>
  <c r="AE172" i="9"/>
  <c r="S172" i="9"/>
  <c r="R172" i="9"/>
  <c r="Q172" i="9"/>
  <c r="O172" i="9"/>
  <c r="N172" i="9"/>
  <c r="M172" i="9"/>
  <c r="AK177" i="9"/>
  <c r="AJ177" i="9"/>
  <c r="AI177" i="9"/>
  <c r="AG177" i="9"/>
  <c r="AF177" i="9"/>
  <c r="AE177" i="9"/>
  <c r="AK176" i="9"/>
  <c r="AJ176" i="9"/>
  <c r="AI176" i="9"/>
  <c r="AG176" i="9"/>
  <c r="AF176" i="9"/>
  <c r="AE176" i="9"/>
  <c r="AK175" i="9"/>
  <c r="AJ175" i="9"/>
  <c r="AI175" i="9"/>
  <c r="AG175" i="9"/>
  <c r="AF175" i="9"/>
  <c r="AE175" i="9"/>
  <c r="AK174" i="9"/>
  <c r="AJ174" i="9"/>
  <c r="AI174" i="9"/>
  <c r="AG174" i="9"/>
  <c r="AF174" i="9"/>
  <c r="AE174" i="9"/>
  <c r="AK173" i="9"/>
  <c r="AJ173" i="9"/>
  <c r="AI173" i="9"/>
  <c r="AG173" i="9"/>
  <c r="AF173" i="9"/>
  <c r="AE173" i="9"/>
  <c r="AG170" i="9"/>
  <c r="AF170" i="9"/>
  <c r="AE170" i="9"/>
  <c r="BR165" i="9"/>
  <c r="BO230" i="9" s="1"/>
  <c r="BR166" i="9"/>
  <c r="BO231" i="9"/>
  <c r="BR167" i="9"/>
  <c r="BO232" i="9" s="1"/>
  <c r="BR168" i="9"/>
  <c r="BO233" i="9"/>
  <c r="BR164" i="9"/>
  <c r="BO180" i="9" s="1"/>
  <c r="N165" i="9"/>
  <c r="BA165" i="9"/>
  <c r="BP230" i="9"/>
  <c r="O165" i="9"/>
  <c r="BB165" i="9"/>
  <c r="BQ230" i="9"/>
  <c r="N166" i="9"/>
  <c r="BP231" i="9" s="1"/>
  <c r="BA166" i="9"/>
  <c r="O166" i="9"/>
  <c r="BB166" i="9"/>
  <c r="BQ231" i="9" s="1"/>
  <c r="N167" i="9"/>
  <c r="BA167" i="9"/>
  <c r="BP232" i="9"/>
  <c r="O167" i="9"/>
  <c r="BB167" i="9"/>
  <c r="BQ232" i="9"/>
  <c r="N168" i="9"/>
  <c r="BP233" i="9" s="1"/>
  <c r="BA168" i="9"/>
  <c r="O168" i="9"/>
  <c r="BB168" i="9"/>
  <c r="BQ233" i="9" s="1"/>
  <c r="O164" i="9"/>
  <c r="BB164" i="9"/>
  <c r="BQ180" i="9"/>
  <c r="N164" i="9"/>
  <c r="BA164" i="9"/>
  <c r="BP180" i="9"/>
  <c r="AF165" i="9"/>
  <c r="BR230" i="9" s="1"/>
  <c r="BS165" i="9"/>
  <c r="AG165" i="9"/>
  <c r="BT165" i="9"/>
  <c r="BS230" i="9" s="1"/>
  <c r="AF166" i="9"/>
  <c r="BS166" i="9"/>
  <c r="BR231" i="9"/>
  <c r="AG166" i="9"/>
  <c r="BT166" i="9"/>
  <c r="BS231" i="9"/>
  <c r="AF167" i="9"/>
  <c r="BR232" i="9" s="1"/>
  <c r="BS167" i="9"/>
  <c r="AG167" i="9"/>
  <c r="BT167" i="9"/>
  <c r="BS232" i="9" s="1"/>
  <c r="AF168" i="9"/>
  <c r="BS168" i="9"/>
  <c r="BR233" i="9"/>
  <c r="AG168" i="9"/>
  <c r="BT168" i="9"/>
  <c r="BS233" i="9"/>
  <c r="AG164" i="9"/>
  <c r="BS180" i="9" s="1"/>
  <c r="BT164" i="9"/>
  <c r="AF164" i="9"/>
  <c r="BS164" i="9"/>
  <c r="BR180" i="9" s="1"/>
  <c r="BF179" i="9"/>
  <c r="BE179" i="9"/>
  <c r="BD179" i="9"/>
  <c r="BB179" i="9"/>
  <c r="BA179" i="9"/>
  <c r="AZ179" i="9"/>
  <c r="BX169" i="9"/>
  <c r="BW169" i="9"/>
  <c r="BV169" i="9"/>
  <c r="BT169" i="9"/>
  <c r="BS169" i="9"/>
  <c r="BR169" i="9"/>
  <c r="BF169" i="9"/>
  <c r="BE169" i="9"/>
  <c r="BD169" i="9"/>
  <c r="BB169" i="9"/>
  <c r="BA169" i="9"/>
  <c r="AZ169" i="9"/>
  <c r="BX168" i="9"/>
  <c r="BW168" i="9"/>
  <c r="BV168" i="9"/>
  <c r="BF168" i="9"/>
  <c r="BE168" i="9"/>
  <c r="BD168" i="9"/>
  <c r="AZ168" i="9"/>
  <c r="BX167" i="9"/>
  <c r="BW167" i="9"/>
  <c r="BV167" i="9"/>
  <c r="BF167" i="9"/>
  <c r="BE167" i="9"/>
  <c r="BD167" i="9"/>
  <c r="AZ167" i="9"/>
  <c r="BX166" i="9"/>
  <c r="BW166" i="9"/>
  <c r="BV166" i="9"/>
  <c r="BF166" i="9"/>
  <c r="BE166" i="9"/>
  <c r="BD166" i="9"/>
  <c r="AZ166" i="9"/>
  <c r="BX165" i="9"/>
  <c r="BW165" i="9"/>
  <c r="BV165" i="9"/>
  <c r="BF165" i="9"/>
  <c r="BE165" i="9"/>
  <c r="BD165" i="9"/>
  <c r="AZ165" i="9"/>
  <c r="BX164" i="9"/>
  <c r="BW164" i="9"/>
  <c r="BV164" i="9"/>
  <c r="BF164" i="9"/>
  <c r="BE164" i="9"/>
  <c r="BD164" i="9"/>
  <c r="AZ164" i="9"/>
  <c r="AK169" i="9"/>
  <c r="AJ169" i="9"/>
  <c r="AI169" i="9"/>
  <c r="AG169" i="9"/>
  <c r="AF169" i="9"/>
  <c r="AE169" i="9"/>
  <c r="AK168" i="9"/>
  <c r="AJ168" i="9"/>
  <c r="AI168" i="9"/>
  <c r="AE168" i="9"/>
  <c r="AK167" i="9"/>
  <c r="AJ167" i="9"/>
  <c r="AI167" i="9"/>
  <c r="AE167" i="9"/>
  <c r="AK166" i="9"/>
  <c r="AJ166" i="9"/>
  <c r="AI166" i="9"/>
  <c r="AE166" i="9"/>
  <c r="AK165" i="9"/>
  <c r="AJ165" i="9"/>
  <c r="AI165" i="9"/>
  <c r="AE165" i="9"/>
  <c r="AK164" i="9"/>
  <c r="AJ164" i="9"/>
  <c r="AI164" i="9"/>
  <c r="AE164" i="9"/>
  <c r="AI160" i="9"/>
  <c r="AK160" i="9"/>
  <c r="AL160" i="9"/>
  <c r="AM160" i="9"/>
  <c r="AI159" i="9"/>
  <c r="AK159" i="9"/>
  <c r="AL159" i="9"/>
  <c r="AM159" i="9"/>
  <c r="F157" i="9"/>
  <c r="H157" i="9"/>
  <c r="I157" i="9"/>
  <c r="J157" i="9"/>
  <c r="L157" i="9" s="1"/>
  <c r="M157" i="9" s="1"/>
  <c r="F158" i="9"/>
  <c r="H158" i="9"/>
  <c r="I158" i="9" s="1"/>
  <c r="F159" i="9"/>
  <c r="J159" i="9" s="1"/>
  <c r="H159" i="9"/>
  <c r="I159" i="9" s="1"/>
  <c r="F160" i="9"/>
  <c r="H160" i="9"/>
  <c r="I160" i="9"/>
  <c r="J160" i="9"/>
  <c r="AI158" i="9"/>
  <c r="AK158" i="9"/>
  <c r="AL158" i="9"/>
  <c r="AI157" i="9"/>
  <c r="AK157" i="9"/>
  <c r="AL157" i="9" s="1"/>
  <c r="AR150" i="9"/>
  <c r="AP150" i="9"/>
  <c r="AT150" i="9"/>
  <c r="AR151" i="9"/>
  <c r="AP151" i="9"/>
  <c r="AT151" i="9"/>
  <c r="AR152" i="9"/>
  <c r="AT152" i="9" s="1"/>
  <c r="AP152" i="9"/>
  <c r="AQ150" i="9"/>
  <c r="AS150" i="9"/>
  <c r="AQ151" i="9"/>
  <c r="AS151" i="9"/>
  <c r="AQ152" i="9"/>
  <c r="AS152" i="9"/>
  <c r="AR148" i="9"/>
  <c r="AP148" i="9"/>
  <c r="AT148" i="9"/>
  <c r="AQ148" i="9"/>
  <c r="AS148" i="9" s="1"/>
  <c r="AR147" i="9"/>
  <c r="AP147" i="9"/>
  <c r="AS147" i="9" s="1"/>
  <c r="AT147" i="9"/>
  <c r="AQ147" i="9"/>
  <c r="O112" i="9"/>
  <c r="O113" i="9"/>
  <c r="O114" i="9"/>
  <c r="O115" i="9"/>
  <c r="O116" i="9"/>
  <c r="O117" i="9"/>
  <c r="AC93" i="10" s="1"/>
  <c r="N112" i="9"/>
  <c r="N113" i="9"/>
  <c r="N114" i="9"/>
  <c r="N115" i="9"/>
  <c r="N116" i="9"/>
  <c r="N117" i="9"/>
  <c r="AN124" i="9"/>
  <c r="AM124" i="9"/>
  <c r="AL124" i="9"/>
  <c r="AN123" i="9"/>
  <c r="AM123" i="9"/>
  <c r="AL123" i="9"/>
  <c r="AN122" i="9"/>
  <c r="AM122" i="9"/>
  <c r="AL122" i="9"/>
  <c r="AN121" i="9"/>
  <c r="AM121" i="9"/>
  <c r="AL121" i="9"/>
  <c r="AN120" i="9"/>
  <c r="AM120" i="9"/>
  <c r="AL120" i="9"/>
  <c r="AN119" i="9"/>
  <c r="AM119" i="9"/>
  <c r="AL119" i="9"/>
  <c r="N110" i="9"/>
  <c r="AE272" i="9"/>
  <c r="O110" i="9"/>
  <c r="AK272" i="9"/>
  <c r="O105" i="9"/>
  <c r="AK267" i="9"/>
  <c r="O106" i="9"/>
  <c r="AK268" i="9"/>
  <c r="O107" i="9"/>
  <c r="AK269" i="9"/>
  <c r="O108" i="9"/>
  <c r="AK270" i="9"/>
  <c r="O109" i="9"/>
  <c r="AK271" i="9"/>
  <c r="N105" i="9"/>
  <c r="AE267" i="9"/>
  <c r="N106" i="9"/>
  <c r="AE268" i="9"/>
  <c r="N107" i="9"/>
  <c r="AE269" i="9"/>
  <c r="N108" i="9"/>
  <c r="AE270" i="9"/>
  <c r="N109" i="9"/>
  <c r="AE271" i="9"/>
  <c r="AR112" i="9"/>
  <c r="AQ112" i="9"/>
  <c r="AP112" i="9"/>
  <c r="AN112" i="9"/>
  <c r="AM112" i="9"/>
  <c r="AL112" i="9"/>
  <c r="AR111" i="9"/>
  <c r="AQ111" i="9"/>
  <c r="AP111" i="9"/>
  <c r="AN111" i="9"/>
  <c r="AM111" i="9"/>
  <c r="AL111" i="9"/>
  <c r="AR110" i="9"/>
  <c r="AQ110" i="9"/>
  <c r="AP110" i="9"/>
  <c r="AN110" i="9"/>
  <c r="AM110" i="9"/>
  <c r="AL110" i="9"/>
  <c r="AR109" i="9"/>
  <c r="AQ109" i="9"/>
  <c r="AP109" i="9"/>
  <c r="AN109" i="9"/>
  <c r="AM109" i="9"/>
  <c r="AL109" i="9"/>
  <c r="AR108" i="9"/>
  <c r="AQ108" i="9"/>
  <c r="AP108" i="9"/>
  <c r="AN108" i="9"/>
  <c r="AM108" i="9"/>
  <c r="AL108" i="9"/>
  <c r="AR107" i="9"/>
  <c r="AQ107" i="9"/>
  <c r="AP107" i="9"/>
  <c r="AN107" i="9"/>
  <c r="AM107" i="9"/>
  <c r="AL107" i="9"/>
  <c r="AR101" i="9"/>
  <c r="AQ101" i="9"/>
  <c r="AP101" i="9"/>
  <c r="AN101" i="9"/>
  <c r="AM101" i="9"/>
  <c r="AL101" i="9"/>
  <c r="AR100" i="9"/>
  <c r="AQ100" i="9"/>
  <c r="AP100" i="9"/>
  <c r="AN100" i="9"/>
  <c r="AM100" i="9"/>
  <c r="AL100" i="9"/>
  <c r="AR99" i="9"/>
  <c r="AQ99" i="9"/>
  <c r="AP99" i="9"/>
  <c r="AN99" i="9"/>
  <c r="AM99" i="9"/>
  <c r="AL99" i="9"/>
  <c r="AR98" i="9"/>
  <c r="AQ98" i="9"/>
  <c r="AP98" i="9"/>
  <c r="AN98" i="9"/>
  <c r="AM98" i="9"/>
  <c r="AL98" i="9"/>
  <c r="AR97" i="9"/>
  <c r="AQ97" i="9"/>
  <c r="AP97" i="9"/>
  <c r="AN97" i="9"/>
  <c r="AM97" i="9"/>
  <c r="AL97" i="9"/>
  <c r="AR96" i="9"/>
  <c r="AQ96" i="9"/>
  <c r="AP96" i="9"/>
  <c r="AN96" i="9"/>
  <c r="AM96" i="9"/>
  <c r="AL96" i="9"/>
  <c r="O41" i="9"/>
  <c r="H18" i="11"/>
  <c r="AK296" i="9"/>
  <c r="O42" i="9"/>
  <c r="O43" i="9"/>
  <c r="AK294" i="9" s="1"/>
  <c r="H20" i="11"/>
  <c r="O44" i="9"/>
  <c r="H21" i="11"/>
  <c r="AK293" i="9"/>
  <c r="O45" i="9"/>
  <c r="H22" i="11"/>
  <c r="AK292" i="9"/>
  <c r="O46" i="9"/>
  <c r="N42" i="9"/>
  <c r="Z295" i="9" s="1"/>
  <c r="H8" i="11"/>
  <c r="N43" i="9"/>
  <c r="H9" i="11"/>
  <c r="Z294" i="9"/>
  <c r="N44" i="9"/>
  <c r="H10" i="11"/>
  <c r="Z293" i="9"/>
  <c r="N45" i="9"/>
  <c r="N46" i="9"/>
  <c r="Z291" i="9" s="1"/>
  <c r="H12" i="11"/>
  <c r="N41" i="9"/>
  <c r="H7" i="11"/>
  <c r="Z296" i="9"/>
  <c r="O96" i="9"/>
  <c r="AJ267" i="9"/>
  <c r="O97" i="9"/>
  <c r="AJ268" i="9"/>
  <c r="O98" i="9"/>
  <c r="AJ269" i="9"/>
  <c r="O99" i="9"/>
  <c r="AJ270" i="9"/>
  <c r="O100" i="9"/>
  <c r="AJ271" i="9"/>
  <c r="O101" i="9"/>
  <c r="AJ272" i="9"/>
  <c r="N96" i="9"/>
  <c r="AD267" i="9"/>
  <c r="N97" i="9"/>
  <c r="AD268" i="9"/>
  <c r="N98" i="9"/>
  <c r="AD269" i="9"/>
  <c r="N99" i="9"/>
  <c r="W107" i="9" s="1"/>
  <c r="AD270" i="9"/>
  <c r="N100" i="9"/>
  <c r="AD271" i="9"/>
  <c r="N101" i="9"/>
  <c r="AD272" i="9"/>
  <c r="X104" i="9"/>
  <c r="F54" i="9"/>
  <c r="F53" i="9"/>
  <c r="J53" i="9" s="1"/>
  <c r="F52" i="9"/>
  <c r="F51" i="9"/>
  <c r="S46" i="9"/>
  <c r="R46" i="9"/>
  <c r="Q46" i="9"/>
  <c r="M46" i="9"/>
  <c r="S45" i="9"/>
  <c r="R45" i="9"/>
  <c r="Q45" i="9"/>
  <c r="M45" i="9"/>
  <c r="S44" i="9"/>
  <c r="R44" i="9"/>
  <c r="Q44" i="9"/>
  <c r="M44" i="9"/>
  <c r="S43" i="9"/>
  <c r="R43" i="9"/>
  <c r="Q43" i="9"/>
  <c r="M43" i="9"/>
  <c r="S42" i="9"/>
  <c r="R42" i="9"/>
  <c r="Q42" i="9"/>
  <c r="M42" i="9"/>
  <c r="S41" i="9"/>
  <c r="R41" i="9"/>
  <c r="Q41" i="9"/>
  <c r="M41" i="9"/>
  <c r="R22" i="9"/>
  <c r="Q22" i="9"/>
  <c r="R21" i="9"/>
  <c r="Q21" i="9"/>
  <c r="R20" i="9"/>
  <c r="Q20" i="9"/>
  <c r="R19" i="9"/>
  <c r="Q19" i="9"/>
  <c r="R18" i="9"/>
  <c r="Q18" i="9"/>
  <c r="R17" i="9"/>
  <c r="Q17" i="9"/>
  <c r="Q10" i="9"/>
  <c r="R10" i="9"/>
  <c r="Q11" i="9"/>
  <c r="R11" i="9"/>
  <c r="Q12" i="9"/>
  <c r="R12" i="9"/>
  <c r="Q13" i="9"/>
  <c r="R13" i="9"/>
  <c r="Q14" i="9"/>
  <c r="R14" i="9"/>
  <c r="Q9" i="9"/>
  <c r="R9" i="9"/>
  <c r="O22" i="9"/>
  <c r="E23" i="11"/>
  <c r="N22" i="9"/>
  <c r="E12" i="11"/>
  <c r="O21" i="9"/>
  <c r="E22" i="11"/>
  <c r="N21" i="9"/>
  <c r="E11" i="11"/>
  <c r="O20" i="9"/>
  <c r="E21" i="11"/>
  <c r="N20" i="9"/>
  <c r="E10" i="11"/>
  <c r="O19" i="9"/>
  <c r="E20" i="11"/>
  <c r="N19" i="9"/>
  <c r="E9" i="11"/>
  <c r="O18" i="9"/>
  <c r="E19" i="11"/>
  <c r="N18" i="9"/>
  <c r="E8" i="11"/>
  <c r="O17" i="9"/>
  <c r="E18" i="11"/>
  <c r="N17" i="9"/>
  <c r="E7" i="11"/>
  <c r="N10" i="9"/>
  <c r="D8" i="11"/>
  <c r="O10" i="9"/>
  <c r="D19" i="11"/>
  <c r="N11" i="9"/>
  <c r="D9" i="11"/>
  <c r="O11" i="9"/>
  <c r="D20" i="11"/>
  <c r="N12" i="9"/>
  <c r="D10" i="11"/>
  <c r="O12" i="9"/>
  <c r="D21" i="11"/>
  <c r="N13" i="9"/>
  <c r="D11" i="11"/>
  <c r="O13" i="9"/>
  <c r="D22" i="11"/>
  <c r="N14" i="9"/>
  <c r="D12" i="11"/>
  <c r="O14" i="9"/>
  <c r="D23" i="11"/>
  <c r="O9" i="9"/>
  <c r="D18" i="11"/>
  <c r="V22" i="9"/>
  <c r="W22" i="9"/>
  <c r="W17" i="9"/>
  <c r="W18" i="9"/>
  <c r="W19" i="9"/>
  <c r="W20" i="9"/>
  <c r="W21" i="9"/>
  <c r="V18" i="9"/>
  <c r="V19" i="9"/>
  <c r="V20" i="9"/>
  <c r="V21" i="9"/>
  <c r="V17" i="9"/>
  <c r="S249" i="9"/>
  <c r="R249" i="9"/>
  <c r="Q249" i="9"/>
  <c r="O249" i="9"/>
  <c r="N249" i="9"/>
  <c r="M249" i="9"/>
  <c r="S248" i="9"/>
  <c r="R248" i="9"/>
  <c r="Q248" i="9"/>
  <c r="O248" i="9"/>
  <c r="N248" i="9"/>
  <c r="M248" i="9"/>
  <c r="S247" i="9"/>
  <c r="R247" i="9"/>
  <c r="Q247" i="9"/>
  <c r="O247" i="9"/>
  <c r="N247" i="9"/>
  <c r="M247" i="9"/>
  <c r="S246" i="9"/>
  <c r="R246" i="9"/>
  <c r="Q246" i="9"/>
  <c r="O246" i="9"/>
  <c r="N246" i="9"/>
  <c r="M246" i="9"/>
  <c r="S245" i="9"/>
  <c r="R245" i="9"/>
  <c r="Q245" i="9"/>
  <c r="O245" i="9"/>
  <c r="N245" i="9"/>
  <c r="M245" i="9"/>
  <c r="S244" i="9"/>
  <c r="R244" i="9"/>
  <c r="Q244" i="9"/>
  <c r="O244" i="9"/>
  <c r="N244" i="9"/>
  <c r="M244" i="9"/>
  <c r="S240" i="9"/>
  <c r="R240" i="9"/>
  <c r="Q240" i="9"/>
  <c r="O240" i="9"/>
  <c r="N240" i="9"/>
  <c r="M240" i="9"/>
  <c r="S239" i="9"/>
  <c r="R239" i="9"/>
  <c r="Q239" i="9"/>
  <c r="O239" i="9"/>
  <c r="N239" i="9"/>
  <c r="M239" i="9"/>
  <c r="S237" i="9"/>
  <c r="R237" i="9"/>
  <c r="Q237" i="9"/>
  <c r="O237" i="9"/>
  <c r="N237" i="9"/>
  <c r="M237" i="9"/>
  <c r="S236" i="9"/>
  <c r="R236" i="9"/>
  <c r="Q236" i="9"/>
  <c r="O236" i="9"/>
  <c r="N236" i="9"/>
  <c r="M236" i="9"/>
  <c r="S235" i="9"/>
  <c r="R235" i="9"/>
  <c r="Q235" i="9"/>
  <c r="O235" i="9"/>
  <c r="N235" i="9"/>
  <c r="M235" i="9"/>
  <c r="S234" i="9"/>
  <c r="R234" i="9"/>
  <c r="Q234" i="9"/>
  <c r="O234" i="9"/>
  <c r="N234" i="9"/>
  <c r="M234" i="9"/>
  <c r="S233" i="9"/>
  <c r="R233" i="9"/>
  <c r="Q233" i="9"/>
  <c r="O233" i="9"/>
  <c r="N233" i="9"/>
  <c r="M233" i="9"/>
  <c r="S179" i="9"/>
  <c r="R179" i="9"/>
  <c r="Q179" i="9"/>
  <c r="O179" i="9"/>
  <c r="N179" i="9"/>
  <c r="M179" i="9"/>
  <c r="S177" i="9"/>
  <c r="R177" i="9"/>
  <c r="Q177" i="9"/>
  <c r="O177" i="9"/>
  <c r="N177" i="9"/>
  <c r="M177" i="9"/>
  <c r="S176" i="9"/>
  <c r="R176" i="9"/>
  <c r="Q176" i="9"/>
  <c r="O176" i="9"/>
  <c r="N176" i="9"/>
  <c r="M176" i="9"/>
  <c r="S175" i="9"/>
  <c r="R175" i="9"/>
  <c r="Q175" i="9"/>
  <c r="O175" i="9"/>
  <c r="N175" i="9"/>
  <c r="M175" i="9"/>
  <c r="S174" i="9"/>
  <c r="R174" i="9"/>
  <c r="Q174" i="9"/>
  <c r="O174" i="9"/>
  <c r="N174" i="9"/>
  <c r="M174" i="9"/>
  <c r="S173" i="9"/>
  <c r="R173" i="9"/>
  <c r="Q173" i="9"/>
  <c r="O173" i="9"/>
  <c r="N173" i="9"/>
  <c r="M173" i="9"/>
  <c r="S169" i="9"/>
  <c r="R169" i="9"/>
  <c r="Q169" i="9"/>
  <c r="O169" i="9"/>
  <c r="N169" i="9"/>
  <c r="M169" i="9"/>
  <c r="S168" i="9"/>
  <c r="R168" i="9"/>
  <c r="Q168" i="9"/>
  <c r="M168" i="9"/>
  <c r="S167" i="9"/>
  <c r="R167" i="9"/>
  <c r="Q167" i="9"/>
  <c r="M167" i="9"/>
  <c r="S166" i="9"/>
  <c r="R166" i="9"/>
  <c r="Q166" i="9"/>
  <c r="M166" i="9"/>
  <c r="S165" i="9"/>
  <c r="R165" i="9"/>
  <c r="Q165" i="9"/>
  <c r="M165" i="9"/>
  <c r="S164" i="9"/>
  <c r="R164" i="9"/>
  <c r="Q164" i="9"/>
  <c r="M164" i="9"/>
  <c r="O152" i="9"/>
  <c r="M152" i="9"/>
  <c r="Q152" i="9"/>
  <c r="N152" i="9"/>
  <c r="O151" i="9"/>
  <c r="M151" i="9"/>
  <c r="Q151" i="9"/>
  <c r="N151" i="9"/>
  <c r="P151" i="9" s="1"/>
  <c r="O150" i="9"/>
  <c r="M150" i="9"/>
  <c r="Q150" i="9"/>
  <c r="N150" i="9"/>
  <c r="O148" i="9"/>
  <c r="M148" i="9"/>
  <c r="P148" i="9" s="1"/>
  <c r="Q148" i="9"/>
  <c r="N148" i="9"/>
  <c r="O147" i="9"/>
  <c r="M147" i="9"/>
  <c r="P147" i="9" s="1"/>
  <c r="N147" i="9"/>
  <c r="O143" i="9"/>
  <c r="Q143" i="9" s="1"/>
  <c r="M143" i="9"/>
  <c r="P143" i="9" s="1"/>
  <c r="N143" i="9"/>
  <c r="O142" i="9"/>
  <c r="Q142" i="9" s="1"/>
  <c r="M142" i="9"/>
  <c r="N142" i="9"/>
  <c r="O141" i="9"/>
  <c r="Q141" i="9" s="1"/>
  <c r="M141" i="9"/>
  <c r="N141" i="9"/>
  <c r="P141" i="9"/>
  <c r="O140" i="9"/>
  <c r="M140" i="9"/>
  <c r="Q140" i="9"/>
  <c r="N140" i="9"/>
  <c r="O139" i="9"/>
  <c r="M139" i="9"/>
  <c r="Q139" i="9"/>
  <c r="N139" i="9"/>
  <c r="P139" i="9" s="1"/>
  <c r="O137" i="9"/>
  <c r="M137" i="9"/>
  <c r="Q137" i="9"/>
  <c r="N137" i="9"/>
  <c r="O136" i="9"/>
  <c r="M136" i="9"/>
  <c r="P136" i="9" s="1"/>
  <c r="Q136" i="9"/>
  <c r="N136" i="9"/>
  <c r="O135" i="9"/>
  <c r="M135" i="9"/>
  <c r="P135" i="9" s="1"/>
  <c r="N135" i="9"/>
  <c r="H131" i="9"/>
  <c r="I131" i="9"/>
  <c r="J131" i="9" s="1"/>
  <c r="L131" i="9" s="1"/>
  <c r="M131" i="9" s="1"/>
  <c r="F131" i="9"/>
  <c r="H130" i="9"/>
  <c r="I130" i="9"/>
  <c r="F130" i="9"/>
  <c r="J130" i="9" s="1"/>
  <c r="L130" i="9" s="1"/>
  <c r="M130" i="9" s="1"/>
  <c r="H129" i="9"/>
  <c r="I129" i="9"/>
  <c r="F129" i="9"/>
  <c r="H128" i="9"/>
  <c r="I128" i="9" s="1"/>
  <c r="J128" i="9" s="1"/>
  <c r="L128" i="9" s="1"/>
  <c r="M128" i="9" s="1"/>
  <c r="F128" i="9"/>
  <c r="H127" i="9"/>
  <c r="I127" i="9"/>
  <c r="F127" i="9"/>
  <c r="S123" i="9"/>
  <c r="R123" i="9"/>
  <c r="Q123" i="9"/>
  <c r="O123" i="9"/>
  <c r="N123" i="9"/>
  <c r="M123" i="9"/>
  <c r="S120" i="9"/>
  <c r="R120" i="9"/>
  <c r="Q120" i="9"/>
  <c r="O120" i="9"/>
  <c r="N120" i="9"/>
  <c r="M120" i="9"/>
  <c r="S119" i="9"/>
  <c r="R119" i="9"/>
  <c r="Q119" i="9"/>
  <c r="O119" i="9"/>
  <c r="N119" i="9"/>
  <c r="M119" i="9"/>
  <c r="S117" i="9"/>
  <c r="R117" i="9"/>
  <c r="Q117" i="9"/>
  <c r="M117" i="9"/>
  <c r="S116" i="9"/>
  <c r="R116" i="9"/>
  <c r="Q116" i="9"/>
  <c r="M116" i="9"/>
  <c r="S115" i="9"/>
  <c r="R115" i="9"/>
  <c r="Q115" i="9"/>
  <c r="M115" i="9"/>
  <c r="S114" i="9"/>
  <c r="R114" i="9"/>
  <c r="Q114" i="9"/>
  <c r="M114" i="9"/>
  <c r="S113" i="9"/>
  <c r="R113" i="9"/>
  <c r="Q113" i="9"/>
  <c r="M113" i="9"/>
  <c r="S112" i="9"/>
  <c r="R112" i="9"/>
  <c r="Q112" i="9"/>
  <c r="M112" i="9"/>
  <c r="S110" i="9"/>
  <c r="R110" i="9"/>
  <c r="Q110" i="9"/>
  <c r="M110" i="9"/>
  <c r="S109" i="9"/>
  <c r="R109" i="9"/>
  <c r="Q109" i="9"/>
  <c r="M109" i="9"/>
  <c r="S108" i="9"/>
  <c r="R108" i="9"/>
  <c r="Q108" i="9"/>
  <c r="M108" i="9"/>
  <c r="S107" i="9"/>
  <c r="R107" i="9"/>
  <c r="Q107" i="9"/>
  <c r="M107" i="9"/>
  <c r="S106" i="9"/>
  <c r="R106" i="9"/>
  <c r="Q106" i="9"/>
  <c r="M106" i="9"/>
  <c r="S105" i="9"/>
  <c r="R105" i="9"/>
  <c r="Q105" i="9"/>
  <c r="M105" i="9"/>
  <c r="S103" i="9"/>
  <c r="R103" i="9"/>
  <c r="Q103" i="9"/>
  <c r="O103" i="9"/>
  <c r="N103" i="9"/>
  <c r="M103" i="9"/>
  <c r="S101" i="9"/>
  <c r="R101" i="9"/>
  <c r="Q101" i="9"/>
  <c r="M101" i="9"/>
  <c r="S100" i="9"/>
  <c r="R100" i="9"/>
  <c r="Q100" i="9"/>
  <c r="M100" i="9"/>
  <c r="S99" i="9"/>
  <c r="R99" i="9"/>
  <c r="Q99" i="9"/>
  <c r="M99" i="9"/>
  <c r="S98" i="9"/>
  <c r="R98" i="9"/>
  <c r="Q98" i="9"/>
  <c r="M98" i="9"/>
  <c r="S97" i="9"/>
  <c r="R97" i="9"/>
  <c r="Q97" i="9"/>
  <c r="M97" i="9"/>
  <c r="S96" i="9"/>
  <c r="R96" i="9"/>
  <c r="Q96" i="9"/>
  <c r="M96" i="9"/>
  <c r="S95" i="9"/>
  <c r="R95" i="9"/>
  <c r="Q95" i="9"/>
  <c r="O95" i="9"/>
  <c r="N95" i="9"/>
  <c r="M95" i="9"/>
  <c r="O89" i="9"/>
  <c r="Q89" i="9" s="1"/>
  <c r="M89" i="9"/>
  <c r="N89" i="9"/>
  <c r="P89" i="9"/>
  <c r="O88" i="9"/>
  <c r="M88" i="9"/>
  <c r="Q88" i="9"/>
  <c r="N88" i="9"/>
  <c r="P88" i="9" s="1"/>
  <c r="O87" i="9"/>
  <c r="M87" i="9"/>
  <c r="P87" i="9" s="1"/>
  <c r="Q87" i="9"/>
  <c r="N87" i="9"/>
  <c r="O86" i="9"/>
  <c r="M86" i="9"/>
  <c r="P86" i="9" s="1"/>
  <c r="N86" i="9"/>
  <c r="O85" i="9"/>
  <c r="Q85" i="9" s="1"/>
  <c r="M85" i="9"/>
  <c r="N85" i="9"/>
  <c r="P85" i="9"/>
  <c r="O84" i="9"/>
  <c r="M84" i="9"/>
  <c r="Q84" i="9"/>
  <c r="N84" i="9"/>
  <c r="P84" i="9" s="1"/>
  <c r="O82" i="9"/>
  <c r="M82" i="9"/>
  <c r="P82" i="9" s="1"/>
  <c r="Q82" i="9"/>
  <c r="N82" i="9"/>
  <c r="O81" i="9"/>
  <c r="Q81" i="9" s="1"/>
  <c r="M81" i="9"/>
  <c r="P81" i="9" s="1"/>
  <c r="N81" i="9"/>
  <c r="O79" i="9"/>
  <c r="Q79" i="9" s="1"/>
  <c r="M79" i="9"/>
  <c r="N79" i="9"/>
  <c r="P79" i="9"/>
  <c r="O78" i="9"/>
  <c r="Q78" i="9" s="1"/>
  <c r="M78" i="9"/>
  <c r="N78" i="9"/>
  <c r="P78" i="9"/>
  <c r="O77" i="9"/>
  <c r="M77" i="9"/>
  <c r="N77" i="9"/>
  <c r="P77" i="9"/>
  <c r="O76" i="9"/>
  <c r="M76" i="9"/>
  <c r="Q76" i="9"/>
  <c r="N76" i="9"/>
  <c r="P76" i="9" s="1"/>
  <c r="S69" i="9"/>
  <c r="R69" i="9"/>
  <c r="Q69" i="9"/>
  <c r="O69" i="9"/>
  <c r="N69" i="9"/>
  <c r="M69" i="9"/>
  <c r="S68" i="9"/>
  <c r="R68" i="9"/>
  <c r="Q68" i="9"/>
  <c r="O68" i="9"/>
  <c r="N68" i="9"/>
  <c r="M68" i="9"/>
  <c r="S67" i="9"/>
  <c r="R67" i="9"/>
  <c r="Q67" i="9"/>
  <c r="O67" i="9"/>
  <c r="N67" i="9"/>
  <c r="M67" i="9"/>
  <c r="S66" i="9"/>
  <c r="R66" i="9"/>
  <c r="Q66" i="9"/>
  <c r="O66" i="9"/>
  <c r="N66" i="9"/>
  <c r="M66" i="9"/>
  <c r="S65" i="9"/>
  <c r="R65" i="9"/>
  <c r="Q65" i="9"/>
  <c r="O65" i="9"/>
  <c r="N65" i="9"/>
  <c r="M65" i="9"/>
  <c r="S64" i="9"/>
  <c r="R64" i="9"/>
  <c r="Q64" i="9"/>
  <c r="O64" i="9"/>
  <c r="N64" i="9"/>
  <c r="M64" i="9"/>
  <c r="S62" i="9"/>
  <c r="R62" i="9"/>
  <c r="Q62" i="9"/>
  <c r="O62" i="9"/>
  <c r="N62" i="9"/>
  <c r="M62" i="9"/>
  <c r="S61" i="9"/>
  <c r="R61" i="9"/>
  <c r="Q61" i="9"/>
  <c r="O61" i="9"/>
  <c r="N61" i="9"/>
  <c r="M61" i="9"/>
  <c r="S60" i="9"/>
  <c r="R60" i="9"/>
  <c r="Q60" i="9"/>
  <c r="O60" i="9"/>
  <c r="N60" i="9"/>
  <c r="M60" i="9"/>
  <c r="S59" i="9"/>
  <c r="R59" i="9"/>
  <c r="Q59" i="9"/>
  <c r="O59" i="9"/>
  <c r="N59" i="9"/>
  <c r="M59" i="9"/>
  <c r="S58" i="9"/>
  <c r="R58" i="9"/>
  <c r="Q58" i="9"/>
  <c r="O58" i="9"/>
  <c r="N58" i="9"/>
  <c r="M58" i="9"/>
  <c r="S57" i="9"/>
  <c r="R57" i="9"/>
  <c r="Q57" i="9"/>
  <c r="O57" i="9"/>
  <c r="N57" i="9"/>
  <c r="M57" i="9"/>
  <c r="H54" i="9"/>
  <c r="I54" i="9"/>
  <c r="J54" i="9"/>
  <c r="H53" i="9"/>
  <c r="I53" i="9"/>
  <c r="H52" i="9"/>
  <c r="I52" i="9" s="1"/>
  <c r="J52" i="9" s="1"/>
  <c r="H51" i="9"/>
  <c r="I51" i="9"/>
  <c r="U39" i="9"/>
  <c r="T39" i="9"/>
  <c r="S39" i="9"/>
  <c r="R39" i="9"/>
  <c r="Q39" i="9"/>
  <c r="AB39" i="9" s="1"/>
  <c r="O39" i="9"/>
  <c r="G23" i="11"/>
  <c r="N39" i="9"/>
  <c r="G12" i="11"/>
  <c r="M39" i="9"/>
  <c r="U38" i="9"/>
  <c r="T38" i="9"/>
  <c r="S38" i="9"/>
  <c r="R38" i="9"/>
  <c r="Q38" i="9"/>
  <c r="O38" i="9"/>
  <c r="G22" i="11"/>
  <c r="X22" i="11" s="1"/>
  <c r="N38" i="9"/>
  <c r="G11" i="11"/>
  <c r="M38" i="9"/>
  <c r="U37" i="9"/>
  <c r="T37" i="9"/>
  <c r="S37" i="9"/>
  <c r="R37" i="9"/>
  <c r="Q37" i="9"/>
  <c r="AB37" i="9" s="1"/>
  <c r="O37" i="9"/>
  <c r="G21" i="11"/>
  <c r="N37" i="9"/>
  <c r="G10" i="11"/>
  <c r="M37" i="9"/>
  <c r="U36" i="9"/>
  <c r="T36" i="9"/>
  <c r="S36" i="9"/>
  <c r="R36" i="9"/>
  <c r="Q36" i="9"/>
  <c r="O36" i="9"/>
  <c r="G20" i="11"/>
  <c r="X20" i="11" s="1"/>
  <c r="N36" i="9"/>
  <c r="G9" i="11"/>
  <c r="M36" i="9"/>
  <c r="U35" i="9"/>
  <c r="T35" i="9"/>
  <c r="S35" i="9"/>
  <c r="R35" i="9"/>
  <c r="Q35" i="9"/>
  <c r="AB35" i="9" s="1"/>
  <c r="O35" i="9"/>
  <c r="G19" i="11"/>
  <c r="N35" i="9"/>
  <c r="G8" i="11"/>
  <c r="X8" i="11" s="1"/>
  <c r="M35" i="9"/>
  <c r="U34" i="9"/>
  <c r="S34" i="9"/>
  <c r="R34" i="9"/>
  <c r="Q34" i="9"/>
  <c r="O34" i="9"/>
  <c r="G18" i="11"/>
  <c r="AJ296" i="9"/>
  <c r="AR296" i="9" s="1"/>
  <c r="N34" i="9"/>
  <c r="G7" i="11"/>
  <c r="Y296" i="9"/>
  <c r="M34" i="9"/>
  <c r="S31" i="9"/>
  <c r="R31" i="9"/>
  <c r="Q31" i="9"/>
  <c r="O31" i="9"/>
  <c r="F47" i="11" s="1"/>
  <c r="N31" i="9"/>
  <c r="F36" i="11"/>
  <c r="M31" i="9"/>
  <c r="S30" i="9"/>
  <c r="R30" i="9"/>
  <c r="Q30" i="9"/>
  <c r="O30" i="9"/>
  <c r="F46" i="11" s="1"/>
  <c r="N30" i="9"/>
  <c r="F35" i="11"/>
  <c r="M30" i="9"/>
  <c r="S29" i="9"/>
  <c r="R29" i="9"/>
  <c r="Q29" i="9"/>
  <c r="O29" i="9"/>
  <c r="F45" i="11" s="1"/>
  <c r="N29" i="9"/>
  <c r="F34" i="11"/>
  <c r="M29" i="9"/>
  <c r="S28" i="9"/>
  <c r="R28" i="9"/>
  <c r="Q28" i="9"/>
  <c r="O28" i="9"/>
  <c r="F44" i="11" s="1"/>
  <c r="N28" i="9"/>
  <c r="F33" i="11"/>
  <c r="M28" i="9"/>
  <c r="S27" i="9"/>
  <c r="R27" i="9"/>
  <c r="Q27" i="9"/>
  <c r="O27" i="9"/>
  <c r="F43" i="11" s="1"/>
  <c r="N27" i="9"/>
  <c r="F32" i="11"/>
  <c r="M27" i="9"/>
  <c r="S26" i="9"/>
  <c r="R26" i="9"/>
  <c r="Q26" i="9"/>
  <c r="O26" i="9"/>
  <c r="F42" i="11" s="1"/>
  <c r="N26" i="9"/>
  <c r="F31" i="11"/>
  <c r="M26" i="9"/>
  <c r="U22" i="9"/>
  <c r="T22" i="9"/>
  <c r="S22" i="9"/>
  <c r="M22" i="9"/>
  <c r="U21" i="9"/>
  <c r="T21" i="9"/>
  <c r="S21" i="9"/>
  <c r="M21" i="9"/>
  <c r="U20" i="9"/>
  <c r="T20" i="9"/>
  <c r="S20" i="9"/>
  <c r="M20" i="9"/>
  <c r="U19" i="9"/>
  <c r="T19" i="9"/>
  <c r="S19" i="9"/>
  <c r="M19" i="9"/>
  <c r="U18" i="9"/>
  <c r="T18" i="9"/>
  <c r="S18" i="9"/>
  <c r="M18" i="9"/>
  <c r="U17" i="9"/>
  <c r="T17" i="9"/>
  <c r="S17" i="9"/>
  <c r="M17" i="9"/>
  <c r="U14" i="9"/>
  <c r="T14" i="9"/>
  <c r="S14" i="9"/>
  <c r="M14" i="9"/>
  <c r="U13" i="9"/>
  <c r="T13" i="9"/>
  <c r="S13" i="9"/>
  <c r="M13" i="9"/>
  <c r="U12" i="9"/>
  <c r="T12" i="9"/>
  <c r="S12" i="9"/>
  <c r="M12" i="9"/>
  <c r="U11" i="9"/>
  <c r="T11" i="9"/>
  <c r="S11" i="9"/>
  <c r="M11" i="9"/>
  <c r="U10" i="9"/>
  <c r="T10" i="9"/>
  <c r="S10" i="9"/>
  <c r="M10" i="9"/>
  <c r="U9" i="9"/>
  <c r="T9" i="9"/>
  <c r="S9" i="9"/>
  <c r="M9" i="9"/>
  <c r="O23" i="7"/>
  <c r="E30" i="7"/>
  <c r="F30" i="7"/>
  <c r="G30" i="7"/>
  <c r="H30" i="7"/>
  <c r="I30" i="7"/>
  <c r="J30" i="7"/>
  <c r="K30" i="7"/>
  <c r="O30" i="7"/>
  <c r="R19" i="4"/>
  <c r="AA19" i="4"/>
  <c r="AB19" i="4"/>
  <c r="AH19" i="4"/>
  <c r="AI19" i="4"/>
  <c r="AJ19" i="4"/>
  <c r="AJ30" i="4"/>
  <c r="AJ41" i="4" s="1"/>
  <c r="AJ52" i="4" s="1"/>
  <c r="AJ63" i="4" s="1"/>
  <c r="AK19" i="4"/>
  <c r="AL19" i="4"/>
  <c r="AQ19" i="4"/>
  <c r="AR19" i="4"/>
  <c r="AS19" i="4"/>
  <c r="AS30" i="4" s="1"/>
  <c r="AS41" i="4" s="1"/>
  <c r="AS52" i="4" s="1"/>
  <c r="AS63" i="4" s="1"/>
  <c r="AT19" i="4"/>
  <c r="AU19" i="4"/>
  <c r="AV19" i="4"/>
  <c r="R20" i="4"/>
  <c r="AA20" i="4"/>
  <c r="AB20" i="4"/>
  <c r="AH20" i="4"/>
  <c r="AI20" i="4"/>
  <c r="AJ20" i="4"/>
  <c r="AJ31" i="4" s="1"/>
  <c r="AJ42" i="4" s="1"/>
  <c r="AJ53" i="4" s="1"/>
  <c r="AJ64" i="4" s="1"/>
  <c r="AK20" i="4"/>
  <c r="AL20" i="4"/>
  <c r="AQ20" i="4"/>
  <c r="AR20" i="4"/>
  <c r="AS20" i="4"/>
  <c r="AS31" i="4" s="1"/>
  <c r="AS42" i="4" s="1"/>
  <c r="AS53" i="4" s="1"/>
  <c r="AS64" i="4" s="1"/>
  <c r="AT20" i="4"/>
  <c r="AU20" i="4"/>
  <c r="AV20" i="4"/>
  <c r="R21" i="4"/>
  <c r="AA21" i="4"/>
  <c r="AB21" i="4"/>
  <c r="AH21" i="4"/>
  <c r="AI21" i="4"/>
  <c r="AJ21" i="4"/>
  <c r="AJ32" i="4" s="1"/>
  <c r="AJ43" i="4" s="1"/>
  <c r="AJ54" i="4" s="1"/>
  <c r="AJ65" i="4" s="1"/>
  <c r="AK21" i="4"/>
  <c r="AL21" i="4"/>
  <c r="AQ21" i="4"/>
  <c r="AR21" i="4"/>
  <c r="AS21" i="4"/>
  <c r="AS32" i="4" s="1"/>
  <c r="AS43" i="4" s="1"/>
  <c r="AS54" i="4" s="1"/>
  <c r="AS65" i="4" s="1"/>
  <c r="AT21" i="4"/>
  <c r="AU21" i="4"/>
  <c r="AV21" i="4"/>
  <c r="R22" i="4"/>
  <c r="AA22" i="4"/>
  <c r="AB22" i="4"/>
  <c r="AH22" i="4"/>
  <c r="AI22" i="4"/>
  <c r="AJ22" i="4"/>
  <c r="AJ33" i="4" s="1"/>
  <c r="AJ44" i="4" s="1"/>
  <c r="AJ55" i="4" s="1"/>
  <c r="AJ66" i="4" s="1"/>
  <c r="AK22" i="4"/>
  <c r="AL22" i="4"/>
  <c r="AQ22" i="4"/>
  <c r="AR22" i="4"/>
  <c r="AS22" i="4"/>
  <c r="AS33" i="4" s="1"/>
  <c r="AS44" i="4" s="1"/>
  <c r="AS55" i="4" s="1"/>
  <c r="AS66" i="4" s="1"/>
  <c r="AT22" i="4"/>
  <c r="AU22" i="4"/>
  <c r="AV22" i="4"/>
  <c r="R23" i="4"/>
  <c r="AA23" i="4"/>
  <c r="AB23" i="4"/>
  <c r="AH23" i="4"/>
  <c r="AI23" i="4"/>
  <c r="AJ23" i="4"/>
  <c r="AJ34" i="4" s="1"/>
  <c r="AJ45" i="4" s="1"/>
  <c r="AJ56" i="4" s="1"/>
  <c r="AJ67" i="4" s="1"/>
  <c r="AK23" i="4"/>
  <c r="AL23" i="4"/>
  <c r="AQ23" i="4"/>
  <c r="AR23" i="4"/>
  <c r="AS23" i="4"/>
  <c r="AS34" i="4" s="1"/>
  <c r="AS45" i="4" s="1"/>
  <c r="AS56" i="4" s="1"/>
  <c r="AS67" i="4" s="1"/>
  <c r="AT23" i="4"/>
  <c r="AU23" i="4"/>
  <c r="AV23" i="4"/>
  <c r="R24" i="4"/>
  <c r="AA24" i="4"/>
  <c r="AB24" i="4"/>
  <c r="AH24" i="4"/>
  <c r="AI24" i="4"/>
  <c r="AJ24" i="4"/>
  <c r="AJ35" i="4" s="1"/>
  <c r="AJ46" i="4" s="1"/>
  <c r="AJ57" i="4" s="1"/>
  <c r="AJ68" i="4" s="1"/>
  <c r="AK24" i="4"/>
  <c r="AL24" i="4"/>
  <c r="AQ24" i="4"/>
  <c r="AR24" i="4"/>
  <c r="AS24" i="4"/>
  <c r="AS35" i="4" s="1"/>
  <c r="AS46" i="4" s="1"/>
  <c r="AS57" i="4" s="1"/>
  <c r="AS68" i="4" s="1"/>
  <c r="AT24" i="4"/>
  <c r="AU24" i="4"/>
  <c r="AV24" i="4"/>
  <c r="P52" i="7"/>
  <c r="AH30" i="4"/>
  <c r="AI30" i="4"/>
  <c r="AK30" i="4"/>
  <c r="AL30" i="4"/>
  <c r="AQ30" i="4"/>
  <c r="AR30" i="4"/>
  <c r="AT30" i="4"/>
  <c r="AU30" i="4"/>
  <c r="AV30" i="4"/>
  <c r="AH31" i="4"/>
  <c r="AI31" i="4"/>
  <c r="AK31" i="4"/>
  <c r="AL31" i="4"/>
  <c r="AQ31" i="4"/>
  <c r="AR31" i="4"/>
  <c r="AT31" i="4"/>
  <c r="AU31" i="4"/>
  <c r="AV31" i="4"/>
  <c r="AH32" i="4"/>
  <c r="AI32" i="4"/>
  <c r="AK32" i="4"/>
  <c r="AL32" i="4"/>
  <c r="AQ32" i="4"/>
  <c r="AR32" i="4"/>
  <c r="AT32" i="4"/>
  <c r="AU32" i="4"/>
  <c r="AV32" i="4"/>
  <c r="AH33" i="4"/>
  <c r="AI33" i="4"/>
  <c r="AK33" i="4"/>
  <c r="AL33" i="4"/>
  <c r="AQ33" i="4"/>
  <c r="AR33" i="4"/>
  <c r="AT33" i="4"/>
  <c r="AU33" i="4"/>
  <c r="AV33" i="4"/>
  <c r="AH34" i="4"/>
  <c r="AI34" i="4"/>
  <c r="AK34" i="4"/>
  <c r="AL34" i="4"/>
  <c r="AQ34" i="4"/>
  <c r="AR34" i="4"/>
  <c r="AT34" i="4"/>
  <c r="AU34" i="4"/>
  <c r="AV34" i="4"/>
  <c r="AH35" i="4"/>
  <c r="AI35" i="4"/>
  <c r="AK35" i="4"/>
  <c r="AL35" i="4"/>
  <c r="AQ35" i="4"/>
  <c r="AR35" i="4"/>
  <c r="AT35" i="4"/>
  <c r="AU35" i="4"/>
  <c r="AV35" i="4"/>
  <c r="AB41" i="4"/>
  <c r="AH41" i="4"/>
  <c r="AI41" i="4"/>
  <c r="AK41" i="4"/>
  <c r="AL41" i="4"/>
  <c r="AQ41" i="4"/>
  <c r="AR41" i="4"/>
  <c r="AT41" i="4"/>
  <c r="AU41" i="4"/>
  <c r="AV41" i="4"/>
  <c r="R42" i="4"/>
  <c r="AA42" i="4"/>
  <c r="AB42" i="4"/>
  <c r="AH42" i="4"/>
  <c r="AI42" i="4"/>
  <c r="AK42" i="4"/>
  <c r="AL42" i="4"/>
  <c r="AQ42" i="4"/>
  <c r="AR42" i="4"/>
  <c r="AT42" i="4"/>
  <c r="AU42" i="4"/>
  <c r="AV42" i="4"/>
  <c r="AB43" i="4"/>
  <c r="AH43" i="4"/>
  <c r="AI43" i="4"/>
  <c r="AK43" i="4"/>
  <c r="AL43" i="4"/>
  <c r="AQ43" i="4"/>
  <c r="AR43" i="4"/>
  <c r="AT43" i="4"/>
  <c r="AU43" i="4"/>
  <c r="AV43" i="4"/>
  <c r="R44" i="4"/>
  <c r="AA44" i="4"/>
  <c r="AB44" i="4"/>
  <c r="AH44" i="4"/>
  <c r="AI44" i="4"/>
  <c r="AK44" i="4"/>
  <c r="AL44" i="4"/>
  <c r="AQ44" i="4"/>
  <c r="AR44" i="4"/>
  <c r="AT44" i="4"/>
  <c r="AU44" i="4"/>
  <c r="AV44" i="4"/>
  <c r="R45" i="4"/>
  <c r="AA45" i="4"/>
  <c r="AB45" i="4"/>
  <c r="AH45" i="4"/>
  <c r="AI45" i="4"/>
  <c r="AK45" i="4"/>
  <c r="AL45" i="4"/>
  <c r="AQ45" i="4"/>
  <c r="AR45" i="4"/>
  <c r="AT45" i="4"/>
  <c r="AU45" i="4"/>
  <c r="AV45" i="4"/>
  <c r="R46" i="4"/>
  <c r="AA46" i="4"/>
  <c r="AB46" i="4"/>
  <c r="AH46" i="4"/>
  <c r="AI46" i="4"/>
  <c r="AK46" i="4"/>
  <c r="AL46" i="4"/>
  <c r="AQ46" i="4"/>
  <c r="AR46" i="4"/>
  <c r="AT46" i="4"/>
  <c r="AU46" i="4"/>
  <c r="AV46" i="4"/>
  <c r="L5" i="3"/>
  <c r="M5" i="3"/>
  <c r="N5" i="3" s="1"/>
  <c r="L6" i="3"/>
  <c r="M6" i="3"/>
  <c r="N6" i="3"/>
  <c r="L7" i="3"/>
  <c r="M7" i="3"/>
  <c r="N7" i="3"/>
  <c r="L8" i="3"/>
  <c r="M8" i="3"/>
  <c r="N8" i="3"/>
  <c r="L9" i="3"/>
  <c r="M9" i="3"/>
  <c r="N9" i="3" s="1"/>
  <c r="L10" i="3"/>
  <c r="M10" i="3"/>
  <c r="N10" i="3"/>
  <c r="L13" i="3"/>
  <c r="M13" i="3"/>
  <c r="N13" i="3"/>
  <c r="L14" i="3"/>
  <c r="M14" i="3"/>
  <c r="N14" i="3"/>
  <c r="L15" i="3"/>
  <c r="M15" i="3"/>
  <c r="N15" i="3" s="1"/>
  <c r="L16" i="3"/>
  <c r="M16" i="3"/>
  <c r="N16" i="3" s="1"/>
  <c r="L17" i="3"/>
  <c r="M17" i="3"/>
  <c r="N17" i="3"/>
  <c r="L18" i="3"/>
  <c r="M18" i="3"/>
  <c r="N18" i="3"/>
  <c r="L20" i="3"/>
  <c r="M20" i="3"/>
  <c r="N20" i="3" s="1"/>
  <c r="L21" i="3"/>
  <c r="M21" i="3"/>
  <c r="N21" i="3"/>
  <c r="L22" i="3"/>
  <c r="M22" i="3"/>
  <c r="N22" i="3"/>
  <c r="L23" i="3"/>
  <c r="M23" i="3"/>
  <c r="N23" i="3"/>
  <c r="L24" i="3"/>
  <c r="M24" i="3"/>
  <c r="N24" i="3" s="1"/>
  <c r="L25" i="3"/>
  <c r="M25" i="3"/>
  <c r="N25" i="3"/>
  <c r="L27" i="3"/>
  <c r="M27" i="3"/>
  <c r="N27" i="3"/>
  <c r="L28" i="3"/>
  <c r="M28" i="3"/>
  <c r="N28" i="3"/>
  <c r="M31" i="3"/>
  <c r="N31" i="3"/>
  <c r="P31" i="3"/>
  <c r="L31" i="3"/>
  <c r="R31" i="3"/>
  <c r="M32" i="3"/>
  <c r="N32" i="3" s="1"/>
  <c r="P32" i="3"/>
  <c r="L32" i="3"/>
  <c r="R32" i="3"/>
  <c r="M33" i="3"/>
  <c r="N33" i="3"/>
  <c r="P33" i="3"/>
  <c r="L33" i="3"/>
  <c r="R33" i="3" s="1"/>
  <c r="M34" i="3"/>
  <c r="N34" i="3"/>
  <c r="P34" i="3"/>
  <c r="L34" i="3" s="1"/>
  <c r="R34" i="3" s="1"/>
  <c r="M35" i="3"/>
  <c r="N35" i="3"/>
  <c r="P35" i="3"/>
  <c r="L35" i="3"/>
  <c r="R35" i="3"/>
  <c r="M36" i="3"/>
  <c r="N36" i="3" s="1"/>
  <c r="P36" i="3"/>
  <c r="L36" i="3"/>
  <c r="R36" i="3"/>
  <c r="M38" i="3"/>
  <c r="N38" i="3"/>
  <c r="P38" i="3"/>
  <c r="L38" i="3"/>
  <c r="R38" i="3" s="1"/>
  <c r="M39" i="3"/>
  <c r="N39" i="3"/>
  <c r="P39" i="3"/>
  <c r="L39" i="3" s="1"/>
  <c r="R39" i="3" s="1"/>
  <c r="M40" i="3"/>
  <c r="N40" i="3"/>
  <c r="P40" i="3"/>
  <c r="L40" i="3"/>
  <c r="R40" i="3"/>
  <c r="M41" i="3"/>
  <c r="N41" i="3" s="1"/>
  <c r="P41" i="3"/>
  <c r="L41" i="3"/>
  <c r="R41" i="3"/>
  <c r="M43" i="3"/>
  <c r="N43" i="3"/>
  <c r="P43" i="3"/>
  <c r="L43" i="3"/>
  <c r="R43" i="3" s="1"/>
  <c r="T43" i="3" s="1"/>
  <c r="M44" i="3"/>
  <c r="N44" i="3"/>
  <c r="P44" i="3"/>
  <c r="L44" i="3"/>
  <c r="R44" i="3"/>
  <c r="T44" i="3"/>
  <c r="M45" i="3"/>
  <c r="N45" i="3"/>
  <c r="P45" i="3"/>
  <c r="L45" i="3"/>
  <c r="R45" i="3" s="1"/>
  <c r="T45" i="3" s="1"/>
  <c r="M46" i="3"/>
  <c r="N46" i="3"/>
  <c r="P46" i="3"/>
  <c r="L46" i="3"/>
  <c r="R46" i="3"/>
  <c r="T46" i="3"/>
  <c r="M48" i="3"/>
  <c r="N48" i="3"/>
  <c r="P48" i="3"/>
  <c r="L48" i="3"/>
  <c r="R48" i="3" s="1"/>
  <c r="M49" i="3"/>
  <c r="N49" i="3"/>
  <c r="P49" i="3"/>
  <c r="L49" i="3" s="1"/>
  <c r="R49" i="3" s="1"/>
  <c r="M50" i="3"/>
  <c r="N50" i="3"/>
  <c r="P50" i="3"/>
  <c r="L50" i="3"/>
  <c r="R50" i="3"/>
  <c r="M51" i="3"/>
  <c r="N51" i="3" s="1"/>
  <c r="P51" i="3"/>
  <c r="L51" i="3"/>
  <c r="R51" i="3"/>
  <c r="M52" i="3"/>
  <c r="N52" i="3"/>
  <c r="P52" i="3"/>
  <c r="L52" i="3"/>
  <c r="R52" i="3" s="1"/>
  <c r="M53" i="3"/>
  <c r="N53" i="3"/>
  <c r="P53" i="3"/>
  <c r="L53" i="3" s="1"/>
  <c r="R53" i="3" s="1"/>
  <c r="L55" i="3"/>
  <c r="O55" i="3"/>
  <c r="M55" i="3"/>
  <c r="N55" i="3"/>
  <c r="L56" i="3"/>
  <c r="O56" i="3"/>
  <c r="M56" i="3"/>
  <c r="N56" i="3"/>
  <c r="L57" i="3"/>
  <c r="O57" i="3"/>
  <c r="M57" i="3"/>
  <c r="N57" i="3"/>
  <c r="L58" i="3"/>
  <c r="O58" i="3"/>
  <c r="M58" i="3"/>
  <c r="N58" i="3"/>
  <c r="L59" i="3"/>
  <c r="O59" i="3"/>
  <c r="M59" i="3"/>
  <c r="N59" i="3"/>
  <c r="L60" i="3"/>
  <c r="O60" i="3"/>
  <c r="M60" i="3"/>
  <c r="N60" i="3"/>
  <c r="L62" i="3"/>
  <c r="O62" i="3"/>
  <c r="M62" i="3"/>
  <c r="N62" i="3"/>
  <c r="L63" i="3"/>
  <c r="O63" i="3"/>
  <c r="M63" i="3"/>
  <c r="N63" i="3"/>
  <c r="L64" i="3"/>
  <c r="O64" i="3"/>
  <c r="M64" i="3"/>
  <c r="N64" i="3"/>
  <c r="L65" i="3"/>
  <c r="O65" i="3"/>
  <c r="M65" i="3"/>
  <c r="N65" i="3"/>
  <c r="L66" i="3"/>
  <c r="O66" i="3"/>
  <c r="M66" i="3"/>
  <c r="N66" i="3"/>
  <c r="L67" i="3"/>
  <c r="O67" i="3"/>
  <c r="M67" i="3"/>
  <c r="N67" i="3"/>
  <c r="L69" i="3"/>
  <c r="O69" i="3"/>
  <c r="M69" i="3"/>
  <c r="N69" i="3"/>
  <c r="L70" i="3"/>
  <c r="O70" i="3"/>
  <c r="M70" i="3"/>
  <c r="N70" i="3"/>
  <c r="L71" i="3"/>
  <c r="O71" i="3"/>
  <c r="M71" i="3"/>
  <c r="N71" i="3"/>
  <c r="L73" i="3"/>
  <c r="O73" i="3"/>
  <c r="M73" i="3"/>
  <c r="N73" i="3"/>
  <c r="L74" i="3"/>
  <c r="O74" i="3"/>
  <c r="M74" i="3"/>
  <c r="N74" i="3"/>
  <c r="L75" i="3"/>
  <c r="O75" i="3"/>
  <c r="M75" i="3"/>
  <c r="N75" i="3"/>
  <c r="L77" i="3"/>
  <c r="O77" i="3"/>
  <c r="M77" i="3"/>
  <c r="N77" i="3"/>
  <c r="L78" i="3"/>
  <c r="O78" i="3"/>
  <c r="M78" i="3"/>
  <c r="N78" i="3"/>
  <c r="L79" i="3"/>
  <c r="O79" i="3"/>
  <c r="M79" i="3"/>
  <c r="N79" i="3"/>
  <c r="L80" i="3"/>
  <c r="O80" i="3"/>
  <c r="M80" i="3"/>
  <c r="N80" i="3"/>
  <c r="L81" i="3"/>
  <c r="O81" i="3"/>
  <c r="M81" i="3"/>
  <c r="N81" i="3"/>
  <c r="L84" i="3"/>
  <c r="O84" i="3"/>
  <c r="M84" i="3"/>
  <c r="N84" i="3"/>
  <c r="L85" i="3"/>
  <c r="O85" i="3"/>
  <c r="M85" i="3"/>
  <c r="N85" i="3"/>
  <c r="L86" i="3"/>
  <c r="O86" i="3"/>
  <c r="M86" i="3"/>
  <c r="N86" i="3"/>
  <c r="L88" i="3"/>
  <c r="O88" i="3"/>
  <c r="M88" i="3"/>
  <c r="N88" i="3"/>
  <c r="L89" i="3"/>
  <c r="O89" i="3"/>
  <c r="M89" i="3"/>
  <c r="N89" i="3"/>
  <c r="L90" i="3"/>
  <c r="O90" i="3"/>
  <c r="M90" i="3"/>
  <c r="N90" i="3"/>
  <c r="L91" i="3"/>
  <c r="O91" i="3"/>
  <c r="M91" i="3"/>
  <c r="N91" i="3"/>
  <c r="L92" i="3"/>
  <c r="O92" i="3"/>
  <c r="M92" i="3"/>
  <c r="N92" i="3"/>
  <c r="L93" i="3"/>
  <c r="O93" i="3"/>
  <c r="M93" i="3"/>
  <c r="N93" i="3"/>
  <c r="L94" i="3"/>
  <c r="O94" i="3"/>
  <c r="M94" i="3"/>
  <c r="N94" i="3"/>
  <c r="K98" i="3"/>
  <c r="L98" i="3"/>
  <c r="O98" i="3" s="1"/>
  <c r="M98" i="3"/>
  <c r="N98" i="3"/>
  <c r="K99" i="3"/>
  <c r="L99" i="3"/>
  <c r="O99" i="3"/>
  <c r="M99" i="3"/>
  <c r="N99" i="3"/>
  <c r="K100" i="3"/>
  <c r="L100" i="3"/>
  <c r="O100" i="3"/>
  <c r="M100" i="3"/>
  <c r="N100" i="3" s="1"/>
  <c r="K101" i="3"/>
  <c r="L101" i="3"/>
  <c r="O101" i="3" s="1"/>
  <c r="M101" i="3"/>
  <c r="N101" i="3"/>
  <c r="K102" i="3"/>
  <c r="L102" i="3"/>
  <c r="O102" i="3" s="1"/>
  <c r="M102" i="3"/>
  <c r="N102" i="3"/>
  <c r="K103" i="3"/>
  <c r="L103" i="3"/>
  <c r="O103" i="3"/>
  <c r="M103" i="3"/>
  <c r="N103" i="3" s="1"/>
  <c r="K104" i="3"/>
  <c r="L104" i="3"/>
  <c r="O104" i="3"/>
  <c r="M104" i="3"/>
  <c r="N104" i="3" s="1"/>
  <c r="K105" i="3"/>
  <c r="L105" i="3"/>
  <c r="O105" i="3"/>
  <c r="M105" i="3"/>
  <c r="N105" i="3"/>
  <c r="L108" i="3"/>
  <c r="M108" i="3"/>
  <c r="P108" i="3" s="1"/>
  <c r="N108" i="3"/>
  <c r="O108" i="3"/>
  <c r="L109" i="3"/>
  <c r="M109" i="3"/>
  <c r="P109" i="3"/>
  <c r="N109" i="3"/>
  <c r="O109" i="3"/>
  <c r="L110" i="3"/>
  <c r="M110" i="3"/>
  <c r="P110" i="3"/>
  <c r="N110" i="3"/>
  <c r="O110" i="3" s="1"/>
  <c r="L111" i="3"/>
  <c r="M111" i="3"/>
  <c r="P111" i="3" s="1"/>
  <c r="N111" i="3"/>
  <c r="O111" i="3"/>
  <c r="L112" i="3"/>
  <c r="M112" i="3"/>
  <c r="P112" i="3" s="1"/>
  <c r="N112" i="3"/>
  <c r="O112" i="3"/>
  <c r="L113" i="3"/>
  <c r="M113" i="3"/>
  <c r="P113" i="3"/>
  <c r="N113" i="3"/>
  <c r="O113" i="3" s="1"/>
  <c r="L114" i="3"/>
  <c r="M114" i="3"/>
  <c r="P114" i="3"/>
  <c r="N114" i="3"/>
  <c r="O114" i="3" s="1"/>
  <c r="L115" i="3"/>
  <c r="M115" i="3"/>
  <c r="P115" i="3"/>
  <c r="N115" i="3"/>
  <c r="O115" i="3"/>
  <c r="L116" i="3"/>
  <c r="M116" i="3"/>
  <c r="P116" i="3" s="1"/>
  <c r="N116" i="3"/>
  <c r="O116" i="3"/>
  <c r="L119" i="3"/>
  <c r="M119" i="3"/>
  <c r="P119" i="3"/>
  <c r="N119" i="3"/>
  <c r="O119" i="3"/>
  <c r="L120" i="3"/>
  <c r="M120" i="3"/>
  <c r="P120" i="3"/>
  <c r="N120" i="3"/>
  <c r="O120" i="3" s="1"/>
  <c r="L121" i="3"/>
  <c r="M121" i="3"/>
  <c r="P121" i="3" s="1"/>
  <c r="N121" i="3"/>
  <c r="O121" i="3"/>
  <c r="L122" i="3"/>
  <c r="M122" i="3"/>
  <c r="P122" i="3" s="1"/>
  <c r="N122" i="3"/>
  <c r="O122" i="3"/>
  <c r="L123" i="3"/>
  <c r="M123" i="3"/>
  <c r="P123" i="3"/>
  <c r="N123" i="3"/>
  <c r="O123" i="3"/>
  <c r="L124" i="3"/>
  <c r="M124" i="3"/>
  <c r="P124" i="3"/>
  <c r="N124" i="3"/>
  <c r="O124" i="3" s="1"/>
  <c r="L125" i="3"/>
  <c r="M125" i="3"/>
  <c r="P125" i="3"/>
  <c r="N125" i="3"/>
  <c r="O125" i="3"/>
  <c r="K130" i="3"/>
  <c r="L130" i="3"/>
  <c r="K131" i="3"/>
  <c r="L131" i="3"/>
  <c r="N131" i="3"/>
  <c r="R131" i="3"/>
  <c r="K132" i="3"/>
  <c r="L132" i="3"/>
  <c r="K133" i="3"/>
  <c r="L133" i="3"/>
  <c r="K134" i="3"/>
  <c r="N134" i="3" s="1"/>
  <c r="R134" i="3" s="1"/>
  <c r="L134" i="3"/>
  <c r="K135" i="3"/>
  <c r="L135" i="3"/>
  <c r="N135" i="3"/>
  <c r="R135" i="3" s="1"/>
  <c r="K138" i="3"/>
  <c r="L138" i="3"/>
  <c r="K139" i="3"/>
  <c r="N139" i="3" s="1"/>
  <c r="R139" i="3" s="1"/>
  <c r="L139" i="3"/>
  <c r="K140" i="3"/>
  <c r="L140" i="3"/>
  <c r="K141" i="3"/>
  <c r="L141" i="3"/>
  <c r="K142" i="3"/>
  <c r="L142" i="3"/>
  <c r="K143" i="3"/>
  <c r="L143" i="3"/>
  <c r="E148" i="3"/>
  <c r="M9" i="1"/>
  <c r="N9" i="1"/>
  <c r="O9" i="1"/>
  <c r="Q9" i="1"/>
  <c r="R9" i="1"/>
  <c r="V19" i="4"/>
  <c r="S9" i="1"/>
  <c r="T9" i="1"/>
  <c r="U9" i="1"/>
  <c r="M10" i="1"/>
  <c r="N10" i="1"/>
  <c r="O10" i="1"/>
  <c r="Q10" i="1"/>
  <c r="M20" i="4"/>
  <c r="R10" i="1"/>
  <c r="V20" i="4"/>
  <c r="S10" i="1"/>
  <c r="T10" i="1"/>
  <c r="U10" i="1"/>
  <c r="M11" i="1"/>
  <c r="N11" i="1"/>
  <c r="O11" i="1"/>
  <c r="Q11" i="1"/>
  <c r="M21" i="4"/>
  <c r="R11" i="1"/>
  <c r="V21" i="4"/>
  <c r="S11" i="1"/>
  <c r="T11" i="1"/>
  <c r="U11" i="1"/>
  <c r="M12" i="1"/>
  <c r="N12" i="1"/>
  <c r="O12" i="1"/>
  <c r="Q12" i="1"/>
  <c r="M22" i="4"/>
  <c r="R12" i="1"/>
  <c r="V22" i="4"/>
  <c r="S12" i="1"/>
  <c r="T12" i="1"/>
  <c r="U12" i="1"/>
  <c r="Z44" i="4"/>
  <c r="Z55" i="4" s="1"/>
  <c r="Z66" i="4" s="1"/>
  <c r="M13" i="1"/>
  <c r="N13" i="1"/>
  <c r="O13" i="1"/>
  <c r="Q13" i="1"/>
  <c r="R13" i="1"/>
  <c r="V23" i="4"/>
  <c r="S13" i="1"/>
  <c r="T13" i="1"/>
  <c r="U13" i="1"/>
  <c r="M14" i="1"/>
  <c r="N14" i="1"/>
  <c r="O14" i="1"/>
  <c r="Q14" i="1"/>
  <c r="M24" i="4"/>
  <c r="R14" i="1"/>
  <c r="V24" i="4"/>
  <c r="S14" i="1"/>
  <c r="T14" i="1"/>
  <c r="U14" i="1"/>
  <c r="Z46" i="4"/>
  <c r="Z57" i="4" s="1"/>
  <c r="Z68" i="4" s="1"/>
  <c r="M17" i="1"/>
  <c r="N17" i="1"/>
  <c r="O17" i="1"/>
  <c r="P9" i="1" s="1"/>
  <c r="Q17" i="1"/>
  <c r="R17" i="1"/>
  <c r="S17" i="1"/>
  <c r="T17" i="1"/>
  <c r="U17" i="1"/>
  <c r="M18" i="1"/>
  <c r="N18" i="1"/>
  <c r="O18" i="1"/>
  <c r="P10" i="1"/>
  <c r="Q18" i="1"/>
  <c r="R18" i="1"/>
  <c r="S18" i="1"/>
  <c r="T18" i="1"/>
  <c r="U18" i="1"/>
  <c r="M19" i="1"/>
  <c r="N19" i="1"/>
  <c r="O19" i="1"/>
  <c r="P11" i="1"/>
  <c r="Q19" i="1"/>
  <c r="R19" i="1"/>
  <c r="S19" i="1"/>
  <c r="T19" i="1"/>
  <c r="U19" i="1"/>
  <c r="M20" i="1"/>
  <c r="N20" i="1"/>
  <c r="O20" i="1"/>
  <c r="P12" i="1" s="1"/>
  <c r="Q20" i="1"/>
  <c r="R20" i="1"/>
  <c r="S20" i="1"/>
  <c r="T20" i="1"/>
  <c r="U20" i="1"/>
  <c r="M21" i="1"/>
  <c r="N21" i="1"/>
  <c r="O21" i="1"/>
  <c r="P13" i="1" s="1"/>
  <c r="Q21" i="1"/>
  <c r="R21" i="1"/>
  <c r="S21" i="1"/>
  <c r="T21" i="1"/>
  <c r="U21" i="1"/>
  <c r="M22" i="1"/>
  <c r="N22" i="1"/>
  <c r="O22" i="1"/>
  <c r="P14" i="1"/>
  <c r="Q22" i="1"/>
  <c r="R22" i="1"/>
  <c r="S22" i="1"/>
  <c r="T22" i="1"/>
  <c r="U22" i="1"/>
  <c r="M23" i="1"/>
  <c r="N23" i="1"/>
  <c r="O23" i="1"/>
  <c r="Q23" i="1"/>
  <c r="R23" i="1"/>
  <c r="S23" i="1"/>
  <c r="T23" i="1"/>
  <c r="U23" i="1"/>
  <c r="M26" i="1"/>
  <c r="N26" i="1"/>
  <c r="O26" i="1"/>
  <c r="Q26" i="1"/>
  <c r="R26" i="1"/>
  <c r="S26" i="1"/>
  <c r="M27" i="1"/>
  <c r="N27" i="1"/>
  <c r="O27" i="1"/>
  <c r="Q27" i="1"/>
  <c r="R27" i="1"/>
  <c r="S27" i="1"/>
  <c r="M28" i="1"/>
  <c r="N28" i="1"/>
  <c r="O28" i="1"/>
  <c r="Q28" i="1"/>
  <c r="R28" i="1"/>
  <c r="S28" i="1"/>
  <c r="M29" i="1"/>
  <c r="N29" i="1"/>
  <c r="O29" i="1"/>
  <c r="Q29" i="1"/>
  <c r="R29" i="1"/>
  <c r="S29" i="1"/>
  <c r="M30" i="1"/>
  <c r="N30" i="1"/>
  <c r="O30" i="1"/>
  <c r="Q30" i="1"/>
  <c r="R30" i="1"/>
  <c r="S30" i="1"/>
  <c r="M31" i="1"/>
  <c r="N31" i="1"/>
  <c r="O31" i="1"/>
  <c r="Q31" i="1"/>
  <c r="R31" i="1"/>
  <c r="S31" i="1"/>
  <c r="M34" i="1"/>
  <c r="N34" i="1"/>
  <c r="X9" i="9"/>
  <c r="X296" i="9"/>
  <c r="O34" i="1"/>
  <c r="Q34" i="1"/>
  <c r="R34" i="1"/>
  <c r="S34" i="1"/>
  <c r="T34" i="1"/>
  <c r="U34" i="1"/>
  <c r="M35" i="1"/>
  <c r="N35" i="1"/>
  <c r="O35" i="1"/>
  <c r="Q35" i="1"/>
  <c r="R35" i="1"/>
  <c r="S35" i="1"/>
  <c r="T35" i="1"/>
  <c r="U35" i="1"/>
  <c r="M36" i="1"/>
  <c r="N36" i="1"/>
  <c r="X11" i="9"/>
  <c r="O36" i="1"/>
  <c r="Q36" i="1"/>
  <c r="R36" i="1"/>
  <c r="S36" i="1"/>
  <c r="T36" i="1"/>
  <c r="U36" i="1"/>
  <c r="X36" i="1"/>
  <c r="M37" i="1"/>
  <c r="N37" i="1"/>
  <c r="X12" i="9"/>
  <c r="O37" i="1"/>
  <c r="Q37" i="1"/>
  <c r="R37" i="1"/>
  <c r="S37" i="1"/>
  <c r="T37" i="1"/>
  <c r="U37" i="1"/>
  <c r="M38" i="1"/>
  <c r="N38" i="1"/>
  <c r="O38" i="1"/>
  <c r="Q38" i="1"/>
  <c r="R38" i="1"/>
  <c r="S38" i="1"/>
  <c r="T38" i="1"/>
  <c r="U38" i="1"/>
  <c r="M39" i="1"/>
  <c r="N39" i="1"/>
  <c r="O39" i="1"/>
  <c r="Q39" i="1"/>
  <c r="R39" i="1"/>
  <c r="S39" i="1"/>
  <c r="T39" i="1"/>
  <c r="U39" i="1"/>
  <c r="H44" i="1"/>
  <c r="I44" i="1" s="1"/>
  <c r="J44" i="1" s="1"/>
  <c r="L44" i="1" s="1"/>
  <c r="M44" i="1" s="1"/>
  <c r="H45" i="1"/>
  <c r="I45" i="1"/>
  <c r="J45" i="1"/>
  <c r="L46" i="1" s="1"/>
  <c r="M46" i="1" s="1"/>
  <c r="H46" i="1"/>
  <c r="I46" i="1" s="1"/>
  <c r="J46" i="1" s="1"/>
  <c r="H47" i="1"/>
  <c r="I47" i="1"/>
  <c r="J47" i="1" s="1"/>
  <c r="L47" i="1" s="1"/>
  <c r="M47" i="1"/>
  <c r="M50" i="1"/>
  <c r="N50" i="1"/>
  <c r="O50" i="1"/>
  <c r="Q50" i="1"/>
  <c r="R50" i="1"/>
  <c r="S50" i="1"/>
  <c r="M51" i="1"/>
  <c r="N51" i="1"/>
  <c r="O51" i="1"/>
  <c r="Q51" i="1"/>
  <c r="R51" i="1"/>
  <c r="S51" i="1"/>
  <c r="M52" i="1"/>
  <c r="N52" i="1"/>
  <c r="O52" i="1"/>
  <c r="Q52" i="1"/>
  <c r="R52" i="1"/>
  <c r="S52" i="1"/>
  <c r="M53" i="1"/>
  <c r="N53" i="1"/>
  <c r="O53" i="1"/>
  <c r="Q53" i="1"/>
  <c r="R53" i="1"/>
  <c r="S53" i="1"/>
  <c r="M54" i="1"/>
  <c r="N54" i="1"/>
  <c r="O54" i="1"/>
  <c r="Q54" i="1"/>
  <c r="R54" i="1"/>
  <c r="S54" i="1"/>
  <c r="M55" i="1"/>
  <c r="N55" i="1"/>
  <c r="O55" i="1"/>
  <c r="Q55" i="1"/>
  <c r="R55" i="1"/>
  <c r="S55" i="1"/>
  <c r="M57" i="1"/>
  <c r="N57" i="1"/>
  <c r="U57" i="9"/>
  <c r="O57" i="1"/>
  <c r="V57" i="9" s="1"/>
  <c r="Q57" i="1"/>
  <c r="R57" i="1"/>
  <c r="S57" i="1"/>
  <c r="M58" i="1"/>
  <c r="N58" i="1"/>
  <c r="U58" i="9"/>
  <c r="O58" i="1"/>
  <c r="V58" i="9" s="1"/>
  <c r="Q58" i="1"/>
  <c r="R58" i="1"/>
  <c r="S58" i="1"/>
  <c r="M59" i="1"/>
  <c r="N59" i="1"/>
  <c r="U59" i="9"/>
  <c r="O59" i="1"/>
  <c r="V59" i="9" s="1"/>
  <c r="Q59" i="1"/>
  <c r="R59" i="1"/>
  <c r="S59" i="1"/>
  <c r="M60" i="1"/>
  <c r="N60" i="1"/>
  <c r="U60" i="9"/>
  <c r="O60" i="1"/>
  <c r="V60" i="9" s="1"/>
  <c r="Q60" i="1"/>
  <c r="R60" i="1"/>
  <c r="S60" i="1"/>
  <c r="M61" i="1"/>
  <c r="N61" i="1"/>
  <c r="U61" i="9"/>
  <c r="O61" i="1"/>
  <c r="V61" i="9" s="1"/>
  <c r="Q61" i="1"/>
  <c r="R61" i="1"/>
  <c r="S61" i="1"/>
  <c r="M62" i="1"/>
  <c r="N62" i="1"/>
  <c r="U62" i="9"/>
  <c r="O62" i="1"/>
  <c r="V62" i="9" s="1"/>
  <c r="Q62" i="1"/>
  <c r="R62" i="1"/>
  <c r="S62" i="1"/>
  <c r="M64" i="1"/>
  <c r="N64" i="1"/>
  <c r="U64" i="9"/>
  <c r="O64" i="1"/>
  <c r="V64" i="9" s="1"/>
  <c r="Q64" i="1"/>
  <c r="R64" i="1"/>
  <c r="S64" i="1"/>
  <c r="M65" i="1"/>
  <c r="N65" i="1"/>
  <c r="U65" i="9"/>
  <c r="O65" i="1"/>
  <c r="V65" i="9" s="1"/>
  <c r="Q65" i="1"/>
  <c r="R65" i="1"/>
  <c r="S65" i="1"/>
  <c r="M66" i="1"/>
  <c r="N66" i="1"/>
  <c r="U66" i="9"/>
  <c r="O66" i="1"/>
  <c r="V66" i="9" s="1"/>
  <c r="Q66" i="1"/>
  <c r="R66" i="1"/>
  <c r="S66" i="1"/>
  <c r="M67" i="1"/>
  <c r="N67" i="1"/>
  <c r="U67" i="9"/>
  <c r="O67" i="1"/>
  <c r="V67" i="9" s="1"/>
  <c r="Q67" i="1"/>
  <c r="R67" i="1"/>
  <c r="S67" i="1"/>
  <c r="M68" i="1"/>
  <c r="N68" i="1"/>
  <c r="U68" i="9"/>
  <c r="O68" i="1"/>
  <c r="V68" i="9" s="1"/>
  <c r="Q68" i="1"/>
  <c r="R68" i="1"/>
  <c r="S68" i="1"/>
  <c r="M69" i="1"/>
  <c r="N69" i="1"/>
  <c r="U69" i="9"/>
  <c r="O69" i="1"/>
  <c r="V69" i="9" s="1"/>
  <c r="Q69" i="1"/>
  <c r="R69" i="1"/>
  <c r="S69" i="1"/>
  <c r="M76" i="1"/>
  <c r="P76" i="1" s="1"/>
  <c r="N76" i="1"/>
  <c r="O76" i="1"/>
  <c r="Q76" i="1"/>
  <c r="M77" i="1"/>
  <c r="N77" i="1"/>
  <c r="P77" i="1"/>
  <c r="O77" i="1"/>
  <c r="Q77" i="1" s="1"/>
  <c r="M78" i="1"/>
  <c r="N78" i="1"/>
  <c r="P78" i="1"/>
  <c r="O78" i="1"/>
  <c r="Q78" i="1"/>
  <c r="M79" i="1"/>
  <c r="N79" i="1"/>
  <c r="P79" i="1" s="1"/>
  <c r="O79" i="1"/>
  <c r="Q79" i="1" s="1"/>
  <c r="M81" i="1"/>
  <c r="N81" i="1"/>
  <c r="P81" i="1"/>
  <c r="O81" i="1"/>
  <c r="Q81" i="1"/>
  <c r="M82" i="1"/>
  <c r="N82" i="1"/>
  <c r="P82" i="1" s="1"/>
  <c r="O82" i="1"/>
  <c r="Q82" i="1" s="1"/>
  <c r="M84" i="1"/>
  <c r="N84" i="1"/>
  <c r="O84" i="1"/>
  <c r="Q84" i="1"/>
  <c r="M85" i="1"/>
  <c r="N85" i="1"/>
  <c r="O85" i="1"/>
  <c r="Q85" i="1"/>
  <c r="M86" i="1"/>
  <c r="P86" i="1" s="1"/>
  <c r="N86" i="1"/>
  <c r="O86" i="1"/>
  <c r="Q86" i="1"/>
  <c r="M87" i="1"/>
  <c r="N87" i="1"/>
  <c r="P87" i="1"/>
  <c r="O87" i="1"/>
  <c r="Q87" i="1" s="1"/>
  <c r="M88" i="1"/>
  <c r="N88" i="1"/>
  <c r="P88" i="1"/>
  <c r="O88" i="1"/>
  <c r="Q88" i="1"/>
  <c r="M89" i="1"/>
  <c r="N89" i="1"/>
  <c r="P89" i="1" s="1"/>
  <c r="O89" i="1"/>
  <c r="Q89" i="1" s="1"/>
  <c r="M95" i="1"/>
  <c r="N95" i="1"/>
  <c r="O95" i="1"/>
  <c r="Q95" i="1"/>
  <c r="R95" i="1"/>
  <c r="S95" i="1"/>
  <c r="M96" i="1"/>
  <c r="N96" i="1"/>
  <c r="O96" i="1"/>
  <c r="Q96" i="1"/>
  <c r="R96" i="1"/>
  <c r="S96" i="1"/>
  <c r="M97" i="1"/>
  <c r="N97" i="1"/>
  <c r="O97" i="1"/>
  <c r="Q97" i="1"/>
  <c r="R97" i="1"/>
  <c r="S97" i="1"/>
  <c r="M98" i="1"/>
  <c r="N98" i="1"/>
  <c r="O98" i="1"/>
  <c r="Q98" i="1"/>
  <c r="R98" i="1"/>
  <c r="S98" i="1"/>
  <c r="M99" i="1"/>
  <c r="N99" i="1"/>
  <c r="O99" i="1"/>
  <c r="Q99" i="1"/>
  <c r="R99" i="1"/>
  <c r="S99" i="1"/>
  <c r="M100" i="1"/>
  <c r="N100" i="1"/>
  <c r="O100" i="1"/>
  <c r="Q100" i="1"/>
  <c r="R100" i="1"/>
  <c r="S100" i="1"/>
  <c r="M101" i="1"/>
  <c r="N101" i="1"/>
  <c r="O101" i="1"/>
  <c r="Q101" i="1"/>
  <c r="R101" i="1"/>
  <c r="S101" i="1"/>
  <c r="M103" i="1"/>
  <c r="N103" i="1"/>
  <c r="O103" i="1"/>
  <c r="Q103" i="1"/>
  <c r="R103" i="1"/>
  <c r="S103" i="1"/>
  <c r="M105" i="1"/>
  <c r="N105" i="1"/>
  <c r="O105" i="1"/>
  <c r="Q105" i="1"/>
  <c r="R105" i="1"/>
  <c r="S105" i="1"/>
  <c r="M106" i="1"/>
  <c r="N106" i="1"/>
  <c r="O106" i="1"/>
  <c r="Q106" i="1"/>
  <c r="R106" i="1"/>
  <c r="S106" i="1"/>
  <c r="M107" i="1"/>
  <c r="N107" i="1"/>
  <c r="O107" i="1"/>
  <c r="Q107" i="1"/>
  <c r="R107" i="1"/>
  <c r="S107" i="1"/>
  <c r="M108" i="1"/>
  <c r="N108" i="1"/>
  <c r="O108" i="1"/>
  <c r="Q108" i="1"/>
  <c r="R108" i="1"/>
  <c r="S108" i="1"/>
  <c r="M109" i="1"/>
  <c r="N109" i="1"/>
  <c r="O109" i="1"/>
  <c r="Q109" i="1"/>
  <c r="R109" i="1"/>
  <c r="S109" i="1"/>
  <c r="M110" i="1"/>
  <c r="N110" i="1"/>
  <c r="O110" i="1"/>
  <c r="Q110" i="1"/>
  <c r="R110" i="1"/>
  <c r="S110" i="1"/>
  <c r="M112" i="1"/>
  <c r="N112" i="1"/>
  <c r="O112" i="1"/>
  <c r="Y96" i="9" s="1"/>
  <c r="Q112" i="1"/>
  <c r="R112" i="1"/>
  <c r="S112" i="1"/>
  <c r="M113" i="1"/>
  <c r="N113" i="1"/>
  <c r="X97" i="9" s="1"/>
  <c r="X258" i="9"/>
  <c r="O113" i="1"/>
  <c r="Y97" i="9" s="1"/>
  <c r="V106" i="9" s="1"/>
  <c r="Q113" i="1"/>
  <c r="R113" i="1"/>
  <c r="S113" i="1"/>
  <c r="M114" i="1"/>
  <c r="N114" i="1"/>
  <c r="X259" i="9" s="1"/>
  <c r="O114" i="1"/>
  <c r="Q114" i="1"/>
  <c r="R114" i="1"/>
  <c r="S114" i="1"/>
  <c r="M115" i="1"/>
  <c r="N115" i="1"/>
  <c r="O115" i="1"/>
  <c r="Y99" i="9" s="1"/>
  <c r="V99" i="9" s="1"/>
  <c r="Y260" i="9"/>
  <c r="Q115" i="1"/>
  <c r="R115" i="1"/>
  <c r="S115" i="1"/>
  <c r="M116" i="1"/>
  <c r="N116" i="1"/>
  <c r="O116" i="1"/>
  <c r="Q116" i="1"/>
  <c r="R116" i="1"/>
  <c r="S116" i="1"/>
  <c r="M117" i="1"/>
  <c r="N117" i="1"/>
  <c r="X101" i="9" s="1"/>
  <c r="O117" i="1"/>
  <c r="Y101" i="9" s="1"/>
  <c r="V101" i="9" s="1"/>
  <c r="Q117" i="1"/>
  <c r="R117" i="1"/>
  <c r="S117" i="1"/>
  <c r="M119" i="1"/>
  <c r="N119" i="1"/>
  <c r="O119" i="1"/>
  <c r="Q119" i="1"/>
  <c r="R119" i="1"/>
  <c r="S119" i="1"/>
  <c r="M120" i="1"/>
  <c r="N120" i="1"/>
  <c r="O120" i="1"/>
  <c r="Q120" i="1"/>
  <c r="R120" i="1"/>
  <c r="S120" i="1"/>
  <c r="M123" i="1"/>
  <c r="N123" i="1"/>
  <c r="O123" i="1"/>
  <c r="Q123" i="1"/>
  <c r="R123" i="1"/>
  <c r="S123" i="1"/>
  <c r="F127" i="1"/>
  <c r="H127" i="1"/>
  <c r="I127" i="1"/>
  <c r="F128" i="1"/>
  <c r="H128" i="1"/>
  <c r="I128" i="1"/>
  <c r="J128" i="1" s="1"/>
  <c r="F129" i="1"/>
  <c r="H129" i="1"/>
  <c r="I129" i="1" s="1"/>
  <c r="F130" i="1"/>
  <c r="H130" i="1"/>
  <c r="I130" i="1"/>
  <c r="J130" i="1" s="1"/>
  <c r="F131" i="1"/>
  <c r="H131" i="1"/>
  <c r="I131" i="1"/>
  <c r="M135" i="1"/>
  <c r="P135" i="1" s="1"/>
  <c r="N135" i="1"/>
  <c r="O135" i="1"/>
  <c r="Q135" i="1" s="1"/>
  <c r="M136" i="1"/>
  <c r="N136" i="1"/>
  <c r="P136" i="1"/>
  <c r="O136" i="1"/>
  <c r="Q136" i="1" s="1"/>
  <c r="M137" i="1"/>
  <c r="N137" i="1"/>
  <c r="P137" i="1"/>
  <c r="O137" i="1"/>
  <c r="Q137" i="1"/>
  <c r="M139" i="1"/>
  <c r="N139" i="1"/>
  <c r="P139" i="1" s="1"/>
  <c r="O139" i="1"/>
  <c r="Q139" i="1" s="1"/>
  <c r="M140" i="1"/>
  <c r="N140" i="1"/>
  <c r="P140" i="1"/>
  <c r="O140" i="1"/>
  <c r="Q140" i="1"/>
  <c r="M141" i="1"/>
  <c r="N141" i="1"/>
  <c r="P141" i="1" s="1"/>
  <c r="O141" i="1"/>
  <c r="Q141" i="1" s="1"/>
  <c r="M142" i="1"/>
  <c r="Q142" i="1" s="1"/>
  <c r="N142" i="1"/>
  <c r="P142" i="1" s="1"/>
  <c r="O142" i="1"/>
  <c r="M143" i="1"/>
  <c r="Q143" i="1" s="1"/>
  <c r="N143" i="1"/>
  <c r="O143" i="1"/>
  <c r="M147" i="1"/>
  <c r="P147" i="1" s="1"/>
  <c r="N147" i="1"/>
  <c r="O147" i="1"/>
  <c r="Q147" i="1" s="1"/>
  <c r="M148" i="1"/>
  <c r="N148" i="1"/>
  <c r="P148" i="1"/>
  <c r="O148" i="1"/>
  <c r="Q148" i="1" s="1"/>
  <c r="M150" i="1"/>
  <c r="N150" i="1"/>
  <c r="P150" i="1"/>
  <c r="O150" i="1"/>
  <c r="Q150" i="1"/>
  <c r="M151" i="1"/>
  <c r="N151" i="1"/>
  <c r="P151" i="1" s="1"/>
  <c r="O151" i="1"/>
  <c r="Q151" i="1" s="1"/>
  <c r="M152" i="1"/>
  <c r="N152" i="1"/>
  <c r="P152" i="1"/>
  <c r="O152" i="1"/>
  <c r="Q152" i="1"/>
  <c r="F157" i="1"/>
  <c r="H157" i="1"/>
  <c r="I157" i="1" s="1"/>
  <c r="J157" i="1" s="1"/>
  <c r="F158" i="1"/>
  <c r="H158" i="1"/>
  <c r="I158" i="1"/>
  <c r="J158" i="1" s="1"/>
  <c r="L158" i="1" s="1"/>
  <c r="M158" i="1" s="1"/>
  <c r="F159" i="1"/>
  <c r="H159" i="1"/>
  <c r="I159" i="1" s="1"/>
  <c r="J159" i="1"/>
  <c r="L159" i="1" s="1"/>
  <c r="M159" i="1" s="1"/>
  <c r="F160" i="1"/>
  <c r="J160" i="1" s="1"/>
  <c r="L160" i="1" s="1"/>
  <c r="M160" i="1" s="1"/>
  <c r="N160" i="1" s="1"/>
  <c r="R152" i="1" s="1"/>
  <c r="T152" i="1" s="1"/>
  <c r="H160" i="1"/>
  <c r="I160" i="1" s="1"/>
  <c r="M164" i="1"/>
  <c r="N164" i="1"/>
  <c r="O164" i="1"/>
  <c r="Q164" i="1"/>
  <c r="M41" i="4"/>
  <c r="R164" i="1"/>
  <c r="V41" i="4"/>
  <c r="S164" i="1"/>
  <c r="M165" i="1"/>
  <c r="N165" i="1"/>
  <c r="AB99" i="10" s="1"/>
  <c r="O165" i="1"/>
  <c r="Q165" i="1"/>
  <c r="M42" i="4"/>
  <c r="R165" i="1"/>
  <c r="V42" i="4"/>
  <c r="S165" i="1"/>
  <c r="M166" i="1"/>
  <c r="N166" i="1"/>
  <c r="O166" i="1"/>
  <c r="Q166" i="1"/>
  <c r="M43" i="4"/>
  <c r="R166" i="1"/>
  <c r="V43" i="4"/>
  <c r="S166" i="1"/>
  <c r="M167" i="1"/>
  <c r="N167" i="1"/>
  <c r="O167" i="1"/>
  <c r="Q167" i="1"/>
  <c r="M44" i="4"/>
  <c r="R167" i="1"/>
  <c r="V44" i="4"/>
  <c r="S167" i="1"/>
  <c r="M168" i="1"/>
  <c r="N168" i="1"/>
  <c r="O168" i="1"/>
  <c r="Q168" i="1"/>
  <c r="M45" i="4"/>
  <c r="R168" i="1"/>
  <c r="S168" i="1"/>
  <c r="M169" i="1"/>
  <c r="N169" i="1"/>
  <c r="O169" i="1"/>
  <c r="Q169" i="1"/>
  <c r="M46" i="4"/>
  <c r="R169" i="1"/>
  <c r="V46" i="4"/>
  <c r="S169" i="1"/>
  <c r="M173" i="1"/>
  <c r="N173" i="1"/>
  <c r="O173" i="1"/>
  <c r="Q173" i="1"/>
  <c r="R173" i="1"/>
  <c r="S173" i="1"/>
  <c r="M174" i="1"/>
  <c r="N174" i="1"/>
  <c r="O174" i="1"/>
  <c r="Q174" i="1"/>
  <c r="R174" i="1"/>
  <c r="S174" i="1"/>
  <c r="M175" i="1"/>
  <c r="N175" i="1"/>
  <c r="O175" i="1"/>
  <c r="Q175" i="1"/>
  <c r="R175" i="1"/>
  <c r="S175" i="1"/>
  <c r="M176" i="1"/>
  <c r="N176" i="1"/>
  <c r="O176" i="1"/>
  <c r="Q176" i="1"/>
  <c r="R176" i="1"/>
  <c r="S176" i="1"/>
  <c r="M177" i="1"/>
  <c r="N177" i="1"/>
  <c r="O177" i="1"/>
  <c r="Q177" i="1"/>
  <c r="R177" i="1"/>
  <c r="S177" i="1"/>
  <c r="M179" i="1"/>
  <c r="N179" i="1"/>
  <c r="O179" i="1"/>
  <c r="Q179" i="1"/>
  <c r="R179" i="1"/>
  <c r="S179" i="1"/>
  <c r="M184" i="1"/>
  <c r="N184" i="1"/>
  <c r="U233" i="9"/>
  <c r="O184" i="1"/>
  <c r="V233" i="9"/>
  <c r="Q184" i="1"/>
  <c r="R184" i="1"/>
  <c r="S184" i="1"/>
  <c r="M185" i="1"/>
  <c r="N185" i="1"/>
  <c r="U234" i="9"/>
  <c r="O185" i="1"/>
  <c r="V234" i="9"/>
  <c r="Q185" i="1"/>
  <c r="R185" i="1"/>
  <c r="S185" i="1"/>
  <c r="M186" i="1"/>
  <c r="N186" i="1"/>
  <c r="U235" i="9"/>
  <c r="O186" i="1"/>
  <c r="V235" i="9"/>
  <c r="Q186" i="1"/>
  <c r="R186" i="1"/>
  <c r="S186" i="1"/>
  <c r="M187" i="1"/>
  <c r="N187" i="1"/>
  <c r="U236" i="9"/>
  <c r="O187" i="1"/>
  <c r="V236" i="9"/>
  <c r="Q187" i="1"/>
  <c r="R187" i="1"/>
  <c r="S187" i="1"/>
  <c r="M188" i="1"/>
  <c r="N188" i="1"/>
  <c r="U237" i="9"/>
  <c r="O188" i="1"/>
  <c r="V237" i="9"/>
  <c r="Q188" i="1"/>
  <c r="R188" i="1"/>
  <c r="S188" i="1"/>
  <c r="M190" i="1"/>
  <c r="N190" i="1"/>
  <c r="O190" i="1"/>
  <c r="Q190" i="1"/>
  <c r="R190" i="1"/>
  <c r="S190" i="1"/>
  <c r="M191" i="1"/>
  <c r="N191" i="1"/>
  <c r="O191" i="1"/>
  <c r="Q191" i="1"/>
  <c r="R191" i="1"/>
  <c r="S191" i="1"/>
  <c r="M195" i="1"/>
  <c r="N195" i="1"/>
  <c r="U244" i="9"/>
  <c r="O195" i="1"/>
  <c r="V244" i="9"/>
  <c r="Q195" i="1"/>
  <c r="R195" i="1"/>
  <c r="S195" i="1"/>
  <c r="M196" i="1"/>
  <c r="N196" i="1"/>
  <c r="U245" i="9"/>
  <c r="O196" i="1"/>
  <c r="V245" i="9"/>
  <c r="Q196" i="1"/>
  <c r="R196" i="1"/>
  <c r="S196" i="1"/>
  <c r="M197" i="1"/>
  <c r="N197" i="1"/>
  <c r="U246" i="9"/>
  <c r="O197" i="1"/>
  <c r="V246" i="9"/>
  <c r="Q197" i="1"/>
  <c r="R197" i="1"/>
  <c r="S197" i="1"/>
  <c r="M198" i="1"/>
  <c r="N198" i="1"/>
  <c r="U247" i="9"/>
  <c r="O198" i="1"/>
  <c r="V247" i="9"/>
  <c r="Q198" i="1"/>
  <c r="R198" i="1"/>
  <c r="S198" i="1"/>
  <c r="M199" i="1"/>
  <c r="N199" i="1"/>
  <c r="U248" i="9"/>
  <c r="O199" i="1"/>
  <c r="V248" i="9"/>
  <c r="Q199" i="1"/>
  <c r="R199" i="1"/>
  <c r="S199" i="1"/>
  <c r="M200" i="1"/>
  <c r="N200" i="1"/>
  <c r="U249" i="9"/>
  <c r="O200" i="1"/>
  <c r="V249" i="9"/>
  <c r="Q200" i="1"/>
  <c r="R200" i="1"/>
  <c r="S200" i="1"/>
  <c r="F204" i="1"/>
  <c r="H204" i="1"/>
  <c r="I204" i="1"/>
  <c r="F205" i="1"/>
  <c r="H205" i="1"/>
  <c r="I205" i="1"/>
  <c r="M208" i="1"/>
  <c r="P208" i="1" s="1"/>
  <c r="N208" i="1"/>
  <c r="O208" i="1"/>
  <c r="Q208" i="1" s="1"/>
  <c r="M209" i="1"/>
  <c r="N209" i="1"/>
  <c r="O209" i="1"/>
  <c r="M210" i="1"/>
  <c r="N210" i="1"/>
  <c r="O210" i="1"/>
  <c r="M215" i="1"/>
  <c r="N215" i="1"/>
  <c r="O215" i="1"/>
  <c r="Q215" i="1"/>
  <c r="M216" i="1"/>
  <c r="P216" i="1" s="1"/>
  <c r="N216" i="1"/>
  <c r="O216" i="1"/>
  <c r="Q216" i="1"/>
  <c r="M217" i="1"/>
  <c r="N217" i="1"/>
  <c r="P217" i="1"/>
  <c r="O217" i="1"/>
  <c r="Q217" i="1" s="1"/>
  <c r="M219" i="1"/>
  <c r="N219" i="1"/>
  <c r="P219" i="1"/>
  <c r="O219" i="1"/>
  <c r="Q219" i="1"/>
  <c r="M220" i="1"/>
  <c r="P220" i="1"/>
  <c r="N220" i="1"/>
  <c r="O220" i="1"/>
  <c r="Q220" i="1"/>
  <c r="M221" i="1"/>
  <c r="P221" i="1" s="1"/>
  <c r="N221" i="1"/>
  <c r="O221" i="1"/>
  <c r="Q221" i="1" s="1"/>
  <c r="M222" i="1"/>
  <c r="N222" i="1"/>
  <c r="P222" i="1" s="1"/>
  <c r="O222" i="1"/>
  <c r="Q222" i="1" s="1"/>
  <c r="M223" i="1"/>
  <c r="N223" i="1"/>
  <c r="P223" i="1"/>
  <c r="O223" i="1"/>
  <c r="Q223" i="1"/>
  <c r="M224" i="1"/>
  <c r="Q224" i="1" s="1"/>
  <c r="N224" i="1"/>
  <c r="P224" i="1" s="1"/>
  <c r="O224" i="1"/>
  <c r="M230" i="1"/>
  <c r="N230" i="1"/>
  <c r="O230" i="1"/>
  <c r="Q230" i="1"/>
  <c r="R230" i="1"/>
  <c r="S230" i="1"/>
  <c r="M231" i="1"/>
  <c r="N231" i="1"/>
  <c r="O231" i="1"/>
  <c r="Q231" i="1"/>
  <c r="R231" i="1"/>
  <c r="S231" i="1"/>
  <c r="M232" i="1"/>
  <c r="N232" i="1"/>
  <c r="O232" i="1"/>
  <c r="Q232" i="1"/>
  <c r="R232" i="1"/>
  <c r="S232" i="1"/>
  <c r="M233" i="1"/>
  <c r="N233" i="1"/>
  <c r="O233" i="1"/>
  <c r="Q233" i="1"/>
  <c r="R233" i="1"/>
  <c r="S233" i="1"/>
  <c r="M234" i="1"/>
  <c r="N234" i="1"/>
  <c r="O234" i="1"/>
  <c r="Q234" i="1"/>
  <c r="R234" i="1"/>
  <c r="S234" i="1"/>
  <c r="M237" i="1"/>
  <c r="N237" i="1"/>
  <c r="O237" i="1"/>
  <c r="Q237" i="1"/>
  <c r="R237" i="1"/>
  <c r="S237" i="1"/>
  <c r="M238" i="1"/>
  <c r="N238" i="1"/>
  <c r="O238" i="1"/>
  <c r="Q238" i="1"/>
  <c r="R238" i="1"/>
  <c r="S238" i="1"/>
  <c r="M239" i="1"/>
  <c r="N239" i="1"/>
  <c r="O239" i="1"/>
  <c r="Q239" i="1"/>
  <c r="R239" i="1"/>
  <c r="S239" i="1"/>
  <c r="M240" i="1"/>
  <c r="N240" i="1"/>
  <c r="O240" i="1"/>
  <c r="Q240" i="1"/>
  <c r="R240" i="1"/>
  <c r="S240" i="1"/>
  <c r="M241" i="1"/>
  <c r="N241" i="1"/>
  <c r="O241" i="1"/>
  <c r="Q241" i="1"/>
  <c r="R241" i="1"/>
  <c r="S241" i="1"/>
  <c r="F245" i="1"/>
  <c r="J245" i="1" s="1"/>
  <c r="H245" i="1"/>
  <c r="I245" i="1"/>
  <c r="F246" i="1"/>
  <c r="H246" i="1"/>
  <c r="I246" i="1" s="1"/>
  <c r="F247" i="1"/>
  <c r="J247" i="1" s="1"/>
  <c r="H247" i="1"/>
  <c r="I247" i="1" s="1"/>
  <c r="F248" i="1"/>
  <c r="H248" i="1"/>
  <c r="I248" i="1"/>
  <c r="J248" i="1" s="1"/>
  <c r="L248" i="1" s="1"/>
  <c r="M248" i="1" s="1"/>
  <c r="F249" i="1"/>
  <c r="H249" i="1"/>
  <c r="I249" i="1"/>
  <c r="M252" i="1"/>
  <c r="N252" i="1"/>
  <c r="U349" i="9"/>
  <c r="O252" i="1"/>
  <c r="V349" i="9"/>
  <c r="Q252" i="1"/>
  <c r="R252" i="1"/>
  <c r="S252" i="1"/>
  <c r="M253" i="1"/>
  <c r="N253" i="1"/>
  <c r="U350" i="9"/>
  <c r="O253" i="1"/>
  <c r="V350" i="9"/>
  <c r="Q253" i="1"/>
  <c r="R253" i="1"/>
  <c r="S253" i="1"/>
  <c r="M254" i="1"/>
  <c r="N254" i="1"/>
  <c r="U351" i="9"/>
  <c r="O254" i="1"/>
  <c r="V351" i="9"/>
  <c r="Q254" i="1"/>
  <c r="R254" i="1"/>
  <c r="S254" i="1"/>
  <c r="M255" i="1"/>
  <c r="N255" i="1"/>
  <c r="U352" i="9"/>
  <c r="O255" i="1"/>
  <c r="V352" i="9"/>
  <c r="Q255" i="1"/>
  <c r="R255" i="1"/>
  <c r="S255" i="1"/>
  <c r="M256" i="1"/>
  <c r="N256" i="1"/>
  <c r="U353" i="9"/>
  <c r="O256" i="1"/>
  <c r="V353" i="9"/>
  <c r="Q256" i="1"/>
  <c r="R256" i="1"/>
  <c r="S256" i="1"/>
  <c r="F260" i="1"/>
  <c r="J260" i="1" s="1"/>
  <c r="L260" i="1" s="1"/>
  <c r="M260" i="1" s="1"/>
  <c r="H260" i="1"/>
  <c r="I260" i="1"/>
  <c r="F261" i="1"/>
  <c r="H261" i="1"/>
  <c r="I261" i="1"/>
  <c r="F262" i="1"/>
  <c r="H262" i="1"/>
  <c r="I262" i="1"/>
  <c r="J262" i="1"/>
  <c r="F263" i="1"/>
  <c r="H263" i="1"/>
  <c r="I263" i="1"/>
  <c r="F264" i="1"/>
  <c r="J264" i="1" s="1"/>
  <c r="H264" i="1"/>
  <c r="I264" i="1"/>
  <c r="F267" i="1"/>
  <c r="H267" i="1"/>
  <c r="I267" i="1"/>
  <c r="F268" i="1"/>
  <c r="J268" i="1" s="1"/>
  <c r="L268" i="1" s="1"/>
  <c r="P191" i="9" s="1"/>
  <c r="P184" i="9" s="1"/>
  <c r="H268" i="1"/>
  <c r="I268" i="1" s="1"/>
  <c r="F269" i="1"/>
  <c r="H269" i="1"/>
  <c r="I269" i="1"/>
  <c r="F270" i="1"/>
  <c r="J270" i="1" s="1"/>
  <c r="L270" i="1" s="1"/>
  <c r="H270" i="1"/>
  <c r="I270" i="1"/>
  <c r="F271" i="1"/>
  <c r="H271" i="1"/>
  <c r="I271" i="1"/>
  <c r="J271" i="1"/>
  <c r="L271" i="1" s="1"/>
  <c r="M276" i="1"/>
  <c r="N276" i="1"/>
  <c r="P276" i="1"/>
  <c r="O276" i="1"/>
  <c r="Q276" i="1" s="1"/>
  <c r="M278" i="1"/>
  <c r="N278" i="1"/>
  <c r="P278" i="1"/>
  <c r="O278" i="1"/>
  <c r="Q278" i="1"/>
  <c r="M280" i="1"/>
  <c r="Q280" i="1" s="1"/>
  <c r="N280" i="1"/>
  <c r="P280" i="1" s="1"/>
  <c r="O280" i="1"/>
  <c r="M282" i="1"/>
  <c r="P282" i="1" s="1"/>
  <c r="N282" i="1"/>
  <c r="O282" i="1"/>
  <c r="Q282" i="1" s="1"/>
  <c r="M284" i="1"/>
  <c r="N284" i="1"/>
  <c r="P284" i="1"/>
  <c r="O284" i="1"/>
  <c r="Q284" i="1" s="1"/>
  <c r="M286" i="1"/>
  <c r="N286" i="1"/>
  <c r="P286" i="1" s="1"/>
  <c r="O286" i="1"/>
  <c r="Q286" i="1"/>
  <c r="M288" i="1"/>
  <c r="Q288" i="1" s="1"/>
  <c r="N288" i="1"/>
  <c r="O288" i="1"/>
  <c r="M290" i="1"/>
  <c r="P290" i="1" s="1"/>
  <c r="N290" i="1"/>
  <c r="O290" i="1"/>
  <c r="M292" i="1"/>
  <c r="N292" i="1"/>
  <c r="P292" i="1"/>
  <c r="O292" i="1"/>
  <c r="Q292" i="1" s="1"/>
  <c r="M294" i="1"/>
  <c r="N294" i="1"/>
  <c r="P294" i="1" s="1"/>
  <c r="O294" i="1"/>
  <c r="Q294" i="1"/>
  <c r="M9" i="8"/>
  <c r="N9" i="8"/>
  <c r="O9" i="8"/>
  <c r="Q9" i="8"/>
  <c r="R9" i="8"/>
  <c r="S9" i="8"/>
  <c r="T9" i="8"/>
  <c r="U9" i="8"/>
  <c r="M10" i="8"/>
  <c r="N10" i="8"/>
  <c r="O10" i="8"/>
  <c r="Q10" i="8"/>
  <c r="R10" i="8"/>
  <c r="S10" i="8"/>
  <c r="T10" i="8"/>
  <c r="U10" i="8"/>
  <c r="M11" i="8"/>
  <c r="N11" i="8"/>
  <c r="O11" i="8"/>
  <c r="Q11" i="8"/>
  <c r="R11" i="8"/>
  <c r="S11" i="8"/>
  <c r="T11" i="8"/>
  <c r="U11" i="8"/>
  <c r="M12" i="8"/>
  <c r="N12" i="8"/>
  <c r="O12" i="8"/>
  <c r="Q12" i="8"/>
  <c r="R12" i="8"/>
  <c r="S12" i="8"/>
  <c r="T12" i="8"/>
  <c r="U12" i="8"/>
  <c r="M13" i="8"/>
  <c r="N13" i="8"/>
  <c r="O13" i="8"/>
  <c r="Q13" i="8"/>
  <c r="R13" i="8"/>
  <c r="S13" i="8"/>
  <c r="T13" i="8"/>
  <c r="U13" i="8"/>
  <c r="M14" i="8"/>
  <c r="N14" i="8"/>
  <c r="O14" i="8"/>
  <c r="Q14" i="8"/>
  <c r="R14" i="8"/>
  <c r="S14" i="8"/>
  <c r="T14" i="8"/>
  <c r="U14" i="8"/>
  <c r="M17" i="8"/>
  <c r="N17" i="8"/>
  <c r="O17" i="8"/>
  <c r="Q17" i="8"/>
  <c r="R17" i="8"/>
  <c r="S17" i="8"/>
  <c r="T17" i="8"/>
  <c r="U17" i="8"/>
  <c r="M18" i="8"/>
  <c r="N18" i="8"/>
  <c r="O18" i="8"/>
  <c r="Q18" i="8"/>
  <c r="R18" i="8"/>
  <c r="S18" i="8"/>
  <c r="T18" i="8"/>
  <c r="U18" i="8"/>
  <c r="M19" i="8"/>
  <c r="N19" i="8"/>
  <c r="O19" i="8"/>
  <c r="Q19" i="8"/>
  <c r="R19" i="8"/>
  <c r="S19" i="8"/>
  <c r="T19" i="8"/>
  <c r="U19" i="8"/>
  <c r="M20" i="8"/>
  <c r="N20" i="8"/>
  <c r="O20" i="8"/>
  <c r="Q20" i="8"/>
  <c r="R20" i="8"/>
  <c r="S20" i="8"/>
  <c r="T20" i="8"/>
  <c r="U20" i="8"/>
  <c r="M21" i="8"/>
  <c r="N21" i="8"/>
  <c r="O21" i="8"/>
  <c r="Q21" i="8"/>
  <c r="R21" i="8"/>
  <c r="S21" i="8"/>
  <c r="T21" i="8"/>
  <c r="U21" i="8"/>
  <c r="M22" i="8"/>
  <c r="N22" i="8"/>
  <c r="O22" i="8"/>
  <c r="Q22" i="8"/>
  <c r="R22" i="8"/>
  <c r="S22" i="8"/>
  <c r="T22" i="8"/>
  <c r="U22" i="8"/>
  <c r="M23" i="8"/>
  <c r="N23" i="8"/>
  <c r="O23" i="8"/>
  <c r="Q23" i="8"/>
  <c r="R23" i="8"/>
  <c r="S23" i="8"/>
  <c r="T23" i="8"/>
  <c r="U23" i="8"/>
  <c r="M26" i="8"/>
  <c r="N26" i="8"/>
  <c r="O26" i="8"/>
  <c r="Q26" i="8"/>
  <c r="R26" i="8"/>
  <c r="S26" i="8"/>
  <c r="M27" i="8"/>
  <c r="N27" i="8"/>
  <c r="O27" i="8"/>
  <c r="Q27" i="8"/>
  <c r="R27" i="8"/>
  <c r="S27" i="8"/>
  <c r="M28" i="8"/>
  <c r="N28" i="8"/>
  <c r="O28" i="8"/>
  <c r="Q28" i="8"/>
  <c r="R28" i="8"/>
  <c r="S28" i="8"/>
  <c r="M29" i="8"/>
  <c r="N29" i="8"/>
  <c r="O29" i="8"/>
  <c r="Q29" i="8"/>
  <c r="R29" i="8"/>
  <c r="S29" i="8"/>
  <c r="M30" i="8"/>
  <c r="N30" i="8"/>
  <c r="O30" i="8"/>
  <c r="Q30" i="8"/>
  <c r="R30" i="8"/>
  <c r="S30" i="8"/>
  <c r="M31" i="8"/>
  <c r="N31" i="8"/>
  <c r="O31" i="8"/>
  <c r="Q31" i="8"/>
  <c r="R31" i="8"/>
  <c r="S31" i="8"/>
  <c r="M32" i="8"/>
  <c r="N32" i="8"/>
  <c r="O32" i="8"/>
  <c r="Q32" i="8"/>
  <c r="R32" i="8"/>
  <c r="S32" i="8"/>
  <c r="M34" i="8"/>
  <c r="N34" i="8"/>
  <c r="W34" i="8"/>
  <c r="O34" i="8"/>
  <c r="Y9" i="9" s="1"/>
  <c r="AI296" i="9" s="1"/>
  <c r="Q34" i="8"/>
  <c r="R34" i="8"/>
  <c r="S34" i="8"/>
  <c r="T34" i="8"/>
  <c r="U34" i="8"/>
  <c r="M35" i="8"/>
  <c r="N35" i="8"/>
  <c r="W35" i="8" s="1"/>
  <c r="O35" i="8"/>
  <c r="X35" i="8"/>
  <c r="Q35" i="8"/>
  <c r="R35" i="8"/>
  <c r="S35" i="8"/>
  <c r="T35" i="8"/>
  <c r="U35" i="8"/>
  <c r="M36" i="8"/>
  <c r="N36" i="8"/>
  <c r="W36" i="8"/>
  <c r="O36" i="8"/>
  <c r="Q36" i="8"/>
  <c r="R36" i="8"/>
  <c r="S36" i="8"/>
  <c r="T36" i="8"/>
  <c r="U36" i="8"/>
  <c r="M37" i="8"/>
  <c r="N37" i="8"/>
  <c r="W37" i="8"/>
  <c r="O37" i="8"/>
  <c r="Q37" i="8"/>
  <c r="R37" i="8"/>
  <c r="S37" i="8"/>
  <c r="T37" i="8"/>
  <c r="U37" i="8"/>
  <c r="M38" i="8"/>
  <c r="N38" i="8"/>
  <c r="W38" i="8" s="1"/>
  <c r="AA38" i="8" s="1"/>
  <c r="O38" i="8"/>
  <c r="X38" i="8"/>
  <c r="Q38" i="8"/>
  <c r="AB38" i="8" s="1"/>
  <c r="R38" i="8"/>
  <c r="S38" i="8"/>
  <c r="T38" i="8"/>
  <c r="U38" i="8"/>
  <c r="M39" i="8"/>
  <c r="N39" i="8"/>
  <c r="W39" i="8"/>
  <c r="Y39" i="8" s="1"/>
  <c r="O39" i="8"/>
  <c r="Q39" i="8"/>
  <c r="R39" i="8"/>
  <c r="S39" i="8"/>
  <c r="T39" i="8"/>
  <c r="U39" i="8"/>
  <c r="X34" i="9"/>
  <c r="X35" i="9"/>
  <c r="X36" i="9"/>
  <c r="X37" i="9"/>
  <c r="X38" i="9"/>
  <c r="X39" i="9"/>
  <c r="L53" i="9"/>
  <c r="M53" i="9"/>
  <c r="Q46" i="4"/>
  <c r="Q57" i="4" s="1"/>
  <c r="Q68" i="4" s="1"/>
  <c r="Q45" i="4"/>
  <c r="Q56" i="4" s="1"/>
  <c r="Q67" i="4" s="1"/>
  <c r="Q44" i="4"/>
  <c r="Q55" i="4" s="1"/>
  <c r="Q66" i="4" s="1"/>
  <c r="Q43" i="4"/>
  <c r="Q54" i="4" s="1"/>
  <c r="Q65" i="4" s="1"/>
  <c r="Q41" i="4"/>
  <c r="Q52" i="4" s="1"/>
  <c r="Q63" i="4" s="1"/>
  <c r="J127" i="9"/>
  <c r="L127" i="9"/>
  <c r="M127" i="9"/>
  <c r="J129" i="9"/>
  <c r="L129" i="9"/>
  <c r="M129" i="9" s="1"/>
  <c r="W34" i="9"/>
  <c r="AA34" i="9"/>
  <c r="W35" i="9"/>
  <c r="Y35" i="9" s="1"/>
  <c r="AA35" i="9"/>
  <c r="W36" i="9"/>
  <c r="AA36" i="9"/>
  <c r="W37" i="9"/>
  <c r="Z37" i="9" s="1"/>
  <c r="AA37" i="9"/>
  <c r="W38" i="9"/>
  <c r="AA38" i="9"/>
  <c r="W39" i="9"/>
  <c r="AA39" i="9"/>
  <c r="E38" i="7"/>
  <c r="O38" i="7" s="1"/>
  <c r="E32" i="7"/>
  <c r="E108" i="7"/>
  <c r="D67" i="5"/>
  <c r="E14" i="7"/>
  <c r="E124" i="7"/>
  <c r="E91" i="7"/>
  <c r="E12" i="7"/>
  <c r="E89" i="7"/>
  <c r="E122" i="7"/>
  <c r="D12" i="5"/>
  <c r="E10" i="7"/>
  <c r="E87" i="7"/>
  <c r="E120" i="7"/>
  <c r="D10" i="5"/>
  <c r="E13" i="7"/>
  <c r="E90" i="7"/>
  <c r="E123" i="7"/>
  <c r="E11" i="7"/>
  <c r="E88" i="7"/>
  <c r="E121" i="7"/>
  <c r="Z38" i="9"/>
  <c r="AC38" i="9"/>
  <c r="Z36" i="9"/>
  <c r="AC36" i="9"/>
  <c r="Z34" i="9"/>
  <c r="Z40" i="9" s="1"/>
  <c r="AD34" i="9"/>
  <c r="Z39" i="9"/>
  <c r="AC39" i="9" s="1"/>
  <c r="AD37" i="9"/>
  <c r="Z35" i="9"/>
  <c r="Y38" i="9"/>
  <c r="Y34" i="9"/>
  <c r="X34" i="8"/>
  <c r="X39" i="1"/>
  <c r="N24" i="4"/>
  <c r="W24" i="4"/>
  <c r="N22" i="4"/>
  <c r="W22" i="4"/>
  <c r="N20" i="4"/>
  <c r="W20" i="4"/>
  <c r="E105" i="7"/>
  <c r="E101" i="7"/>
  <c r="H124" i="7"/>
  <c r="K123" i="7"/>
  <c r="H12" i="7"/>
  <c r="W36" i="1"/>
  <c r="Y36" i="1"/>
  <c r="K88" i="7"/>
  <c r="H120" i="7"/>
  <c r="W34" i="1"/>
  <c r="K119" i="7"/>
  <c r="N23" i="4"/>
  <c r="W23" i="4"/>
  <c r="N21" i="4"/>
  <c r="W21" i="4"/>
  <c r="O134" i="3"/>
  <c r="P134" i="3"/>
  <c r="K86" i="7"/>
  <c r="K9" i="7"/>
  <c r="K121" i="7"/>
  <c r="H122" i="7"/>
  <c r="H89" i="7"/>
  <c r="K90" i="7"/>
  <c r="K13" i="7"/>
  <c r="H14" i="7"/>
  <c r="E130" i="7"/>
  <c r="E132" i="7"/>
  <c r="E94" i="7"/>
  <c r="E17" i="7"/>
  <c r="E126" i="7"/>
  <c r="E127" i="7"/>
  <c r="E19" i="7"/>
  <c r="E96" i="7"/>
  <c r="E98" i="7"/>
  <c r="E21" i="7"/>
  <c r="E128" i="7"/>
  <c r="H86" i="7"/>
  <c r="H9" i="7"/>
  <c r="H119" i="7"/>
  <c r="K10" i="7"/>
  <c r="K120" i="7"/>
  <c r="K87" i="7"/>
  <c r="H88" i="7"/>
  <c r="H11" i="7"/>
  <c r="H121" i="7"/>
  <c r="K12" i="7"/>
  <c r="K122" i="7"/>
  <c r="K89" i="7"/>
  <c r="H123" i="7"/>
  <c r="H90" i="7"/>
  <c r="H13" i="7"/>
  <c r="K14" i="7"/>
  <c r="K91" i="7"/>
  <c r="K124" i="7"/>
  <c r="E102" i="7"/>
  <c r="E25" i="7"/>
  <c r="O25" i="7" s="1"/>
  <c r="O32" i="7" s="1"/>
  <c r="E27" i="7"/>
  <c r="O27" i="7" s="1"/>
  <c r="O34" i="7" s="1"/>
  <c r="E93" i="7"/>
  <c r="E16" i="7"/>
  <c r="D23" i="5"/>
  <c r="E18" i="7"/>
  <c r="D25" i="5"/>
  <c r="E95" i="7"/>
  <c r="E97" i="7"/>
  <c r="E20" i="7"/>
  <c r="D27" i="5"/>
  <c r="F14" i="7"/>
  <c r="F91" i="7"/>
  <c r="F124" i="7"/>
  <c r="F90" i="7"/>
  <c r="F13" i="7"/>
  <c r="F123" i="7"/>
  <c r="F12" i="7"/>
  <c r="F89" i="7"/>
  <c r="F122" i="7"/>
  <c r="F88" i="7"/>
  <c r="F11" i="7"/>
  <c r="F121" i="7"/>
  <c r="F10" i="7"/>
  <c r="F87" i="7"/>
  <c r="F120" i="7"/>
  <c r="F86" i="7"/>
  <c r="F9" i="7"/>
  <c r="F119" i="7"/>
  <c r="J14" i="7"/>
  <c r="J91" i="7"/>
  <c r="J90" i="7"/>
  <c r="J13" i="7"/>
  <c r="J123" i="7"/>
  <c r="J12" i="7"/>
  <c r="J89" i="7"/>
  <c r="J122" i="7"/>
  <c r="J88" i="7"/>
  <c r="J11" i="7"/>
  <c r="J121" i="7"/>
  <c r="J10" i="7"/>
  <c r="J87" i="7"/>
  <c r="J120" i="7"/>
  <c r="J86" i="7"/>
  <c r="J9" i="7"/>
  <c r="J119" i="7"/>
  <c r="Q77" i="9"/>
  <c r="E34" i="7"/>
  <c r="D69" i="5"/>
  <c r="E40" i="7"/>
  <c r="T52" i="7" s="1"/>
  <c r="E110" i="7"/>
  <c r="Y37" i="9"/>
  <c r="Y39" i="9"/>
  <c r="U113" i="9"/>
  <c r="U106" i="9"/>
  <c r="U97" i="9"/>
  <c r="W39" i="1"/>
  <c r="AA39" i="1" s="1"/>
  <c r="X38" i="1"/>
  <c r="X35" i="1"/>
  <c r="O142" i="3"/>
  <c r="P142" i="3"/>
  <c r="N138" i="3"/>
  <c r="R138" i="3"/>
  <c r="O138" i="3"/>
  <c r="P138" i="3" s="1"/>
  <c r="Q138" i="3"/>
  <c r="Q134" i="3"/>
  <c r="AA9" i="9"/>
  <c r="N140" i="3"/>
  <c r="R140" i="3" s="1"/>
  <c r="O140" i="3"/>
  <c r="P140" i="3"/>
  <c r="Q140" i="3"/>
  <c r="N132" i="3"/>
  <c r="R132" i="3"/>
  <c r="O132" i="3"/>
  <c r="P132" i="3"/>
  <c r="Q132" i="3"/>
  <c r="Q130" i="3"/>
  <c r="AO160" i="9"/>
  <c r="AP160" i="9"/>
  <c r="H10" i="7"/>
  <c r="E39" i="7"/>
  <c r="T51" i="7" s="1"/>
  <c r="E41" i="7"/>
  <c r="T53" i="7" s="1"/>
  <c r="E136" i="7"/>
  <c r="E35" i="7"/>
  <c r="E111" i="7"/>
  <c r="D71" i="5"/>
  <c r="E37" i="7"/>
  <c r="T49" i="7" s="1"/>
  <c r="E134" i="7"/>
  <c r="E31" i="7"/>
  <c r="E107" i="7"/>
  <c r="Y262" i="9"/>
  <c r="V262" i="9" s="1"/>
  <c r="AN272" i="9"/>
  <c r="X262" i="9"/>
  <c r="AH272" i="9" s="1"/>
  <c r="U262" i="9"/>
  <c r="X261" i="9"/>
  <c r="U261" i="9"/>
  <c r="X100" i="9"/>
  <c r="X260" i="9"/>
  <c r="U260" i="9"/>
  <c r="X99" i="9"/>
  <c r="U108" i="9" s="1"/>
  <c r="X257" i="9"/>
  <c r="U257" i="9"/>
  <c r="X96" i="9"/>
  <c r="J124" i="7"/>
  <c r="E103" i="7"/>
  <c r="E24" i="7"/>
  <c r="O24" i="7" s="1"/>
  <c r="O31" i="7" s="1"/>
  <c r="H91" i="7"/>
  <c r="K11" i="7"/>
  <c r="H87" i="7"/>
  <c r="Y13" i="9"/>
  <c r="Y261" i="9"/>
  <c r="AN271" i="9" s="1"/>
  <c r="Y100" i="9"/>
  <c r="V116" i="9"/>
  <c r="Y259" i="9"/>
  <c r="AN269" i="9" s="1"/>
  <c r="Y98" i="9"/>
  <c r="V98" i="9"/>
  <c r="Y258" i="9"/>
  <c r="V258" i="9" s="1"/>
  <c r="U258" i="9"/>
  <c r="AH268" i="9"/>
  <c r="X34" i="1"/>
  <c r="L54" i="9"/>
  <c r="M54" i="9" s="1"/>
  <c r="AL294" i="9"/>
  <c r="AP294" i="9"/>
  <c r="AF294" i="9"/>
  <c r="AQ294" i="9"/>
  <c r="X301" i="9"/>
  <c r="X303" i="9"/>
  <c r="X305" i="9"/>
  <c r="Y304" i="9"/>
  <c r="Y302" i="9"/>
  <c r="AB294" i="9"/>
  <c r="AN294" i="9"/>
  <c r="AD294" i="9"/>
  <c r="V100" i="9"/>
  <c r="U112" i="9"/>
  <c r="U115" i="9"/>
  <c r="V97" i="9"/>
  <c r="AH267" i="9"/>
  <c r="AH270" i="9"/>
  <c r="U117" i="9"/>
  <c r="V117" i="9"/>
  <c r="V110" i="9"/>
  <c r="V109" i="9"/>
  <c r="AA36" i="1"/>
  <c r="AC37" i="9"/>
  <c r="L157" i="1"/>
  <c r="M157" i="1"/>
  <c r="N157" i="1" s="1"/>
  <c r="Y10" i="9"/>
  <c r="W37" i="1"/>
  <c r="Y37" i="1"/>
  <c r="O139" i="3"/>
  <c r="P139" i="3"/>
  <c r="AM158" i="9"/>
  <c r="W108" i="9"/>
  <c r="W106" i="9"/>
  <c r="W104" i="9"/>
  <c r="X109" i="9"/>
  <c r="X107" i="9"/>
  <c r="X105" i="9"/>
  <c r="AF272" i="9"/>
  <c r="AF271" i="9"/>
  <c r="AF270" i="9"/>
  <c r="AF269" i="9"/>
  <c r="AF268" i="9"/>
  <c r="AF267" i="9"/>
  <c r="AL272" i="9"/>
  <c r="AL271" i="9"/>
  <c r="AL270" i="9"/>
  <c r="AL269" i="9"/>
  <c r="AL268" i="9"/>
  <c r="AL267" i="9"/>
  <c r="J223" i="9"/>
  <c r="J194" i="9"/>
  <c r="P284" i="9"/>
  <c r="J222" i="9"/>
  <c r="L223" i="9" s="1"/>
  <c r="M223" i="9" s="1"/>
  <c r="N223" i="9" s="1"/>
  <c r="R226" i="9" s="1"/>
  <c r="L222" i="9"/>
  <c r="M222" i="9" s="1"/>
  <c r="J187" i="9"/>
  <c r="J186" i="9"/>
  <c r="J185" i="9"/>
  <c r="J184" i="9"/>
  <c r="J272" i="9"/>
  <c r="L272" i="9" s="1"/>
  <c r="M272" i="9" s="1"/>
  <c r="J270" i="9"/>
  <c r="L270" i="9" s="1"/>
  <c r="AF296" i="9"/>
  <c r="AQ296" i="9"/>
  <c r="AF295" i="9"/>
  <c r="AQ295" i="9"/>
  <c r="X306" i="9"/>
  <c r="Y306" i="9"/>
  <c r="AF293" i="9"/>
  <c r="AQ293" i="9"/>
  <c r="AF292" i="9"/>
  <c r="AQ292" i="9"/>
  <c r="AF291" i="9"/>
  <c r="F41" i="7"/>
  <c r="P41" i="7" s="1"/>
  <c r="F136" i="7"/>
  <c r="F111" i="7"/>
  <c r="F35" i="7"/>
  <c r="H136" i="7"/>
  <c r="H111" i="7"/>
  <c r="H35" i="7"/>
  <c r="H41" i="7"/>
  <c r="U53" i="7" s="1"/>
  <c r="K35" i="7"/>
  <c r="K111" i="7"/>
  <c r="K136" i="7"/>
  <c r="K41" i="7"/>
  <c r="V53" i="7" s="1"/>
  <c r="J35" i="7"/>
  <c r="J136" i="7"/>
  <c r="J111" i="7"/>
  <c r="J41" i="7"/>
  <c r="Q41" i="7" s="1"/>
  <c r="I11" i="2"/>
  <c r="P15" i="5" s="1"/>
  <c r="H11" i="2"/>
  <c r="O15" i="5" s="1"/>
  <c r="AA37" i="1"/>
  <c r="N44" i="4"/>
  <c r="W44" i="4"/>
  <c r="Z43" i="4"/>
  <c r="Z54" i="4" s="1"/>
  <c r="Z65" i="4" s="1"/>
  <c r="J249" i="1"/>
  <c r="L249" i="1" s="1"/>
  <c r="M249" i="1" s="1"/>
  <c r="L245" i="1"/>
  <c r="M245" i="1" s="1"/>
  <c r="W46" i="4"/>
  <c r="N46" i="4"/>
  <c r="N42" i="4"/>
  <c r="W42" i="4"/>
  <c r="X293" i="9"/>
  <c r="AA12" i="9"/>
  <c r="W19" i="4"/>
  <c r="N19" i="4"/>
  <c r="AD38" i="9"/>
  <c r="AB34" i="9"/>
  <c r="AB103" i="10"/>
  <c r="Y103" i="10"/>
  <c r="AB100" i="10"/>
  <c r="Y100" i="10"/>
  <c r="Q141" i="3"/>
  <c r="O141" i="3"/>
  <c r="P141" i="3" s="1"/>
  <c r="Q135" i="3"/>
  <c r="O135" i="3"/>
  <c r="P135" i="3" s="1"/>
  <c r="Q131" i="3"/>
  <c r="O131" i="3"/>
  <c r="P131" i="3"/>
  <c r="AC103" i="10"/>
  <c r="P137" i="9"/>
  <c r="P140" i="9"/>
  <c r="P142" i="9"/>
  <c r="P150" i="9"/>
  <c r="P152" i="9"/>
  <c r="J190" i="9"/>
  <c r="X103" i="10"/>
  <c r="W109" i="9"/>
  <c r="W105" i="9"/>
  <c r="W110" i="9"/>
  <c r="X106" i="9"/>
  <c r="Y93" i="10"/>
  <c r="V53" i="10"/>
  <c r="V73" i="10"/>
  <c r="V71" i="10"/>
  <c r="Y89" i="10"/>
  <c r="V49" i="10"/>
  <c r="V69" i="10"/>
  <c r="W73" i="10"/>
  <c r="W71" i="10"/>
  <c r="W51" i="10"/>
  <c r="AC91" i="10"/>
  <c r="X98" i="10"/>
  <c r="AC102" i="10"/>
  <c r="AC101" i="10"/>
  <c r="AC100" i="10"/>
  <c r="AC99" i="10"/>
  <c r="Y11" i="10"/>
  <c r="AB11" i="10" s="1"/>
  <c r="Y16" i="10"/>
  <c r="AB16" i="10" s="1"/>
  <c r="Y15" i="10"/>
  <c r="AB15" i="10" s="1"/>
  <c r="Y14" i="10"/>
  <c r="AB14" i="10" s="1"/>
  <c r="Y13" i="10"/>
  <c r="Y12" i="10"/>
  <c r="AB12" i="10"/>
  <c r="Z15" i="10"/>
  <c r="AC15" i="10"/>
  <c r="Z14" i="10"/>
  <c r="AC14" i="10" s="1"/>
  <c r="Z13" i="10"/>
  <c r="AC13" i="10"/>
  <c r="Z12" i="10"/>
  <c r="AC12" i="10" s="1"/>
  <c r="Z11" i="10"/>
  <c r="V72" i="10"/>
  <c r="V52" i="10"/>
  <c r="Y92" i="10"/>
  <c r="V70" i="10"/>
  <c r="V50" i="10"/>
  <c r="Y90" i="10"/>
  <c r="V68" i="10"/>
  <c r="V75" i="10" s="1"/>
  <c r="V48" i="10"/>
  <c r="Y88" i="10"/>
  <c r="AC92" i="10"/>
  <c r="W52" i="10"/>
  <c r="W72" i="10"/>
  <c r="AC90" i="10"/>
  <c r="W50" i="10"/>
  <c r="W70" i="10"/>
  <c r="AC88" i="10"/>
  <c r="W48" i="10"/>
  <c r="W68" i="10"/>
  <c r="AC98" i="10"/>
  <c r="X102" i="10"/>
  <c r="X101" i="10"/>
  <c r="X99" i="10"/>
  <c r="AC11" i="10"/>
  <c r="AB13" i="10"/>
  <c r="G121" i="7"/>
  <c r="I124" i="7"/>
  <c r="I91" i="7"/>
  <c r="I14" i="7"/>
  <c r="I120" i="7"/>
  <c r="Q7" i="2"/>
  <c r="AG7" i="2" s="1"/>
  <c r="I7" i="2"/>
  <c r="P11" i="5" s="1"/>
  <c r="M7" i="2"/>
  <c r="L11" i="5" s="1"/>
  <c r="C82" i="2"/>
  <c r="Q9" i="2"/>
  <c r="AG9" i="2" s="1"/>
  <c r="I9" i="2"/>
  <c r="P13" i="5" s="1"/>
  <c r="M9" i="2"/>
  <c r="L13" i="5" s="1"/>
  <c r="C84" i="2"/>
  <c r="P6" i="2"/>
  <c r="R6" i="2" s="1"/>
  <c r="H6" i="2"/>
  <c r="O10" i="5" s="1"/>
  <c r="B81" i="2"/>
  <c r="L6" i="2"/>
  <c r="K10" i="5" s="1"/>
  <c r="P8" i="2"/>
  <c r="R8" i="2" s="1"/>
  <c r="B83" i="2"/>
  <c r="P10" i="2"/>
  <c r="R10" i="2" s="1"/>
  <c r="L10" i="2"/>
  <c r="K14" i="5" s="1"/>
  <c r="Q6" i="2"/>
  <c r="AG6" i="2" s="1"/>
  <c r="C81" i="2"/>
  <c r="I6" i="2"/>
  <c r="E20" i="4" s="1"/>
  <c r="M6" i="2"/>
  <c r="L10" i="5" s="1"/>
  <c r="Q8" i="2"/>
  <c r="C83" i="2"/>
  <c r="I8" i="2"/>
  <c r="P12" i="5" s="1"/>
  <c r="M8" i="2"/>
  <c r="L12" i="5" s="1"/>
  <c r="Q10" i="2"/>
  <c r="AG10" i="2" s="1"/>
  <c r="C85" i="2"/>
  <c r="I10" i="2"/>
  <c r="M10" i="2"/>
  <c r="L14" i="5" s="1"/>
  <c r="L7" i="2"/>
  <c r="K11" i="5" s="1"/>
  <c r="B82" i="2"/>
  <c r="L9" i="2"/>
  <c r="K13" i="5" s="1"/>
  <c r="B84" i="2"/>
  <c r="L5" i="2"/>
  <c r="K9" i="5" s="1"/>
  <c r="P5" i="2"/>
  <c r="AB5" i="2" s="1"/>
  <c r="H5" i="2"/>
  <c r="B80" i="2"/>
  <c r="F128" i="7"/>
  <c r="F98" i="7"/>
  <c r="F21" i="7"/>
  <c r="F19" i="7"/>
  <c r="F96" i="7"/>
  <c r="F127" i="7"/>
  <c r="F97" i="7"/>
  <c r="F20" i="7"/>
  <c r="F95" i="7"/>
  <c r="F18" i="7"/>
  <c r="H20" i="7"/>
  <c r="H97" i="7"/>
  <c r="F17" i="7"/>
  <c r="F94" i="7"/>
  <c r="F126" i="7"/>
  <c r="H128" i="7"/>
  <c r="H21" i="7"/>
  <c r="H98" i="7"/>
  <c r="H19" i="7"/>
  <c r="H96" i="7"/>
  <c r="H127" i="7"/>
  <c r="H126" i="7"/>
  <c r="H94" i="7"/>
  <c r="H17" i="7"/>
  <c r="H95" i="7"/>
  <c r="H18" i="7"/>
  <c r="S7" i="2"/>
  <c r="F102" i="7"/>
  <c r="F25" i="7"/>
  <c r="P25" i="7" s="1"/>
  <c r="H24" i="7"/>
  <c r="P31" i="7" s="1"/>
  <c r="S31" i="7" s="1"/>
  <c r="H101" i="7"/>
  <c r="H130" i="7"/>
  <c r="K94" i="7"/>
  <c r="K126" i="7"/>
  <c r="K17" i="7"/>
  <c r="K98" i="7"/>
  <c r="K21" i="7"/>
  <c r="K128" i="7"/>
  <c r="J126" i="7"/>
  <c r="J94" i="7"/>
  <c r="J17" i="7"/>
  <c r="K20" i="7"/>
  <c r="K97" i="7"/>
  <c r="J18" i="7"/>
  <c r="J95" i="7"/>
  <c r="J19" i="7"/>
  <c r="J96" i="7"/>
  <c r="J127" i="7"/>
  <c r="J128" i="7"/>
  <c r="J98" i="7"/>
  <c r="J21" i="7"/>
  <c r="H16" i="7"/>
  <c r="H93" i="7"/>
  <c r="F16" i="7"/>
  <c r="F93" i="7"/>
  <c r="H102" i="7"/>
  <c r="H25" i="7"/>
  <c r="P32" i="7" s="1"/>
  <c r="T32" i="7" s="1"/>
  <c r="K18" i="7"/>
  <c r="K95" i="7"/>
  <c r="K127" i="7"/>
  <c r="K96" i="7"/>
  <c r="K19" i="7"/>
  <c r="J97" i="7"/>
  <c r="J20" i="7"/>
  <c r="K102" i="7"/>
  <c r="K25" i="7"/>
  <c r="Q32" i="7" s="1"/>
  <c r="J16" i="7"/>
  <c r="J93" i="7"/>
  <c r="K16" i="7"/>
  <c r="K93" i="7"/>
  <c r="J25" i="7"/>
  <c r="Q25" i="7" s="1"/>
  <c r="J102" i="7"/>
  <c r="F130" i="7"/>
  <c r="F101" i="7"/>
  <c r="F24" i="7"/>
  <c r="P24" i="7" s="1"/>
  <c r="F23" i="7"/>
  <c r="P23" i="7" s="1"/>
  <c r="F100" i="7"/>
  <c r="H100" i="7"/>
  <c r="H23" i="7"/>
  <c r="P30" i="7" s="1"/>
  <c r="R30" i="7" s="1"/>
  <c r="I19" i="7"/>
  <c r="K130" i="7"/>
  <c r="K24" i="7"/>
  <c r="Q31" i="7" s="1"/>
  <c r="K101" i="7"/>
  <c r="K100" i="7"/>
  <c r="K23" i="7"/>
  <c r="Q30" i="7" s="1"/>
  <c r="J101" i="7"/>
  <c r="J130" i="7"/>
  <c r="J24" i="7"/>
  <c r="Q24" i="7" s="1"/>
  <c r="G94" i="7"/>
  <c r="G17" i="7"/>
  <c r="G126" i="7"/>
  <c r="J100" i="7"/>
  <c r="J23" i="7"/>
  <c r="Q23" i="7" s="1"/>
  <c r="G14" i="7"/>
  <c r="G91" i="7"/>
  <c r="I87" i="7"/>
  <c r="I101" i="7"/>
  <c r="G88" i="7"/>
  <c r="G124" i="7"/>
  <c r="I96" i="7"/>
  <c r="I127" i="7"/>
  <c r="I10" i="7"/>
  <c r="J205" i="1"/>
  <c r="J204" i="1"/>
  <c r="W45" i="4"/>
  <c r="N45" i="4"/>
  <c r="W41" i="4"/>
  <c r="N41" i="4"/>
  <c r="Y38" i="8"/>
  <c r="Z38" i="8"/>
  <c r="N43" i="4"/>
  <c r="W43" i="4"/>
  <c r="Q139" i="3"/>
  <c r="V114" i="9"/>
  <c r="V105" i="9"/>
  <c r="V111" i="9" s="1"/>
  <c r="Z36" i="1"/>
  <c r="AC36" i="1" s="1"/>
  <c r="AC34" i="9"/>
  <c r="Y36" i="9"/>
  <c r="Y40" i="9" s="1"/>
  <c r="Y41" i="9" s="1"/>
  <c r="X108" i="9"/>
  <c r="X110" i="9"/>
  <c r="C48" i="2"/>
  <c r="N51" i="5" s="1"/>
  <c r="V248" i="10"/>
  <c r="X248" i="10"/>
  <c r="V249" i="10"/>
  <c r="X249" i="10"/>
  <c r="Z249" i="10" s="1"/>
  <c r="V250" i="10"/>
  <c r="X250" i="10"/>
  <c r="Z250" i="10"/>
  <c r="V251" i="10"/>
  <c r="X251" i="10"/>
  <c r="Z251" i="10"/>
  <c r="V253" i="10"/>
  <c r="X253" i="10"/>
  <c r="V254" i="10"/>
  <c r="Z254" i="10"/>
  <c r="V255" i="10"/>
  <c r="X255" i="10"/>
  <c r="Z255" i="10"/>
  <c r="Y27" i="10"/>
  <c r="Y33" i="10"/>
  <c r="Z32" i="10"/>
  <c r="Y31" i="10"/>
  <c r="Y29" i="10"/>
  <c r="Z28" i="10"/>
  <c r="AC27" i="10"/>
  <c r="AB32" i="10"/>
  <c r="AB30" i="10"/>
  <c r="AB28" i="10"/>
  <c r="W248" i="10"/>
  <c r="Y248" i="10"/>
  <c r="W249" i="10"/>
  <c r="Y249" i="10"/>
  <c r="W250" i="10"/>
  <c r="W253" i="10"/>
  <c r="W254" i="10"/>
  <c r="Y254" i="10" s="1"/>
  <c r="W255" i="10"/>
  <c r="Y255" i="10"/>
  <c r="Z33" i="10"/>
  <c r="Z31" i="10"/>
  <c r="Z29" i="10"/>
  <c r="Y247" i="10"/>
  <c r="Y250" i="10"/>
  <c r="Y256" i="10"/>
  <c r="Z248" i="10"/>
  <c r="Y253" i="10"/>
  <c r="W260" i="10"/>
  <c r="X264" i="10"/>
  <c r="W263" i="10"/>
  <c r="X262" i="10"/>
  <c r="W261" i="10"/>
  <c r="Z256" i="10"/>
  <c r="I93" i="7"/>
  <c r="I16" i="7"/>
  <c r="AD36" i="1"/>
  <c r="AB36" i="1"/>
  <c r="L204" i="1"/>
  <c r="M204" i="1" s="1"/>
  <c r="I95" i="7"/>
  <c r="I18" i="7"/>
  <c r="M190" i="9"/>
  <c r="Z36" i="8"/>
  <c r="AD36" i="8" s="1"/>
  <c r="Y35" i="8"/>
  <c r="G101" i="7"/>
  <c r="G130" i="7"/>
  <c r="AA37" i="8"/>
  <c r="V107" i="9"/>
  <c r="L160" i="9"/>
  <c r="M160" i="9" s="1"/>
  <c r="AA292" i="9"/>
  <c r="AA293" i="9"/>
  <c r="AA294" i="9"/>
  <c r="AA295" i="9"/>
  <c r="AA296" i="9"/>
  <c r="Y295" i="9"/>
  <c r="AJ295" i="9"/>
  <c r="Y294" i="9"/>
  <c r="AJ294" i="9"/>
  <c r="Y293" i="9"/>
  <c r="AJ293" i="9"/>
  <c r="Y292" i="9"/>
  <c r="AJ292" i="9"/>
  <c r="Y291" i="9"/>
  <c r="AJ291" i="9"/>
  <c r="P202" i="9"/>
  <c r="J193" i="9"/>
  <c r="J192" i="9"/>
  <c r="P282" i="9"/>
  <c r="J271" i="9"/>
  <c r="L271" i="9" s="1"/>
  <c r="M271" i="9" s="1"/>
  <c r="J287" i="9"/>
  <c r="L287" i="9"/>
  <c r="M287" i="9" s="1"/>
  <c r="J288" i="9"/>
  <c r="L288" i="9"/>
  <c r="M288" i="9" s="1"/>
  <c r="J289" i="9"/>
  <c r="L289" i="9"/>
  <c r="M289" i="9" s="1"/>
  <c r="J290" i="9"/>
  <c r="L290" i="9"/>
  <c r="M290" i="9" s="1"/>
  <c r="J291" i="9"/>
  <c r="L291" i="9"/>
  <c r="M291" i="9"/>
  <c r="AL292" i="9"/>
  <c r="AL293" i="9"/>
  <c r="Y301" i="9"/>
  <c r="AL295" i="9"/>
  <c r="AL296" i="9"/>
  <c r="AQ291" i="9"/>
  <c r="AC33" i="10"/>
  <c r="AB33" i="10"/>
  <c r="M193" i="9"/>
  <c r="M192" i="9"/>
  <c r="I128" i="7"/>
  <c r="I21" i="7"/>
  <c r="I98" i="7"/>
  <c r="I109" i="7"/>
  <c r="I33" i="7"/>
  <c r="I39" i="7"/>
  <c r="S51" i="7" s="1"/>
  <c r="I135" i="7"/>
  <c r="AB9" i="9"/>
  <c r="I23" i="7"/>
  <c r="N30" i="7" s="1"/>
  <c r="I100" i="7"/>
  <c r="I17" i="7"/>
  <c r="I94" i="7"/>
  <c r="I126" i="7"/>
  <c r="I25" i="7"/>
  <c r="N32" i="7" s="1"/>
  <c r="I102" i="7"/>
  <c r="Y34" i="8"/>
  <c r="G25" i="7"/>
  <c r="R25" i="7" s="1"/>
  <c r="S25" i="7" s="1"/>
  <c r="G102" i="7"/>
  <c r="J127" i="1"/>
  <c r="L127" i="1" s="1"/>
  <c r="M127" i="1" s="1"/>
  <c r="AI295" i="9"/>
  <c r="Z37" i="1"/>
  <c r="AC37" i="1" s="1"/>
  <c r="AH271" i="9"/>
  <c r="AB38" i="9"/>
  <c r="AD39" i="9"/>
  <c r="J131" i="1"/>
  <c r="L131" i="1" s="1"/>
  <c r="M131" i="1" s="1"/>
  <c r="J129" i="1"/>
  <c r="L129" i="1" s="1"/>
  <c r="M129" i="1" s="1"/>
  <c r="N143" i="3"/>
  <c r="R143" i="3"/>
  <c r="O143" i="3"/>
  <c r="P143" i="3"/>
  <c r="Q143" i="3"/>
  <c r="P278" i="9"/>
  <c r="J269" i="9"/>
  <c r="J31" i="11"/>
  <c r="J12" i="11"/>
  <c r="AB291" i="9"/>
  <c r="J32" i="11"/>
  <c r="J11" i="11" s="1"/>
  <c r="AB292" i="9"/>
  <c r="J33" i="11"/>
  <c r="J10" i="11" s="1"/>
  <c r="AB293" i="9"/>
  <c r="J34" i="11"/>
  <c r="J9" i="11" s="1"/>
  <c r="W9" i="11" s="1"/>
  <c r="X302" i="9"/>
  <c r="J35" i="11"/>
  <c r="J8" i="11"/>
  <c r="AB295" i="9"/>
  <c r="J36" i="11"/>
  <c r="J7" i="11" s="1"/>
  <c r="AB296" i="9"/>
  <c r="K31" i="11"/>
  <c r="K12" i="11"/>
  <c r="AC291" i="9"/>
  <c r="J191" i="9"/>
  <c r="J268" i="9"/>
  <c r="L269" i="9" s="1"/>
  <c r="M269" i="9" s="1"/>
  <c r="N269" i="9" s="1"/>
  <c r="R280" i="9" s="1"/>
  <c r="J42" i="11"/>
  <c r="J23" i="11" s="1"/>
  <c r="AM291" i="9"/>
  <c r="J43" i="11"/>
  <c r="J22" i="11" s="1"/>
  <c r="AM292" i="9"/>
  <c r="J44" i="11"/>
  <c r="J21" i="11"/>
  <c r="AM293" i="9"/>
  <c r="J45" i="11"/>
  <c r="J20" i="11" s="1"/>
  <c r="AM294" i="9"/>
  <c r="J46" i="11"/>
  <c r="J19" i="11"/>
  <c r="AM295" i="9"/>
  <c r="J47" i="11"/>
  <c r="J18" i="11" s="1"/>
  <c r="AM296" i="9"/>
  <c r="K42" i="11"/>
  <c r="K23" i="11"/>
  <c r="AN291" i="9"/>
  <c r="R13" i="11"/>
  <c r="V13" i="11"/>
  <c r="AC292" i="9"/>
  <c r="AN292" i="9"/>
  <c r="AN293" i="9"/>
  <c r="AC294" i="9"/>
  <c r="Y303" i="9"/>
  <c r="AC295" i="9"/>
  <c r="AC296" i="9"/>
  <c r="AN296" i="9"/>
  <c r="AD291" i="9"/>
  <c r="AO291" i="9"/>
  <c r="AD292" i="9"/>
  <c r="AO292" i="9"/>
  <c r="AD293" i="9"/>
  <c r="AO293" i="9"/>
  <c r="X304" i="9"/>
  <c r="AO294" i="9"/>
  <c r="AD295" i="9"/>
  <c r="AO295" i="9"/>
  <c r="AD296" i="9"/>
  <c r="AO296" i="9"/>
  <c r="AE291" i="9"/>
  <c r="AP291" i="9"/>
  <c r="AE292" i="9"/>
  <c r="AP292" i="9"/>
  <c r="AP293" i="9"/>
  <c r="AE294" i="9"/>
  <c r="Y305" i="9"/>
  <c r="AE295" i="9"/>
  <c r="AP295" i="9"/>
  <c r="AE296" i="9"/>
  <c r="AP296" i="9"/>
  <c r="AB27" i="10"/>
  <c r="Z27" i="10"/>
  <c r="AC32" i="10"/>
  <c r="Y32" i="10"/>
  <c r="AC31" i="10"/>
  <c r="AB31" i="10"/>
  <c r="AC30" i="10"/>
  <c r="Y30" i="10"/>
  <c r="AC29" i="10"/>
  <c r="AB29" i="10"/>
  <c r="AC28" i="10"/>
  <c r="Y28" i="10"/>
  <c r="R24" i="11"/>
  <c r="W14" i="11"/>
  <c r="V14" i="11"/>
  <c r="X14" i="11"/>
  <c r="V115" i="9"/>
  <c r="V108" i="9"/>
  <c r="L130" i="1"/>
  <c r="M130" i="1" s="1"/>
  <c r="G111" i="7"/>
  <c r="G41" i="7"/>
  <c r="G35" i="7"/>
  <c r="W13" i="11"/>
  <c r="AD37" i="1"/>
  <c r="I110" i="7"/>
  <c r="I34" i="7"/>
  <c r="M270" i="9"/>
  <c r="G136" i="7"/>
  <c r="R18" i="11"/>
  <c r="E5" i="2"/>
  <c r="I5" i="2" s="1"/>
  <c r="R5" i="2"/>
  <c r="X13" i="11"/>
  <c r="O37" i="7"/>
  <c r="W52" i="4"/>
  <c r="W53" i="4"/>
  <c r="W54" i="4"/>
  <c r="W55" i="4"/>
  <c r="W56" i="4"/>
  <c r="W57" i="4"/>
  <c r="W58" i="4"/>
  <c r="W63" i="4"/>
  <c r="W64" i="4"/>
  <c r="W65" i="4"/>
  <c r="W66" i="4"/>
  <c r="W67" i="4"/>
  <c r="W69" i="4"/>
  <c r="I40" i="7"/>
  <c r="S52" i="7" s="1"/>
  <c r="G135" i="7"/>
  <c r="I136" i="7"/>
  <c r="I41" i="7"/>
  <c r="S53" i="7" s="1"/>
  <c r="G40" i="7"/>
  <c r="D25" i="4"/>
  <c r="H12" i="5"/>
  <c r="D19" i="4"/>
  <c r="P19" i="4" s="1"/>
  <c r="D20" i="4"/>
  <c r="S20" i="4" s="1"/>
  <c r="E21" i="4"/>
  <c r="N30" i="4"/>
  <c r="W31" i="4"/>
  <c r="N32" i="4"/>
  <c r="W33" i="4"/>
  <c r="N34" i="4"/>
  <c r="W35" i="4"/>
  <c r="N36" i="4"/>
  <c r="N47" i="4"/>
  <c r="I130" i="7"/>
  <c r="G24" i="7"/>
  <c r="R24" i="7" s="1"/>
  <c r="G23" i="7"/>
  <c r="R23" i="7" s="1"/>
  <c r="G34" i="7"/>
  <c r="G110" i="7"/>
  <c r="G21" i="7"/>
  <c r="G98" i="7"/>
  <c r="G128" i="7"/>
  <c r="G18" i="7"/>
  <c r="G95" i="7"/>
  <c r="G20" i="7"/>
  <c r="G97" i="7"/>
  <c r="G16" i="7"/>
  <c r="G93" i="7"/>
  <c r="G19" i="7"/>
  <c r="G96" i="7"/>
  <c r="G127" i="7"/>
  <c r="I97" i="7"/>
  <c r="I20" i="7"/>
  <c r="I24" i="7"/>
  <c r="N31" i="7" s="1"/>
  <c r="I111" i="7"/>
  <c r="G33" i="7"/>
  <c r="Z42" i="4"/>
  <c r="Z53" i="4" s="1"/>
  <c r="Z64" i="4" s="1"/>
  <c r="I35" i="7"/>
  <c r="G39" i="7"/>
  <c r="G109" i="7"/>
  <c r="Z45" i="4"/>
  <c r="Z56" i="4" s="1"/>
  <c r="Z67" i="4" s="1"/>
  <c r="G11" i="7"/>
  <c r="G100" i="7"/>
  <c r="N25" i="4"/>
  <c r="I88" i="7"/>
  <c r="I121" i="7"/>
  <c r="I11" i="7"/>
  <c r="I12" i="7"/>
  <c r="I122" i="7"/>
  <c r="I89" i="7"/>
  <c r="G12" i="7"/>
  <c r="G122" i="7"/>
  <c r="G89" i="7"/>
  <c r="G123" i="7"/>
  <c r="G90" i="7"/>
  <c r="G13" i="7"/>
  <c r="I123" i="7"/>
  <c r="I13" i="7"/>
  <c r="I90" i="7"/>
  <c r="G10" i="7"/>
  <c r="G120" i="7"/>
  <c r="G87" i="7"/>
  <c r="I86" i="7"/>
  <c r="I9" i="7"/>
  <c r="I119" i="7"/>
  <c r="G86" i="7"/>
  <c r="G9" i="7"/>
  <c r="G119" i="7"/>
  <c r="M194" i="9"/>
  <c r="S10" i="2"/>
  <c r="AB6" i="2"/>
  <c r="H13" i="5"/>
  <c r="E25" i="4"/>
  <c r="AC25" i="4" s="1"/>
  <c r="AG8" i="2"/>
  <c r="S8" i="2"/>
  <c r="S9" i="2"/>
  <c r="W20" i="11"/>
  <c r="C86" i="2"/>
  <c r="Q11" i="2"/>
  <c r="AG11" i="2" s="1"/>
  <c r="M11" i="2"/>
  <c r="L15" i="5" s="1"/>
  <c r="E26" i="7"/>
  <c r="O26" i="7" s="1"/>
  <c r="O33" i="7" s="1"/>
  <c r="E131" i="7"/>
  <c r="B86" i="2"/>
  <c r="L11" i="2"/>
  <c r="K15" i="5" s="1"/>
  <c r="H10" i="2"/>
  <c r="B85" i="2"/>
  <c r="P9" i="2"/>
  <c r="R9" i="2" s="1"/>
  <c r="H9" i="2"/>
  <c r="H8" i="2"/>
  <c r="E12" i="5" s="1"/>
  <c r="L8" i="2"/>
  <c r="K12" i="5" s="1"/>
  <c r="P7" i="2"/>
  <c r="R7" i="2" s="1"/>
  <c r="H7" i="2"/>
  <c r="X18" i="11"/>
  <c r="W21" i="11"/>
  <c r="W7" i="11"/>
  <c r="X9" i="11"/>
  <c r="V9" i="11"/>
  <c r="E11" i="5"/>
  <c r="O9" i="5" l="1"/>
  <c r="J3" i="15"/>
  <c r="P3" i="15" s="1"/>
  <c r="O40" i="7"/>
  <c r="T50" i="7"/>
  <c r="X10" i="11"/>
  <c r="T280" i="9"/>
  <c r="S280" i="9"/>
  <c r="N271" i="9"/>
  <c r="R282" i="9" s="1"/>
  <c r="N129" i="9"/>
  <c r="R140" i="9" s="1"/>
  <c r="T140" i="9" s="1"/>
  <c r="N128" i="9"/>
  <c r="R139" i="9" s="1"/>
  <c r="T226" i="9"/>
  <c r="V226" i="9" s="1"/>
  <c r="S226" i="9"/>
  <c r="U226" i="9" s="1"/>
  <c r="M270" i="1"/>
  <c r="P193" i="9"/>
  <c r="N44" i="1"/>
  <c r="S142" i="9"/>
  <c r="N270" i="9"/>
  <c r="R281" i="9" s="1"/>
  <c r="N272" i="9"/>
  <c r="R283" i="9" s="1"/>
  <c r="U263" i="9"/>
  <c r="M271" i="1"/>
  <c r="P194" i="9"/>
  <c r="N159" i="1"/>
  <c r="R151" i="1" s="1"/>
  <c r="S151" i="1" s="1"/>
  <c r="N127" i="9"/>
  <c r="N130" i="9"/>
  <c r="R141" i="9" s="1"/>
  <c r="N131" i="9"/>
  <c r="R142" i="9" s="1"/>
  <c r="N158" i="1"/>
  <c r="R150" i="1" s="1"/>
  <c r="K33" i="11"/>
  <c r="K10" i="11" s="1"/>
  <c r="V10" i="11" s="1"/>
  <c r="AC293" i="9"/>
  <c r="AG293" i="9" s="1"/>
  <c r="W18" i="11"/>
  <c r="AG292" i="9"/>
  <c r="N222" i="9"/>
  <c r="E33" i="7"/>
  <c r="AH269" i="9"/>
  <c r="U259" i="9"/>
  <c r="V96" i="9"/>
  <c r="V102" i="9" s="1"/>
  <c r="V112" i="9"/>
  <c r="V118" i="9" s="1"/>
  <c r="Q133" i="3"/>
  <c r="O133" i="3"/>
  <c r="P133" i="3" s="1"/>
  <c r="W8" i="11"/>
  <c r="L268" i="9"/>
  <c r="M268" i="9" s="1"/>
  <c r="N268" i="9" s="1"/>
  <c r="X7" i="11"/>
  <c r="AR293" i="9"/>
  <c r="Z16" i="10"/>
  <c r="AC16" i="10" s="1"/>
  <c r="Y99" i="10"/>
  <c r="L45" i="1"/>
  <c r="M45" i="1" s="1"/>
  <c r="N45" i="1" s="1"/>
  <c r="R84" i="1" s="1"/>
  <c r="Y257" i="9"/>
  <c r="U105" i="9"/>
  <c r="U96" i="9"/>
  <c r="AD36" i="9"/>
  <c r="AB36" i="9"/>
  <c r="AB40" i="9" s="1"/>
  <c r="AB41" i="9" s="1"/>
  <c r="Y12" i="9"/>
  <c r="X37" i="8"/>
  <c r="AB36" i="8"/>
  <c r="J269" i="1"/>
  <c r="L269" i="1" s="1"/>
  <c r="J246" i="1"/>
  <c r="P215" i="1"/>
  <c r="T151" i="1"/>
  <c r="L128" i="1"/>
  <c r="M128" i="1" s="1"/>
  <c r="N128" i="1" s="1"/>
  <c r="R139" i="1" s="1"/>
  <c r="T139" i="1" s="1"/>
  <c r="U101" i="9"/>
  <c r="U110" i="9"/>
  <c r="P84" i="1"/>
  <c r="S84" i="1" s="1"/>
  <c r="X294" i="9"/>
  <c r="AA11" i="9"/>
  <c r="N142" i="3"/>
  <c r="R142" i="3" s="1"/>
  <c r="Q142" i="3"/>
  <c r="AD38" i="8"/>
  <c r="AC38" i="8"/>
  <c r="AD35" i="9"/>
  <c r="AC35" i="9"/>
  <c r="X39" i="8"/>
  <c r="Y14" i="9"/>
  <c r="AI291" i="9" s="1"/>
  <c r="X36" i="8"/>
  <c r="Y11" i="9"/>
  <c r="AB35" i="8"/>
  <c r="T84" i="1"/>
  <c r="N47" i="1"/>
  <c r="R86" i="1" s="1"/>
  <c r="T86" i="1" s="1"/>
  <c r="W38" i="1"/>
  <c r="Y38" i="1"/>
  <c r="T142" i="9"/>
  <c r="H23" i="11"/>
  <c r="AK291" i="9"/>
  <c r="Q210" i="9"/>
  <c r="P210" i="9"/>
  <c r="I31" i="11"/>
  <c r="I12" i="11" s="1"/>
  <c r="V12" i="11" s="1"/>
  <c r="AA291" i="9"/>
  <c r="E53" i="2"/>
  <c r="X266" i="10"/>
  <c r="Z253" i="10"/>
  <c r="C69" i="4"/>
  <c r="C54" i="2"/>
  <c r="N57" i="5" s="1"/>
  <c r="X25" i="11"/>
  <c r="W25" i="11"/>
  <c r="V22" i="11"/>
  <c r="W68" i="4"/>
  <c r="N131" i="1"/>
  <c r="R142" i="1" s="1"/>
  <c r="S142" i="1" s="1"/>
  <c r="AG294" i="9"/>
  <c r="AC40" i="9"/>
  <c r="L205" i="1"/>
  <c r="M205" i="1" s="1"/>
  <c r="N205" i="1" s="1"/>
  <c r="R208" i="1" s="1"/>
  <c r="S208" i="1" s="1"/>
  <c r="U208" i="1" s="1"/>
  <c r="X100" i="10"/>
  <c r="S140" i="9"/>
  <c r="AB13" i="9"/>
  <c r="AI292" i="9"/>
  <c r="Y34" i="1"/>
  <c r="Z34" i="1"/>
  <c r="AA40" i="9"/>
  <c r="Y36" i="8"/>
  <c r="Y40" i="8" s="1"/>
  <c r="Y41" i="8" s="1"/>
  <c r="AA36" i="8"/>
  <c r="Q290" i="1"/>
  <c r="AB102" i="10"/>
  <c r="Y102" i="10"/>
  <c r="AB101" i="10"/>
  <c r="Y101" i="10"/>
  <c r="AB98" i="10"/>
  <c r="Y98" i="10"/>
  <c r="V260" i="9"/>
  <c r="AN270" i="9"/>
  <c r="O130" i="3"/>
  <c r="P130" i="3" s="1"/>
  <c r="N130" i="3"/>
  <c r="R130" i="3" s="1"/>
  <c r="Q135" i="9"/>
  <c r="J51" i="9"/>
  <c r="H19" i="11"/>
  <c r="AK295" i="9"/>
  <c r="AB10" i="9"/>
  <c r="Y91" i="10"/>
  <c r="V51" i="10"/>
  <c r="V55" i="10" s="1"/>
  <c r="W69" i="10"/>
  <c r="W75" i="10" s="1"/>
  <c r="V113" i="9"/>
  <c r="W49" i="10"/>
  <c r="AB7" i="2"/>
  <c r="V21" i="11"/>
  <c r="W22" i="11"/>
  <c r="M268" i="1"/>
  <c r="V25" i="11"/>
  <c r="Z39" i="1"/>
  <c r="AR291" i="9"/>
  <c r="Z30" i="10"/>
  <c r="AA34" i="1"/>
  <c r="AA39" i="8"/>
  <c r="V20" i="11"/>
  <c r="V8" i="11"/>
  <c r="O39" i="7"/>
  <c r="C80" i="2"/>
  <c r="M5" i="2"/>
  <c r="L9" i="5" s="1"/>
  <c r="AB37" i="1"/>
  <c r="V261" i="9"/>
  <c r="AC36" i="8"/>
  <c r="Z39" i="8"/>
  <c r="AC89" i="10"/>
  <c r="W53" i="10"/>
  <c r="AO159" i="9"/>
  <c r="AP159" i="9" s="1"/>
  <c r="U99" i="9"/>
  <c r="AN268" i="9"/>
  <c r="V259" i="9"/>
  <c r="X98" i="9"/>
  <c r="U109" i="9"/>
  <c r="U100" i="9"/>
  <c r="U116" i="9"/>
  <c r="E109" i="7"/>
  <c r="AD40" i="9"/>
  <c r="Z37" i="8"/>
  <c r="Y37" i="8"/>
  <c r="Z35" i="8"/>
  <c r="AA35" i="8"/>
  <c r="Z34" i="8"/>
  <c r="AA34" i="8"/>
  <c r="AA40" i="8" s="1"/>
  <c r="P288" i="1"/>
  <c r="J267" i="1"/>
  <c r="L267" i="1" s="1"/>
  <c r="J263" i="1"/>
  <c r="L263" i="1" s="1"/>
  <c r="M263" i="1" s="1"/>
  <c r="J261" i="1"/>
  <c r="L261" i="1" s="1"/>
  <c r="M261" i="1" s="1"/>
  <c r="S152" i="1"/>
  <c r="S86" i="1"/>
  <c r="X14" i="9"/>
  <c r="Y39" i="1"/>
  <c r="X13" i="9"/>
  <c r="X37" i="1"/>
  <c r="X10" i="9"/>
  <c r="W35" i="1"/>
  <c r="Y35" i="1"/>
  <c r="K46" i="11"/>
  <c r="K19" i="11" s="1"/>
  <c r="AN295" i="9"/>
  <c r="AR295" i="9" s="1"/>
  <c r="M33" i="11"/>
  <c r="M10" i="11" s="1"/>
  <c r="W10" i="11" s="1"/>
  <c r="AE293" i="9"/>
  <c r="C10" i="2"/>
  <c r="C24" i="4"/>
  <c r="V24" i="11"/>
  <c r="W24" i="11"/>
  <c r="N133" i="3"/>
  <c r="R133" i="3" s="1"/>
  <c r="Q86" i="9"/>
  <c r="Q147" i="9"/>
  <c r="AM157" i="9"/>
  <c r="AO157" i="9" s="1"/>
  <c r="AP157" i="9" s="1"/>
  <c r="J158" i="9"/>
  <c r="L158" i="9" s="1"/>
  <c r="M158" i="9" s="1"/>
  <c r="Q276" i="9"/>
  <c r="C21" i="4"/>
  <c r="C7" i="2"/>
  <c r="C28" i="2"/>
  <c r="N37" i="5" s="1"/>
  <c r="C41" i="4"/>
  <c r="AG291" i="9"/>
  <c r="AG295" i="9"/>
  <c r="AR292" i="9"/>
  <c r="AR294" i="9"/>
  <c r="P143" i="1"/>
  <c r="P85" i="1"/>
  <c r="N141" i="3"/>
  <c r="R141" i="3" s="1"/>
  <c r="H11" i="11"/>
  <c r="Z292" i="9"/>
  <c r="C35" i="4"/>
  <c r="C22" i="2"/>
  <c r="N28" i="5" s="1"/>
  <c r="AG296" i="9"/>
  <c r="J183" i="9"/>
  <c r="C19" i="4"/>
  <c r="C5" i="2"/>
  <c r="C44" i="4"/>
  <c r="C31" i="2"/>
  <c r="D40" i="5" s="1"/>
  <c r="C53" i="2"/>
  <c r="N56" i="5" s="1"/>
  <c r="X261" i="10"/>
  <c r="E48" i="2"/>
  <c r="C67" i="4"/>
  <c r="C52" i="2"/>
  <c r="C30" i="4"/>
  <c r="C9" i="2"/>
  <c r="C23" i="4"/>
  <c r="C49" i="2"/>
  <c r="N52" i="5" s="1"/>
  <c r="D51" i="2"/>
  <c r="C30" i="2"/>
  <c r="D39" i="5" s="1"/>
  <c r="W265" i="10"/>
  <c r="W267" i="10"/>
  <c r="C50" i="2"/>
  <c r="C62" i="2"/>
  <c r="N70" i="5" s="1"/>
  <c r="C60" i="2"/>
  <c r="C58" i="2"/>
  <c r="P198" i="9"/>
  <c r="M183" i="9"/>
  <c r="L191" i="9"/>
  <c r="P289" i="9"/>
  <c r="G36" i="13"/>
  <c r="G37" i="13" s="1"/>
  <c r="E33" i="13" s="1"/>
  <c r="L187" i="9"/>
  <c r="L185" i="9"/>
  <c r="M186" i="9"/>
  <c r="P287" i="9"/>
  <c r="Q184" i="9"/>
  <c r="Y25" i="4"/>
  <c r="S19" i="4"/>
  <c r="AB9" i="2"/>
  <c r="P20" i="4"/>
  <c r="S6" i="2"/>
  <c r="AB8" i="2"/>
  <c r="E22" i="4"/>
  <c r="AC22" i="4" s="1"/>
  <c r="E23" i="4"/>
  <c r="H11" i="5"/>
  <c r="Y20" i="4"/>
  <c r="AC20" i="4"/>
  <c r="O41" i="7"/>
  <c r="E104" i="7"/>
  <c r="D26" i="5"/>
  <c r="D24" i="5"/>
  <c r="D54" i="5"/>
  <c r="D57" i="5"/>
  <c r="Y21" i="4"/>
  <c r="AC21" i="4"/>
  <c r="O11" i="5"/>
  <c r="D21" i="4"/>
  <c r="O13" i="5"/>
  <c r="E13" i="5"/>
  <c r="D23" i="4"/>
  <c r="O14" i="5"/>
  <c r="E14" i="5"/>
  <c r="D24" i="4"/>
  <c r="P14" i="5"/>
  <c r="E24" i="4"/>
  <c r="P10" i="5"/>
  <c r="H10" i="5"/>
  <c r="AB10" i="2"/>
  <c r="S24" i="7"/>
  <c r="O12" i="5"/>
  <c r="D22" i="4"/>
  <c r="P25" i="4"/>
  <c r="S25" i="4"/>
  <c r="P9" i="5"/>
  <c r="H9" i="5"/>
  <c r="E19" i="4"/>
  <c r="Q5" i="2"/>
  <c r="S23" i="7"/>
  <c r="N41" i="7"/>
  <c r="D29" i="5"/>
  <c r="D56" i="5"/>
  <c r="E9" i="5"/>
  <c r="H14" i="5"/>
  <c r="E10" i="5"/>
  <c r="D51" i="5"/>
  <c r="E15" i="5"/>
  <c r="H15" i="5"/>
  <c r="N15" i="5"/>
  <c r="D15" i="5"/>
  <c r="N25" i="5"/>
  <c r="E28" i="7"/>
  <c r="O28" i="7" s="1"/>
  <c r="O35" i="7" s="1"/>
  <c r="D37" i="5"/>
  <c r="D41" i="5"/>
  <c r="N41" i="5"/>
  <c r="D43" i="5"/>
  <c r="D65" i="5"/>
  <c r="D70" i="5"/>
  <c r="N38" i="5"/>
  <c r="N42" i="5"/>
  <c r="AX20" i="4"/>
  <c r="AN25" i="4"/>
  <c r="AX25" i="4"/>
  <c r="AN19" i="4"/>
  <c r="AN20" i="4"/>
  <c r="AX21" i="4"/>
  <c r="N40" i="5" l="1"/>
  <c r="W11" i="11"/>
  <c r="X11" i="11"/>
  <c r="V11" i="11"/>
  <c r="W19" i="11"/>
  <c r="X19" i="11"/>
  <c r="V19" i="11"/>
  <c r="V23" i="11"/>
  <c r="X23" i="11"/>
  <c r="W23" i="11"/>
  <c r="L246" i="1"/>
  <c r="M246" i="1" s="1"/>
  <c r="L247" i="1"/>
  <c r="M247" i="1" s="1"/>
  <c r="P187" i="9"/>
  <c r="Q194" i="9"/>
  <c r="G60" i="2"/>
  <c r="G57" i="2"/>
  <c r="G61" i="2"/>
  <c r="G58" i="2"/>
  <c r="G62" i="2"/>
  <c r="G59" i="2"/>
  <c r="G63" i="2"/>
  <c r="N39" i="5"/>
  <c r="Y22" i="4"/>
  <c r="N9" i="5"/>
  <c r="D9" i="5"/>
  <c r="AC39" i="1"/>
  <c r="AB39" i="1"/>
  <c r="AD39" i="1"/>
  <c r="L51" i="9"/>
  <c r="M51" i="9" s="1"/>
  <c r="L52" i="9"/>
  <c r="M52" i="9" s="1"/>
  <c r="N52" i="9" s="1"/>
  <c r="R84" i="9" s="1"/>
  <c r="L262" i="1"/>
  <c r="M262" i="1" s="1"/>
  <c r="N130" i="1"/>
  <c r="R141" i="1" s="1"/>
  <c r="T208" i="1"/>
  <c r="V208" i="1" s="1"/>
  <c r="M185" i="9"/>
  <c r="Q191" i="9"/>
  <c r="M191" i="9"/>
  <c r="N66" i="5"/>
  <c r="D66" i="5"/>
  <c r="N55" i="5"/>
  <c r="D55" i="5"/>
  <c r="N11" i="5"/>
  <c r="D11" i="5"/>
  <c r="AA13" i="9"/>
  <c r="X292" i="9"/>
  <c r="S139" i="1"/>
  <c r="P190" i="9"/>
  <c r="M267" i="1"/>
  <c r="AD39" i="8"/>
  <c r="AC39" i="8"/>
  <c r="AB39" i="8"/>
  <c r="AC34" i="1"/>
  <c r="AD34" i="1"/>
  <c r="AB34" i="1"/>
  <c r="AB11" i="9"/>
  <c r="AI294" i="9"/>
  <c r="N204" i="1"/>
  <c r="AO158" i="9"/>
  <c r="AP158" i="9" s="1"/>
  <c r="S281" i="9"/>
  <c r="T281" i="9"/>
  <c r="T139" i="9"/>
  <c r="V142" i="9" s="1"/>
  <c r="S139" i="9"/>
  <c r="AB14" i="9"/>
  <c r="N46" i="1"/>
  <c r="R85" i="1" s="1"/>
  <c r="T85" i="1" s="1"/>
  <c r="V86" i="1" s="1"/>
  <c r="V87" i="9" s="1"/>
  <c r="D33" i="13"/>
  <c r="N13" i="5"/>
  <c r="D13" i="5"/>
  <c r="X295" i="9"/>
  <c r="AA10" i="9"/>
  <c r="X291" i="9"/>
  <c r="AA14" i="9"/>
  <c r="AI293" i="9"/>
  <c r="AB12" i="9"/>
  <c r="T150" i="1"/>
  <c r="V152" i="1" s="1"/>
  <c r="S150" i="1"/>
  <c r="U152" i="1" s="1"/>
  <c r="S141" i="9"/>
  <c r="T141" i="9"/>
  <c r="Q193" i="9"/>
  <c r="P186" i="9"/>
  <c r="Q186" i="9" s="1"/>
  <c r="T142" i="1"/>
  <c r="S282" i="9"/>
  <c r="U283" i="9" s="1"/>
  <c r="T282" i="9"/>
  <c r="V283" i="9" s="1"/>
  <c r="N186" i="9"/>
  <c r="N53" i="5"/>
  <c r="D53" i="5"/>
  <c r="L159" i="9"/>
  <c r="M159" i="9" s="1"/>
  <c r="AQ160" i="9" s="1"/>
  <c r="AU152" i="9" s="1"/>
  <c r="AD34" i="8"/>
  <c r="Z40" i="8"/>
  <c r="AC34" i="8"/>
  <c r="AB34" i="8"/>
  <c r="AB40" i="8" s="1"/>
  <c r="AB41" i="8" s="1"/>
  <c r="AC37" i="8"/>
  <c r="AD37" i="8"/>
  <c r="AB37" i="8"/>
  <c r="W55" i="10"/>
  <c r="U227" i="9"/>
  <c r="O68" i="7"/>
  <c r="AA38" i="1"/>
  <c r="Z38" i="1"/>
  <c r="M269" i="1"/>
  <c r="N269" i="1" s="1"/>
  <c r="P192" i="9"/>
  <c r="AN267" i="9"/>
  <c r="V257" i="9"/>
  <c r="V263" i="9" s="1"/>
  <c r="N271" i="1"/>
  <c r="D28" i="5"/>
  <c r="D52" i="5"/>
  <c r="Q187" i="9"/>
  <c r="M187" i="9"/>
  <c r="N187" i="9" s="1"/>
  <c r="N183" i="9"/>
  <c r="N184" i="9"/>
  <c r="N68" i="5"/>
  <c r="D68" i="5"/>
  <c r="AG297" i="9"/>
  <c r="N14" i="5"/>
  <c r="D14" i="5"/>
  <c r="Z35" i="1"/>
  <c r="AA35" i="1"/>
  <c r="AA40" i="1" s="1"/>
  <c r="AC35" i="8"/>
  <c r="AD35" i="8"/>
  <c r="U114" i="9"/>
  <c r="U118" i="9" s="1"/>
  <c r="U98" i="9"/>
  <c r="U107" i="9"/>
  <c r="U111" i="9" s="1"/>
  <c r="AR297" i="9"/>
  <c r="X12" i="11"/>
  <c r="Y40" i="1"/>
  <c r="Y41" i="1" s="1"/>
  <c r="W12" i="11"/>
  <c r="U102" i="9"/>
  <c r="S283" i="9"/>
  <c r="T283" i="9"/>
  <c r="N129" i="1"/>
  <c r="R140" i="1" s="1"/>
  <c r="G70" i="2"/>
  <c r="G72" i="2"/>
  <c r="F59" i="2"/>
  <c r="F60" i="2"/>
  <c r="F72" i="2"/>
  <c r="F74" i="2"/>
  <c r="G73" i="2"/>
  <c r="F70" i="2"/>
  <c r="F62" i="2"/>
  <c r="G71" i="2"/>
  <c r="F57" i="2"/>
  <c r="F73" i="2"/>
  <c r="F75" i="2"/>
  <c r="G69" i="2"/>
  <c r="F63" i="2"/>
  <c r="F71" i="2"/>
  <c r="G75" i="2"/>
  <c r="F58" i="2"/>
  <c r="G74" i="2"/>
  <c r="F61" i="2"/>
  <c r="F69" i="2"/>
  <c r="N127" i="1"/>
  <c r="L264" i="1"/>
  <c r="M264" i="1" s="1"/>
  <c r="AW36" i="4"/>
  <c r="J15" i="5"/>
  <c r="AM30" i="4"/>
  <c r="G9" i="5"/>
  <c r="J10" i="5"/>
  <c r="AW31" i="4"/>
  <c r="AM31" i="4"/>
  <c r="G10" i="5"/>
  <c r="AC23" i="4"/>
  <c r="Y23" i="4"/>
  <c r="J11" i="5"/>
  <c r="AW32" i="4"/>
  <c r="AC24" i="4"/>
  <c r="Y24" i="4"/>
  <c r="S23" i="4"/>
  <c r="P23" i="4"/>
  <c r="S24" i="4"/>
  <c r="P24" i="4"/>
  <c r="S21" i="4"/>
  <c r="P21" i="4"/>
  <c r="G15" i="5"/>
  <c r="AM36" i="4"/>
  <c r="S22" i="4"/>
  <c r="P22" i="4"/>
  <c r="Y19" i="4"/>
  <c r="AC19" i="4"/>
  <c r="S5" i="2"/>
  <c r="AG5" i="2"/>
  <c r="AX22" i="4"/>
  <c r="AN22" i="4"/>
  <c r="AN23" i="4"/>
  <c r="AX23" i="4"/>
  <c r="T10" i="5"/>
  <c r="AN24" i="4"/>
  <c r="S10" i="5"/>
  <c r="S15" i="5"/>
  <c r="T15" i="5"/>
  <c r="S9" i="5"/>
  <c r="AX24" i="4"/>
  <c r="T11" i="5"/>
  <c r="AN21" i="4"/>
  <c r="AX19" i="4"/>
  <c r="AW33" i="4" l="1"/>
  <c r="J12" i="5"/>
  <c r="AW152" i="9"/>
  <c r="AV152" i="9"/>
  <c r="V153" i="9"/>
  <c r="P67" i="7"/>
  <c r="P183" i="9"/>
  <c r="Q183" i="9" s="1"/>
  <c r="Q190" i="9"/>
  <c r="T84" i="9"/>
  <c r="S84" i="9"/>
  <c r="N246" i="1"/>
  <c r="N260" i="1"/>
  <c r="O260" i="1" s="1"/>
  <c r="N249" i="1"/>
  <c r="O249" i="1" s="1"/>
  <c r="N245" i="1"/>
  <c r="O245" i="1" s="1"/>
  <c r="N248" i="1"/>
  <c r="O248" i="1" s="1"/>
  <c r="N261" i="1"/>
  <c r="O261" i="1" s="1"/>
  <c r="T140" i="1"/>
  <c r="V142" i="1" s="1"/>
  <c r="S140" i="1"/>
  <c r="N268" i="1"/>
  <c r="D6" i="13"/>
  <c r="D5" i="4"/>
  <c r="AC40" i="8"/>
  <c r="S141" i="1"/>
  <c r="U142" i="1" s="1"/>
  <c r="T141" i="1"/>
  <c r="N51" i="9"/>
  <c r="N53" i="9"/>
  <c r="R85" i="9" s="1"/>
  <c r="N54" i="9"/>
  <c r="R86" i="9" s="1"/>
  <c r="N263" i="1"/>
  <c r="O263" i="1" s="1"/>
  <c r="AB38" i="1"/>
  <c r="AC38" i="1"/>
  <c r="AD38" i="1"/>
  <c r="N159" i="9"/>
  <c r="R151" i="9" s="1"/>
  <c r="N160" i="9"/>
  <c r="R152" i="9" s="1"/>
  <c r="J52" i="4"/>
  <c r="AA52" i="4" s="1"/>
  <c r="J53" i="4"/>
  <c r="AA53" i="4" s="1"/>
  <c r="J55" i="4"/>
  <c r="AA55" i="4" s="1"/>
  <c r="J57" i="4"/>
  <c r="AA57" i="4" s="1"/>
  <c r="J54" i="4"/>
  <c r="AA54" i="4" s="1"/>
  <c r="J56" i="4"/>
  <c r="AA56" i="4" s="1"/>
  <c r="J58" i="4"/>
  <c r="AA58" i="4" s="1"/>
  <c r="G34" i="2"/>
  <c r="G31" i="2"/>
  <c r="G39" i="2"/>
  <c r="Y283" i="9"/>
  <c r="G29" i="2"/>
  <c r="P66" i="7" s="1"/>
  <c r="G30" i="2"/>
  <c r="G28" i="2"/>
  <c r="G40" i="2"/>
  <c r="G38" i="2"/>
  <c r="G37" i="2"/>
  <c r="G33" i="2"/>
  <c r="G41" i="2"/>
  <c r="G32" i="2"/>
  <c r="G43" i="2"/>
  <c r="G42" i="2"/>
  <c r="AQ157" i="9"/>
  <c r="N192" i="9"/>
  <c r="N194" i="9"/>
  <c r="N193" i="9"/>
  <c r="N191" i="9"/>
  <c r="N289" i="9"/>
  <c r="N190" i="9"/>
  <c r="O190" i="9" s="1"/>
  <c r="N288" i="9"/>
  <c r="N287" i="9"/>
  <c r="N290" i="9"/>
  <c r="N291" i="9"/>
  <c r="P68" i="7"/>
  <c r="V227" i="9"/>
  <c r="N264" i="1"/>
  <c r="O264" i="1" s="1"/>
  <c r="D7" i="13"/>
  <c r="D6" i="4"/>
  <c r="AD35" i="1"/>
  <c r="AD40" i="1" s="1"/>
  <c r="AB35" i="1"/>
  <c r="AB40" i="1" s="1"/>
  <c r="AB41" i="1" s="1"/>
  <c r="AC35" i="1"/>
  <c r="AC40" i="1" s="1"/>
  <c r="N270" i="1"/>
  <c r="P185" i="9"/>
  <c r="Q185" i="9" s="1"/>
  <c r="Q192" i="9"/>
  <c r="N158" i="9"/>
  <c r="R150" i="9" s="1"/>
  <c r="N185" i="9"/>
  <c r="N262" i="1"/>
  <c r="O262" i="1" s="1"/>
  <c r="AQ159" i="9"/>
  <c r="AU151" i="9" s="1"/>
  <c r="R222" i="1"/>
  <c r="S282" i="1"/>
  <c r="R282" i="1"/>
  <c r="S278" i="1"/>
  <c r="R220" i="1"/>
  <c r="R278" i="1"/>
  <c r="AD40" i="8"/>
  <c r="N157" i="9"/>
  <c r="U153" i="9"/>
  <c r="O67" i="7"/>
  <c r="U142" i="9"/>
  <c r="AQ158" i="9"/>
  <c r="AU150" i="9" s="1"/>
  <c r="Z40" i="1"/>
  <c r="N267" i="1"/>
  <c r="S85" i="1"/>
  <c r="U86" i="1" s="1"/>
  <c r="U87" i="9" s="1"/>
  <c r="N247" i="1"/>
  <c r="O247" i="1" s="1"/>
  <c r="J13" i="5"/>
  <c r="AW34" i="4"/>
  <c r="AM34" i="4"/>
  <c r="G13" i="5"/>
  <c r="J14" i="5"/>
  <c r="AW35" i="4"/>
  <c r="G11" i="5"/>
  <c r="AM32" i="4"/>
  <c r="AM35" i="4"/>
  <c r="G14" i="5"/>
  <c r="AM33" i="4"/>
  <c r="G12" i="5"/>
  <c r="AW30" i="4"/>
  <c r="J9" i="5"/>
  <c r="S14" i="5"/>
  <c r="S11" i="5"/>
  <c r="S12" i="5"/>
  <c r="S13" i="5"/>
  <c r="T9" i="5"/>
  <c r="T13" i="5"/>
  <c r="T12" i="5"/>
  <c r="T14" i="5"/>
  <c r="U143" i="9" l="1"/>
  <c r="U284" i="9"/>
  <c r="AW150" i="9"/>
  <c r="AV150" i="9"/>
  <c r="S150" i="9"/>
  <c r="T150" i="9"/>
  <c r="O63" i="4"/>
  <c r="O69" i="4"/>
  <c r="O68" i="4"/>
  <c r="O47" i="4"/>
  <c r="O34" i="4"/>
  <c r="O67" i="4"/>
  <c r="O66" i="4"/>
  <c r="O58" i="4"/>
  <c r="O57" i="4"/>
  <c r="O56" i="4"/>
  <c r="O55" i="4"/>
  <c r="O54" i="4"/>
  <c r="O53" i="4"/>
  <c r="O52" i="4"/>
  <c r="O36" i="4"/>
  <c r="O31" i="4"/>
  <c r="O65" i="4"/>
  <c r="O64" i="4"/>
  <c r="O33" i="4"/>
  <c r="O25" i="4"/>
  <c r="U25" i="4" s="1"/>
  <c r="O43" i="4"/>
  <c r="O44" i="4"/>
  <c r="O46" i="4"/>
  <c r="O35" i="4"/>
  <c r="O19" i="4"/>
  <c r="U19" i="4" s="1"/>
  <c r="O41" i="4"/>
  <c r="O30" i="4"/>
  <c r="O23" i="4"/>
  <c r="U23" i="4" s="1"/>
  <c r="O42" i="4"/>
  <c r="O45" i="4"/>
  <c r="O22" i="4"/>
  <c r="U22" i="4" s="1"/>
  <c r="O32" i="4"/>
  <c r="O24" i="4"/>
  <c r="U24" i="4" s="1"/>
  <c r="F14" i="5" s="1"/>
  <c r="Q14" i="5" s="1"/>
  <c r="O20" i="4"/>
  <c r="U20" i="4" s="1"/>
  <c r="O21" i="4"/>
  <c r="U21" i="4" s="1"/>
  <c r="F11" i="5" s="1"/>
  <c r="Q11" i="5" s="1"/>
  <c r="V143" i="9"/>
  <c r="V284" i="9"/>
  <c r="V86" i="9"/>
  <c r="I53" i="4"/>
  <c r="R53" i="4" s="1"/>
  <c r="I55" i="4"/>
  <c r="R55" i="4" s="1"/>
  <c r="I57" i="4"/>
  <c r="R57" i="4" s="1"/>
  <c r="I52" i="4"/>
  <c r="R52" i="4" s="1"/>
  <c r="I54" i="4"/>
  <c r="R54" i="4" s="1"/>
  <c r="I56" i="4"/>
  <c r="R56" i="4" s="1"/>
  <c r="I58" i="4"/>
  <c r="R58" i="4" s="1"/>
  <c r="F34" i="2"/>
  <c r="F42" i="2"/>
  <c r="F33" i="2"/>
  <c r="F41" i="2"/>
  <c r="F31" i="2"/>
  <c r="F30" i="2"/>
  <c r="F39" i="2"/>
  <c r="F38" i="2"/>
  <c r="F37" i="2"/>
  <c r="F32" i="2"/>
  <c r="F29" i="2"/>
  <c r="O66" i="7" s="1"/>
  <c r="F28" i="2"/>
  <c r="X283" i="9"/>
  <c r="F40" i="2"/>
  <c r="F43" i="2"/>
  <c r="S204" i="9"/>
  <c r="O194" i="9"/>
  <c r="R204" i="9"/>
  <c r="T85" i="9"/>
  <c r="S85" i="9"/>
  <c r="AV151" i="9"/>
  <c r="AW151" i="9"/>
  <c r="O192" i="9"/>
  <c r="R200" i="9"/>
  <c r="S200" i="9"/>
  <c r="T152" i="9"/>
  <c r="S152" i="9"/>
  <c r="S276" i="1"/>
  <c r="R219" i="1"/>
  <c r="R276" i="1"/>
  <c r="T282" i="1" s="1"/>
  <c r="O246" i="1"/>
  <c r="S202" i="9"/>
  <c r="O193" i="9"/>
  <c r="R202" i="9"/>
  <c r="S86" i="9"/>
  <c r="T86" i="9"/>
  <c r="S220" i="1"/>
  <c r="T220" i="1"/>
  <c r="T222" i="1"/>
  <c r="S222" i="1"/>
  <c r="R221" i="1"/>
  <c r="S280" i="1"/>
  <c r="R280" i="1"/>
  <c r="X69" i="4"/>
  <c r="X68" i="4"/>
  <c r="X67" i="4"/>
  <c r="X66" i="4"/>
  <c r="X58" i="4"/>
  <c r="X57" i="4"/>
  <c r="X56" i="4"/>
  <c r="X55" i="4"/>
  <c r="X54" i="4"/>
  <c r="X53" i="4"/>
  <c r="X52" i="4"/>
  <c r="X35" i="4"/>
  <c r="X65" i="4"/>
  <c r="X64" i="4"/>
  <c r="X32" i="4"/>
  <c r="X30" i="4"/>
  <c r="P49" i="7" s="1"/>
  <c r="X63" i="4"/>
  <c r="X36" i="4"/>
  <c r="X34" i="4"/>
  <c r="X31" i="4"/>
  <c r="X47" i="4"/>
  <c r="X33" i="4"/>
  <c r="X20" i="4"/>
  <c r="AE20" i="4" s="1"/>
  <c r="X21" i="4"/>
  <c r="AE21" i="4" s="1"/>
  <c r="X22" i="4"/>
  <c r="AE22" i="4" s="1"/>
  <c r="X23" i="4"/>
  <c r="AE23" i="4" s="1"/>
  <c r="X24" i="4"/>
  <c r="AE24" i="4" s="1"/>
  <c r="X42" i="4"/>
  <c r="X45" i="4"/>
  <c r="X43" i="4"/>
  <c r="X25" i="4"/>
  <c r="AE25" i="4" s="1"/>
  <c r="X19" i="4"/>
  <c r="AE19" i="4" s="1"/>
  <c r="I9" i="5" s="1"/>
  <c r="R9" i="5" s="1"/>
  <c r="X41" i="4"/>
  <c r="X44" i="4"/>
  <c r="X46" i="4"/>
  <c r="S198" i="9"/>
  <c r="O191" i="9"/>
  <c r="R198" i="9"/>
  <c r="T204" i="9" s="1"/>
  <c r="S151" i="9"/>
  <c r="T151" i="9"/>
  <c r="U86" i="9"/>
  <c r="T35" i="4"/>
  <c r="T32" i="4"/>
  <c r="S221" i="1" l="1"/>
  <c r="T221" i="1"/>
  <c r="T31" i="4"/>
  <c r="F10" i="5"/>
  <c r="Q10" i="5" s="1"/>
  <c r="I31" i="4"/>
  <c r="R31" i="4" s="1"/>
  <c r="I34" i="4"/>
  <c r="R34" i="4" s="1"/>
  <c r="I30" i="4"/>
  <c r="R30" i="4" s="1"/>
  <c r="O51" i="7" s="1"/>
  <c r="I36" i="4"/>
  <c r="R36" i="4" s="1"/>
  <c r="I33" i="4"/>
  <c r="R33" i="4" s="1"/>
  <c r="I35" i="4"/>
  <c r="R35" i="4" s="1"/>
  <c r="F23" i="2"/>
  <c r="H23" i="2" s="1"/>
  <c r="F20" i="2"/>
  <c r="H20" i="2" s="1"/>
  <c r="F22" i="2"/>
  <c r="H22" i="2" s="1"/>
  <c r="F19" i="2"/>
  <c r="H19" i="2" s="1"/>
  <c r="I32" i="4"/>
  <c r="R32" i="4" s="1"/>
  <c r="F17" i="2"/>
  <c r="F18" i="2"/>
  <c r="H18" i="2" s="1"/>
  <c r="F21" i="2"/>
  <c r="H21" i="2" s="1"/>
  <c r="AD33" i="4"/>
  <c r="I12" i="5"/>
  <c r="R12" i="5" s="1"/>
  <c r="U282" i="1"/>
  <c r="O54" i="7"/>
  <c r="T30" i="4"/>
  <c r="F9" i="5"/>
  <c r="Q9" i="5" s="1"/>
  <c r="AY152" i="9"/>
  <c r="AD34" i="4"/>
  <c r="I13" i="5"/>
  <c r="R13" i="5" s="1"/>
  <c r="T219" i="1"/>
  <c r="V222" i="1" s="1"/>
  <c r="S219" i="1"/>
  <c r="U222" i="1" s="1"/>
  <c r="J33" i="4"/>
  <c r="AA33" i="4" s="1"/>
  <c r="J35" i="4"/>
  <c r="AA35" i="4" s="1"/>
  <c r="J30" i="4"/>
  <c r="AA30" i="4" s="1"/>
  <c r="J31" i="4"/>
  <c r="AA31" i="4" s="1"/>
  <c r="J32" i="4"/>
  <c r="AA32" i="4" s="1"/>
  <c r="J34" i="4"/>
  <c r="AA34" i="4" s="1"/>
  <c r="J36" i="4"/>
  <c r="AA36" i="4" s="1"/>
  <c r="G17" i="2"/>
  <c r="G21" i="2"/>
  <c r="I21" i="2" s="1"/>
  <c r="G22" i="2"/>
  <c r="I22" i="2" s="1"/>
  <c r="G20" i="2"/>
  <c r="I20" i="2" s="1"/>
  <c r="G18" i="2"/>
  <c r="I18" i="2" s="1"/>
  <c r="G23" i="2"/>
  <c r="I23" i="2" s="1"/>
  <c r="G19" i="2"/>
  <c r="I19" i="2" s="1"/>
  <c r="AX152" i="9"/>
  <c r="U204" i="9"/>
  <c r="AD30" i="4"/>
  <c r="P54" i="7"/>
  <c r="AD32" i="4"/>
  <c r="I11" i="5"/>
  <c r="R11" i="5" s="1"/>
  <c r="F13" i="5"/>
  <c r="Q13" i="5" s="1"/>
  <c r="T34" i="4"/>
  <c r="F15" i="5"/>
  <c r="Q15" i="5" s="1"/>
  <c r="T36" i="4"/>
  <c r="V152" i="9"/>
  <c r="AD36" i="4"/>
  <c r="I15" i="5"/>
  <c r="R15" i="5" s="1"/>
  <c r="AD35" i="4"/>
  <c r="I14" i="5"/>
  <c r="R14" i="5" s="1"/>
  <c r="I10" i="5"/>
  <c r="R10" i="5" s="1"/>
  <c r="AD31" i="4"/>
  <c r="T205" i="9"/>
  <c r="O69" i="7"/>
  <c r="F12" i="5"/>
  <c r="Q12" i="5" s="1"/>
  <c r="T33" i="4"/>
  <c r="O49" i="7"/>
  <c r="U152" i="9"/>
  <c r="Q20" i="2" l="1"/>
  <c r="H26" i="5"/>
  <c r="C93" i="2"/>
  <c r="E33" i="4"/>
  <c r="M20" i="2"/>
  <c r="L26" i="5" s="1"/>
  <c r="I31" i="2"/>
  <c r="P26" i="5"/>
  <c r="G48" i="2"/>
  <c r="G52" i="2"/>
  <c r="G51" i="2"/>
  <c r="G49" i="2"/>
  <c r="G50" i="2"/>
  <c r="G53" i="2"/>
  <c r="G54" i="2"/>
  <c r="H105" i="7"/>
  <c r="P25" i="5"/>
  <c r="H28" i="7"/>
  <c r="P35" i="7" s="1"/>
  <c r="W35" i="7" s="1"/>
  <c r="E32" i="4"/>
  <c r="Q19" i="2"/>
  <c r="M19" i="2"/>
  <c r="H132" i="7"/>
  <c r="H25" i="5"/>
  <c r="C92" i="2"/>
  <c r="I30" i="2"/>
  <c r="H28" i="5"/>
  <c r="Q22" i="2"/>
  <c r="I33" i="2"/>
  <c r="M22" i="2"/>
  <c r="L28" i="5" s="1"/>
  <c r="P28" i="5"/>
  <c r="C95" i="2"/>
  <c r="E35" i="4"/>
  <c r="U205" i="9"/>
  <c r="P69" i="7"/>
  <c r="H32" i="2"/>
  <c r="L21" i="2"/>
  <c r="K27" i="5" s="1"/>
  <c r="B94" i="2"/>
  <c r="D34" i="4"/>
  <c r="E27" i="5"/>
  <c r="O27" i="5"/>
  <c r="P21" i="2"/>
  <c r="F105" i="7"/>
  <c r="H30" i="2"/>
  <c r="F28" i="7"/>
  <c r="P28" i="7" s="1"/>
  <c r="E25" i="5"/>
  <c r="P19" i="2"/>
  <c r="L19" i="2"/>
  <c r="B92" i="2"/>
  <c r="O25" i="5"/>
  <c r="F132" i="7"/>
  <c r="D32" i="4"/>
  <c r="P23" i="2"/>
  <c r="AB23" i="2" s="1"/>
  <c r="O29" i="5"/>
  <c r="H34" i="2"/>
  <c r="L23" i="2"/>
  <c r="K29" i="5" s="1"/>
  <c r="E29" i="5"/>
  <c r="D36" i="4"/>
  <c r="F51" i="2"/>
  <c r="F49" i="2"/>
  <c r="F52" i="2"/>
  <c r="F48" i="2"/>
  <c r="F53" i="2"/>
  <c r="F50" i="2"/>
  <c r="F54" i="2"/>
  <c r="H29" i="5"/>
  <c r="Q23" i="2"/>
  <c r="AG23" i="2" s="1"/>
  <c r="I34" i="2"/>
  <c r="P29" i="5"/>
  <c r="M23" i="2"/>
  <c r="L29" i="5" s="1"/>
  <c r="E36" i="4"/>
  <c r="E34" i="4"/>
  <c r="H27" i="5"/>
  <c r="M21" i="2"/>
  <c r="L27" i="5" s="1"/>
  <c r="C94" i="2"/>
  <c r="I32" i="2"/>
  <c r="Q21" i="2"/>
  <c r="P27" i="5"/>
  <c r="D31" i="4"/>
  <c r="H29" i="2"/>
  <c r="E24" i="5"/>
  <c r="F27" i="7"/>
  <c r="P27" i="7" s="1"/>
  <c r="L18" i="2"/>
  <c r="O24" i="5"/>
  <c r="P18" i="2"/>
  <c r="B91" i="2"/>
  <c r="F104" i="7"/>
  <c r="H33" i="2"/>
  <c r="B95" i="2"/>
  <c r="P22" i="2"/>
  <c r="E28" i="5"/>
  <c r="O28" i="5"/>
  <c r="L22" i="2"/>
  <c r="K28" i="5" s="1"/>
  <c r="D35" i="4"/>
  <c r="M18" i="2"/>
  <c r="P24" i="5"/>
  <c r="E31" i="4"/>
  <c r="C91" i="2"/>
  <c r="H27" i="7"/>
  <c r="P34" i="7" s="1"/>
  <c r="V34" i="7" s="1"/>
  <c r="I29" i="2"/>
  <c r="H24" i="5"/>
  <c r="H104" i="7"/>
  <c r="Q18" i="2"/>
  <c r="P65" i="7"/>
  <c r="I17" i="2"/>
  <c r="O65" i="7"/>
  <c r="H17" i="2"/>
  <c r="K3" i="15" s="1"/>
  <c r="Q3" i="15" s="1"/>
  <c r="L20" i="2"/>
  <c r="K26" i="5" s="1"/>
  <c r="E26" i="5"/>
  <c r="H31" i="2"/>
  <c r="D33" i="4"/>
  <c r="B93" i="2"/>
  <c r="P20" i="2"/>
  <c r="O26" i="5"/>
  <c r="AG21" i="2" l="1"/>
  <c r="S21" i="2"/>
  <c r="AC35" i="4"/>
  <c r="Y35" i="4"/>
  <c r="S33" i="4"/>
  <c r="P33" i="4"/>
  <c r="U33" i="4" s="1"/>
  <c r="O23" i="5"/>
  <c r="B90" i="2"/>
  <c r="L17" i="2"/>
  <c r="E23" i="5"/>
  <c r="F103" i="7"/>
  <c r="F131" i="7"/>
  <c r="P17" i="2"/>
  <c r="D30" i="4"/>
  <c r="H28" i="2"/>
  <c r="F26" i="7"/>
  <c r="P26" i="7" s="1"/>
  <c r="E42" i="4"/>
  <c r="Q29" i="2"/>
  <c r="M29" i="2"/>
  <c r="L38" i="5" s="1"/>
  <c r="I49" i="2"/>
  <c r="E81" i="2"/>
  <c r="P38" i="5"/>
  <c r="H38" i="5"/>
  <c r="I38" i="2"/>
  <c r="L33" i="2"/>
  <c r="K42" i="5" s="1"/>
  <c r="H42" i="2"/>
  <c r="D85" i="2"/>
  <c r="E42" i="5"/>
  <c r="H53" i="2"/>
  <c r="D46" i="4"/>
  <c r="O42" i="5"/>
  <c r="P33" i="2"/>
  <c r="H49" i="2"/>
  <c r="P29" i="2"/>
  <c r="D81" i="2"/>
  <c r="E38" i="5"/>
  <c r="D42" i="4"/>
  <c r="H38" i="2"/>
  <c r="O38" i="5"/>
  <c r="L29" i="2"/>
  <c r="K38" i="5" s="1"/>
  <c r="H41" i="5"/>
  <c r="I52" i="2"/>
  <c r="P41" i="5"/>
  <c r="I41" i="2"/>
  <c r="M32" i="2"/>
  <c r="L41" i="5" s="1"/>
  <c r="E45" i="4"/>
  <c r="E84" i="2"/>
  <c r="Q32" i="2"/>
  <c r="Y34" i="4"/>
  <c r="AC34" i="4"/>
  <c r="E47" i="4"/>
  <c r="Q34" i="2"/>
  <c r="AG34" i="2" s="1"/>
  <c r="P43" i="5"/>
  <c r="I43" i="2"/>
  <c r="M34" i="2"/>
  <c r="L43" i="5" s="1"/>
  <c r="I54" i="2"/>
  <c r="E86" i="2"/>
  <c r="H43" i="5"/>
  <c r="D47" i="4"/>
  <c r="O43" i="5"/>
  <c r="D86" i="2"/>
  <c r="L34" i="2"/>
  <c r="K43" i="5" s="1"/>
  <c r="E43" i="5"/>
  <c r="P34" i="2"/>
  <c r="AB34" i="2" s="1"/>
  <c r="H43" i="2"/>
  <c r="H54" i="2"/>
  <c r="S32" i="4"/>
  <c r="P32" i="4"/>
  <c r="J132" i="7"/>
  <c r="K25" i="5"/>
  <c r="J105" i="7"/>
  <c r="J28" i="7"/>
  <c r="Q28" i="7" s="1"/>
  <c r="P30" i="2"/>
  <c r="H50" i="2"/>
  <c r="E39" i="5"/>
  <c r="D82" i="2"/>
  <c r="L30" i="2"/>
  <c r="K39" i="5" s="1"/>
  <c r="H39" i="2"/>
  <c r="O39" i="5"/>
  <c r="D43" i="4"/>
  <c r="H52" i="2"/>
  <c r="D84" i="2"/>
  <c r="L32" i="2"/>
  <c r="K41" i="5" s="1"/>
  <c r="D45" i="4"/>
  <c r="P32" i="2"/>
  <c r="E41" i="5"/>
  <c r="H41" i="2"/>
  <c r="O41" i="5"/>
  <c r="S22" i="2"/>
  <c r="AG22" i="2"/>
  <c r="Y32" i="4"/>
  <c r="AC32" i="4"/>
  <c r="H26" i="7"/>
  <c r="P33" i="7" s="1"/>
  <c r="U33" i="7" s="1"/>
  <c r="E30" i="4"/>
  <c r="I28" i="2"/>
  <c r="H23" i="5"/>
  <c r="H131" i="7"/>
  <c r="C90" i="2"/>
  <c r="M17" i="2"/>
  <c r="P23" i="5"/>
  <c r="Q17" i="2"/>
  <c r="H103" i="7"/>
  <c r="AB18" i="2"/>
  <c r="R18" i="2"/>
  <c r="E46" i="4"/>
  <c r="I53" i="2"/>
  <c r="E85" i="2"/>
  <c r="P42" i="5"/>
  <c r="Q33" i="2"/>
  <c r="M33" i="2"/>
  <c r="L42" i="5" s="1"/>
  <c r="I42" i="2"/>
  <c r="H42" i="5"/>
  <c r="AG19" i="2"/>
  <c r="S19" i="2"/>
  <c r="Y33" i="4"/>
  <c r="AC33" i="4"/>
  <c r="O40" i="5"/>
  <c r="D44" i="4"/>
  <c r="E40" i="5"/>
  <c r="L31" i="2"/>
  <c r="K40" i="5" s="1"/>
  <c r="D83" i="2"/>
  <c r="H51" i="2"/>
  <c r="H40" i="2"/>
  <c r="P31" i="2"/>
  <c r="S18" i="2"/>
  <c r="AG18" i="2"/>
  <c r="L24" i="5"/>
  <c r="K104" i="7"/>
  <c r="K27" i="7"/>
  <c r="Q34" i="7" s="1"/>
  <c r="J104" i="7"/>
  <c r="K24" i="5"/>
  <c r="J27" i="7"/>
  <c r="Q27" i="7" s="1"/>
  <c r="S31" i="4"/>
  <c r="P31" i="4"/>
  <c r="AC36" i="4"/>
  <c r="Y36" i="4"/>
  <c r="S36" i="4"/>
  <c r="P36" i="4"/>
  <c r="AB19" i="2"/>
  <c r="R19" i="2"/>
  <c r="S34" i="4"/>
  <c r="P34" i="4"/>
  <c r="H40" i="5"/>
  <c r="E44" i="4"/>
  <c r="I51" i="2"/>
  <c r="P40" i="5"/>
  <c r="Q31" i="2"/>
  <c r="M31" i="2"/>
  <c r="L40" i="5" s="1"/>
  <c r="E83" i="2"/>
  <c r="I40" i="2"/>
  <c r="Y31" i="4"/>
  <c r="AC31" i="4"/>
  <c r="R20" i="2"/>
  <c r="AB20" i="2"/>
  <c r="S35" i="4"/>
  <c r="P35" i="4"/>
  <c r="AB22" i="2"/>
  <c r="R22" i="2"/>
  <c r="R21" i="2"/>
  <c r="AB21" i="2"/>
  <c r="I39" i="2"/>
  <c r="H39" i="5"/>
  <c r="P39" i="5"/>
  <c r="Q30" i="2"/>
  <c r="E82" i="2"/>
  <c r="E43" i="4"/>
  <c r="M30" i="2"/>
  <c r="L39" i="5" s="1"/>
  <c r="I50" i="2"/>
  <c r="L25" i="5"/>
  <c r="K28" i="7"/>
  <c r="Q35" i="7" s="1"/>
  <c r="K132" i="7"/>
  <c r="K105" i="7"/>
  <c r="S20" i="2"/>
  <c r="AG20" i="2"/>
  <c r="AN33" i="4"/>
  <c r="AN31" i="4"/>
  <c r="AN36" i="4"/>
  <c r="AN34" i="4"/>
  <c r="AX34" i="4"/>
  <c r="AX35" i="4"/>
  <c r="AN32" i="4"/>
  <c r="AX36" i="4"/>
  <c r="AN35" i="4"/>
  <c r="AX32" i="4"/>
  <c r="AX33" i="4"/>
  <c r="AX31" i="4"/>
  <c r="U35" i="4" l="1"/>
  <c r="AE36" i="4"/>
  <c r="I29" i="5" s="1"/>
  <c r="U32" i="4"/>
  <c r="AE35" i="4"/>
  <c r="J24" i="5"/>
  <c r="AW42" i="4"/>
  <c r="J26" i="5"/>
  <c r="AW44" i="4"/>
  <c r="J25" i="5"/>
  <c r="AW43" i="4"/>
  <c r="AM46" i="4"/>
  <c r="G28" i="5"/>
  <c r="J29" i="5"/>
  <c r="AW47" i="4"/>
  <c r="G25" i="5"/>
  <c r="AM43" i="4"/>
  <c r="J28" i="5"/>
  <c r="AW46" i="4"/>
  <c r="J27" i="5"/>
  <c r="AW45" i="4"/>
  <c r="G27" i="5"/>
  <c r="AM45" i="4"/>
  <c r="G29" i="5"/>
  <c r="AM47" i="4"/>
  <c r="AM42" i="4"/>
  <c r="G24" i="5"/>
  <c r="AM44" i="4"/>
  <c r="G26" i="5"/>
  <c r="AE34" i="4"/>
  <c r="F28" i="5"/>
  <c r="T57" i="4"/>
  <c r="T46" i="4"/>
  <c r="AB31" i="2"/>
  <c r="R31" i="2"/>
  <c r="S43" i="4"/>
  <c r="P43" i="4"/>
  <c r="R33" i="2"/>
  <c r="AB33" i="2"/>
  <c r="M38" i="2"/>
  <c r="Q38" i="2"/>
  <c r="G81" i="2"/>
  <c r="AD57" i="4"/>
  <c r="AD46" i="4"/>
  <c r="I28" i="5"/>
  <c r="F83" i="2"/>
  <c r="P40" i="2"/>
  <c r="L40" i="2"/>
  <c r="AE33" i="4"/>
  <c r="Q42" i="2"/>
  <c r="G85" i="2"/>
  <c r="M42" i="2"/>
  <c r="L23" i="5"/>
  <c r="K26" i="7"/>
  <c r="Q33" i="7" s="1"/>
  <c r="K131" i="7"/>
  <c r="K103" i="7"/>
  <c r="E80" i="2"/>
  <c r="I48" i="2"/>
  <c r="E41" i="4"/>
  <c r="M28" i="2"/>
  <c r="L37" i="5" s="1"/>
  <c r="Q28" i="2"/>
  <c r="I37" i="2"/>
  <c r="H37" i="5"/>
  <c r="P37" i="5"/>
  <c r="AE32" i="4"/>
  <c r="L41" i="2"/>
  <c r="P41" i="2"/>
  <c r="F84" i="2"/>
  <c r="P47" i="4"/>
  <c r="S47" i="4"/>
  <c r="Y47" i="4"/>
  <c r="AC47" i="4"/>
  <c r="O37" i="5"/>
  <c r="E37" i="5"/>
  <c r="D41" i="4"/>
  <c r="P28" i="2"/>
  <c r="H48" i="2"/>
  <c r="L28" i="2"/>
  <c r="K37" i="5" s="1"/>
  <c r="H37" i="2"/>
  <c r="D80" i="2"/>
  <c r="Q50" i="2"/>
  <c r="E92" i="2"/>
  <c r="M50" i="2"/>
  <c r="L53" i="5" s="1"/>
  <c r="E65" i="4"/>
  <c r="P53" i="5"/>
  <c r="I59" i="2"/>
  <c r="I71" i="2"/>
  <c r="H53" i="5"/>
  <c r="S30" i="2"/>
  <c r="AG30" i="2"/>
  <c r="AC44" i="4"/>
  <c r="Y44" i="4"/>
  <c r="AD58" i="4"/>
  <c r="S45" i="4"/>
  <c r="P45" i="4"/>
  <c r="H57" i="5"/>
  <c r="I63" i="2"/>
  <c r="M54" i="2"/>
  <c r="L57" i="5" s="1"/>
  <c r="E69" i="4"/>
  <c r="P57" i="5"/>
  <c r="I75" i="2"/>
  <c r="Q54" i="2"/>
  <c r="AG54" i="2" s="1"/>
  <c r="AG32" i="2"/>
  <c r="S32" i="2"/>
  <c r="G84" i="2"/>
  <c r="Q41" i="2"/>
  <c r="M41" i="2"/>
  <c r="P52" i="5"/>
  <c r="E64" i="4"/>
  <c r="I58" i="2"/>
  <c r="Q49" i="2"/>
  <c r="I70" i="2"/>
  <c r="E91" i="2"/>
  <c r="M49" i="2"/>
  <c r="L52" i="5" s="1"/>
  <c r="H52" i="5"/>
  <c r="AE31" i="4"/>
  <c r="AG31" i="2"/>
  <c r="S31" i="2"/>
  <c r="Y43" i="4"/>
  <c r="AC43" i="4"/>
  <c r="Q40" i="2"/>
  <c r="M40" i="2"/>
  <c r="G83" i="2"/>
  <c r="U34" i="4"/>
  <c r="U36" i="4"/>
  <c r="U31" i="4"/>
  <c r="O54" i="5"/>
  <c r="D93" i="2"/>
  <c r="H72" i="2"/>
  <c r="H60" i="2"/>
  <c r="L51" i="2"/>
  <c r="K54" i="5" s="1"/>
  <c r="E54" i="5"/>
  <c r="D66" i="4"/>
  <c r="P51" i="2"/>
  <c r="P44" i="4"/>
  <c r="S44" i="4"/>
  <c r="M53" i="2"/>
  <c r="L56" i="5" s="1"/>
  <c r="H56" i="5"/>
  <c r="P56" i="5"/>
  <c r="I74" i="2"/>
  <c r="I62" i="2"/>
  <c r="Q53" i="2"/>
  <c r="E95" i="2"/>
  <c r="E68" i="4"/>
  <c r="AC30" i="4"/>
  <c r="Y30" i="4"/>
  <c r="F82" i="2"/>
  <c r="L39" i="2"/>
  <c r="P39" i="2"/>
  <c r="H71" i="2"/>
  <c r="D65" i="4"/>
  <c r="H59" i="2"/>
  <c r="E53" i="5"/>
  <c r="D92" i="2"/>
  <c r="L50" i="2"/>
  <c r="K53" i="5" s="1"/>
  <c r="P50" i="2"/>
  <c r="O53" i="5"/>
  <c r="D69" i="4"/>
  <c r="H75" i="2"/>
  <c r="O57" i="5"/>
  <c r="L54" i="2"/>
  <c r="K57" i="5" s="1"/>
  <c r="P54" i="2"/>
  <c r="AB54" i="2" s="1"/>
  <c r="E57" i="5"/>
  <c r="H63" i="2"/>
  <c r="M43" i="2"/>
  <c r="G86" i="2"/>
  <c r="Q43" i="2"/>
  <c r="AG43" i="2" s="1"/>
  <c r="AC45" i="4"/>
  <c r="Y45" i="4"/>
  <c r="I73" i="2"/>
  <c r="H55" i="5"/>
  <c r="P55" i="5"/>
  <c r="M52" i="2"/>
  <c r="L55" i="5" s="1"/>
  <c r="I61" i="2"/>
  <c r="E94" i="2"/>
  <c r="E67" i="4"/>
  <c r="Q52" i="2"/>
  <c r="P38" i="2"/>
  <c r="L38" i="2"/>
  <c r="F81" i="2"/>
  <c r="R29" i="2"/>
  <c r="AB29" i="2"/>
  <c r="P46" i="4"/>
  <c r="S46" i="4"/>
  <c r="L42" i="2"/>
  <c r="F85" i="2"/>
  <c r="P42" i="2"/>
  <c r="S29" i="2"/>
  <c r="AG29" i="2"/>
  <c r="P30" i="4"/>
  <c r="S30" i="4"/>
  <c r="T44" i="4"/>
  <c r="F26" i="5"/>
  <c r="T55" i="4"/>
  <c r="F25" i="5"/>
  <c r="T54" i="4"/>
  <c r="G132" i="7"/>
  <c r="G105" i="7"/>
  <c r="T43" i="4"/>
  <c r="G28" i="7"/>
  <c r="R28" i="7" s="1"/>
  <c r="S28" i="7" s="1"/>
  <c r="M39" i="2"/>
  <c r="G82" i="2"/>
  <c r="Q39" i="2"/>
  <c r="E93" i="2"/>
  <c r="E66" i="4"/>
  <c r="I60" i="2"/>
  <c r="P54" i="5"/>
  <c r="H54" i="5"/>
  <c r="M51" i="2"/>
  <c r="L54" i="5" s="1"/>
  <c r="Q51" i="2"/>
  <c r="I72" i="2"/>
  <c r="AG33" i="2"/>
  <c r="S33" i="2"/>
  <c r="AC46" i="4"/>
  <c r="Y46" i="4"/>
  <c r="S17" i="2"/>
  <c r="AG17" i="2"/>
  <c r="R32" i="2"/>
  <c r="AB32" i="2"/>
  <c r="P52" i="2"/>
  <c r="O55" i="5"/>
  <c r="E55" i="5"/>
  <c r="L52" i="2"/>
  <c r="K55" i="5" s="1"/>
  <c r="H61" i="2"/>
  <c r="D67" i="4"/>
  <c r="H73" i="2"/>
  <c r="D94" i="2"/>
  <c r="AB30" i="2"/>
  <c r="R30" i="2"/>
  <c r="L43" i="2"/>
  <c r="P43" i="2"/>
  <c r="AB43" i="2" s="1"/>
  <c r="F86" i="2"/>
  <c r="AD56" i="4"/>
  <c r="AD45" i="4"/>
  <c r="I27" i="5"/>
  <c r="P42" i="4"/>
  <c r="S42" i="4"/>
  <c r="O52" i="5"/>
  <c r="D91" i="2"/>
  <c r="D64" i="4"/>
  <c r="L49" i="2"/>
  <c r="K52" i="5" s="1"/>
  <c r="P49" i="2"/>
  <c r="E52" i="5"/>
  <c r="H70" i="2"/>
  <c r="H58" i="2"/>
  <c r="L53" i="2"/>
  <c r="K56" i="5" s="1"/>
  <c r="E56" i="5"/>
  <c r="O56" i="5"/>
  <c r="H74" i="2"/>
  <c r="P53" i="2"/>
  <c r="D95" i="2"/>
  <c r="H62" i="2"/>
  <c r="D68" i="4"/>
  <c r="Y42" i="4"/>
  <c r="AC42" i="4"/>
  <c r="R17" i="2"/>
  <c r="AB17" i="2"/>
  <c r="J131" i="7"/>
  <c r="K23" i="5"/>
  <c r="J26" i="7"/>
  <c r="Q26" i="7" s="1"/>
  <c r="J103" i="7"/>
  <c r="T24" i="5"/>
  <c r="T25" i="5"/>
  <c r="T29" i="5"/>
  <c r="T28" i="5"/>
  <c r="S27" i="5"/>
  <c r="AX46" i="4"/>
  <c r="S24" i="5"/>
  <c r="AX30" i="4"/>
  <c r="T26" i="5"/>
  <c r="AN46" i="4"/>
  <c r="S25" i="5"/>
  <c r="T27" i="5"/>
  <c r="S29" i="5"/>
  <c r="AN44" i="4"/>
  <c r="S28" i="5"/>
  <c r="AN43" i="4"/>
  <c r="AX45" i="4"/>
  <c r="S26" i="5"/>
  <c r="AN30" i="4"/>
  <c r="AD47" i="4" l="1"/>
  <c r="AM41" i="4"/>
  <c r="G23" i="5"/>
  <c r="J41" i="5"/>
  <c r="AW56" i="4"/>
  <c r="AM54" i="4"/>
  <c r="G39" i="5"/>
  <c r="G40" i="5"/>
  <c r="AM55" i="4"/>
  <c r="G42" i="5"/>
  <c r="AM57" i="4"/>
  <c r="AW41" i="4"/>
  <c r="J23" i="5"/>
  <c r="AW57" i="4"/>
  <c r="J42" i="5"/>
  <c r="R27" i="5"/>
  <c r="Q25" i="5"/>
  <c r="O53" i="7"/>
  <c r="R28" i="5"/>
  <c r="Q26" i="5"/>
  <c r="P53" i="7"/>
  <c r="Q28" i="5"/>
  <c r="U44" i="4"/>
  <c r="T66" i="4" s="1"/>
  <c r="R29" i="5"/>
  <c r="E70" i="5"/>
  <c r="D57" i="4"/>
  <c r="O70" i="5"/>
  <c r="L62" i="2"/>
  <c r="K70" i="5" s="1"/>
  <c r="P62" i="2"/>
  <c r="R62" i="2" s="1"/>
  <c r="D58" i="4"/>
  <c r="O71" i="5"/>
  <c r="L63" i="2"/>
  <c r="K71" i="5" s="1"/>
  <c r="E71" i="5"/>
  <c r="E67" i="5"/>
  <c r="O67" i="5"/>
  <c r="D54" i="4"/>
  <c r="P59" i="2"/>
  <c r="R59" i="2" s="1"/>
  <c r="L59" i="2"/>
  <c r="K67" i="5" s="1"/>
  <c r="AD42" i="4"/>
  <c r="I24" i="5"/>
  <c r="R24" i="5" s="1"/>
  <c r="I104" i="7"/>
  <c r="I27" i="7"/>
  <c r="N34" i="7" s="1"/>
  <c r="AD53" i="4"/>
  <c r="M70" i="2"/>
  <c r="Q70" i="2"/>
  <c r="S70" i="2" s="1"/>
  <c r="E54" i="4"/>
  <c r="Q59" i="2"/>
  <c r="S59" i="2" s="1"/>
  <c r="P67" i="5"/>
  <c r="M59" i="2"/>
  <c r="L67" i="5" s="1"/>
  <c r="H67" i="5"/>
  <c r="G80" i="2"/>
  <c r="Q37" i="2"/>
  <c r="AG37" i="2" s="1"/>
  <c r="M37" i="2"/>
  <c r="H51" i="5"/>
  <c r="M48" i="2"/>
  <c r="L51" i="5" s="1"/>
  <c r="P51" i="5"/>
  <c r="E90" i="2"/>
  <c r="I57" i="2"/>
  <c r="Q48" i="2"/>
  <c r="E63" i="4"/>
  <c r="I69" i="2"/>
  <c r="AG42" i="2"/>
  <c r="S42" i="2"/>
  <c r="H37" i="7"/>
  <c r="U49" i="7" s="1"/>
  <c r="H134" i="7"/>
  <c r="H31" i="7"/>
  <c r="M72" i="2"/>
  <c r="Q72" i="2"/>
  <c r="S72" i="2" s="1"/>
  <c r="H107" i="7"/>
  <c r="AG39" i="2"/>
  <c r="S39" i="2"/>
  <c r="R42" i="2"/>
  <c r="AB42" i="2"/>
  <c r="U46" i="4"/>
  <c r="F40" i="7"/>
  <c r="P40" i="7" s="1"/>
  <c r="N40" i="7" s="1"/>
  <c r="L75" i="2"/>
  <c r="F34" i="7"/>
  <c r="F110" i="7"/>
  <c r="P65" i="4"/>
  <c r="S65" i="4"/>
  <c r="S49" i="2"/>
  <c r="AG49" i="2"/>
  <c r="AC69" i="4"/>
  <c r="Y69" i="4"/>
  <c r="S50" i="2"/>
  <c r="AG50" i="2"/>
  <c r="H57" i="2"/>
  <c r="D63" i="4"/>
  <c r="E51" i="5"/>
  <c r="O51" i="5"/>
  <c r="L48" i="2"/>
  <c r="K51" i="5" s="1"/>
  <c r="D90" i="2"/>
  <c r="P48" i="2"/>
  <c r="H69" i="2"/>
  <c r="I105" i="7"/>
  <c r="AD43" i="4"/>
  <c r="I28" i="7"/>
  <c r="N35" i="7" s="1"/>
  <c r="AD54" i="4"/>
  <c r="I25" i="5"/>
  <c r="R25" i="5" s="1"/>
  <c r="I132" i="7"/>
  <c r="S28" i="2"/>
  <c r="AG28" i="2"/>
  <c r="I26" i="5"/>
  <c r="R26" i="5" s="1"/>
  <c r="AD55" i="4"/>
  <c r="AD44" i="4"/>
  <c r="S38" i="2"/>
  <c r="AG38" i="2"/>
  <c r="U43" i="4"/>
  <c r="P70" i="2"/>
  <c r="R70" i="2" s="1"/>
  <c r="L70" i="2"/>
  <c r="P64" i="4"/>
  <c r="S64" i="4"/>
  <c r="P61" i="2"/>
  <c r="R61" i="2" s="1"/>
  <c r="E69" i="5"/>
  <c r="O69" i="5"/>
  <c r="L61" i="2"/>
  <c r="K69" i="5" s="1"/>
  <c r="D56" i="4"/>
  <c r="R52" i="2"/>
  <c r="AB52" i="2"/>
  <c r="F40" i="5"/>
  <c r="AC67" i="4"/>
  <c r="Y67" i="4"/>
  <c r="AB50" i="2"/>
  <c r="R50" i="2"/>
  <c r="AC68" i="4"/>
  <c r="Y68" i="4"/>
  <c r="M74" i="2"/>
  <c r="H39" i="7"/>
  <c r="U51" i="7" s="1"/>
  <c r="Q74" i="2"/>
  <c r="S74" i="2" s="1"/>
  <c r="H33" i="7"/>
  <c r="H109" i="7"/>
  <c r="H135" i="7"/>
  <c r="T56" i="4"/>
  <c r="T45" i="4"/>
  <c r="F27" i="5"/>
  <c r="Q27" i="5" s="1"/>
  <c r="R53" i="2"/>
  <c r="AB53" i="2"/>
  <c r="AB49" i="2"/>
  <c r="R49" i="2"/>
  <c r="P73" i="2"/>
  <c r="R73" i="2" s="1"/>
  <c r="F38" i="7"/>
  <c r="P38" i="7" s="1"/>
  <c r="F32" i="7"/>
  <c r="L73" i="2"/>
  <c r="F108" i="7"/>
  <c r="AG51" i="2"/>
  <c r="S51" i="2"/>
  <c r="H68" i="5"/>
  <c r="E55" i="4"/>
  <c r="P68" i="5"/>
  <c r="Q60" i="2"/>
  <c r="S60" i="2" s="1"/>
  <c r="M60" i="2"/>
  <c r="L68" i="5" s="1"/>
  <c r="O50" i="7"/>
  <c r="O55" i="7" s="1"/>
  <c r="U30" i="4"/>
  <c r="AB38" i="2"/>
  <c r="R38" i="2"/>
  <c r="H69" i="5"/>
  <c r="M61" i="2"/>
  <c r="L69" i="5" s="1"/>
  <c r="P69" i="5"/>
  <c r="Q61" i="2"/>
  <c r="S61" i="2" s="1"/>
  <c r="E56" i="4"/>
  <c r="H38" i="7"/>
  <c r="U50" i="7" s="1"/>
  <c r="M73" i="2"/>
  <c r="Q73" i="2"/>
  <c r="S73" i="2" s="1"/>
  <c r="H108" i="7"/>
  <c r="H32" i="7"/>
  <c r="P69" i="4"/>
  <c r="S69" i="4"/>
  <c r="L71" i="2"/>
  <c r="P71" i="2"/>
  <c r="R71" i="2" s="1"/>
  <c r="P50" i="7"/>
  <c r="P55" i="7" s="1"/>
  <c r="AE30" i="4"/>
  <c r="S53" i="2"/>
  <c r="AG53" i="2"/>
  <c r="AB51" i="2"/>
  <c r="R51" i="2"/>
  <c r="P60" i="2"/>
  <c r="R60" i="2" s="1"/>
  <c r="O68" i="5"/>
  <c r="L60" i="2"/>
  <c r="K68" i="5" s="1"/>
  <c r="E68" i="5"/>
  <c r="D55" i="4"/>
  <c r="T53" i="4"/>
  <c r="G27" i="7"/>
  <c r="R27" i="7" s="1"/>
  <c r="S27" i="7" s="1"/>
  <c r="G104" i="7"/>
  <c r="F24" i="5"/>
  <c r="Q24" i="5" s="1"/>
  <c r="T42" i="4"/>
  <c r="P66" i="5"/>
  <c r="E53" i="4"/>
  <c r="Q58" i="2"/>
  <c r="S58" i="2" s="1"/>
  <c r="M58" i="2"/>
  <c r="L66" i="5" s="1"/>
  <c r="H66" i="5"/>
  <c r="S41" i="2"/>
  <c r="AG41" i="2"/>
  <c r="AE44" i="4"/>
  <c r="Y65" i="4"/>
  <c r="AC65" i="4"/>
  <c r="R28" i="2"/>
  <c r="AB28" i="2"/>
  <c r="AE46" i="4"/>
  <c r="P68" i="4"/>
  <c r="S68" i="4"/>
  <c r="P74" i="2"/>
  <c r="R74" i="2" s="1"/>
  <c r="F33" i="7"/>
  <c r="F135" i="7"/>
  <c r="F39" i="7"/>
  <c r="P39" i="7" s="1"/>
  <c r="N39" i="7" s="1"/>
  <c r="L74" i="2"/>
  <c r="F109" i="7"/>
  <c r="D53" i="4"/>
  <c r="E66" i="5"/>
  <c r="P58" i="2"/>
  <c r="R58" i="2" s="1"/>
  <c r="O66" i="5"/>
  <c r="L58" i="2"/>
  <c r="K66" i="5" s="1"/>
  <c r="P67" i="4"/>
  <c r="S67" i="4"/>
  <c r="AC66" i="4"/>
  <c r="Y66" i="4"/>
  <c r="AG52" i="2"/>
  <c r="S52" i="2"/>
  <c r="AE45" i="4"/>
  <c r="AB39" i="2"/>
  <c r="R39" i="2"/>
  <c r="M62" i="2"/>
  <c r="L70" i="5" s="1"/>
  <c r="Q62" i="2"/>
  <c r="S62" i="2" s="1"/>
  <c r="P70" i="5"/>
  <c r="E57" i="4"/>
  <c r="H70" i="5"/>
  <c r="S66" i="4"/>
  <c r="P66" i="4"/>
  <c r="P72" i="2"/>
  <c r="R72" i="2" s="1"/>
  <c r="F37" i="7"/>
  <c r="P37" i="7" s="1"/>
  <c r="F107" i="7"/>
  <c r="F134" i="7"/>
  <c r="L72" i="2"/>
  <c r="F31" i="7"/>
  <c r="T47" i="4"/>
  <c r="T58" i="4"/>
  <c r="F29" i="5"/>
  <c r="Q29" i="5" s="1"/>
  <c r="S40" i="2"/>
  <c r="AG40" i="2"/>
  <c r="Y64" i="4"/>
  <c r="AC64" i="4"/>
  <c r="H40" i="7"/>
  <c r="U52" i="7" s="1"/>
  <c r="M75" i="2"/>
  <c r="H110" i="7"/>
  <c r="H34" i="7"/>
  <c r="H71" i="5"/>
  <c r="P71" i="5"/>
  <c r="E58" i="4"/>
  <c r="M63" i="2"/>
  <c r="L71" i="5" s="1"/>
  <c r="Q71" i="2"/>
  <c r="S71" i="2" s="1"/>
  <c r="M71" i="2"/>
  <c r="L37" i="2"/>
  <c r="P37" i="2"/>
  <c r="AB37" i="2" s="1"/>
  <c r="F80" i="2"/>
  <c r="P41" i="4"/>
  <c r="S41" i="4"/>
  <c r="AE47" i="4"/>
  <c r="R41" i="2"/>
  <c r="AB41" i="2"/>
  <c r="Y41" i="4"/>
  <c r="AC41" i="4"/>
  <c r="AB40" i="2"/>
  <c r="R40" i="2"/>
  <c r="AX47" i="4"/>
  <c r="S42" i="5"/>
  <c r="AN45" i="4"/>
  <c r="AN42" i="4"/>
  <c r="S23" i="5"/>
  <c r="S39" i="5"/>
  <c r="T42" i="5"/>
  <c r="AX43" i="4"/>
  <c r="AN47" i="4"/>
  <c r="T41" i="5"/>
  <c r="S40" i="5"/>
  <c r="AX44" i="4"/>
  <c r="T23" i="5"/>
  <c r="AX42" i="4"/>
  <c r="J43" i="5" l="1"/>
  <c r="AW58" i="4"/>
  <c r="AW53" i="4"/>
  <c r="J38" i="5"/>
  <c r="J40" i="5"/>
  <c r="AW55" i="4"/>
  <c r="G43" i="5"/>
  <c r="AM58" i="4"/>
  <c r="AW54" i="4"/>
  <c r="J39" i="5"/>
  <c r="AM53" i="4"/>
  <c r="G38" i="5"/>
  <c r="AM56" i="4"/>
  <c r="G41" i="5"/>
  <c r="AE42" i="4"/>
  <c r="AD64" i="4" s="1"/>
  <c r="AE64" i="4" s="1"/>
  <c r="I52" i="5" s="1"/>
  <c r="U47" i="4"/>
  <c r="T69" i="4" s="1"/>
  <c r="U69" i="4" s="1"/>
  <c r="Q40" i="5"/>
  <c r="AE43" i="4"/>
  <c r="AD65" i="4" s="1"/>
  <c r="AE65" i="4" s="1"/>
  <c r="I53" i="5" s="1"/>
  <c r="U42" i="4"/>
  <c r="T64" i="4" s="1"/>
  <c r="U64" i="4" s="1"/>
  <c r="F52" i="5" s="1"/>
  <c r="U45" i="4"/>
  <c r="T67" i="4" s="1"/>
  <c r="U67" i="4" s="1"/>
  <c r="F55" i="5" s="1"/>
  <c r="AD69" i="4"/>
  <c r="AE69" i="4" s="1"/>
  <c r="I43" i="5"/>
  <c r="J134" i="7"/>
  <c r="J31" i="7"/>
  <c r="J37" i="7"/>
  <c r="Q37" i="7" s="1"/>
  <c r="J107" i="7"/>
  <c r="F23" i="5"/>
  <c r="Q23" i="5" s="1"/>
  <c r="T41" i="4"/>
  <c r="G103" i="7"/>
  <c r="G131" i="7"/>
  <c r="T52" i="4"/>
  <c r="G26" i="7"/>
  <c r="R26" i="7" s="1"/>
  <c r="S26" i="7" s="1"/>
  <c r="Q69" i="2"/>
  <c r="M69" i="2"/>
  <c r="K40" i="7"/>
  <c r="V52" i="7" s="1"/>
  <c r="K34" i="7"/>
  <c r="K110" i="7"/>
  <c r="I41" i="5"/>
  <c r="R41" i="5" s="1"/>
  <c r="AD67" i="4"/>
  <c r="AE67" i="4" s="1"/>
  <c r="I55" i="5" s="1"/>
  <c r="J39" i="7"/>
  <c r="Q39" i="7" s="1"/>
  <c r="J135" i="7"/>
  <c r="J33" i="7"/>
  <c r="J109" i="7"/>
  <c r="AD68" i="4"/>
  <c r="AE68" i="4" s="1"/>
  <c r="I42" i="5"/>
  <c r="R42" i="5" s="1"/>
  <c r="K38" i="7"/>
  <c r="V50" i="7" s="1"/>
  <c r="K32" i="7"/>
  <c r="K108" i="7"/>
  <c r="K39" i="7"/>
  <c r="V51" i="7" s="1"/>
  <c r="K33" i="7"/>
  <c r="K135" i="7"/>
  <c r="K109" i="7"/>
  <c r="T65" i="4"/>
  <c r="U65" i="4" s="1"/>
  <c r="F53" i="5" s="1"/>
  <c r="F39" i="5"/>
  <c r="Q39" i="5" s="1"/>
  <c r="R48" i="2"/>
  <c r="AB48" i="2"/>
  <c r="F42" i="5"/>
  <c r="Q42" i="5" s="1"/>
  <c r="T68" i="4"/>
  <c r="U68" i="4" s="1"/>
  <c r="H65" i="5"/>
  <c r="E52" i="4"/>
  <c r="P65" i="5"/>
  <c r="Q57" i="2"/>
  <c r="M57" i="2"/>
  <c r="L65" i="5" s="1"/>
  <c r="Y54" i="4"/>
  <c r="AC54" i="4"/>
  <c r="S58" i="4"/>
  <c r="P58" i="4"/>
  <c r="AC57" i="4"/>
  <c r="Y57" i="4"/>
  <c r="S63" i="4"/>
  <c r="P63" i="4"/>
  <c r="AC58" i="4"/>
  <c r="Y58" i="4"/>
  <c r="S53" i="4"/>
  <c r="P53" i="4"/>
  <c r="S55" i="4"/>
  <c r="P55" i="4"/>
  <c r="Y56" i="4"/>
  <c r="AC56" i="4"/>
  <c r="Y55" i="4"/>
  <c r="AC55" i="4"/>
  <c r="D52" i="4"/>
  <c r="O65" i="5"/>
  <c r="P57" i="2"/>
  <c r="L57" i="2"/>
  <c r="K65" i="5" s="1"/>
  <c r="E65" i="5"/>
  <c r="J110" i="7"/>
  <c r="J40" i="7"/>
  <c r="Q40" i="7" s="1"/>
  <c r="J34" i="7"/>
  <c r="AC63" i="4"/>
  <c r="Y63" i="4"/>
  <c r="S54" i="4"/>
  <c r="P54" i="4"/>
  <c r="U54" i="4" s="1"/>
  <c r="F67" i="5" s="1"/>
  <c r="P57" i="4"/>
  <c r="S57" i="4"/>
  <c r="I40" i="5"/>
  <c r="AD66" i="4"/>
  <c r="AE66" i="4" s="1"/>
  <c r="I54" i="5" s="1"/>
  <c r="F41" i="5"/>
  <c r="AC53" i="4"/>
  <c r="Y53" i="4"/>
  <c r="AD52" i="4"/>
  <c r="I131" i="7"/>
  <c r="AD41" i="4"/>
  <c r="I103" i="7"/>
  <c r="I26" i="7"/>
  <c r="N33" i="7" s="1"/>
  <c r="I23" i="5"/>
  <c r="R23" i="5" s="1"/>
  <c r="J38" i="7"/>
  <c r="Q38" i="7" s="1"/>
  <c r="J108" i="7"/>
  <c r="J32" i="7"/>
  <c r="U66" i="4"/>
  <c r="F54" i="5" s="1"/>
  <c r="P56" i="4"/>
  <c r="S56" i="4"/>
  <c r="L69" i="2"/>
  <c r="P69" i="2"/>
  <c r="K37" i="7"/>
  <c r="V49" i="7" s="1"/>
  <c r="K107" i="7"/>
  <c r="K134" i="7"/>
  <c r="K31" i="7"/>
  <c r="S48" i="2"/>
  <c r="AG48" i="2"/>
  <c r="T43" i="5"/>
  <c r="T38" i="5"/>
  <c r="S38" i="5"/>
  <c r="AX57" i="4"/>
  <c r="T40" i="5"/>
  <c r="AX54" i="4"/>
  <c r="AN56" i="4"/>
  <c r="AX56" i="4"/>
  <c r="AN57" i="4"/>
  <c r="AX55" i="4"/>
  <c r="T39" i="5"/>
  <c r="S41" i="5"/>
  <c r="AX58" i="4"/>
  <c r="AN55" i="4"/>
  <c r="AN54" i="4"/>
  <c r="AX53" i="4"/>
  <c r="S43" i="5"/>
  <c r="AN53" i="4"/>
  <c r="AX41" i="4"/>
  <c r="AN58" i="4"/>
  <c r="AN41" i="4"/>
  <c r="R43" i="5" l="1"/>
  <c r="AE56" i="4"/>
  <c r="I69" i="5" s="1"/>
  <c r="I38" i="5"/>
  <c r="I39" i="5"/>
  <c r="AE54" i="4"/>
  <c r="I67" i="5" s="1"/>
  <c r="F43" i="5"/>
  <c r="Q43" i="5" s="1"/>
  <c r="G37" i="5"/>
  <c r="AM52" i="4"/>
  <c r="AM69" i="4"/>
  <c r="G71" i="5"/>
  <c r="AW52" i="4"/>
  <c r="J37" i="5"/>
  <c r="AM64" i="4"/>
  <c r="G66" i="5"/>
  <c r="J66" i="5"/>
  <c r="AW64" i="4"/>
  <c r="AM65" i="4"/>
  <c r="G67" i="5"/>
  <c r="G68" i="5"/>
  <c r="AM66" i="4"/>
  <c r="J71" i="5"/>
  <c r="AW69" i="4"/>
  <c r="AW66" i="4"/>
  <c r="J68" i="5"/>
  <c r="AM68" i="4"/>
  <c r="G70" i="5"/>
  <c r="J69" i="5"/>
  <c r="AW67" i="4"/>
  <c r="G69" i="5"/>
  <c r="AM67" i="4"/>
  <c r="AW65" i="4"/>
  <c r="J67" i="5"/>
  <c r="J70" i="5"/>
  <c r="AW68" i="4"/>
  <c r="Q41" i="5"/>
  <c r="U41" i="4"/>
  <c r="R38" i="5"/>
  <c r="AE41" i="4"/>
  <c r="AD63" i="4" s="1"/>
  <c r="AE63" i="4" s="1"/>
  <c r="I51" i="5" s="1"/>
  <c r="R40" i="5"/>
  <c r="AE55" i="4"/>
  <c r="I68" i="5" s="1"/>
  <c r="F38" i="5"/>
  <c r="Q38" i="5" s="1"/>
  <c r="U56" i="4"/>
  <c r="F69" i="5" s="1"/>
  <c r="R39" i="5"/>
  <c r="F37" i="5"/>
  <c r="T63" i="4"/>
  <c r="U63" i="4" s="1"/>
  <c r="F51" i="5" s="1"/>
  <c r="U57" i="4"/>
  <c r="F70" i="5" s="1"/>
  <c r="P52" i="4"/>
  <c r="S52" i="4"/>
  <c r="U53" i="4"/>
  <c r="F66" i="5" s="1"/>
  <c r="AE57" i="4"/>
  <c r="I70" i="5" s="1"/>
  <c r="G32" i="7"/>
  <c r="F57" i="5"/>
  <c r="G38" i="7"/>
  <c r="N38" i="7" s="1"/>
  <c r="G108" i="7"/>
  <c r="I108" i="7"/>
  <c r="I32" i="7"/>
  <c r="I57" i="5"/>
  <c r="I38" i="7"/>
  <c r="S50" i="7" s="1"/>
  <c r="Y52" i="4"/>
  <c r="AC52" i="4"/>
  <c r="G134" i="7"/>
  <c r="G31" i="7"/>
  <c r="G37" i="7"/>
  <c r="N37" i="7" s="1"/>
  <c r="G107" i="7"/>
  <c r="F56" i="5"/>
  <c r="AE53" i="4"/>
  <c r="I66" i="5" s="1"/>
  <c r="U55" i="4"/>
  <c r="F68" i="5" s="1"/>
  <c r="AE58" i="4"/>
  <c r="I71" i="5" s="1"/>
  <c r="U58" i="4"/>
  <c r="F71" i="5" s="1"/>
  <c r="I31" i="7"/>
  <c r="I134" i="7"/>
  <c r="I107" i="7"/>
  <c r="I37" i="7"/>
  <c r="S49" i="7" s="1"/>
  <c r="I56" i="5"/>
  <c r="AN69" i="4"/>
  <c r="AN64" i="4"/>
  <c r="AN65" i="4"/>
  <c r="T71" i="5"/>
  <c r="AN68" i="4"/>
  <c r="S69" i="5"/>
  <c r="T70" i="5"/>
  <c r="S71" i="5"/>
  <c r="S66" i="5"/>
  <c r="S67" i="5"/>
  <c r="AX69" i="4"/>
  <c r="S70" i="5"/>
  <c r="AN67" i="4"/>
  <c r="AX68" i="4"/>
  <c r="S37" i="5"/>
  <c r="AX52" i="4"/>
  <c r="T66" i="5"/>
  <c r="S68" i="5"/>
  <c r="AX66" i="4"/>
  <c r="T69" i="5"/>
  <c r="AX65" i="4"/>
  <c r="AN52" i="4"/>
  <c r="T37" i="5"/>
  <c r="AX64" i="4"/>
  <c r="AN66" i="4"/>
  <c r="T68" i="5"/>
  <c r="AX67" i="4"/>
  <c r="T67" i="5"/>
  <c r="AE52" i="4" l="1"/>
  <c r="I65" i="5" s="1"/>
  <c r="U52" i="4"/>
  <c r="F65" i="5" s="1"/>
  <c r="R67" i="5"/>
  <c r="J55" i="5"/>
  <c r="G54" i="5"/>
  <c r="J52" i="5"/>
  <c r="AM63" i="4"/>
  <c r="G65" i="5"/>
  <c r="J53" i="5"/>
  <c r="R69" i="5"/>
  <c r="J54" i="5"/>
  <c r="J65" i="5"/>
  <c r="AW63" i="4"/>
  <c r="J56" i="5"/>
  <c r="G55" i="5"/>
  <c r="J57" i="5"/>
  <c r="Q67" i="5"/>
  <c r="G56" i="5"/>
  <c r="G53" i="5"/>
  <c r="G52" i="5"/>
  <c r="G57" i="5"/>
  <c r="R66" i="5"/>
  <c r="R70" i="5"/>
  <c r="Q70" i="5"/>
  <c r="Q37" i="5"/>
  <c r="R68" i="5"/>
  <c r="Q71" i="5"/>
  <c r="Q66" i="5"/>
  <c r="I37" i="5"/>
  <c r="R37" i="5" s="1"/>
  <c r="R71" i="5"/>
  <c r="Q69" i="5"/>
  <c r="Q68" i="5"/>
  <c r="AN63" i="4"/>
  <c r="T54" i="5"/>
  <c r="S55" i="5"/>
  <c r="S53" i="5"/>
  <c r="T55" i="5"/>
  <c r="S65" i="5"/>
  <c r="T65" i="5"/>
  <c r="T57" i="5"/>
  <c r="S52" i="5"/>
  <c r="S54" i="5"/>
  <c r="T53" i="5"/>
  <c r="AX63" i="4"/>
  <c r="S57" i="5"/>
  <c r="T52" i="5"/>
  <c r="T56" i="5"/>
  <c r="S56" i="5"/>
  <c r="Q56" i="5" l="1"/>
  <c r="R56" i="5"/>
  <c r="R52" i="5"/>
  <c r="Q57" i="5"/>
  <c r="J51" i="5"/>
  <c r="R53" i="5"/>
  <c r="Q54" i="5"/>
  <c r="Q52" i="5"/>
  <c r="R57" i="5"/>
  <c r="R65" i="5"/>
  <c r="Q65" i="5"/>
  <c r="R55" i="5"/>
  <c r="Q53" i="5"/>
  <c r="Q55" i="5"/>
  <c r="R54" i="5"/>
  <c r="G51" i="5"/>
  <c r="T51" i="5"/>
  <c r="S51" i="5"/>
  <c r="Q51" i="5" l="1"/>
  <c r="R5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Industrial Research Limited</author>
  </authors>
  <commentList>
    <comment ref="A2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Temp at Rotronics different to CT</t>
        </r>
      </text>
    </comment>
    <comment ref="B2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temp gradient and in calibration of Rotronic</t>
        </r>
      </text>
    </comment>
    <comment ref="C2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calibration of Rotronic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Industrial Research Limited</author>
  </authors>
  <commentList>
    <comment ref="D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This for 112%
</t>
        </r>
      </text>
    </comment>
    <comment ref="D18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This for 112%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Jones</author>
  </authors>
  <commentList>
    <comment ref="T9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NOT ppm, just relative SD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Corney</author>
  </authors>
  <commentList>
    <comment ref="F15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The SP error comprises a magnetic component from sheet Data (cells V86, V86), and a dielectric component affecting the imaginary part only, from CTcal2.xls, sheet Calc 53 Hz, cell AH100.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Jones</author>
  </authors>
  <commentList>
    <comment ref="K52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From CTCAL2_KJ.xlsm</t>
        </r>
      </text>
    </comment>
  </commentList>
</comments>
</file>

<file path=xl/sharedStrings.xml><?xml version="1.0" encoding="utf-8"?>
<sst xmlns="http://schemas.openxmlformats.org/spreadsheetml/2006/main" count="2865" uniqueCount="825">
  <si>
    <t>X ppm</t>
  </si>
  <si>
    <t>Y ppm</t>
  </si>
  <si>
    <t>Shunt</t>
  </si>
  <si>
    <t>Com R</t>
  </si>
  <si>
    <t>% load</t>
  </si>
  <si>
    <t>X</t>
  </si>
  <si>
    <t>Y</t>
  </si>
  <si>
    <t>Volts</t>
  </si>
  <si>
    <t xml:space="preserve">Sh V </t>
  </si>
  <si>
    <t>stdev/100</t>
  </si>
  <si>
    <t>X stdev</t>
  </si>
  <si>
    <t>Y stdev</t>
  </si>
  <si>
    <t>V</t>
  </si>
  <si>
    <t>53 Hz zero burden on aux sec</t>
  </si>
  <si>
    <t>shunt V</t>
  </si>
  <si>
    <t>SD ppm</t>
  </si>
  <si>
    <t>burden V</t>
  </si>
  <si>
    <t>WITH 0.2 OHM BURDEN IN AUX SEC</t>
  </si>
  <si>
    <t>CT ratio</t>
  </si>
  <si>
    <t>pri floating</t>
  </si>
  <si>
    <t>pri LP earthed</t>
  </si>
  <si>
    <t>pri centre earthed</t>
  </si>
  <si>
    <t>pri HP earthed</t>
  </si>
  <si>
    <t>pri section 1 vs 2: effect of earthing</t>
  </si>
  <si>
    <t>pri centre Wagnered to earth</t>
  </si>
  <si>
    <t>Wagnered, 100k across section 1</t>
  </si>
  <si>
    <t>sec 1 vs sec 2</t>
  </si>
  <si>
    <t>sec 1 vs sec 3</t>
  </si>
  <si>
    <t>sec 1 vs sec 4</t>
  </si>
  <si>
    <t>sec 2 vs sec 3</t>
  </si>
  <si>
    <t>sec 2 vs sec 4</t>
  </si>
  <si>
    <t>sec 3 vs sec 4</t>
  </si>
  <si>
    <t>shunt</t>
  </si>
  <si>
    <t>relative I</t>
  </si>
  <si>
    <t>Date</t>
  </si>
  <si>
    <t>Index</t>
  </si>
  <si>
    <t>must have magnetised</t>
  </si>
  <si>
    <t>transformer on switchoff</t>
  </si>
  <si>
    <t>on 11 Jan</t>
  </si>
  <si>
    <t>tranformer demagnetised</t>
  </si>
  <si>
    <t>by applying 7 V rms to each</t>
  </si>
  <si>
    <t>secondary in turn (other shorted)</t>
  </si>
  <si>
    <t>Conditions, comments</t>
  </si>
  <si>
    <t>Inner primary voltage drops</t>
  </si>
  <si>
    <t>main sec</t>
  </si>
  <si>
    <t>Volt drop section 1</t>
  </si>
  <si>
    <t>Volt drop sections 1+2</t>
  </si>
  <si>
    <t>volt drop</t>
  </si>
  <si>
    <t>Volt drop sections 1+2+3</t>
  </si>
  <si>
    <t>Volt drop sections 1+2+3+4</t>
  </si>
  <si>
    <t>sec internal</t>
  </si>
  <si>
    <t>total</t>
  </si>
  <si>
    <t>sec V</t>
  </si>
  <si>
    <t>pri only</t>
  </si>
  <si>
    <t>V drop</t>
  </si>
  <si>
    <t>section</t>
  </si>
  <si>
    <t>relative</t>
  </si>
  <si>
    <t>ea section</t>
  </si>
  <si>
    <t>cond S</t>
  </si>
  <si>
    <t>current</t>
  </si>
  <si>
    <t>re section 1</t>
  </si>
  <si>
    <t>need to wait several minutes</t>
  </si>
  <si>
    <t>at 120 % to allow readings</t>
  </si>
  <si>
    <t>to settle</t>
  </si>
  <si>
    <t>as above, to test repeatability</t>
  </si>
  <si>
    <t xml:space="preserve">repeat as above to test </t>
  </si>
  <si>
    <t>repeatability</t>
  </si>
  <si>
    <t>as above, repeatability check</t>
  </si>
  <si>
    <t>COUPING EQUALITY OF INNER PRIMARY of Ta</t>
  </si>
  <si>
    <t>Intercomare sections with pri centre Wagnered to earth</t>
  </si>
  <si>
    <t>main secondary open circuit. aux sec to common resistor. test current 5 A monitored with Tb, 20/5</t>
  </si>
  <si>
    <t>Calibration of 20:5 ratio of Tb vs inner pri 20:5 ratio of Ta</t>
  </si>
  <si>
    <t>unmarked terminal of Ta pri wagnered to earth with IVD</t>
  </si>
  <si>
    <t>"hp" side of com R o/c</t>
  </si>
  <si>
    <t>base noise and unwanted coupling</t>
  </si>
  <si>
    <t>after demagnetising Tb</t>
  </si>
  <si>
    <t>looks like Tb is magnetised</t>
  </si>
  <si>
    <t>as above, repeatability</t>
  </si>
  <si>
    <t>check</t>
  </si>
  <si>
    <t>Volt drop sections 1+2+3+4+5</t>
  </si>
  <si>
    <t>Volt Drops, 20/100 A pri of Tb</t>
  </si>
  <si>
    <t>polarity test: o/c aux sec Tb</t>
  </si>
  <si>
    <t>section 1 vs 2:wagner</t>
  </si>
  <si>
    <t>sec 1 vs 2: 100k across 1</t>
  </si>
  <si>
    <t>sec 1 vs sec 2: wagner offset</t>
  </si>
  <si>
    <t>sec 1 vs sec3</t>
  </si>
  <si>
    <t>sec 1 vs sec 5</t>
  </si>
  <si>
    <t>repeat test, 1 vs 5</t>
  </si>
  <si>
    <t>Magnetic coupling equality, 20/100 A pri of Tb</t>
  </si>
  <si>
    <t>repeat 100%</t>
  </si>
  <si>
    <t>as above, sec screen to HP main sec</t>
  </si>
  <si>
    <t>Magnetic coupling equality, middle primary of Ta</t>
  </si>
  <si>
    <t>Voltage drops, middle primary of Ta</t>
  </si>
  <si>
    <t>Calibration of 100:5 ratio, middle primary of Ta, vs 100:5 ratio, inner primary of Tb</t>
  </si>
  <si>
    <t>polarity check: o/s aux sec of Ta</t>
  </si>
  <si>
    <t>Calibration of 100:5 ratio, outer primary of Ta, vs 100:5 ratio, inner primary of Tb</t>
  </si>
  <si>
    <t>Ta 5:5 SELF CALIBRATION AT 53 Hz</t>
  </si>
  <si>
    <t>% LOAD</t>
  </si>
  <si>
    <t>Re</t>
  </si>
  <si>
    <t>Im</t>
  </si>
  <si>
    <t>Measured</t>
  </si>
  <si>
    <t>Calculated</t>
  </si>
  <si>
    <t>Measured - Calc</t>
  </si>
  <si>
    <t>Ta 5:5 Ratio</t>
  </si>
  <si>
    <t>Unkown - Std</t>
  </si>
  <si>
    <t>20/100 of 600 AT</t>
  </si>
  <si>
    <t>Measured - Calculated</t>
  </si>
  <si>
    <t>Re ppm</t>
  </si>
  <si>
    <t>Im ppm</t>
  </si>
  <si>
    <t>S/P error</t>
  </si>
  <si>
    <t>25/50/100 of 500AT</t>
  </si>
  <si>
    <t>polarity test: aux sec Tb o/c</t>
  </si>
  <si>
    <t>polarity test: aux sec Ta o/c</t>
  </si>
  <si>
    <t>100:5 ratio 100/200 (outer) pri of Tb vs 100/500 (outer) pri of Ta</t>
  </si>
  <si>
    <t>100:5 ratio  100/200 (outer) pri of Tb vs 100/50/25 (middle) pri of Ta</t>
  </si>
  <si>
    <t>Volt drops, outer primary of Tb</t>
  </si>
  <si>
    <t>Magnetic coupling equality, outer primary of Tb</t>
  </si>
  <si>
    <t>27k across sec 1</t>
  </si>
  <si>
    <t>27k across sec 2</t>
  </si>
  <si>
    <t>Magnetic coupling equality, outer primary of Ta</t>
  </si>
  <si>
    <t>reduce stray coupling into det circuit…</t>
  </si>
  <si>
    <t>sec 1 vs sec 5: 27k across 1</t>
  </si>
  <si>
    <t>sec 1 vs sec 5: 27k across 5</t>
  </si>
  <si>
    <t>100/200 of Tb</t>
  </si>
  <si>
    <t>100:5 ratio  100/200 (outer) pri of Tb, calibrated against  100/50/25 (middle) pri of Ta</t>
  </si>
  <si>
    <t>100:5 ratio   100/500 (outer) pri of Ta calibrated against 100/200 (outer) pri of Tb</t>
  </si>
  <si>
    <t>Nov 1999 calibration</t>
  </si>
  <si>
    <t>Jan - Nov</t>
  </si>
  <si>
    <t>100:5 ratio  100/500 pri of Ta vs 100/20 pri of Tb</t>
  </si>
  <si>
    <t xml:space="preserve">repeat above, after </t>
  </si>
  <si>
    <t>demagnetising both</t>
  </si>
  <si>
    <t>transformers</t>
  </si>
  <si>
    <t>Voltage drops,outer primary of Ta</t>
  </si>
  <si>
    <t>repeat above</t>
  </si>
  <si>
    <t>to check consistancy</t>
  </si>
  <si>
    <t>50:5 ratio middle pri Ta vs 100:5 inner pri Tb</t>
  </si>
  <si>
    <t>o.1 ohm shunt 56969</t>
  </si>
  <si>
    <t>shunt temp 21.3</t>
  </si>
  <si>
    <t>IVD</t>
  </si>
  <si>
    <t>as above, with correct</t>
  </si>
  <si>
    <t>earthing</t>
  </si>
  <si>
    <t>no earths connected</t>
  </si>
  <si>
    <t>shunt = 21.4</t>
  </si>
  <si>
    <t>repeat, 22.2 deg C</t>
  </si>
  <si>
    <t>tune out IVD inductance</t>
  </si>
  <si>
    <t>shunt 110122</t>
  </si>
  <si>
    <t>21.5 deg C</t>
  </si>
  <si>
    <t>IVD inductance not tuned out</t>
  </si>
  <si>
    <t>uH</t>
  </si>
  <si>
    <t>Resistance</t>
  </si>
  <si>
    <t>Reactance</t>
  </si>
  <si>
    <t>21.3 deg C</t>
  </si>
  <si>
    <t>with phase correction</t>
  </si>
  <si>
    <t>capacitor = 9.1866 uF</t>
  </si>
  <si>
    <t>IVD Rp</t>
  </si>
  <si>
    <t>correction</t>
  </si>
  <si>
    <t>currents normal</t>
  </si>
  <si>
    <t xml:space="preserve">all secondary currents </t>
  </si>
  <si>
    <t>reversed</t>
  </si>
  <si>
    <t>effect of changing divider</t>
  </si>
  <si>
    <t>effect of heating</t>
  </si>
  <si>
    <t>currents reversed</t>
  </si>
  <si>
    <t>1 ohm esi box in parallel</t>
  </si>
  <si>
    <t>after 5 min at 0.2 V</t>
  </si>
  <si>
    <t>after off for 5 min</t>
  </si>
  <si>
    <t>1 ohm esi in parallel</t>
  </si>
  <si>
    <t>back to T110122</t>
  </si>
  <si>
    <t>COMPARISON OF SHUNTS - TEST OF COMPARISON OF UNEQUAL CT RATIOS</t>
  </si>
  <si>
    <t>Change to Ta 100:5, Tb 100:5</t>
  </si>
  <si>
    <t>layout changed to reduce</t>
  </si>
  <si>
    <t>coupling</t>
  </si>
  <si>
    <t>sec drop</t>
  </si>
  <si>
    <t>sec re 1 V</t>
  </si>
  <si>
    <t>100/500 of Ta</t>
  </si>
  <si>
    <t>Re Tb 20:5</t>
  </si>
  <si>
    <t>Im Tb 20:5</t>
  </si>
  <si>
    <t>Re Tb 100:5</t>
  </si>
  <si>
    <t>Im Tb 100:5</t>
  </si>
  <si>
    <t>Ta Real Part</t>
  </si>
  <si>
    <t>Tb</t>
  </si>
  <si>
    <t>test current</t>
  </si>
  <si>
    <t>Ta 100:5, outer primary, Tb 100:5</t>
  </si>
  <si>
    <t>T110122</t>
  </si>
  <si>
    <t>section 1</t>
  </si>
  <si>
    <t>sec 2</t>
  </si>
  <si>
    <t>sec 3</t>
  </si>
  <si>
    <t>sec 4</t>
  </si>
  <si>
    <t>sec 5</t>
  </si>
  <si>
    <t>because of link resistance, not valid!</t>
  </si>
  <si>
    <t>measure across each section in turn, do not include any link</t>
  </si>
  <si>
    <t>Shunt vs Ta 10:5</t>
  </si>
  <si>
    <t>divider</t>
  </si>
  <si>
    <t>test A</t>
  </si>
  <si>
    <t>test</t>
  </si>
  <si>
    <t>lock-in not phased</t>
  </si>
  <si>
    <t>could be out by few degrees</t>
  </si>
  <si>
    <t>0.2 ohm vs 10 ohm esi in parallel</t>
  </si>
  <si>
    <t>esi</t>
  </si>
  <si>
    <t>esi value</t>
  </si>
  <si>
    <t>0.2 current</t>
  </si>
  <si>
    <t>R shunt</t>
  </si>
  <si>
    <t>phasing 180 out</t>
  </si>
  <si>
    <t>change formular accordingly</t>
  </si>
  <si>
    <t>IVD ratio</t>
  </si>
  <si>
    <t>X shunt</t>
  </si>
  <si>
    <t>Shunt power</t>
  </si>
  <si>
    <t>ppm</t>
  </si>
  <si>
    <t>using 25:5 CT ratio</t>
  </si>
  <si>
    <t>using 50:5 CT ratio so power in esi is 1/4</t>
  </si>
  <si>
    <t>conclusion: most of heating is in 0.2 ohm shunt.  Power coeff is 2.11 ppm per watt</t>
  </si>
  <si>
    <t>capacitor across IVD</t>
  </si>
  <si>
    <t>0.12 uF all IVD voltages</t>
  </si>
  <si>
    <t>0.2 shunt</t>
  </si>
  <si>
    <t>DC values for esi and 0.2 ohm from 1999:</t>
  </si>
  <si>
    <t>This compares well with -53 ppm obatined at low current</t>
  </si>
  <si>
    <t>Error</t>
  </si>
  <si>
    <t>X unc</t>
  </si>
  <si>
    <t>Y unc</t>
  </si>
  <si>
    <t>SR830</t>
  </si>
  <si>
    <t>std dev</t>
  </si>
  <si>
    <t>stability</t>
  </si>
  <si>
    <t>std unc</t>
  </si>
  <si>
    <t>5:5 self-calibration of Ta</t>
  </si>
  <si>
    <t>20:5 calibration of Tb</t>
  </si>
  <si>
    <t>100:5 calibration of Ta middle primary</t>
  </si>
  <si>
    <t>100:5 calibration of Ta outer primary</t>
  </si>
  <si>
    <t xml:space="preserve">100:5 ratio  100/200 (outer) pri of Tb </t>
  </si>
  <si>
    <t>section resistance</t>
  </si>
  <si>
    <t>section g</t>
  </si>
  <si>
    <t>Aux Sec res</t>
  </si>
  <si>
    <t>sec 1 vs sec 2 reverse</t>
  </si>
  <si>
    <t>sec 1 vs sec3 reverse</t>
  </si>
  <si>
    <t>Applied</t>
  </si>
  <si>
    <t>sec 1 vs sec 4 reverse</t>
  </si>
  <si>
    <t>sec 1 vs sec 5 reverse</t>
  </si>
  <si>
    <t>sec 2 vs sec 3 reverse</t>
  </si>
  <si>
    <t>sec 2 vs sec 5</t>
  </si>
  <si>
    <t>sec 2 vs sec 4 reverse</t>
  </si>
  <si>
    <t>sec 2 vs sec 5 reverse</t>
  </si>
  <si>
    <t>sec 3 vs sec 4 reverse</t>
  </si>
  <si>
    <t>sex 3 vs sec 5</t>
  </si>
  <si>
    <t>sec 4 vs sec 5</t>
  </si>
  <si>
    <t>sex 3 vs sec 5 reverse</t>
  </si>
  <si>
    <t>sec 4 vs sec 5 reverse</t>
  </si>
  <si>
    <t>Aux sec current, uA</t>
  </si>
  <si>
    <t>N(m2-m1)/Z1</t>
  </si>
  <si>
    <t>Aux sec I</t>
  </si>
  <si>
    <t>Re uA</t>
  </si>
  <si>
    <t>Im uA</t>
  </si>
  <si>
    <t>Ipk/Ips</t>
  </si>
  <si>
    <t>Ta 5:5 Re</t>
  </si>
  <si>
    <t>Ta 20:5 Re</t>
  </si>
  <si>
    <t>Ta 100:5 Re</t>
  </si>
  <si>
    <t>Ta 5:5 Im</t>
  </si>
  <si>
    <t>Ta 20:5 Im</t>
  </si>
  <si>
    <t>Ta 100:5 Im</t>
  </si>
  <si>
    <t>dfm</t>
  </si>
  <si>
    <t>STANDARD DEVIATIONS</t>
  </si>
  <si>
    <t>DEGREES OF FREEDOM</t>
  </si>
  <si>
    <t>Mean of 3 obs</t>
  </si>
  <si>
    <t>X, obs 1</t>
  </si>
  <si>
    <t>X, obs 2</t>
  </si>
  <si>
    <t>X, obs 3</t>
  </si>
  <si>
    <t>Y, obs 1</t>
  </si>
  <si>
    <t>Y, obs 2</t>
  </si>
  <si>
    <t>Y, obs 3</t>
  </si>
  <si>
    <t xml:space="preserve"> Residuals from mean</t>
  </si>
  <si>
    <t>crook observation</t>
  </si>
  <si>
    <t>mean X stdev</t>
  </si>
  <si>
    <t>mean Y stdev</t>
  </si>
  <si>
    <t>Uncertainty components</t>
  </si>
  <si>
    <t>X_stability_std</t>
  </si>
  <si>
    <t>Y_stability_std</t>
  </si>
  <si>
    <t>X_stability_dfm</t>
  </si>
  <si>
    <t>Y_stability_dfm</t>
  </si>
  <si>
    <t>units</t>
  </si>
  <si>
    <t>SR830_std</t>
  </si>
  <si>
    <t>SR830_dfm</t>
  </si>
  <si>
    <t>short term stability of CT ratio</t>
  </si>
  <si>
    <t>uA/A</t>
  </si>
  <si>
    <t>Estimate of uncertainty in magnetic S/P correction</t>
  </si>
  <si>
    <t>SPelect_std</t>
  </si>
  <si>
    <t>SPmag_std</t>
  </si>
  <si>
    <t>SPmag_dfm</t>
  </si>
  <si>
    <t>SPelect_dfm</t>
  </si>
  <si>
    <t>Estimate of uncertainty in electrostatic S/P correction</t>
  </si>
  <si>
    <t>SP corrections</t>
  </si>
  <si>
    <t>X mag ppm,</t>
  </si>
  <si>
    <t>name</t>
  </si>
  <si>
    <t>description</t>
  </si>
  <si>
    <t>Burden1_std</t>
  </si>
  <si>
    <t>Burden2_std</t>
  </si>
  <si>
    <t>Burden1_dfm</t>
  </si>
  <si>
    <t>Burden2_dfm</t>
  </si>
  <si>
    <t>what to do</t>
  </si>
  <si>
    <t>multiply by error and add to uncertainty</t>
  </si>
  <si>
    <t>multiply by electrostatic SP correction and add to uncertainty</t>
  </si>
  <si>
    <t>multiply by magnetic SP correction and add to uncertainty</t>
  </si>
  <si>
    <t>Y elec ppm</t>
  </si>
  <si>
    <t>Y mag ppm</t>
  </si>
  <si>
    <t xml:space="preserve">X </t>
  </si>
  <si>
    <t>obs stdev</t>
  </si>
  <si>
    <t>X obs</t>
  </si>
  <si>
    <t>stdev ppm</t>
  </si>
  <si>
    <t>Y obs</t>
  </si>
  <si>
    <t>mag SP</t>
  </si>
  <si>
    <t>elec SP</t>
  </si>
  <si>
    <t>burden</t>
  </si>
  <si>
    <t>standard</t>
  </si>
  <si>
    <t xml:space="preserve">Y </t>
  </si>
  <si>
    <t>5:5 of 500 AT</t>
  </si>
  <si>
    <t>Standard = 20:5 of Tb</t>
  </si>
  <si>
    <t>Standard = 5:5 of Ta</t>
  </si>
  <si>
    <t>Standard = 100:5 inner of Tb</t>
  </si>
  <si>
    <t>Standard = 100:5 middle pri of Ta</t>
  </si>
  <si>
    <t>Effect of 0.005 ohm unc in burdens (zero aux burden)</t>
  </si>
  <si>
    <t>Effect of 0.005 ohm unc in burdens (0.2 ohm aux burden)</t>
  </si>
  <si>
    <t>Ik/Ips</t>
  </si>
  <si>
    <t>dm x dI</t>
  </si>
  <si>
    <t>S/P correction</t>
  </si>
  <si>
    <t>1-Ipk/Ips</t>
  </si>
  <si>
    <t>see repeat measurement below</t>
  </si>
  <si>
    <t>stray coupling not fully eliminated</t>
  </si>
  <si>
    <t>Load</t>
  </si>
  <si>
    <t>Error
(uA/A)</t>
  </si>
  <si>
    <t>% of 
rated</t>
  </si>
  <si>
    <t xml:space="preserve"> Ratio Error</t>
  </si>
  <si>
    <t>Phase Error</t>
  </si>
  <si>
    <t>Error
(urad)</t>
  </si>
  <si>
    <t xml:space="preserve">
Standard
uncertainty
(uA/A)</t>
  </si>
  <si>
    <t>Degrees
of
freedom</t>
  </si>
  <si>
    <t xml:space="preserve">
Standard
uncertainty
(urad)</t>
  </si>
  <si>
    <t>Ratio Error
(uA/A)</t>
  </si>
  <si>
    <t>Phase Error
(urad)</t>
  </si>
  <si>
    <t xml:space="preserve">Measured - Calculated </t>
  </si>
  <si>
    <t>500 AT transformer, P1, rated transformation ratio 5:5</t>
  </si>
  <si>
    <t>600 AT transformer, P1, rated transformation ratio 20:5</t>
  </si>
  <si>
    <t>500 AT transformer, P2, rated transformation ratio 100:5</t>
  </si>
  <si>
    <t>600 AT transformer, P2, rated transformation ratio 100:5</t>
  </si>
  <si>
    <t>500 AT transformer, P3, rated transformation ratio 100:5</t>
  </si>
  <si>
    <t>Table 1</t>
  </si>
  <si>
    <t>Table 2</t>
  </si>
  <si>
    <t>Table 3</t>
  </si>
  <si>
    <t>Table 4</t>
  </si>
  <si>
    <t>Table 5</t>
  </si>
  <si>
    <t>uV</t>
  </si>
  <si>
    <t>% error</t>
  </si>
  <si>
    <t>%stdev</t>
  </si>
  <si>
    <t>using IVD only</t>
  </si>
  <si>
    <t>using 10000:1 divider after IVD</t>
  </si>
  <si>
    <t xml:space="preserve">swap A &amp; B to average </t>
  </si>
  <si>
    <t>common mode error</t>
  </si>
  <si>
    <t>X channel</t>
  </si>
  <si>
    <t>Y channel</t>
  </si>
  <si>
    <t>IVD only</t>
  </si>
  <si>
    <t>IVD volts</t>
  </si>
  <si>
    <t>IVD stdev</t>
  </si>
  <si>
    <t>The SR830 has errors of around 1.5% at 10 uV</t>
  </si>
  <si>
    <t>noise sd</t>
  </si>
  <si>
    <t>base noise</t>
  </si>
  <si>
    <t>std</t>
  </si>
  <si>
    <t>Comode_std</t>
  </si>
  <si>
    <t>Comode_dfm</t>
  </si>
  <si>
    <t>common mode error in uV</t>
  </si>
  <si>
    <t>com mode err</t>
  </si>
  <si>
    <t>Load
current</t>
  </si>
  <si>
    <t>Series/parallel corrections</t>
  </si>
  <si>
    <t>transformer stability</t>
  </si>
  <si>
    <r>
      <t>Uncertainty in 20/5 ratio of T</t>
    </r>
    <r>
      <rPr>
        <b/>
        <vertAlign val="subscript"/>
        <sz val="10"/>
        <rFont val="Arial"/>
        <family val="2"/>
      </rPr>
      <t>b</t>
    </r>
    <r>
      <rPr>
        <b/>
        <sz val="10"/>
        <rFont val="Arial"/>
        <family val="2"/>
      </rPr>
      <t>, calibrated against T</t>
    </r>
    <r>
      <rPr>
        <b/>
        <vertAlign val="subscript"/>
        <sz val="10"/>
        <rFont val="Arial"/>
        <family val="2"/>
      </rPr>
      <t>a</t>
    </r>
  </si>
  <si>
    <t xml:space="preserve">lock-in voltage </t>
  </si>
  <si>
    <t xml:space="preserve">Table 3 </t>
  </si>
  <si>
    <t>main secondary</t>
  </si>
  <si>
    <t>real</t>
  </si>
  <si>
    <t>imaginary</t>
  </si>
  <si>
    <t>auxilliary secondary</t>
  </si>
  <si>
    <r>
      <t>a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/V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</si>
  <si>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/V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</si>
  <si>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/V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</si>
  <si>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/V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</si>
  <si>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)</t>
    </r>
  </si>
  <si>
    <r>
      <t>leakage
impedance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)</t>
    </r>
  </si>
  <si>
    <t>100% load current, 0.2 ohm main secondary burden, 53 Hz</t>
  </si>
  <si>
    <t xml:space="preserve">burden </t>
  </si>
  <si>
    <t>% rated</t>
  </si>
  <si>
    <t>ratio error</t>
  </si>
  <si>
    <t>meas-calc</t>
  </si>
  <si>
    <t>unc</t>
  </si>
  <si>
    <t>500 AT transformer, inner primary, 5/5 ratio</t>
  </si>
  <si>
    <t>600 AT transformer, inner primary, 20/5 ratio</t>
  </si>
  <si>
    <t>500 AT transformer, middle primary, 100/5 ratio</t>
  </si>
  <si>
    <t>600 AT transformer, outer primary, 100/5 ratio</t>
  </si>
  <si>
    <t>500 AT transformer, outer primary, 100/5 ratio</t>
  </si>
  <si>
    <t>magnetic series/parallel correction</t>
  </si>
  <si>
    <t>capacitive series/parallel correction</t>
  </si>
  <si>
    <t>Combined standard uncertainty</t>
  </si>
  <si>
    <t>measurement noise</t>
  </si>
  <si>
    <t xml:space="preserve">5:5 ratio of 500 AT transformer </t>
  </si>
  <si>
    <t>Degrees of freedom</t>
  </si>
  <si>
    <t>500 AT, inner primary, 5/5 to 20/5</t>
  </si>
  <si>
    <t>600 AT, inner primary, 20/5 to 100/5</t>
  </si>
  <si>
    <t>500 AT, middle primary, 20/5 to 100/5</t>
  </si>
  <si>
    <t>600 AT, outer primary, 100/5 to 200/5</t>
  </si>
  <si>
    <t>500 AT, outer primary, 100/5 to 500/5</t>
  </si>
  <si>
    <t xml:space="preserve">Source of uncertainty
 </t>
  </si>
  <si>
    <t xml:space="preserve">Transformer, primary, and ratio
</t>
  </si>
  <si>
    <r>
      <t>1-</t>
    </r>
    <r>
      <rPr>
        <b/>
        <sz val="8"/>
        <rFont val="Symbol"/>
        <family val="1"/>
        <charset val="2"/>
      </rPr>
      <t xml:space="preserve">s
</t>
    </r>
    <r>
      <rPr>
        <b/>
        <sz val="8"/>
        <rFont val="Arial"/>
        <family val="2"/>
      </rPr>
      <t xml:space="preserve"> contribution to phase error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rad)</t>
    </r>
  </si>
  <si>
    <r>
      <t>Ratio correction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A/A)</t>
    </r>
  </si>
  <si>
    <r>
      <t>Phase correction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rad)</t>
    </r>
  </si>
  <si>
    <r>
      <t>Ratio error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A/A)</t>
    </r>
  </si>
  <si>
    <r>
      <t xml:space="preserve">
Combined standard
uncertainty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A/A)</t>
    </r>
  </si>
  <si>
    <r>
      <t>Phase error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rad)</t>
    </r>
  </si>
  <si>
    <r>
      <t xml:space="preserve">
combined standard
uncertainty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rad)</t>
    </r>
  </si>
  <si>
    <t>Revised table to take up less space</t>
  </si>
  <si>
    <t xml:space="preserve"> Measured Ratio Error</t>
  </si>
  <si>
    <t>Measured Phase Error</t>
  </si>
  <si>
    <r>
      <t>combined standard
uncertainty
(</t>
    </r>
    <r>
      <rPr>
        <b/>
        <sz val="8"/>
        <rFont val="Symbol"/>
        <family val="1"/>
        <charset val="2"/>
      </rPr>
      <t>m</t>
    </r>
    <r>
      <rPr>
        <b/>
        <sz val="8"/>
        <rFont val="Arial"/>
        <family val="2"/>
      </rPr>
      <t>rad)</t>
    </r>
  </si>
  <si>
    <r>
      <t>Ratio error
(x 10</t>
    </r>
    <r>
      <rPr>
        <b/>
        <vertAlign val="superscript"/>
        <sz val="8"/>
        <rFont val="Arial"/>
        <family val="2"/>
      </rPr>
      <t>-6)</t>
    </r>
  </si>
  <si>
    <r>
      <t>Combined standard
uncertainty
(x 10</t>
    </r>
    <r>
      <rPr>
        <b/>
        <vertAlign val="superscript"/>
        <sz val="8"/>
        <rFont val="Arial"/>
        <family val="2"/>
      </rPr>
      <t>-6)</t>
    </r>
  </si>
  <si>
    <t xml:space="preserve">Measured - Predicted </t>
  </si>
  <si>
    <r>
      <t>1-</t>
    </r>
    <r>
      <rPr>
        <b/>
        <sz val="8"/>
        <rFont val="Symbol"/>
        <family val="1"/>
        <charset val="2"/>
      </rPr>
      <t>s</t>
    </r>
    <r>
      <rPr>
        <b/>
        <sz val="8"/>
        <rFont val="Arial"/>
        <family val="2"/>
      </rPr>
      <t xml:space="preserve"> contribution to ratio error
(x 10</t>
    </r>
    <r>
      <rPr>
        <b/>
        <vertAlign val="superscript"/>
        <sz val="8"/>
        <rFont val="Arial"/>
        <family val="2"/>
      </rPr>
      <t>-6</t>
    </r>
    <r>
      <rPr>
        <b/>
        <sz val="8"/>
        <rFont val="Arial"/>
        <family val="2"/>
      </rPr>
      <t>)</t>
    </r>
  </si>
  <si>
    <t>Hi sd</t>
  </si>
  <si>
    <t xml:space="preserve">The connections to the </t>
  </si>
  <si>
    <t>SR830 were reversed.</t>
  </si>
  <si>
    <t>Note:: Stepping the current with the phase shifter is magnetising the transformer!!!!</t>
  </si>
  <si>
    <t>So these columns are swapped as are the sd ones.</t>
  </si>
  <si>
    <t>Note that Test point 7 returned X as Y and Y as X</t>
  </si>
  <si>
    <t>After the transformer was used</t>
  </si>
  <si>
    <t>for a RM-11 calibration.</t>
  </si>
  <si>
    <t>by applying 8 V rms to each</t>
  </si>
  <si>
    <t>50 Hz</t>
  </si>
  <si>
    <t>Shunt V</t>
  </si>
  <si>
    <t>Burden V</t>
  </si>
  <si>
    <t>Section V</t>
  </si>
  <si>
    <t xml:space="preserve">Repeat set of results. </t>
  </si>
  <si>
    <t xml:space="preserve">Heavy lead between the metal </t>
  </si>
  <si>
    <t xml:space="preserve">strip Tee and the 0.2 Ohm </t>
  </si>
  <si>
    <t>MSL shunt.</t>
  </si>
  <si>
    <t>COUPLING EQUALITY OF INNER PRIMARY of Ta</t>
  </si>
  <si>
    <t>These are the sections added together. See column 'S'. Hand waving exercise.</t>
  </si>
  <si>
    <t>Results from Friday 8th Feb. The section 1 to 4 checks were not rebalanced at each change of configuration.</t>
  </si>
  <si>
    <t>8 Feb results</t>
  </si>
  <si>
    <t>Columns X to AC</t>
  </si>
  <si>
    <t>Last Cal</t>
  </si>
  <si>
    <t>Last Cal results</t>
  </si>
  <si>
    <t>This Cal - Last Cal</t>
  </si>
  <si>
    <t>This Cal - Last cal</t>
  </si>
  <si>
    <t>Set Wagner earth at 120% only.</t>
  </si>
  <si>
    <t>Set Wagner earth at each current level.</t>
  </si>
  <si>
    <t>Initial setup with a heavy Junction</t>
  </si>
  <si>
    <t>At first a lighter lead was used and</t>
  </si>
  <si>
    <t>the graph was totally wrong!</t>
  </si>
  <si>
    <t>First run on the 13th…   The primary current lead between Ta and Tb was NOT twisted.</t>
  </si>
  <si>
    <t>Ta demagnetised</t>
  </si>
  <si>
    <t>Current lead Ta to Tb twisted.</t>
  </si>
  <si>
    <t>cable. BUT this was NOT twisred.</t>
  </si>
  <si>
    <t>as above, sec screen to HP main sec.</t>
  </si>
  <si>
    <t>(Tb)</t>
  </si>
  <si>
    <t>Offset Wagner from 2950000 to 2850000</t>
  </si>
  <si>
    <t>Read this with Ta and Tb LP terminals in opposition. Phase on CH set to 180° so that the SR830 phase is correcting about 0°.</t>
  </si>
  <si>
    <t>Read this with Ta and Tb LP terminals in series. Phase on CH set to 0° and the SR830 phase is correcting about 0°.</t>
  </si>
  <si>
    <t xml:space="preserve">Retest after </t>
  </si>
  <si>
    <t>reterminating</t>
  </si>
  <si>
    <t>the middle</t>
  </si>
  <si>
    <t>primary of Ta</t>
  </si>
  <si>
    <t>Read this with Ta and Tb LP terminals in series. Phase on CH set to 0° so that the SR830 phase is correcting about 0°.</t>
  </si>
  <si>
    <t>Wagner at Tb end of link</t>
  </si>
  <si>
    <t>Wagner at Ta end of link</t>
  </si>
  <si>
    <t>polarity check: o/c aux sec of Ta</t>
  </si>
  <si>
    <t>Taking the "dots"</t>
  </si>
  <si>
    <t>as low potential.</t>
  </si>
  <si>
    <t>These readings used</t>
  </si>
  <si>
    <t>the setup in Fig5 Pg11</t>
  </si>
  <si>
    <t>Repeat 10% point, reset SR830 phase.</t>
  </si>
  <si>
    <t xml:space="preserve">Repeat of Friday </t>
  </si>
  <si>
    <t>with the junction</t>
  </si>
  <si>
    <t>connections</t>
  </si>
  <si>
    <t>reversed.</t>
  </si>
  <si>
    <t>See columns AO to BX</t>
  </si>
  <si>
    <t>After terminals</t>
  </si>
  <si>
    <t>cleaned up.</t>
  </si>
  <si>
    <t>and links</t>
  </si>
  <si>
    <t>Results from</t>
  </si>
  <si>
    <t>%</t>
  </si>
  <si>
    <t>change</t>
  </si>
  <si>
    <t>Pre re-terminating Ta primaries</t>
  </si>
  <si>
    <t>Tb Aux sec shorted.  Section 1 is at Low end of Ta. (Low Potential) which is NOT the "L" end, that "L" stands for "live" on the CT.  (BM)</t>
  </si>
  <si>
    <t>Clean the series bars for 20A Tb. Repeat the measurements on the windings using these bars.</t>
  </si>
  <si>
    <t>Setup using a heavy Junction cable</t>
  </si>
  <si>
    <t>Average</t>
  </si>
  <si>
    <t>last</t>
  </si>
  <si>
    <t>Ratio</t>
  </si>
  <si>
    <t>Phase</t>
  </si>
  <si>
    <t>Voltage drops,inner primary of Tb</t>
  </si>
  <si>
    <t>Results on 13th</t>
  </si>
  <si>
    <t>Found later that TestPoint 6 also does this  (BM).</t>
  </si>
  <si>
    <t>Repeat self cal</t>
  </si>
  <si>
    <t>Note that Test point 6 returned X as Y and Y as X</t>
  </si>
  <si>
    <t>Swap colums E &amp; F and H &amp; I</t>
  </si>
  <si>
    <t>Temperature</t>
  </si>
  <si>
    <t>above core</t>
  </si>
  <si>
    <t>Note reverse order. (Deliberate)</t>
  </si>
  <si>
    <t xml:space="preserve">Phase </t>
  </si>
  <si>
    <t>22/02/2013_1</t>
  </si>
  <si>
    <t>22/02/2013_2</t>
  </si>
  <si>
    <t>Set 1</t>
  </si>
  <si>
    <t>Set 2</t>
  </si>
  <si>
    <t>Set 3</t>
  </si>
  <si>
    <t>Set 4</t>
  </si>
  <si>
    <t>22/02/2013_3</t>
  </si>
  <si>
    <t>22/02/2013_4</t>
  </si>
  <si>
    <t>Set 5</t>
  </si>
  <si>
    <t>22/02/2013_5</t>
  </si>
  <si>
    <t>Last</t>
  </si>
  <si>
    <t>Last.  Back to 120% to 10% order.</t>
  </si>
  <si>
    <t>Jan 2000 calibration</t>
  </si>
  <si>
    <t>Feb2013 calibration</t>
  </si>
  <si>
    <t>Feb2013 - Jan2000</t>
  </si>
  <si>
    <t xml:space="preserve">and heavier supply leads than first </t>
  </si>
  <si>
    <t>set of tests.</t>
  </si>
  <si>
    <t>Original formula</t>
  </si>
  <si>
    <t>(repeat)</t>
  </si>
  <si>
    <t>copy/past</t>
  </si>
  <si>
    <t>(column D+H)</t>
  </si>
  <si>
    <t xml:space="preserve">SR830 </t>
  </si>
  <si>
    <t>Gain</t>
  </si>
  <si>
    <t>Reserve</t>
  </si>
  <si>
    <t>7 Feb results</t>
  </si>
  <si>
    <t>repeat</t>
  </si>
  <si>
    <t>Change to heavy cables.</t>
  </si>
  <si>
    <t>Note.. With this set up the ratio error goes negative when 100k placed across Ta main secondary!  Incorrect.</t>
  </si>
  <si>
    <t>Reverse the setup for live and low sides out of the Main &amp; Aux secondaries of Ta and Tb..  Errors now go the correct way when some current is robbed from the main secondaries.</t>
  </si>
  <si>
    <t>13 Feb</t>
  </si>
  <si>
    <t>Monday morning repeat of Fridays measurement.</t>
  </si>
  <si>
    <t>11 Mar</t>
  </si>
  <si>
    <t>8 Mar</t>
  </si>
  <si>
    <t>unmarked terminal of Ta pri wagnered to earth with IVD, phase SR830 to MSL shunt.</t>
  </si>
  <si>
    <t>Wagner at Tb end of link, phase SR830 to the MSL shunt.</t>
  </si>
  <si>
    <t>The phase looks different to other times so demagnetisation was done.</t>
  </si>
  <si>
    <t>Into red on Zetka</t>
  </si>
  <si>
    <t>Calibration of 100:5 ratio, outer primary of Tb, vs 100:5 ratio, middle primary of Ta</t>
  </si>
  <si>
    <t>Calibration of 100:5 ratio, outer primary of Ta, vs 100:5 ratio, outer primary of Tb</t>
  </si>
  <si>
    <t>Lab book "CT VT Primary Standards" pages 30-33</t>
  </si>
  <si>
    <t xml:space="preserve">This involves rewiring the juncton setup and flipping the phase 180° on the Clark Hess. The signs of the errors should not need modifying. </t>
  </si>
  <si>
    <t>The tests in rows 44 to 148 were done by putting the MSL 0.2 ohm paddlewheel shunt in the standard transformer position. ie: swap its transformer when the "standard" becomes the "uut".</t>
  </si>
  <si>
    <t xml:space="preserve">This does not involve rewiring the juncton setup and flipping the phase 180° on the Clark Hess. The signs of the errors will need modifying. </t>
  </si>
  <si>
    <t>Change setup so that the MSL 0.2 ohm paddlewheel shunt in the standard transformer as Ta (100turn) position and leave it there</t>
  </si>
  <si>
    <t>Place 100k across Tb main secondary.</t>
  </si>
  <si>
    <t>Without 100k</t>
  </si>
  <si>
    <t>With 100k</t>
  </si>
  <si>
    <t>Heavier and shorter blue cable Zetka to Ta.Still going into red</t>
  </si>
  <si>
    <t>Heavier and shorter blue cables on other two leads, Zetka to Tb and Ta to Tb. Now not going into red</t>
  </si>
  <si>
    <t>The tests in rows 150 to 243 were done by putting the MSL 0.2 ohm paddlewheel shunt in the standard transformer as Ta (100turn) position and leaving it there</t>
  </si>
  <si>
    <t>100:5 ratio.  25/50/100 primary of 500 AT (Ta), calibrated against 20/100 pri of 600AT (Tb)</t>
  </si>
  <si>
    <t>20:5 ratio.   20/100 A pri of 600 AT (Tb), calibrated against 5/10/20 of 500AT standard (Ta).</t>
  </si>
  <si>
    <t>100:5 ratio. 100/500 primary of 500 AT (Ta), calibrated against 20/100 pri of 600 AT (Tb).</t>
  </si>
  <si>
    <t>Average of these</t>
  </si>
  <si>
    <t>3 calibrations.</t>
  </si>
  <si>
    <t>sd of these</t>
  </si>
  <si>
    <t>Data(2013)b</t>
  </si>
  <si>
    <t>Demagnetise Ta and Tb and repeat 88 to 94.</t>
  </si>
  <si>
    <t>47 Hz zero burden on aux sec</t>
  </si>
  <si>
    <t>Repeat at 47 Hz</t>
  </si>
  <si>
    <t>This set (rows 195 to 204) was repeated because the 20% point was missing. Heavy blue cables used. Took the opportunity to do it at 47 Hz also..</t>
  </si>
  <si>
    <t>difference between 47Hz and 53Hz</t>
  </si>
  <si>
    <t>phase</t>
  </si>
  <si>
    <t>ratio</t>
  </si>
  <si>
    <t>data from 12th missing 20%</t>
  </si>
  <si>
    <t>Final (hopefully) Ta 5:5 SELF CALIBRATION AT 53 Hz and also at 47Hz</t>
  </si>
  <si>
    <t xml:space="preserve">after </t>
  </si>
  <si>
    <t>demag</t>
  </si>
  <si>
    <t>heavy</t>
  </si>
  <si>
    <t>common</t>
  </si>
  <si>
    <t>lead</t>
  </si>
  <si>
    <t>self cals were done in the reverse order</t>
  </si>
  <si>
    <t>change to</t>
  </si>
  <si>
    <t>cables</t>
  </si>
  <si>
    <t>Errors on the 18th look a little on the high side.. Check wireing, tighten one connection, remove the connection networks on the middle core and the outer core. Re-check phase zero at 100%.</t>
  </si>
  <si>
    <t>Add 0.05 ohm shunt to Zetka primary cct to drop current at the low end.</t>
  </si>
  <si>
    <t>Note also that the minimun low end current changed see N286 vs N304.</t>
  </si>
  <si>
    <t>Add 0.05 ohm shunt to the Primary circuit at the transformer.</t>
  </si>
  <si>
    <t xml:space="preserve">This set of </t>
  </si>
  <si>
    <t>suspect</t>
  </si>
  <si>
    <t>so ct was</t>
  </si>
  <si>
    <t>demagnetised</t>
  </si>
  <si>
    <t>data was</t>
  </si>
  <si>
    <t>sd</t>
  </si>
  <si>
    <t>dof</t>
  </si>
  <si>
    <t>Average Ratio</t>
  </si>
  <si>
    <t>Average Phase</t>
  </si>
  <si>
    <t>Real ppm</t>
  </si>
  <si>
    <t>Imaginary ppm</t>
  </si>
  <si>
    <t>Tables from 2000</t>
  </si>
  <si>
    <t>High reserve A-B corrections</t>
  </si>
  <si>
    <t>Correction</t>
  </si>
  <si>
    <t>Range</t>
  </si>
  <si>
    <t>Re std dev</t>
  </si>
  <si>
    <t>Im std dev</t>
  </si>
  <si>
    <t>N</t>
  </si>
  <si>
    <t>Std Unc</t>
  </si>
  <si>
    <t>Complex correction factor</t>
  </si>
  <si>
    <t>Normal reserve A-B corrections</t>
  </si>
  <si>
    <t>Low noise reserve A-B corrections</t>
  </si>
  <si>
    <t>"Average" of all reserve A-B corrections</t>
  </si>
  <si>
    <t>1.00160147032408+0.000148506658739405i</t>
  </si>
  <si>
    <t>1.00151798660167+0.000138010040611617i</t>
  </si>
  <si>
    <t>1.0012084385771+0.000110596887897626i</t>
  </si>
  <si>
    <t>1.00070977963277+0.000119363100434284i</t>
  </si>
  <si>
    <t>0.999972543388827+0.0000236153279849503i</t>
  </si>
  <si>
    <t>0.998492752720183+3.61484594294065E-06i</t>
  </si>
  <si>
    <t>0.99818497539675+0.000216092809036784i</t>
  </si>
  <si>
    <t>0.998964348777926+0.00019254578479626i</t>
  </si>
  <si>
    <t>0.995573476144582+5.00106458334373E-06i</t>
  </si>
  <si>
    <t>1.00175578446402+4.21960168721236E-06i</t>
  </si>
  <si>
    <t>1.00564793688474-0.000057336111127237i</t>
  </si>
  <si>
    <t>0.999618845275262-0.0000115957605074948i</t>
  </si>
  <si>
    <t>1.00958962500804+0.00077767685625269i</t>
  </si>
  <si>
    <t>1.0053953505862+0.000690502685400448i</t>
  </si>
  <si>
    <t>1.00259190006482-0.00380450426828376i</t>
  </si>
  <si>
    <t>0.997887505746555-0.0174903481746549i</t>
  </si>
  <si>
    <t>1.01306820013724+0.0391818996791046i</t>
  </si>
  <si>
    <t>1.03463864360223+0.0724978209328864i</t>
  </si>
  <si>
    <t>1.04983405688543-0.221002916503221i</t>
  </si>
  <si>
    <t>1.00160780291649+0.000151927126552504i</t>
  </si>
  <si>
    <t>1.00151741837244+0.000148115313844281i</t>
  </si>
  <si>
    <t>1.0011995088235+0.000116889862798363i</t>
  </si>
  <si>
    <t>1.00099707443778+0.000124521797514872i</t>
  </si>
  <si>
    <t>1.0006291145304+0.000088553641993383i</t>
  </si>
  <si>
    <t>0.999775364549022+0.0000160986878197265i</t>
  </si>
  <si>
    <t>0.999701548340166+0.000146614894922956i</t>
  </si>
  <si>
    <t>0.998974063049695+0.0000072539904493542i</t>
  </si>
  <si>
    <t>0.997453997877275+5.09885625864199E-06i</t>
  </si>
  <si>
    <t>0.997435106615216+0.0000487434728073534i</t>
  </si>
  <si>
    <t>0.996653408499931+0.000144773071185797i</t>
  </si>
  <si>
    <t>0.996418350293612+0.0000481120549364086i</t>
  </si>
  <si>
    <t>0.997743086103721+0.000462066303644137i</t>
  </si>
  <si>
    <t>0.995874726623188-0.000255614085640534i</t>
  </si>
  <si>
    <t>0.996895210005808+0.00276061385179755i</t>
  </si>
  <si>
    <t>0.997794603955378-0.00397547890106696i</t>
  </si>
  <si>
    <t>0.997409152770521-0.00441808521205455i</t>
  </si>
  <si>
    <t>1.005324245706+0.0040657573221365i</t>
  </si>
  <si>
    <t>0.993859215308451+0.0612029074964584i</t>
  </si>
  <si>
    <t>1.00161501055382+0.000198935463097587i</t>
  </si>
  <si>
    <t>1.00151055775422+0.000140602823791657i</t>
  </si>
  <si>
    <t>1.00113789609209+0.0000985778178018044i</t>
  </si>
  <si>
    <t>1.00066739026982+0.0000635854445157403i</t>
  </si>
  <si>
    <t>1.00053937179678+0.0000337590012812085i</t>
  </si>
  <si>
    <t>1.00015449126704+0.0000479410423736853i</t>
  </si>
  <si>
    <t>0.999663454208013+0.000150600067973792i</t>
  </si>
  <si>
    <t>0.999554379400939+0.0000867384439277883i</t>
  </si>
  <si>
    <t>0.999131066489656+0.000164624921863435i</t>
  </si>
  <si>
    <t>0.998951903594601+0.00016660136837404i</t>
  </si>
  <si>
    <t>0.998263672134296+0.000144759531239458i</t>
  </si>
  <si>
    <t>0.999172223790341-0.000224203032493252i</t>
  </si>
  <si>
    <t>0.999139527401+0.000363247801442101i</t>
  </si>
  <si>
    <t>0.998449065996396-0.000996976227458723i</t>
  </si>
  <si>
    <t>0.99800304209292+0.000530951059203673i</t>
  </si>
  <si>
    <t>0.998702784044177+0.00367976274122159i</t>
  </si>
  <si>
    <t>0.99959662545273-0.0116362446214269i</t>
  </si>
  <si>
    <t>1.00184031881391-0.0134986574507884i</t>
  </si>
  <si>
    <t>0.991651485729884-0.00940456021388822i</t>
  </si>
  <si>
    <t>1.00160824043895+0.000173721060918496i</t>
  </si>
  <si>
    <t>1.00151427217794+0.000143062677227949i</t>
  </si>
  <si>
    <t>1.00117316733459+0.000107733840300084i</t>
  </si>
  <si>
    <t>1.0008322323538+0.0000940536210153061i</t>
  </si>
  <si>
    <t>1.00030082895961+0.0000560844849891666i</t>
  </si>
  <si>
    <t>0.999323621993614+0.000025777944158313i</t>
  </si>
  <si>
    <t>0.998943261868458+0.00018135385197987i</t>
  </si>
  <si>
    <t>0.999259364089432+0.000099899887622807i</t>
  </si>
  <si>
    <t>0.997352271317119+0.0000848129932233892i</t>
  </si>
  <si>
    <t>0.999595445539619+0.0000854104850306261i</t>
  </si>
  <si>
    <t>1.00115067269234+0.0000437184800292798i</t>
  </si>
  <si>
    <t>0.998018597784437-0.0000880454887784215i</t>
  </si>
  <si>
    <t>1.00366635555588+0.000570462328847396i</t>
  </si>
  <si>
    <t>1.0006350386047-0.000153236771029138i</t>
  </si>
  <si>
    <t>0.999743555035315-0.000521945208243106i</t>
  </si>
  <si>
    <t>0.998248693999777-0.00690529271671667i</t>
  </si>
  <si>
    <t>1.00523867645388+0.0137728275288388i</t>
  </si>
  <si>
    <t>1.01823948120807+0.029499581741049i</t>
  </si>
  <si>
    <t>1.02074277130766-0.0799000045033814i</t>
  </si>
  <si>
    <t>I:\MSL\Private\Electricity\Ongoing\Power_Energy\SR830_SR850\SR830_2012_Aonly_Ver1_2.xls</t>
  </si>
  <si>
    <t>From:</t>
  </si>
  <si>
    <t>Date:</t>
  </si>
  <si>
    <t>From: CTCAL2.xls</t>
  </si>
  <si>
    <t>Rotronics Temp</t>
  </si>
  <si>
    <t>Rotronics RH</t>
  </si>
  <si>
    <t>Means</t>
  </si>
  <si>
    <t>Std Devn</t>
  </si>
  <si>
    <t>Rotronics correction</t>
  </si>
  <si>
    <t>Temp gradient corrn</t>
  </si>
  <si>
    <t>Quoted values</t>
  </si>
  <si>
    <t>Additional 2-sigma uncert</t>
  </si>
  <si>
    <t>Expanded uncert</t>
  </si>
  <si>
    <t>1-Ik/Ips</t>
  </si>
  <si>
    <t>leakage =</t>
  </si>
  <si>
    <t>ohms</t>
  </si>
  <si>
    <t>RS</t>
  </si>
  <si>
    <t>rls</t>
  </si>
  <si>
    <t>My formula</t>
  </si>
  <si>
    <t>sections</t>
  </si>
  <si>
    <t>Primary Current</t>
  </si>
  <si>
    <t>(% of 
rated)</t>
  </si>
  <si>
    <t>Ratio Error
(µA/A)</t>
  </si>
  <si>
    <r>
      <t>Phase Error (µrad</t>
    </r>
    <r>
      <rPr>
        <sz val="9"/>
        <rFont val="Arial"/>
        <family val="2"/>
      </rPr>
      <t>)</t>
    </r>
  </si>
  <si>
    <t>Expanded Uncertainty</t>
  </si>
  <si>
    <t>Coverage Factor</t>
  </si>
  <si>
    <t>Ratio Error</t>
  </si>
  <si>
    <r>
      <t>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, P1 series:  K</t>
    </r>
    <r>
      <rPr>
        <b/>
        <vertAlign val="subscript"/>
        <sz val="10"/>
        <rFont val="Arial"/>
        <family val="2"/>
      </rPr>
      <t>n</t>
    </r>
    <r>
      <rPr>
        <b/>
        <sz val="10"/>
        <rFont val="Arial"/>
        <family val="2"/>
      </rPr>
      <t xml:space="preserve"> = 5:5</t>
    </r>
  </si>
  <si>
    <r>
      <t>T</t>
    </r>
    <r>
      <rPr>
        <b/>
        <vertAlign val="subscript"/>
        <sz val="10"/>
        <rFont val="Arial"/>
        <family val="2"/>
      </rPr>
      <t>b</t>
    </r>
    <r>
      <rPr>
        <b/>
        <sz val="10"/>
        <rFont val="Arial"/>
        <family val="2"/>
      </rPr>
      <t>, P1 series:  K</t>
    </r>
    <r>
      <rPr>
        <b/>
        <vertAlign val="subscript"/>
        <sz val="10"/>
        <rFont val="Arial"/>
        <family val="2"/>
      </rPr>
      <t>n</t>
    </r>
    <r>
      <rPr>
        <b/>
        <sz val="10"/>
        <rFont val="Arial"/>
        <family val="2"/>
      </rPr>
      <t xml:space="preserve"> = 20:5</t>
    </r>
  </si>
  <si>
    <r>
      <t>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, P2 parallel:  K</t>
    </r>
    <r>
      <rPr>
        <b/>
        <vertAlign val="subscript"/>
        <sz val="10"/>
        <rFont val="Arial"/>
        <family val="2"/>
      </rPr>
      <t>n</t>
    </r>
    <r>
      <rPr>
        <b/>
        <sz val="10"/>
        <rFont val="Arial"/>
        <family val="2"/>
      </rPr>
      <t xml:space="preserve"> = 100:5</t>
    </r>
  </si>
  <si>
    <r>
      <t>T</t>
    </r>
    <r>
      <rPr>
        <b/>
        <vertAlign val="subscript"/>
        <sz val="10"/>
        <rFont val="Arial"/>
        <family val="2"/>
      </rPr>
      <t>b</t>
    </r>
    <r>
      <rPr>
        <b/>
        <sz val="10"/>
        <rFont val="Arial"/>
        <family val="2"/>
      </rPr>
      <t>, P2 series:  K</t>
    </r>
    <r>
      <rPr>
        <b/>
        <vertAlign val="subscript"/>
        <sz val="10"/>
        <rFont val="Arial"/>
        <family val="2"/>
      </rPr>
      <t>n</t>
    </r>
    <r>
      <rPr>
        <b/>
        <sz val="10"/>
        <rFont val="Arial"/>
        <family val="2"/>
      </rPr>
      <t xml:space="preserve"> = 100:5</t>
    </r>
  </si>
  <si>
    <r>
      <t>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, P3 series:  K</t>
    </r>
    <r>
      <rPr>
        <b/>
        <vertAlign val="subscript"/>
        <sz val="10"/>
        <rFont val="Arial"/>
        <family val="2"/>
      </rPr>
      <t>n</t>
    </r>
    <r>
      <rPr>
        <b/>
        <sz val="10"/>
        <rFont val="Arial"/>
        <family val="2"/>
      </rPr>
      <t xml:space="preserve"> = 100:5</t>
    </r>
  </si>
  <si>
    <t>This sheet pulls together uncertainty information for including in E.056.004</t>
  </si>
  <si>
    <t>Historical format</t>
  </si>
  <si>
    <t>For calibration report (note renumbering of tables)</t>
  </si>
  <si>
    <t>source of estimate</t>
  </si>
  <si>
    <t>or 11 April 2012 from file date??</t>
  </si>
  <si>
    <t>maximum error is 2.1% on range 8 (1 uV), but only 0.2% on range 11(10 uV)</t>
  </si>
  <si>
    <t>V/V</t>
  </si>
  <si>
    <t>CMRR &gt;100 dB at 10 kHz (SR830 spec), so 1e-5 times common V of &lt; 0.1 V</t>
  </si>
  <si>
    <t>add to X and Y uncertainty</t>
  </si>
  <si>
    <t>2013 sd</t>
  </si>
  <si>
    <t>Repeats of 5:5 over 20 days</t>
  </si>
  <si>
    <t>add to ratio uncertainty</t>
  </si>
  <si>
    <t>add to phase uncertainty</t>
  </si>
  <si>
    <t>generous 50% of error for 1 sigma</t>
  </si>
  <si>
    <t>generous 20% of error for 1 sigma</t>
  </si>
  <si>
    <t>r1</t>
  </si>
  <si>
    <t>r2</t>
  </si>
  <si>
    <t>Z1</t>
  </si>
  <si>
    <t>Z3</t>
  </si>
  <si>
    <t>z1</t>
  </si>
  <si>
    <t>z2</t>
  </si>
  <si>
    <t>r2+z2</t>
  </si>
  <si>
    <t>Z1+Z3</t>
  </si>
  <si>
    <t>(r2+z2)/(Z1+Z3)</t>
  </si>
  <si>
    <t>dr</t>
  </si>
  <si>
    <t>dr*(r2+z2)/(Z1+Z3)</t>
  </si>
  <si>
    <t>Burden u</t>
  </si>
  <si>
    <t>Andy's formula</t>
  </si>
  <si>
    <t>dr*(1/(z1+r1)+1/(z2+r2))</t>
  </si>
  <si>
    <t>makes sense for assuming same dr in main and aux windings, but maybe should be rss</t>
  </si>
  <si>
    <t>5 mohm 1 sigma in both; 0.486 ohm total for main, 0.126 for auxiliary</t>
  </si>
  <si>
    <t>5 mohm 1 sigma in both; 0.486 ohm total for main, 0.326 for auxiliary</t>
  </si>
  <si>
    <t>item</t>
  </si>
  <si>
    <t>e1.real</t>
  </si>
  <si>
    <t>e2.real</t>
  </si>
  <si>
    <t>e3.real</t>
  </si>
  <si>
    <t>e4.real</t>
  </si>
  <si>
    <t>e5.real</t>
  </si>
  <si>
    <t>e1.imag</t>
  </si>
  <si>
    <t>e2.imag</t>
  </si>
  <si>
    <t>e3.imag</t>
  </si>
  <si>
    <t>e4.imag</t>
  </si>
  <si>
    <t>e5.imag</t>
  </si>
  <si>
    <t>1a</t>
  </si>
  <si>
    <t>1b</t>
  </si>
  <si>
    <t>2a</t>
  </si>
  <si>
    <t>3a</t>
  </si>
  <si>
    <t>2b</t>
  </si>
  <si>
    <t>imag</t>
  </si>
  <si>
    <t>From 'summary'</t>
  </si>
  <si>
    <t>difference in ppm</t>
  </si>
  <si>
    <t>capa s - p</t>
  </si>
  <si>
    <t>capb s - p</t>
  </si>
  <si>
    <t>P1as</t>
  </si>
  <si>
    <t>Real</t>
  </si>
  <si>
    <t>U real</t>
  </si>
  <si>
    <t>Imag</t>
  </si>
  <si>
    <t>U imag</t>
  </si>
  <si>
    <t>P1ap</t>
  </si>
  <si>
    <t>P1bs</t>
  </si>
  <si>
    <t>P1bp</t>
  </si>
  <si>
    <t>P2ap</t>
  </si>
  <si>
    <t>P2bs</t>
  </si>
  <si>
    <t>P3as</t>
  </si>
  <si>
    <t>Excitation</t>
  </si>
  <si>
    <t>Tables in ppm format</t>
  </si>
  <si>
    <t>k real</t>
  </si>
  <si>
    <t>k imag</t>
  </si>
  <si>
    <t>-2.0888742523162639e-10</t>
  </si>
  <si>
    <t>-7.173681401864349e-10</t>
  </si>
  <si>
    <t>-1.568256925897476e-10</t>
  </si>
  <si>
    <t>-6.441844344883518e-10</t>
  </si>
  <si>
    <t>1.1674580851142696e-12</t>
  </si>
  <si>
    <t>6.119191211565474e-10</t>
  </si>
  <si>
    <t>-4.5614371982152417e-10</t>
  </si>
  <si>
    <t>-7.287978190540877e-11</t>
  </si>
  <si>
    <t>-7.029926711343525e-11</t>
  </si>
  <si>
    <t>4.6692097029764716e-12</t>
  </si>
  <si>
    <t>ureal(-8.3865034053736023903917368e-11,1.6773006810747209950662302e-11,5)</t>
  </si>
  <si>
    <t>ureal(9.59859050132004935021668e-10,1.919718100264010025139701e-10,5)</t>
  </si>
  <si>
    <t>Example budget, t7[3]</t>
  </si>
  <si>
    <t>ureal(2.4557040639582234597363e-07,5.3532223933261570438602e-08,81.8)</t>
  </si>
  <si>
    <t>ct_stability_re 1.7e-08</t>
  </si>
  <si>
    <t>burden1 1.40431369792e-08</t>
  </si>
  <si>
    <t>burden1 1.40311341284e-08</t>
  </si>
  <si>
    <t>burden1 1.31789772523e-08</t>
  </si>
  <si>
    <t>burden1 1.00683866622e-08</t>
  </si>
  <si>
    <t>burden1 9.80321506817e-09</t>
  </si>
  <si>
    <t>burden1 9.77036450803e-09</t>
  </si>
  <si>
    <t>burden2 6.16527964941e-09</t>
  </si>
  <si>
    <t>burden2 6.16001010514e-09</t>
  </si>
  <si>
    <t>burden2 5.78589245223e-09</t>
  </si>
  <si>
    <t>common mode 4.99285850054e-09</t>
  </si>
  <si>
    <t>common mode 4.99143110092e-09</t>
  </si>
  <si>
    <t>common mode 4.99109715217e-09</t>
  </si>
  <si>
    <t>common mode 4.99019493937e-09</t>
  </si>
  <si>
    <t>burden2 4.42026731512e-09</t>
  </si>
  <si>
    <t>burden2 4.30385051773e-09</t>
  </si>
  <si>
    <t>burden2 4.2894283206e-09</t>
  </si>
  <si>
    <t>X V 0.4007859461 1.93449025787e-09</t>
  </si>
  <si>
    <t>X V 0.40071349826 7.65467046045e-10</t>
  </si>
  <si>
    <t>X V 0.40057213714 6.85573991625e-10</t>
  </si>
  <si>
    <t>X V 0.40068668876 5.96844499586e-10</t>
  </si>
  <si>
    <t>sp_mag 3.58684070093e-10</t>
  </si>
  <si>
    <t>sp_mag 2.74444387848e-10</t>
  </si>
  <si>
    <t>CT stability</t>
  </si>
  <si>
    <t>Burden 1</t>
  </si>
  <si>
    <t>Burden 2</t>
  </si>
  <si>
    <t>SR 830 Common mode</t>
  </si>
  <si>
    <t>SR 830 calibration</t>
  </si>
  <si>
    <t>Magnetic coupling</t>
  </si>
  <si>
    <t>Component</t>
  </si>
  <si>
    <t>u</t>
  </si>
  <si>
    <t>combined 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</si>
</sst>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  <numFmt numFmtId="170" formatCode="0.000E+00"/>
    <numFmt numFmtId="171" formatCode="0.0E+00"/>
    <numFmt numFmtId="172" formatCode="0E+00"/>
  </numFmts>
  <fonts count="4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b/>
      <sz val="8"/>
      <name val="Arial"/>
      <family val="2"/>
    </font>
    <font>
      <b/>
      <sz val="8"/>
      <name val="Symbol"/>
      <family val="1"/>
      <charset val="2"/>
    </font>
    <font>
      <b/>
      <vertAlign val="superscript"/>
      <sz val="8"/>
      <name val="Arial"/>
      <family val="2"/>
    </font>
    <font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4"/>
      <color indexed="10"/>
      <name val="Arial"/>
      <family val="2"/>
    </font>
    <font>
      <sz val="10"/>
      <color indexed="14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4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4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u/>
      <sz val="12"/>
      <color indexed="12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1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5" fontId="0" fillId="0" borderId="0" xfId="0" applyNumberFormat="1"/>
    <xf numFmtId="0" fontId="2" fillId="0" borderId="0" xfId="0" applyFont="1"/>
    <xf numFmtId="2" fontId="0" fillId="0" borderId="0" xfId="0" applyNumberFormat="1"/>
    <xf numFmtId="0" fontId="3" fillId="0" borderId="0" xfId="0" applyFont="1"/>
    <xf numFmtId="0" fontId="4" fillId="0" borderId="0" xfId="0" applyFont="1"/>
    <xf numFmtId="15" fontId="3" fillId="0" borderId="0" xfId="0" applyNumberFormat="1" applyFont="1"/>
    <xf numFmtId="11" fontId="3" fillId="0" borderId="0" xfId="0" applyNumberFormat="1" applyFont="1"/>
    <xf numFmtId="164" fontId="3" fillId="0" borderId="0" xfId="0" applyNumberFormat="1" applyFont="1"/>
    <xf numFmtId="165" fontId="3" fillId="0" borderId="0" xfId="0" applyNumberFormat="1" applyFont="1"/>
    <xf numFmtId="0" fontId="2" fillId="0" borderId="0" xfId="0" applyFont="1" applyAlignment="1">
      <alignment horizontal="center"/>
    </xf>
    <xf numFmtId="11" fontId="2" fillId="0" borderId="0" xfId="0" applyNumberFormat="1" applyFont="1" applyAlignment="1">
      <alignment horizontal="center"/>
    </xf>
    <xf numFmtId="167" fontId="0" fillId="0" borderId="0" xfId="0" applyNumberFormat="1"/>
    <xf numFmtId="0" fontId="0" fillId="0" borderId="0" xfId="0" applyBorder="1"/>
    <xf numFmtId="15" fontId="0" fillId="0" borderId="0" xfId="0" applyNumberFormat="1" applyAlignment="1">
      <alignment horizontal="left"/>
    </xf>
    <xf numFmtId="169" fontId="0" fillId="0" borderId="0" xfId="0" applyNumberFormat="1"/>
    <xf numFmtId="16" fontId="0" fillId="0" borderId="0" xfId="0" applyNumberFormat="1" applyAlignment="1">
      <alignment horizontal="left"/>
    </xf>
    <xf numFmtId="1" fontId="0" fillId="0" borderId="0" xfId="0" applyNumberFormat="1"/>
    <xf numFmtId="168" fontId="0" fillId="0" borderId="0" xfId="0" applyNumberFormat="1"/>
    <xf numFmtId="167" fontId="3" fillId="0" borderId="0" xfId="0" applyNumberFormat="1" applyFont="1"/>
    <xf numFmtId="169" fontId="3" fillId="0" borderId="0" xfId="0" applyNumberFormat="1" applyFont="1"/>
    <xf numFmtId="11" fontId="4" fillId="0" borderId="0" xfId="0" applyNumberFormat="1" applyFont="1"/>
    <xf numFmtId="165" fontId="4" fillId="0" borderId="0" xfId="0" applyNumberFormat="1" applyFont="1"/>
    <xf numFmtId="166" fontId="0" fillId="0" borderId="0" xfId="0" applyNumberFormat="1"/>
    <xf numFmtId="0" fontId="0" fillId="2" borderId="0" xfId="0" applyFill="1"/>
    <xf numFmtId="0" fontId="2" fillId="2" borderId="0" xfId="0" applyFont="1" applyFill="1"/>
    <xf numFmtId="0" fontId="2" fillId="3" borderId="0" xfId="0" applyFont="1" applyFill="1"/>
    <xf numFmtId="0" fontId="0" fillId="3" borderId="0" xfId="0" applyFill="1"/>
    <xf numFmtId="20" fontId="0" fillId="3" borderId="0" xfId="0" applyNumberFormat="1" applyFill="1"/>
    <xf numFmtId="20" fontId="0" fillId="2" borderId="0" xfId="0" applyNumberFormat="1" applyFill="1"/>
    <xf numFmtId="0" fontId="0" fillId="4" borderId="0" xfId="0" applyFill="1"/>
    <xf numFmtId="0" fontId="0" fillId="5" borderId="0" xfId="0" applyFill="1"/>
    <xf numFmtId="165" fontId="0" fillId="6" borderId="0" xfId="0" applyNumberFormat="1" applyFill="1"/>
    <xf numFmtId="165" fontId="0" fillId="7" borderId="0" xfId="0" applyNumberFormat="1" applyFill="1"/>
    <xf numFmtId="0" fontId="0" fillId="8" borderId="0" xfId="0" applyFill="1"/>
    <xf numFmtId="166" fontId="0" fillId="8" borderId="0" xfId="0" applyNumberFormat="1" applyFill="1"/>
    <xf numFmtId="0" fontId="0" fillId="0" borderId="0" xfId="0" applyBorder="1" applyAlignment="1">
      <alignment horizontal="center"/>
    </xf>
    <xf numFmtId="165" fontId="2" fillId="0" borderId="0" xfId="0" applyNumberFormat="1" applyFont="1"/>
    <xf numFmtId="0" fontId="5" fillId="0" borderId="0" xfId="0" applyFont="1"/>
    <xf numFmtId="165" fontId="5" fillId="0" borderId="0" xfId="0" applyNumberFormat="1" applyFont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9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170" fontId="0" fillId="0" borderId="0" xfId="0" applyNumberFormat="1"/>
    <xf numFmtId="0" fontId="0" fillId="0" borderId="1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/>
    <xf numFmtId="0" fontId="8" fillId="0" borderId="10" xfId="0" applyFon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12" xfId="0" applyFont="1" applyBorder="1"/>
    <xf numFmtId="0" fontId="8" fillId="0" borderId="0" xfId="0" applyFont="1" applyBorder="1"/>
    <xf numFmtId="0" fontId="8" fillId="0" borderId="1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2" fontId="8" fillId="0" borderId="16" xfId="0" applyNumberFormat="1" applyFont="1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165" fontId="8" fillId="0" borderId="0" xfId="0" applyNumberFormat="1" applyFont="1" applyBorder="1" applyAlignment="1">
      <alignment horizontal="center"/>
    </xf>
    <xf numFmtId="0" fontId="4" fillId="0" borderId="0" xfId="0" applyFont="1" applyBorder="1"/>
    <xf numFmtId="0" fontId="0" fillId="0" borderId="20" xfId="0" applyBorder="1"/>
    <xf numFmtId="1" fontId="8" fillId="0" borderId="17" xfId="0" applyNumberFormat="1" applyFont="1" applyBorder="1" applyAlignment="1">
      <alignment horizontal="center"/>
    </xf>
    <xf numFmtId="0" fontId="0" fillId="0" borderId="17" xfId="0" applyBorder="1"/>
    <xf numFmtId="0" fontId="0" fillId="0" borderId="15" xfId="0" applyBorder="1"/>
    <xf numFmtId="0" fontId="0" fillId="0" borderId="16" xfId="0" applyBorder="1"/>
    <xf numFmtId="0" fontId="0" fillId="0" borderId="21" xfId="0" applyBorder="1"/>
    <xf numFmtId="165" fontId="2" fillId="0" borderId="22" xfId="0" applyNumberFormat="1" applyFont="1" applyBorder="1" applyAlignment="1">
      <alignment horizontal="center"/>
    </xf>
    <xf numFmtId="165" fontId="2" fillId="0" borderId="10" xfId="0" applyNumberFormat="1" applyFon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18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20" xfId="0" applyFont="1" applyBorder="1" applyAlignment="1">
      <alignment horizontal="left" wrapText="1" indent="1"/>
    </xf>
    <xf numFmtId="0" fontId="0" fillId="0" borderId="20" xfId="0" applyBorder="1" applyAlignment="1">
      <alignment horizontal="left" vertical="center" indent="1"/>
    </xf>
    <xf numFmtId="165" fontId="0" fillId="0" borderId="23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indent="1"/>
    </xf>
    <xf numFmtId="0" fontId="2" fillId="0" borderId="18" xfId="0" applyFont="1" applyBorder="1" applyAlignment="1">
      <alignment horizontal="left" wrapText="1" indent="1"/>
    </xf>
    <xf numFmtId="0" fontId="13" fillId="0" borderId="20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" fontId="8" fillId="0" borderId="0" xfId="0" applyNumberFormat="1" applyFont="1" applyBorder="1" applyAlignment="1">
      <alignment horizontal="center"/>
    </xf>
    <xf numFmtId="1" fontId="8" fillId="0" borderId="15" xfId="0" applyNumberFormat="1" applyFont="1" applyBorder="1" applyAlignment="1">
      <alignment horizontal="center"/>
    </xf>
    <xf numFmtId="2" fontId="8" fillId="0" borderId="7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0" fontId="2" fillId="0" borderId="15" xfId="0" applyFont="1" applyBorder="1" applyAlignment="1">
      <alignment horizontal="left" indent="1"/>
    </xf>
    <xf numFmtId="0" fontId="2" fillId="0" borderId="21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4" fillId="0" borderId="0" xfId="0" applyNumberFormat="1" applyFont="1"/>
    <xf numFmtId="0" fontId="17" fillId="0" borderId="0" xfId="0" applyFont="1"/>
    <xf numFmtId="0" fontId="18" fillId="0" borderId="0" xfId="0" applyFont="1"/>
    <xf numFmtId="11" fontId="16" fillId="0" borderId="0" xfId="0" applyNumberFormat="1" applyFont="1"/>
    <xf numFmtId="15" fontId="4" fillId="0" borderId="0" xfId="0" applyNumberFormat="1" applyFont="1"/>
    <xf numFmtId="165" fontId="0" fillId="0" borderId="0" xfId="0" applyNumberFormat="1" applyFill="1"/>
    <xf numFmtId="0" fontId="23" fillId="9" borderId="0" xfId="0" applyFont="1" applyFill="1"/>
    <xf numFmtId="11" fontId="0" fillId="9" borderId="0" xfId="0" applyNumberFormat="1" applyFill="1"/>
    <xf numFmtId="164" fontId="0" fillId="9" borderId="0" xfId="0" applyNumberFormat="1" applyFill="1"/>
    <xf numFmtId="165" fontId="0" fillId="9" borderId="0" xfId="0" applyNumberFormat="1" applyFill="1"/>
    <xf numFmtId="14" fontId="0" fillId="0" borderId="0" xfId="0" applyNumberFormat="1"/>
    <xf numFmtId="0" fontId="0" fillId="9" borderId="0" xfId="0" applyFill="1"/>
    <xf numFmtId="166" fontId="0" fillId="9" borderId="0" xfId="0" applyNumberFormat="1" applyFill="1"/>
    <xf numFmtId="165" fontId="20" fillId="0" borderId="0" xfId="0" applyNumberFormat="1" applyFont="1"/>
    <xf numFmtId="0" fontId="20" fillId="0" borderId="0" xfId="0" applyFont="1"/>
    <xf numFmtId="11" fontId="20" fillId="0" borderId="0" xfId="0" applyNumberFormat="1" applyFont="1"/>
    <xf numFmtId="164" fontId="20" fillId="0" borderId="0" xfId="0" applyNumberFormat="1" applyFont="1"/>
    <xf numFmtId="0" fontId="21" fillId="0" borderId="0" xfId="0" applyFont="1"/>
    <xf numFmtId="11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165" fontId="22" fillId="0" borderId="0" xfId="0" applyNumberFormat="1" applyFont="1"/>
    <xf numFmtId="0" fontId="23" fillId="0" borderId="0" xfId="0" applyFont="1"/>
    <xf numFmtId="0" fontId="2" fillId="9" borderId="0" xfId="0" applyFont="1" applyFill="1"/>
    <xf numFmtId="0" fontId="2" fillId="9" borderId="0" xfId="0" applyFont="1" applyFill="1" applyAlignment="1">
      <alignment horizontal="center"/>
    </xf>
    <xf numFmtId="165" fontId="2" fillId="9" borderId="0" xfId="0" applyNumberFormat="1" applyFont="1" applyFill="1"/>
    <xf numFmtId="165" fontId="22" fillId="9" borderId="0" xfId="0" applyNumberFormat="1" applyFont="1" applyFill="1"/>
    <xf numFmtId="167" fontId="0" fillId="9" borderId="0" xfId="0" applyNumberFormat="1" applyFill="1"/>
    <xf numFmtId="15" fontId="0" fillId="9" borderId="0" xfId="0" applyNumberFormat="1" applyFill="1"/>
    <xf numFmtId="15" fontId="0" fillId="8" borderId="0" xfId="0" applyNumberFormat="1" applyFill="1"/>
    <xf numFmtId="0" fontId="2" fillId="8" borderId="0" xfId="0" applyFont="1" applyFill="1"/>
    <xf numFmtId="11" fontId="0" fillId="8" borderId="0" xfId="0" applyNumberFormat="1" applyFill="1"/>
    <xf numFmtId="164" fontId="0" fillId="8" borderId="0" xfId="0" applyNumberFormat="1" applyFill="1"/>
    <xf numFmtId="165" fontId="0" fillId="8" borderId="0" xfId="0" applyNumberFormat="1" applyFill="1"/>
    <xf numFmtId="0" fontId="0" fillId="0" borderId="0" xfId="0" applyAlignment="1">
      <alignment horizontal="right"/>
    </xf>
    <xf numFmtId="15" fontId="0" fillId="0" borderId="0" xfId="0" applyNumberFormat="1" applyFill="1"/>
    <xf numFmtId="164" fontId="1" fillId="4" borderId="0" xfId="0" applyNumberFormat="1" applyFont="1" applyFill="1"/>
    <xf numFmtId="0" fontId="1" fillId="4" borderId="0" xfId="0" applyFont="1" applyFill="1"/>
    <xf numFmtId="0" fontId="22" fillId="0" borderId="0" xfId="0" applyFont="1" applyFill="1" applyAlignment="1">
      <alignment horizontal="center"/>
    </xf>
    <xf numFmtId="168" fontId="22" fillId="0" borderId="0" xfId="0" applyNumberFormat="1" applyFont="1" applyFill="1"/>
    <xf numFmtId="166" fontId="22" fillId="0" borderId="0" xfId="0" applyNumberFormat="1" applyFont="1"/>
    <xf numFmtId="166" fontId="2" fillId="0" borderId="0" xfId="0" applyNumberFormat="1" applyFont="1"/>
    <xf numFmtId="0" fontId="1" fillId="0" borderId="0" xfId="0" applyFont="1"/>
    <xf numFmtId="0" fontId="24" fillId="0" borderId="0" xfId="0" applyFont="1"/>
    <xf numFmtId="0" fontId="25" fillId="0" borderId="0" xfId="0" applyFont="1"/>
    <xf numFmtId="11" fontId="25" fillId="0" borderId="0" xfId="0" applyNumberFormat="1" applyFont="1"/>
    <xf numFmtId="165" fontId="25" fillId="0" borderId="0" xfId="0" applyNumberFormat="1" applyFont="1"/>
    <xf numFmtId="169" fontId="25" fillId="0" borderId="0" xfId="0" applyNumberFormat="1" applyFont="1"/>
    <xf numFmtId="15" fontId="25" fillId="0" borderId="0" xfId="0" applyNumberFormat="1" applyFont="1"/>
    <xf numFmtId="164" fontId="25" fillId="0" borderId="0" xfId="0" applyNumberFormat="1" applyFont="1"/>
    <xf numFmtId="2" fontId="25" fillId="0" borderId="0" xfId="0" applyNumberFormat="1" applyFont="1"/>
    <xf numFmtId="166" fontId="25" fillId="0" borderId="0" xfId="0" applyNumberFormat="1" applyFont="1"/>
    <xf numFmtId="165" fontId="24" fillId="0" borderId="0" xfId="0" applyNumberFormat="1" applyFont="1"/>
    <xf numFmtId="165" fontId="26" fillId="0" borderId="0" xfId="0" applyNumberFormat="1" applyFont="1"/>
    <xf numFmtId="0" fontId="26" fillId="0" borderId="0" xfId="0" applyFont="1"/>
    <xf numFmtId="167" fontId="26" fillId="0" borderId="0" xfId="0" applyNumberFormat="1" applyFont="1"/>
    <xf numFmtId="0" fontId="27" fillId="0" borderId="0" xfId="0" applyFont="1" applyFill="1"/>
    <xf numFmtId="15" fontId="0" fillId="10" borderId="0" xfId="0" applyNumberFormat="1" applyFill="1"/>
    <xf numFmtId="0" fontId="0" fillId="10" borderId="0" xfId="0" applyFill="1"/>
    <xf numFmtId="15" fontId="2" fillId="10" borderId="0" xfId="0" applyNumberFormat="1" applyFont="1" applyFill="1" applyAlignment="1">
      <alignment horizontal="left"/>
    </xf>
    <xf numFmtId="0" fontId="24" fillId="0" borderId="0" xfId="0" applyFont="1" applyAlignment="1">
      <alignment horizontal="center"/>
    </xf>
    <xf numFmtId="11" fontId="24" fillId="0" borderId="0" xfId="0" applyNumberFormat="1" applyFont="1" applyAlignment="1">
      <alignment horizontal="center"/>
    </xf>
    <xf numFmtId="165" fontId="19" fillId="0" borderId="0" xfId="0" applyNumberFormat="1" applyFont="1"/>
    <xf numFmtId="0" fontId="19" fillId="0" borderId="0" xfId="0" applyFont="1"/>
    <xf numFmtId="165" fontId="0" fillId="5" borderId="0" xfId="0" applyNumberFormat="1" applyFill="1"/>
    <xf numFmtId="0" fontId="28" fillId="0" borderId="0" xfId="0" applyFont="1"/>
    <xf numFmtId="0" fontId="29" fillId="0" borderId="0" xfId="0" applyFont="1"/>
    <xf numFmtId="165" fontId="28" fillId="0" borderId="0" xfId="0" applyNumberFormat="1" applyFont="1"/>
    <xf numFmtId="0" fontId="30" fillId="0" borderId="0" xfId="0" applyFont="1"/>
    <xf numFmtId="0" fontId="28" fillId="0" borderId="0" xfId="0" applyFont="1" applyFill="1"/>
    <xf numFmtId="165" fontId="20" fillId="5" borderId="0" xfId="0" applyNumberFormat="1" applyFont="1" applyFill="1"/>
    <xf numFmtId="0" fontId="29" fillId="5" borderId="0" xfId="0" applyFont="1" applyFill="1"/>
    <xf numFmtId="0" fontId="20" fillId="5" borderId="0" xfId="0" applyFont="1" applyFill="1"/>
    <xf numFmtId="11" fontId="2" fillId="9" borderId="0" xfId="0" applyNumberFormat="1" applyFont="1" applyFill="1"/>
    <xf numFmtId="14" fontId="25" fillId="0" borderId="0" xfId="0" applyNumberFormat="1" applyFont="1"/>
    <xf numFmtId="9" fontId="25" fillId="0" borderId="0" xfId="0" applyNumberFormat="1" applyFont="1"/>
    <xf numFmtId="2" fontId="0" fillId="9" borderId="0" xfId="0" applyNumberFormat="1" applyFill="1"/>
    <xf numFmtId="0" fontId="4" fillId="9" borderId="0" xfId="0" applyFont="1" applyFill="1"/>
    <xf numFmtId="0" fontId="31" fillId="0" borderId="0" xfId="0" applyFont="1"/>
    <xf numFmtId="2" fontId="31" fillId="0" borderId="0" xfId="0" applyNumberFormat="1" applyFont="1"/>
    <xf numFmtId="164" fontId="33" fillId="0" borderId="0" xfId="0" applyNumberFormat="1" applyFont="1"/>
    <xf numFmtId="165" fontId="4" fillId="0" borderId="0" xfId="0" applyNumberFormat="1" applyFont="1" applyFill="1"/>
    <xf numFmtId="0" fontId="0" fillId="0" borderId="0" xfId="0" applyNumberFormat="1"/>
    <xf numFmtId="0" fontId="24" fillId="0" borderId="0" xfId="0" quotePrefix="1" applyFont="1"/>
    <xf numFmtId="0" fontId="33" fillId="0" borderId="0" xfId="0" applyFont="1"/>
    <xf numFmtId="11" fontId="33" fillId="0" borderId="0" xfId="0" applyNumberFormat="1" applyFont="1"/>
    <xf numFmtId="165" fontId="33" fillId="0" borderId="0" xfId="0" applyNumberFormat="1" applyFont="1"/>
    <xf numFmtId="0" fontId="34" fillId="0" borderId="0" xfId="0" applyFont="1"/>
    <xf numFmtId="0" fontId="35" fillId="0" borderId="0" xfId="0" applyFont="1"/>
    <xf numFmtId="165" fontId="0" fillId="0" borderId="0" xfId="0" applyNumberFormat="1" applyAlignment="1">
      <alignment horizontal="center"/>
    </xf>
    <xf numFmtId="0" fontId="36" fillId="0" borderId="0" xfId="0" applyFont="1"/>
    <xf numFmtId="11" fontId="36" fillId="0" borderId="0" xfId="0" applyNumberFormat="1" applyFont="1"/>
    <xf numFmtId="164" fontId="36" fillId="0" borderId="0" xfId="0" applyNumberFormat="1" applyFont="1"/>
    <xf numFmtId="165" fontId="36" fillId="0" borderId="0" xfId="0" applyNumberFormat="1" applyFont="1"/>
    <xf numFmtId="164" fontId="37" fillId="0" borderId="0" xfId="0" applyNumberFormat="1" applyFont="1"/>
    <xf numFmtId="0" fontId="38" fillId="0" borderId="0" xfId="0" applyFont="1"/>
    <xf numFmtId="0" fontId="0" fillId="0" borderId="0" xfId="0" applyAlignment="1">
      <alignment horizontal="center"/>
    </xf>
    <xf numFmtId="0" fontId="37" fillId="0" borderId="0" xfId="0" applyFont="1"/>
    <xf numFmtId="11" fontId="37" fillId="0" borderId="0" xfId="0" applyNumberFormat="1" applyFont="1"/>
    <xf numFmtId="165" fontId="37" fillId="0" borderId="0" xfId="0" applyNumberFormat="1" applyFont="1" applyFill="1"/>
    <xf numFmtId="165" fontId="37" fillId="0" borderId="0" xfId="0" applyNumberFormat="1" applyFont="1"/>
    <xf numFmtId="0" fontId="37" fillId="0" borderId="0" xfId="0" applyNumberFormat="1" applyFont="1"/>
    <xf numFmtId="2" fontId="4" fillId="0" borderId="0" xfId="0" applyNumberFormat="1" applyFont="1"/>
    <xf numFmtId="167" fontId="4" fillId="0" borderId="0" xfId="0" applyNumberFormat="1" applyFont="1"/>
    <xf numFmtId="171" fontId="4" fillId="0" borderId="0" xfId="0" applyNumberFormat="1" applyFont="1"/>
    <xf numFmtId="172" fontId="4" fillId="0" borderId="0" xfId="0" applyNumberFormat="1" applyFont="1"/>
    <xf numFmtId="0" fontId="2" fillId="0" borderId="0" xfId="0" applyFont="1" applyAlignment="1">
      <alignment horizontal="right"/>
    </xf>
    <xf numFmtId="14" fontId="4" fillId="0" borderId="0" xfId="0" applyNumberFormat="1" applyFont="1"/>
    <xf numFmtId="2" fontId="0" fillId="0" borderId="20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" xfId="0" applyNumberFormat="1" applyBorder="1"/>
    <xf numFmtId="2" fontId="0" fillId="0" borderId="3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15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1" fontId="0" fillId="0" borderId="29" xfId="0" applyNumberFormat="1" applyBorder="1" applyAlignment="1">
      <alignment horizontal="center"/>
    </xf>
    <xf numFmtId="14" fontId="0" fillId="0" borderId="0" xfId="0" applyNumberFormat="1" applyFill="1"/>
    <xf numFmtId="165" fontId="0" fillId="4" borderId="0" xfId="0" applyNumberFormat="1" applyFill="1"/>
    <xf numFmtId="164" fontId="0" fillId="4" borderId="0" xfId="0" applyNumberFormat="1" applyFill="1"/>
    <xf numFmtId="11" fontId="4" fillId="11" borderId="0" xfId="0" applyNumberFormat="1" applyFont="1" applyFill="1"/>
    <xf numFmtId="0" fontId="0" fillId="11" borderId="0" xfId="0" applyFill="1"/>
    <xf numFmtId="0" fontId="0" fillId="12" borderId="0" xfId="0" applyFill="1"/>
    <xf numFmtId="0" fontId="4" fillId="0" borderId="1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164" fontId="0" fillId="0" borderId="22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4" fillId="0" borderId="26" xfId="0" applyNumberFormat="1" applyFont="1" applyBorder="1" applyAlignment="1">
      <alignment horizontal="center" vertical="center" wrapText="1"/>
    </xf>
    <xf numFmtId="164" fontId="4" fillId="0" borderId="32" xfId="0" applyNumberFormat="1" applyFont="1" applyBorder="1" applyAlignment="1">
      <alignment horizontal="center" vertical="center" wrapText="1"/>
    </xf>
    <xf numFmtId="165" fontId="0" fillId="0" borderId="31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2" xfId="0" applyNumberFormat="1" applyBorder="1"/>
    <xf numFmtId="165" fontId="0" fillId="0" borderId="0" xfId="0" applyNumberFormat="1" applyBorder="1"/>
    <xf numFmtId="165" fontId="0" fillId="0" borderId="7" xfId="0" applyNumberFormat="1" applyBorder="1"/>
    <xf numFmtId="165" fontId="4" fillId="0" borderId="22" xfId="0" applyNumberFormat="1" applyFont="1" applyBorder="1" applyAlignment="1">
      <alignment horizontal="center" vertical="center" wrapText="1"/>
    </xf>
    <xf numFmtId="165" fontId="4" fillId="0" borderId="0" xfId="0" applyNumberFormat="1" applyFont="1" applyBorder="1" applyAlignment="1">
      <alignment horizontal="center" vertical="center" wrapText="1"/>
    </xf>
    <xf numFmtId="165" fontId="4" fillId="0" borderId="26" xfId="0" applyNumberFormat="1" applyFont="1" applyBorder="1" applyAlignment="1">
      <alignment horizontal="center" vertical="center" wrapText="1"/>
    </xf>
    <xf numFmtId="165" fontId="4" fillId="0" borderId="24" xfId="0" applyNumberFormat="1" applyFon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/>
    </xf>
    <xf numFmtId="0" fontId="41" fillId="0" borderId="0" xfId="0" applyFont="1"/>
    <xf numFmtId="14" fontId="4" fillId="13" borderId="0" xfId="0" applyNumberFormat="1" applyFont="1" applyFill="1"/>
    <xf numFmtId="165" fontId="0" fillId="13" borderId="0" xfId="0" applyNumberFormat="1" applyFill="1"/>
    <xf numFmtId="165" fontId="0" fillId="13" borderId="0" xfId="0" applyNumberFormat="1" applyFont="1" applyFill="1"/>
    <xf numFmtId="171" fontId="25" fillId="0" borderId="0" xfId="0" applyNumberFormat="1" applyFont="1"/>
    <xf numFmtId="1" fontId="0" fillId="0" borderId="0" xfId="0" applyNumberFormat="1" applyBorder="1"/>
    <xf numFmtId="0" fontId="0" fillId="0" borderId="0" xfId="0" applyFill="1" applyAlignment="1">
      <alignment horizontal="right"/>
    </xf>
    <xf numFmtId="0" fontId="2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9" borderId="0" xfId="0" applyFill="1" applyAlignment="1">
      <alignment horizontal="center"/>
    </xf>
    <xf numFmtId="165" fontId="0" fillId="0" borderId="0" xfId="0" applyNumberFormat="1" applyAlignment="1">
      <alignment horizontal="center"/>
    </xf>
    <xf numFmtId="165" fontId="4" fillId="0" borderId="18" xfId="0" applyNumberFormat="1" applyFont="1" applyBorder="1" applyAlignment="1">
      <alignment horizontal="center" vertical="center" wrapText="1"/>
    </xf>
    <xf numFmtId="165" fontId="0" fillId="0" borderId="25" xfId="0" applyNumberFormat="1" applyBorder="1" applyAlignment="1">
      <alignment horizontal="center" vertical="center" wrapText="1"/>
    </xf>
    <xf numFmtId="164" fontId="4" fillId="0" borderId="18" xfId="0" applyNumberFormat="1" applyFont="1" applyBorder="1" applyAlignment="1">
      <alignment horizontal="center" vertical="center" wrapText="1"/>
    </xf>
    <xf numFmtId="164" fontId="0" fillId="0" borderId="33" xfId="0" applyNumberForma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 wrapText="1"/>
    </xf>
    <xf numFmtId="2" fontId="0" fillId="0" borderId="25" xfId="0" applyNumberFormat="1" applyBorder="1" applyAlignment="1">
      <alignment horizontal="center" vertical="center" wrapText="1"/>
    </xf>
    <xf numFmtId="2" fontId="0" fillId="0" borderId="24" xfId="0" applyNumberFormat="1" applyBorder="1" applyAlignment="1">
      <alignment horizontal="center" vertical="center" wrapText="1"/>
    </xf>
    <xf numFmtId="2" fontId="0" fillId="0" borderId="33" xfId="0" applyNumberForma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0" fillId="14" borderId="0" xfId="0" applyFill="1"/>
    <xf numFmtId="0" fontId="0" fillId="16" borderId="0" xfId="0" applyFill="1"/>
    <xf numFmtId="166" fontId="0" fillId="16" borderId="0" xfId="0" applyNumberFormat="1" applyFill="1"/>
    <xf numFmtId="164" fontId="0" fillId="16" borderId="0" xfId="0" applyNumberFormat="1" applyFill="1"/>
    <xf numFmtId="1" fontId="0" fillId="0" borderId="0" xfId="0" applyNumberFormat="1" applyBorder="1" applyAlignment="1">
      <alignment horizontal="center"/>
    </xf>
    <xf numFmtId="1" fontId="0" fillId="15" borderId="0" xfId="0" applyNumberFormat="1" applyFill="1" applyBorder="1" applyAlignment="1">
      <alignment horizontal="center"/>
    </xf>
    <xf numFmtId="2" fontId="0" fillId="15" borderId="0" xfId="0" applyNumberFormat="1" applyFill="1" applyBorder="1" applyAlignment="1">
      <alignment horizontal="center"/>
    </xf>
    <xf numFmtId="164" fontId="0" fillId="15" borderId="0" xfId="0" applyNumberFormat="1" applyFill="1" applyBorder="1" applyAlignment="1">
      <alignment horizontal="center"/>
    </xf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418772563176893"/>
          <c:y val="3.32326283987915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1841155234658"/>
          <c:y val="0.18731145456396125"/>
          <c:w val="0.83935018050541521"/>
          <c:h val="0.73716120828397658"/>
        </c:manualLayout>
      </c:layout>
      <c:scatterChart>
        <c:scatterStyle val="lineMarker"/>
        <c:varyColors val="0"/>
        <c:ser>
          <c:idx val="0"/>
          <c:order val="0"/>
          <c:tx>
            <c:strRef>
              <c:f>SelfCals2013!$V$6</c:f>
              <c:strCache>
                <c:ptCount val="1"/>
                <c:pt idx="0">
                  <c:v>Average Ratio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SelfCals2013!$W$7:$W$14</c:f>
                <c:numCache>
                  <c:formatCode>General</c:formatCode>
                  <c:ptCount val="8"/>
                  <c:pt idx="0">
                    <c:v>9.0858806453724354E-3</c:v>
                  </c:pt>
                  <c:pt idx="1">
                    <c:v>9.5989959400077651E-3</c:v>
                  </c:pt>
                  <c:pt idx="2">
                    <c:v>1.3279402102502414E-2</c:v>
                  </c:pt>
                  <c:pt idx="3">
                    <c:v>1.6556643589916535E-2</c:v>
                  </c:pt>
                  <c:pt idx="4">
                    <c:v>1.897831253430856E-2</c:v>
                  </c:pt>
                  <c:pt idx="5">
                    <c:v>2.7059135243427117E-2</c:v>
                  </c:pt>
                  <c:pt idx="6">
                    <c:v>1.5782655880850434E-2</c:v>
                  </c:pt>
                  <c:pt idx="7">
                    <c:v>9.8221806915256178E-3</c:v>
                  </c:pt>
                </c:numCache>
              </c:numRef>
            </c:plus>
            <c:minus>
              <c:numRef>
                <c:f>SelfCals2013!$W$7:$W$14</c:f>
                <c:numCache>
                  <c:formatCode>General</c:formatCode>
                  <c:ptCount val="8"/>
                  <c:pt idx="0">
                    <c:v>9.0858806453724354E-3</c:v>
                  </c:pt>
                  <c:pt idx="1">
                    <c:v>9.5989959400077651E-3</c:v>
                  </c:pt>
                  <c:pt idx="2">
                    <c:v>1.3279402102502414E-2</c:v>
                  </c:pt>
                  <c:pt idx="3">
                    <c:v>1.6556643589916535E-2</c:v>
                  </c:pt>
                  <c:pt idx="4">
                    <c:v>1.897831253430856E-2</c:v>
                  </c:pt>
                  <c:pt idx="5">
                    <c:v>2.7059135243427117E-2</c:v>
                  </c:pt>
                  <c:pt idx="6">
                    <c:v>1.5782655880850434E-2</c:v>
                  </c:pt>
                  <c:pt idx="7">
                    <c:v>9.8221806915256178E-3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SelfCals2013!$U$7:$U$14</c:f>
              <c:numCache>
                <c:formatCode>0</c:formatCode>
                <c:ptCount val="8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  <c:pt idx="7">
                  <c:v>1</c:v>
                </c:pt>
              </c:numCache>
            </c:numRef>
          </c:xVal>
          <c:yVal>
            <c:numRef>
              <c:f>SelfCals2013!$V$7:$V$14</c:f>
              <c:numCache>
                <c:formatCode>0.000</c:formatCode>
                <c:ptCount val="8"/>
                <c:pt idx="0">
                  <c:v>-0.21853965707960224</c:v>
                </c:pt>
                <c:pt idx="1">
                  <c:v>-0.24269628023817344</c:v>
                </c:pt>
                <c:pt idx="2">
                  <c:v>-0.32324461616004313</c:v>
                </c:pt>
                <c:pt idx="3">
                  <c:v>-0.38201056579156517</c:v>
                </c:pt>
                <c:pt idx="4">
                  <c:v>-0.45245137935335145</c:v>
                </c:pt>
                <c:pt idx="5">
                  <c:v>-0.50687143145204983</c:v>
                </c:pt>
                <c:pt idx="6">
                  <c:v>-0.52245269029566921</c:v>
                </c:pt>
                <c:pt idx="7">
                  <c:v>-0.54343862755097749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2B-423D-81A9-173EAD55F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25088"/>
        <c:axId val="233626624"/>
      </c:scatterChart>
      <c:valAx>
        <c:axId val="2336250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626624"/>
        <c:crosses val="autoZero"/>
        <c:crossBetween val="midCat"/>
      </c:valAx>
      <c:valAx>
        <c:axId val="233626624"/>
        <c:scaling>
          <c:orientation val="minMax"/>
          <c:max val="-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625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877256317689532"/>
          <c:y val="3.32326283987915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1841155234658"/>
          <c:y val="0.18731145456396125"/>
          <c:w val="0.83935018050541521"/>
          <c:h val="0.73716120828397658"/>
        </c:manualLayout>
      </c:layout>
      <c:scatterChart>
        <c:scatterStyle val="lineMarker"/>
        <c:varyColors val="0"/>
        <c:ser>
          <c:idx val="0"/>
          <c:order val="0"/>
          <c:tx>
            <c:strRef>
              <c:f>SelfCals2013!$V$17</c:f>
              <c:strCache>
                <c:ptCount val="1"/>
                <c:pt idx="0">
                  <c:v>Average Phase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SelfCals2013!$W$18:$W$25</c:f>
                <c:numCache>
                  <c:formatCode>General</c:formatCode>
                  <c:ptCount val="8"/>
                  <c:pt idx="0">
                    <c:v>9.9557500945863034E-3</c:v>
                  </c:pt>
                  <c:pt idx="1">
                    <c:v>8.6497867508454149E-3</c:v>
                  </c:pt>
                  <c:pt idx="2">
                    <c:v>1.0884558651502233E-2</c:v>
                  </c:pt>
                  <c:pt idx="3">
                    <c:v>8.8261718625977943E-3</c:v>
                  </c:pt>
                  <c:pt idx="4">
                    <c:v>4.7700205949789392E-3</c:v>
                  </c:pt>
                  <c:pt idx="5">
                    <c:v>2.0823486426028701E-2</c:v>
                  </c:pt>
                  <c:pt idx="6">
                    <c:v>4.5940628467308203E-3</c:v>
                  </c:pt>
                  <c:pt idx="7">
                    <c:v>1.879854470945623E-2</c:v>
                  </c:pt>
                </c:numCache>
              </c:numRef>
            </c:plus>
            <c:minus>
              <c:numRef>
                <c:f>SelfCals2013!$W$18:$W$25</c:f>
                <c:numCache>
                  <c:formatCode>General</c:formatCode>
                  <c:ptCount val="8"/>
                  <c:pt idx="0">
                    <c:v>9.9557500945863034E-3</c:v>
                  </c:pt>
                  <c:pt idx="1">
                    <c:v>8.6497867508454149E-3</c:v>
                  </c:pt>
                  <c:pt idx="2">
                    <c:v>1.0884558651502233E-2</c:v>
                  </c:pt>
                  <c:pt idx="3">
                    <c:v>8.8261718625977943E-3</c:v>
                  </c:pt>
                  <c:pt idx="4">
                    <c:v>4.7700205949789392E-3</c:v>
                  </c:pt>
                  <c:pt idx="5">
                    <c:v>2.0823486426028701E-2</c:v>
                  </c:pt>
                  <c:pt idx="6">
                    <c:v>4.5940628467308203E-3</c:v>
                  </c:pt>
                  <c:pt idx="7">
                    <c:v>1.879854470945623E-2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SelfCals2013!$U$18:$U$25</c:f>
              <c:numCache>
                <c:formatCode>0</c:formatCode>
                <c:ptCount val="8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  <c:pt idx="7">
                  <c:v>1</c:v>
                </c:pt>
              </c:numCache>
            </c:numRef>
          </c:xVal>
          <c:yVal>
            <c:numRef>
              <c:f>SelfCals2013!$V$18:$V$25</c:f>
              <c:numCache>
                <c:formatCode>0.000</c:formatCode>
                <c:ptCount val="8"/>
                <c:pt idx="0">
                  <c:v>-0.20217951944035098</c:v>
                </c:pt>
                <c:pt idx="1">
                  <c:v>-0.20238979202161106</c:v>
                </c:pt>
                <c:pt idx="2">
                  <c:v>-0.19154274157129836</c:v>
                </c:pt>
                <c:pt idx="3">
                  <c:v>-0.18401138025048661</c:v>
                </c:pt>
                <c:pt idx="4">
                  <c:v>-0.17277615999944113</c:v>
                </c:pt>
                <c:pt idx="5">
                  <c:v>-0.17849251463650714</c:v>
                </c:pt>
                <c:pt idx="6">
                  <c:v>-0.17083138096358544</c:v>
                </c:pt>
                <c:pt idx="7">
                  <c:v>-0.15865529793223437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F-4124-8B0E-92430209D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42848"/>
        <c:axId val="235348736"/>
      </c:scatterChart>
      <c:valAx>
        <c:axId val="23534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348736"/>
        <c:crosses val="autoZero"/>
        <c:crossBetween val="midCat"/>
      </c:valAx>
      <c:valAx>
        <c:axId val="235348736"/>
        <c:scaling>
          <c:orientation val="minMax"/>
          <c:max val="-0.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342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71841155234658"/>
          <c:y val="7.8549964817145046E-2"/>
          <c:w val="0.66967509025270755"/>
          <c:h val="0.845922698030792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'Data(2013)b'!$N$330:$N$339</c:f>
              <c:numCache>
                <c:formatCode>0.0</c:formatCode>
                <c:ptCount val="10"/>
                <c:pt idx="0">
                  <c:v>119.94934799999999</c:v>
                </c:pt>
                <c:pt idx="1">
                  <c:v>100.03655934</c:v>
                </c:pt>
                <c:pt idx="2">
                  <c:v>60.037394792000001</c:v>
                </c:pt>
                <c:pt idx="3">
                  <c:v>40.069161023999996</c:v>
                </c:pt>
                <c:pt idx="4">
                  <c:v>20.017243256</c:v>
                </c:pt>
                <c:pt idx="5">
                  <c:v>10.026776462000001</c:v>
                </c:pt>
                <c:pt idx="6">
                  <c:v>5.0416513269999994</c:v>
                </c:pt>
                <c:pt idx="7">
                  <c:v>1.6803832452</c:v>
                </c:pt>
                <c:pt idx="8">
                  <c:v>1.6803898944000002</c:v>
                </c:pt>
                <c:pt idx="9">
                  <c:v>1.6821431596</c:v>
                </c:pt>
              </c:numCache>
            </c:numRef>
          </c:xVal>
          <c:yVal>
            <c:numRef>
              <c:f>'Data(2013)b'!$O$330:$O$339</c:f>
              <c:numCache>
                <c:formatCode>0.000</c:formatCode>
                <c:ptCount val="10"/>
                <c:pt idx="0">
                  <c:v>-0.21963928474209132</c:v>
                </c:pt>
                <c:pt idx="1">
                  <c:v>-0.23691185325673361</c:v>
                </c:pt>
                <c:pt idx="2">
                  <c:v>-0.32268627578615139</c:v>
                </c:pt>
                <c:pt idx="3">
                  <c:v>-0.38961433766937514</c:v>
                </c:pt>
                <c:pt idx="4">
                  <c:v>-0.45053529356313682</c:v>
                </c:pt>
                <c:pt idx="5">
                  <c:v>-0.49742491539883105</c:v>
                </c:pt>
                <c:pt idx="6">
                  <c:v>-0.52869668298132988</c:v>
                </c:pt>
                <c:pt idx="7">
                  <c:v>-0.53397329025768725</c:v>
                </c:pt>
                <c:pt idx="8">
                  <c:v>-0.56004442369967156</c:v>
                </c:pt>
                <c:pt idx="9">
                  <c:v>-0.54729107611680117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E-4971-A187-2A60FF8CCEA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'Data(2013)b'!$N$330:$N$339</c:f>
              <c:numCache>
                <c:formatCode>0.0</c:formatCode>
                <c:ptCount val="10"/>
                <c:pt idx="0">
                  <c:v>119.94934799999999</c:v>
                </c:pt>
                <c:pt idx="1">
                  <c:v>100.03655934</c:v>
                </c:pt>
                <c:pt idx="2">
                  <c:v>60.037394792000001</c:v>
                </c:pt>
                <c:pt idx="3">
                  <c:v>40.069161023999996</c:v>
                </c:pt>
                <c:pt idx="4">
                  <c:v>20.017243256</c:v>
                </c:pt>
                <c:pt idx="5">
                  <c:v>10.026776462000001</c:v>
                </c:pt>
                <c:pt idx="6">
                  <c:v>5.0416513269999994</c:v>
                </c:pt>
                <c:pt idx="7">
                  <c:v>1.6803832452</c:v>
                </c:pt>
                <c:pt idx="8">
                  <c:v>1.6803898944000002</c:v>
                </c:pt>
                <c:pt idx="9">
                  <c:v>1.6821431596</c:v>
                </c:pt>
              </c:numCache>
            </c:numRef>
          </c:xVal>
          <c:yVal>
            <c:numRef>
              <c:f>'Data(2013)b'!$O$341:$O$350</c:f>
              <c:numCache>
                <c:formatCode>0.000</c:formatCode>
                <c:ptCount val="10"/>
                <c:pt idx="0">
                  <c:v>-0.24776658839947924</c:v>
                </c:pt>
                <c:pt idx="1">
                  <c:v>-0.26931496159984064</c:v>
                </c:pt>
                <c:pt idx="2">
                  <c:v>-0.37356867754675449</c:v>
                </c:pt>
                <c:pt idx="3">
                  <c:v>-0.45052317773668449</c:v>
                </c:pt>
                <c:pt idx="4">
                  <c:v>-0.53859463143041342</c:v>
                </c:pt>
                <c:pt idx="5">
                  <c:v>-0.60353009554025205</c:v>
                </c:pt>
                <c:pt idx="6">
                  <c:v>-0.64188123668868113</c:v>
                </c:pt>
                <c:pt idx="7">
                  <c:v>-0.68901208469475306</c:v>
                </c:pt>
                <c:pt idx="8">
                  <c:v>-0.68920846076064168</c:v>
                </c:pt>
                <c:pt idx="9">
                  <c:v>-0.6914676160318266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E-4971-A187-2A60FF8CC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36768"/>
        <c:axId val="237538688"/>
      </c:scatterChart>
      <c:valAx>
        <c:axId val="23753676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538688"/>
        <c:crosses val="autoZero"/>
        <c:crossBetween val="midCat"/>
      </c:valAx>
      <c:valAx>
        <c:axId val="237538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536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574007220216606"/>
          <c:y val="0.43806709961858997"/>
          <c:w val="0.14981949458483756"/>
          <c:h val="0.129909682739808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615029921100584E-2"/>
          <c:y val="7.0028202764472719E-2"/>
          <c:w val="0.76051900112352266"/>
          <c:h val="0.862747458058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'Data(2013)'!$AJ$266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'Data(2013)'!$AJ$267:$AJ$272</c:f>
              <c:numCache>
                <c:formatCode>0.000</c:formatCode>
                <c:ptCount val="6"/>
                <c:pt idx="0">
                  <c:v>-8.1439284944698015E-2</c:v>
                </c:pt>
                <c:pt idx="1">
                  <c:v>-7.9358248507449797E-2</c:v>
                </c:pt>
                <c:pt idx="2">
                  <c:v>-9.3697177512582275E-2</c:v>
                </c:pt>
                <c:pt idx="3">
                  <c:v>-9.9013890216478634E-2</c:v>
                </c:pt>
                <c:pt idx="4">
                  <c:v>-0.10363544064119296</c:v>
                </c:pt>
                <c:pt idx="5">
                  <c:v>-9.6542210222661726E-2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1D-4259-A185-2F2D03CE54DA}"/>
            </c:ext>
          </c:extLst>
        </c:ser>
        <c:ser>
          <c:idx val="1"/>
          <c:order val="1"/>
          <c:tx>
            <c:strRef>
              <c:f>'Data(2013)'!$AK$266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'Data(2013)'!$AK$267:$AK$272</c:f>
              <c:numCache>
                <c:formatCode>0.000</c:formatCode>
                <c:ptCount val="6"/>
                <c:pt idx="0">
                  <c:v>-8.8702033366159269E-2</c:v>
                </c:pt>
                <c:pt idx="1">
                  <c:v>-9.7745581980004034E-2</c:v>
                </c:pt>
                <c:pt idx="2">
                  <c:v>-9.1800236002878205E-2</c:v>
                </c:pt>
                <c:pt idx="3">
                  <c:v>-8.8317950829582173E-2</c:v>
                </c:pt>
                <c:pt idx="4">
                  <c:v>-8.9429398442340324E-2</c:v>
                </c:pt>
                <c:pt idx="5">
                  <c:v>-9.2053514785742349E-2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1D-4259-A185-2F2D03CE54DA}"/>
            </c:ext>
          </c:extLst>
        </c:ser>
        <c:ser>
          <c:idx val="2"/>
          <c:order val="2"/>
          <c:tx>
            <c:strRef>
              <c:f>'Data(2013)'!$AL$266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'Data(2013)'!$AL$267:$AL$272</c:f>
              <c:numCache>
                <c:formatCode>0.000</c:formatCode>
                <c:ptCount val="6"/>
                <c:pt idx="0">
                  <c:v>-8.9179967352323475E-2</c:v>
                </c:pt>
                <c:pt idx="1">
                  <c:v>-8.8673605074541889E-2</c:v>
                </c:pt>
                <c:pt idx="2">
                  <c:v>-9.3099311737729715E-2</c:v>
                </c:pt>
                <c:pt idx="3">
                  <c:v>-9.3502010947139294E-2</c:v>
                </c:pt>
                <c:pt idx="4">
                  <c:v>-0.10019637142606318</c:v>
                </c:pt>
                <c:pt idx="5">
                  <c:v>-9.6009741800694673E-2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1D-4259-A185-2F2D03CE54DA}"/>
            </c:ext>
          </c:extLst>
        </c:ser>
        <c:ser>
          <c:idx val="3"/>
          <c:order val="3"/>
          <c:tx>
            <c:strRef>
              <c:f>'Data(2013)'!$AM$266</c:f>
              <c:strCache>
                <c:ptCount val="1"/>
                <c:pt idx="0">
                  <c:v>last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'Data(2013)'!$AM$267:$AM$272</c:f>
              <c:numCache>
                <c:formatCode>0.000</c:formatCode>
                <c:ptCount val="6"/>
                <c:pt idx="0">
                  <c:v>-7.3716188367416113E-2</c:v>
                </c:pt>
                <c:pt idx="1">
                  <c:v>-7.7308476267283363E-2</c:v>
                </c:pt>
                <c:pt idx="2">
                  <c:v>-8.1071500901025412E-2</c:v>
                </c:pt>
                <c:pt idx="3">
                  <c:v>-8.2984279088848714E-2</c:v>
                </c:pt>
                <c:pt idx="4">
                  <c:v>-8.7480565310031233E-2</c:v>
                </c:pt>
                <c:pt idx="5">
                  <c:v>-8.4872742165709364E-2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1D-4259-A185-2F2D03CE54DA}"/>
            </c:ext>
          </c:extLst>
        </c:ser>
        <c:ser>
          <c:idx val="4"/>
          <c:order val="4"/>
          <c:tx>
            <c:strRef>
              <c:f>'Data(2013)'!$AN$266</c:f>
              <c:strCache>
                <c:ptCount val="1"/>
                <c:pt idx="0">
                  <c:v>2000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'Data(2013)'!$AN$267:$AN$272</c:f>
              <c:numCache>
                <c:formatCode>0.000</c:formatCode>
                <c:ptCount val="6"/>
                <c:pt idx="0">
                  <c:v>-3.4492704398596641E-2</c:v>
                </c:pt>
                <c:pt idx="1">
                  <c:v>-3.4824253315917826E-2</c:v>
                </c:pt>
                <c:pt idx="2">
                  <c:v>-3.6059011501552544E-2</c:v>
                </c:pt>
                <c:pt idx="3">
                  <c:v>-4.1184706204225222E-2</c:v>
                </c:pt>
                <c:pt idx="4">
                  <c:v>-4.8580089536014316E-2</c:v>
                </c:pt>
                <c:pt idx="5">
                  <c:v>-4.8745143826448775E-2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1D-4259-A185-2F2D03CE5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32640"/>
        <c:axId val="242434816"/>
      </c:scatterChart>
      <c:valAx>
        <c:axId val="24243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434816"/>
        <c:crosses val="autoZero"/>
        <c:crossBetween val="midCat"/>
      </c:valAx>
      <c:valAx>
        <c:axId val="242434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432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158711957121861"/>
          <c:y val="0.35294205871324907"/>
          <c:w val="0.10194191745449299"/>
          <c:h val="0.268908445267870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600070000054682E-2"/>
          <c:y val="6.9832497480165248E-2"/>
          <c:w val="0.76320059625046577"/>
          <c:h val="0.863129668854842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'Data(2013)'!$AD$266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'Data(2013)'!$AD$267:$AD$272</c:f>
              <c:numCache>
                <c:formatCode>0.000</c:formatCode>
                <c:ptCount val="6"/>
                <c:pt idx="0">
                  <c:v>-0.10670696924214715</c:v>
                </c:pt>
                <c:pt idx="1">
                  <c:v>-0.11417693310428569</c:v>
                </c:pt>
                <c:pt idx="2">
                  <c:v>-0.16078174707746429</c:v>
                </c:pt>
                <c:pt idx="3">
                  <c:v>-0.17707008862549448</c:v>
                </c:pt>
                <c:pt idx="4">
                  <c:v>-0.17926661356212503</c:v>
                </c:pt>
                <c:pt idx="5">
                  <c:v>-0.19647382473943864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C-41A8-86DC-732F749F7958}"/>
            </c:ext>
          </c:extLst>
        </c:ser>
        <c:ser>
          <c:idx val="1"/>
          <c:order val="1"/>
          <c:tx>
            <c:strRef>
              <c:f>'Data(2013)'!$AE$266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'Data(2013)'!$AE$267:$AE$272</c:f>
              <c:numCache>
                <c:formatCode>0.000</c:formatCode>
                <c:ptCount val="6"/>
                <c:pt idx="0">
                  <c:v>-8.8762200769639435E-2</c:v>
                </c:pt>
                <c:pt idx="1">
                  <c:v>-9.9284838987080445E-2</c:v>
                </c:pt>
                <c:pt idx="2">
                  <c:v>-0.13350820356493742</c:v>
                </c:pt>
                <c:pt idx="3">
                  <c:v>-0.15528966458801599</c:v>
                </c:pt>
                <c:pt idx="4">
                  <c:v>-0.17792166878234775</c:v>
                </c:pt>
                <c:pt idx="5">
                  <c:v>-0.19313182282890731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C-41A8-86DC-732F749F7958}"/>
            </c:ext>
          </c:extLst>
        </c:ser>
        <c:ser>
          <c:idx val="2"/>
          <c:order val="2"/>
          <c:tx>
            <c:strRef>
              <c:f>'Data(2013)'!$AF$266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'Data(2013)'!$AF$267:$AF$272</c:f>
              <c:numCache>
                <c:formatCode>0.000</c:formatCode>
                <c:ptCount val="6"/>
                <c:pt idx="0">
                  <c:v>-0.10439622597582307</c:v>
                </c:pt>
                <c:pt idx="1">
                  <c:v>-0.10745521422611966</c:v>
                </c:pt>
                <c:pt idx="2">
                  <c:v>-0.13517554807046459</c:v>
                </c:pt>
                <c:pt idx="3">
                  <c:v>-0.15399968887837867</c:v>
                </c:pt>
                <c:pt idx="4">
                  <c:v>-0.17672463872532052</c:v>
                </c:pt>
                <c:pt idx="5">
                  <c:v>-0.18934728153018668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C-41A8-86DC-732F749F7958}"/>
            </c:ext>
          </c:extLst>
        </c:ser>
        <c:ser>
          <c:idx val="3"/>
          <c:order val="3"/>
          <c:tx>
            <c:strRef>
              <c:f>'Data(2013)'!$AG$266</c:f>
              <c:strCache>
                <c:ptCount val="1"/>
                <c:pt idx="0">
                  <c:v>last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'Data(2013)'!$AG$267:$AG$272</c:f>
              <c:numCache>
                <c:formatCode>0.000</c:formatCode>
                <c:ptCount val="6"/>
                <c:pt idx="0">
                  <c:v>-8.061610630601572E-2</c:v>
                </c:pt>
                <c:pt idx="1">
                  <c:v>-8.3456534392253381E-2</c:v>
                </c:pt>
                <c:pt idx="2">
                  <c:v>-0.10407211186258974</c:v>
                </c:pt>
                <c:pt idx="3">
                  <c:v>-0.12070263206786577</c:v>
                </c:pt>
                <c:pt idx="4">
                  <c:v>-0.13325600429872314</c:v>
                </c:pt>
                <c:pt idx="5">
                  <c:v>-0.14906421010561191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C-41A8-86DC-732F749F7958}"/>
            </c:ext>
          </c:extLst>
        </c:ser>
        <c:ser>
          <c:idx val="4"/>
          <c:order val="4"/>
          <c:tx>
            <c:strRef>
              <c:f>'Data(2013)'!$AH$266</c:f>
              <c:strCache>
                <c:ptCount val="1"/>
                <c:pt idx="0">
                  <c:v>2000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'Data(2013)'!$AC$267:$AC$272</c:f>
              <c:numCache>
                <c:formatCode>General</c:formatCode>
                <c:ptCount val="6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'Data(2013)'!$AH$267:$AH$272</c:f>
              <c:numCache>
                <c:formatCode>0.000</c:formatCode>
                <c:ptCount val="6"/>
                <c:pt idx="0">
                  <c:v>-6.4283107096448924E-2</c:v>
                </c:pt>
                <c:pt idx="1">
                  <c:v>-7.5981842629855176E-2</c:v>
                </c:pt>
                <c:pt idx="2">
                  <c:v>-9.3240173995619763E-2</c:v>
                </c:pt>
                <c:pt idx="3">
                  <c:v>-0.10007510810122923</c:v>
                </c:pt>
                <c:pt idx="4">
                  <c:v>-0.11276837815999342</c:v>
                </c:pt>
                <c:pt idx="5">
                  <c:v>-0.11699789837637713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C-41A8-86DC-732F749F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49408"/>
        <c:axId val="242472064"/>
      </c:scatterChart>
      <c:valAx>
        <c:axId val="24244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472064"/>
        <c:crosses val="autoZero"/>
        <c:crossBetween val="midCat"/>
      </c:valAx>
      <c:valAx>
        <c:axId val="242472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449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280067191601042"/>
          <c:y val="0.36871567031774655"/>
          <c:w val="0.1008"/>
          <c:h val="0.268156717840437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8876404494382E-2"/>
          <c:y val="6.5963145669042794E-2"/>
          <c:w val="0.6886035313001605"/>
          <c:h val="0.87071352283136494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'Data(2013)'!$X$290</c:f>
              <c:strCache>
                <c:ptCount val="1"/>
                <c:pt idx="0">
                  <c:v>2000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'Data(2013)'!$X$291:$X$296</c:f>
              <c:numCache>
                <c:formatCode>0.000</c:formatCode>
                <c:ptCount val="6"/>
                <c:pt idx="0">
                  <c:v>-0.41157445956753275</c:v>
                </c:pt>
                <c:pt idx="1">
                  <c:v>-0.37309207469497901</c:v>
                </c:pt>
                <c:pt idx="2">
                  <c:v>-0.31794850411741338</c:v>
                </c:pt>
                <c:pt idx="3">
                  <c:v>-0.27748743353949917</c:v>
                </c:pt>
                <c:pt idx="4">
                  <c:v>-0.20688727365950044</c:v>
                </c:pt>
                <c:pt idx="5">
                  <c:v>-0.18636193565663087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1-4899-89C1-D42525B870DB}"/>
            </c:ext>
          </c:extLst>
        </c:ser>
        <c:ser>
          <c:idx val="1"/>
          <c:order val="1"/>
          <c:tx>
            <c:strRef>
              <c:f>'Data(2013)'!$Y$290</c:f>
              <c:strCache>
                <c:ptCount val="1"/>
                <c:pt idx="0">
                  <c:v>1/02/2013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'Data(2013)'!$Y$291:$Y$296</c:f>
              <c:numCache>
                <c:formatCode>0.000</c:formatCode>
                <c:ptCount val="6"/>
                <c:pt idx="0">
                  <c:v>-0.46281010161896263</c:v>
                </c:pt>
                <c:pt idx="1">
                  <c:v>-0.42088844547353438</c:v>
                </c:pt>
                <c:pt idx="2">
                  <c:v>-0.34997076148241796</c:v>
                </c:pt>
                <c:pt idx="3">
                  <c:v>-0.29995264944492067</c:v>
                </c:pt>
                <c:pt idx="4">
                  <c:v>-0.22241885743034626</c:v>
                </c:pt>
                <c:pt idx="5">
                  <c:v>-0.20360540525707888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B1-4899-89C1-D42525B870DB}"/>
            </c:ext>
          </c:extLst>
        </c:ser>
        <c:ser>
          <c:idx val="2"/>
          <c:order val="2"/>
          <c:tx>
            <c:strRef>
              <c:f>'Data(2013)'!$Z$290</c:f>
              <c:strCache>
                <c:ptCount val="1"/>
                <c:pt idx="0">
                  <c:v>7/02/2013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'Data(2013)'!$Z$291:$Z$296</c:f>
              <c:numCache>
                <c:formatCode>0.000</c:formatCode>
                <c:ptCount val="6"/>
                <c:pt idx="0">
                  <c:v>-0.46772800191927605</c:v>
                </c:pt>
                <c:pt idx="1">
                  <c:v>-0.43130035148648954</c:v>
                </c:pt>
                <c:pt idx="2">
                  <c:v>-0.36413177364592525</c:v>
                </c:pt>
                <c:pt idx="3">
                  <c:v>-0.30969241721252455</c:v>
                </c:pt>
                <c:pt idx="4">
                  <c:v>-0.23519512791002395</c:v>
                </c:pt>
                <c:pt idx="5">
                  <c:v>-0.20844230523483276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B1-4899-89C1-D42525B870DB}"/>
            </c:ext>
          </c:extLst>
        </c:ser>
        <c:ser>
          <c:idx val="3"/>
          <c:order val="3"/>
          <c:tx>
            <c:strRef>
              <c:f>'Data(2013)'!$AA$290</c:f>
              <c:strCache>
                <c:ptCount val="1"/>
                <c:pt idx="0">
                  <c:v>22/02/2013_1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'Data(2013)'!$AA$291:$AA$296</c:f>
              <c:numCache>
                <c:formatCode>0.000</c:formatCode>
                <c:ptCount val="6"/>
                <c:pt idx="0">
                  <c:v>-0.52516275951273439</c:v>
                </c:pt>
                <c:pt idx="1">
                  <c:v>-0.47838349644473915</c:v>
                </c:pt>
                <c:pt idx="2">
                  <c:v>-0.39392619534401485</c:v>
                </c:pt>
                <c:pt idx="3">
                  <c:v>-0.34509047363514567</c:v>
                </c:pt>
                <c:pt idx="4">
                  <c:v>-0.2486592703721163</c:v>
                </c:pt>
                <c:pt idx="5">
                  <c:v>-0.2308645774857688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B1-4899-89C1-D42525B870DB}"/>
            </c:ext>
          </c:extLst>
        </c:ser>
        <c:ser>
          <c:idx val="4"/>
          <c:order val="4"/>
          <c:tx>
            <c:strRef>
              <c:f>'Data(2013)'!$AB$290</c:f>
              <c:strCache>
                <c:ptCount val="1"/>
                <c:pt idx="0">
                  <c:v>22/02/2013_2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'Data(2013)'!$AB$291:$AB$296</c:f>
              <c:numCache>
                <c:formatCode>0.000</c:formatCode>
                <c:ptCount val="6"/>
                <c:pt idx="0">
                  <c:v>-0.5478992482089956</c:v>
                </c:pt>
                <c:pt idx="1">
                  <c:v>-0.46390183191142093</c:v>
                </c:pt>
                <c:pt idx="2">
                  <c:v>-0.39007776449727222</c:v>
                </c:pt>
                <c:pt idx="3">
                  <c:v>-0.32689211593629608</c:v>
                </c:pt>
                <c:pt idx="4">
                  <c:v>-0.24749280661245143</c:v>
                </c:pt>
                <c:pt idx="5">
                  <c:v>-0.22465766408201082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B1-4899-89C1-D42525B870DB}"/>
            </c:ext>
          </c:extLst>
        </c:ser>
        <c:ser>
          <c:idx val="5"/>
          <c:order val="5"/>
          <c:tx>
            <c:strRef>
              <c:f>'Data(2013)'!$AC$290</c:f>
              <c:strCache>
                <c:ptCount val="1"/>
                <c:pt idx="0">
                  <c:v>22/02/2013_3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'Data(2013)'!$AC$291:$AC$296</c:f>
              <c:numCache>
                <c:formatCode>0.000</c:formatCode>
                <c:ptCount val="6"/>
                <c:pt idx="0">
                  <c:v>-0.53850063708375973</c:v>
                </c:pt>
                <c:pt idx="1">
                  <c:v>-0.46400723608405547</c:v>
                </c:pt>
                <c:pt idx="2">
                  <c:v>-0.38968452681589166</c:v>
                </c:pt>
                <c:pt idx="3">
                  <c:v>-0.33553769874432038</c:v>
                </c:pt>
                <c:pt idx="4">
                  <c:v>-0.24738893096899242</c:v>
                </c:pt>
                <c:pt idx="5">
                  <c:v>-0.22220632616838087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B1-4899-89C1-D42525B870DB}"/>
            </c:ext>
          </c:extLst>
        </c:ser>
        <c:ser>
          <c:idx val="6"/>
          <c:order val="6"/>
          <c:tx>
            <c:strRef>
              <c:f>'Data(2013)'!$AD$290</c:f>
              <c:strCache>
                <c:ptCount val="1"/>
                <c:pt idx="0">
                  <c:v>22/02/2013_4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'Data(2013)'!$AD$291:$AD$296</c:f>
              <c:numCache>
                <c:formatCode>0.000</c:formatCode>
                <c:ptCount val="6"/>
                <c:pt idx="0">
                  <c:v>-0.53595115467592269</c:v>
                </c:pt>
                <c:pt idx="1">
                  <c:v>-0.45702689061404317</c:v>
                </c:pt>
                <c:pt idx="2">
                  <c:v>-0.390440503350029</c:v>
                </c:pt>
                <c:pt idx="3">
                  <c:v>-0.32564248447518951</c:v>
                </c:pt>
                <c:pt idx="4">
                  <c:v>-0.24865853816856542</c:v>
                </c:pt>
                <c:pt idx="5">
                  <c:v>-0.21977864326755653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B1-4899-89C1-D42525B870DB}"/>
            </c:ext>
          </c:extLst>
        </c:ser>
        <c:ser>
          <c:idx val="7"/>
          <c:order val="7"/>
          <c:tx>
            <c:strRef>
              <c:f>'Data(2013)'!$AE$290</c:f>
              <c:strCache>
                <c:ptCount val="1"/>
                <c:pt idx="0">
                  <c:v>22/02/2013_5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'Data(2013)'!$AE$291:$AE$296</c:f>
              <c:numCache>
                <c:formatCode>0.000</c:formatCode>
                <c:ptCount val="6"/>
                <c:pt idx="0">
                  <c:v>-0.52378502957956974</c:v>
                </c:pt>
                <c:pt idx="1">
                  <c:v>-0.45434317571886634</c:v>
                </c:pt>
                <c:pt idx="2">
                  <c:v>-0.38938505497157833</c:v>
                </c:pt>
                <c:pt idx="3">
                  <c:v>-0.32272897810962464</c:v>
                </c:pt>
                <c:pt idx="4">
                  <c:v>-0.24862634777645903</c:v>
                </c:pt>
                <c:pt idx="5">
                  <c:v>-0.21985740038458859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B1-4899-89C1-D42525B870DB}"/>
            </c:ext>
          </c:extLst>
        </c:ser>
        <c:ser>
          <c:idx val="8"/>
          <c:order val="8"/>
          <c:tx>
            <c:strRef>
              <c:f>'Data(2013)'!$AF$290</c:f>
              <c:strCache>
                <c:ptCount val="1"/>
                <c:pt idx="0">
                  <c:v>Last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'Data(2013)'!$W$291:$W$296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'Data(2013)'!$AF$291:$AF$296</c:f>
              <c:numCache>
                <c:formatCode>0.000</c:formatCode>
                <c:ptCount val="6"/>
                <c:pt idx="0">
                  <c:v>-0.49867168670883572</c:v>
                </c:pt>
                <c:pt idx="1">
                  <c:v>-0.45387851906084892</c:v>
                </c:pt>
                <c:pt idx="2">
                  <c:v>-0.39137336676605305</c:v>
                </c:pt>
                <c:pt idx="3">
                  <c:v>-0.3238959479579045</c:v>
                </c:pt>
                <c:pt idx="4">
                  <c:v>-0.24585802481877733</c:v>
                </c:pt>
                <c:pt idx="5">
                  <c:v>-0.22043070927351319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B1-4899-89C1-D42525B87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18656"/>
        <c:axId val="242533120"/>
      </c:scatterChart>
      <c:valAx>
        <c:axId val="24251865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533120"/>
        <c:crosses val="autoZero"/>
        <c:crossBetween val="midCat"/>
      </c:valAx>
      <c:valAx>
        <c:axId val="242533120"/>
        <c:scaling>
          <c:orientation val="minMax"/>
          <c:max val="-0.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518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02247191011236"/>
          <c:y val="0.27440660946405443"/>
          <c:w val="0.1669341894060995"/>
          <c:h val="0.453826411540246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363494539781594E-2"/>
          <c:y val="6.5274151436031339E-2"/>
          <c:w val="0.69734789391575658"/>
          <c:h val="0.872062663185378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'Data(2013)'!$AI$290</c:f>
              <c:strCache>
                <c:ptCount val="1"/>
                <c:pt idx="0">
                  <c:v>2000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'Data(2013)'!$AI$291:$AI$296</c:f>
              <c:numCache>
                <c:formatCode>0.000</c:formatCode>
                <c:ptCount val="6"/>
                <c:pt idx="0">
                  <c:v>-0.21128689207763918</c:v>
                </c:pt>
                <c:pt idx="1">
                  <c:v>-0.1648337308856147</c:v>
                </c:pt>
                <c:pt idx="2">
                  <c:v>-0.19655464530470193</c:v>
                </c:pt>
                <c:pt idx="3">
                  <c:v>-0.20757087129560509</c:v>
                </c:pt>
                <c:pt idx="4">
                  <c:v>-0.20914552862274613</c:v>
                </c:pt>
                <c:pt idx="5">
                  <c:v>-0.23299220565878304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A-43C6-80F3-87D53ACD7CF3}"/>
            </c:ext>
          </c:extLst>
        </c:ser>
        <c:ser>
          <c:idx val="1"/>
          <c:order val="1"/>
          <c:tx>
            <c:strRef>
              <c:f>'Data(2013)'!$AJ$290</c:f>
              <c:strCache>
                <c:ptCount val="1"/>
                <c:pt idx="0">
                  <c:v>1/02/2013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'Data(2013)'!$AJ$291:$AJ$296</c:f>
              <c:numCache>
                <c:formatCode>0.000</c:formatCode>
                <c:ptCount val="6"/>
                <c:pt idx="0">
                  <c:v>-0.16927114400276633</c:v>
                </c:pt>
                <c:pt idx="1">
                  <c:v>-0.16523480351193134</c:v>
                </c:pt>
                <c:pt idx="2">
                  <c:v>-0.17258785393966597</c:v>
                </c:pt>
                <c:pt idx="3">
                  <c:v>-0.17879456127469437</c:v>
                </c:pt>
                <c:pt idx="4">
                  <c:v>-0.19076855573170312</c:v>
                </c:pt>
                <c:pt idx="5">
                  <c:v>-0.1849907161857931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A-43C6-80F3-87D53ACD7CF3}"/>
            </c:ext>
          </c:extLst>
        </c:ser>
        <c:ser>
          <c:idx val="2"/>
          <c:order val="2"/>
          <c:tx>
            <c:strRef>
              <c:f>'Data(2013)'!$AK$290</c:f>
              <c:strCache>
                <c:ptCount val="1"/>
                <c:pt idx="0">
                  <c:v>7/02/2013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'Data(2013)'!$AK$291:$AK$296</c:f>
              <c:numCache>
                <c:formatCode>0.000</c:formatCode>
                <c:ptCount val="6"/>
                <c:pt idx="0">
                  <c:v>-0.16442898143945994</c:v>
                </c:pt>
                <c:pt idx="1">
                  <c:v>-0.16943428415551065</c:v>
                </c:pt>
                <c:pt idx="2">
                  <c:v>-0.17167290820636519</c:v>
                </c:pt>
                <c:pt idx="3">
                  <c:v>-0.17776394763348652</c:v>
                </c:pt>
                <c:pt idx="4">
                  <c:v>-0.19115437154879153</c:v>
                </c:pt>
                <c:pt idx="5">
                  <c:v>-0.18539568268241569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A-43C6-80F3-87D53ACD7CF3}"/>
            </c:ext>
          </c:extLst>
        </c:ser>
        <c:ser>
          <c:idx val="3"/>
          <c:order val="3"/>
          <c:tx>
            <c:strRef>
              <c:f>'Data(2013)'!$AL$290</c:f>
              <c:strCache>
                <c:ptCount val="1"/>
                <c:pt idx="0">
                  <c:v>22/02/2013_1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'Data(2013)'!$AL$291:$AL$296</c:f>
              <c:numCache>
                <c:formatCode>0.000</c:formatCode>
                <c:ptCount val="6"/>
                <c:pt idx="0">
                  <c:v>-0.1816142828505441</c:v>
                </c:pt>
                <c:pt idx="1">
                  <c:v>-0.17566496673842638</c:v>
                </c:pt>
                <c:pt idx="2">
                  <c:v>-0.19247199558464992</c:v>
                </c:pt>
                <c:pt idx="3">
                  <c:v>-0.20455161373704836</c:v>
                </c:pt>
                <c:pt idx="4">
                  <c:v>-0.20690735499001986</c:v>
                </c:pt>
                <c:pt idx="5">
                  <c:v>-0.20786154415849706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EA-43C6-80F3-87D53ACD7CF3}"/>
            </c:ext>
          </c:extLst>
        </c:ser>
        <c:ser>
          <c:idx val="4"/>
          <c:order val="4"/>
          <c:tx>
            <c:strRef>
              <c:f>'Data(2013)'!$AM$290</c:f>
              <c:strCache>
                <c:ptCount val="1"/>
                <c:pt idx="0">
                  <c:v>22/02/2013_2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'Data(2013)'!$AM$291:$AM$296</c:f>
              <c:numCache>
                <c:formatCode>0.000</c:formatCode>
                <c:ptCount val="6"/>
                <c:pt idx="0">
                  <c:v>-0.21173687678622383</c:v>
                </c:pt>
                <c:pt idx="1">
                  <c:v>-0.1741589754777349</c:v>
                </c:pt>
                <c:pt idx="2">
                  <c:v>-0.19067635864242949</c:v>
                </c:pt>
                <c:pt idx="3">
                  <c:v>-0.19821437241866113</c:v>
                </c:pt>
                <c:pt idx="4">
                  <c:v>-0.20554180605264377</c:v>
                </c:pt>
                <c:pt idx="5">
                  <c:v>-0.20778708275476254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EA-43C6-80F3-87D53ACD7CF3}"/>
            </c:ext>
          </c:extLst>
        </c:ser>
        <c:ser>
          <c:idx val="5"/>
          <c:order val="5"/>
          <c:tx>
            <c:strRef>
              <c:f>'Data(2013)'!$AN$290</c:f>
              <c:strCache>
                <c:ptCount val="1"/>
                <c:pt idx="0">
                  <c:v>22/02/2013_3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'Data(2013)'!$AN$291:$AN$296</c:f>
              <c:numCache>
                <c:formatCode>0.000</c:formatCode>
                <c:ptCount val="6"/>
                <c:pt idx="0">
                  <c:v>-0.20899960975779591</c:v>
                </c:pt>
                <c:pt idx="1">
                  <c:v>-0.17415688106899915</c:v>
                </c:pt>
                <c:pt idx="2">
                  <c:v>-0.19020144174431802</c:v>
                </c:pt>
                <c:pt idx="3">
                  <c:v>-0.196835208058354</c:v>
                </c:pt>
                <c:pt idx="4">
                  <c:v>-0.20522631383788142</c:v>
                </c:pt>
                <c:pt idx="5">
                  <c:v>-0.20827695770255675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EA-43C6-80F3-87D53ACD7CF3}"/>
            </c:ext>
          </c:extLst>
        </c:ser>
        <c:ser>
          <c:idx val="6"/>
          <c:order val="6"/>
          <c:tx>
            <c:strRef>
              <c:f>'Data(2013)'!$AO$290</c:f>
              <c:strCache>
                <c:ptCount val="1"/>
                <c:pt idx="0">
                  <c:v>22/02/2013_4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'Data(2013)'!$AO$291:$AO$296</c:f>
              <c:numCache>
                <c:formatCode>0.000</c:formatCode>
                <c:ptCount val="6"/>
                <c:pt idx="0">
                  <c:v>-0.20475326621473799</c:v>
                </c:pt>
                <c:pt idx="1">
                  <c:v>-0.17380904941705139</c:v>
                </c:pt>
                <c:pt idx="2">
                  <c:v>-0.18568133920170948</c:v>
                </c:pt>
                <c:pt idx="3">
                  <c:v>-0.19169857135319679</c:v>
                </c:pt>
                <c:pt idx="4">
                  <c:v>-0.20627244935579914</c:v>
                </c:pt>
                <c:pt idx="5">
                  <c:v>-0.2076325994051734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EA-43C6-80F3-87D53ACD7CF3}"/>
            </c:ext>
          </c:extLst>
        </c:ser>
        <c:ser>
          <c:idx val="7"/>
          <c:order val="7"/>
          <c:tx>
            <c:strRef>
              <c:f>'Data(2013)'!$AP$290</c:f>
              <c:strCache>
                <c:ptCount val="1"/>
                <c:pt idx="0">
                  <c:v>22/02/2013_5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'Data(2013)'!$AP$291:$AP$296</c:f>
              <c:numCache>
                <c:formatCode>0.000</c:formatCode>
                <c:ptCount val="6"/>
                <c:pt idx="0">
                  <c:v>-0.20557948335036805</c:v>
                </c:pt>
                <c:pt idx="1">
                  <c:v>-0.17376065360639195</c:v>
                </c:pt>
                <c:pt idx="2">
                  <c:v>-0.19112277905904393</c:v>
                </c:pt>
                <c:pt idx="3">
                  <c:v>-0.19411024171420924</c:v>
                </c:pt>
                <c:pt idx="4">
                  <c:v>-0.20642728722255438</c:v>
                </c:pt>
                <c:pt idx="5">
                  <c:v>-0.20791789281248699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EA-43C6-80F3-87D53ACD7CF3}"/>
            </c:ext>
          </c:extLst>
        </c:ser>
        <c:ser>
          <c:idx val="8"/>
          <c:order val="8"/>
          <c:tx>
            <c:strRef>
              <c:f>'Data(2013)'!$AQ$290</c:f>
              <c:strCache>
                <c:ptCount val="1"/>
                <c:pt idx="0">
                  <c:v>Last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'Data(2013)'!$AH$291:$AH$296</c:f>
              <c:numCache>
                <c:formatCode>0.0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'Data(2013)'!$AQ$291:$AQ$296</c:f>
              <c:numCache>
                <c:formatCode>0.000</c:formatCode>
                <c:ptCount val="6"/>
                <c:pt idx="0">
                  <c:v>-0.17359436802561373</c:v>
                </c:pt>
                <c:pt idx="1">
                  <c:v>-0.17691980180594055</c:v>
                </c:pt>
                <c:pt idx="2">
                  <c:v>-0.19004464772490792</c:v>
                </c:pt>
                <c:pt idx="3">
                  <c:v>-0.19816324647010167</c:v>
                </c:pt>
                <c:pt idx="4">
                  <c:v>-0.20759703640722754</c:v>
                </c:pt>
                <c:pt idx="5">
                  <c:v>-0.20864005635839958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EA-43C6-80F3-87D53ACD7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39584"/>
        <c:axId val="243949952"/>
      </c:scatterChart>
      <c:valAx>
        <c:axId val="24393958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949952"/>
        <c:crosses val="autoZero"/>
        <c:crossBetween val="midCat"/>
      </c:valAx>
      <c:valAx>
        <c:axId val="243949952"/>
        <c:scaling>
          <c:orientation val="minMax"/>
          <c:max val="-0.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939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83307332293288"/>
          <c:y val="0.28981723237597912"/>
          <c:w val="0.16224648985959433"/>
          <c:h val="0.449086161879895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'Data (2012)'!$M$9:$M$14</c:f>
              <c:numCache>
                <c:formatCode>0.0</c:formatCode>
                <c:ptCount val="6"/>
                <c:pt idx="0">
                  <c:v>119.988</c:v>
                </c:pt>
                <c:pt idx="1">
                  <c:v>100.17152144000001</c:v>
                </c:pt>
                <c:pt idx="2">
                  <c:v>60.003907267999999</c:v>
                </c:pt>
                <c:pt idx="3">
                  <c:v>39.996599642</c:v>
                </c:pt>
                <c:pt idx="4">
                  <c:v>20.000281278000003</c:v>
                </c:pt>
                <c:pt idx="5">
                  <c:v>10.003043849999999</c:v>
                </c:pt>
              </c:numCache>
            </c:numRef>
          </c:xVal>
          <c:yVal>
            <c:numRef>
              <c:f>'Data (2012)'!$N$26:$N$31</c:f>
              <c:numCache>
                <c:formatCode>0.000</c:formatCode>
                <c:ptCount val="6"/>
                <c:pt idx="0">
                  <c:v>-0.27506806912868809</c:v>
                </c:pt>
                <c:pt idx="1">
                  <c:v>-0.30048108348508251</c:v>
                </c:pt>
                <c:pt idx="2">
                  <c:v>-0.40678675592123281</c:v>
                </c:pt>
                <c:pt idx="3">
                  <c:v>-0.47289002279071429</c:v>
                </c:pt>
                <c:pt idx="4">
                  <c:v>-0.54123024778633089</c:v>
                </c:pt>
                <c:pt idx="5">
                  <c:v>-0.62361894398701723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F-4B03-9BF0-119647FF64C7}"/>
            </c:ext>
          </c:extLst>
        </c:ser>
        <c:ser>
          <c:idx val="1"/>
          <c:order val="1"/>
          <c:marker>
            <c:symbol val="none"/>
          </c:marker>
          <c:xVal>
            <c:numRef>
              <c:f>'Data (2012)'!$M$9:$M$14</c:f>
              <c:numCache>
                <c:formatCode>0.0</c:formatCode>
                <c:ptCount val="6"/>
                <c:pt idx="0">
                  <c:v>119.988</c:v>
                </c:pt>
                <c:pt idx="1">
                  <c:v>100.17152144000001</c:v>
                </c:pt>
                <c:pt idx="2">
                  <c:v>60.003907267999999</c:v>
                </c:pt>
                <c:pt idx="3">
                  <c:v>39.996599642</c:v>
                </c:pt>
                <c:pt idx="4">
                  <c:v>20.000281278000003</c:v>
                </c:pt>
                <c:pt idx="5">
                  <c:v>10.003043849999999</c:v>
                </c:pt>
              </c:numCache>
            </c:numRef>
          </c:xVal>
          <c:yVal>
            <c:numRef>
              <c:f>'Data (2012)'!$N$17:$N$22</c:f>
              <c:numCache>
                <c:formatCode>0.000</c:formatCode>
                <c:ptCount val="6"/>
                <c:pt idx="0">
                  <c:v>0.2161237043889534</c:v>
                </c:pt>
                <c:pt idx="1">
                  <c:v>0.20182909029466448</c:v>
                </c:pt>
                <c:pt idx="2">
                  <c:v>0.20940826603451226</c:v>
                </c:pt>
                <c:pt idx="3">
                  <c:v>0.18908243462458069</c:v>
                </c:pt>
                <c:pt idx="4">
                  <c:v>0.16699192268865518</c:v>
                </c:pt>
                <c:pt idx="5">
                  <c:v>0.17136611967966936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CF-4B03-9BF0-119647FF6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79776"/>
        <c:axId val="243981312"/>
      </c:scatterChart>
      <c:valAx>
        <c:axId val="2439797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981312"/>
        <c:crosses val="autoZero"/>
        <c:crossBetween val="midCat"/>
      </c:valAx>
      <c:valAx>
        <c:axId val="24398131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979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254697286012524"/>
          <c:y val="0.40282759708040028"/>
          <c:w val="0.1524008350730689"/>
          <c:h val="0.15547740278048283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00009390032856"/>
          <c:y val="9.4203231867187029E-2"/>
          <c:w val="0.63076982306361085"/>
          <c:h val="0.74275625126051315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summary!$B$89</c:f>
              <c:strCache>
                <c:ptCount val="1"/>
                <c:pt idx="0">
                  <c:v>Re Tb 20:5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summary!$A$90:$A$95</c:f>
              <c:numCache>
                <c:formatCode>0.0</c:formatCode>
                <c:ptCount val="6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summary!$B$90:$B$95</c:f>
              <c:numCache>
                <c:formatCode>0.00</c:formatCode>
                <c:ptCount val="6"/>
                <c:pt idx="0">
                  <c:v>0.1351880117726019</c:v>
                </c:pt>
                <c:pt idx="1">
                  <c:v>0.1503019718467504</c:v>
                </c:pt>
                <c:pt idx="2">
                  <c:v>0.2025501789952302</c:v>
                </c:pt>
                <c:pt idx="3">
                  <c:v>0.23919254108133742</c:v>
                </c:pt>
                <c:pt idx="4">
                  <c:v>0.29956840986740263</c:v>
                </c:pt>
                <c:pt idx="5">
                  <c:v>0.33931546290343328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6-4187-81C4-5A57BFC440F0}"/>
            </c:ext>
          </c:extLst>
        </c:ser>
        <c:ser>
          <c:idx val="1"/>
          <c:order val="1"/>
          <c:tx>
            <c:strRef>
              <c:f>summary!$C$89</c:f>
              <c:strCache>
                <c:ptCount val="1"/>
                <c:pt idx="0">
                  <c:v>Im Tb 20:5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summary!$A$90:$A$95</c:f>
              <c:numCache>
                <c:formatCode>0.0</c:formatCode>
                <c:ptCount val="6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summary!$C$90:$C$95</c:f>
              <c:numCache>
                <c:formatCode>0.00</c:formatCode>
                <c:ptCount val="6"/>
                <c:pt idx="0">
                  <c:v>8.4429064204047777E-2</c:v>
                </c:pt>
                <c:pt idx="1">
                  <c:v>8.3871606677233645E-2</c:v>
                </c:pt>
                <c:pt idx="2">
                  <c:v>6.3994896945218094E-2</c:v>
                </c:pt>
                <c:pt idx="3">
                  <c:v>6.6457406708342742E-2</c:v>
                </c:pt>
                <c:pt idx="4">
                  <c:v>6.014378358939431E-2</c:v>
                </c:pt>
                <c:pt idx="5">
                  <c:v>3.3537829090675063E-2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A6-4187-81C4-5A57BFC440F0}"/>
            </c:ext>
          </c:extLst>
        </c:ser>
        <c:ser>
          <c:idx val="2"/>
          <c:order val="2"/>
          <c:tx>
            <c:strRef>
              <c:f>summary!$D$89</c:f>
              <c:strCache>
                <c:ptCount val="1"/>
                <c:pt idx="0">
                  <c:v>Re Tb 100:5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summary!$A$90:$A$95</c:f>
              <c:numCache>
                <c:formatCode>0.0</c:formatCode>
                <c:ptCount val="6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summary!$D$90:$D$95</c:f>
              <c:numCache>
                <c:formatCode>0.00</c:formatCode>
                <c:ptCount val="6"/>
                <c:pt idx="0">
                  <c:v>0.15213305302217844</c:v>
                </c:pt>
                <c:pt idx="1">
                  <c:v>0.16881396356939835</c:v>
                </c:pt>
                <c:pt idx="2">
                  <c:v>0.21956276025286839</c:v>
                </c:pt>
                <c:pt idx="3">
                  <c:v>0.25200167333853629</c:v>
                </c:pt>
                <c:pt idx="4">
                  <c:v>0.31280516301103778</c:v>
                </c:pt>
                <c:pt idx="5">
                  <c:v>0.34690340839935313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A6-4187-81C4-5A57BFC440F0}"/>
            </c:ext>
          </c:extLst>
        </c:ser>
        <c:ser>
          <c:idx val="3"/>
          <c:order val="3"/>
          <c:tx>
            <c:strRef>
              <c:f>summary!$E$89</c:f>
              <c:strCache>
                <c:ptCount val="1"/>
                <c:pt idx="0">
                  <c:v>Im Tb 100:5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summary!$A$90:$A$95</c:f>
              <c:numCache>
                <c:formatCode>0.0</c:formatCode>
                <c:ptCount val="6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</c:numCache>
            </c:numRef>
          </c:xVal>
          <c:yVal>
            <c:numRef>
              <c:f>summary!$E$90:$E$95</c:f>
              <c:numCache>
                <c:formatCode>0.00</c:formatCode>
                <c:ptCount val="6"/>
                <c:pt idx="0">
                  <c:v>7.5885012454326176E-2</c:v>
                </c:pt>
                <c:pt idx="1">
                  <c:v>7.3590724152435352E-2</c:v>
                </c:pt>
                <c:pt idx="2">
                  <c:v>5.5507836163637803E-2</c:v>
                </c:pt>
                <c:pt idx="3">
                  <c:v>5.7416420558101512E-2</c:v>
                </c:pt>
                <c:pt idx="4">
                  <c:v>4.5493238991726803E-2</c:v>
                </c:pt>
                <c:pt idx="5">
                  <c:v>2.6036797087866981E-2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A6-4187-81C4-5A57BFC44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74368"/>
        <c:axId val="247676288"/>
      </c:scatterChart>
      <c:valAx>
        <c:axId val="24767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76288"/>
        <c:crosses val="autoZero"/>
        <c:crossBetween val="midCat"/>
      </c:valAx>
      <c:valAx>
        <c:axId val="247676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743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50008075913587"/>
          <c:y val="0.30434896724865912"/>
          <c:w val="0.20961558651322432"/>
          <c:h val="0.307972155654456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13043478260869E-2"/>
          <c:y val="8.1325301204819275E-2"/>
          <c:w val="0.63478260869565217"/>
          <c:h val="0.77108433734939763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summary!$B$79</c:f>
              <c:strCache>
                <c:ptCount val="1"/>
                <c:pt idx="0">
                  <c:v>Ta 5:5 Re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summary!$A$80:$A$86</c:f>
              <c:numCache>
                <c:formatCode>0.0</c:formatCode>
                <c:ptCount val="7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summary!$B$80:$B$86</c:f>
              <c:numCache>
                <c:formatCode>0.00</c:formatCode>
                <c:ptCount val="7"/>
                <c:pt idx="0">
                  <c:v>0.20126165535041779</c:v>
                </c:pt>
                <c:pt idx="1">
                  <c:v>0.22128048997689495</c:v>
                </c:pt>
                <c:pt idx="2">
                  <c:v>0.29400347632483392</c:v>
                </c:pt>
                <c:pt idx="3">
                  <c:v>0.34251553607812396</c:v>
                </c:pt>
                <c:pt idx="4">
                  <c:v>0.41300674578822555</c:v>
                </c:pt>
                <c:pt idx="5">
                  <c:v>0.46485664587527964</c:v>
                </c:pt>
                <c:pt idx="6">
                  <c:v>0.49025071827737993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8-48DA-9F3B-6EEF713DED18}"/>
            </c:ext>
          </c:extLst>
        </c:ser>
        <c:ser>
          <c:idx val="1"/>
          <c:order val="1"/>
          <c:tx>
            <c:strRef>
              <c:f>summary!$C$79</c:f>
              <c:strCache>
                <c:ptCount val="1"/>
                <c:pt idx="0">
                  <c:v>Ta 5:5 Im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summary!$A$80:$A$86</c:f>
              <c:numCache>
                <c:formatCode>0.0</c:formatCode>
                <c:ptCount val="7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summary!$C$80:$C$86</c:f>
              <c:numCache>
                <c:formatCode>0.00</c:formatCode>
                <c:ptCount val="7"/>
                <c:pt idx="0">
                  <c:v>0.18102636161788591</c:v>
                </c:pt>
                <c:pt idx="1">
                  <c:v>0.17953313928460707</c:v>
                </c:pt>
                <c:pt idx="2">
                  <c:v>0.16541469617805926</c:v>
                </c:pt>
                <c:pt idx="3">
                  <c:v>0.16849323098037422</c:v>
                </c:pt>
                <c:pt idx="4">
                  <c:v>0.16087079269678239</c:v>
                </c:pt>
                <c:pt idx="5">
                  <c:v>0.13998090385502324</c:v>
                </c:pt>
                <c:pt idx="6">
                  <c:v>0.16344883463677234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98-48DA-9F3B-6EEF713DED18}"/>
            </c:ext>
          </c:extLst>
        </c:ser>
        <c:ser>
          <c:idx val="2"/>
          <c:order val="2"/>
          <c:tx>
            <c:strRef>
              <c:f>summary!$D$79</c:f>
              <c:strCache>
                <c:ptCount val="1"/>
                <c:pt idx="0">
                  <c:v>Ta 20:5 Re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summary!$A$80:$A$86</c:f>
              <c:numCache>
                <c:formatCode>0.0</c:formatCode>
                <c:ptCount val="7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summary!$D$80:$D$86</c:f>
              <c:numCache>
                <c:formatCode>0.00</c:formatCode>
                <c:ptCount val="7"/>
                <c:pt idx="0">
                  <c:v>0.19099327491213469</c:v>
                </c:pt>
                <c:pt idx="1">
                  <c:v>0.20981100044611947</c:v>
                </c:pt>
                <c:pt idx="2">
                  <c:v>0.27625827740036574</c:v>
                </c:pt>
                <c:pt idx="3">
                  <c:v>0.32629674811974124</c:v>
                </c:pt>
                <c:pt idx="4">
                  <c:v>0.40232279277714023</c:v>
                </c:pt>
                <c:pt idx="5">
                  <c:v>0.45121819923305623</c:v>
                </c:pt>
                <c:pt idx="6">
                  <c:v>0.47859715367101707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98-48DA-9F3B-6EEF713DED18}"/>
            </c:ext>
          </c:extLst>
        </c:ser>
        <c:ser>
          <c:idx val="3"/>
          <c:order val="3"/>
          <c:tx>
            <c:strRef>
              <c:f>summary!$E$79</c:f>
              <c:strCache>
                <c:ptCount val="1"/>
                <c:pt idx="0">
                  <c:v>Ta 20:5 Im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summary!$A$80:$A$86</c:f>
              <c:numCache>
                <c:formatCode>0.0</c:formatCode>
                <c:ptCount val="7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summary!$E$80:$E$86</c:f>
              <c:numCache>
                <c:formatCode>0.00</c:formatCode>
                <c:ptCount val="7"/>
                <c:pt idx="0">
                  <c:v>0.12771511396560489</c:v>
                </c:pt>
                <c:pt idx="1">
                  <c:v>0.12832447060119506</c:v>
                </c:pt>
                <c:pt idx="2">
                  <c:v>0.11282248388897273</c:v>
                </c:pt>
                <c:pt idx="3">
                  <c:v>0.11582823559203237</c:v>
                </c:pt>
                <c:pt idx="4">
                  <c:v>0.11063791085087632</c:v>
                </c:pt>
                <c:pt idx="5">
                  <c:v>9.1127136797747921E-2</c:v>
                </c:pt>
                <c:pt idx="6">
                  <c:v>0.11175136033072258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98-48DA-9F3B-6EEF713DED18}"/>
            </c:ext>
          </c:extLst>
        </c:ser>
        <c:ser>
          <c:idx val="4"/>
          <c:order val="4"/>
          <c:tx>
            <c:strRef>
              <c:f>summary!$F$79</c:f>
              <c:strCache>
                <c:ptCount val="1"/>
                <c:pt idx="0">
                  <c:v>Ta 100:5 Re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summary!$A$80:$A$86</c:f>
              <c:numCache>
                <c:formatCode>0.0</c:formatCode>
                <c:ptCount val="7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summary!$F$80:$F$86</c:f>
              <c:numCache>
                <c:formatCode>0.00</c:formatCode>
                <c:ptCount val="7"/>
                <c:pt idx="0">
                  <c:v>0.46178185283678869</c:v>
                </c:pt>
                <c:pt idx="1">
                  <c:v>0.49109774940254897</c:v>
                </c:pt>
                <c:pt idx="2">
                  <c:v>0.57380130208012348</c:v>
                </c:pt>
                <c:pt idx="3">
                  <c:v>0.62784704938040503</c:v>
                </c:pt>
                <c:pt idx="4">
                  <c:v>0.72067204373725469</c:v>
                </c:pt>
                <c:pt idx="5">
                  <c:v>0.7870099133891838</c:v>
                </c:pt>
                <c:pt idx="6">
                  <c:v>0.82325884457400822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98-48DA-9F3B-6EEF713DED18}"/>
            </c:ext>
          </c:extLst>
        </c:ser>
        <c:ser>
          <c:idx val="5"/>
          <c:order val="5"/>
          <c:tx>
            <c:strRef>
              <c:f>summary!$G$79</c:f>
              <c:strCache>
                <c:ptCount val="1"/>
                <c:pt idx="0">
                  <c:v>Ta 100:5 Im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summary!$A$80:$A$86</c:f>
              <c:numCache>
                <c:formatCode>0.0</c:formatCode>
                <c:ptCount val="7"/>
                <c:pt idx="0" formatCode="General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summary!$G$80:$G$86</c:f>
              <c:numCache>
                <c:formatCode>0.00</c:formatCode>
                <c:ptCount val="7"/>
                <c:pt idx="0">
                  <c:v>0.17629666402444322</c:v>
                </c:pt>
                <c:pt idx="1">
                  <c:v>0.17268289479295984</c:v>
                </c:pt>
                <c:pt idx="2">
                  <c:v>0.16447077938918025</c:v>
                </c:pt>
                <c:pt idx="3">
                  <c:v>0.16753522220996342</c:v>
                </c:pt>
                <c:pt idx="4">
                  <c:v>0.16169861065574931</c:v>
                </c:pt>
                <c:pt idx="5">
                  <c:v>0.14007734193056279</c:v>
                </c:pt>
                <c:pt idx="6">
                  <c:v>0.16832248933374094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98-48DA-9F3B-6EEF713DE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741056"/>
        <c:axId val="247743232"/>
      </c:scatterChart>
      <c:valAx>
        <c:axId val="247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743232"/>
        <c:crosses val="autoZero"/>
        <c:crossBetween val="midCat"/>
      </c:valAx>
      <c:valAx>
        <c:axId val="247743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741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700421593642255"/>
          <c:y val="0.27710843373493976"/>
          <c:w val="0.20905941635344361"/>
          <c:h val="0.421686746987951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/>
              <a:t>Ta 5/5 Phase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summary!$AG$4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summary!$AF$5:$AF$11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summary!$AG$5:$AG$11</c:f>
              <c:numCache>
                <c:formatCode>0.00</c:formatCode>
                <c:ptCount val="7"/>
                <c:pt idx="0">
                  <c:v>0.18102636161788591</c:v>
                </c:pt>
                <c:pt idx="1">
                  <c:v>0.17953313928460707</c:v>
                </c:pt>
                <c:pt idx="2">
                  <c:v>0.16541469617805926</c:v>
                </c:pt>
                <c:pt idx="3">
                  <c:v>0.16849323098037422</c:v>
                </c:pt>
                <c:pt idx="4">
                  <c:v>0.16087079269678239</c:v>
                </c:pt>
                <c:pt idx="5">
                  <c:v>0.13998090385502324</c:v>
                </c:pt>
                <c:pt idx="6">
                  <c:v>0.16344883463677234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C0-427D-B605-4AF297DD0631}"/>
            </c:ext>
          </c:extLst>
        </c:ser>
        <c:ser>
          <c:idx val="1"/>
          <c:order val="1"/>
          <c:tx>
            <c:strRef>
              <c:f>summary!$AH$4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summary!$AF$5:$AF$11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summary!$AH$5:$AH$11</c:f>
              <c:numCache>
                <c:formatCode>0.00</c:formatCode>
                <c:ptCount val="7"/>
                <c:pt idx="0">
                  <c:v>0.16256752612189707</c:v>
                </c:pt>
                <c:pt idx="1">
                  <c:v>0.165146221197813</c:v>
                </c:pt>
                <c:pt idx="2">
                  <c:v>0.14925697234266666</c:v>
                </c:pt>
                <c:pt idx="3">
                  <c:v>0.14577999723061763</c:v>
                </c:pt>
                <c:pt idx="4">
                  <c:v>0.1362867470648953</c:v>
                </c:pt>
                <c:pt idx="5">
                  <c:v>0.13445125490821078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C0-427D-B605-4AF297DD0631}"/>
            </c:ext>
          </c:extLst>
        </c:ser>
        <c:ser>
          <c:idx val="2"/>
          <c:order val="2"/>
          <c:tx>
            <c:strRef>
              <c:f>summary!$AI$4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summary!$AF$5:$AF$11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summary!$AI$5:$AI$11</c:f>
              <c:numCache>
                <c:formatCode>0.00</c:formatCode>
                <c:ptCount val="7"/>
                <c:pt idx="0">
                  <c:v>0.18</c:v>
                </c:pt>
                <c:pt idx="1">
                  <c:v>0.17660000000000001</c:v>
                </c:pt>
                <c:pt idx="2">
                  <c:v>0.16333333333333336</c:v>
                </c:pt>
                <c:pt idx="3">
                  <c:v>0.15496125968507876</c:v>
                </c:pt>
                <c:pt idx="4">
                  <c:v>0.14995501349595122</c:v>
                </c:pt>
                <c:pt idx="5">
                  <c:v>0.14000000000000001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C0-427D-B605-4AF297DD0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71360"/>
        <c:axId val="247872896"/>
      </c:scatterChart>
      <c:valAx>
        <c:axId val="2478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7872896"/>
        <c:crosses val="autoZero"/>
        <c:crossBetween val="midCat"/>
      </c:valAx>
      <c:valAx>
        <c:axId val="2478728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787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958486439195097"/>
          <c:y val="0.37666806649168855"/>
          <c:w val="0.19375043744531928"/>
          <c:h val="0.24000069991251088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/>
              <a:t>Ta 5/5 Ratio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summary!$AB$4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summary!$AA$5:$AA$11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summary!$AB$5:$AB$11</c:f>
              <c:numCache>
                <c:formatCode>0.00</c:formatCode>
                <c:ptCount val="7"/>
                <c:pt idx="0">
                  <c:v>0.20126165535041779</c:v>
                </c:pt>
                <c:pt idx="1">
                  <c:v>0.22128048997689495</c:v>
                </c:pt>
                <c:pt idx="2">
                  <c:v>0.29400347632483392</c:v>
                </c:pt>
                <c:pt idx="3">
                  <c:v>0.34251553607812396</c:v>
                </c:pt>
                <c:pt idx="4">
                  <c:v>0.41300674578822555</c:v>
                </c:pt>
                <c:pt idx="5">
                  <c:v>0.46485664587527964</c:v>
                </c:pt>
                <c:pt idx="6">
                  <c:v>0.49025071827737993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5-4C8C-BCB2-A8748CAD82C7}"/>
            </c:ext>
          </c:extLst>
        </c:ser>
        <c:ser>
          <c:idx val="1"/>
          <c:order val="1"/>
          <c:tx>
            <c:strRef>
              <c:f>summary!$AC$4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summary!$AA$5:$AA$11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summary!$AC$5:$AC$11</c:f>
              <c:numCache>
                <c:formatCode>0.00</c:formatCode>
                <c:ptCount val="7"/>
                <c:pt idx="0">
                  <c:v>0.18636193565663087</c:v>
                </c:pt>
                <c:pt idx="1">
                  <c:v>0.20688727365950044</c:v>
                </c:pt>
                <c:pt idx="2">
                  <c:v>0.27748743353949917</c:v>
                </c:pt>
                <c:pt idx="3">
                  <c:v>0.31794850411741338</c:v>
                </c:pt>
                <c:pt idx="4">
                  <c:v>0.37309207469497901</c:v>
                </c:pt>
                <c:pt idx="5">
                  <c:v>0.41157445956753275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F5-4C8C-BCB2-A8748CAD82C7}"/>
            </c:ext>
          </c:extLst>
        </c:ser>
        <c:ser>
          <c:idx val="2"/>
          <c:order val="2"/>
          <c:tx>
            <c:strRef>
              <c:f>summary!$AD$4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summary!$AA$5:$AA$11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summary!$AD$5:$AD$11</c:f>
              <c:numCache>
                <c:formatCode>0.00</c:formatCode>
                <c:ptCount val="7"/>
                <c:pt idx="0">
                  <c:v>0.2</c:v>
                </c:pt>
                <c:pt idx="1">
                  <c:v>0.218</c:v>
                </c:pt>
                <c:pt idx="2">
                  <c:v>0.27666666666666673</c:v>
                </c:pt>
                <c:pt idx="3">
                  <c:v>0.32491877030742322</c:v>
                </c:pt>
                <c:pt idx="4">
                  <c:v>0.38988303508947314</c:v>
                </c:pt>
                <c:pt idx="5">
                  <c:v>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F5-4C8C-BCB2-A8748CAD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903360"/>
        <c:axId val="247904896"/>
      </c:scatterChart>
      <c:valAx>
        <c:axId val="24790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7904896"/>
        <c:crosses val="autoZero"/>
        <c:crossBetween val="midCat"/>
      </c:valAx>
      <c:valAx>
        <c:axId val="2479048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790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958486439195097"/>
          <c:y val="0.37666806649168855"/>
          <c:w val="0.19375043744531928"/>
          <c:h val="0.24000069991251088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Tb 20/5 Ratio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summary!$AB$16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summary!$AA$17:$AA$23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summary!$AB$17:$AB$23</c:f>
              <c:numCache>
                <c:formatCode>0.00</c:formatCode>
                <c:ptCount val="7"/>
                <c:pt idx="0">
                  <c:v>0.1351880117726019</c:v>
                </c:pt>
                <c:pt idx="1">
                  <c:v>0.1503019718467504</c:v>
                </c:pt>
                <c:pt idx="2">
                  <c:v>0.2025501789952302</c:v>
                </c:pt>
                <c:pt idx="3">
                  <c:v>0.23919254108133742</c:v>
                </c:pt>
                <c:pt idx="4">
                  <c:v>0.29956840986740263</c:v>
                </c:pt>
                <c:pt idx="5">
                  <c:v>0.33931546290343328</c:v>
                </c:pt>
                <c:pt idx="6">
                  <c:v>0.35538771066235075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8-4306-B0DB-8C49D92B93B5}"/>
            </c:ext>
          </c:extLst>
        </c:ser>
        <c:ser>
          <c:idx val="1"/>
          <c:order val="1"/>
          <c:tx>
            <c:strRef>
              <c:f>summary!$AC$16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summary!$AA$17:$AA$23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summary!$AC$17:$AC$23</c:f>
              <c:numCache>
                <c:formatCode>0.00</c:formatCode>
                <c:ptCount val="7"/>
                <c:pt idx="0">
                  <c:v>0.15326012485568657</c:v>
                </c:pt>
                <c:pt idx="1">
                  <c:v>0.16698870486754447</c:v>
                </c:pt>
                <c:pt idx="2">
                  <c:v>0.22776829664090706</c:v>
                </c:pt>
                <c:pt idx="3">
                  <c:v>0.28841078134344617</c:v>
                </c:pt>
                <c:pt idx="4">
                  <c:v>0.33822266357947783</c:v>
                </c:pt>
                <c:pt idx="5">
                  <c:v>0.3787863110110809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18-4306-B0DB-8C49D92B93B5}"/>
            </c:ext>
          </c:extLst>
        </c:ser>
        <c:ser>
          <c:idx val="2"/>
          <c:order val="2"/>
          <c:tx>
            <c:strRef>
              <c:f>summary!$AD$16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summary!$AA$17:$AA$23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summary!$AD$17:$AD$23</c:f>
              <c:numCache>
                <c:formatCode>0.00</c:formatCode>
                <c:ptCount val="7"/>
                <c:pt idx="0">
                  <c:v>0.12199170124481329</c:v>
                </c:pt>
                <c:pt idx="1">
                  <c:v>0.13903948025987006</c:v>
                </c:pt>
                <c:pt idx="2">
                  <c:v>0.17806573395514108</c:v>
                </c:pt>
                <c:pt idx="3">
                  <c:v>0.21494626343414153</c:v>
                </c:pt>
                <c:pt idx="4">
                  <c:v>0.26014251612739725</c:v>
                </c:pt>
                <c:pt idx="5">
                  <c:v>0.28008394963022193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18-4306-B0DB-8C49D92B9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271232"/>
        <c:axId val="248272768"/>
      </c:scatterChart>
      <c:valAx>
        <c:axId val="24827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8272768"/>
        <c:crosses val="autoZero"/>
        <c:crossBetween val="midCat"/>
      </c:valAx>
      <c:valAx>
        <c:axId val="248272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8271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NZ" sz="1200"/>
              <a:t>Tb 20/5 Phase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summary!$AG$16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summary!$AF$17:$AF$23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summary!$AG$17:$AG$23</c:f>
              <c:numCache>
                <c:formatCode>0.00</c:formatCode>
                <c:ptCount val="7"/>
                <c:pt idx="0">
                  <c:v>8.4429064204047777E-2</c:v>
                </c:pt>
                <c:pt idx="1">
                  <c:v>8.3871606677233645E-2</c:v>
                </c:pt>
                <c:pt idx="2">
                  <c:v>6.3994896945218094E-2</c:v>
                </c:pt>
                <c:pt idx="3">
                  <c:v>6.6457406708342742E-2</c:v>
                </c:pt>
                <c:pt idx="4">
                  <c:v>6.014378358939431E-2</c:v>
                </c:pt>
                <c:pt idx="5">
                  <c:v>3.3537829090675063E-2</c:v>
                </c:pt>
                <c:pt idx="6">
                  <c:v>5.7768877602184486E-2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C-4696-9886-C7DEAF386F05}"/>
            </c:ext>
          </c:extLst>
        </c:ser>
        <c:ser>
          <c:idx val="1"/>
          <c:order val="1"/>
          <c:tx>
            <c:strRef>
              <c:f>summary!$AH$16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summary!$AF$17:$AF$23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summary!$AH$17:$AH$23</c:f>
              <c:numCache>
                <c:formatCode>0.00</c:formatCode>
                <c:ptCount val="7"/>
                <c:pt idx="0">
                  <c:v>0.14046923098833419</c:v>
                </c:pt>
                <c:pt idx="1">
                  <c:v>0.13909466211984098</c:v>
                </c:pt>
                <c:pt idx="2">
                  <c:v>0.12842611399708037</c:v>
                </c:pt>
                <c:pt idx="3">
                  <c:v>0.11518182054921397</c:v>
                </c:pt>
                <c:pt idx="4">
                  <c:v>9.4661591298457498E-2</c:v>
                </c:pt>
                <c:pt idx="5">
                  <c:v>9.1171103227696199E-2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C-4696-9886-C7DEAF386F05}"/>
            </c:ext>
          </c:extLst>
        </c:ser>
        <c:ser>
          <c:idx val="2"/>
          <c:order val="2"/>
          <c:tx>
            <c:strRef>
              <c:f>summary!$AI$16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summary!$AF$17:$AF$23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summary!$AI$17:$AI$23</c:f>
              <c:numCache>
                <c:formatCode>0.00</c:formatCode>
                <c:ptCount val="7"/>
                <c:pt idx="0">
                  <c:v>0.10529045643153528</c:v>
                </c:pt>
                <c:pt idx="1">
                  <c:v>0.10243458270864567</c:v>
                </c:pt>
                <c:pt idx="2">
                  <c:v>9.2610481900954944E-2</c:v>
                </c:pt>
                <c:pt idx="3">
                  <c:v>7.9978755311172225E-2</c:v>
                </c:pt>
                <c:pt idx="4">
                  <c:v>7.5094734054833454E-2</c:v>
                </c:pt>
                <c:pt idx="5">
                  <c:v>5.5047971217269627E-2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C-4696-9886-C7DEAF386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98592"/>
        <c:axId val="248829056"/>
      </c:scatterChart>
      <c:valAx>
        <c:axId val="24879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8829056"/>
        <c:crosses val="autoZero"/>
        <c:crossBetween val="midCat"/>
      </c:valAx>
      <c:valAx>
        <c:axId val="2488290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879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Ta 100/5 (middle primary) Ratio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summary!$AB$27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summary!$AA$28:$AA$34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summary!$AB$28:$AB$34</c:f>
              <c:numCache>
                <c:formatCode>0.00</c:formatCode>
                <c:ptCount val="7"/>
                <c:pt idx="0">
                  <c:v>0.19099327491213469</c:v>
                </c:pt>
                <c:pt idx="1">
                  <c:v>0.20981100044611947</c:v>
                </c:pt>
                <c:pt idx="2">
                  <c:v>0.27625827740036574</c:v>
                </c:pt>
                <c:pt idx="3">
                  <c:v>0.32629674811974124</c:v>
                </c:pt>
                <c:pt idx="4">
                  <c:v>0.40232279277714023</c:v>
                </c:pt>
                <c:pt idx="5">
                  <c:v>0.45121819923305623</c:v>
                </c:pt>
                <c:pt idx="6">
                  <c:v>0.47859715367101707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2-44DD-9C9F-0807C5527553}"/>
            </c:ext>
          </c:extLst>
        </c:ser>
        <c:ser>
          <c:idx val="1"/>
          <c:order val="1"/>
          <c:tx>
            <c:strRef>
              <c:f>summary!$AC$27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summary!$AA$28:$AA$34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summary!$AC$28:$AC$34</c:f>
              <c:numCache>
                <c:formatCode>0.00</c:formatCode>
                <c:ptCount val="7"/>
                <c:pt idx="0">
                  <c:v>0.16196260708155136</c:v>
                </c:pt>
                <c:pt idx="1">
                  <c:v>0.17520180394394938</c:v>
                </c:pt>
                <c:pt idx="2">
                  <c:v>0.23896056624373971</c:v>
                </c:pt>
                <c:pt idx="3">
                  <c:v>0.28509596843850948</c:v>
                </c:pt>
                <c:pt idx="4">
                  <c:v>0.34319498529966458</c:v>
                </c:pt>
                <c:pt idx="5">
                  <c:v>0.39513198474162503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F2-44DD-9C9F-0807C5527553}"/>
            </c:ext>
          </c:extLst>
        </c:ser>
        <c:ser>
          <c:idx val="2"/>
          <c:order val="2"/>
          <c:tx>
            <c:strRef>
              <c:f>summary!$AD$27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summary!$AA$28:$AA$34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summary!$AD$28:$AD$34</c:f>
              <c:numCache>
                <c:formatCode>0.00</c:formatCode>
                <c:ptCount val="7"/>
                <c:pt idx="0">
                  <c:v>0.18704591308801594</c:v>
                </c:pt>
                <c:pt idx="1">
                  <c:v>0.20896955018994001</c:v>
                </c:pt>
                <c:pt idx="2">
                  <c:v>0.2713990672884744</c:v>
                </c:pt>
                <c:pt idx="3">
                  <c:v>0.31986757245237785</c:v>
                </c:pt>
                <c:pt idx="4">
                  <c:v>0.37011502300067894</c:v>
                </c:pt>
                <c:pt idx="5">
                  <c:v>0.41994408949036177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F2-44DD-9C9F-0807C552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12512"/>
        <c:axId val="248930688"/>
      </c:scatterChart>
      <c:valAx>
        <c:axId val="24891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8930688"/>
        <c:crosses val="autoZero"/>
        <c:crossBetween val="midCat"/>
      </c:valAx>
      <c:valAx>
        <c:axId val="2489306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8912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Ta 100/5 (outer primary) Ratio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summary!$AB$36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summary!$AA$37:$AA$43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summary!$AB$37:$AB$43</c:f>
              <c:numCache>
                <c:formatCode>0.00</c:formatCode>
                <c:ptCount val="7"/>
                <c:pt idx="0">
                  <c:v>0.46178185283678869</c:v>
                </c:pt>
                <c:pt idx="1">
                  <c:v>0.49109774940254897</c:v>
                </c:pt>
                <c:pt idx="2">
                  <c:v>0.57380130208012348</c:v>
                </c:pt>
                <c:pt idx="3">
                  <c:v>0.62784704938040503</c:v>
                </c:pt>
                <c:pt idx="4">
                  <c:v>0.72067204373725469</c:v>
                </c:pt>
                <c:pt idx="5">
                  <c:v>0.7870099133891838</c:v>
                </c:pt>
                <c:pt idx="6">
                  <c:v>0.82325884457400822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C-40D2-ABEA-F36DBE962F48}"/>
            </c:ext>
          </c:extLst>
        </c:ser>
        <c:ser>
          <c:idx val="1"/>
          <c:order val="1"/>
          <c:tx>
            <c:strRef>
              <c:f>summary!$AC$36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summary!$AA$37:$AA$43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summary!$AC$37:$AC$43</c:f>
              <c:numCache>
                <c:formatCode>0.00</c:formatCode>
                <c:ptCount val="7"/>
                <c:pt idx="1">
                  <c:v>0.50411215189157998</c:v>
                </c:pt>
                <c:pt idx="2">
                  <c:v>0.57421070465626856</c:v>
                </c:pt>
                <c:pt idx="3">
                  <c:v>0.62000704075938762</c:v>
                </c:pt>
                <c:pt idx="4">
                  <c:v>0.67417738746437383</c:v>
                </c:pt>
                <c:pt idx="5">
                  <c:v>0.71482882068229192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3C-40D2-ABEA-F36DBE962F48}"/>
            </c:ext>
          </c:extLst>
        </c:ser>
        <c:ser>
          <c:idx val="2"/>
          <c:order val="2"/>
          <c:tx>
            <c:strRef>
              <c:f>summary!$AD$36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summary!$AA$37:$AA$43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summary!$AD$37:$AD$43</c:f>
              <c:numCache>
                <c:formatCode>0.00</c:formatCode>
                <c:ptCount val="7"/>
                <c:pt idx="1">
                  <c:v>0.40242483783376193</c:v>
                </c:pt>
                <c:pt idx="2">
                  <c:v>0.46867644535749864</c:v>
                </c:pt>
                <c:pt idx="3">
                  <c:v>0.51162794226747033</c:v>
                </c:pt>
                <c:pt idx="4">
                  <c:v>0.5609670969636974</c:v>
                </c:pt>
                <c:pt idx="5">
                  <c:v>0.5799440894903618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3C-40D2-ABEA-F36DBE962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73184"/>
        <c:axId val="248974720"/>
      </c:scatterChart>
      <c:valAx>
        <c:axId val="24897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8974720"/>
        <c:crosses val="autoZero"/>
        <c:crossBetween val="midCat"/>
      </c:valAx>
      <c:valAx>
        <c:axId val="248974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8973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Ta 100/5 (middle primary) Phase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summary!$AG$27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summary!$AF$28:$AF$34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summary!$AG$28:$AG$34</c:f>
              <c:numCache>
                <c:formatCode>0.00</c:formatCode>
                <c:ptCount val="7"/>
                <c:pt idx="0">
                  <c:v>0.12771511396560489</c:v>
                </c:pt>
                <c:pt idx="1">
                  <c:v>0.12832447060119506</c:v>
                </c:pt>
                <c:pt idx="2">
                  <c:v>0.11282248388897273</c:v>
                </c:pt>
                <c:pt idx="3">
                  <c:v>0.11582823559203237</c:v>
                </c:pt>
                <c:pt idx="4">
                  <c:v>0.11063791085087632</c:v>
                </c:pt>
                <c:pt idx="5">
                  <c:v>9.1127136797747921E-2</c:v>
                </c:pt>
                <c:pt idx="6">
                  <c:v>0.11175136033072258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A5-49CF-85CD-A522D8E444D9}"/>
            </c:ext>
          </c:extLst>
        </c:ser>
        <c:ser>
          <c:idx val="1"/>
          <c:order val="1"/>
          <c:tx>
            <c:strRef>
              <c:f>summary!$AH$27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summary!$AF$28:$AF$34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summary!$AH$28:$AH$34</c:f>
              <c:numCache>
                <c:formatCode>0.00</c:formatCode>
                <c:ptCount val="7"/>
                <c:pt idx="0">
                  <c:v>0.16556192207802131</c:v>
                </c:pt>
                <c:pt idx="1">
                  <c:v>0.16595331840525132</c:v>
                </c:pt>
                <c:pt idx="2">
                  <c:v>0.15257698926646732</c:v>
                </c:pt>
                <c:pt idx="3">
                  <c:v>0.14641460750250063</c:v>
                </c:pt>
                <c:pt idx="4">
                  <c:v>0.13628147792375231</c:v>
                </c:pt>
                <c:pt idx="5">
                  <c:v>0.13472263380234348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A5-49CF-85CD-A522D8E444D9}"/>
            </c:ext>
          </c:extLst>
        </c:ser>
        <c:ser>
          <c:idx val="2"/>
          <c:order val="2"/>
          <c:tx>
            <c:strRef>
              <c:f>summary!$AI$27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summary!$AF$28:$AF$34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summary!$AI$28:$AI$34</c:f>
              <c:numCache>
                <c:formatCode>0.00</c:formatCode>
                <c:ptCount val="7"/>
                <c:pt idx="0">
                  <c:v>0.17034466827473793</c:v>
                </c:pt>
                <c:pt idx="1">
                  <c:v>0.17236465263871562</c:v>
                </c:pt>
                <c:pt idx="2">
                  <c:v>0.16261048190095495</c:v>
                </c:pt>
                <c:pt idx="3">
                  <c:v>0.1499262946566631</c:v>
                </c:pt>
                <c:pt idx="4">
                  <c:v>0.14507723842873999</c:v>
                </c:pt>
                <c:pt idx="5">
                  <c:v>0.12497804114733957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A5-49CF-85CD-A522D8E44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44160"/>
        <c:axId val="249645696"/>
      </c:scatterChart>
      <c:valAx>
        <c:axId val="24964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645696"/>
        <c:crosses val="autoZero"/>
        <c:crossBetween val="midCat"/>
      </c:valAx>
      <c:valAx>
        <c:axId val="2496456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644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Ta 100/5 (outer primary) Phase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summary!$AG$36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summary!$AF$37:$AF$43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summary!$AG$37:$AG$43</c:f>
              <c:numCache>
                <c:formatCode>0.00</c:formatCode>
                <c:ptCount val="7"/>
                <c:pt idx="0">
                  <c:v>0.17629666402444322</c:v>
                </c:pt>
                <c:pt idx="1">
                  <c:v>0.17268289479295984</c:v>
                </c:pt>
                <c:pt idx="2">
                  <c:v>0.16447077938918025</c:v>
                </c:pt>
                <c:pt idx="3">
                  <c:v>0.16753522220996342</c:v>
                </c:pt>
                <c:pt idx="4">
                  <c:v>0.16169861065574931</c:v>
                </c:pt>
                <c:pt idx="5">
                  <c:v>0.14007734193056279</c:v>
                </c:pt>
                <c:pt idx="6">
                  <c:v>0.16832248933374094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72-4791-B018-42AEFC898C23}"/>
            </c:ext>
          </c:extLst>
        </c:ser>
        <c:ser>
          <c:idx val="1"/>
          <c:order val="1"/>
          <c:tx>
            <c:strRef>
              <c:f>summary!$AH$36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summary!$AF$37:$AF$43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summary!$AH$37:$AH$43</c:f>
              <c:numCache>
                <c:formatCode>0.00</c:formatCode>
                <c:ptCount val="7"/>
                <c:pt idx="1">
                  <c:v>0.36103135147952076</c:v>
                </c:pt>
                <c:pt idx="2">
                  <c:v>0.34606402627655575</c:v>
                </c:pt>
                <c:pt idx="3">
                  <c:v>0.33769939264911109</c:v>
                </c:pt>
                <c:pt idx="4">
                  <c:v>0.32544451217348597</c:v>
                </c:pt>
                <c:pt idx="5">
                  <c:v>0.32079692711004948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72-4791-B018-42AEFC898C23}"/>
            </c:ext>
          </c:extLst>
        </c:ser>
        <c:ser>
          <c:idx val="2"/>
          <c:order val="2"/>
          <c:tx>
            <c:strRef>
              <c:f>summary!$AI$36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summary!$AF$37:$AF$43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summary!$AI$37:$AI$43</c:f>
              <c:numCache>
                <c:formatCode>0.00</c:formatCode>
                <c:ptCount val="7"/>
                <c:pt idx="1">
                  <c:v>0.13306494278378816</c:v>
                </c:pt>
                <c:pt idx="2">
                  <c:v>0.12773413413725673</c:v>
                </c:pt>
                <c:pt idx="3">
                  <c:v>0.11507621969414436</c:v>
                </c:pt>
                <c:pt idx="4">
                  <c:v>0.11027713847871499</c:v>
                </c:pt>
                <c:pt idx="5">
                  <c:v>6.4978041147339571E-2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2-4791-B018-42AEFC898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70368"/>
        <c:axId val="249771904"/>
      </c:scatterChart>
      <c:valAx>
        <c:axId val="24977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771904"/>
        <c:crosses val="autoZero"/>
        <c:crossBetween val="midCat"/>
      </c:valAx>
      <c:valAx>
        <c:axId val="2497719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770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Tb 100/2 (outer primary) Ratio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summary!$AB$47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summary!$AA$48:$AA$54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summary!$AB$48:$AB$54</c:f>
              <c:numCache>
                <c:formatCode>0.00</c:formatCode>
                <c:ptCount val="7"/>
                <c:pt idx="0">
                  <c:v>0.15213305302217844</c:v>
                </c:pt>
                <c:pt idx="1">
                  <c:v>0.16881396356939835</c:v>
                </c:pt>
                <c:pt idx="2">
                  <c:v>0.21956276025286839</c:v>
                </c:pt>
                <c:pt idx="3">
                  <c:v>0.25200167333853629</c:v>
                </c:pt>
                <c:pt idx="4">
                  <c:v>0.31280516301103778</c:v>
                </c:pt>
                <c:pt idx="5">
                  <c:v>0.34690340839935313</c:v>
                </c:pt>
                <c:pt idx="6">
                  <c:v>0.36805932694608762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E-42D0-B46C-319629C26A29}"/>
            </c:ext>
          </c:extLst>
        </c:ser>
        <c:ser>
          <c:idx val="1"/>
          <c:order val="1"/>
          <c:tx>
            <c:strRef>
              <c:f>summary!$AC$47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summary!$AA$48:$AA$54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summary!$AC$48:$AC$54</c:f>
              <c:numCache>
                <c:formatCode>0.00</c:formatCode>
                <c:ptCount val="7"/>
                <c:pt idx="1">
                  <c:v>0.10910158659546311</c:v>
                </c:pt>
                <c:pt idx="2">
                  <c:v>0.14563171228902322</c:v>
                </c:pt>
                <c:pt idx="3">
                  <c:v>0.17915579505493118</c:v>
                </c:pt>
                <c:pt idx="4">
                  <c:v>0.19529338776537095</c:v>
                </c:pt>
                <c:pt idx="5">
                  <c:v>0.21462004883453861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0E-42D0-B46C-319629C26A29}"/>
            </c:ext>
          </c:extLst>
        </c:ser>
        <c:ser>
          <c:idx val="2"/>
          <c:order val="2"/>
          <c:tx>
            <c:strRef>
              <c:f>summary!$AD$47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summary!$AA$48:$AA$54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summary!$AD$48:$AD$54</c:f>
              <c:numCache>
                <c:formatCode>0.00</c:formatCode>
                <c:ptCount val="7"/>
                <c:pt idx="1">
                  <c:v>0.15954483783376192</c:v>
                </c:pt>
                <c:pt idx="2">
                  <c:v>0.19145236508994012</c:v>
                </c:pt>
                <c:pt idx="3">
                  <c:v>0.23236757245237785</c:v>
                </c:pt>
                <c:pt idx="4">
                  <c:v>0.26511502300067891</c:v>
                </c:pt>
                <c:pt idx="5">
                  <c:v>0.27994408949036176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0E-42D0-B46C-319629C26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26688"/>
        <c:axId val="249828480"/>
      </c:scatterChart>
      <c:valAx>
        <c:axId val="24982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828480"/>
        <c:crosses val="autoZero"/>
        <c:crossBetween val="midCat"/>
      </c:valAx>
      <c:valAx>
        <c:axId val="249828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8266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Tb 100/5 (outer primary) Phase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summary!$AG$47</c:f>
              <c:strCache>
                <c:ptCount val="1"/>
                <c:pt idx="0">
                  <c:v>1/02/2013</c:v>
                </c:pt>
              </c:strCache>
            </c:strRef>
          </c:tx>
          <c:marker>
            <c:symbol val="none"/>
          </c:marker>
          <c:xVal>
            <c:numRef>
              <c:f>summary!$AF$48:$AF$54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summary!$AG$48:$AG$54</c:f>
              <c:numCache>
                <c:formatCode>0.00</c:formatCode>
                <c:ptCount val="7"/>
                <c:pt idx="0">
                  <c:v>7.5885012454326176E-2</c:v>
                </c:pt>
                <c:pt idx="1">
                  <c:v>7.3590724152435352E-2</c:v>
                </c:pt>
                <c:pt idx="2">
                  <c:v>5.5507836163637803E-2</c:v>
                </c:pt>
                <c:pt idx="3">
                  <c:v>5.7416420558101512E-2</c:v>
                </c:pt>
                <c:pt idx="4">
                  <c:v>4.5493238991726803E-2</c:v>
                </c:pt>
                <c:pt idx="5">
                  <c:v>2.6036797087866981E-2</c:v>
                </c:pt>
                <c:pt idx="6">
                  <c:v>4.6965346060309596E-2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A3-4A4A-879A-BF22F0FA5A5C}"/>
            </c:ext>
          </c:extLst>
        </c:ser>
        <c:ser>
          <c:idx val="1"/>
          <c:order val="1"/>
          <c:tx>
            <c:strRef>
              <c:f>summary!$AH$47</c:f>
              <c:strCache>
                <c:ptCount val="1"/>
                <c:pt idx="0">
                  <c:v>1/01/2000</c:v>
                </c:pt>
              </c:strCache>
            </c:strRef>
          </c:tx>
          <c:marker>
            <c:symbol val="none"/>
          </c:marker>
          <c:xVal>
            <c:numRef>
              <c:f>summary!$AF$48:$AF$54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summary!$AH$48:$AH$54</c:f>
              <c:numCache>
                <c:formatCode>0.00</c:formatCode>
                <c:ptCount val="7"/>
                <c:pt idx="1">
                  <c:v>5.222509372200964E-2</c:v>
                </c:pt>
                <c:pt idx="2">
                  <c:v>3.1174236658125812E-2</c:v>
                </c:pt>
                <c:pt idx="3">
                  <c:v>1.4126603014714707E-2</c:v>
                </c:pt>
                <c:pt idx="4">
                  <c:v>-1.6910196527877001E-2</c:v>
                </c:pt>
                <c:pt idx="5">
                  <c:v>-1.2073457483192933E-2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A3-4A4A-879A-BF22F0FA5A5C}"/>
            </c:ext>
          </c:extLst>
        </c:ser>
        <c:ser>
          <c:idx val="2"/>
          <c:order val="2"/>
          <c:tx>
            <c:strRef>
              <c:f>summary!$AI$47</c:f>
              <c:strCache>
                <c:ptCount val="1"/>
                <c:pt idx="0">
                  <c:v>1/11/1999</c:v>
                </c:pt>
              </c:strCache>
            </c:strRef>
          </c:tx>
          <c:marker>
            <c:symbol val="none"/>
          </c:marker>
          <c:xVal>
            <c:numRef>
              <c:f>summary!$AF$48:$AF$54</c:f>
              <c:numCache>
                <c:formatCode>General</c:formatCode>
                <c:ptCount val="7"/>
                <c:pt idx="0">
                  <c:v>120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summary!$AI$48:$AI$54</c:f>
              <c:numCache>
                <c:formatCode>0.00</c:formatCode>
                <c:ptCount val="7"/>
                <c:pt idx="1">
                  <c:v>0.13294494278378816</c:v>
                </c:pt>
                <c:pt idx="2">
                  <c:v>0.12763379968909619</c:v>
                </c:pt>
                <c:pt idx="3">
                  <c:v>0.1149262946566631</c:v>
                </c:pt>
                <c:pt idx="4">
                  <c:v>0.11007723842873998</c:v>
                </c:pt>
                <c:pt idx="5">
                  <c:v>6.4978041147339571E-2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A3-4A4A-879A-BF22F0FA5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87360"/>
        <c:axId val="249913728"/>
      </c:scatterChart>
      <c:valAx>
        <c:axId val="24988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913728"/>
        <c:crosses val="autoZero"/>
        <c:crossBetween val="midCat"/>
      </c:valAx>
      <c:valAx>
        <c:axId val="2499137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887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0484328507677"/>
          <c:y val="0.10917053845382961"/>
          <c:w val="0.7962476911335602"/>
          <c:h val="0.7860278768675731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shunts!$Q$130:$Q$135</c:f>
              <c:numCache>
                <c:formatCode>0.00</c:formatCode>
                <c:ptCount val="6"/>
                <c:pt idx="0">
                  <c:v>5.0135495771351478E-2</c:v>
                </c:pt>
                <c:pt idx="1">
                  <c:v>0.20004528708335967</c:v>
                </c:pt>
                <c:pt idx="2">
                  <c:v>0.79878562487602622</c:v>
                </c:pt>
                <c:pt idx="3">
                  <c:v>1.8012929533411397</c:v>
                </c:pt>
                <c:pt idx="4">
                  <c:v>5.0257466053223938</c:v>
                </c:pt>
                <c:pt idx="5">
                  <c:v>7.1628575773271672</c:v>
                </c:pt>
              </c:numCache>
            </c:numRef>
          </c:xVal>
          <c:yVal>
            <c:numRef>
              <c:f>shunts!$R$130:$R$135</c:f>
              <c:numCache>
                <c:formatCode>0.0</c:formatCode>
                <c:ptCount val="6"/>
                <c:pt idx="0">
                  <c:v>-55.449154167108716</c:v>
                </c:pt>
                <c:pt idx="1">
                  <c:v>-53.765722900722679</c:v>
                </c:pt>
                <c:pt idx="2">
                  <c:v>-52.207382460145446</c:v>
                </c:pt>
                <c:pt idx="3">
                  <c:v>-49.317890363664851</c:v>
                </c:pt>
                <c:pt idx="4">
                  <c:v>-44.494503772973815</c:v>
                </c:pt>
                <c:pt idx="5">
                  <c:v>-37.443973258111107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6-477D-9703-763E6A4BD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834944"/>
        <c:axId val="250836480"/>
      </c:scatterChart>
      <c:valAx>
        <c:axId val="2508349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836480"/>
        <c:crosses val="autoZero"/>
        <c:crossBetween val="midCat"/>
      </c:valAx>
      <c:valAx>
        <c:axId val="250836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834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3470437017994"/>
          <c:y val="0.12019258984513466"/>
          <c:w val="0.80462724935732644"/>
          <c:h val="0.764424871415056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shunts!$Q$138:$Q$143</c:f>
              <c:numCache>
                <c:formatCode>0.00</c:formatCode>
                <c:ptCount val="6"/>
                <c:pt idx="0">
                  <c:v>5.0451340389422755E-2</c:v>
                </c:pt>
                <c:pt idx="1">
                  <c:v>0.20002161358390225</c:v>
                </c:pt>
                <c:pt idx="2">
                  <c:v>0.79984504486419361</c:v>
                </c:pt>
                <c:pt idx="3">
                  <c:v>1.7947875207964505</c:v>
                </c:pt>
                <c:pt idx="4">
                  <c:v>5.0324452907588135</c:v>
                </c:pt>
                <c:pt idx="5">
                  <c:v>7.1896959076486633</c:v>
                </c:pt>
              </c:numCache>
            </c:numRef>
          </c:xVal>
          <c:yVal>
            <c:numRef>
              <c:f>shunts!$R$138:$R$143</c:f>
              <c:numCache>
                <c:formatCode>0.0</c:formatCode>
                <c:ptCount val="6"/>
                <c:pt idx="0">
                  <c:v>-53.369142155035298</c:v>
                </c:pt>
                <c:pt idx="1">
                  <c:v>-52.582029395620289</c:v>
                </c:pt>
                <c:pt idx="2">
                  <c:v>-51.310016794703373</c:v>
                </c:pt>
                <c:pt idx="3">
                  <c:v>-48.975402024087344</c:v>
                </c:pt>
                <c:pt idx="4">
                  <c:v>-42.659433208358521</c:v>
                </c:pt>
                <c:pt idx="5">
                  <c:v>-37.870263498551715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FC-4535-9B70-3BCF31582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082240"/>
        <c:axId val="251083776"/>
      </c:scatterChart>
      <c:valAx>
        <c:axId val="2510822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083776"/>
        <c:crosses val="autoZero"/>
        <c:crossBetween val="midCat"/>
      </c:valAx>
      <c:valAx>
        <c:axId val="251083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082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86206896552"/>
          <c:y val="9.8859315589353611E-2"/>
          <c:w val="0.79525862068965514"/>
          <c:h val="0.806083650190114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'Data(2000)'!$M$57:$M$62</c:f>
              <c:numCache>
                <c:formatCode>0.0</c:formatCode>
                <c:ptCount val="6"/>
                <c:pt idx="0">
                  <c:v>119.44278297999999</c:v>
                </c:pt>
                <c:pt idx="1">
                  <c:v>100.16225132000001</c:v>
                </c:pt>
                <c:pt idx="2">
                  <c:v>59.934290057999995</c:v>
                </c:pt>
                <c:pt idx="3">
                  <c:v>40.065637852000002</c:v>
                </c:pt>
                <c:pt idx="4">
                  <c:v>20.027039976000001</c:v>
                </c:pt>
                <c:pt idx="5">
                  <c:v>9.9936586970000008</c:v>
                </c:pt>
              </c:numCache>
            </c:numRef>
          </c:xVal>
          <c:yVal>
            <c:numRef>
              <c:f>'Data(2000)'!$N$57:$N$62</c:f>
              <c:numCache>
                <c:formatCode>0.000</c:formatCode>
                <c:ptCount val="6"/>
                <c:pt idx="0">
                  <c:v>-0.55527576757069963</c:v>
                </c:pt>
                <c:pt idx="1">
                  <c:v>-0.53461750936743213</c:v>
                </c:pt>
                <c:pt idx="2">
                  <c:v>-0.73191546315500033</c:v>
                </c:pt>
                <c:pt idx="3">
                  <c:v>-0.83164038944667695</c:v>
                </c:pt>
                <c:pt idx="4">
                  <c:v>-0.95310199724344835</c:v>
                </c:pt>
                <c:pt idx="5">
                  <c:v>-1.0379947205702256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89-4199-8267-124C7F9F64B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'Data(2000)'!$M$57:$M$62</c:f>
              <c:numCache>
                <c:formatCode>0.0</c:formatCode>
                <c:ptCount val="6"/>
                <c:pt idx="0">
                  <c:v>119.44278297999999</c:v>
                </c:pt>
                <c:pt idx="1">
                  <c:v>100.16225132000001</c:v>
                </c:pt>
                <c:pt idx="2">
                  <c:v>59.934290057999995</c:v>
                </c:pt>
                <c:pt idx="3">
                  <c:v>40.065637852000002</c:v>
                </c:pt>
                <c:pt idx="4">
                  <c:v>20.027039976000001</c:v>
                </c:pt>
                <c:pt idx="5">
                  <c:v>9.9936586970000008</c:v>
                </c:pt>
              </c:numCache>
            </c:numRef>
          </c:xVal>
          <c:yVal>
            <c:numRef>
              <c:f>'Data(2000)'!$O$57:$O$62</c:f>
              <c:numCache>
                <c:formatCode>0.000</c:formatCode>
                <c:ptCount val="6"/>
                <c:pt idx="0">
                  <c:v>-0.38570568700145674</c:v>
                </c:pt>
                <c:pt idx="1">
                  <c:v>-0.34977770439089406</c:v>
                </c:pt>
                <c:pt idx="2">
                  <c:v>-0.32542351322521573</c:v>
                </c:pt>
                <c:pt idx="3">
                  <c:v>-0.30856255375243691</c:v>
                </c:pt>
                <c:pt idx="4">
                  <c:v>-0.29389536881403694</c:v>
                </c:pt>
                <c:pt idx="5">
                  <c:v>-0.27965953058202586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89-4199-8267-124C7F9F6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25920"/>
        <c:axId val="268240384"/>
      </c:scatterChart>
      <c:valAx>
        <c:axId val="26822592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40384"/>
        <c:crosses val="autoZero"/>
        <c:crossBetween val="midCat"/>
      </c:valAx>
      <c:valAx>
        <c:axId val="268240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25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5627842517443"/>
          <c:y val="0.1072961373390558"/>
          <c:w val="0.80637902901995506"/>
          <c:h val="0.7896995708154506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'Data(2000)'!$M$64:$M$69</c:f>
              <c:numCache>
                <c:formatCode>0.0</c:formatCode>
                <c:ptCount val="6"/>
                <c:pt idx="0">
                  <c:v>119.0100149</c:v>
                </c:pt>
                <c:pt idx="1">
                  <c:v>100.40761484000001</c:v>
                </c:pt>
                <c:pt idx="2">
                  <c:v>60.098375999999995</c:v>
                </c:pt>
                <c:pt idx="3">
                  <c:v>39.938316616000002</c:v>
                </c:pt>
                <c:pt idx="4">
                  <c:v>20.006789225999999</c:v>
                </c:pt>
                <c:pt idx="5">
                  <c:v>10.029065253999999</c:v>
                </c:pt>
              </c:numCache>
            </c:numRef>
          </c:xVal>
          <c:yVal>
            <c:numRef>
              <c:f>'Data(2000)'!$N$64:$N$69</c:f>
              <c:numCache>
                <c:formatCode>0.000</c:formatCode>
                <c:ptCount val="6"/>
                <c:pt idx="0">
                  <c:v>-0.69890493168346968</c:v>
                </c:pt>
                <c:pt idx="1">
                  <c:v>-0.77664864154905555</c:v>
                </c:pt>
                <c:pt idx="2">
                  <c:v>-0.7681735914683252</c:v>
                </c:pt>
                <c:pt idx="3">
                  <c:v>-0.9041777936512464</c:v>
                </c:pt>
                <c:pt idx="4">
                  <c:v>-1.029857369945044</c:v>
                </c:pt>
                <c:pt idx="5">
                  <c:v>-1.0921502575358495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8-43B0-AD37-D16EA753B48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'Data(2000)'!$M$64:$M$69</c:f>
              <c:numCache>
                <c:formatCode>0.0</c:formatCode>
                <c:ptCount val="6"/>
                <c:pt idx="0">
                  <c:v>119.0100149</c:v>
                </c:pt>
                <c:pt idx="1">
                  <c:v>100.40761484000001</c:v>
                </c:pt>
                <c:pt idx="2">
                  <c:v>60.098375999999995</c:v>
                </c:pt>
                <c:pt idx="3">
                  <c:v>39.938316616000002</c:v>
                </c:pt>
                <c:pt idx="4">
                  <c:v>20.006789225999999</c:v>
                </c:pt>
                <c:pt idx="5">
                  <c:v>10.029065253999999</c:v>
                </c:pt>
              </c:numCache>
            </c:numRef>
          </c:xVal>
          <c:yVal>
            <c:numRef>
              <c:f>'Data(2000)'!$O$64:$O$69</c:f>
              <c:numCache>
                <c:formatCode>0.000</c:formatCode>
                <c:ptCount val="6"/>
                <c:pt idx="0">
                  <c:v>-0.37378962913930192</c:v>
                </c:pt>
                <c:pt idx="1">
                  <c:v>-0.37093128238014617</c:v>
                </c:pt>
                <c:pt idx="2">
                  <c:v>-0.36309952867944711</c:v>
                </c:pt>
                <c:pt idx="3">
                  <c:v>-0.32398509075241239</c:v>
                </c:pt>
                <c:pt idx="4">
                  <c:v>-0.29679518452082992</c:v>
                </c:pt>
                <c:pt idx="5">
                  <c:v>-0.29455252560269957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8-43B0-AD37-D16EA753B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60480"/>
        <c:axId val="268262400"/>
      </c:scatterChart>
      <c:valAx>
        <c:axId val="26826048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62400"/>
        <c:crosses val="autoZero"/>
        <c:crossBetween val="midCat"/>
      </c:valAx>
      <c:valAx>
        <c:axId val="26826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60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359211923518"/>
          <c:y val="0.12019258984513466"/>
          <c:w val="0.80459950745219888"/>
          <c:h val="0.764424871415056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'Data(2000)'!$M$105:$M$110</c:f>
              <c:numCache>
                <c:formatCode>0.0</c:formatCode>
                <c:ptCount val="6"/>
                <c:pt idx="0">
                  <c:v>119.05886504</c:v>
                </c:pt>
                <c:pt idx="1">
                  <c:v>99.786249189999992</c:v>
                </c:pt>
                <c:pt idx="2">
                  <c:v>60.016178850000003</c:v>
                </c:pt>
                <c:pt idx="3">
                  <c:v>39.991324941999999</c:v>
                </c:pt>
                <c:pt idx="4">
                  <c:v>20.04044305</c:v>
                </c:pt>
                <c:pt idx="5">
                  <c:v>10.037899574000001</c:v>
                </c:pt>
              </c:numCache>
            </c:numRef>
          </c:xVal>
          <c:yVal>
            <c:numRef>
              <c:f>'Data(2000)'!$N$105:$N$110</c:f>
              <c:numCache>
                <c:formatCode>0.000</c:formatCode>
                <c:ptCount val="6"/>
                <c:pt idx="0">
                  <c:v>-7.5287287485804155E-2</c:v>
                </c:pt>
                <c:pt idx="1">
                  <c:v>-7.9210999152297137E-2</c:v>
                </c:pt>
                <c:pt idx="2">
                  <c:v>-0.10360568465281425</c:v>
                </c:pt>
                <c:pt idx="3">
                  <c:v>-0.10895393954362174</c:v>
                </c:pt>
                <c:pt idx="4">
                  <c:v>-0.12480042284627337</c:v>
                </c:pt>
                <c:pt idx="5">
                  <c:v>-0.12645891775552309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7-4D47-9285-02E6192D71A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'Data(2000)'!$M$105:$M$110</c:f>
              <c:numCache>
                <c:formatCode>0.0</c:formatCode>
                <c:ptCount val="6"/>
                <c:pt idx="0">
                  <c:v>119.05886504</c:v>
                </c:pt>
                <c:pt idx="1">
                  <c:v>99.786249189999992</c:v>
                </c:pt>
                <c:pt idx="2">
                  <c:v>60.016178850000003</c:v>
                </c:pt>
                <c:pt idx="3">
                  <c:v>39.991324941999999</c:v>
                </c:pt>
                <c:pt idx="4">
                  <c:v>20.04044305</c:v>
                </c:pt>
                <c:pt idx="5">
                  <c:v>10.037899574000001</c:v>
                </c:pt>
              </c:numCache>
            </c:numRef>
          </c:xVal>
          <c:yVal>
            <c:numRef>
              <c:f>'Data(2000)'!$O$105:$O$110</c:f>
              <c:numCache>
                <c:formatCode>0.000</c:formatCode>
                <c:ptCount val="6"/>
                <c:pt idx="0">
                  <c:v>-3.9291883879695344E-2</c:v>
                </c:pt>
                <c:pt idx="1">
                  <c:v>-4.1239187764550954E-2</c:v>
                </c:pt>
                <c:pt idx="2">
                  <c:v>-4.3105088487318782E-2</c:v>
                </c:pt>
                <c:pt idx="3">
                  <c:v>-4.601076048372886E-2</c:v>
                </c:pt>
                <c:pt idx="4">
                  <c:v>-5.0040574826513237E-2</c:v>
                </c:pt>
                <c:pt idx="5">
                  <c:v>-4.3142784783552969E-2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7-4D47-9285-02E6192D7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78400"/>
        <c:axId val="268309248"/>
      </c:scatterChart>
      <c:valAx>
        <c:axId val="26827840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09248"/>
        <c:crosses val="autoZero"/>
        <c:crossBetween val="midCat"/>
      </c:valAx>
      <c:valAx>
        <c:axId val="268309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78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76470588235295"/>
          <c:y val="0.12077351663230597"/>
          <c:w val="0.8"/>
          <c:h val="0.763288625116173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'Data(2000)'!$M$112:$M$117</c:f>
              <c:numCache>
                <c:formatCode>0.0</c:formatCode>
                <c:ptCount val="6"/>
                <c:pt idx="0">
                  <c:v>119.63385220000001</c:v>
                </c:pt>
                <c:pt idx="1">
                  <c:v>100.13187366</c:v>
                </c:pt>
                <c:pt idx="2">
                  <c:v>60.037315034000002</c:v>
                </c:pt>
                <c:pt idx="3">
                  <c:v>40.011632356</c:v>
                </c:pt>
                <c:pt idx="4">
                  <c:v>20.017811465999998</c:v>
                </c:pt>
                <c:pt idx="5">
                  <c:v>10.023455089999999</c:v>
                </c:pt>
              </c:numCache>
            </c:numRef>
          </c:xVal>
          <c:yVal>
            <c:numRef>
              <c:f>'Data(2000)'!$N$112:$N$117</c:f>
              <c:numCache>
                <c:formatCode>0.000</c:formatCode>
                <c:ptCount val="6"/>
                <c:pt idx="0">
                  <c:v>-6.4283107096448924E-2</c:v>
                </c:pt>
                <c:pt idx="1">
                  <c:v>-7.5981842629855176E-2</c:v>
                </c:pt>
                <c:pt idx="2">
                  <c:v>-9.3240173995619763E-2</c:v>
                </c:pt>
                <c:pt idx="3">
                  <c:v>-0.10007510810122923</c:v>
                </c:pt>
                <c:pt idx="4">
                  <c:v>-0.11276837815999342</c:v>
                </c:pt>
                <c:pt idx="5">
                  <c:v>-0.11699789837637713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4-4E49-8FB7-A97A5658CF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'Data(2000)'!$M$112:$M$117</c:f>
              <c:numCache>
                <c:formatCode>0.0</c:formatCode>
                <c:ptCount val="6"/>
                <c:pt idx="0">
                  <c:v>119.63385220000001</c:v>
                </c:pt>
                <c:pt idx="1">
                  <c:v>100.13187366</c:v>
                </c:pt>
                <c:pt idx="2">
                  <c:v>60.037315034000002</c:v>
                </c:pt>
                <c:pt idx="3">
                  <c:v>40.011632356</c:v>
                </c:pt>
                <c:pt idx="4">
                  <c:v>20.017811465999998</c:v>
                </c:pt>
                <c:pt idx="5">
                  <c:v>10.023455089999999</c:v>
                </c:pt>
              </c:numCache>
            </c:numRef>
          </c:xVal>
          <c:yVal>
            <c:numRef>
              <c:f>'Data(2000)'!$O$112:$O$117</c:f>
              <c:numCache>
                <c:formatCode>0.000</c:formatCode>
                <c:ptCount val="6"/>
                <c:pt idx="0">
                  <c:v>-3.4492704398596641E-2</c:v>
                </c:pt>
                <c:pt idx="1">
                  <c:v>-3.4824253315917826E-2</c:v>
                </c:pt>
                <c:pt idx="2">
                  <c:v>-3.6059011501552544E-2</c:v>
                </c:pt>
                <c:pt idx="3">
                  <c:v>-4.1184706204225222E-2</c:v>
                </c:pt>
                <c:pt idx="4">
                  <c:v>-4.8580089536014316E-2</c:v>
                </c:pt>
                <c:pt idx="5">
                  <c:v>-4.8745143826448775E-2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54-4E49-8FB7-A97A5658C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9824"/>
        <c:axId val="268351744"/>
      </c:scatterChart>
      <c:valAx>
        <c:axId val="26834982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51744"/>
        <c:crosses val="autoZero"/>
        <c:crossBetween val="midCat"/>
      </c:valAx>
      <c:valAx>
        <c:axId val="26835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49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01678135296977"/>
          <c:y val="0.11904817265705291"/>
          <c:w val="0.79810068811781854"/>
          <c:h val="0.766670231911420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'Data(2000)'!$M$164:$M$169</c:f>
              <c:numCache>
                <c:formatCode>0.0</c:formatCode>
                <c:ptCount val="6"/>
                <c:pt idx="0">
                  <c:v>119.26987710000002</c:v>
                </c:pt>
                <c:pt idx="1">
                  <c:v>100.00971487200002</c:v>
                </c:pt>
                <c:pt idx="2">
                  <c:v>60.197048628000005</c:v>
                </c:pt>
                <c:pt idx="3">
                  <c:v>40.124291820000003</c:v>
                </c:pt>
                <c:pt idx="4">
                  <c:v>20.059537148</c:v>
                </c:pt>
                <c:pt idx="5">
                  <c:v>10.052191638</c:v>
                </c:pt>
              </c:numCache>
            </c:numRef>
          </c:xVal>
          <c:yVal>
            <c:numRef>
              <c:f>'Data(2000)'!$N$164:$N$169</c:f>
              <c:numCache>
                <c:formatCode>0.000</c:formatCode>
                <c:ptCount val="6"/>
                <c:pt idx="0">
                  <c:v>-4.6169938578732722E-2</c:v>
                </c:pt>
                <c:pt idx="1">
                  <c:v>-5.0582532971667447E-2</c:v>
                </c:pt>
                <c:pt idx="2">
                  <c:v>-6.0999466757223619E-2</c:v>
                </c:pt>
                <c:pt idx="3">
                  <c:v>-7.3508732479688657E-2</c:v>
                </c:pt>
                <c:pt idx="4">
                  <c:v>-8.9157448822042296E-2</c:v>
                </c:pt>
                <c:pt idx="5">
                  <c:v>-0.10684158360783273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2-4F47-98C9-AE336F100CA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'Data(2000)'!$M$164:$M$169</c:f>
              <c:numCache>
                <c:formatCode>0.0</c:formatCode>
                <c:ptCount val="6"/>
                <c:pt idx="0">
                  <c:v>119.26987710000002</c:v>
                </c:pt>
                <c:pt idx="1">
                  <c:v>100.00971487200002</c:v>
                </c:pt>
                <c:pt idx="2">
                  <c:v>60.197048628000005</c:v>
                </c:pt>
                <c:pt idx="3">
                  <c:v>40.124291820000003</c:v>
                </c:pt>
                <c:pt idx="4">
                  <c:v>20.059537148</c:v>
                </c:pt>
                <c:pt idx="5">
                  <c:v>10.052191638</c:v>
                </c:pt>
              </c:numCache>
            </c:numRef>
          </c:xVal>
          <c:yVal>
            <c:numRef>
              <c:f>'Data(2000)'!$O$164:$O$169</c:f>
              <c:numCache>
                <c:formatCode>0.000</c:formatCode>
                <c:ptCount val="6"/>
                <c:pt idx="0">
                  <c:v>-7.1894928614796072E-2</c:v>
                </c:pt>
                <c:pt idx="1">
                  <c:v>-7.0039178783431327E-2</c:v>
                </c:pt>
                <c:pt idx="2">
                  <c:v>-7.3786856685428392E-2</c:v>
                </c:pt>
                <c:pt idx="3">
                  <c:v>-7.6227144736183416E-2</c:v>
                </c:pt>
                <c:pt idx="4">
                  <c:v>-8.298264865494652E-2</c:v>
                </c:pt>
                <c:pt idx="5">
                  <c:v>-8.3424350980656661E-2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52-4F47-98C9-AE336F100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59552"/>
        <c:axId val="268394496"/>
      </c:scatterChart>
      <c:valAx>
        <c:axId val="26835955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94496"/>
        <c:crosses val="autoZero"/>
        <c:crossBetween val="midCat"/>
      </c:valAx>
      <c:valAx>
        <c:axId val="268394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359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00017089864611"/>
          <c:y val="0.13020899561053267"/>
          <c:w val="0.78750096130488445"/>
          <c:h val="0.7447954548922469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'Data(2000)'!$M$173:$M$177</c:f>
              <c:numCache>
                <c:formatCode>0.0</c:formatCode>
                <c:ptCount val="5"/>
                <c:pt idx="0">
                  <c:v>99.114496261999989</c:v>
                </c:pt>
                <c:pt idx="1">
                  <c:v>59.973402092000008</c:v>
                </c:pt>
                <c:pt idx="2">
                  <c:v>40.030073453999997</c:v>
                </c:pt>
                <c:pt idx="3">
                  <c:v>19.957763556</c:v>
                </c:pt>
                <c:pt idx="4">
                  <c:v>10.093890178000001</c:v>
                </c:pt>
              </c:numCache>
            </c:numRef>
          </c:xVal>
          <c:yVal>
            <c:numRef>
              <c:f>'Data(2000)'!$N$173:$N$177</c:f>
              <c:numCache>
                <c:formatCode>0.000</c:formatCode>
                <c:ptCount val="5"/>
                <c:pt idx="0">
                  <c:v>-0.37609419818331241</c:v>
                </c:pt>
                <c:pt idx="1">
                  <c:v>-0.39285092243376679</c:v>
                </c:pt>
                <c:pt idx="2">
                  <c:v>-0.40502112206458113</c:v>
                </c:pt>
                <c:pt idx="3">
                  <c:v>-0.4167411682507659</c:v>
                </c:pt>
                <c:pt idx="4">
                  <c:v>-0.42313973681251404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4-4388-B86C-D59ABF3F92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'Data(2000)'!$M$173:$M$177</c:f>
              <c:numCache>
                <c:formatCode>0.0</c:formatCode>
                <c:ptCount val="5"/>
                <c:pt idx="0">
                  <c:v>99.114496261999989</c:v>
                </c:pt>
                <c:pt idx="1">
                  <c:v>59.973402092000008</c:v>
                </c:pt>
                <c:pt idx="2">
                  <c:v>40.030073453999997</c:v>
                </c:pt>
                <c:pt idx="3">
                  <c:v>19.957763556</c:v>
                </c:pt>
                <c:pt idx="4">
                  <c:v>10.093890178000001</c:v>
                </c:pt>
              </c:numCache>
            </c:numRef>
          </c:xVal>
          <c:yVal>
            <c:numRef>
              <c:f>'Data(2000)'!$O$173:$O$177</c:f>
              <c:numCache>
                <c:formatCode>0.000</c:formatCode>
                <c:ptCount val="5"/>
                <c:pt idx="0">
                  <c:v>-0.26438750456909432</c:v>
                </c:pt>
                <c:pt idx="1">
                  <c:v>-0.26654418640691041</c:v>
                </c:pt>
                <c:pt idx="2">
                  <c:v>-0.26678222259418743</c:v>
                </c:pt>
                <c:pt idx="3">
                  <c:v>-0.27141597561607372</c:v>
                </c:pt>
                <c:pt idx="4">
                  <c:v>-0.26876893699975624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24-4388-B86C-D59ABF3F9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402048"/>
        <c:axId val="268408320"/>
      </c:scatterChart>
      <c:valAx>
        <c:axId val="26840204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408320"/>
        <c:crosses val="autoZero"/>
        <c:crossBetween val="midCat"/>
      </c:valAx>
      <c:valAx>
        <c:axId val="268408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402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77215189873418"/>
          <c:y val="0.12886597938144329"/>
          <c:w val="0.78481012658227844"/>
          <c:h val="0.7474226804123711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'Data(2000)'!$M$184:$M$188</c:f>
              <c:numCache>
                <c:formatCode>0.0</c:formatCode>
                <c:ptCount val="5"/>
                <c:pt idx="0">
                  <c:v>100.76773710000001</c:v>
                </c:pt>
                <c:pt idx="1">
                  <c:v>60.019447110000002</c:v>
                </c:pt>
                <c:pt idx="2">
                  <c:v>40.048553458000001</c:v>
                </c:pt>
                <c:pt idx="3">
                  <c:v>20.028409268000001</c:v>
                </c:pt>
                <c:pt idx="4">
                  <c:v>10.055878344</c:v>
                </c:pt>
              </c:numCache>
            </c:numRef>
          </c:xVal>
          <c:yVal>
            <c:numRef>
              <c:f>'Data(2000)'!$N$184:$N$188</c:f>
              <c:numCache>
                <c:formatCode>0.000</c:formatCode>
                <c:ptCount val="5"/>
                <c:pt idx="0">
                  <c:v>-0.39127201623610341</c:v>
                </c:pt>
                <c:pt idx="1">
                  <c:v>-0.39305746946924852</c:v>
                </c:pt>
                <c:pt idx="2">
                  <c:v>-0.41209034721585625</c:v>
                </c:pt>
                <c:pt idx="3">
                  <c:v>-0.42058764231426737</c:v>
                </c:pt>
                <c:pt idx="4">
                  <c:v>-0.42787997091279656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6-4956-890E-30B11A90FFD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'Data(2000)'!$M$184:$M$188</c:f>
              <c:numCache>
                <c:formatCode>0.0</c:formatCode>
                <c:ptCount val="5"/>
                <c:pt idx="0">
                  <c:v>100.76773710000001</c:v>
                </c:pt>
                <c:pt idx="1">
                  <c:v>60.019447110000002</c:v>
                </c:pt>
                <c:pt idx="2">
                  <c:v>40.048553458000001</c:v>
                </c:pt>
                <c:pt idx="3">
                  <c:v>20.028409268000001</c:v>
                </c:pt>
                <c:pt idx="4">
                  <c:v>10.055878344</c:v>
                </c:pt>
              </c:numCache>
            </c:numRef>
          </c:xVal>
          <c:yVal>
            <c:numRef>
              <c:f>'Data(2000)'!$O$184:$O$188</c:f>
              <c:numCache>
                <c:formatCode>0.000</c:formatCode>
                <c:ptCount val="5"/>
                <c:pt idx="0">
                  <c:v>-0.2179797055963322</c:v>
                </c:pt>
                <c:pt idx="1">
                  <c:v>-0.22759312952291275</c:v>
                </c:pt>
                <c:pt idx="2">
                  <c:v>-0.22208362846348925</c:v>
                </c:pt>
                <c:pt idx="3">
                  <c:v>-0.22166601487218321</c:v>
                </c:pt>
                <c:pt idx="4">
                  <c:v>-0.22670435295128313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16-4956-890E-30B11A90F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58592"/>
        <c:axId val="272960512"/>
      </c:scatterChart>
      <c:valAx>
        <c:axId val="27295859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2960512"/>
        <c:crosses val="autoZero"/>
        <c:crossBetween val="midCat"/>
      </c:valAx>
      <c:valAx>
        <c:axId val="272960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2958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95798474088955"/>
          <c:y val="0.13227581574392228"/>
          <c:w val="0.78908284192147993"/>
          <c:h val="0.740744568165964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'Data(2000)'!$M$230:$M$234</c:f>
              <c:numCache>
                <c:formatCode>0.0</c:formatCode>
                <c:ptCount val="5"/>
                <c:pt idx="0">
                  <c:v>99.966542583999995</c:v>
                </c:pt>
                <c:pt idx="1">
                  <c:v>59.987152744000007</c:v>
                </c:pt>
                <c:pt idx="2">
                  <c:v>40.160367720000004</c:v>
                </c:pt>
                <c:pt idx="3">
                  <c:v>20.004313853999999</c:v>
                </c:pt>
                <c:pt idx="4">
                  <c:v>9.9091457635999998</c:v>
                </c:pt>
              </c:numCache>
            </c:numRef>
          </c:xVal>
          <c:yVal>
            <c:numRef>
              <c:f>'Data(2000)'!$N$230:$N$234</c:f>
              <c:numCache>
                <c:formatCode>0.000</c:formatCode>
                <c:ptCount val="5"/>
                <c:pt idx="0">
                  <c:v>-0.35236478548545141</c:v>
                </c:pt>
                <c:pt idx="1">
                  <c:v>-0.37088541988781942</c:v>
                </c:pt>
                <c:pt idx="2">
                  <c:v>-0.34707345636160286</c:v>
                </c:pt>
                <c:pt idx="3">
                  <c:v>-0.3178633825221267</c:v>
                </c:pt>
                <c:pt idx="4">
                  <c:v>-0.4210628779586621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5-49EF-AE67-22B41B83687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'Data(2000)'!$M$230:$M$234</c:f>
              <c:numCache>
                <c:formatCode>0.0</c:formatCode>
                <c:ptCount val="5"/>
                <c:pt idx="0">
                  <c:v>99.966542583999995</c:v>
                </c:pt>
                <c:pt idx="1">
                  <c:v>59.987152744000007</c:v>
                </c:pt>
                <c:pt idx="2">
                  <c:v>40.160367720000004</c:v>
                </c:pt>
                <c:pt idx="3">
                  <c:v>20.004313853999999</c:v>
                </c:pt>
                <c:pt idx="4">
                  <c:v>9.9091457635999998</c:v>
                </c:pt>
              </c:numCache>
            </c:numRef>
          </c:xVal>
          <c:yVal>
            <c:numRef>
              <c:f>'Data(2000)'!$O$230:$O$234</c:f>
              <c:numCache>
                <c:formatCode>0.000</c:formatCode>
                <c:ptCount val="5"/>
                <c:pt idx="0">
                  <c:v>-0.28355762772177262</c:v>
                </c:pt>
                <c:pt idx="1">
                  <c:v>-0.27909958828655723</c:v>
                </c:pt>
                <c:pt idx="2">
                  <c:v>-0.25784642558214804</c:v>
                </c:pt>
                <c:pt idx="3">
                  <c:v>-0.21885674253162415</c:v>
                </c:pt>
                <c:pt idx="4">
                  <c:v>-0.28029184683802955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5-49EF-AE67-22B41B836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80608"/>
        <c:axId val="273003264"/>
      </c:scatterChart>
      <c:valAx>
        <c:axId val="27298060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03264"/>
        <c:crosses val="autoZero"/>
        <c:crossBetween val="midCat"/>
      </c:valAx>
      <c:valAx>
        <c:axId val="273003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2980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07772020725387"/>
          <c:y val="0.13020899561053267"/>
          <c:w val="0.77979274611398963"/>
          <c:h val="0.7447954548922469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'Data(2000)'!$M$237:$M$241</c:f>
              <c:numCache>
                <c:formatCode>0.0</c:formatCode>
                <c:ptCount val="5"/>
                <c:pt idx="0">
                  <c:v>99.611517662000011</c:v>
                </c:pt>
                <c:pt idx="1">
                  <c:v>59.981850372000004</c:v>
                </c:pt>
                <c:pt idx="2">
                  <c:v>40.233165411999998</c:v>
                </c:pt>
                <c:pt idx="3">
                  <c:v>20.007466214000001</c:v>
                </c:pt>
                <c:pt idx="4">
                  <c:v>9.9802665546</c:v>
                </c:pt>
              </c:numCache>
            </c:numRef>
          </c:xVal>
          <c:yVal>
            <c:numRef>
              <c:f>'Data(2000)'!$N$237:$N$241</c:f>
              <c:numCache>
                <c:formatCode>0.000</c:formatCode>
                <c:ptCount val="5"/>
                <c:pt idx="0">
                  <c:v>-0.41838965324019567</c:v>
                </c:pt>
                <c:pt idx="1">
                  <c:v>-0.43950260236786021</c:v>
                </c:pt>
                <c:pt idx="2">
                  <c:v>-0.43960879502141526</c:v>
                </c:pt>
                <c:pt idx="3">
                  <c:v>-0.45318427479448053</c:v>
                </c:pt>
                <c:pt idx="4">
                  <c:v>-0.48082820972232754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A-4560-8437-2BD61E6E7E8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'Data(2000)'!$M$237:$M$241</c:f>
              <c:numCache>
                <c:formatCode>0.0</c:formatCode>
                <c:ptCount val="5"/>
                <c:pt idx="0">
                  <c:v>99.611517662000011</c:v>
                </c:pt>
                <c:pt idx="1">
                  <c:v>59.981850372000004</c:v>
                </c:pt>
                <c:pt idx="2">
                  <c:v>40.233165411999998</c:v>
                </c:pt>
                <c:pt idx="3">
                  <c:v>20.007466214000001</c:v>
                </c:pt>
                <c:pt idx="4">
                  <c:v>9.9802665546</c:v>
                </c:pt>
              </c:numCache>
            </c:numRef>
          </c:xVal>
          <c:yVal>
            <c:numRef>
              <c:f>'Data(2000)'!$O$237:$O$241</c:f>
              <c:numCache>
                <c:formatCode>0.000</c:formatCode>
                <c:ptCount val="5"/>
                <c:pt idx="0">
                  <c:v>-0.2633045182150856</c:v>
                </c:pt>
                <c:pt idx="1">
                  <c:v>-0.25668204583854853</c:v>
                </c:pt>
                <c:pt idx="2">
                  <c:v>-0.26683033487586577</c:v>
                </c:pt>
                <c:pt idx="3">
                  <c:v>-0.27422143020593293</c:v>
                </c:pt>
                <c:pt idx="4">
                  <c:v>-0.27707181147970744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DA-4560-8437-2BD61E6E7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62464"/>
        <c:axId val="274864384"/>
      </c:scatterChart>
      <c:valAx>
        <c:axId val="27486246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864384"/>
        <c:crosses val="autoZero"/>
        <c:crossBetween val="midCat"/>
      </c:valAx>
      <c:valAx>
        <c:axId val="274864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862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98200403441816"/>
          <c:y val="0.125"/>
          <c:w val="0.77690487846763878"/>
          <c:h val="0.7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'Data(2000)'!$M$252:$M$256</c:f>
              <c:numCache>
                <c:formatCode>0.0</c:formatCode>
                <c:ptCount val="5"/>
                <c:pt idx="0">
                  <c:v>99.919999840000003</c:v>
                </c:pt>
                <c:pt idx="1">
                  <c:v>59.955345268000002</c:v>
                </c:pt>
                <c:pt idx="2">
                  <c:v>40.003070953999995</c:v>
                </c:pt>
                <c:pt idx="3">
                  <c:v>20.02440648</c:v>
                </c:pt>
                <c:pt idx="4">
                  <c:v>10.065456188000001</c:v>
                </c:pt>
              </c:numCache>
            </c:numRef>
          </c:xVal>
          <c:yVal>
            <c:numRef>
              <c:f>'Data(2000)'!$N$252:$N$256</c:f>
              <c:numCache>
                <c:formatCode>0.000</c:formatCode>
                <c:ptCount val="5"/>
                <c:pt idx="0">
                  <c:v>-0.4176859427558402</c:v>
                </c:pt>
                <c:pt idx="1">
                  <c:v>-0.43965667918635465</c:v>
                </c:pt>
                <c:pt idx="2">
                  <c:v>-0.44113215091974706</c:v>
                </c:pt>
                <c:pt idx="3">
                  <c:v>-0.4528278632905568</c:v>
                </c:pt>
                <c:pt idx="4">
                  <c:v>-0.4776442726691007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91-49A4-92A7-12C548A050A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'Data(2000)'!$M$252:$M$256</c:f>
              <c:numCache>
                <c:formatCode>0.0</c:formatCode>
                <c:ptCount val="5"/>
                <c:pt idx="0">
                  <c:v>99.919999840000003</c:v>
                </c:pt>
                <c:pt idx="1">
                  <c:v>59.955345268000002</c:v>
                </c:pt>
                <c:pt idx="2">
                  <c:v>40.003070953999995</c:v>
                </c:pt>
                <c:pt idx="3">
                  <c:v>20.02440648</c:v>
                </c:pt>
                <c:pt idx="4">
                  <c:v>10.065456188000001</c:v>
                </c:pt>
              </c:numCache>
            </c:numRef>
          </c:xVal>
          <c:yVal>
            <c:numRef>
              <c:f>'Data(2000)'!$O$252:$O$256</c:f>
              <c:numCache>
                <c:formatCode>0.000</c:formatCode>
                <c:ptCount val="5"/>
                <c:pt idx="0">
                  <c:v>-0.26157386951412548</c:v>
                </c:pt>
                <c:pt idx="1">
                  <c:v>-0.25632724707537013</c:v>
                </c:pt>
                <c:pt idx="2">
                  <c:v>-0.26777569682882096</c:v>
                </c:pt>
                <c:pt idx="3">
                  <c:v>-0.27015970762495123</c:v>
                </c:pt>
                <c:pt idx="4">
                  <c:v>-0.27476613892876045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91-49A4-92A7-12C548A05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76288"/>
        <c:axId val="274907136"/>
      </c:scatterChart>
      <c:valAx>
        <c:axId val="27487628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907136"/>
        <c:crosses val="autoZero"/>
        <c:crossBetween val="midCat"/>
      </c:valAx>
      <c:valAx>
        <c:axId val="274907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87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NZ"/>
              <a:t>Ta ratio error, 100:5, middle primary</a:t>
            </a:r>
          </a:p>
        </c:rich>
      </c:tx>
      <c:layout>
        <c:manualLayout>
          <c:xMode val="edge"/>
          <c:yMode val="edge"/>
          <c:x val="0.22641534195018073"/>
          <c:y val="3.59281437125748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03795584965066"/>
          <c:y val="0.18263499753666135"/>
          <c:w val="0.75000086370603591"/>
          <c:h val="0.6796417121446249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percentage"/>
            <c:noEndCap val="0"/>
            <c:val val="13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PaperTables!$O$23:$O$28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PaperTables!$P$23:$P$28</c:f>
              <c:numCache>
                <c:formatCode>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0.1351880117726019</c:v>
                </c:pt>
                <c:pt idx="4">
                  <c:v>0.1503019718467504</c:v>
                </c:pt>
                <c:pt idx="5">
                  <c:v>0.2025501789952302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3-42C0-93B3-370A9A84616B}"/>
            </c:ext>
          </c:extLst>
        </c:ser>
        <c:ser>
          <c:idx val="1"/>
          <c:order val="1"/>
          <c:spPr>
            <a:ln w="25400">
              <a:solidFill>
                <a:srgbClr val="333399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PaperTables!$O$23:$O$28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PaperTables!$Q$23:$Q$28</c:f>
              <c:numCache>
                <c:formatCode>0.000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-2.8284705733240822E-3</c:v>
                </c:pt>
                <c:pt idx="4">
                  <c:v>-4.1125932687116062E-3</c:v>
                </c:pt>
                <c:pt idx="5">
                  <c:v>3.1199705344872042E-3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E3-42C0-93B3-370A9A846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81632"/>
        <c:axId val="274983936"/>
      </c:scatterChart>
      <c:valAx>
        <c:axId val="27498163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/>
                  <a:t>% rated current</a:t>
                </a:r>
              </a:p>
            </c:rich>
          </c:tx>
          <c:layout>
            <c:manualLayout>
              <c:xMode val="edge"/>
              <c:yMode val="edge"/>
              <c:x val="0.46226464616451246"/>
              <c:y val="0.892216826190139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983936"/>
        <c:crosses val="autoZero"/>
        <c:crossBetween val="midCat"/>
        <c:minorUnit val="10"/>
      </c:valAx>
      <c:valAx>
        <c:axId val="27498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 sz="825" b="1" i="0" u="none" strike="noStrike" baseline="0">
                    <a:solidFill>
                      <a:srgbClr val="000000"/>
                    </a:solidFill>
                    <a:latin typeface="Symbol"/>
                  </a:rPr>
                  <a:t>m</a:t>
                </a:r>
                <a:r>
                  <a:rPr lang="en-NZ" sz="8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A/A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3.7735849056603772E-2"/>
              <c:y val="0.494012604711836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981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NZ"/>
              <a:t>Ta phase error, 100:5, middle primary</a:t>
            </a:r>
          </a:p>
        </c:rich>
      </c:tx>
      <c:layout>
        <c:manualLayout>
          <c:xMode val="edge"/>
          <c:yMode val="edge"/>
          <c:x val="0.21932114882506529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71279373368145"/>
          <c:y val="0.18507462686567164"/>
          <c:w val="0.76240208877284599"/>
          <c:h val="0.644776119402985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PaperTables!$P$30:$P$35</c:f>
              <c:numCache>
                <c:formatCode>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8.4429064204047777E-2</c:v>
                </c:pt>
                <c:pt idx="4">
                  <c:v>8.3871606677233645E-2</c:v>
                </c:pt>
                <c:pt idx="5">
                  <c:v>6.3994896945218094E-2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F0-48AA-A22A-3EAC316A91F7}"/>
            </c:ext>
          </c:extLst>
        </c:ser>
        <c:ser>
          <c:idx val="1"/>
          <c:order val="1"/>
          <c:spPr>
            <a:ln w="25400">
              <a:solidFill>
                <a:srgbClr val="3366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PaperTables!$Q$30:$Q$35</c:f>
              <c:numCache>
                <c:formatCode>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7.6073254519321704E-3</c:v>
                </c:pt>
                <c:pt idx="4">
                  <c:v>8.769453982085243E-3</c:v>
                </c:pt>
                <c:pt idx="5">
                  <c:v>-2.0745404495301073E-3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F0-48AA-A22A-3EAC316A91F7}"/>
            </c:ext>
          </c:extLst>
        </c:ser>
        <c:ser>
          <c:idx val="2"/>
          <c:order val="2"/>
          <c:spPr>
            <a:ln w="25400">
              <a:solidFill>
                <a:srgbClr val="333300"/>
              </a:solidFill>
              <a:prstDash val="solid"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.6E-2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PaperTables!$R$30:$R$35</c:f>
              <c:numCache>
                <c:formatCode>0.000</c:formatCode>
                <c:ptCount val="6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F0-48AA-A22A-3EAC316A91F7}"/>
            </c:ext>
          </c:extLst>
        </c:ser>
        <c:ser>
          <c:idx val="3"/>
          <c:order val="3"/>
          <c:spPr>
            <a:ln w="25400">
              <a:solidFill>
                <a:srgbClr val="333300"/>
              </a:solidFill>
              <a:prstDash val="solid"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.6E-2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PaperTables!$S$30:$S$35</c:f>
              <c:numCache>
                <c:formatCode>0.000</c:formatCode>
                <c:ptCount val="6"/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F0-48AA-A22A-3EAC316A91F7}"/>
            </c:ext>
          </c:extLst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.6E-2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PaperTables!$T$30:$T$35</c:f>
              <c:numCache>
                <c:formatCode>General</c:formatCode>
                <c:ptCount val="6"/>
                <c:pt idx="2" formatCode="0.0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F0-48AA-A22A-3EAC316A91F7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.7999999999999999E-2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PaperTables!$U$30:$U$35</c:f>
              <c:numCache>
                <c:formatCode>General</c:formatCode>
                <c:ptCount val="6"/>
                <c:pt idx="3" formatCode="0.000">
                  <c:v>8.4429064204047777E-2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F0-48AA-A22A-3EAC316A91F7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2.5000000000000001E-2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PaperTables!$V$30:$V$35</c:f>
              <c:numCache>
                <c:formatCode>General</c:formatCode>
                <c:ptCount val="6"/>
                <c:pt idx="4" formatCode="0.000">
                  <c:v>8.3871606677233645E-2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F0-48AA-A22A-3EAC316A91F7}"/>
            </c:ext>
          </c:extLst>
        </c:ser>
        <c:ser>
          <c:idx val="7"/>
          <c:order val="7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4.4999999999999998E-2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PaperTables!$O$30:$O$35</c:f>
              <c:numCache>
                <c:formatCode>0</c:formatCode>
                <c:ptCount val="6"/>
                <c:pt idx="0">
                  <c:v>120</c:v>
                </c:pt>
                <c:pt idx="1">
                  <c:v>#N/A</c:v>
                </c:pt>
                <c:pt idx="2">
                  <c:v>#N/A</c:v>
                </c:pt>
                <c:pt idx="3">
                  <c:v>119.92392908000001</c:v>
                </c:pt>
                <c:pt idx="4">
                  <c:v>100.09320314000001</c:v>
                </c:pt>
                <c:pt idx="5">
                  <c:v>60.035549210000006</c:v>
                </c:pt>
              </c:numCache>
            </c:numRef>
          </c:xVal>
          <c:yVal>
            <c:numRef>
              <c:f>PaperTables!$W$30:$W$35</c:f>
              <c:numCache>
                <c:formatCode>General</c:formatCode>
                <c:ptCount val="6"/>
                <c:pt idx="5" formatCode="0.000">
                  <c:v>6.3994896945218094E-2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F0-48AA-A22A-3EAC316A9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23200"/>
        <c:axId val="275125376"/>
      </c:scatterChart>
      <c:valAx>
        <c:axId val="27512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/>
                  <a:t>% rated current</a:t>
                </a:r>
              </a:p>
            </c:rich>
          </c:tx>
          <c:layout>
            <c:manualLayout>
              <c:xMode val="edge"/>
              <c:yMode val="edge"/>
              <c:x val="0.43603133159268931"/>
              <c:y val="0.910447761194029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125376"/>
        <c:crosses val="autoZero"/>
        <c:crossBetween val="midCat"/>
      </c:valAx>
      <c:valAx>
        <c:axId val="275125376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 sz="800" b="1" i="0" u="none" strike="noStrike" baseline="0">
                    <a:solidFill>
                      <a:srgbClr val="000000"/>
                    </a:solidFill>
                    <a:latin typeface="Symbol"/>
                  </a:rPr>
                  <a:t>m</a:t>
                </a:r>
                <a:r>
                  <a:rPr lang="en-NZ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rad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3054830287206266E-2"/>
              <c:y val="0.4805970149253731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123200"/>
        <c:crosses val="autoZero"/>
        <c:crossBetween val="midCat"/>
        <c:majorUnit val="0.1"/>
        <c:minorUnit val="0.0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NZ"/>
              <a:t>Ta, ratio error, 100:5 outer primary</a:t>
            </a:r>
          </a:p>
        </c:rich>
      </c:tx>
      <c:layout>
        <c:manualLayout>
          <c:xMode val="edge"/>
          <c:yMode val="edge"/>
          <c:x val="0.17647058823529413"/>
          <c:y val="3.66666666666666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83957219251338"/>
          <c:y val="0.20333399522784906"/>
          <c:w val="0.74331550802139035"/>
          <c:h val="0.586668576395105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percentage"/>
            <c:noEndCap val="0"/>
            <c:val val="7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PaperTables!$O$37:$O$41</c:f>
              <c:numCache>
                <c:formatCode>0</c:formatCode>
                <c:ptCount val="5"/>
                <c:pt idx="0">
                  <c:v>39.994777622000001</c:v>
                </c:pt>
                <c:pt idx="1">
                  <c:v>20.065449086000001</c:v>
                </c:pt>
                <c:pt idx="2">
                  <c:v>10.04010508</c:v>
                </c:pt>
                <c:pt idx="3">
                  <c:v>5.0360189100000001</c:v>
                </c:pt>
                <c:pt idx="4">
                  <c:v>#N/A</c:v>
                </c:pt>
              </c:numCache>
            </c:numRef>
          </c:xVal>
          <c:yVal>
            <c:numRef>
              <c:f>PaperTables!$P$37:$P$41</c:f>
              <c:numCache>
                <c:formatCode>0.00</c:formatCode>
                <c:ptCount val="5"/>
                <c:pt idx="0">
                  <c:v>-2.2641724138600196E-2</c:v>
                </c:pt>
                <c:pt idx="1">
                  <c:v>1.3675507374786754E-2</c:v>
                </c:pt>
                <c:pt idx="2">
                  <c:v>4.065818114307692E-2</c:v>
                </c:pt>
                <c:pt idx="3">
                  <c:v>5.3843761277378742E-2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3-4836-BF4D-E98D182171C6}"/>
            </c:ext>
          </c:extLst>
        </c:ser>
        <c:ser>
          <c:idx val="1"/>
          <c:order val="1"/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PaperTables!$O$37:$O$41</c:f>
              <c:numCache>
                <c:formatCode>0</c:formatCode>
                <c:ptCount val="5"/>
                <c:pt idx="0">
                  <c:v>39.994777622000001</c:v>
                </c:pt>
                <c:pt idx="1">
                  <c:v>20.065449086000001</c:v>
                </c:pt>
                <c:pt idx="2">
                  <c:v>10.04010508</c:v>
                </c:pt>
                <c:pt idx="3">
                  <c:v>5.0360189100000001</c:v>
                </c:pt>
                <c:pt idx="4">
                  <c:v>#N/A</c:v>
                </c:pt>
              </c:numCache>
            </c:numRef>
          </c:xVal>
          <c:yVal>
            <c:numRef>
              <c:f>PaperTables!$Q$37:$Q$41</c:f>
              <c:numCache>
                <c:formatCode>0.00</c:formatCode>
                <c:ptCount val="5"/>
                <c:pt idx="0">
                  <c:v>-0.31483453450359622</c:v>
                </c:pt>
                <c:pt idx="1">
                  <c:v>-0.33144672368279826</c:v>
                </c:pt>
                <c:pt idx="2">
                  <c:v>-0.33653544541028207</c:v>
                </c:pt>
                <c:pt idx="3">
                  <c:v>-0.34267255360985871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3-4836-BF4D-E98D18217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67104"/>
        <c:axId val="275173760"/>
      </c:scatterChart>
      <c:valAx>
        <c:axId val="27516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/>
                  <a:t>% rated current</a:t>
                </a:r>
              </a:p>
            </c:rich>
          </c:tx>
          <c:layout>
            <c:manualLayout>
              <c:xMode val="edge"/>
              <c:yMode val="edge"/>
              <c:x val="0.44385026737967914"/>
              <c:y val="0.88000279965004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173760"/>
        <c:crosses val="autoZero"/>
        <c:crossBetween val="midCat"/>
      </c:valAx>
      <c:valAx>
        <c:axId val="275173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 sz="800" b="1" i="0" u="none" strike="noStrike" baseline="0">
                    <a:solidFill>
                      <a:srgbClr val="000000"/>
                    </a:solidFill>
                    <a:latin typeface="Symbol"/>
                  </a:rPr>
                  <a:t>m</a:t>
                </a:r>
                <a:r>
                  <a:rPr lang="en-NZ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A/A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4.2780748663101602E-2"/>
              <c:y val="0.4666680664916885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167104"/>
        <c:crosses val="autoZero"/>
        <c:crossBetween val="midCat"/>
        <c:majorUnit val="0.2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NZ"/>
              <a:t>Ta, phase error, 100:5 outer primary</a:t>
            </a:r>
          </a:p>
        </c:rich>
      </c:tx>
      <c:layout>
        <c:manualLayout>
          <c:xMode val="edge"/>
          <c:yMode val="edge"/>
          <c:x val="0.22284122562674094"/>
          <c:y val="3.66666666666666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498607242339833"/>
          <c:y val="0.19333396267565975"/>
          <c:w val="0.73537604456824512"/>
          <c:h val="0.5966686089472947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33330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fixedVal"/>
            <c:noEndCap val="0"/>
            <c:val val="2.5000000000000001E-2"/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PaperTables!$T$49:$T$53</c:f>
              <c:numCache>
                <c:formatCode>0</c:formatCode>
                <c:ptCount val="5"/>
                <c:pt idx="0">
                  <c:v>39.994777622000001</c:v>
                </c:pt>
                <c:pt idx="1">
                  <c:v>20.065449086000001</c:v>
                </c:pt>
                <c:pt idx="2">
                  <c:v>10.04010508</c:v>
                </c:pt>
                <c:pt idx="3">
                  <c:v>5.0360189100000001</c:v>
                </c:pt>
                <c:pt idx="4">
                  <c:v>#N/A</c:v>
                </c:pt>
              </c:numCache>
            </c:numRef>
          </c:xVal>
          <c:yVal>
            <c:numRef>
              <c:f>PaperTables!$U$49:$U$53</c:f>
              <c:numCache>
                <c:formatCode>0.000</c:formatCode>
                <c:ptCount val="5"/>
                <c:pt idx="0">
                  <c:v>3.3655722228551127E-3</c:v>
                </c:pt>
                <c:pt idx="1">
                  <c:v>-2.3310098395082544E-2</c:v>
                </c:pt>
                <c:pt idx="2">
                  <c:v>-3.461801728400541E-2</c:v>
                </c:pt>
                <c:pt idx="3">
                  <c:v>-1.5906875863885818E-2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A0-4E74-8498-B08EE6F288FA}"/>
            </c:ext>
          </c:extLst>
        </c:ser>
        <c:ser>
          <c:idx val="1"/>
          <c:order val="1"/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PaperTables!$T$49:$T$53</c:f>
              <c:numCache>
                <c:formatCode>0</c:formatCode>
                <c:ptCount val="5"/>
                <c:pt idx="0">
                  <c:v>39.994777622000001</c:v>
                </c:pt>
                <c:pt idx="1">
                  <c:v>20.065449086000001</c:v>
                </c:pt>
                <c:pt idx="2">
                  <c:v>10.04010508</c:v>
                </c:pt>
                <c:pt idx="3">
                  <c:v>5.0360189100000001</c:v>
                </c:pt>
                <c:pt idx="4">
                  <c:v>#N/A</c:v>
                </c:pt>
              </c:numCache>
            </c:numRef>
          </c:xVal>
          <c:yVal>
            <c:numRef>
              <c:f>PaperTables!$V$49:$V$53</c:f>
              <c:numCache>
                <c:formatCode>0.00</c:formatCode>
                <c:ptCount val="5"/>
                <c:pt idx="0">
                  <c:v>-9.6576725409574002E-2</c:v>
                </c:pt>
                <c:pt idx="1">
                  <c:v>-0.11352718744078025</c:v>
                </c:pt>
                <c:pt idx="2">
                  <c:v>-0.12083304831209762</c:v>
                </c:pt>
                <c:pt idx="3">
                  <c:v>-8.1134440445005535E-2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A0-4E74-8498-B08EE6F288FA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0.05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PaperTables!$T$49:$T$53</c:f>
              <c:numCache>
                <c:formatCode>0</c:formatCode>
                <c:ptCount val="5"/>
                <c:pt idx="0">
                  <c:v>39.994777622000001</c:v>
                </c:pt>
                <c:pt idx="1">
                  <c:v>20.065449086000001</c:v>
                </c:pt>
                <c:pt idx="2">
                  <c:v>10.04010508</c:v>
                </c:pt>
                <c:pt idx="3">
                  <c:v>5.0360189100000001</c:v>
                </c:pt>
                <c:pt idx="4">
                  <c:v>#N/A</c:v>
                </c:pt>
              </c:numCache>
            </c:numRef>
          </c:xVal>
          <c:yVal>
            <c:numRef>
              <c:f>PaperTables!$W$49:$W$53</c:f>
              <c:numCache>
                <c:formatCode>General</c:formatCode>
                <c:ptCount val="5"/>
                <c:pt idx="4">
                  <c:v>0.32900000000000001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A0-4E74-8498-B08EE6F28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21120"/>
        <c:axId val="275227392"/>
      </c:scatterChart>
      <c:valAx>
        <c:axId val="27522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/>
                  <a:t>% rated current</a:t>
                </a:r>
              </a:p>
            </c:rich>
          </c:tx>
          <c:layout>
            <c:manualLayout>
              <c:xMode val="edge"/>
              <c:yMode val="edge"/>
              <c:x val="0.44011142061281339"/>
              <c:y val="0.88000279965004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227392"/>
        <c:crosses val="autoZero"/>
        <c:crossBetween val="midCat"/>
      </c:valAx>
      <c:valAx>
        <c:axId val="275227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NZ" sz="800" b="1" i="0" u="none" strike="noStrike" baseline="0">
                    <a:solidFill>
                      <a:srgbClr val="000000"/>
                    </a:solidFill>
                    <a:latin typeface="Symbol"/>
                  </a:rPr>
                  <a:t>m</a:t>
                </a:r>
                <a:r>
                  <a:rPr lang="en-NZ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rad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4.456824512534819E-2"/>
              <c:y val="0.4600013998250218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5221120"/>
        <c:crosses val="autoZero"/>
        <c:crossBetween val="midCat"/>
        <c:majorUnit val="0.2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600075</xdr:colOff>
      <xdr:row>0</xdr:row>
      <xdr:rowOff>133350</xdr:rowOff>
    </xdr:from>
    <xdr:to>
      <xdr:col>34</xdr:col>
      <xdr:colOff>390525</xdr:colOff>
      <xdr:row>20</xdr:row>
      <xdr:rowOff>47625</xdr:rowOff>
    </xdr:to>
    <xdr:graphicFrame macro="">
      <xdr:nvGraphicFramePr>
        <xdr:cNvPr id="860314" name="Chart 6">
          <a:extLst>
            <a:ext uri="{FF2B5EF4-FFF2-40B4-BE49-F238E27FC236}">
              <a16:creationId xmlns:a16="http://schemas.microsoft.com/office/drawing/2014/main" id="{00000000-0008-0000-0100-00009A20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600075</xdr:colOff>
      <xdr:row>20</xdr:row>
      <xdr:rowOff>104775</xdr:rowOff>
    </xdr:from>
    <xdr:to>
      <xdr:col>34</xdr:col>
      <xdr:colOff>390525</xdr:colOff>
      <xdr:row>40</xdr:row>
      <xdr:rowOff>19050</xdr:rowOff>
    </xdr:to>
    <xdr:graphicFrame macro="">
      <xdr:nvGraphicFramePr>
        <xdr:cNvPr id="860315" name="Chart 7">
          <a:extLst>
            <a:ext uri="{FF2B5EF4-FFF2-40B4-BE49-F238E27FC236}">
              <a16:creationId xmlns:a16="http://schemas.microsoft.com/office/drawing/2014/main" id="{00000000-0008-0000-0100-00009B20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238125</xdr:colOff>
      <xdr:row>328</xdr:row>
      <xdr:rowOff>95250</xdr:rowOff>
    </xdr:from>
    <xdr:to>
      <xdr:col>31</xdr:col>
      <xdr:colOff>28575</xdr:colOff>
      <xdr:row>348</xdr:row>
      <xdr:rowOff>9525</xdr:rowOff>
    </xdr:to>
    <xdr:graphicFrame macro="">
      <xdr:nvGraphicFramePr>
        <xdr:cNvPr id="731257" name="Chart 21">
          <a:extLst>
            <a:ext uri="{FF2B5EF4-FFF2-40B4-BE49-F238E27FC236}">
              <a16:creationId xmlns:a16="http://schemas.microsoft.com/office/drawing/2014/main" id="{00000000-0008-0000-0200-00007928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447675</xdr:colOff>
      <xdr:row>240</xdr:row>
      <xdr:rowOff>66675</xdr:rowOff>
    </xdr:from>
    <xdr:to>
      <xdr:col>45</xdr:col>
      <xdr:colOff>171450</xdr:colOff>
      <xdr:row>261</xdr:row>
      <xdr:rowOff>66675</xdr:rowOff>
    </xdr:to>
    <xdr:graphicFrame macro="">
      <xdr:nvGraphicFramePr>
        <xdr:cNvPr id="174801" name="Chart 300">
          <a:extLst>
            <a:ext uri="{FF2B5EF4-FFF2-40B4-BE49-F238E27FC236}">
              <a16:creationId xmlns:a16="http://schemas.microsoft.com/office/drawing/2014/main" id="{00000000-0008-0000-0300-0000D1AA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180975</xdr:colOff>
      <xdr:row>240</xdr:row>
      <xdr:rowOff>9525</xdr:rowOff>
    </xdr:from>
    <xdr:to>
      <xdr:col>35</xdr:col>
      <xdr:colOff>219075</xdr:colOff>
      <xdr:row>261</xdr:row>
      <xdr:rowOff>19050</xdr:rowOff>
    </xdr:to>
    <xdr:graphicFrame macro="">
      <xdr:nvGraphicFramePr>
        <xdr:cNvPr id="174802" name="Chart 301">
          <a:extLst>
            <a:ext uri="{FF2B5EF4-FFF2-40B4-BE49-F238E27FC236}">
              <a16:creationId xmlns:a16="http://schemas.microsoft.com/office/drawing/2014/main" id="{00000000-0008-0000-0300-0000D2AA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800100</xdr:colOff>
      <xdr:row>307</xdr:row>
      <xdr:rowOff>9525</xdr:rowOff>
    </xdr:from>
    <xdr:to>
      <xdr:col>34</xdr:col>
      <xdr:colOff>600075</xdr:colOff>
      <xdr:row>329</xdr:row>
      <xdr:rowOff>57150</xdr:rowOff>
    </xdr:to>
    <xdr:graphicFrame macro="">
      <xdr:nvGraphicFramePr>
        <xdr:cNvPr id="174803" name="Chart 307">
          <a:extLst>
            <a:ext uri="{FF2B5EF4-FFF2-40B4-BE49-F238E27FC236}">
              <a16:creationId xmlns:a16="http://schemas.microsoft.com/office/drawing/2014/main" id="{00000000-0008-0000-0300-0000D3AA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342900</xdr:colOff>
      <xdr:row>306</xdr:row>
      <xdr:rowOff>104775</xdr:rowOff>
    </xdr:from>
    <xdr:to>
      <xdr:col>45</xdr:col>
      <xdr:colOff>285750</xdr:colOff>
      <xdr:row>329</xdr:row>
      <xdr:rowOff>28575</xdr:rowOff>
    </xdr:to>
    <xdr:graphicFrame macro="">
      <xdr:nvGraphicFramePr>
        <xdr:cNvPr id="174804" name="Chart 308">
          <a:extLst>
            <a:ext uri="{FF2B5EF4-FFF2-40B4-BE49-F238E27FC236}">
              <a16:creationId xmlns:a16="http://schemas.microsoft.com/office/drawing/2014/main" id="{00000000-0008-0000-0300-0000D4AA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323850</xdr:colOff>
      <xdr:row>7</xdr:row>
      <xdr:rowOff>85725</xdr:rowOff>
    </xdr:from>
    <xdr:to>
      <xdr:col>25</xdr:col>
      <xdr:colOff>552450</xdr:colOff>
      <xdr:row>24</xdr:row>
      <xdr:rowOff>28575</xdr:rowOff>
    </xdr:to>
    <xdr:graphicFrame macro="">
      <xdr:nvGraphicFramePr>
        <xdr:cNvPr id="25824" name="Chart 11">
          <a:extLst>
            <a:ext uri="{FF2B5EF4-FFF2-40B4-BE49-F238E27FC236}">
              <a16:creationId xmlns:a16="http://schemas.microsoft.com/office/drawing/2014/main" id="{00000000-0008-0000-0400-0000E06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96</xdr:row>
      <xdr:rowOff>38100</xdr:rowOff>
    </xdr:from>
    <xdr:to>
      <xdr:col>16</xdr:col>
      <xdr:colOff>200025</xdr:colOff>
      <xdr:row>112</xdr:row>
      <xdr:rowOff>76200</xdr:rowOff>
    </xdr:to>
    <xdr:graphicFrame macro="">
      <xdr:nvGraphicFramePr>
        <xdr:cNvPr id="3038" name="Chart 6">
          <a:extLst>
            <a:ext uri="{FF2B5EF4-FFF2-40B4-BE49-F238E27FC236}">
              <a16:creationId xmlns:a16="http://schemas.microsoft.com/office/drawing/2014/main" id="{00000000-0008-0000-0500-0000DE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552450</xdr:colOff>
      <xdr:row>77</xdr:row>
      <xdr:rowOff>114300</xdr:rowOff>
    </xdr:from>
    <xdr:to>
      <xdr:col>24</xdr:col>
      <xdr:colOff>533400</xdr:colOff>
      <xdr:row>97</xdr:row>
      <xdr:rowOff>38100</xdr:rowOff>
    </xdr:to>
    <xdr:graphicFrame macro="">
      <xdr:nvGraphicFramePr>
        <xdr:cNvPr id="3039" name="Chart 7">
          <a:extLst>
            <a:ext uri="{FF2B5EF4-FFF2-40B4-BE49-F238E27FC236}">
              <a16:creationId xmlns:a16="http://schemas.microsoft.com/office/drawing/2014/main" id="{00000000-0008-0000-0500-0000DF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9525</xdr:colOff>
      <xdr:row>0</xdr:row>
      <xdr:rowOff>19050</xdr:rowOff>
    </xdr:from>
    <xdr:to>
      <xdr:col>51</xdr:col>
      <xdr:colOff>314325</xdr:colOff>
      <xdr:row>17</xdr:row>
      <xdr:rowOff>123825</xdr:rowOff>
    </xdr:to>
    <xdr:graphicFrame macro="">
      <xdr:nvGraphicFramePr>
        <xdr:cNvPr id="3040" name="Chart 2">
          <a:extLst>
            <a:ext uri="{FF2B5EF4-FFF2-40B4-BE49-F238E27FC236}">
              <a16:creationId xmlns:a16="http://schemas.microsoft.com/office/drawing/2014/main" id="{00000000-0008-0000-0500-0000E0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47625</xdr:colOff>
      <xdr:row>0</xdr:row>
      <xdr:rowOff>28575</xdr:rowOff>
    </xdr:from>
    <xdr:to>
      <xdr:col>43</xdr:col>
      <xdr:colOff>352425</xdr:colOff>
      <xdr:row>17</xdr:row>
      <xdr:rowOff>133350</xdr:rowOff>
    </xdr:to>
    <xdr:graphicFrame macro="">
      <xdr:nvGraphicFramePr>
        <xdr:cNvPr id="3041" name="Chart 3">
          <a:extLst>
            <a:ext uri="{FF2B5EF4-FFF2-40B4-BE49-F238E27FC236}">
              <a16:creationId xmlns:a16="http://schemas.microsoft.com/office/drawing/2014/main" id="{00000000-0008-0000-0500-0000E1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76200</xdr:colOff>
      <xdr:row>18</xdr:row>
      <xdr:rowOff>9525</xdr:rowOff>
    </xdr:from>
    <xdr:to>
      <xdr:col>43</xdr:col>
      <xdr:colOff>381000</xdr:colOff>
      <xdr:row>34</xdr:row>
      <xdr:rowOff>114300</xdr:rowOff>
    </xdr:to>
    <xdr:graphicFrame macro="">
      <xdr:nvGraphicFramePr>
        <xdr:cNvPr id="3042" name="Chart 1">
          <a:extLst>
            <a:ext uri="{FF2B5EF4-FFF2-40B4-BE49-F238E27FC236}">
              <a16:creationId xmlns:a16="http://schemas.microsoft.com/office/drawing/2014/main" id="{00000000-0008-0000-0500-0000E2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0</xdr:colOff>
      <xdr:row>18</xdr:row>
      <xdr:rowOff>0</xdr:rowOff>
    </xdr:from>
    <xdr:to>
      <xdr:col>51</xdr:col>
      <xdr:colOff>304800</xdr:colOff>
      <xdr:row>34</xdr:row>
      <xdr:rowOff>104775</xdr:rowOff>
    </xdr:to>
    <xdr:graphicFrame macro="">
      <xdr:nvGraphicFramePr>
        <xdr:cNvPr id="3043" name="Chart 2">
          <a:extLst>
            <a:ext uri="{FF2B5EF4-FFF2-40B4-BE49-F238E27FC236}">
              <a16:creationId xmlns:a16="http://schemas.microsoft.com/office/drawing/2014/main" id="{00000000-0008-0000-0500-0000E3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104775</xdr:colOff>
      <xdr:row>35</xdr:row>
      <xdr:rowOff>9525</xdr:rowOff>
    </xdr:from>
    <xdr:to>
      <xdr:col>43</xdr:col>
      <xdr:colOff>409575</xdr:colOff>
      <xdr:row>51</xdr:row>
      <xdr:rowOff>114300</xdr:rowOff>
    </xdr:to>
    <xdr:graphicFrame macro="">
      <xdr:nvGraphicFramePr>
        <xdr:cNvPr id="3044" name="Chart 3">
          <a:extLst>
            <a:ext uri="{FF2B5EF4-FFF2-40B4-BE49-F238E27FC236}">
              <a16:creationId xmlns:a16="http://schemas.microsoft.com/office/drawing/2014/main" id="{00000000-0008-0000-0500-0000E4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76200</xdr:colOff>
      <xdr:row>52</xdr:row>
      <xdr:rowOff>76200</xdr:rowOff>
    </xdr:from>
    <xdr:to>
      <xdr:col>43</xdr:col>
      <xdr:colOff>381000</xdr:colOff>
      <xdr:row>69</xdr:row>
      <xdr:rowOff>9525</xdr:rowOff>
    </xdr:to>
    <xdr:graphicFrame macro="">
      <xdr:nvGraphicFramePr>
        <xdr:cNvPr id="3045" name="Chart 4">
          <a:extLst>
            <a:ext uri="{FF2B5EF4-FFF2-40B4-BE49-F238E27FC236}">
              <a16:creationId xmlns:a16="http://schemas.microsoft.com/office/drawing/2014/main" id="{00000000-0008-0000-0500-0000E5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44</xdr:col>
      <xdr:colOff>9525</xdr:colOff>
      <xdr:row>35</xdr:row>
      <xdr:rowOff>9525</xdr:rowOff>
    </xdr:from>
    <xdr:to>
      <xdr:col>51</xdr:col>
      <xdr:colOff>314325</xdr:colOff>
      <xdr:row>51</xdr:row>
      <xdr:rowOff>114300</xdr:rowOff>
    </xdr:to>
    <xdr:graphicFrame macro="">
      <xdr:nvGraphicFramePr>
        <xdr:cNvPr id="3046" name="Chart 5">
          <a:extLst>
            <a:ext uri="{FF2B5EF4-FFF2-40B4-BE49-F238E27FC236}">
              <a16:creationId xmlns:a16="http://schemas.microsoft.com/office/drawing/2014/main" id="{00000000-0008-0000-0500-0000E6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38100</xdr:colOff>
      <xdr:row>52</xdr:row>
      <xdr:rowOff>76200</xdr:rowOff>
    </xdr:from>
    <xdr:to>
      <xdr:col>51</xdr:col>
      <xdr:colOff>342900</xdr:colOff>
      <xdr:row>69</xdr:row>
      <xdr:rowOff>9525</xdr:rowOff>
    </xdr:to>
    <xdr:graphicFrame macro="">
      <xdr:nvGraphicFramePr>
        <xdr:cNvPr id="3047" name="Chart 6">
          <a:extLst>
            <a:ext uri="{FF2B5EF4-FFF2-40B4-BE49-F238E27FC236}">
              <a16:creationId xmlns:a16="http://schemas.microsoft.com/office/drawing/2014/main" id="{00000000-0008-0000-0500-0000E7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76200</xdr:colOff>
      <xdr:row>69</xdr:row>
      <xdr:rowOff>85725</xdr:rowOff>
    </xdr:from>
    <xdr:to>
      <xdr:col>43</xdr:col>
      <xdr:colOff>381000</xdr:colOff>
      <xdr:row>86</xdr:row>
      <xdr:rowOff>28575</xdr:rowOff>
    </xdr:to>
    <xdr:graphicFrame macro="">
      <xdr:nvGraphicFramePr>
        <xdr:cNvPr id="3048" name="Chart 7">
          <a:extLst>
            <a:ext uri="{FF2B5EF4-FFF2-40B4-BE49-F238E27FC236}">
              <a16:creationId xmlns:a16="http://schemas.microsoft.com/office/drawing/2014/main" id="{00000000-0008-0000-0500-0000E8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44</xdr:col>
      <xdr:colOff>38100</xdr:colOff>
      <xdr:row>69</xdr:row>
      <xdr:rowOff>104775</xdr:rowOff>
    </xdr:from>
    <xdr:to>
      <xdr:col>51</xdr:col>
      <xdr:colOff>342900</xdr:colOff>
      <xdr:row>86</xdr:row>
      <xdr:rowOff>38100</xdr:rowOff>
    </xdr:to>
    <xdr:graphicFrame macro="">
      <xdr:nvGraphicFramePr>
        <xdr:cNvPr id="3049" name="Chart 8">
          <a:extLst>
            <a:ext uri="{FF2B5EF4-FFF2-40B4-BE49-F238E27FC236}">
              <a16:creationId xmlns:a16="http://schemas.microsoft.com/office/drawing/2014/main" id="{00000000-0008-0000-0500-0000E9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</xdr:colOff>
      <xdr:row>119</xdr:row>
      <xdr:rowOff>57150</xdr:rowOff>
    </xdr:from>
    <xdr:to>
      <xdr:col>25</xdr:col>
      <xdr:colOff>533400</xdr:colOff>
      <xdr:row>132</xdr:row>
      <xdr:rowOff>133350</xdr:rowOff>
    </xdr:to>
    <xdr:graphicFrame macro="">
      <xdr:nvGraphicFramePr>
        <xdr:cNvPr id="3280" name="Chart 6">
          <a:extLst>
            <a:ext uri="{FF2B5EF4-FFF2-40B4-BE49-F238E27FC236}">
              <a16:creationId xmlns:a16="http://schemas.microsoft.com/office/drawing/2014/main" id="{00000000-0008-0000-0A00-0000D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600075</xdr:colOff>
      <xdr:row>133</xdr:row>
      <xdr:rowOff>85725</xdr:rowOff>
    </xdr:from>
    <xdr:to>
      <xdr:col>26</xdr:col>
      <xdr:colOff>38100</xdr:colOff>
      <xdr:row>145</xdr:row>
      <xdr:rowOff>123825</xdr:rowOff>
    </xdr:to>
    <xdr:graphicFrame macro="">
      <xdr:nvGraphicFramePr>
        <xdr:cNvPr id="3281" name="Chart 7">
          <a:extLst>
            <a:ext uri="{FF2B5EF4-FFF2-40B4-BE49-F238E27FC236}">
              <a16:creationId xmlns:a16="http://schemas.microsoft.com/office/drawing/2014/main" id="{00000000-0008-0000-0A00-0000D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228600</xdr:colOff>
      <xdr:row>42</xdr:row>
      <xdr:rowOff>152400</xdr:rowOff>
    </xdr:from>
    <xdr:to>
      <xdr:col>25</xdr:col>
      <xdr:colOff>314325</xdr:colOff>
      <xdr:row>58</xdr:row>
      <xdr:rowOff>66675</xdr:rowOff>
    </xdr:to>
    <xdr:graphicFrame macro="">
      <xdr:nvGraphicFramePr>
        <xdr:cNvPr id="3439646" name="Chart 4">
          <a:extLst>
            <a:ext uri="{FF2B5EF4-FFF2-40B4-BE49-F238E27FC236}">
              <a16:creationId xmlns:a16="http://schemas.microsoft.com/office/drawing/2014/main" id="{00000000-0008-0000-0B00-00001E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342900</xdr:colOff>
      <xdr:row>57</xdr:row>
      <xdr:rowOff>152400</xdr:rowOff>
    </xdr:from>
    <xdr:to>
      <xdr:col>25</xdr:col>
      <xdr:colOff>190500</xdr:colOff>
      <xdr:row>71</xdr:row>
      <xdr:rowOff>104775</xdr:rowOff>
    </xdr:to>
    <xdr:graphicFrame macro="">
      <xdr:nvGraphicFramePr>
        <xdr:cNvPr id="3439647" name="Chart 5">
          <a:extLst>
            <a:ext uri="{FF2B5EF4-FFF2-40B4-BE49-F238E27FC236}">
              <a16:creationId xmlns:a16="http://schemas.microsoft.com/office/drawing/2014/main" id="{00000000-0008-0000-0B00-00001F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152400</xdr:colOff>
      <xdr:row>92</xdr:row>
      <xdr:rowOff>95250</xdr:rowOff>
    </xdr:from>
    <xdr:to>
      <xdr:col>26</xdr:col>
      <xdr:colOff>419100</xdr:colOff>
      <xdr:row>104</xdr:row>
      <xdr:rowOff>133350</xdr:rowOff>
    </xdr:to>
    <xdr:graphicFrame macro="">
      <xdr:nvGraphicFramePr>
        <xdr:cNvPr id="3439648" name="Chart 6">
          <a:extLst>
            <a:ext uri="{FF2B5EF4-FFF2-40B4-BE49-F238E27FC236}">
              <a16:creationId xmlns:a16="http://schemas.microsoft.com/office/drawing/2014/main" id="{00000000-0008-0000-0B00-000020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200025</xdr:colOff>
      <xdr:row>105</xdr:row>
      <xdr:rowOff>104775</xdr:rowOff>
    </xdr:from>
    <xdr:to>
      <xdr:col>26</xdr:col>
      <xdr:colOff>371475</xdr:colOff>
      <xdr:row>117</xdr:row>
      <xdr:rowOff>133350</xdr:rowOff>
    </xdr:to>
    <xdr:graphicFrame macro="">
      <xdr:nvGraphicFramePr>
        <xdr:cNvPr id="3439649" name="Chart 7">
          <a:extLst>
            <a:ext uri="{FF2B5EF4-FFF2-40B4-BE49-F238E27FC236}">
              <a16:creationId xmlns:a16="http://schemas.microsoft.com/office/drawing/2014/main" id="{00000000-0008-0000-0B00-000021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561975</xdr:colOff>
      <xdr:row>155</xdr:row>
      <xdr:rowOff>133350</xdr:rowOff>
    </xdr:from>
    <xdr:to>
      <xdr:col>30</xdr:col>
      <xdr:colOff>504825</xdr:colOff>
      <xdr:row>168</xdr:row>
      <xdr:rowOff>28575</xdr:rowOff>
    </xdr:to>
    <xdr:graphicFrame macro="">
      <xdr:nvGraphicFramePr>
        <xdr:cNvPr id="3439650" name="Chart 9">
          <a:extLst>
            <a:ext uri="{FF2B5EF4-FFF2-40B4-BE49-F238E27FC236}">
              <a16:creationId xmlns:a16="http://schemas.microsoft.com/office/drawing/2014/main" id="{00000000-0008-0000-0B00-000022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28575</xdr:colOff>
      <xdr:row>168</xdr:row>
      <xdr:rowOff>38100</xdr:rowOff>
    </xdr:from>
    <xdr:to>
      <xdr:col>30</xdr:col>
      <xdr:colOff>533400</xdr:colOff>
      <xdr:row>179</xdr:row>
      <xdr:rowOff>85725</xdr:rowOff>
    </xdr:to>
    <xdr:graphicFrame macro="">
      <xdr:nvGraphicFramePr>
        <xdr:cNvPr id="3439651" name="Chart 10">
          <a:extLst>
            <a:ext uri="{FF2B5EF4-FFF2-40B4-BE49-F238E27FC236}">
              <a16:creationId xmlns:a16="http://schemas.microsoft.com/office/drawing/2014/main" id="{00000000-0008-0000-0B00-000023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57150</xdr:colOff>
      <xdr:row>179</xdr:row>
      <xdr:rowOff>123825</xdr:rowOff>
    </xdr:from>
    <xdr:to>
      <xdr:col>30</xdr:col>
      <xdr:colOff>514350</xdr:colOff>
      <xdr:row>191</xdr:row>
      <xdr:rowOff>28575</xdr:rowOff>
    </xdr:to>
    <xdr:graphicFrame macro="">
      <xdr:nvGraphicFramePr>
        <xdr:cNvPr id="3439652" name="Chart 11">
          <a:extLst>
            <a:ext uri="{FF2B5EF4-FFF2-40B4-BE49-F238E27FC236}">
              <a16:creationId xmlns:a16="http://schemas.microsoft.com/office/drawing/2014/main" id="{00000000-0008-0000-0B00-000024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523875</xdr:colOff>
      <xdr:row>223</xdr:row>
      <xdr:rowOff>66675</xdr:rowOff>
    </xdr:from>
    <xdr:to>
      <xdr:col>28</xdr:col>
      <xdr:colOff>28575</xdr:colOff>
      <xdr:row>234</xdr:row>
      <xdr:rowOff>85725</xdr:rowOff>
    </xdr:to>
    <xdr:graphicFrame macro="">
      <xdr:nvGraphicFramePr>
        <xdr:cNvPr id="3439653" name="Chart 15">
          <a:extLst>
            <a:ext uri="{FF2B5EF4-FFF2-40B4-BE49-F238E27FC236}">
              <a16:creationId xmlns:a16="http://schemas.microsoft.com/office/drawing/2014/main" id="{00000000-0008-0000-0B00-000025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104775</xdr:colOff>
      <xdr:row>230</xdr:row>
      <xdr:rowOff>123825</xdr:rowOff>
    </xdr:from>
    <xdr:to>
      <xdr:col>24</xdr:col>
      <xdr:colOff>209550</xdr:colOff>
      <xdr:row>242</xdr:row>
      <xdr:rowOff>9525</xdr:rowOff>
    </xdr:to>
    <xdr:graphicFrame macro="">
      <xdr:nvGraphicFramePr>
        <xdr:cNvPr id="3439654" name="Chart 16">
          <a:extLst>
            <a:ext uri="{FF2B5EF4-FFF2-40B4-BE49-F238E27FC236}">
              <a16:creationId xmlns:a16="http://schemas.microsoft.com/office/drawing/2014/main" id="{00000000-0008-0000-0B00-000026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200025</xdr:colOff>
      <xdr:row>244</xdr:row>
      <xdr:rowOff>0</xdr:rowOff>
    </xdr:from>
    <xdr:to>
      <xdr:col>24</xdr:col>
      <xdr:colOff>257175</xdr:colOff>
      <xdr:row>255</xdr:row>
      <xdr:rowOff>123825</xdr:rowOff>
    </xdr:to>
    <xdr:graphicFrame macro="">
      <xdr:nvGraphicFramePr>
        <xdr:cNvPr id="3439655" name="Chart 17">
          <a:extLst>
            <a:ext uri="{FF2B5EF4-FFF2-40B4-BE49-F238E27FC236}">
              <a16:creationId xmlns:a16="http://schemas.microsoft.com/office/drawing/2014/main" id="{00000000-0008-0000-0B00-0000277C3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10</xdr:row>
      <xdr:rowOff>28575</xdr:rowOff>
    </xdr:from>
    <xdr:to>
      <xdr:col>27</xdr:col>
      <xdr:colOff>266700</xdr:colOff>
      <xdr:row>28</xdr:row>
      <xdr:rowOff>152400</xdr:rowOff>
    </xdr:to>
    <xdr:graphicFrame macro="">
      <xdr:nvGraphicFramePr>
        <xdr:cNvPr id="2728228" name="Chart 1">
          <a:extLst>
            <a:ext uri="{FF2B5EF4-FFF2-40B4-BE49-F238E27FC236}">
              <a16:creationId xmlns:a16="http://schemas.microsoft.com/office/drawing/2014/main" id="{00000000-0008-0000-0C00-000024A12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24</xdr:col>
      <xdr:colOff>390525</xdr:colOff>
      <xdr:row>14</xdr:row>
      <xdr:rowOff>66675</xdr:rowOff>
    </xdr:from>
    <xdr:ext cx="753989" cy="210955"/>
    <xdr:sp macro="" textlink="">
      <xdr:nvSpPr>
        <xdr:cNvPr id="5122" name="Text Box 2">
          <a:extLst>
            <a:ext uri="{FF2B5EF4-FFF2-40B4-BE49-F238E27FC236}">
              <a16:creationId xmlns:a16="http://schemas.microsoft.com/office/drawing/2014/main" id="{00000000-0008-0000-0C00-000002140000}"/>
            </a:ext>
          </a:extLst>
        </xdr:cNvPr>
        <xdr:cNvSpPr txBox="1">
          <a:spLocks noChangeArrowheads="1"/>
        </xdr:cNvSpPr>
      </xdr:nvSpPr>
      <xdr:spPr bwMode="auto">
        <a:xfrm>
          <a:off x="18288000" y="3286125"/>
          <a:ext cx="753989" cy="210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NZ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ratio error</a:t>
          </a:r>
          <a:endParaRPr lang="en-NZ"/>
        </a:p>
      </xdr:txBody>
    </xdr:sp>
    <xdr:clientData/>
  </xdr:oneCellAnchor>
  <xdr:oneCellAnchor>
    <xdr:from>
      <xdr:col>22</xdr:col>
      <xdr:colOff>304800</xdr:colOff>
      <xdr:row>20</xdr:row>
      <xdr:rowOff>66675</xdr:rowOff>
    </xdr:from>
    <xdr:ext cx="1737592" cy="210955"/>
    <xdr:sp macro="" textlink="">
      <xdr:nvSpPr>
        <xdr:cNvPr id="5123" name="Text Box 3">
          <a:extLst>
            <a:ext uri="{FF2B5EF4-FFF2-40B4-BE49-F238E27FC236}">
              <a16:creationId xmlns:a16="http://schemas.microsoft.com/office/drawing/2014/main" id="{00000000-0008-0000-0C00-000003140000}"/>
            </a:ext>
          </a:extLst>
        </xdr:cNvPr>
        <xdr:cNvSpPr txBox="1">
          <a:spLocks noChangeArrowheads="1"/>
        </xdr:cNvSpPr>
      </xdr:nvSpPr>
      <xdr:spPr bwMode="auto">
        <a:xfrm>
          <a:off x="16983075" y="4324350"/>
          <a:ext cx="1737592" cy="210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NZ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(measured - calculated)</a:t>
          </a:r>
          <a:endParaRPr lang="en-NZ"/>
        </a:p>
      </xdr:txBody>
    </xdr:sp>
    <xdr:clientData/>
  </xdr:oneCellAnchor>
  <xdr:twoCellAnchor>
    <xdr:from>
      <xdr:col>25</xdr:col>
      <xdr:colOff>57150</xdr:colOff>
      <xdr:row>16</xdr:row>
      <xdr:rowOff>57150</xdr:rowOff>
    </xdr:from>
    <xdr:to>
      <xdr:col>25</xdr:col>
      <xdr:colOff>123825</xdr:colOff>
      <xdr:row>18</xdr:row>
      <xdr:rowOff>66675</xdr:rowOff>
    </xdr:to>
    <xdr:sp macro="" textlink="">
      <xdr:nvSpPr>
        <xdr:cNvPr id="2728231" name="Line 5">
          <a:extLst>
            <a:ext uri="{FF2B5EF4-FFF2-40B4-BE49-F238E27FC236}">
              <a16:creationId xmlns:a16="http://schemas.microsoft.com/office/drawing/2014/main" id="{00000000-0008-0000-0C00-000027A12900}"/>
            </a:ext>
          </a:extLst>
        </xdr:cNvPr>
        <xdr:cNvSpPr>
          <a:spLocks noChangeShapeType="1"/>
        </xdr:cNvSpPr>
      </xdr:nvSpPr>
      <xdr:spPr bwMode="auto">
        <a:xfrm flipH="1">
          <a:off x="18564225" y="3667125"/>
          <a:ext cx="66675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114300</xdr:colOff>
      <xdr:row>21</xdr:row>
      <xdr:rowOff>142875</xdr:rowOff>
    </xdr:from>
    <xdr:to>
      <xdr:col>23</xdr:col>
      <xdr:colOff>123825</xdr:colOff>
      <xdr:row>23</xdr:row>
      <xdr:rowOff>85725</xdr:rowOff>
    </xdr:to>
    <xdr:sp macro="" textlink="">
      <xdr:nvSpPr>
        <xdr:cNvPr id="2728232" name="Line 6">
          <a:extLst>
            <a:ext uri="{FF2B5EF4-FFF2-40B4-BE49-F238E27FC236}">
              <a16:creationId xmlns:a16="http://schemas.microsoft.com/office/drawing/2014/main" id="{00000000-0008-0000-0C00-000028A12900}"/>
            </a:ext>
          </a:extLst>
        </xdr:cNvPr>
        <xdr:cNvSpPr>
          <a:spLocks noChangeShapeType="1"/>
        </xdr:cNvSpPr>
      </xdr:nvSpPr>
      <xdr:spPr bwMode="auto">
        <a:xfrm flipH="1">
          <a:off x="17402175" y="4562475"/>
          <a:ext cx="952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419100</xdr:colOff>
      <xdr:row>10</xdr:row>
      <xdr:rowOff>28575</xdr:rowOff>
    </xdr:from>
    <xdr:to>
      <xdr:col>33</xdr:col>
      <xdr:colOff>409575</xdr:colOff>
      <xdr:row>28</xdr:row>
      <xdr:rowOff>161925</xdr:rowOff>
    </xdr:to>
    <xdr:graphicFrame macro="">
      <xdr:nvGraphicFramePr>
        <xdr:cNvPr id="2728233" name="Chart 7">
          <a:extLst>
            <a:ext uri="{FF2B5EF4-FFF2-40B4-BE49-F238E27FC236}">
              <a16:creationId xmlns:a16="http://schemas.microsoft.com/office/drawing/2014/main" id="{00000000-0008-0000-0C00-000029A12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28</xdr:col>
      <xdr:colOff>571500</xdr:colOff>
      <xdr:row>16</xdr:row>
      <xdr:rowOff>66675</xdr:rowOff>
    </xdr:from>
    <xdr:ext cx="865301" cy="210955"/>
    <xdr:sp macro="" textlink="">
      <xdr:nvSpPr>
        <xdr:cNvPr id="5128" name="Text Box 8">
          <a:extLst>
            <a:ext uri="{FF2B5EF4-FFF2-40B4-BE49-F238E27FC236}">
              <a16:creationId xmlns:a16="http://schemas.microsoft.com/office/drawing/2014/main" id="{00000000-0008-0000-0C00-000008140000}"/>
            </a:ext>
          </a:extLst>
        </xdr:cNvPr>
        <xdr:cNvSpPr txBox="1">
          <a:spLocks noChangeArrowheads="1"/>
        </xdr:cNvSpPr>
      </xdr:nvSpPr>
      <xdr:spPr bwMode="auto">
        <a:xfrm>
          <a:off x="20907375" y="3676650"/>
          <a:ext cx="865301" cy="210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NZ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phase error</a:t>
          </a:r>
          <a:endParaRPr lang="en-NZ"/>
        </a:p>
      </xdr:txBody>
    </xdr:sp>
    <xdr:clientData/>
  </xdr:oneCellAnchor>
  <xdr:oneCellAnchor>
    <xdr:from>
      <xdr:col>30</xdr:col>
      <xdr:colOff>295275</xdr:colOff>
      <xdr:row>19</xdr:row>
      <xdr:rowOff>38100</xdr:rowOff>
    </xdr:from>
    <xdr:ext cx="1737592" cy="210955"/>
    <xdr:sp macro="" textlink="">
      <xdr:nvSpPr>
        <xdr:cNvPr id="5129" name="Text Box 9">
          <a:extLst>
            <a:ext uri="{FF2B5EF4-FFF2-40B4-BE49-F238E27FC236}">
              <a16:creationId xmlns:a16="http://schemas.microsoft.com/office/drawing/2014/main" id="{00000000-0008-0000-0C00-000009140000}"/>
            </a:ext>
          </a:extLst>
        </xdr:cNvPr>
        <xdr:cNvSpPr txBox="1">
          <a:spLocks noChangeArrowheads="1"/>
        </xdr:cNvSpPr>
      </xdr:nvSpPr>
      <xdr:spPr bwMode="auto">
        <a:xfrm>
          <a:off x="21850350" y="4133850"/>
          <a:ext cx="1737592" cy="210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NZ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(measured - calculated)</a:t>
          </a:r>
          <a:endParaRPr lang="en-NZ"/>
        </a:p>
      </xdr:txBody>
    </xdr:sp>
    <xdr:clientData/>
  </xdr:oneCellAnchor>
  <xdr:twoCellAnchor>
    <xdr:from>
      <xdr:col>29</xdr:col>
      <xdr:colOff>352425</xdr:colOff>
      <xdr:row>17</xdr:row>
      <xdr:rowOff>142875</xdr:rowOff>
    </xdr:from>
    <xdr:to>
      <xdr:col>29</xdr:col>
      <xdr:colOff>409575</xdr:colOff>
      <xdr:row>21</xdr:row>
      <xdr:rowOff>171450</xdr:rowOff>
    </xdr:to>
    <xdr:sp macro="" textlink="">
      <xdr:nvSpPr>
        <xdr:cNvPr id="2728236" name="Line 10">
          <a:extLst>
            <a:ext uri="{FF2B5EF4-FFF2-40B4-BE49-F238E27FC236}">
              <a16:creationId xmlns:a16="http://schemas.microsoft.com/office/drawing/2014/main" id="{00000000-0008-0000-0C00-00002CA12900}"/>
            </a:ext>
          </a:extLst>
        </xdr:cNvPr>
        <xdr:cNvSpPr>
          <a:spLocks noChangeShapeType="1"/>
        </xdr:cNvSpPr>
      </xdr:nvSpPr>
      <xdr:spPr bwMode="auto">
        <a:xfrm>
          <a:off x="21297900" y="3914775"/>
          <a:ext cx="57150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180975</xdr:colOff>
      <xdr:row>20</xdr:row>
      <xdr:rowOff>66675</xdr:rowOff>
    </xdr:from>
    <xdr:to>
      <xdr:col>31</xdr:col>
      <xdr:colOff>276225</xdr:colOff>
      <xdr:row>23</xdr:row>
      <xdr:rowOff>152400</xdr:rowOff>
    </xdr:to>
    <xdr:sp macro="" textlink="">
      <xdr:nvSpPr>
        <xdr:cNvPr id="2728237" name="Line 11">
          <a:extLst>
            <a:ext uri="{FF2B5EF4-FFF2-40B4-BE49-F238E27FC236}">
              <a16:creationId xmlns:a16="http://schemas.microsoft.com/office/drawing/2014/main" id="{00000000-0008-0000-0C00-00002DA12900}"/>
            </a:ext>
          </a:extLst>
        </xdr:cNvPr>
        <xdr:cNvSpPr>
          <a:spLocks noChangeShapeType="1"/>
        </xdr:cNvSpPr>
      </xdr:nvSpPr>
      <xdr:spPr bwMode="auto">
        <a:xfrm>
          <a:off x="22345650" y="4324350"/>
          <a:ext cx="95250" cy="647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523875</xdr:colOff>
      <xdr:row>29</xdr:row>
      <xdr:rowOff>114300</xdr:rowOff>
    </xdr:from>
    <xdr:to>
      <xdr:col>26</xdr:col>
      <xdr:colOff>361950</xdr:colOff>
      <xdr:row>46</xdr:row>
      <xdr:rowOff>0</xdr:rowOff>
    </xdr:to>
    <xdr:graphicFrame macro="">
      <xdr:nvGraphicFramePr>
        <xdr:cNvPr id="2728238" name="Chart 12">
          <a:extLst>
            <a:ext uri="{FF2B5EF4-FFF2-40B4-BE49-F238E27FC236}">
              <a16:creationId xmlns:a16="http://schemas.microsoft.com/office/drawing/2014/main" id="{00000000-0008-0000-0C00-00002EA12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23</xdr:col>
      <xdr:colOff>219075</xdr:colOff>
      <xdr:row>41</xdr:row>
      <xdr:rowOff>142875</xdr:rowOff>
    </xdr:from>
    <xdr:ext cx="1651991" cy="210955"/>
    <xdr:sp macro="" textlink="">
      <xdr:nvSpPr>
        <xdr:cNvPr id="5133" name="Text Box 13">
          <a:extLst>
            <a:ext uri="{FF2B5EF4-FFF2-40B4-BE49-F238E27FC236}">
              <a16:creationId xmlns:a16="http://schemas.microsoft.com/office/drawing/2014/main" id="{00000000-0008-0000-0C00-00000D140000}"/>
            </a:ext>
          </a:extLst>
        </xdr:cNvPr>
        <xdr:cNvSpPr txBox="1">
          <a:spLocks noChangeArrowheads="1"/>
        </xdr:cNvSpPr>
      </xdr:nvSpPr>
      <xdr:spPr bwMode="auto">
        <a:xfrm>
          <a:off x="17506950" y="8058150"/>
          <a:ext cx="1651991" cy="210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NZ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(measured - clculated)</a:t>
          </a:r>
          <a:endParaRPr lang="en-NZ"/>
        </a:p>
      </xdr:txBody>
    </xdr:sp>
    <xdr:clientData/>
  </xdr:oneCellAnchor>
  <xdr:twoCellAnchor>
    <xdr:from>
      <xdr:col>27</xdr:col>
      <xdr:colOff>571500</xdr:colOff>
      <xdr:row>29</xdr:row>
      <xdr:rowOff>142875</xdr:rowOff>
    </xdr:from>
    <xdr:to>
      <xdr:col>33</xdr:col>
      <xdr:colOff>333375</xdr:colOff>
      <xdr:row>46</xdr:row>
      <xdr:rowOff>28575</xdr:rowOff>
    </xdr:to>
    <xdr:graphicFrame macro="">
      <xdr:nvGraphicFramePr>
        <xdr:cNvPr id="2728240" name="Chart 15">
          <a:extLst>
            <a:ext uri="{FF2B5EF4-FFF2-40B4-BE49-F238E27FC236}">
              <a16:creationId xmlns:a16="http://schemas.microsoft.com/office/drawing/2014/main" id="{00000000-0008-0000-0C00-000030A12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L/Private/Electricity/Ongoing/Power_Energy/SR830_SR850/SR830_2012_Aonly_Ver1_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Sheet"/>
      <sheetName val="Corrections"/>
      <sheetName val="Overlap"/>
      <sheetName val="CalHistory"/>
      <sheetName val="Constants"/>
      <sheetName val="Uncertainties"/>
      <sheetName val="Commentary"/>
    </sheetNames>
    <sheetDataSet>
      <sheetData sheetId="0">
        <row r="1">
          <cell r="AO1" t="str">
            <v>26_2_Re</v>
          </cell>
          <cell r="AP1" t="str">
            <v>26_2_Im</v>
          </cell>
          <cell r="AQ1" t="str">
            <v>26_1_Re</v>
          </cell>
          <cell r="AR1" t="str">
            <v>26_1_Im</v>
          </cell>
          <cell r="AS1" t="str">
            <v>26_0_Re</v>
          </cell>
          <cell r="AT1" t="str">
            <v>26_0_Im</v>
          </cell>
          <cell r="AU1" t="str">
            <v>25_2_Re</v>
          </cell>
          <cell r="AV1" t="str">
            <v>25_2_Im</v>
          </cell>
          <cell r="AW1" t="str">
            <v>25_1_Re</v>
          </cell>
          <cell r="AX1" t="str">
            <v>25_1_Im</v>
          </cell>
          <cell r="AY1" t="str">
            <v>25_0_Re</v>
          </cell>
          <cell r="AZ1" t="str">
            <v>25_0_Im</v>
          </cell>
          <cell r="BA1" t="str">
            <v>24_2_Re</v>
          </cell>
          <cell r="BB1" t="str">
            <v>24_2_Im</v>
          </cell>
          <cell r="BC1" t="str">
            <v>24_1_Re</v>
          </cell>
          <cell r="BD1" t="str">
            <v>24_1_Im</v>
          </cell>
          <cell r="BE1" t="str">
            <v>24_0_Re</v>
          </cell>
          <cell r="BF1" t="str">
            <v>24_0_Im</v>
          </cell>
          <cell r="BG1" t="str">
            <v>23_2_Re</v>
          </cell>
          <cell r="BH1" t="str">
            <v>23_2_Im</v>
          </cell>
          <cell r="BI1" t="str">
            <v>23_1_Re</v>
          </cell>
          <cell r="BJ1" t="str">
            <v>23_1_Im</v>
          </cell>
          <cell r="BK1" t="str">
            <v>23_0_Re</v>
          </cell>
          <cell r="BL1" t="str">
            <v>23_0_Im</v>
          </cell>
          <cell r="BM1" t="str">
            <v>22_2_Re</v>
          </cell>
          <cell r="BN1" t="str">
            <v>22_2_Im</v>
          </cell>
          <cell r="BO1" t="str">
            <v>22_1_Re</v>
          </cell>
          <cell r="BP1" t="str">
            <v>22_1_Im</v>
          </cell>
          <cell r="BQ1" t="str">
            <v>22_0_Re</v>
          </cell>
          <cell r="BR1" t="str">
            <v>22_0_Im</v>
          </cell>
          <cell r="BS1" t="str">
            <v>21_2_Re</v>
          </cell>
          <cell r="BT1" t="str">
            <v>21_2_Im</v>
          </cell>
          <cell r="BU1" t="str">
            <v>21_1_Re</v>
          </cell>
          <cell r="BV1" t="str">
            <v>21_1_Im</v>
          </cell>
          <cell r="BW1" t="str">
            <v>21_0_Re</v>
          </cell>
          <cell r="BX1" t="str">
            <v>21_0_Im</v>
          </cell>
          <cell r="BY1" t="str">
            <v>20_2_Re</v>
          </cell>
          <cell r="BZ1" t="str">
            <v>20_2_Im</v>
          </cell>
          <cell r="CA1" t="str">
            <v>20_1_Re</v>
          </cell>
          <cell r="CB1" t="str">
            <v>20_1_Im</v>
          </cell>
          <cell r="CC1" t="str">
            <v>20_0_Re</v>
          </cell>
          <cell r="CD1" t="str">
            <v>20_0_Im</v>
          </cell>
          <cell r="CE1" t="str">
            <v>19_2_Re</v>
          </cell>
          <cell r="CF1" t="str">
            <v>19_2_Im</v>
          </cell>
          <cell r="CG1" t="str">
            <v>19_1_Re</v>
          </cell>
          <cell r="CH1" t="str">
            <v>19_1_Im</v>
          </cell>
          <cell r="CI1" t="str">
            <v>19_0_Re</v>
          </cell>
          <cell r="CJ1" t="str">
            <v>19_0_Im</v>
          </cell>
          <cell r="CK1" t="str">
            <v>18_2_Re</v>
          </cell>
          <cell r="CL1" t="str">
            <v>18_2_Im</v>
          </cell>
          <cell r="CM1" t="str">
            <v>18_1_Re</v>
          </cell>
          <cell r="CN1" t="str">
            <v>18_1_Im</v>
          </cell>
          <cell r="CO1" t="str">
            <v>18_0_Re</v>
          </cell>
          <cell r="CP1" t="str">
            <v>18_0_Im</v>
          </cell>
          <cell r="CQ1" t="str">
            <v>17_2_Re</v>
          </cell>
          <cell r="CR1" t="str">
            <v>17_2_Im</v>
          </cell>
          <cell r="CS1" t="str">
            <v>17_1_Re</v>
          </cell>
          <cell r="CT1" t="str">
            <v>17_1_Im</v>
          </cell>
          <cell r="CU1" t="str">
            <v>17_0_Re</v>
          </cell>
          <cell r="CV1" t="str">
            <v>17_0_Im</v>
          </cell>
          <cell r="CW1" t="str">
            <v>16_2_Re</v>
          </cell>
          <cell r="CX1" t="str">
            <v>16_2_Im</v>
          </cell>
          <cell r="CY1" t="str">
            <v>16_1_Re</v>
          </cell>
          <cell r="CZ1" t="str">
            <v>16_1_Im</v>
          </cell>
          <cell r="DA1" t="str">
            <v>16_0_Re</v>
          </cell>
          <cell r="DB1" t="str">
            <v>16_0_Im</v>
          </cell>
          <cell r="DC1" t="str">
            <v>15_2_Re</v>
          </cell>
          <cell r="DD1" t="str">
            <v>15_2_Im</v>
          </cell>
          <cell r="DE1" t="str">
            <v>15_1_Re</v>
          </cell>
          <cell r="DF1" t="str">
            <v>15_1_Im</v>
          </cell>
          <cell r="DG1" t="str">
            <v>15_0_Re</v>
          </cell>
          <cell r="DH1" t="str">
            <v>15_0_Im</v>
          </cell>
          <cell r="DI1" t="str">
            <v>14_2_Re</v>
          </cell>
          <cell r="DJ1" t="str">
            <v>14_2_Im</v>
          </cell>
          <cell r="DK1" t="str">
            <v>14_1_Re</v>
          </cell>
          <cell r="DL1" t="str">
            <v>14_1_Im</v>
          </cell>
          <cell r="DM1" t="str">
            <v>14_0_Re</v>
          </cell>
          <cell r="DN1" t="str">
            <v>14_0_Im</v>
          </cell>
          <cell r="DO1" t="str">
            <v>13_2_Re</v>
          </cell>
          <cell r="DP1" t="str">
            <v>13_2_Im</v>
          </cell>
          <cell r="DQ1" t="str">
            <v>13_1_Re</v>
          </cell>
          <cell r="DR1" t="str">
            <v>13_1_Im</v>
          </cell>
          <cell r="DS1" t="str">
            <v>13_0_Re</v>
          </cell>
          <cell r="DT1" t="str">
            <v>13_0_Im</v>
          </cell>
          <cell r="DU1" t="str">
            <v>12_2_Re</v>
          </cell>
          <cell r="DV1" t="str">
            <v>12_2_Im</v>
          </cell>
          <cell r="DW1" t="str">
            <v>12_1_Re</v>
          </cell>
          <cell r="DX1" t="str">
            <v>12_1_Im</v>
          </cell>
          <cell r="DY1" t="str">
            <v>12_0_Re</v>
          </cell>
          <cell r="DZ1" t="str">
            <v>12_0_Im</v>
          </cell>
          <cell r="EA1" t="str">
            <v>11_2_Re</v>
          </cell>
          <cell r="EB1" t="str">
            <v>11_2_Im</v>
          </cell>
          <cell r="EC1" t="str">
            <v>11_1_Re</v>
          </cell>
          <cell r="ED1" t="str">
            <v>11_1_Im</v>
          </cell>
          <cell r="EE1" t="str">
            <v>11_0_Re</v>
          </cell>
          <cell r="EF1" t="str">
            <v>11_0_Im</v>
          </cell>
          <cell r="EG1" t="str">
            <v>10_2_Re</v>
          </cell>
          <cell r="EH1" t="str">
            <v>10_2_Im</v>
          </cell>
          <cell r="EI1" t="str">
            <v>10_1_Re</v>
          </cell>
          <cell r="EJ1" t="str">
            <v>10_1_Im</v>
          </cell>
          <cell r="EK1" t="str">
            <v>10_0_Re</v>
          </cell>
          <cell r="EL1" t="str">
            <v>10_0_Im</v>
          </cell>
          <cell r="EM1" t="str">
            <v>09_2_Re</v>
          </cell>
          <cell r="EN1" t="str">
            <v>09_2_Im</v>
          </cell>
          <cell r="EO1" t="str">
            <v>09_1_Re</v>
          </cell>
          <cell r="EP1" t="str">
            <v>09_1_Im</v>
          </cell>
          <cell r="EQ1" t="str">
            <v>09_0_Re</v>
          </cell>
          <cell r="ER1" t="str">
            <v>09_0_Im</v>
          </cell>
          <cell r="ES1" t="str">
            <v>08_2_Re</v>
          </cell>
          <cell r="ET1" t="str">
            <v>08_2_Im</v>
          </cell>
          <cell r="EU1" t="str">
            <v>08_1_Re</v>
          </cell>
          <cell r="EV1" t="str">
            <v>08_1_Im</v>
          </cell>
          <cell r="EW1" t="str">
            <v>08_0_Re</v>
          </cell>
          <cell r="EX1" t="str">
            <v>08_0_Im</v>
          </cell>
        </row>
        <row r="2">
          <cell r="AO2">
            <v>1.0016150105538153</v>
          </cell>
          <cell r="AP2">
            <v>1.9893546309758729E-4</v>
          </cell>
          <cell r="AQ2">
            <v>1.0016078029164854</v>
          </cell>
          <cell r="AR2">
            <v>1.5192712655250437E-4</v>
          </cell>
          <cell r="AS2">
            <v>1.0016014703240765</v>
          </cell>
          <cell r="AT2">
            <v>1.4850665873940462E-4</v>
          </cell>
          <cell r="AU2">
            <v>1.0015105577542192</v>
          </cell>
          <cell r="AV2">
            <v>1.4060282379165748E-4</v>
          </cell>
          <cell r="AW2">
            <v>1.0015174183724447</v>
          </cell>
          <cell r="AX2">
            <v>1.4811531384428052E-4</v>
          </cell>
          <cell r="AY2">
            <v>1.0015179866016675</v>
          </cell>
          <cell r="AZ2">
            <v>1.3801004061161657E-4</v>
          </cell>
          <cell r="BA2">
            <v>1.0011378960920854</v>
          </cell>
          <cell r="BB2">
            <v>9.8577817801804427E-5</v>
          </cell>
          <cell r="BC2">
            <v>1.0011995088234984</v>
          </cell>
          <cell r="BD2">
            <v>1.1688986279836311E-4</v>
          </cell>
          <cell r="BE2">
            <v>1.0012084385771032</v>
          </cell>
          <cell r="BF2">
            <v>1.105968878976263E-4</v>
          </cell>
          <cell r="BG2">
            <v>1.0006673902698158</v>
          </cell>
          <cell r="BH2">
            <v>6.3585444515740292E-5</v>
          </cell>
          <cell r="BI2">
            <v>1.0009970744377843</v>
          </cell>
          <cell r="BJ2">
            <v>1.2452179751487187E-4</v>
          </cell>
          <cell r="BK2">
            <v>1.0007097796327686</v>
          </cell>
          <cell r="BL2">
            <v>1.1936310043428437E-4</v>
          </cell>
          <cell r="BM2">
            <v>1.0005393717967814</v>
          </cell>
          <cell r="BN2">
            <v>3.3759001281208504E-5</v>
          </cell>
          <cell r="BO2">
            <v>1.0006291145303972</v>
          </cell>
          <cell r="BP2">
            <v>8.8553641993382965E-5</v>
          </cell>
          <cell r="BQ2">
            <v>0.99997254338882724</v>
          </cell>
          <cell r="BR2">
            <v>2.3615327984950285E-5</v>
          </cell>
          <cell r="BS2">
            <v>1.0001544912670448</v>
          </cell>
          <cell r="BT2">
            <v>4.7941042373685263E-5</v>
          </cell>
          <cell r="BU2">
            <v>0.99977536454902205</v>
          </cell>
          <cell r="BV2">
            <v>1.6098687819726499E-5</v>
          </cell>
          <cell r="BW2">
            <v>0.99849275272018301</v>
          </cell>
          <cell r="BX2">
            <v>3.6148459429406526E-6</v>
          </cell>
          <cell r="BY2">
            <v>0.99966345420801295</v>
          </cell>
          <cell r="BZ2">
            <v>1.5060006797379212E-4</v>
          </cell>
          <cell r="CA2">
            <v>0.99970154834016622</v>
          </cell>
          <cell r="CB2">
            <v>1.4661489492295637E-4</v>
          </cell>
          <cell r="CC2">
            <v>0.99818497539675033</v>
          </cell>
          <cell r="CD2">
            <v>2.160928090367837E-4</v>
          </cell>
          <cell r="CE2">
            <v>0.99955437940093894</v>
          </cell>
          <cell r="CF2">
            <v>8.6738443927788337E-5</v>
          </cell>
          <cell r="CG2">
            <v>0.99897406304969505</v>
          </cell>
          <cell r="CH2">
            <v>7.253990449354202E-6</v>
          </cell>
          <cell r="CI2">
            <v>0.99896434877792573</v>
          </cell>
          <cell r="CJ2">
            <v>1.9254578479625976E-4</v>
          </cell>
          <cell r="CK2">
            <v>0.99913106648965633</v>
          </cell>
          <cell r="CL2">
            <v>1.6462492186343467E-4</v>
          </cell>
          <cell r="CM2">
            <v>0.99745399787727462</v>
          </cell>
          <cell r="CN2">
            <v>5.0988562586419942E-6</v>
          </cell>
          <cell r="CO2">
            <v>0.99557347614458169</v>
          </cell>
          <cell r="CP2">
            <v>5.0010645833437347E-6</v>
          </cell>
          <cell r="CQ2">
            <v>0.99895190359460084</v>
          </cell>
          <cell r="CR2">
            <v>1.6660136837403979E-4</v>
          </cell>
          <cell r="CS2">
            <v>0.99743510661521617</v>
          </cell>
          <cell r="CT2">
            <v>4.8743472807353413E-5</v>
          </cell>
          <cell r="CU2">
            <v>1.0017557844640224</v>
          </cell>
          <cell r="CV2">
            <v>4.2196016872123614E-6</v>
          </cell>
          <cell r="CW2">
            <v>0.99826367213429601</v>
          </cell>
          <cell r="CX2">
            <v>1.4475953123945775E-4</v>
          </cell>
          <cell r="CY2">
            <v>0.996653408499931</v>
          </cell>
          <cell r="CZ2">
            <v>1.4477307118579655E-4</v>
          </cell>
          <cell r="DA2">
            <v>1.0056479368847406</v>
          </cell>
          <cell r="DB2">
            <v>-5.7336111127237012E-5</v>
          </cell>
          <cell r="DC2">
            <v>0.99917222379034099</v>
          </cell>
          <cell r="DD2">
            <v>-2.2420303249325155E-4</v>
          </cell>
          <cell r="DE2">
            <v>0.99641835029361192</v>
          </cell>
          <cell r="DF2">
            <v>4.8112054936408568E-5</v>
          </cell>
          <cell r="DG2">
            <v>0.9996188452752619</v>
          </cell>
          <cell r="DH2">
            <v>-1.1595760507494765E-5</v>
          </cell>
          <cell r="DI2">
            <v>0.9991395274010002</v>
          </cell>
          <cell r="DJ2">
            <v>3.6324780144210075E-4</v>
          </cell>
          <cell r="DK2">
            <v>0.99774308610372076</v>
          </cell>
          <cell r="DL2">
            <v>4.6206630364413692E-4</v>
          </cell>
          <cell r="DM2">
            <v>1.0095896250080423</v>
          </cell>
          <cell r="DN2">
            <v>7.7767685625269043E-4</v>
          </cell>
          <cell r="DO2">
            <v>0.9984490659963956</v>
          </cell>
          <cell r="DP2">
            <v>-9.9697622745872319E-4</v>
          </cell>
          <cell r="DQ2">
            <v>0.99587472662318766</v>
          </cell>
          <cell r="DR2">
            <v>-2.5561408564053403E-4</v>
          </cell>
          <cell r="DS2">
            <v>1.0053953505862041</v>
          </cell>
          <cell r="DT2">
            <v>6.9050268540044751E-4</v>
          </cell>
          <cell r="DU2">
            <v>0.99800304209292012</v>
          </cell>
          <cell r="DV2">
            <v>5.3095105920367277E-4</v>
          </cell>
          <cell r="DW2">
            <v>0.99689521000580783</v>
          </cell>
          <cell r="DX2">
            <v>2.7606138517975525E-3</v>
          </cell>
          <cell r="DY2">
            <v>1.0025919000648218</v>
          </cell>
          <cell r="DZ2">
            <v>-3.8045042682837639E-3</v>
          </cell>
          <cell r="EA2">
            <v>0.99870278404417656</v>
          </cell>
          <cell r="EB2">
            <v>3.6797627412215941E-3</v>
          </cell>
          <cell r="EC2">
            <v>0.99779460395537778</v>
          </cell>
          <cell r="ED2">
            <v>-3.9754789010669565E-3</v>
          </cell>
          <cell r="EE2">
            <v>0.99788750574655516</v>
          </cell>
          <cell r="EF2">
            <v>-1.7490348174654932E-2</v>
          </cell>
          <cell r="EG2">
            <v>0.99959662545273043</v>
          </cell>
          <cell r="EH2">
            <v>-1.1636244621426916E-2</v>
          </cell>
          <cell r="EI2">
            <v>0.99740915277052078</v>
          </cell>
          <cell r="EJ2">
            <v>-4.4180852120545505E-3</v>
          </cell>
          <cell r="EK2">
            <v>1.0130682001372449</v>
          </cell>
          <cell r="EL2">
            <v>3.9181899679104598E-2</v>
          </cell>
          <cell r="EM2">
            <v>1.0018403188139096</v>
          </cell>
          <cell r="EN2">
            <v>-1.3498657450788386E-2</v>
          </cell>
          <cell r="EO2">
            <v>1.0053242457059977</v>
          </cell>
          <cell r="EP2">
            <v>4.0657573221364986E-3</v>
          </cell>
          <cell r="EQ2">
            <v>1.0346386436022303</v>
          </cell>
          <cell r="ER2">
            <v>7.2497820932886411E-2</v>
          </cell>
          <cell r="ES2">
            <v>0.99165148572988415</v>
          </cell>
          <cell r="ET2">
            <v>-9.4045602138882172E-3</v>
          </cell>
          <cell r="EU2">
            <v>0.99385921530845067</v>
          </cell>
          <cell r="EV2">
            <v>6.1202907496458368E-2</v>
          </cell>
          <cell r="EW2">
            <v>1.0498340568854296</v>
          </cell>
          <cell r="EX2">
            <v>-0.2210029165032211</v>
          </cell>
        </row>
        <row r="3">
          <cell r="AO3">
            <v>4.4097393952517541E-5</v>
          </cell>
          <cell r="AP3">
            <v>7.215614471265987E-5</v>
          </cell>
          <cell r="AQ3">
            <v>3.7799689661423539E-5</v>
          </cell>
          <cell r="AR3">
            <v>3.6405134018955941E-5</v>
          </cell>
          <cell r="AS3">
            <v>3.7529199652335123E-5</v>
          </cell>
          <cell r="AT3">
            <v>4.102737107309479E-5</v>
          </cell>
          <cell r="AU3">
            <v>6.6235994908608073E-5</v>
          </cell>
          <cell r="AV3">
            <v>3.7701413201759799E-5</v>
          </cell>
          <cell r="AW3">
            <v>7.2687610369293482E-5</v>
          </cell>
          <cell r="AX3">
            <v>3.5913256593543742E-5</v>
          </cell>
          <cell r="AY3">
            <v>7.2077759469237087E-5</v>
          </cell>
          <cell r="AZ3">
            <v>3.7963722806319994E-5</v>
          </cell>
          <cell r="BA3">
            <v>3.1789369396356301E-5</v>
          </cell>
          <cell r="BB3">
            <v>2.513811518174234E-5</v>
          </cell>
          <cell r="BC3">
            <v>9.2902039225725233E-5</v>
          </cell>
          <cell r="BD3">
            <v>2.8101924044719553E-5</v>
          </cell>
          <cell r="BE3">
            <v>8.6294844215677885E-5</v>
          </cell>
          <cell r="BF3">
            <v>3.3282237349286544E-5</v>
          </cell>
          <cell r="BG3">
            <v>4.6162782276369268E-5</v>
          </cell>
          <cell r="BH3">
            <v>7.8133786719461555E-5</v>
          </cell>
          <cell r="BI3">
            <v>6.8270381715135244E-5</v>
          </cell>
          <cell r="BJ3">
            <v>6.2290408525880742E-5</v>
          </cell>
          <cell r="BK3">
            <v>2.0337236941708292E-4</v>
          </cell>
          <cell r="BL3">
            <v>9.4321172904992441E-5</v>
          </cell>
          <cell r="BM3">
            <v>5.9213142372261669E-5</v>
          </cell>
          <cell r="BN3">
            <v>8.0274281356305927E-5</v>
          </cell>
          <cell r="BO3">
            <v>1.5888807989667493E-4</v>
          </cell>
          <cell r="BP3">
            <v>2.9862288878635016E-5</v>
          </cell>
          <cell r="BQ3">
            <v>3.2323124827916068E-4</v>
          </cell>
          <cell r="BR3">
            <v>7.3361133860714374E-5</v>
          </cell>
          <cell r="BS3">
            <v>7.5720428313408503E-5</v>
          </cell>
          <cell r="BT3">
            <v>1.1313884843064583E-4</v>
          </cell>
          <cell r="BU3">
            <v>2.5773156008186541E-4</v>
          </cell>
          <cell r="BV3">
            <v>3.3073332621746213E-5</v>
          </cell>
          <cell r="BW3">
            <v>7.0164718350136657E-4</v>
          </cell>
          <cell r="BX3">
            <v>1.1955625468777919E-5</v>
          </cell>
          <cell r="BY3">
            <v>9.0376827812339988E-5</v>
          </cell>
          <cell r="BZ3">
            <v>7.9572614017751211E-5</v>
          </cell>
          <cell r="CA3">
            <v>2.0711152734856513E-4</v>
          </cell>
          <cell r="CB3">
            <v>1.1137367087264245E-4</v>
          </cell>
          <cell r="CC3">
            <v>7.7605396185567548E-4</v>
          </cell>
          <cell r="CD3">
            <v>5.9579150064521444E-4</v>
          </cell>
          <cell r="CE3">
            <v>7.2574815275341784E-5</v>
          </cell>
          <cell r="CF3">
            <v>5.0601102423335579E-5</v>
          </cell>
          <cell r="CG3">
            <v>3.6770418225555494E-4</v>
          </cell>
          <cell r="CH3">
            <v>2.4998376085468517E-5</v>
          </cell>
          <cell r="CI3">
            <v>1.2653057031175221E-3</v>
          </cell>
          <cell r="CJ3">
            <v>6.2465953638727353E-4</v>
          </cell>
          <cell r="CK3">
            <v>1.2078499345275757E-4</v>
          </cell>
          <cell r="CL3">
            <v>1.2140680954032427E-4</v>
          </cell>
          <cell r="CM3">
            <v>7.2149869628978407E-4</v>
          </cell>
          <cell r="CN3">
            <v>1.6247882846437007E-5</v>
          </cell>
          <cell r="CO3">
            <v>2.7217577128629813E-3</v>
          </cell>
          <cell r="CP3">
            <v>1.5406495828958801E-5</v>
          </cell>
          <cell r="CQ3">
            <v>1.8787576188729449E-4</v>
          </cell>
          <cell r="CR3">
            <v>1.9324694126934052E-4</v>
          </cell>
          <cell r="CS3">
            <v>9.7591254837774686E-4</v>
          </cell>
          <cell r="CT3">
            <v>2.0096503216642596E-4</v>
          </cell>
          <cell r="CU3">
            <v>4.2982133724686544E-3</v>
          </cell>
          <cell r="CV3">
            <v>3.2062481067996784E-5</v>
          </cell>
          <cell r="CW3">
            <v>8.8765474385731741E-4</v>
          </cell>
          <cell r="CX3">
            <v>7.5904640269124427E-4</v>
          </cell>
          <cell r="CY3">
            <v>1.9303556943687224E-3</v>
          </cell>
          <cell r="CZ3">
            <v>4.3729974758249151E-4</v>
          </cell>
          <cell r="DA3">
            <v>3.1996793509042453E-3</v>
          </cell>
          <cell r="DB3">
            <v>5.8928474885354397E-5</v>
          </cell>
          <cell r="DC3">
            <v>7.2292130426974326E-4</v>
          </cell>
          <cell r="DD3">
            <v>9.5177289588237993E-4</v>
          </cell>
          <cell r="DE3">
            <v>1.3413045387514237E-3</v>
          </cell>
          <cell r="DF3">
            <v>3.3819418785450999E-4</v>
          </cell>
          <cell r="DG3">
            <v>9.3610398907078424E-3</v>
          </cell>
          <cell r="DH3">
            <v>2.7638298207587059E-4</v>
          </cell>
          <cell r="DI3">
            <v>1.5183613980564951E-3</v>
          </cell>
          <cell r="DJ3">
            <v>1.3882821783491458E-3</v>
          </cell>
          <cell r="DK3">
            <v>2.3225547616762313E-3</v>
          </cell>
          <cell r="DL3">
            <v>1.0421758726926026E-3</v>
          </cell>
          <cell r="DM3">
            <v>7.960058147895752E-3</v>
          </cell>
          <cell r="DN3">
            <v>3.7282563093235829E-3</v>
          </cell>
          <cell r="DO3">
            <v>2.3224469559814977E-3</v>
          </cell>
          <cell r="DP3">
            <v>4.6301899737463837E-3</v>
          </cell>
          <cell r="DQ3">
            <v>3.0271262741615769E-3</v>
          </cell>
          <cell r="DR3">
            <v>6.9670384803741858E-3</v>
          </cell>
          <cell r="DS3">
            <v>1.301025251949345E-2</v>
          </cell>
          <cell r="DT3">
            <v>1.4303277795795915E-3</v>
          </cell>
          <cell r="DU3">
            <v>8.4523533546929982E-3</v>
          </cell>
          <cell r="DV3">
            <v>9.9415143746705206E-3</v>
          </cell>
          <cell r="DW3">
            <v>1.0003730404452748E-2</v>
          </cell>
          <cell r="DX3">
            <v>1.2672355221025788E-2</v>
          </cell>
          <cell r="DY3">
            <v>2.0491566377311071E-2</v>
          </cell>
          <cell r="DZ3">
            <v>2.6944007866807618E-2</v>
          </cell>
          <cell r="EA3">
            <v>8.350043905435851E-3</v>
          </cell>
          <cell r="EB3">
            <v>1.0465732532337175E-2</v>
          </cell>
          <cell r="EC3">
            <v>1.0027110282114645E-2</v>
          </cell>
          <cell r="ED3">
            <v>1.4530676440861466E-2</v>
          </cell>
          <cell r="EE3">
            <v>2.6366736049093297E-2</v>
          </cell>
          <cell r="EF3">
            <v>6.1908093899601904E-2</v>
          </cell>
          <cell r="EG3">
            <v>1.007525721517096E-2</v>
          </cell>
          <cell r="EH3">
            <v>1.5505289973449587E-2</v>
          </cell>
          <cell r="EI3">
            <v>1.0847032583652048E-2</v>
          </cell>
          <cell r="EJ3">
            <v>2.3725903632494567E-2</v>
          </cell>
          <cell r="EK3">
            <v>5.9057444650890703E-2</v>
          </cell>
          <cell r="EL3">
            <v>8.3324190181391325E-2</v>
          </cell>
          <cell r="EM3">
            <v>1.8278270508037094E-2</v>
          </cell>
          <cell r="EN3">
            <v>3.58931000172397E-2</v>
          </cell>
          <cell r="EO3">
            <v>3.3608609748385566E-2</v>
          </cell>
          <cell r="EP3">
            <v>5.0377884718969437E-2</v>
          </cell>
          <cell r="EQ3">
            <v>0.16272030776365717</v>
          </cell>
          <cell r="ER3">
            <v>0.26290173256705773</v>
          </cell>
          <cell r="ES3">
            <v>3.6755003408884206E-2</v>
          </cell>
          <cell r="ET3">
            <v>8.5560823153856033E-2</v>
          </cell>
          <cell r="EU3">
            <v>4.4458869836587429E-2</v>
          </cell>
          <cell r="EV3">
            <v>5.1520533237061725E-2</v>
          </cell>
          <cell r="EW3">
            <v>0.33189664751687109</v>
          </cell>
          <cell r="EX3">
            <v>0.40838050573167511</v>
          </cell>
        </row>
        <row r="4">
          <cell r="AO4">
            <v>22</v>
          </cell>
          <cell r="AP4">
            <v>22</v>
          </cell>
          <cell r="AQ4">
            <v>22</v>
          </cell>
          <cell r="AR4">
            <v>22</v>
          </cell>
          <cell r="AS4">
            <v>22</v>
          </cell>
          <cell r="AT4">
            <v>22</v>
          </cell>
          <cell r="AU4">
            <v>22</v>
          </cell>
          <cell r="AV4">
            <v>22</v>
          </cell>
          <cell r="AW4">
            <v>22</v>
          </cell>
          <cell r="AX4">
            <v>22</v>
          </cell>
          <cell r="AY4">
            <v>22</v>
          </cell>
          <cell r="AZ4">
            <v>22</v>
          </cell>
          <cell r="BA4">
            <v>22</v>
          </cell>
          <cell r="BB4">
            <v>22</v>
          </cell>
          <cell r="BC4">
            <v>22</v>
          </cell>
          <cell r="BD4">
            <v>22</v>
          </cell>
          <cell r="BE4">
            <v>22</v>
          </cell>
          <cell r="BF4">
            <v>22</v>
          </cell>
          <cell r="BG4">
            <v>33</v>
          </cell>
          <cell r="BH4">
            <v>33</v>
          </cell>
          <cell r="BI4">
            <v>33</v>
          </cell>
          <cell r="BJ4">
            <v>33</v>
          </cell>
          <cell r="BK4">
            <v>33</v>
          </cell>
          <cell r="BL4">
            <v>33</v>
          </cell>
          <cell r="BM4">
            <v>22</v>
          </cell>
          <cell r="BN4">
            <v>22</v>
          </cell>
          <cell r="BO4">
            <v>22</v>
          </cell>
          <cell r="BP4">
            <v>22</v>
          </cell>
          <cell r="BQ4">
            <v>22</v>
          </cell>
          <cell r="BR4">
            <v>22</v>
          </cell>
          <cell r="BS4">
            <v>22</v>
          </cell>
          <cell r="BT4">
            <v>22</v>
          </cell>
          <cell r="BU4">
            <v>22</v>
          </cell>
          <cell r="BV4">
            <v>22</v>
          </cell>
          <cell r="BW4">
            <v>22</v>
          </cell>
          <cell r="BX4">
            <v>22</v>
          </cell>
          <cell r="BY4">
            <v>44</v>
          </cell>
          <cell r="BZ4">
            <v>44</v>
          </cell>
          <cell r="CA4">
            <v>44</v>
          </cell>
          <cell r="CB4">
            <v>44</v>
          </cell>
          <cell r="CC4">
            <v>44</v>
          </cell>
          <cell r="CD4">
            <v>44</v>
          </cell>
          <cell r="CE4">
            <v>22</v>
          </cell>
          <cell r="CF4">
            <v>22</v>
          </cell>
          <cell r="CG4">
            <v>22</v>
          </cell>
          <cell r="CH4">
            <v>22</v>
          </cell>
          <cell r="CI4">
            <v>22</v>
          </cell>
          <cell r="CJ4">
            <v>22</v>
          </cell>
          <cell r="CK4">
            <v>22</v>
          </cell>
          <cell r="CL4">
            <v>22</v>
          </cell>
          <cell r="CM4">
            <v>22</v>
          </cell>
          <cell r="CN4">
            <v>22</v>
          </cell>
          <cell r="CO4">
            <v>22</v>
          </cell>
          <cell r="CP4">
            <v>22</v>
          </cell>
          <cell r="CQ4">
            <v>33</v>
          </cell>
          <cell r="CR4">
            <v>33</v>
          </cell>
          <cell r="CS4">
            <v>33</v>
          </cell>
          <cell r="CT4">
            <v>33</v>
          </cell>
          <cell r="CU4">
            <v>33</v>
          </cell>
          <cell r="CV4">
            <v>33</v>
          </cell>
          <cell r="CW4">
            <v>33</v>
          </cell>
          <cell r="CX4">
            <v>33</v>
          </cell>
          <cell r="CY4">
            <v>33</v>
          </cell>
          <cell r="CZ4">
            <v>33</v>
          </cell>
          <cell r="DA4">
            <v>33</v>
          </cell>
          <cell r="DB4">
            <v>33</v>
          </cell>
          <cell r="DC4">
            <v>22</v>
          </cell>
          <cell r="DD4">
            <v>22</v>
          </cell>
          <cell r="DE4">
            <v>22</v>
          </cell>
          <cell r="DF4">
            <v>22</v>
          </cell>
          <cell r="DG4">
            <v>22</v>
          </cell>
          <cell r="DH4">
            <v>22</v>
          </cell>
          <cell r="DI4">
            <v>33</v>
          </cell>
          <cell r="DJ4">
            <v>33</v>
          </cell>
          <cell r="DK4">
            <v>33</v>
          </cell>
          <cell r="DL4">
            <v>33</v>
          </cell>
          <cell r="DM4">
            <v>33</v>
          </cell>
          <cell r="DN4">
            <v>33</v>
          </cell>
          <cell r="DO4">
            <v>33</v>
          </cell>
          <cell r="DP4">
            <v>33</v>
          </cell>
          <cell r="DQ4">
            <v>34</v>
          </cell>
          <cell r="DR4">
            <v>34</v>
          </cell>
          <cell r="DS4">
            <v>32</v>
          </cell>
          <cell r="DT4">
            <v>32</v>
          </cell>
          <cell r="DU4">
            <v>22</v>
          </cell>
          <cell r="DV4">
            <v>22</v>
          </cell>
          <cell r="DW4">
            <v>22</v>
          </cell>
          <cell r="DX4">
            <v>22</v>
          </cell>
          <cell r="DY4">
            <v>22</v>
          </cell>
          <cell r="DZ4">
            <v>22</v>
          </cell>
          <cell r="EA4">
            <v>44</v>
          </cell>
          <cell r="EB4">
            <v>44</v>
          </cell>
          <cell r="EC4">
            <v>44</v>
          </cell>
          <cell r="ED4">
            <v>44</v>
          </cell>
          <cell r="EE4">
            <v>44</v>
          </cell>
          <cell r="EF4">
            <v>44</v>
          </cell>
          <cell r="EG4">
            <v>33</v>
          </cell>
          <cell r="EH4">
            <v>33</v>
          </cell>
          <cell r="EI4">
            <v>33</v>
          </cell>
          <cell r="EJ4">
            <v>33</v>
          </cell>
          <cell r="EK4">
            <v>34</v>
          </cell>
          <cell r="EL4">
            <v>34</v>
          </cell>
          <cell r="EM4">
            <v>22</v>
          </cell>
          <cell r="EN4">
            <v>22</v>
          </cell>
          <cell r="EO4">
            <v>24</v>
          </cell>
          <cell r="EP4">
            <v>24</v>
          </cell>
          <cell r="EQ4">
            <v>19</v>
          </cell>
          <cell r="ER4">
            <v>19</v>
          </cell>
          <cell r="ES4">
            <v>15</v>
          </cell>
          <cell r="ET4">
            <v>15</v>
          </cell>
          <cell r="EU4">
            <v>8</v>
          </cell>
          <cell r="EV4">
            <v>8</v>
          </cell>
          <cell r="EW4">
            <v>9</v>
          </cell>
          <cell r="EX4">
            <v>9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2:C28"/>
  <sheetViews>
    <sheetView workbookViewId="0">
      <selection activeCell="E28" sqref="E28"/>
    </sheetView>
  </sheetViews>
  <sheetFormatPr defaultRowHeight="12.75" x14ac:dyDescent="0.2"/>
  <cols>
    <col min="1" max="1" width="26.85546875" customWidth="1"/>
  </cols>
  <sheetData>
    <row r="2" spans="1:3" x14ac:dyDescent="0.2">
      <c r="B2" t="s">
        <v>683</v>
      </c>
      <c r="C2" t="s">
        <v>684</v>
      </c>
    </row>
    <row r="3" spans="1:3" x14ac:dyDescent="0.2">
      <c r="A3" s="145">
        <v>41257</v>
      </c>
      <c r="B3" s="33">
        <v>19.75</v>
      </c>
      <c r="C3" s="33">
        <v>56.41</v>
      </c>
    </row>
    <row r="4" spans="1:3" x14ac:dyDescent="0.2">
      <c r="A4" s="261">
        <v>41312</v>
      </c>
      <c r="B4" s="33">
        <v>19.59</v>
      </c>
      <c r="C4" s="33">
        <v>52.17</v>
      </c>
    </row>
    <row r="5" spans="1:3" x14ac:dyDescent="0.2">
      <c r="A5" s="145">
        <v>41313</v>
      </c>
      <c r="B5" s="33">
        <v>19.690000000000001</v>
      </c>
      <c r="C5" s="33">
        <v>49.44</v>
      </c>
    </row>
    <row r="6" spans="1:3" x14ac:dyDescent="0.2">
      <c r="A6" s="261">
        <v>41316</v>
      </c>
      <c r="B6" s="33">
        <v>19.55</v>
      </c>
      <c r="C6" s="33">
        <v>63.95</v>
      </c>
    </row>
    <row r="7" spans="1:3" x14ac:dyDescent="0.2">
      <c r="A7" s="145">
        <v>41317</v>
      </c>
      <c r="B7" s="33">
        <v>19.52</v>
      </c>
      <c r="C7" s="33">
        <v>63.65</v>
      </c>
    </row>
    <row r="8" spans="1:3" x14ac:dyDescent="0.2">
      <c r="A8" s="145">
        <v>41318</v>
      </c>
      <c r="B8" s="33">
        <v>19.760000000000002</v>
      </c>
      <c r="C8" s="33">
        <v>57.84</v>
      </c>
    </row>
    <row r="9" spans="1:3" x14ac:dyDescent="0.2">
      <c r="A9" s="145">
        <v>41319</v>
      </c>
      <c r="B9" s="33">
        <v>19.59</v>
      </c>
      <c r="C9" s="33">
        <v>57.39</v>
      </c>
    </row>
    <row r="10" spans="1:3" x14ac:dyDescent="0.2">
      <c r="A10" s="145">
        <v>41320</v>
      </c>
      <c r="B10" s="33">
        <v>19.79</v>
      </c>
      <c r="C10" s="33">
        <v>59.09</v>
      </c>
    </row>
    <row r="11" spans="1:3" x14ac:dyDescent="0.2">
      <c r="A11" s="145">
        <v>41323</v>
      </c>
      <c r="B11" s="33">
        <v>19.52</v>
      </c>
      <c r="C11" s="33">
        <v>53.74</v>
      </c>
    </row>
    <row r="12" spans="1:3" x14ac:dyDescent="0.2">
      <c r="A12" s="145">
        <v>41324</v>
      </c>
      <c r="B12" s="33">
        <v>19.71</v>
      </c>
      <c r="C12" s="33">
        <v>59.23</v>
      </c>
    </row>
    <row r="13" spans="1:3" x14ac:dyDescent="0.2">
      <c r="A13" s="145">
        <v>41325</v>
      </c>
      <c r="B13" s="33">
        <v>19.64</v>
      </c>
      <c r="C13" s="33">
        <v>60.02</v>
      </c>
    </row>
    <row r="14" spans="1:3" x14ac:dyDescent="0.2">
      <c r="A14" s="145">
        <v>41326</v>
      </c>
      <c r="B14" s="33">
        <v>19.79</v>
      </c>
      <c r="C14" s="33">
        <v>58.33</v>
      </c>
    </row>
    <row r="15" spans="1:3" x14ac:dyDescent="0.2">
      <c r="A15" s="145">
        <v>41327</v>
      </c>
      <c r="B15" s="33">
        <v>19.649999999999999</v>
      </c>
      <c r="C15" s="33">
        <v>56.85</v>
      </c>
    </row>
    <row r="16" spans="1:3" x14ac:dyDescent="0.2">
      <c r="A16" s="145">
        <v>41330</v>
      </c>
      <c r="B16" s="33">
        <v>19.52</v>
      </c>
      <c r="C16" s="33">
        <v>56.39</v>
      </c>
    </row>
    <row r="17" spans="1:3" x14ac:dyDescent="0.2">
      <c r="A17" s="145">
        <v>41341</v>
      </c>
      <c r="B17" s="33">
        <v>19.760000000000002</v>
      </c>
      <c r="C17" s="33">
        <v>56.61</v>
      </c>
    </row>
    <row r="18" spans="1:3" x14ac:dyDescent="0.2">
      <c r="A18" s="145">
        <v>41344</v>
      </c>
      <c r="B18" s="33">
        <v>19.649999999999999</v>
      </c>
      <c r="C18" s="33">
        <v>56.66</v>
      </c>
    </row>
    <row r="19" spans="1:3" x14ac:dyDescent="0.2">
      <c r="A19" s="145">
        <v>41345</v>
      </c>
      <c r="B19" s="33">
        <v>19.920000000000002</v>
      </c>
      <c r="C19" s="33">
        <v>52.83</v>
      </c>
    </row>
    <row r="20" spans="1:3" x14ac:dyDescent="0.2">
      <c r="A20" s="145">
        <v>41346</v>
      </c>
      <c r="B20" s="33">
        <v>19.809999999999999</v>
      </c>
      <c r="C20" s="33">
        <v>56.41</v>
      </c>
    </row>
    <row r="21" spans="1:3" x14ac:dyDescent="0.2">
      <c r="A21" s="145">
        <v>41348</v>
      </c>
      <c r="B21" s="33">
        <v>19.62</v>
      </c>
      <c r="C21" s="33">
        <v>64.66</v>
      </c>
    </row>
    <row r="22" spans="1:3" x14ac:dyDescent="0.2">
      <c r="A22" s="306" t="s">
        <v>685</v>
      </c>
      <c r="B22" s="2">
        <f>AVERAGE(B3:B21)</f>
        <v>19.675263157894737</v>
      </c>
      <c r="C22" s="2">
        <f>AVERAGE(C3:C21)</f>
        <v>57.456315789473685</v>
      </c>
    </row>
    <row r="23" spans="1:3" x14ac:dyDescent="0.2">
      <c r="A23" s="169" t="s">
        <v>686</v>
      </c>
      <c r="B23" s="6">
        <f>STDEV(B3:B21)</f>
        <v>0.11398676439017122</v>
      </c>
      <c r="C23" s="2">
        <f>STDEV(C3:C21)</f>
        <v>3.9312836616136182</v>
      </c>
    </row>
    <row r="24" spans="1:3" x14ac:dyDescent="0.2">
      <c r="A24" s="306" t="s">
        <v>687</v>
      </c>
      <c r="B24" s="262">
        <v>-0.14399999999999999</v>
      </c>
      <c r="C24" s="33">
        <v>-0.10199999999999999</v>
      </c>
    </row>
    <row r="25" spans="1:3" x14ac:dyDescent="0.2">
      <c r="A25" s="306" t="s">
        <v>688</v>
      </c>
      <c r="B25" s="263"/>
      <c r="C25" s="33"/>
    </row>
    <row r="26" spans="1:3" x14ac:dyDescent="0.2">
      <c r="A26" s="306" t="s">
        <v>689</v>
      </c>
      <c r="B26" s="2">
        <f>B22+B24+B25</f>
        <v>19.531263157894738</v>
      </c>
      <c r="C26" s="2">
        <f>C22+C24+C25</f>
        <v>57.354315789473688</v>
      </c>
    </row>
    <row r="27" spans="1:3" x14ac:dyDescent="0.2">
      <c r="A27" s="306" t="s">
        <v>690</v>
      </c>
      <c r="B27" s="6">
        <v>0.55209436829256686</v>
      </c>
      <c r="C27" s="6">
        <v>1.3513502374130661</v>
      </c>
    </row>
    <row r="28" spans="1:3" x14ac:dyDescent="0.2">
      <c r="A28" s="306" t="s">
        <v>691</v>
      </c>
      <c r="B28" s="2">
        <f>SQRT((2*B23)^2+B27^2)</f>
        <v>0.59731074100917525</v>
      </c>
      <c r="C28" s="2">
        <f>SQRT((2*C23)^2+C27^2)</f>
        <v>7.9778513633958523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C2:X47"/>
  <sheetViews>
    <sheetView workbookViewId="0">
      <selection activeCell="A15" sqref="A15"/>
    </sheetView>
  </sheetViews>
  <sheetFormatPr defaultRowHeight="12.75" x14ac:dyDescent="0.2"/>
  <cols>
    <col min="3" max="3" width="10.140625" bestFit="1" customWidth="1"/>
    <col min="5" max="5" width="10.140625" bestFit="1" customWidth="1"/>
    <col min="9" max="9" width="10.140625" bestFit="1" customWidth="1"/>
    <col min="19" max="19" width="9.28515625" bestFit="1" customWidth="1"/>
  </cols>
  <sheetData>
    <row r="2" spans="3:24" x14ac:dyDescent="0.2">
      <c r="H2" t="s">
        <v>570</v>
      </c>
      <c r="Q2" t="s">
        <v>574</v>
      </c>
    </row>
    <row r="3" spans="3:24" x14ac:dyDescent="0.2">
      <c r="G3" t="s">
        <v>568</v>
      </c>
      <c r="H3" t="s">
        <v>571</v>
      </c>
      <c r="Q3" t="s">
        <v>570</v>
      </c>
    </row>
    <row r="4" spans="3:24" x14ac:dyDescent="0.2">
      <c r="G4" t="s">
        <v>569</v>
      </c>
      <c r="H4" t="s">
        <v>572</v>
      </c>
      <c r="Q4" t="s">
        <v>575</v>
      </c>
    </row>
    <row r="5" spans="3:24" x14ac:dyDescent="0.2">
      <c r="D5" s="4">
        <v>41281</v>
      </c>
      <c r="E5" s="4">
        <v>41285</v>
      </c>
      <c r="G5" s="4">
        <v>41306</v>
      </c>
      <c r="H5" s="4">
        <v>41306</v>
      </c>
      <c r="I5" s="164">
        <v>41328</v>
      </c>
      <c r="J5" s="164">
        <v>41328</v>
      </c>
      <c r="K5" s="164">
        <v>41328</v>
      </c>
      <c r="L5" s="164">
        <v>41328</v>
      </c>
      <c r="M5" s="164">
        <v>41328</v>
      </c>
      <c r="N5" s="4">
        <v>41328</v>
      </c>
      <c r="O5" s="4">
        <v>41340</v>
      </c>
      <c r="P5" s="4">
        <v>41340</v>
      </c>
      <c r="Q5" s="4">
        <v>41340</v>
      </c>
      <c r="R5" s="4">
        <v>41345</v>
      </c>
      <c r="S5" s="4">
        <v>41352</v>
      </c>
      <c r="T5" s="4">
        <v>41352</v>
      </c>
    </row>
    <row r="6" spans="3:24" x14ac:dyDescent="0.2">
      <c r="I6" s="37"/>
      <c r="J6" s="37"/>
      <c r="K6" s="37"/>
      <c r="L6" s="37"/>
      <c r="M6" s="37"/>
      <c r="V6" s="13" t="s">
        <v>587</v>
      </c>
      <c r="W6" s="13" t="s">
        <v>585</v>
      </c>
      <c r="X6" s="13" t="s">
        <v>586</v>
      </c>
    </row>
    <row r="7" spans="3:24" x14ac:dyDescent="0.2">
      <c r="C7" s="20">
        <v>120</v>
      </c>
      <c r="D7" s="3">
        <f>'Data(2013)'!N9</f>
        <v>-0.23518719659707835</v>
      </c>
      <c r="E7" s="3">
        <f>'Data(2013)'!N17</f>
        <v>-0.2226542837481208</v>
      </c>
      <c r="G7" s="3">
        <f>'Data(2013)'!N34</f>
        <v>-0.20360540525707888</v>
      </c>
      <c r="H7" s="3">
        <f>'Data(2013)'!N41</f>
        <v>-0.20844230523483276</v>
      </c>
      <c r="I7" s="168">
        <f>I36</f>
        <v>-0.2308645774857688</v>
      </c>
      <c r="J7" s="168">
        <f>J36</f>
        <v>-0.22465766408201082</v>
      </c>
      <c r="K7" s="168">
        <f>K36</f>
        <v>-0.22220632616838087</v>
      </c>
      <c r="L7" s="168">
        <f>L36</f>
        <v>-0.21977864326755653</v>
      </c>
      <c r="M7" s="168">
        <f>M36</f>
        <v>-0.21985740038458859</v>
      </c>
      <c r="N7" s="3">
        <f>'Data(2013)'!N338</f>
        <v>-0.22043070927351319</v>
      </c>
      <c r="O7" s="140">
        <f>'Data(2013)b'!O11</f>
        <v>-0.22019598605445717</v>
      </c>
      <c r="P7" s="3">
        <f>'Data(2013)b'!O19</f>
        <v>-0.21976348771456949</v>
      </c>
      <c r="Q7" s="3">
        <f>'Data(2013)b'!O27</f>
        <v>-0.21975558382371344</v>
      </c>
      <c r="R7" s="3">
        <f>'Data(2013)b'!O155</f>
        <v>-0.20126165535041779</v>
      </c>
      <c r="S7" s="3">
        <f>'Data(2013)b'!O330</f>
        <v>-0.21963928474209132</v>
      </c>
      <c r="T7" s="3">
        <f>'Data(2013)b'!O353</f>
        <v>-0.20833400408945743</v>
      </c>
      <c r="U7" s="20">
        <f>C7</f>
        <v>120</v>
      </c>
      <c r="V7" s="3">
        <f t="shared" ref="V7:V14" si="0">AVERAGE(D7:T7)</f>
        <v>-0.21853965707960224</v>
      </c>
      <c r="W7" s="3">
        <f t="shared" ref="W7:W14" si="1">STDEV(D7:T7)</f>
        <v>9.0858806453724354E-3</v>
      </c>
      <c r="X7" s="20">
        <f>COUNT(D7:T7)-1</f>
        <v>15</v>
      </c>
    </row>
    <row r="8" spans="3:24" x14ac:dyDescent="0.2">
      <c r="C8" s="20">
        <v>100</v>
      </c>
      <c r="D8" s="3">
        <f>'Data(2013)'!N10</f>
        <v>-0.24945953106676916</v>
      </c>
      <c r="E8" s="3">
        <f>'Data(2013)'!N18</f>
        <v>-0.24949151381315254</v>
      </c>
      <c r="G8" s="3">
        <f>'Data(2013)'!N35</f>
        <v>-0.22241885743034626</v>
      </c>
      <c r="H8" s="3">
        <f>'Data(2013)'!N42</f>
        <v>-0.23519512791002395</v>
      </c>
      <c r="I8" s="168">
        <f>I35</f>
        <v>-0.2486592703721163</v>
      </c>
      <c r="J8" s="168">
        <f>J35</f>
        <v>-0.24749280661245143</v>
      </c>
      <c r="K8" s="168">
        <f>K35</f>
        <v>-0.24738893096899242</v>
      </c>
      <c r="L8" s="168">
        <f>L35</f>
        <v>-0.24865853816856542</v>
      </c>
      <c r="M8" s="168">
        <f>M35</f>
        <v>-0.24862634777645903</v>
      </c>
      <c r="N8" s="3">
        <f>'Data(2013)'!N339</f>
        <v>-0.24585802481877733</v>
      </c>
      <c r="O8" s="140">
        <f>'Data(2013)b'!O12</f>
        <v>-0.2486897548781053</v>
      </c>
      <c r="P8" s="3">
        <f>'Data(2013)b'!O20</f>
        <v>-0.2486622980552062</v>
      </c>
      <c r="Q8" s="3">
        <f>'Data(2013)b'!O28</f>
        <v>-0.2491485230317696</v>
      </c>
      <c r="R8" s="3">
        <f>'Data(2013)b'!O156</f>
        <v>-0.22128048997689495</v>
      </c>
      <c r="S8" s="3">
        <f>'Data(2013)b'!O331</f>
        <v>-0.23691185325673361</v>
      </c>
      <c r="T8" s="3">
        <f>'Data(2013)b'!O354</f>
        <v>-0.23519861567441189</v>
      </c>
      <c r="U8" s="20">
        <f t="shared" ref="U8:U25" si="2">C8</f>
        <v>100</v>
      </c>
      <c r="V8" s="3">
        <f t="shared" si="0"/>
        <v>-0.24269628023817344</v>
      </c>
      <c r="W8" s="3">
        <f t="shared" si="1"/>
        <v>9.5989959400077651E-3</v>
      </c>
      <c r="X8" s="20">
        <f t="shared" ref="X8:X25" si="3">COUNT(D8:T8)-1</f>
        <v>15</v>
      </c>
    </row>
    <row r="9" spans="3:24" x14ac:dyDescent="0.2">
      <c r="C9" s="20">
        <v>60</v>
      </c>
      <c r="D9" s="3">
        <f>'Data(2013)'!N11</f>
        <v>-0.34117192526455353</v>
      </c>
      <c r="E9" s="3">
        <f>'Data(2013)'!N19</f>
        <v>-0.32599603609673855</v>
      </c>
      <c r="G9" s="3">
        <f>'Data(2013)'!N36</f>
        <v>-0.29995264944492067</v>
      </c>
      <c r="H9" s="3">
        <f>'Data(2013)'!N43</f>
        <v>-0.30969241721252455</v>
      </c>
      <c r="I9" s="168">
        <f>I34</f>
        <v>-0.34509047363514567</v>
      </c>
      <c r="J9" s="168">
        <f>J34</f>
        <v>-0.32689211593629608</v>
      </c>
      <c r="K9" s="168">
        <f>K34</f>
        <v>-0.33553769874432038</v>
      </c>
      <c r="L9" s="168">
        <f>L34</f>
        <v>-0.32564248447518951</v>
      </c>
      <c r="M9" s="168">
        <f>M34</f>
        <v>-0.32272897810962464</v>
      </c>
      <c r="N9" s="3">
        <f>'Data(2013)'!N340</f>
        <v>-0.3238959479579045</v>
      </c>
      <c r="O9" s="140">
        <f>'Data(2013)b'!O13</f>
        <v>-0.32945278994421062</v>
      </c>
      <c r="P9" s="3">
        <f>'Data(2013)b'!O21</f>
        <v>-0.32731759235456515</v>
      </c>
      <c r="Q9" s="3">
        <f>'Data(2013)b'!O29</f>
        <v>-0.32414067516021039</v>
      </c>
      <c r="R9" s="3">
        <f>'Data(2013)b'!O157</f>
        <v>-0.29400347632483392</v>
      </c>
      <c r="S9" s="3">
        <f>'Data(2013)b'!O332</f>
        <v>-0.32268627578615139</v>
      </c>
      <c r="T9" s="3">
        <f>'Data(2013)b'!O355</f>
        <v>-0.31771232211350076</v>
      </c>
      <c r="U9" s="20">
        <f t="shared" si="2"/>
        <v>60</v>
      </c>
      <c r="V9" s="3">
        <f t="shared" si="0"/>
        <v>-0.32324461616004313</v>
      </c>
      <c r="W9" s="3">
        <f t="shared" si="1"/>
        <v>1.3279402102502414E-2</v>
      </c>
      <c r="X9" s="20">
        <f t="shared" si="3"/>
        <v>15</v>
      </c>
    </row>
    <row r="10" spans="3:24" x14ac:dyDescent="0.2">
      <c r="C10" s="20">
        <v>40</v>
      </c>
      <c r="D10" s="3">
        <f>'Data(2013)'!N12</f>
        <v>-0.39164889555522409</v>
      </c>
      <c r="E10" s="3">
        <f>'Data(2013)'!N20</f>
        <v>-0.39160283267269153</v>
      </c>
      <c r="G10" s="3">
        <f>'Data(2013)'!N37</f>
        <v>-0.34997076148241796</v>
      </c>
      <c r="H10" s="3">
        <f>'Data(2013)'!N44</f>
        <v>-0.36413177364592525</v>
      </c>
      <c r="I10" s="168">
        <f>I33</f>
        <v>-0.39392619534401485</v>
      </c>
      <c r="J10" s="168">
        <f>J33</f>
        <v>-0.39007776449727222</v>
      </c>
      <c r="K10" s="168">
        <f>K33</f>
        <v>-0.38968452681589166</v>
      </c>
      <c r="L10" s="168">
        <f>L33</f>
        <v>-0.390440503350029</v>
      </c>
      <c r="M10" s="168">
        <f>M33</f>
        <v>-0.38938505497157833</v>
      </c>
      <c r="N10" s="3">
        <f>'Data(2013)'!N341</f>
        <v>-0.39137336676605305</v>
      </c>
      <c r="O10" s="140">
        <f>'Data(2013)b'!O14</f>
        <v>-0.39079220528490721</v>
      </c>
      <c r="P10" s="3">
        <f>'Data(2013)b'!O22</f>
        <v>-0.39089717230875171</v>
      </c>
      <c r="Q10" s="3">
        <f>'Data(2013)b'!O30</f>
        <v>-0.39023181654596517</v>
      </c>
      <c r="R10" s="3">
        <f>'Data(2013)b'!O158</f>
        <v>-0.34251553607812396</v>
      </c>
      <c r="S10" s="3">
        <f>'Data(2013)b'!O333</f>
        <v>-0.38961433766937514</v>
      </c>
      <c r="T10" s="3">
        <f>'Data(2013)b'!O356</f>
        <v>-0.36587630967682133</v>
      </c>
      <c r="U10" s="20">
        <f t="shared" si="2"/>
        <v>40</v>
      </c>
      <c r="V10" s="3">
        <f t="shared" si="0"/>
        <v>-0.38201056579156517</v>
      </c>
      <c r="W10" s="3">
        <f t="shared" si="1"/>
        <v>1.6556643589916535E-2</v>
      </c>
      <c r="X10" s="20">
        <f t="shared" si="3"/>
        <v>15</v>
      </c>
    </row>
    <row r="11" spans="3:24" x14ac:dyDescent="0.2">
      <c r="C11" s="20">
        <v>20</v>
      </c>
      <c r="D11" s="3">
        <f>'Data(2013)'!N13</f>
        <v>-0.48177555379718845</v>
      </c>
      <c r="E11" s="3">
        <f>'Data(2013)'!N21</f>
        <v>-0.46257041444126051</v>
      </c>
      <c r="G11" s="3">
        <f>'Data(2013)'!N38</f>
        <v>-0.42088844547353438</v>
      </c>
      <c r="H11" s="3">
        <f>'Data(2013)'!N45</f>
        <v>-0.43130035148648954</v>
      </c>
      <c r="I11" s="168">
        <f>I32</f>
        <v>-0.47838349644473915</v>
      </c>
      <c r="J11" s="168">
        <f>J32</f>
        <v>-0.46390183191142093</v>
      </c>
      <c r="K11" s="168">
        <f>K32</f>
        <v>-0.46400723608405547</v>
      </c>
      <c r="L11" s="168">
        <f>L32</f>
        <v>-0.45702689061404317</v>
      </c>
      <c r="M11" s="168">
        <f>M32</f>
        <v>-0.45434317571886634</v>
      </c>
      <c r="N11" s="3">
        <f>'Data(2013)'!N342</f>
        <v>-0.45387851906084892</v>
      </c>
      <c r="O11" s="140">
        <f>'Data(2013)b'!O15</f>
        <v>-0.46131164407061781</v>
      </c>
      <c r="P11" s="3">
        <f>'Data(2013)b'!O23</f>
        <v>-0.45932142763619555</v>
      </c>
      <c r="Q11" s="3">
        <f>'Data(2013)b'!O31</f>
        <v>-0.45315652164846804</v>
      </c>
      <c r="R11" s="3">
        <f>'Data(2013)b'!O159</f>
        <v>-0.41300674578822555</v>
      </c>
      <c r="S11" s="3">
        <f>'Data(2013)b'!O334</f>
        <v>-0.45053529356313682</v>
      </c>
      <c r="T11" s="3">
        <f>'Data(2013)b'!O357</f>
        <v>-0.43381452191453207</v>
      </c>
      <c r="U11" s="20">
        <f t="shared" si="2"/>
        <v>20</v>
      </c>
      <c r="V11" s="3">
        <f t="shared" si="0"/>
        <v>-0.45245137935335145</v>
      </c>
      <c r="W11" s="3">
        <f t="shared" si="1"/>
        <v>1.897831253430856E-2</v>
      </c>
      <c r="X11" s="20">
        <f t="shared" si="3"/>
        <v>15</v>
      </c>
    </row>
    <row r="12" spans="3:24" x14ac:dyDescent="0.2">
      <c r="C12" s="20">
        <v>10</v>
      </c>
      <c r="D12" s="3">
        <f>'Data(2013)'!N14</f>
        <v>-0.53508858666194603</v>
      </c>
      <c r="E12" s="3">
        <f>'Data(2013)'!N22</f>
        <v>-0.51484181624026226</v>
      </c>
      <c r="G12" s="3">
        <f>'Data(2013)'!N39</f>
        <v>-0.46281010161896263</v>
      </c>
      <c r="H12" s="3">
        <f>'Data(2013)'!N46</f>
        <v>-0.46772800191927605</v>
      </c>
      <c r="I12" s="168">
        <f>I31</f>
        <v>-0.52516275951273439</v>
      </c>
      <c r="J12" s="168">
        <f>J31</f>
        <v>-0.5478992482089956</v>
      </c>
      <c r="K12" s="168">
        <f>K31</f>
        <v>-0.53850063708375973</v>
      </c>
      <c r="L12" s="168">
        <f>L31</f>
        <v>-0.53595115467592269</v>
      </c>
      <c r="M12" s="168">
        <f>M31</f>
        <v>-0.52378502957956974</v>
      </c>
      <c r="N12" s="3">
        <f>'Data(2013)'!N343</f>
        <v>-0.49867168670883572</v>
      </c>
      <c r="O12" s="140">
        <f>'Data(2013)b'!O16</f>
        <v>-0.50245478497447038</v>
      </c>
      <c r="P12" s="3">
        <f>'Data(2013)b'!O24</f>
        <v>-0.50932070380721073</v>
      </c>
      <c r="Q12" s="3">
        <f>'Data(2013)b'!O32</f>
        <v>-0.50144390787430304</v>
      </c>
      <c r="R12" s="3">
        <f>'Data(2013)b'!O160</f>
        <v>-0.46485664587527964</v>
      </c>
      <c r="S12" s="3">
        <f>'Data(2013)b'!O335</f>
        <v>-0.49742491539883105</v>
      </c>
      <c r="T12" s="3">
        <f>'Data(2013)b'!O358</f>
        <v>-0.48400292309243659</v>
      </c>
      <c r="U12" s="20">
        <f t="shared" si="2"/>
        <v>10</v>
      </c>
      <c r="V12" s="3">
        <f t="shared" si="0"/>
        <v>-0.50687143145204983</v>
      </c>
      <c r="W12" s="3">
        <f t="shared" si="1"/>
        <v>2.7059135243427117E-2</v>
      </c>
      <c r="X12" s="20">
        <f t="shared" si="3"/>
        <v>15</v>
      </c>
    </row>
    <row r="13" spans="3:24" x14ac:dyDescent="0.2">
      <c r="C13" s="20">
        <v>5</v>
      </c>
      <c r="D13" s="3"/>
      <c r="E13" s="3"/>
      <c r="N13" s="3"/>
      <c r="O13" s="140">
        <f>'Data(2013)b'!O17</f>
        <v>-0.53388287872414686</v>
      </c>
      <c r="P13" s="3">
        <f>'Data(2013)b'!O25</f>
        <v>-0.52707566256738758</v>
      </c>
      <c r="Q13" s="3">
        <f>'Data(2013)b'!O33</f>
        <v>-0.53329671994300243</v>
      </c>
      <c r="R13" s="199">
        <f>AVERAGE('Data(2013)b'!O161:O163)</f>
        <v>-0.4919592646017128</v>
      </c>
      <c r="S13" s="3">
        <f>'Data(2013)b'!O336</f>
        <v>-0.52869668298132988</v>
      </c>
      <c r="T13" s="3">
        <f>'Data(2013)b'!O359</f>
        <v>-0.51980493295643548</v>
      </c>
      <c r="U13" s="20">
        <f t="shared" si="2"/>
        <v>5</v>
      </c>
      <c r="V13" s="3">
        <f t="shared" si="0"/>
        <v>-0.52245269029566921</v>
      </c>
      <c r="W13" s="3">
        <f t="shared" si="1"/>
        <v>1.5782655880850434E-2</v>
      </c>
      <c r="X13" s="20">
        <f t="shared" si="3"/>
        <v>5</v>
      </c>
    </row>
    <row r="14" spans="3:24" x14ac:dyDescent="0.2">
      <c r="C14" s="20">
        <v>1</v>
      </c>
      <c r="D14" s="3"/>
      <c r="E14" s="3"/>
      <c r="O14" s="3">
        <f>'Data(2013)b'!O337</f>
        <v>-0.53397329025768725</v>
      </c>
      <c r="P14" s="3">
        <f>'Data(2013)b'!O338</f>
        <v>-0.56004442369967156</v>
      </c>
      <c r="Q14" s="3">
        <f>'Data(2013)b'!O339</f>
        <v>-0.54729107611680117</v>
      </c>
      <c r="R14" s="3">
        <f>'Data(2013)b'!O360</f>
        <v>-0.5341467056311503</v>
      </c>
      <c r="S14" s="3">
        <f>'Data(2013)b'!O361</f>
        <v>-0.53990455108417224</v>
      </c>
      <c r="T14" s="3">
        <f>'Data(2013)b'!O362</f>
        <v>-0.5452717185163829</v>
      </c>
      <c r="U14" s="20">
        <f t="shared" si="2"/>
        <v>1</v>
      </c>
      <c r="V14" s="3">
        <f t="shared" si="0"/>
        <v>-0.54343862755097749</v>
      </c>
      <c r="W14" s="3">
        <f t="shared" si="1"/>
        <v>9.8221806915256178E-3</v>
      </c>
      <c r="X14" s="20">
        <f t="shared" si="3"/>
        <v>5</v>
      </c>
    </row>
    <row r="15" spans="3:24" x14ac:dyDescent="0.2">
      <c r="E15" s="3"/>
      <c r="U15" s="20"/>
      <c r="X15" s="20"/>
    </row>
    <row r="16" spans="3:24" x14ac:dyDescent="0.2">
      <c r="U16" s="20"/>
      <c r="X16" s="20"/>
    </row>
    <row r="17" spans="3:24" x14ac:dyDescent="0.2">
      <c r="U17" s="20"/>
      <c r="V17" s="13" t="s">
        <v>588</v>
      </c>
      <c r="W17" s="13" t="s">
        <v>585</v>
      </c>
      <c r="X17" s="13" t="s">
        <v>586</v>
      </c>
    </row>
    <row r="18" spans="3:24" x14ac:dyDescent="0.2">
      <c r="C18" s="20">
        <v>120</v>
      </c>
      <c r="D18" s="3">
        <f>'Data(2013)'!O9</f>
        <v>-0.21026122165192715</v>
      </c>
      <c r="E18" s="3">
        <f>'Data(2013)'!O17</f>
        <v>-0.20797354718349575</v>
      </c>
      <c r="G18" s="3">
        <f>'Data(2013)'!O34</f>
        <v>-0.1849907161857931</v>
      </c>
      <c r="H18" s="3">
        <f>'Data(2013)'!O41</f>
        <v>-0.18539568268241569</v>
      </c>
      <c r="I18" s="168">
        <f>I47</f>
        <v>-0.20786154415849706</v>
      </c>
      <c r="J18" s="168">
        <f>J47</f>
        <v>-0.20778708275476254</v>
      </c>
      <c r="K18" s="168">
        <f>K47</f>
        <v>-0.20827695770255675</v>
      </c>
      <c r="L18" s="168">
        <f>L47</f>
        <v>-0.2076325994051734</v>
      </c>
      <c r="M18" s="168">
        <f>M47</f>
        <v>-0.20791789281248699</v>
      </c>
      <c r="N18" s="3">
        <f>'Data(2013)'!O338</f>
        <v>-0.20864005635839958</v>
      </c>
      <c r="O18" s="140">
        <f>'Data(2013)b'!P11</f>
        <v>-0.20796806302656667</v>
      </c>
      <c r="P18" s="3">
        <f>'Data(2013)b'!P19</f>
        <v>-0.20803844010210085</v>
      </c>
      <c r="Q18" s="3">
        <f>'Data(2013)b'!P27</f>
        <v>-0.1967601413383176</v>
      </c>
      <c r="R18" s="3">
        <f>'Data(2013)b'!P155</f>
        <v>-0.18102636161788591</v>
      </c>
      <c r="S18" s="3">
        <f>'Data(2013)b'!P330</f>
        <v>-0.20768212929344146</v>
      </c>
      <c r="T18" s="3">
        <f>'Data(2013)b'!P353</f>
        <v>-0.19665987477179517</v>
      </c>
      <c r="U18" s="20">
        <f t="shared" si="2"/>
        <v>120</v>
      </c>
      <c r="V18" s="3">
        <f>AVERAGE(D18:T18)</f>
        <v>-0.20217951944035098</v>
      </c>
      <c r="W18" s="3">
        <f>STDEV(D18:T18)</f>
        <v>9.9557500945863034E-3</v>
      </c>
      <c r="X18" s="20">
        <f t="shared" si="3"/>
        <v>15</v>
      </c>
    </row>
    <row r="19" spans="3:24" x14ac:dyDescent="0.2">
      <c r="C19" s="20">
        <v>100</v>
      </c>
      <c r="D19" s="3">
        <f>'Data(2013)'!O10</f>
        <v>-0.20834802106456882</v>
      </c>
      <c r="E19" s="3">
        <f>'Data(2013)'!O18</f>
        <v>-0.20771019456015444</v>
      </c>
      <c r="G19" s="3">
        <f>'Data(2013)'!O35</f>
        <v>-0.19076855573170312</v>
      </c>
      <c r="H19" s="3">
        <f>'Data(2013)'!O42</f>
        <v>-0.19115437154879153</v>
      </c>
      <c r="I19" s="168">
        <f>I46</f>
        <v>-0.20690735499001986</v>
      </c>
      <c r="J19" s="168">
        <f>J46</f>
        <v>-0.20554180605264377</v>
      </c>
      <c r="K19" s="168">
        <f>K46</f>
        <v>-0.20522631383788142</v>
      </c>
      <c r="L19" s="168">
        <f>L46</f>
        <v>-0.20627244935579914</v>
      </c>
      <c r="M19" s="168">
        <f>M46</f>
        <v>-0.20642728722255438</v>
      </c>
      <c r="N19" s="3">
        <f>'Data(2013)'!O339</f>
        <v>-0.20759703640722754</v>
      </c>
      <c r="O19" s="140">
        <f>'Data(2013)b'!P12</f>
        <v>-0.20749216272512691</v>
      </c>
      <c r="P19" s="3">
        <f>'Data(2013)b'!P20</f>
        <v>-0.20745738968446714</v>
      </c>
      <c r="Q19" s="3">
        <f>'Data(2013)b'!P28</f>
        <v>-0.2068138246641629</v>
      </c>
      <c r="R19" s="3">
        <f>'Data(2013)b'!P156</f>
        <v>-0.17953313928460707</v>
      </c>
      <c r="S19" s="3">
        <f>'Data(2013)b'!P331</f>
        <v>-0.20754320024244249</v>
      </c>
      <c r="T19" s="3">
        <f>'Data(2013)b'!P354</f>
        <v>-0.1934435649736265</v>
      </c>
      <c r="U19" s="20">
        <f t="shared" si="2"/>
        <v>100</v>
      </c>
      <c r="V19" s="3">
        <f t="shared" ref="V19:V24" si="4">AVERAGE(D19:T19)</f>
        <v>-0.20238979202161106</v>
      </c>
      <c r="W19" s="3">
        <f t="shared" ref="W19:W24" si="5">STDEV(D19:T19)</f>
        <v>8.6497867508454149E-3</v>
      </c>
      <c r="X19" s="20">
        <f t="shared" si="3"/>
        <v>15</v>
      </c>
    </row>
    <row r="20" spans="3:24" x14ac:dyDescent="0.2">
      <c r="C20" s="20">
        <v>60</v>
      </c>
      <c r="D20" s="3">
        <f>'Data(2013)'!O11</f>
        <v>-0.20681705637719378</v>
      </c>
      <c r="E20" s="3">
        <f>'Data(2013)'!O19</f>
        <v>-0.1973644467890458</v>
      </c>
      <c r="G20" s="3">
        <f>'Data(2013)'!O36</f>
        <v>-0.17879456127469437</v>
      </c>
      <c r="H20" s="3">
        <f>'Data(2013)'!O43</f>
        <v>-0.17776394763348652</v>
      </c>
      <c r="I20" s="168">
        <f>I45</f>
        <v>-0.20455161373704836</v>
      </c>
      <c r="J20" s="168">
        <f>J45</f>
        <v>-0.19821437241866113</v>
      </c>
      <c r="K20" s="168">
        <f>K45</f>
        <v>-0.196835208058354</v>
      </c>
      <c r="L20" s="168">
        <f>L45</f>
        <v>-0.19169857135319679</v>
      </c>
      <c r="M20" s="168">
        <f>M45</f>
        <v>-0.19411024171420924</v>
      </c>
      <c r="N20" s="3">
        <f>'Data(2013)'!O340</f>
        <v>-0.19816324647010167</v>
      </c>
      <c r="O20" s="140">
        <f>'Data(2013)b'!P13</f>
        <v>-0.19996080965620433</v>
      </c>
      <c r="P20" s="3">
        <f>'Data(2013)b'!P21</f>
        <v>-0.1964882607465912</v>
      </c>
      <c r="Q20" s="3">
        <f>'Data(2013)b'!P29</f>
        <v>-0.18677312794644774</v>
      </c>
      <c r="R20" s="3">
        <f>'Data(2013)b'!P157</f>
        <v>-0.16541469617805926</v>
      </c>
      <c r="S20" s="3">
        <f>'Data(2013)b'!P332</f>
        <v>-0.18614931641719629</v>
      </c>
      <c r="T20" s="3">
        <f>'Data(2013)b'!P355</f>
        <v>-0.18558438837028365</v>
      </c>
      <c r="U20" s="20">
        <f t="shared" si="2"/>
        <v>60</v>
      </c>
      <c r="V20" s="3">
        <f t="shared" si="4"/>
        <v>-0.19154274157129836</v>
      </c>
      <c r="W20" s="3">
        <f t="shared" si="5"/>
        <v>1.0884558651502233E-2</v>
      </c>
      <c r="X20" s="20">
        <f t="shared" si="3"/>
        <v>15</v>
      </c>
    </row>
    <row r="21" spans="3:24" x14ac:dyDescent="0.2">
      <c r="C21" s="20">
        <v>40</v>
      </c>
      <c r="D21" s="3">
        <f>'Data(2013)'!O12</f>
        <v>-0.19486357584301525</v>
      </c>
      <c r="E21" s="3">
        <f>'Data(2013)'!O20</f>
        <v>-0.18890261396353744</v>
      </c>
      <c r="G21" s="3">
        <f>'Data(2013)'!O37</f>
        <v>-0.17258785393966597</v>
      </c>
      <c r="H21" s="3">
        <f>'Data(2013)'!O44</f>
        <v>-0.17167290820636519</v>
      </c>
      <c r="I21" s="168">
        <f>I44</f>
        <v>-0.19247199558464992</v>
      </c>
      <c r="J21" s="168">
        <f>J44</f>
        <v>-0.19067635864242949</v>
      </c>
      <c r="K21" s="168">
        <f>K44</f>
        <v>-0.19020144174431802</v>
      </c>
      <c r="L21" s="168">
        <f>L44</f>
        <v>-0.18568133920170948</v>
      </c>
      <c r="M21" s="168">
        <f>M44</f>
        <v>-0.19112277905904393</v>
      </c>
      <c r="N21" s="3">
        <f>'Data(2013)'!O341</f>
        <v>-0.19004464772490792</v>
      </c>
      <c r="O21" s="140">
        <f>'Data(2013)b'!P14</f>
        <v>-0.19123457993360285</v>
      </c>
      <c r="P21" s="3">
        <f>'Data(2013)b'!P22</f>
        <v>-0.187620509867161</v>
      </c>
      <c r="Q21" s="3">
        <f>'Data(2013)b'!P30</f>
        <v>-0.17826237795807232</v>
      </c>
      <c r="R21" s="3">
        <f>'Data(2013)b'!P158</f>
        <v>-0.16849323098037422</v>
      </c>
      <c r="S21" s="3">
        <f>'Data(2013)b'!P333</f>
        <v>-0.17670720788053654</v>
      </c>
      <c r="T21" s="3">
        <f>'Data(2013)b'!P356</f>
        <v>-0.17363866347839638</v>
      </c>
      <c r="U21" s="20">
        <f t="shared" si="2"/>
        <v>40</v>
      </c>
      <c r="V21" s="3">
        <f t="shared" si="4"/>
        <v>-0.18401138025048661</v>
      </c>
      <c r="W21" s="3">
        <f t="shared" si="5"/>
        <v>8.8261718625977943E-3</v>
      </c>
      <c r="X21" s="20">
        <f t="shared" si="3"/>
        <v>15</v>
      </c>
    </row>
    <row r="22" spans="3:24" x14ac:dyDescent="0.2">
      <c r="C22" s="20">
        <v>20</v>
      </c>
      <c r="D22" s="3">
        <f>'Data(2013)'!O13</f>
        <v>-0.17922275156978013</v>
      </c>
      <c r="E22" s="3">
        <f>'Data(2013)'!O21</f>
        <v>-0.17598264104935343</v>
      </c>
      <c r="G22" s="3">
        <f>'Data(2013)'!O38</f>
        <v>-0.16523480351193134</v>
      </c>
      <c r="H22" s="3">
        <f>'Data(2013)'!O45</f>
        <v>-0.16943428415551065</v>
      </c>
      <c r="I22" s="168">
        <f>I43</f>
        <v>-0.17566496673842638</v>
      </c>
      <c r="J22" s="168">
        <f>J43</f>
        <v>-0.1741589754777349</v>
      </c>
      <c r="K22" s="168">
        <f>K43</f>
        <v>-0.17415688106899915</v>
      </c>
      <c r="L22" s="168">
        <f>L43</f>
        <v>-0.17380904941705139</v>
      </c>
      <c r="M22" s="168">
        <f>M43</f>
        <v>-0.17376065360639195</v>
      </c>
      <c r="N22" s="3">
        <f>'Data(2013)'!O342</f>
        <v>-0.17691980180594055</v>
      </c>
      <c r="O22" s="140">
        <f>'Data(2013)b'!P15</f>
        <v>-0.17477585663891615</v>
      </c>
      <c r="P22" s="3">
        <f>'Data(2013)b'!P23</f>
        <v>-0.17526366884855643</v>
      </c>
      <c r="Q22" s="3">
        <f>'Data(2013)b'!P31</f>
        <v>-0.17405272539765848</v>
      </c>
      <c r="R22" s="3">
        <f>'Data(2013)b'!P159</f>
        <v>-0.16087079269678239</v>
      </c>
      <c r="S22" s="3">
        <f>'Data(2013)b'!P334</f>
        <v>-0.17420423925198064</v>
      </c>
      <c r="T22" s="3">
        <f>'Data(2013)b'!P357</f>
        <v>-0.16690646875604434</v>
      </c>
      <c r="U22" s="20">
        <f t="shared" si="2"/>
        <v>20</v>
      </c>
      <c r="V22" s="3">
        <f t="shared" si="4"/>
        <v>-0.17277615999944113</v>
      </c>
      <c r="W22" s="3">
        <f t="shared" si="5"/>
        <v>4.7700205949789392E-3</v>
      </c>
      <c r="X22" s="20">
        <f t="shared" si="3"/>
        <v>15</v>
      </c>
    </row>
    <row r="23" spans="3:24" x14ac:dyDescent="0.2">
      <c r="C23" s="20">
        <v>10</v>
      </c>
      <c r="D23" s="3">
        <f>'Data(2013)'!O14</f>
        <v>-0.18351453345053967</v>
      </c>
      <c r="E23" s="3">
        <f>'Data(2013)'!O22</f>
        <v>-0.1784382114271848</v>
      </c>
      <c r="G23" s="3">
        <f>'Data(2013)'!O39</f>
        <v>-0.16927114400276633</v>
      </c>
      <c r="H23" s="3">
        <f>'Data(2013)'!O46</f>
        <v>-0.16442898143945994</v>
      </c>
      <c r="I23" s="168">
        <f>I42</f>
        <v>-0.1816142828505441</v>
      </c>
      <c r="J23" s="168">
        <f>J42</f>
        <v>-0.21173687678622383</v>
      </c>
      <c r="K23" s="168">
        <f>K42</f>
        <v>-0.20899960975779591</v>
      </c>
      <c r="L23" s="168">
        <f>L42</f>
        <v>-0.20475326621473799</v>
      </c>
      <c r="M23" s="168">
        <f>M42</f>
        <v>-0.20557948335036805</v>
      </c>
      <c r="N23" s="3">
        <f>'Data(2013)'!O343</f>
        <v>-0.17359436802561373</v>
      </c>
      <c r="O23" s="140">
        <f>'Data(2013)b'!P16</f>
        <v>-0.17431382115961125</v>
      </c>
      <c r="P23" s="3">
        <f>'Data(2013)b'!P24</f>
        <v>-0.17451848686675933</v>
      </c>
      <c r="Q23" s="3">
        <f>'Data(2013)b'!P32</f>
        <v>-0.17180764041269941</v>
      </c>
      <c r="R23" s="3">
        <f>'Data(2013)b'!P160</f>
        <v>-0.13998090385502324</v>
      </c>
      <c r="S23" s="3">
        <f>'Data(2013)b'!P335</f>
        <v>-0.16639205428147641</v>
      </c>
      <c r="T23" s="3">
        <f>'Data(2013)b'!P358</f>
        <v>-0.14693657030331003</v>
      </c>
      <c r="U23" s="20">
        <f t="shared" si="2"/>
        <v>10</v>
      </c>
      <c r="V23" s="3">
        <f t="shared" si="4"/>
        <v>-0.17849251463650714</v>
      </c>
      <c r="W23" s="3">
        <f t="shared" si="5"/>
        <v>2.0823486426028701E-2</v>
      </c>
      <c r="X23" s="20">
        <f t="shared" si="3"/>
        <v>15</v>
      </c>
    </row>
    <row r="24" spans="3:24" x14ac:dyDescent="0.2">
      <c r="C24" s="20">
        <v>5</v>
      </c>
      <c r="F24" s="231" t="s">
        <v>580</v>
      </c>
      <c r="O24" s="140">
        <f>'Data(2013)b'!P17</f>
        <v>-0.17546819321770871</v>
      </c>
      <c r="P24" s="3">
        <f>'Data(2013)b'!P25</f>
        <v>-0.17422964846371514</v>
      </c>
      <c r="Q24" s="3">
        <f>'Data(2013)b'!P33</f>
        <v>-0.16931002293092401</v>
      </c>
      <c r="R24" s="199">
        <f>AVERAGE('Data(2013)b'!P161:P163)</f>
        <v>-0.16309384481250097</v>
      </c>
      <c r="S24" s="3">
        <f>'Data(2013)b'!P336</f>
        <v>-0.17362800331815414</v>
      </c>
      <c r="T24" s="3">
        <f>'Data(2013)b'!P359</f>
        <v>-0.16925857303850969</v>
      </c>
      <c r="U24" s="20">
        <f t="shared" si="2"/>
        <v>5</v>
      </c>
      <c r="V24" s="3">
        <f t="shared" si="4"/>
        <v>-0.17083138096358544</v>
      </c>
      <c r="W24" s="3">
        <f t="shared" si="5"/>
        <v>4.5940628467308203E-3</v>
      </c>
      <c r="X24" s="20">
        <f t="shared" si="3"/>
        <v>5</v>
      </c>
    </row>
    <row r="25" spans="3:24" x14ac:dyDescent="0.2">
      <c r="C25" s="20">
        <v>1</v>
      </c>
      <c r="F25" s="231" t="s">
        <v>584</v>
      </c>
      <c r="O25" s="3">
        <f>'Data(2013)b'!P337</f>
        <v>-0.17914914282793279</v>
      </c>
      <c r="P25" s="3">
        <f>'Data(2013)b'!P338</f>
        <v>-0.14642620193086542</v>
      </c>
      <c r="Q25" s="3">
        <f>'Data(2013)b'!P339</f>
        <v>-0.15027508879016935</v>
      </c>
      <c r="R25" s="3">
        <f>'Data(2013)b'!P360</f>
        <v>-0.1860144848112609</v>
      </c>
      <c r="S25" s="3">
        <f>'Data(2013)b'!P361</f>
        <v>-0.14309505694170047</v>
      </c>
      <c r="T25" s="3">
        <f>'Data(2013)b'!P362</f>
        <v>-0.14697181229147724</v>
      </c>
      <c r="U25" s="20">
        <f t="shared" si="2"/>
        <v>1</v>
      </c>
      <c r="V25" s="3">
        <f>AVERAGE(D25:T25)</f>
        <v>-0.15865529793223437</v>
      </c>
      <c r="W25" s="3">
        <f>STDEV(D25:T25)</f>
        <v>1.879854470945623E-2</v>
      </c>
      <c r="X25" s="20">
        <f t="shared" si="3"/>
        <v>5</v>
      </c>
    </row>
    <row r="26" spans="3:24" x14ac:dyDescent="0.2">
      <c r="F26" s="231" t="s">
        <v>581</v>
      </c>
    </row>
    <row r="27" spans="3:24" x14ac:dyDescent="0.2">
      <c r="F27" s="231" t="s">
        <v>582</v>
      </c>
    </row>
    <row r="28" spans="3:24" x14ac:dyDescent="0.2">
      <c r="F28" s="231" t="s">
        <v>583</v>
      </c>
    </row>
    <row r="29" spans="3:24" x14ac:dyDescent="0.2">
      <c r="C29" s="4"/>
      <c r="F29" s="4">
        <v>41306</v>
      </c>
    </row>
    <row r="30" spans="3:24" x14ac:dyDescent="0.2">
      <c r="H30" s="164">
        <v>41328</v>
      </c>
      <c r="I30" s="37" t="s">
        <v>573</v>
      </c>
      <c r="J30" s="37"/>
      <c r="K30" s="37"/>
      <c r="L30" s="37"/>
      <c r="M30" s="37"/>
    </row>
    <row r="31" spans="3:24" x14ac:dyDescent="0.2">
      <c r="F31" s="3">
        <f>'Data(2013)'!N26</f>
        <v>-0.25762034754678742</v>
      </c>
      <c r="H31" s="37">
        <v>10</v>
      </c>
      <c r="I31" s="168">
        <f>'Data(2013)'!N296</f>
        <v>-0.52516275951273439</v>
      </c>
      <c r="J31" s="168">
        <f>'Data(2013)'!N305</f>
        <v>-0.5478992482089956</v>
      </c>
      <c r="K31" s="168">
        <f>'Data(2013)'!N313</f>
        <v>-0.53850063708375973</v>
      </c>
      <c r="L31" s="168">
        <f>'Data(2013)'!N321</f>
        <v>-0.53595115467592269</v>
      </c>
      <c r="M31" s="168">
        <f>'Data(2013)'!N329</f>
        <v>-0.52378502957956974</v>
      </c>
    </row>
    <row r="32" spans="3:24" x14ac:dyDescent="0.2">
      <c r="F32" s="3">
        <f>'Data(2013)'!N27</f>
        <v>-0.2556494279805282</v>
      </c>
      <c r="H32" s="37">
        <v>20</v>
      </c>
      <c r="I32" s="168">
        <f>'Data(2013)'!N297</f>
        <v>-0.47838349644473915</v>
      </c>
      <c r="J32" s="168">
        <f>'Data(2013)'!N306</f>
        <v>-0.46390183191142093</v>
      </c>
      <c r="K32" s="168">
        <f>'Data(2013)'!N314</f>
        <v>-0.46400723608405547</v>
      </c>
      <c r="L32" s="168">
        <f>'Data(2013)'!N322</f>
        <v>-0.45702689061404317</v>
      </c>
      <c r="M32" s="168">
        <f>'Data(2013)'!N330</f>
        <v>-0.45434317571886634</v>
      </c>
    </row>
    <row r="33" spans="6:13" x14ac:dyDescent="0.2">
      <c r="F33" s="3">
        <f>'Data(2013)'!N28</f>
        <v>-0.34363861208436136</v>
      </c>
      <c r="H33" s="37">
        <v>40</v>
      </c>
      <c r="I33" s="168">
        <f>'Data(2013)'!N298</f>
        <v>-0.39392619534401485</v>
      </c>
      <c r="J33" s="168">
        <f>'Data(2013)'!N307</f>
        <v>-0.39007776449727222</v>
      </c>
      <c r="K33" s="168">
        <f>'Data(2013)'!N315</f>
        <v>-0.38968452681589166</v>
      </c>
      <c r="L33" s="168">
        <f>'Data(2013)'!N323</f>
        <v>-0.390440503350029</v>
      </c>
      <c r="M33" s="168">
        <f>'Data(2013)'!N331</f>
        <v>-0.38938505497157833</v>
      </c>
    </row>
    <row r="34" spans="6:13" x14ac:dyDescent="0.2">
      <c r="F34" s="3">
        <f>'Data(2013)'!N29</f>
        <v>-0.39921868789505027</v>
      </c>
      <c r="H34" s="37">
        <v>60</v>
      </c>
      <c r="I34" s="168">
        <f>'Data(2013)'!N299</f>
        <v>-0.34509047363514567</v>
      </c>
      <c r="J34" s="168">
        <f>'Data(2013)'!N308</f>
        <v>-0.32689211593629608</v>
      </c>
      <c r="K34" s="168">
        <f>'Data(2013)'!N316</f>
        <v>-0.33553769874432038</v>
      </c>
      <c r="L34" s="168">
        <f>'Data(2013)'!N324</f>
        <v>-0.32564248447518951</v>
      </c>
      <c r="M34" s="168">
        <f>'Data(2013)'!N332</f>
        <v>-0.32272897810962464</v>
      </c>
    </row>
    <row r="35" spans="6:13" x14ac:dyDescent="0.2">
      <c r="F35" s="3">
        <f>'Data(2013)'!N30</f>
        <v>-0.48395215679408859</v>
      </c>
      <c r="H35" s="37">
        <v>100</v>
      </c>
      <c r="I35" s="168">
        <f>'Data(2013)'!N300</f>
        <v>-0.2486592703721163</v>
      </c>
      <c r="J35" s="168">
        <f>'Data(2013)'!N309</f>
        <v>-0.24749280661245143</v>
      </c>
      <c r="K35" s="168">
        <f>'Data(2013)'!N317</f>
        <v>-0.24738893096899242</v>
      </c>
      <c r="L35" s="168">
        <f>'Data(2013)'!N325</f>
        <v>-0.24865853816856542</v>
      </c>
      <c r="M35" s="168">
        <f>'Data(2013)'!N333</f>
        <v>-0.24862634777645903</v>
      </c>
    </row>
    <row r="36" spans="6:13" x14ac:dyDescent="0.2">
      <c r="F36" s="3">
        <f>'Data(2013)'!N31</f>
        <v>-0.6014140648570907</v>
      </c>
      <c r="H36" s="37">
        <v>120</v>
      </c>
      <c r="I36" s="168">
        <f>'Data(2013)'!N301</f>
        <v>-0.2308645774857688</v>
      </c>
      <c r="J36" s="168">
        <f>'Data(2013)'!N310</f>
        <v>-0.22465766408201082</v>
      </c>
      <c r="K36" s="168">
        <f>'Data(2013)'!N318</f>
        <v>-0.22220632616838087</v>
      </c>
      <c r="L36" s="168">
        <f>'Data(2013)'!N326</f>
        <v>-0.21977864326755653</v>
      </c>
      <c r="M36" s="168">
        <f>'Data(2013)'!N334</f>
        <v>-0.21985740038458859</v>
      </c>
    </row>
    <row r="37" spans="6:13" x14ac:dyDescent="0.2">
      <c r="H37" s="37"/>
      <c r="I37" s="168"/>
      <c r="J37" s="168"/>
      <c r="K37" s="168"/>
      <c r="L37" s="168"/>
      <c r="M37" s="168"/>
    </row>
    <row r="38" spans="6:13" x14ac:dyDescent="0.2">
      <c r="H38" s="37"/>
      <c r="I38" s="168"/>
      <c r="J38" s="168"/>
      <c r="K38" s="168"/>
      <c r="L38" s="168"/>
      <c r="M38" s="168"/>
    </row>
    <row r="39" spans="6:13" x14ac:dyDescent="0.2">
      <c r="H39" s="37"/>
      <c r="I39" s="168"/>
      <c r="J39" s="37"/>
      <c r="K39" s="37"/>
      <c r="L39" s="37"/>
      <c r="M39" s="168"/>
    </row>
    <row r="40" spans="6:13" x14ac:dyDescent="0.2">
      <c r="H40" s="37"/>
      <c r="I40" s="168"/>
      <c r="J40" s="37"/>
      <c r="K40" s="37"/>
      <c r="L40" s="37"/>
      <c r="M40" s="168"/>
    </row>
    <row r="41" spans="6:13" x14ac:dyDescent="0.2">
      <c r="H41" s="37"/>
      <c r="I41" s="168"/>
      <c r="J41" s="37"/>
      <c r="K41" s="37"/>
      <c r="L41" s="37"/>
      <c r="M41" s="168"/>
    </row>
    <row r="42" spans="6:13" x14ac:dyDescent="0.2">
      <c r="F42" s="3">
        <f>'Data(2013)'!O26</f>
        <v>-0.20228769827176268</v>
      </c>
      <c r="H42" s="37">
        <v>10</v>
      </c>
      <c r="I42" s="168">
        <f>'Data(2013)'!O296</f>
        <v>-0.1816142828505441</v>
      </c>
      <c r="J42" s="168">
        <f>'Data(2013)'!O305</f>
        <v>-0.21173687678622383</v>
      </c>
      <c r="K42" s="168">
        <f>'Data(2013)'!O313</f>
        <v>-0.20899960975779591</v>
      </c>
      <c r="L42" s="168">
        <f>'Data(2013)'!O321</f>
        <v>-0.20475326621473799</v>
      </c>
      <c r="M42" s="168">
        <f>'Data(2013)'!O329</f>
        <v>-0.20557948335036805</v>
      </c>
    </row>
    <row r="43" spans="6:13" x14ac:dyDescent="0.2">
      <c r="F43" s="3">
        <f>'Data(2013)'!O27</f>
        <v>-0.2130756446316138</v>
      </c>
      <c r="H43" s="37">
        <v>20</v>
      </c>
      <c r="I43" s="168">
        <f>'Data(2013)'!O297</f>
        <v>-0.17566496673842638</v>
      </c>
      <c r="J43" s="168">
        <f>'Data(2013)'!O306</f>
        <v>-0.1741589754777349</v>
      </c>
      <c r="K43" s="168">
        <f>'Data(2013)'!O314</f>
        <v>-0.17415688106899915</v>
      </c>
      <c r="L43" s="168">
        <f>'Data(2013)'!O322</f>
        <v>-0.17380904941705139</v>
      </c>
      <c r="M43" s="168">
        <f>'Data(2013)'!O330</f>
        <v>-0.17376065360639195</v>
      </c>
    </row>
    <row r="44" spans="6:13" x14ac:dyDescent="0.2">
      <c r="F44" s="3">
        <f>'Data(2013)'!O28</f>
        <v>-0.19207541567217565</v>
      </c>
      <c r="H44" s="37">
        <v>40</v>
      </c>
      <c r="I44" s="168">
        <f>'Data(2013)'!O298</f>
        <v>-0.19247199558464992</v>
      </c>
      <c r="J44" s="168">
        <f>'Data(2013)'!O307</f>
        <v>-0.19067635864242949</v>
      </c>
      <c r="K44" s="168">
        <f>'Data(2013)'!O315</f>
        <v>-0.19020144174431802</v>
      </c>
      <c r="L44" s="168">
        <f>'Data(2013)'!O323</f>
        <v>-0.18568133920170948</v>
      </c>
      <c r="M44" s="168">
        <f>'Data(2013)'!O331</f>
        <v>-0.19112277905904393</v>
      </c>
    </row>
    <row r="45" spans="6:13" x14ac:dyDescent="0.2">
      <c r="F45" s="3">
        <f>'Data(2013)'!O29</f>
        <v>-0.21815288267121175</v>
      </c>
      <c r="H45" s="37">
        <v>60</v>
      </c>
      <c r="I45" s="168">
        <f>'Data(2013)'!O299</f>
        <v>-0.20455161373704836</v>
      </c>
      <c r="J45" s="168">
        <f>'Data(2013)'!O308</f>
        <v>-0.19821437241866113</v>
      </c>
      <c r="K45" s="168">
        <f>'Data(2013)'!O316</f>
        <v>-0.196835208058354</v>
      </c>
      <c r="L45" s="168">
        <f>'Data(2013)'!O324</f>
        <v>-0.19169857135319679</v>
      </c>
      <c r="M45" s="168">
        <f>'Data(2013)'!O332</f>
        <v>-0.19411024171420924</v>
      </c>
    </row>
    <row r="46" spans="6:13" x14ac:dyDescent="0.2">
      <c r="F46" s="3">
        <f>'Data(2013)'!O30</f>
        <v>-0.21161042445885467</v>
      </c>
      <c r="H46" s="37">
        <v>100</v>
      </c>
      <c r="I46" s="168">
        <f>'Data(2013)'!O300</f>
        <v>-0.20690735499001986</v>
      </c>
      <c r="J46" s="168">
        <f>'Data(2013)'!O309</f>
        <v>-0.20554180605264377</v>
      </c>
      <c r="K46" s="168">
        <f>'Data(2013)'!O317</f>
        <v>-0.20522631383788142</v>
      </c>
      <c r="L46" s="168">
        <f>'Data(2013)'!O325</f>
        <v>-0.20627244935579914</v>
      </c>
      <c r="M46" s="168">
        <f>'Data(2013)'!O333</f>
        <v>-0.20642728722255438</v>
      </c>
    </row>
    <row r="47" spans="6:13" x14ac:dyDescent="0.2">
      <c r="F47" s="3">
        <f>'Data(2013)'!O31</f>
        <v>-0.24750488969952966</v>
      </c>
      <c r="H47" s="37">
        <v>120</v>
      </c>
      <c r="I47" s="168">
        <f>'Data(2013)'!O301</f>
        <v>-0.20786154415849706</v>
      </c>
      <c r="J47" s="168">
        <f>'Data(2013)'!O310</f>
        <v>-0.20778708275476254</v>
      </c>
      <c r="K47" s="168">
        <f>'Data(2013)'!O318</f>
        <v>-0.20827695770255675</v>
      </c>
      <c r="L47" s="168">
        <f>'Data(2013)'!O326</f>
        <v>-0.2076325994051734</v>
      </c>
      <c r="M47" s="168">
        <f>'Data(2013)'!O334</f>
        <v>-0.20791789281248699</v>
      </c>
    </row>
  </sheetData>
  <phoneticPr fontId="39" type="noConversion"/>
  <pageMargins left="0.75" right="0.75" top="1" bottom="1" header="0.5" footer="0.5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2:AF394"/>
  <sheetViews>
    <sheetView topLeftCell="A192" workbookViewId="0">
      <selection activeCell="E218" sqref="E218"/>
    </sheetView>
  </sheetViews>
  <sheetFormatPr defaultRowHeight="12.75" x14ac:dyDescent="0.2"/>
  <cols>
    <col min="2" max="2" width="10.140625" bestFit="1" customWidth="1"/>
  </cols>
  <sheetData>
    <row r="2" spans="1:32" ht="15.75" x14ac:dyDescent="0.25">
      <c r="B2" s="222" t="s">
        <v>541</v>
      </c>
    </row>
    <row r="3" spans="1:32" x14ac:dyDescent="0.2">
      <c r="B3" s="201" t="s">
        <v>543</v>
      </c>
    </row>
    <row r="4" spans="1:32" x14ac:dyDescent="0.2">
      <c r="B4" s="201" t="s">
        <v>542</v>
      </c>
    </row>
    <row r="5" spans="1:32" x14ac:dyDescent="0.2">
      <c r="B5" s="201" t="s">
        <v>551</v>
      </c>
      <c r="E5" s="1"/>
      <c r="F5" s="1"/>
      <c r="G5" s="1"/>
      <c r="H5" s="1"/>
      <c r="I5" s="1"/>
      <c r="J5" s="1"/>
      <c r="N5" s="1"/>
      <c r="O5" s="1"/>
    </row>
    <row r="6" spans="1:32" x14ac:dyDescent="0.2">
      <c r="B6" s="201" t="s">
        <v>544</v>
      </c>
      <c r="E6" s="1"/>
      <c r="F6" s="1"/>
      <c r="G6" s="1"/>
      <c r="H6" s="1"/>
      <c r="I6" s="1"/>
      <c r="J6" s="1"/>
      <c r="N6" s="1"/>
      <c r="O6" s="1"/>
    </row>
    <row r="7" spans="1:32" x14ac:dyDescent="0.2">
      <c r="E7" s="1"/>
      <c r="F7" s="1"/>
      <c r="G7" s="1"/>
      <c r="H7" s="1"/>
      <c r="I7" s="1"/>
      <c r="J7" s="1"/>
      <c r="K7" s="1"/>
      <c r="N7" s="1"/>
      <c r="O7" s="1"/>
    </row>
    <row r="8" spans="1:32" x14ac:dyDescent="0.2">
      <c r="B8" s="5" t="s">
        <v>96</v>
      </c>
      <c r="E8" s="1"/>
      <c r="F8" s="1"/>
      <c r="G8" s="1"/>
      <c r="H8" s="1"/>
      <c r="I8" s="1"/>
      <c r="J8" s="1"/>
      <c r="K8" s="1"/>
      <c r="N8" s="1"/>
      <c r="O8" s="1"/>
      <c r="Y8" s="3"/>
      <c r="Z8" s="3"/>
    </row>
    <row r="9" spans="1:32" x14ac:dyDescent="0.2">
      <c r="A9" s="5" t="s">
        <v>35</v>
      </c>
      <c r="B9" s="5" t="s">
        <v>34</v>
      </c>
      <c r="C9" s="5" t="s">
        <v>42</v>
      </c>
      <c r="D9" s="13" t="s">
        <v>2</v>
      </c>
      <c r="E9" s="14" t="s">
        <v>5</v>
      </c>
      <c r="F9" s="14" t="s">
        <v>6</v>
      </c>
      <c r="G9" s="14" t="s">
        <v>8</v>
      </c>
      <c r="H9" s="14" t="s">
        <v>10</v>
      </c>
      <c r="I9" s="14" t="s">
        <v>11</v>
      </c>
      <c r="J9" s="14" t="s">
        <v>523</v>
      </c>
      <c r="K9" s="14" t="s">
        <v>523</v>
      </c>
      <c r="R9" s="5" t="s">
        <v>15</v>
      </c>
      <c r="S9" s="5" t="s">
        <v>15</v>
      </c>
      <c r="T9" s="5" t="s">
        <v>15</v>
      </c>
      <c r="U9" s="5" t="s">
        <v>358</v>
      </c>
      <c r="V9" s="5" t="s">
        <v>358</v>
      </c>
    </row>
    <row r="10" spans="1:32" x14ac:dyDescent="0.2">
      <c r="D10" s="13" t="s">
        <v>7</v>
      </c>
      <c r="E10" s="14" t="s">
        <v>12</v>
      </c>
      <c r="F10" s="14" t="s">
        <v>12</v>
      </c>
      <c r="G10" s="14" t="s">
        <v>9</v>
      </c>
      <c r="H10" s="14" t="s">
        <v>12</v>
      </c>
      <c r="I10" s="14" t="s">
        <v>12</v>
      </c>
      <c r="J10" s="14" t="s">
        <v>524</v>
      </c>
      <c r="K10" s="14" t="s">
        <v>525</v>
      </c>
      <c r="L10" s="5" t="s">
        <v>2</v>
      </c>
      <c r="M10" s="5" t="s">
        <v>3</v>
      </c>
      <c r="N10" s="5" t="s">
        <v>4</v>
      </c>
      <c r="O10" s="5" t="s">
        <v>0</v>
      </c>
      <c r="P10" s="5" t="s">
        <v>1</v>
      </c>
      <c r="R10" s="5" t="s">
        <v>5</v>
      </c>
      <c r="S10" s="5" t="s">
        <v>6</v>
      </c>
      <c r="T10" s="5" t="s">
        <v>14</v>
      </c>
      <c r="U10" s="5" t="s">
        <v>5</v>
      </c>
      <c r="V10" s="5" t="s">
        <v>6</v>
      </c>
      <c r="Y10" s="5" t="s">
        <v>526</v>
      </c>
      <c r="AB10" t="s">
        <v>444</v>
      </c>
    </row>
    <row r="11" spans="1:32" x14ac:dyDescent="0.2">
      <c r="A11">
        <v>1</v>
      </c>
      <c r="B11" s="4">
        <v>41340</v>
      </c>
      <c r="C11" s="8" t="s">
        <v>13</v>
      </c>
      <c r="D11">
        <v>1.1988233788</v>
      </c>
      <c r="E11" s="1">
        <v>-1.31988048000001E-5</v>
      </c>
      <c r="F11" s="1">
        <v>-1.2465848799999999E-5</v>
      </c>
      <c r="G11" s="1">
        <v>2.5170463238839202E-6</v>
      </c>
      <c r="H11" s="1">
        <v>6.8663838058763103E-8</v>
      </c>
      <c r="I11" s="1">
        <v>2.23224680212561E-8</v>
      </c>
      <c r="J11" s="217">
        <v>12</v>
      </c>
      <c r="K11" s="217">
        <v>1</v>
      </c>
      <c r="L11">
        <v>0.2</v>
      </c>
      <c r="M11">
        <v>10</v>
      </c>
      <c r="N11" s="2">
        <f t="shared" ref="N11:N16" si="0">100*D11/(L11*5)</f>
        <v>119.88233787999999</v>
      </c>
      <c r="O11" s="216">
        <f>1000000*E11*L11/(M11*D11)</f>
        <v>-0.22019598605445717</v>
      </c>
      <c r="P11" s="216">
        <f>1000000*F11*L11/(D11*M11)</f>
        <v>-0.20796806302656667</v>
      </c>
      <c r="Q11" s="216"/>
      <c r="R11" s="216">
        <f>1000000*L11*H11/(M11*D11)</f>
        <v>1.1455205040711556E-3</v>
      </c>
      <c r="S11" s="216">
        <f>1000000*L11*I11/(M11*D11)</f>
        <v>3.7240628462885796E-4</v>
      </c>
      <c r="T11" s="1">
        <f t="shared" ref="T11:T16" si="1">G11*100/D11</f>
        <v>2.0995972954777016E-4</v>
      </c>
      <c r="U11" s="3">
        <f t="shared" ref="U11:U16" si="2">Comode_std*L11/(M11*D11)</f>
        <v>1.6683024667086183E-3</v>
      </c>
      <c r="V11" s="3">
        <f t="shared" ref="V11:V16" si="3">Comode_std*L11/(M11*D11)</f>
        <v>1.6683024667086183E-3</v>
      </c>
      <c r="Y11" s="3">
        <f>'Data(2013)'!N41</f>
        <v>-0.20844230523483276</v>
      </c>
      <c r="Z11" s="3">
        <f>'Data(2013)'!O41</f>
        <v>-0.18539568268241569</v>
      </c>
      <c r="AA11" s="2"/>
      <c r="AB11" s="3">
        <f t="shared" ref="AB11:AC16" si="4">O11-Y11</f>
        <v>-1.1753680819624412E-2</v>
      </c>
      <c r="AC11" s="3">
        <f t="shared" si="4"/>
        <v>-2.2572380344150988E-2</v>
      </c>
      <c r="AD11" s="18"/>
      <c r="AE11" s="21"/>
      <c r="AF11" s="18"/>
    </row>
    <row r="12" spans="1:32" x14ac:dyDescent="0.2">
      <c r="A12">
        <v>2</v>
      </c>
      <c r="D12">
        <v>1.0010969536000001</v>
      </c>
      <c r="E12" s="1">
        <v>-1.24481278000001E-5</v>
      </c>
      <c r="F12" s="1">
        <v>-1.03859886E-5</v>
      </c>
      <c r="G12" s="1">
        <v>6.9974897689348301E-7</v>
      </c>
      <c r="H12" s="1">
        <v>6.4485930303904698E-8</v>
      </c>
      <c r="I12" s="1">
        <v>1.9775786458191699E-8</v>
      </c>
      <c r="J12" s="217">
        <v>12</v>
      </c>
      <c r="K12" s="217">
        <v>1</v>
      </c>
      <c r="L12">
        <v>0.2</v>
      </c>
      <c r="M12">
        <v>10</v>
      </c>
      <c r="N12" s="2">
        <f t="shared" si="0"/>
        <v>100.10969536</v>
      </c>
      <c r="O12" s="216">
        <f t="shared" ref="O12:O24" si="5">1000000*E12*L12/(M12*D12)</f>
        <v>-0.2486897548781053</v>
      </c>
      <c r="P12" s="216">
        <f t="shared" ref="P12:P24" si="6">1000000*F12*L12/(D12*M12)</f>
        <v>-0.20749216272512691</v>
      </c>
      <c r="Q12" s="216"/>
      <c r="R12" s="216">
        <f t="shared" ref="R12:R24" si="7">1000000*L12*H12/(M12*D12)</f>
        <v>1.2883053948373276E-3</v>
      </c>
      <c r="S12" s="216">
        <f t="shared" ref="S12:S24" si="8">1000000*L12*I12/(M12*D12)</f>
        <v>3.9508234216629822E-4</v>
      </c>
      <c r="T12" s="1">
        <f t="shared" si="1"/>
        <v>6.9898222582452876E-5</v>
      </c>
      <c r="U12" s="3">
        <f t="shared" si="2"/>
        <v>1.9978084967773495E-3</v>
      </c>
      <c r="V12" s="3">
        <f t="shared" si="3"/>
        <v>1.9978084967773495E-3</v>
      </c>
      <c r="Y12" s="3">
        <f>'Data(2013)'!N42</f>
        <v>-0.23519512791002395</v>
      </c>
      <c r="Z12" s="3">
        <f>'Data(2013)'!O42</f>
        <v>-0.19115437154879153</v>
      </c>
      <c r="AA12" s="2"/>
      <c r="AB12" s="3">
        <f t="shared" si="4"/>
        <v>-1.3494626968081347E-2</v>
      </c>
      <c r="AC12" s="3">
        <f t="shared" si="4"/>
        <v>-1.6337791176335381E-2</v>
      </c>
      <c r="AD12" s="18"/>
      <c r="AE12" s="21"/>
      <c r="AF12" s="18"/>
    </row>
    <row r="13" spans="1:32" x14ac:dyDescent="0.2">
      <c r="A13">
        <v>3</v>
      </c>
      <c r="D13">
        <v>0.5999447242</v>
      </c>
      <c r="E13" s="1">
        <v>-9.8826731599999995E-6</v>
      </c>
      <c r="F13" s="1">
        <v>-5.9982716400000096E-6</v>
      </c>
      <c r="G13" s="1">
        <v>3.1072752980253202E-7</v>
      </c>
      <c r="H13" s="1">
        <v>1.49517496584227E-7</v>
      </c>
      <c r="I13" s="1">
        <v>1.45760725606421E-7</v>
      </c>
      <c r="J13" s="217">
        <v>12</v>
      </c>
      <c r="K13" s="217">
        <v>1</v>
      </c>
      <c r="L13">
        <v>0.2</v>
      </c>
      <c r="M13">
        <v>10</v>
      </c>
      <c r="N13" s="2">
        <f t="shared" si="0"/>
        <v>59.994472420000001</v>
      </c>
      <c r="O13" s="216">
        <f t="shared" si="5"/>
        <v>-0.32945278994421062</v>
      </c>
      <c r="P13" s="216">
        <f t="shared" si="6"/>
        <v>-0.19996080965620433</v>
      </c>
      <c r="Q13" s="216"/>
      <c r="R13" s="216">
        <f t="shared" si="7"/>
        <v>4.9843757450689155E-3</v>
      </c>
      <c r="S13" s="216">
        <f t="shared" si="8"/>
        <v>4.859138508161282E-3</v>
      </c>
      <c r="T13" s="1">
        <f t="shared" si="1"/>
        <v>5.1792693104664524E-5</v>
      </c>
      <c r="U13" s="3">
        <f t="shared" si="2"/>
        <v>3.3336404494045892E-3</v>
      </c>
      <c r="V13" s="3">
        <f t="shared" si="3"/>
        <v>3.3336404494045892E-3</v>
      </c>
      <c r="Y13" s="3">
        <f>'Data(2013)'!N43</f>
        <v>-0.30969241721252455</v>
      </c>
      <c r="Z13" s="3">
        <f>'Data(2013)'!O43</f>
        <v>-0.17776394763348652</v>
      </c>
      <c r="AA13" s="2"/>
      <c r="AB13" s="3">
        <f t="shared" si="4"/>
        <v>-1.9760372731686071E-2</v>
      </c>
      <c r="AC13" s="3">
        <f t="shared" si="4"/>
        <v>-2.2196862022717812E-2</v>
      </c>
      <c r="AD13" s="18"/>
      <c r="AE13" s="21"/>
      <c r="AF13" s="18"/>
    </row>
    <row r="14" spans="1:32" x14ac:dyDescent="0.2">
      <c r="A14">
        <v>4</v>
      </c>
      <c r="D14">
        <v>0.40080285912000002</v>
      </c>
      <c r="E14" s="1">
        <v>-7.8315316600000402E-6</v>
      </c>
      <c r="F14" s="1">
        <v>-3.8323683200000104E-6</v>
      </c>
      <c r="G14" s="1">
        <v>2.38099857272051E-7</v>
      </c>
      <c r="H14" s="1">
        <v>1.5939255297673199E-8</v>
      </c>
      <c r="I14" s="1">
        <v>9.1338213917164098E-8</v>
      </c>
      <c r="J14" s="217">
        <v>11</v>
      </c>
      <c r="K14" s="217">
        <v>1</v>
      </c>
      <c r="L14">
        <v>0.2</v>
      </c>
      <c r="M14">
        <v>10</v>
      </c>
      <c r="N14" s="2">
        <f t="shared" si="0"/>
        <v>40.080285912000001</v>
      </c>
      <c r="O14" s="216">
        <f t="shared" si="5"/>
        <v>-0.39079220528490721</v>
      </c>
      <c r="P14" s="216">
        <f t="shared" si="6"/>
        <v>-0.19123457993360285</v>
      </c>
      <c r="Q14" s="216"/>
      <c r="R14" s="216">
        <f t="shared" si="7"/>
        <v>7.9536634706994433E-4</v>
      </c>
      <c r="S14" s="216">
        <f t="shared" si="8"/>
        <v>4.5577625926973495E-3</v>
      </c>
      <c r="T14" s="1">
        <f t="shared" si="1"/>
        <v>5.9405728241265893E-5</v>
      </c>
      <c r="U14" s="3">
        <f t="shared" si="2"/>
        <v>4.9899843638620406E-3</v>
      </c>
      <c r="V14" s="3">
        <f t="shared" si="3"/>
        <v>4.9899843638620406E-3</v>
      </c>
      <c r="Y14" s="3">
        <f>'Data(2013)'!N44</f>
        <v>-0.36413177364592525</v>
      </c>
      <c r="Z14" s="3">
        <f>'Data(2013)'!O44</f>
        <v>-0.17167290820636519</v>
      </c>
      <c r="AA14" s="2"/>
      <c r="AB14" s="3">
        <f t="shared" si="4"/>
        <v>-2.6660431638981963E-2</v>
      </c>
      <c r="AC14" s="3">
        <f t="shared" si="4"/>
        <v>-1.9561671727237662E-2</v>
      </c>
      <c r="AD14" s="18"/>
      <c r="AE14" s="21"/>
      <c r="AF14" s="18"/>
    </row>
    <row r="15" spans="1:32" x14ac:dyDescent="0.2">
      <c r="A15">
        <v>5</v>
      </c>
      <c r="D15">
        <v>0.19992975158000001</v>
      </c>
      <c r="E15" s="1">
        <v>-4.6114961200000001E-6</v>
      </c>
      <c r="F15" s="1">
        <v>-1.74714468000001E-6</v>
      </c>
      <c r="G15" s="1">
        <v>1.39486794291652E-7</v>
      </c>
      <c r="H15" s="1">
        <v>3.6744132877856798E-8</v>
      </c>
      <c r="I15" s="1">
        <v>1.74027081156928E-9</v>
      </c>
      <c r="J15" s="217">
        <v>10</v>
      </c>
      <c r="K15" s="217">
        <v>1</v>
      </c>
      <c r="L15">
        <v>0.2</v>
      </c>
      <c r="M15">
        <v>10</v>
      </c>
      <c r="N15" s="2">
        <f t="shared" si="0"/>
        <v>19.992975158</v>
      </c>
      <c r="O15" s="216">
        <f t="shared" si="5"/>
        <v>-0.46131164407061781</v>
      </c>
      <c r="P15" s="216">
        <f t="shared" si="6"/>
        <v>-0.17477585663891615</v>
      </c>
      <c r="Q15" s="216"/>
      <c r="R15" s="216">
        <f t="shared" si="7"/>
        <v>3.675704349900518E-3</v>
      </c>
      <c r="S15" s="216">
        <f t="shared" si="8"/>
        <v>1.7408822827181148E-4</v>
      </c>
      <c r="T15" s="1">
        <f t="shared" si="1"/>
        <v>6.9767902570437441E-5</v>
      </c>
      <c r="U15" s="3">
        <f t="shared" si="2"/>
        <v>1.0003513655143613E-2</v>
      </c>
      <c r="V15" s="3">
        <f t="shared" si="3"/>
        <v>1.0003513655143613E-2</v>
      </c>
      <c r="Y15" s="3">
        <f>'Data(2013)'!N45</f>
        <v>-0.43130035148648954</v>
      </c>
      <c r="Z15" s="3">
        <f>'Data(2013)'!O45</f>
        <v>-0.16943428415551065</v>
      </c>
      <c r="AA15" s="2"/>
      <c r="AB15" s="3">
        <f t="shared" si="4"/>
        <v>-3.0011292584128269E-2</v>
      </c>
      <c r="AC15" s="3">
        <f t="shared" si="4"/>
        <v>-5.341572483405499E-3</v>
      </c>
      <c r="AD15" s="18"/>
      <c r="AE15" s="21"/>
      <c r="AF15" s="18"/>
    </row>
    <row r="16" spans="1:32" x14ac:dyDescent="0.2">
      <c r="A16">
        <v>6</v>
      </c>
      <c r="D16">
        <v>0.10073160076</v>
      </c>
      <c r="E16" s="1">
        <v>-2.5306537400000001E-6</v>
      </c>
      <c r="F16" s="1">
        <v>-8.7794551200000002E-7</v>
      </c>
      <c r="G16" s="1">
        <v>4.10456679546084E-8</v>
      </c>
      <c r="H16" s="1">
        <v>7.2215004190350898E-8</v>
      </c>
      <c r="I16" s="1">
        <v>1.0688384003357E-7</v>
      </c>
      <c r="J16" s="217">
        <v>10</v>
      </c>
      <c r="K16" s="217">
        <v>1</v>
      </c>
      <c r="L16">
        <v>0.2</v>
      </c>
      <c r="M16">
        <v>10</v>
      </c>
      <c r="N16" s="2">
        <f t="shared" si="0"/>
        <v>10.073160076000001</v>
      </c>
      <c r="O16" s="216">
        <f t="shared" si="5"/>
        <v>-0.50245478497447038</v>
      </c>
      <c r="P16" s="216">
        <f t="shared" si="6"/>
        <v>-0.17431382115961125</v>
      </c>
      <c r="Q16" s="216"/>
      <c r="R16" s="216">
        <f t="shared" si="7"/>
        <v>1.4338103166335683E-2</v>
      </c>
      <c r="S16" s="216">
        <f t="shared" si="8"/>
        <v>2.1221511268986609E-2</v>
      </c>
      <c r="T16" s="1">
        <f t="shared" si="1"/>
        <v>4.0747558506890544E-5</v>
      </c>
      <c r="U16" s="3">
        <f t="shared" si="2"/>
        <v>1.9854742552589216E-2</v>
      </c>
      <c r="V16" s="3">
        <f t="shared" si="3"/>
        <v>1.9854742552589216E-2</v>
      </c>
      <c r="Y16" s="3">
        <f>'Data(2013)'!N46</f>
        <v>-0.46772800191927605</v>
      </c>
      <c r="Z16" s="3">
        <f>'Data(2013)'!O46</f>
        <v>-0.16442898143945994</v>
      </c>
      <c r="AA16" s="2"/>
      <c r="AB16" s="3">
        <f t="shared" si="4"/>
        <v>-3.4726783055194332E-2</v>
      </c>
      <c r="AC16" s="3">
        <f t="shared" si="4"/>
        <v>-9.8848397201513061E-3</v>
      </c>
      <c r="AD16" s="18"/>
      <c r="AE16" s="21"/>
      <c r="AF16" s="18"/>
    </row>
    <row r="17" spans="1:29" x14ac:dyDescent="0.2">
      <c r="A17">
        <v>7</v>
      </c>
      <c r="D17">
        <v>5.0124900921999997E-2</v>
      </c>
      <c r="E17" s="1">
        <v>-1.3380413199999999E-6</v>
      </c>
      <c r="F17" s="1">
        <v>-4.3976629000000001E-7</v>
      </c>
      <c r="G17" s="1">
        <v>1.97277076776291E-8</v>
      </c>
      <c r="H17" s="1">
        <v>5.5201611054910398E-8</v>
      </c>
      <c r="I17" s="1">
        <v>6.7370465614020304E-8</v>
      </c>
      <c r="J17" s="217">
        <v>9</v>
      </c>
      <c r="K17" s="217">
        <v>1</v>
      </c>
      <c r="L17">
        <v>0.2</v>
      </c>
      <c r="M17">
        <v>10</v>
      </c>
      <c r="N17" s="2">
        <f>100*D17/(L17*5)</f>
        <v>5.0124900921999993</v>
      </c>
      <c r="O17" s="216">
        <f t="shared" si="5"/>
        <v>-0.53388287872414686</v>
      </c>
      <c r="P17" s="216">
        <f t="shared" si="6"/>
        <v>-0.17546819321770871</v>
      </c>
      <c r="Q17" s="216"/>
      <c r="R17" s="216">
        <f t="shared" si="7"/>
        <v>2.2025624007042062E-2</v>
      </c>
      <c r="S17" s="216">
        <f t="shared" si="8"/>
        <v>2.6881036919696403E-2</v>
      </c>
      <c r="T17" s="1">
        <f>G17*100/D17</f>
        <v>3.9357100592233866E-5</v>
      </c>
      <c r="U17" s="3">
        <f>Comode_std*L17/(M17*D17)</f>
        <v>3.9900328244283738E-2</v>
      </c>
      <c r="V17" s="3">
        <f>Comode_std*L17/(M17*D17)</f>
        <v>3.9900328244283738E-2</v>
      </c>
      <c r="W17" s="1"/>
      <c r="X17" s="1"/>
      <c r="Y17" s="1"/>
      <c r="Z17" s="1"/>
    </row>
    <row r="18" spans="1:29" x14ac:dyDescent="0.2">
      <c r="A18">
        <v>8</v>
      </c>
      <c r="F18" s="1"/>
      <c r="G18" s="1"/>
      <c r="H18" s="1"/>
      <c r="I18" s="1"/>
      <c r="J18" s="1"/>
      <c r="K18" s="1"/>
      <c r="M18" s="1"/>
      <c r="N18" s="1"/>
      <c r="O18" s="216"/>
      <c r="P18" s="216"/>
      <c r="Q18" s="216"/>
      <c r="R18" s="216"/>
      <c r="S18" s="216"/>
      <c r="T18" s="1"/>
      <c r="U18" s="1"/>
      <c r="V18" s="1"/>
      <c r="W18" s="1"/>
      <c r="X18" s="1"/>
      <c r="Y18" s="1"/>
      <c r="Z18" s="1"/>
    </row>
    <row r="19" spans="1:29" x14ac:dyDescent="0.2">
      <c r="A19">
        <v>9</v>
      </c>
      <c r="B19" s="4">
        <v>41340</v>
      </c>
      <c r="C19" s="4" t="s">
        <v>527</v>
      </c>
      <c r="D19">
        <v>1.1988167949999999</v>
      </c>
      <c r="E19" s="1">
        <v>-1.31728080000001E-5</v>
      </c>
      <c r="F19" s="1">
        <v>-1.24699988E-5</v>
      </c>
      <c r="G19" s="1">
        <v>2.9131743030655599E-6</v>
      </c>
      <c r="H19" s="1">
        <v>2.9246538256698698E-10</v>
      </c>
      <c r="I19" s="1">
        <v>1.5130074638282499E-8</v>
      </c>
      <c r="J19" s="217">
        <v>12</v>
      </c>
      <c r="K19" s="217">
        <v>1</v>
      </c>
      <c r="L19">
        <v>0.2</v>
      </c>
      <c r="M19">
        <v>10</v>
      </c>
      <c r="N19" s="2">
        <f t="shared" ref="N19:N24" si="9">100*D19/(L19*5)</f>
        <v>119.88167949999999</v>
      </c>
      <c r="O19" s="216">
        <f t="shared" si="5"/>
        <v>-0.21976348771456949</v>
      </c>
      <c r="P19" s="216">
        <f t="shared" si="6"/>
        <v>-0.20803844010210085</v>
      </c>
      <c r="Q19" s="216"/>
      <c r="R19" s="216">
        <f t="shared" si="7"/>
        <v>4.8792339878252536E-6</v>
      </c>
      <c r="S19" s="216">
        <f t="shared" si="8"/>
        <v>2.5241679464930251E-4</v>
      </c>
      <c r="T19" s="1">
        <f t="shared" ref="T19:T24" si="10">G19*100/D19</f>
        <v>2.4300412833852232E-4</v>
      </c>
      <c r="U19" s="3">
        <f t="shared" ref="U19:U24" si="11">Comode_std*L19/(M19*D19)</f>
        <v>1.6683116288840451E-3</v>
      </c>
      <c r="V19" s="3">
        <f t="shared" ref="V19:V24" si="12">Comode_std*L19/(M19*D19)</f>
        <v>1.6683116288840451E-3</v>
      </c>
      <c r="W19" s="3"/>
      <c r="X19" s="3"/>
      <c r="Y19" s="3"/>
    </row>
    <row r="20" spans="1:29" x14ac:dyDescent="0.2">
      <c r="A20">
        <v>10</v>
      </c>
      <c r="D20">
        <v>1.0008320278</v>
      </c>
      <c r="E20" s="1">
        <v>-1.24434596E-5</v>
      </c>
      <c r="F20" s="1">
        <v>-1.03815E-5</v>
      </c>
      <c r="G20" s="1">
        <v>8.0144006092547001E-7</v>
      </c>
      <c r="H20" s="1">
        <v>5.8532628916186602E-8</v>
      </c>
      <c r="I20" s="1">
        <v>1.3552527156068799E-20</v>
      </c>
      <c r="J20" s="217">
        <v>12</v>
      </c>
      <c r="K20" s="217">
        <v>1</v>
      </c>
      <c r="L20">
        <v>0.2</v>
      </c>
      <c r="M20">
        <v>10</v>
      </c>
      <c r="N20" s="2">
        <f t="shared" si="9"/>
        <v>100.08320278000001</v>
      </c>
      <c r="O20" s="216">
        <f t="shared" si="5"/>
        <v>-0.2486622980552062</v>
      </c>
      <c r="P20" s="216">
        <f t="shared" si="6"/>
        <v>-0.20745738968446714</v>
      </c>
      <c r="Q20" s="216"/>
      <c r="R20" s="216">
        <f t="shared" si="7"/>
        <v>1.1696793725686685E-3</v>
      </c>
      <c r="S20" s="216">
        <f t="shared" si="8"/>
        <v>2.7082520901853178E-16</v>
      </c>
      <c r="T20" s="1">
        <f t="shared" si="10"/>
        <v>8.0077379486662945E-5</v>
      </c>
      <c r="U20" s="3">
        <f t="shared" si="11"/>
        <v>1.9983373277895019E-3</v>
      </c>
      <c r="V20" s="3">
        <f t="shared" si="12"/>
        <v>1.9983373277895019E-3</v>
      </c>
      <c r="W20" s="3"/>
      <c r="X20" s="3"/>
      <c r="Y20" s="3"/>
    </row>
    <row r="21" spans="1:29" x14ac:dyDescent="0.2">
      <c r="A21">
        <v>11</v>
      </c>
      <c r="D21">
        <v>0.59966756870000004</v>
      </c>
      <c r="E21" s="1">
        <v>-9.8140872399999899E-6</v>
      </c>
      <c r="F21" s="1">
        <v>-5.8913818800000004E-6</v>
      </c>
      <c r="G21" s="1">
        <v>2.4838664599599001E-7</v>
      </c>
      <c r="H21" s="1">
        <v>1.08982696571439E-7</v>
      </c>
      <c r="I21" s="1">
        <v>1.1512751871583799E-7</v>
      </c>
      <c r="J21" s="217">
        <v>12</v>
      </c>
      <c r="K21" s="217">
        <v>1</v>
      </c>
      <c r="L21">
        <v>0.2</v>
      </c>
      <c r="M21">
        <v>10</v>
      </c>
      <c r="N21" s="2">
        <f t="shared" si="9"/>
        <v>59.966756870000005</v>
      </c>
      <c r="O21" s="216">
        <f t="shared" si="5"/>
        <v>-0.32731759235456515</v>
      </c>
      <c r="P21" s="216">
        <f t="shared" si="6"/>
        <v>-0.1964882607465912</v>
      </c>
      <c r="Q21" s="216"/>
      <c r="R21" s="216">
        <f t="shared" si="7"/>
        <v>3.6347704047994147E-3</v>
      </c>
      <c r="S21" s="216">
        <f t="shared" si="8"/>
        <v>3.8397113575916477E-3</v>
      </c>
      <c r="T21" s="1">
        <f t="shared" si="10"/>
        <v>4.1420723574306245E-5</v>
      </c>
      <c r="U21" s="3">
        <f t="shared" si="11"/>
        <v>3.3351811977021463E-3</v>
      </c>
      <c r="V21" s="3">
        <f t="shared" si="12"/>
        <v>3.3351811977021463E-3</v>
      </c>
      <c r="W21" s="3"/>
      <c r="X21" s="3"/>
      <c r="Y21" s="3"/>
    </row>
    <row r="22" spans="1:29" x14ac:dyDescent="0.2">
      <c r="A22">
        <v>12</v>
      </c>
      <c r="D22">
        <v>0.40062683154000001</v>
      </c>
      <c r="E22" s="1">
        <v>-7.8301947800000306E-6</v>
      </c>
      <c r="F22" s="1">
        <v>-3.75829052E-6</v>
      </c>
      <c r="G22" s="1">
        <v>2.3588880975537101E-7</v>
      </c>
      <c r="H22" s="1">
        <v>5.8579090938319096E-9</v>
      </c>
      <c r="I22" s="1">
        <v>8.1103522895923698E-8</v>
      </c>
      <c r="J22" s="217">
        <v>11</v>
      </c>
      <c r="K22" s="217">
        <v>1</v>
      </c>
      <c r="L22">
        <v>0.2</v>
      </c>
      <c r="M22">
        <v>10</v>
      </c>
      <c r="N22" s="2">
        <f>100*D22/(L22*5)</f>
        <v>40.062683153999998</v>
      </c>
      <c r="O22" s="216">
        <f t="shared" si="5"/>
        <v>-0.39089717230875171</v>
      </c>
      <c r="P22" s="216">
        <f t="shared" si="6"/>
        <v>-0.187620509867161</v>
      </c>
      <c r="Q22" s="216"/>
      <c r="R22" s="216">
        <f t="shared" si="7"/>
        <v>2.924371825678398E-4</v>
      </c>
      <c r="S22" s="216">
        <f t="shared" si="8"/>
        <v>4.0488313068879431E-3</v>
      </c>
      <c r="T22" s="1">
        <f t="shared" si="10"/>
        <v>5.8879932941241117E-5</v>
      </c>
      <c r="U22" s="3">
        <f t="shared" si="11"/>
        <v>4.9921768652190571E-3</v>
      </c>
      <c r="V22" s="3">
        <f t="shared" si="12"/>
        <v>4.9921768652190571E-3</v>
      </c>
      <c r="W22" s="3"/>
      <c r="X22" s="3"/>
      <c r="Y22" s="3"/>
    </row>
    <row r="23" spans="1:29" x14ac:dyDescent="0.2">
      <c r="A23">
        <v>13</v>
      </c>
      <c r="D23">
        <v>0.19981954178</v>
      </c>
      <c r="E23" s="1">
        <v>-4.5890698600000002E-6</v>
      </c>
      <c r="F23" s="1">
        <v>-1.7510553000000101E-6</v>
      </c>
      <c r="G23" s="1">
        <v>1.3750436373063199E-7</v>
      </c>
      <c r="H23" s="1">
        <v>8.1145374264836494E-8</v>
      </c>
      <c r="I23" s="1">
        <v>1.48546291138486E-8</v>
      </c>
      <c r="J23" s="217">
        <v>10</v>
      </c>
      <c r="K23" s="217">
        <v>1</v>
      </c>
      <c r="L23">
        <v>0.2</v>
      </c>
      <c r="M23">
        <v>10</v>
      </c>
      <c r="N23" s="2">
        <f t="shared" si="9"/>
        <v>19.981954177999999</v>
      </c>
      <c r="O23" s="216">
        <f t="shared" si="5"/>
        <v>-0.45932142763619555</v>
      </c>
      <c r="P23" s="216">
        <f t="shared" si="6"/>
        <v>-0.17526366884855643</v>
      </c>
      <c r="Q23" s="216"/>
      <c r="R23" s="216">
        <f t="shared" si="7"/>
        <v>8.1218657136324559E-3</v>
      </c>
      <c r="S23" s="216">
        <f t="shared" si="8"/>
        <v>1.4868044418001368E-3</v>
      </c>
      <c r="T23" s="1">
        <f t="shared" si="10"/>
        <v>6.881427237082916E-5</v>
      </c>
      <c r="U23" s="3">
        <f t="shared" si="11"/>
        <v>1.0009031059644744E-2</v>
      </c>
      <c r="V23" s="3">
        <f t="shared" si="12"/>
        <v>1.0009031059644744E-2</v>
      </c>
      <c r="W23" s="3"/>
      <c r="X23" s="3"/>
      <c r="Y23" s="3"/>
    </row>
    <row r="24" spans="1:29" x14ac:dyDescent="0.2">
      <c r="A24">
        <v>14</v>
      </c>
      <c r="D24">
        <v>0.10068159652</v>
      </c>
      <c r="E24" s="1">
        <v>-2.5639610800000002E-6</v>
      </c>
      <c r="F24" s="1">
        <v>-8.78539993999999E-7</v>
      </c>
      <c r="G24" s="1">
        <v>3.9310326304441903E-8</v>
      </c>
      <c r="H24" s="1">
        <v>8.0390183181988095E-8</v>
      </c>
      <c r="I24" s="1">
        <v>7.0167806132684304E-8</v>
      </c>
      <c r="J24" s="217">
        <v>10</v>
      </c>
      <c r="K24" s="217">
        <v>1</v>
      </c>
      <c r="L24">
        <v>0.2</v>
      </c>
      <c r="M24">
        <v>10</v>
      </c>
      <c r="N24" s="2">
        <f t="shared" si="9"/>
        <v>10.068159652</v>
      </c>
      <c r="O24" s="216">
        <f t="shared" si="5"/>
        <v>-0.50932070380721073</v>
      </c>
      <c r="P24" s="216">
        <f t="shared" si="6"/>
        <v>-0.17451848686675933</v>
      </c>
      <c r="Q24" s="216"/>
      <c r="R24" s="216">
        <f t="shared" si="7"/>
        <v>1.5969191185008457E-2</v>
      </c>
      <c r="S24" s="216">
        <f t="shared" si="8"/>
        <v>1.3938556510423581E-2</v>
      </c>
      <c r="T24" s="1">
        <f t="shared" si="10"/>
        <v>3.90442023797597E-5</v>
      </c>
      <c r="U24" s="3">
        <f t="shared" si="11"/>
        <v>1.9864603553467773E-2</v>
      </c>
      <c r="V24" s="3">
        <f t="shared" si="12"/>
        <v>1.9864603553467773E-2</v>
      </c>
      <c r="W24" s="3"/>
      <c r="X24" s="3"/>
      <c r="Y24" s="40" t="s">
        <v>555</v>
      </c>
      <c r="Z24" s="5"/>
      <c r="AB24" s="40" t="s">
        <v>557</v>
      </c>
      <c r="AC24" s="5"/>
    </row>
    <row r="25" spans="1:29" x14ac:dyDescent="0.2">
      <c r="A25">
        <v>15</v>
      </c>
      <c r="D25">
        <v>5.0079344342000003E-2</v>
      </c>
      <c r="E25" s="1">
        <v>-1.3197801799999999E-6</v>
      </c>
      <c r="F25" s="1">
        <v>-4.3626532800000002E-7</v>
      </c>
      <c r="G25" s="1">
        <v>3.5262592780421798E-8</v>
      </c>
      <c r="H25" s="1">
        <v>5.8004078740788598E-8</v>
      </c>
      <c r="I25" s="1">
        <v>5.7904855478693799E-8</v>
      </c>
      <c r="J25" s="217">
        <v>9</v>
      </c>
      <c r="K25" s="217">
        <v>1</v>
      </c>
      <c r="L25">
        <v>0.2</v>
      </c>
      <c r="M25">
        <v>10</v>
      </c>
      <c r="N25" s="2">
        <f>100*D25/(L25*5)</f>
        <v>5.0079344342000001</v>
      </c>
      <c r="O25" s="216">
        <f>1000000*E25*L25/(M25*D25)</f>
        <v>-0.52707566256738758</v>
      </c>
      <c r="P25" s="216">
        <f>1000000*F25*L25/(D25*M25)</f>
        <v>-0.17422964846371514</v>
      </c>
      <c r="Q25" s="2"/>
      <c r="R25" s="2"/>
      <c r="S25" s="2"/>
      <c r="T25" s="2"/>
      <c r="U25" s="2"/>
      <c r="V25" s="2"/>
      <c r="Y25" s="5" t="s">
        <v>556</v>
      </c>
      <c r="Z25" s="5"/>
      <c r="AB25" s="5" t="s">
        <v>556</v>
      </c>
      <c r="AC25" s="5"/>
    </row>
    <row r="26" spans="1:29" x14ac:dyDescent="0.2">
      <c r="A26">
        <v>16</v>
      </c>
      <c r="C26" s="5" t="s">
        <v>528</v>
      </c>
      <c r="Y26" s="13" t="s">
        <v>490</v>
      </c>
      <c r="Z26" s="13" t="s">
        <v>491</v>
      </c>
      <c r="AB26" s="13" t="s">
        <v>490</v>
      </c>
      <c r="AC26" s="13" t="s">
        <v>491</v>
      </c>
    </row>
    <row r="27" spans="1:29" x14ac:dyDescent="0.2">
      <c r="A27">
        <v>17</v>
      </c>
      <c r="B27" s="4">
        <v>41340</v>
      </c>
      <c r="C27" s="4" t="s">
        <v>527</v>
      </c>
      <c r="D27">
        <v>1.1994547188</v>
      </c>
      <c r="E27" s="1">
        <v>-1.31793436000001E-5</v>
      </c>
      <c r="F27" s="1">
        <v>-1.1800244E-5</v>
      </c>
      <c r="G27" s="1">
        <v>2.1147490552154399E-6</v>
      </c>
      <c r="H27" s="1">
        <v>1.45465645098765E-8</v>
      </c>
      <c r="I27" s="1">
        <v>5.13163333062681E-8</v>
      </c>
      <c r="J27" s="217">
        <v>12</v>
      </c>
      <c r="K27" s="217">
        <v>1</v>
      </c>
      <c r="L27">
        <v>0.2</v>
      </c>
      <c r="M27">
        <v>10</v>
      </c>
      <c r="N27" s="2">
        <f t="shared" ref="N27:N33" si="13">100*D27/(L27*5)</f>
        <v>119.94547188</v>
      </c>
      <c r="O27" s="216">
        <f>1000000*E27*L27/(M27*D27)</f>
        <v>-0.21975558382371344</v>
      </c>
      <c r="P27" s="216">
        <f>1000000*F27*L27/(D27*M27)</f>
        <v>-0.1967601413383176</v>
      </c>
      <c r="Q27" s="216"/>
      <c r="R27" s="216">
        <f>1000000*L27*H27/(M27*D27)</f>
        <v>2.4255295813800586E-4</v>
      </c>
      <c r="S27" s="216">
        <f>1000000*L27*I27/(M27*D27)</f>
        <v>8.5566103500110051E-4</v>
      </c>
      <c r="T27" s="1">
        <f t="shared" ref="T27:T33" si="14">G27*100/D27</f>
        <v>1.763092030127782E-4</v>
      </c>
      <c r="U27" s="3">
        <f t="shared" ref="U27:U33" si="15">Comode_std*L27/(M27*D27)</f>
        <v>1.667424345956894E-3</v>
      </c>
      <c r="V27" s="3">
        <f t="shared" ref="V27:V33" si="16">Comode_std*L27/(M27*D27)</f>
        <v>1.667424345956894E-3</v>
      </c>
      <c r="X27" s="2">
        <f t="shared" ref="X27:Z33" si="17">AVERAGE(N11,N19,N27)</f>
        <v>119.90316308666667</v>
      </c>
      <c r="Y27" s="224">
        <f t="shared" si="17"/>
        <v>-0.21990501919758002</v>
      </c>
      <c r="Z27" s="224">
        <f t="shared" si="17"/>
        <v>-0.20425554815566169</v>
      </c>
      <c r="AB27" s="26">
        <f t="shared" ref="AB27:AC33" si="18">STDEV(O11,O19,O27)</f>
        <v>2.5201567753492369E-4</v>
      </c>
      <c r="AC27" s="26">
        <f t="shared" si="18"/>
        <v>6.4913080924653864E-3</v>
      </c>
    </row>
    <row r="28" spans="1:29" x14ac:dyDescent="0.2">
      <c r="A28">
        <v>18</v>
      </c>
      <c r="D28">
        <v>1.0008570188000001</v>
      </c>
      <c r="E28" s="1">
        <v>-1.24681024E-5</v>
      </c>
      <c r="F28" s="1">
        <v>-1.0349553399999999E-5</v>
      </c>
      <c r="G28" s="1">
        <v>4.2704625938664898E-7</v>
      </c>
      <c r="H28" s="1">
        <v>1.6535765910292701E-8</v>
      </c>
      <c r="I28" s="1">
        <v>5.0262645458033901E-8</v>
      </c>
      <c r="J28" s="217">
        <v>12</v>
      </c>
      <c r="K28" s="217">
        <v>1</v>
      </c>
      <c r="L28">
        <v>0.2</v>
      </c>
      <c r="M28">
        <v>10</v>
      </c>
      <c r="N28" s="2">
        <f t="shared" si="13"/>
        <v>100.08570188000002</v>
      </c>
      <c r="O28" s="216">
        <f t="shared" ref="O28:O33" si="19">1000000*E28*L28/(M28*D28)</f>
        <v>-0.2491485230317696</v>
      </c>
      <c r="P28" s="216">
        <f t="shared" ref="P28:P33" si="20">1000000*F28*L28/(D28*M28)</f>
        <v>-0.2068138246641629</v>
      </c>
      <c r="Q28" s="216"/>
      <c r="R28" s="216">
        <f t="shared" ref="R28:R33" si="21">1000000*L28*H28/(M28*D28)</f>
        <v>3.3043213165689998E-4</v>
      </c>
      <c r="S28" s="216">
        <f t="shared" ref="S28:S33" si="22">1000000*L28*I28/(M28*D28)</f>
        <v>1.0043921262259305E-3</v>
      </c>
      <c r="T28" s="1">
        <f t="shared" si="14"/>
        <v>4.266805861027638E-5</v>
      </c>
      <c r="U28" s="3">
        <f t="shared" si="15"/>
        <v>1.998287430104597E-3</v>
      </c>
      <c r="V28" s="3">
        <f t="shared" si="16"/>
        <v>1.998287430104597E-3</v>
      </c>
      <c r="X28" s="2">
        <f t="shared" si="17"/>
        <v>100.09286667333333</v>
      </c>
      <c r="Y28" s="224">
        <f t="shared" si="17"/>
        <v>-0.2488335253216937</v>
      </c>
      <c r="Z28" s="224">
        <f t="shared" si="17"/>
        <v>-0.20725445902458564</v>
      </c>
      <c r="AB28" s="26">
        <f t="shared" si="18"/>
        <v>2.7314124056195314E-4</v>
      </c>
      <c r="AC28" s="26">
        <f t="shared" si="18"/>
        <v>3.819964277032668E-4</v>
      </c>
    </row>
    <row r="29" spans="1:29" x14ac:dyDescent="0.2">
      <c r="A29">
        <v>19</v>
      </c>
      <c r="D29">
        <v>0.60061488519999995</v>
      </c>
      <c r="E29" s="1">
        <v>-9.7341857200000108E-6</v>
      </c>
      <c r="F29" s="1">
        <v>-5.6089360400000297E-6</v>
      </c>
      <c r="G29" s="1">
        <v>4.9354353100290496E-7</v>
      </c>
      <c r="H29" s="1">
        <v>3.7870392816573801E-8</v>
      </c>
      <c r="I29" s="1">
        <v>4.15730151747307E-8</v>
      </c>
      <c r="J29" s="217">
        <v>12</v>
      </c>
      <c r="K29" s="217">
        <v>1</v>
      </c>
      <c r="L29">
        <v>0.2</v>
      </c>
      <c r="M29">
        <v>10</v>
      </c>
      <c r="N29" s="2">
        <f t="shared" si="13"/>
        <v>60.061488519999997</v>
      </c>
      <c r="O29" s="216">
        <f t="shared" si="19"/>
        <v>-0.32414067516021039</v>
      </c>
      <c r="P29" s="216">
        <f t="shared" si="20"/>
        <v>-0.18677312794644774</v>
      </c>
      <c r="Q29" s="216"/>
      <c r="R29" s="216">
        <f t="shared" si="21"/>
        <v>1.2610540880605471E-3</v>
      </c>
      <c r="S29" s="216">
        <f t="shared" si="22"/>
        <v>1.3843484801708576E-3</v>
      </c>
      <c r="T29" s="1">
        <f t="shared" si="14"/>
        <v>8.2173043519985183E-5</v>
      </c>
      <c r="U29" s="3">
        <f t="shared" si="15"/>
        <v>3.3299208016365038E-3</v>
      </c>
      <c r="V29" s="3">
        <f t="shared" si="16"/>
        <v>3.3299208016365038E-3</v>
      </c>
      <c r="X29" s="2">
        <f t="shared" si="17"/>
        <v>60.007572603333337</v>
      </c>
      <c r="Y29" s="224">
        <f t="shared" si="17"/>
        <v>-0.32697035248632872</v>
      </c>
      <c r="Z29" s="224">
        <f t="shared" si="17"/>
        <v>-0.19440739944974775</v>
      </c>
      <c r="AB29" s="26">
        <f t="shared" si="18"/>
        <v>2.6730268450144861E-3</v>
      </c>
      <c r="AC29" s="26">
        <f t="shared" si="18"/>
        <v>6.8356583459084535E-3</v>
      </c>
    </row>
    <row r="30" spans="1:29" x14ac:dyDescent="0.2">
      <c r="A30">
        <v>20</v>
      </c>
      <c r="D30">
        <v>0.40143653427999998</v>
      </c>
      <c r="E30" s="1">
        <v>-7.8326654000000502E-6</v>
      </c>
      <c r="F30" s="1">
        <v>-3.5780515600000001E-6</v>
      </c>
      <c r="G30" s="1">
        <v>3.5368998230268E-7</v>
      </c>
      <c r="H30" s="1">
        <v>1.84511160638033E-9</v>
      </c>
      <c r="I30" s="1">
        <v>1.0601616822903201E-7</v>
      </c>
      <c r="J30" s="217">
        <v>11</v>
      </c>
      <c r="K30" s="217">
        <v>1</v>
      </c>
      <c r="L30">
        <v>0.2</v>
      </c>
      <c r="M30">
        <v>10</v>
      </c>
      <c r="N30" s="2">
        <f t="shared" si="13"/>
        <v>40.143653428</v>
      </c>
      <c r="O30" s="216">
        <f t="shared" si="19"/>
        <v>-0.39023181654596517</v>
      </c>
      <c r="P30" s="216">
        <f t="shared" si="20"/>
        <v>-0.17826237795807232</v>
      </c>
      <c r="Q30" s="216"/>
      <c r="R30" s="216">
        <f t="shared" si="21"/>
        <v>9.1925445185981705E-5</v>
      </c>
      <c r="S30" s="216">
        <f t="shared" si="22"/>
        <v>5.2818395525050174E-3</v>
      </c>
      <c r="T30" s="1">
        <f t="shared" si="14"/>
        <v>8.8106077075681164E-5</v>
      </c>
      <c r="U30" s="3">
        <f t="shared" si="15"/>
        <v>4.9821075791896168E-3</v>
      </c>
      <c r="V30" s="3">
        <f t="shared" si="16"/>
        <v>4.9821075791896168E-3</v>
      </c>
      <c r="X30" s="2">
        <f t="shared" si="17"/>
        <v>40.095540831333331</v>
      </c>
      <c r="Y30" s="224">
        <f t="shared" si="17"/>
        <v>-0.39064039804654138</v>
      </c>
      <c r="Z30" s="224">
        <f t="shared" si="17"/>
        <v>-0.18570582258627874</v>
      </c>
      <c r="AB30" s="26">
        <f t="shared" si="18"/>
        <v>3.5771308472505202E-4</v>
      </c>
      <c r="AC30" s="26">
        <f t="shared" si="18"/>
        <v>6.6947013795365697E-3</v>
      </c>
    </row>
    <row r="31" spans="1:29" x14ac:dyDescent="0.2">
      <c r="A31">
        <v>21</v>
      </c>
      <c r="D31">
        <v>0.20034340468</v>
      </c>
      <c r="E31" s="1">
        <v>-4.5393460200000097E-6</v>
      </c>
      <c r="F31" s="1">
        <v>-1.74351578E-6</v>
      </c>
      <c r="G31" s="1">
        <v>1.5849043981442201E-7</v>
      </c>
      <c r="H31" s="1">
        <v>1.97538569287013E-8</v>
      </c>
      <c r="I31" s="1">
        <v>6.9973920850271001E-9</v>
      </c>
      <c r="J31" s="217">
        <v>10</v>
      </c>
      <c r="K31" s="217">
        <v>1</v>
      </c>
      <c r="L31">
        <v>0.2</v>
      </c>
      <c r="M31">
        <v>10</v>
      </c>
      <c r="N31" s="2">
        <f t="shared" si="13"/>
        <v>20.034340468</v>
      </c>
      <c r="O31" s="216">
        <f t="shared" si="19"/>
        <v>-0.45315652164846804</v>
      </c>
      <c r="P31" s="216">
        <f t="shared" si="20"/>
        <v>-0.17405272539765848</v>
      </c>
      <c r="Q31" s="216"/>
      <c r="R31" s="216">
        <f t="shared" si="21"/>
        <v>1.9719997232006009E-3</v>
      </c>
      <c r="S31" s="216">
        <f t="shared" si="22"/>
        <v>6.9853979932144386E-4</v>
      </c>
      <c r="T31" s="1">
        <f t="shared" si="14"/>
        <v>7.9109387238163415E-5</v>
      </c>
      <c r="U31" s="3">
        <f t="shared" si="15"/>
        <v>9.9828591971595753E-3</v>
      </c>
      <c r="V31" s="3">
        <f t="shared" si="16"/>
        <v>9.9828591971595753E-3</v>
      </c>
      <c r="X31" s="2">
        <f t="shared" si="17"/>
        <v>20.003089934666665</v>
      </c>
      <c r="Y31" s="224">
        <f t="shared" si="17"/>
        <v>-0.45792986445176048</v>
      </c>
      <c r="Z31" s="224">
        <f t="shared" si="17"/>
        <v>-0.17469741696171037</v>
      </c>
      <c r="AB31" s="26">
        <f t="shared" si="18"/>
        <v>4.2519220950375872E-3</v>
      </c>
      <c r="AC31" s="26">
        <f t="shared" si="18"/>
        <v>6.0927054543796148E-4</v>
      </c>
    </row>
    <row r="32" spans="1:29" x14ac:dyDescent="0.2">
      <c r="A32">
        <v>22</v>
      </c>
      <c r="D32">
        <v>0.10030161382</v>
      </c>
      <c r="E32" s="1">
        <v>-2.51478166E-6</v>
      </c>
      <c r="F32" s="1">
        <v>-8.6162918000000001E-7</v>
      </c>
      <c r="G32" s="1">
        <v>6.6665156696456104E-8</v>
      </c>
      <c r="H32" s="1">
        <v>7.72912397276975E-8</v>
      </c>
      <c r="I32" s="1">
        <v>7.5680255046184894E-8</v>
      </c>
      <c r="J32" s="217">
        <v>10</v>
      </c>
      <c r="K32" s="217">
        <v>1</v>
      </c>
      <c r="L32">
        <v>0.2</v>
      </c>
      <c r="M32">
        <v>10</v>
      </c>
      <c r="N32" s="2">
        <f t="shared" si="13"/>
        <v>10.030161381999999</v>
      </c>
      <c r="O32" s="216">
        <f t="shared" si="19"/>
        <v>-0.50144390787430304</v>
      </c>
      <c r="P32" s="216">
        <f t="shared" si="20"/>
        <v>-0.17180764041269941</v>
      </c>
      <c r="Q32" s="216"/>
      <c r="R32" s="216">
        <f t="shared" si="21"/>
        <v>1.5411763935603943E-2</v>
      </c>
      <c r="S32" s="216">
        <f t="shared" si="22"/>
        <v>1.5090535867548395E-2</v>
      </c>
      <c r="T32" s="1">
        <f t="shared" si="14"/>
        <v>6.6464690005977925E-5</v>
      </c>
      <c r="U32" s="3">
        <f t="shared" si="15"/>
        <v>1.9939858630681404E-2</v>
      </c>
      <c r="V32" s="3">
        <f t="shared" si="16"/>
        <v>1.9939858630681404E-2</v>
      </c>
      <c r="X32" s="2">
        <f t="shared" si="17"/>
        <v>10.05716037</v>
      </c>
      <c r="Y32" s="224">
        <f t="shared" si="17"/>
        <v>-0.50440646555199464</v>
      </c>
      <c r="Z32" s="224">
        <f t="shared" si="17"/>
        <v>-0.17354664947969001</v>
      </c>
      <c r="AB32" s="26">
        <f t="shared" si="18"/>
        <v>4.2857638000340223E-3</v>
      </c>
      <c r="AC32" s="26">
        <f t="shared" si="18"/>
        <v>1.5094987294553125E-3</v>
      </c>
    </row>
    <row r="33" spans="1:29" x14ac:dyDescent="0.2">
      <c r="A33">
        <v>23</v>
      </c>
      <c r="D33">
        <v>4.9553251335999998E-2</v>
      </c>
      <c r="E33" s="1">
        <v>-1.32132932E-6</v>
      </c>
      <c r="F33" s="1">
        <v>-4.19493106E-7</v>
      </c>
      <c r="G33" s="1">
        <v>2.2443467704125401E-8</v>
      </c>
      <c r="H33" s="1">
        <v>2.8183658824531699E-8</v>
      </c>
      <c r="I33" s="1">
        <v>4.7169054915513901E-8</v>
      </c>
      <c r="J33" s="217">
        <v>9</v>
      </c>
      <c r="K33" s="217">
        <v>1</v>
      </c>
      <c r="L33">
        <v>0.2</v>
      </c>
      <c r="M33">
        <v>10</v>
      </c>
      <c r="N33" s="2">
        <f t="shared" si="13"/>
        <v>4.9553251335999997</v>
      </c>
      <c r="O33" s="216">
        <f t="shared" si="19"/>
        <v>-0.53329671994300243</v>
      </c>
      <c r="P33" s="216">
        <f t="shared" si="20"/>
        <v>-0.16931002293092401</v>
      </c>
      <c r="Q33" s="216"/>
      <c r="R33" s="216">
        <f t="shared" si="21"/>
        <v>1.1375099742065369E-2</v>
      </c>
      <c r="S33" s="216">
        <f t="shared" si="22"/>
        <v>1.9037723517143265E-2</v>
      </c>
      <c r="T33" s="1">
        <f t="shared" si="14"/>
        <v>4.529161477608316E-5</v>
      </c>
      <c r="U33" s="3">
        <f t="shared" si="15"/>
        <v>4.0360621070832096E-2</v>
      </c>
      <c r="V33" s="3">
        <f t="shared" si="16"/>
        <v>4.0360621070832096E-2</v>
      </c>
      <c r="W33" s="1"/>
      <c r="X33" s="2">
        <f t="shared" si="17"/>
        <v>4.9919165533333327</v>
      </c>
      <c r="Y33" s="224">
        <f t="shared" si="17"/>
        <v>-0.53141842041151233</v>
      </c>
      <c r="Z33" s="224">
        <f t="shared" si="17"/>
        <v>-0.17300262153744927</v>
      </c>
      <c r="AB33" s="26">
        <f t="shared" si="18"/>
        <v>3.7723407585620091E-3</v>
      </c>
      <c r="AC33" s="26">
        <f t="shared" si="18"/>
        <v>3.2572936049112232E-3</v>
      </c>
    </row>
    <row r="34" spans="1:29" x14ac:dyDescent="0.2">
      <c r="A34">
        <v>24</v>
      </c>
      <c r="M34" s="1"/>
      <c r="N34" s="1"/>
      <c r="O34" s="216"/>
      <c r="P34" s="216"/>
      <c r="Q34" s="216"/>
      <c r="R34" s="216"/>
      <c r="S34" s="216"/>
      <c r="T34" s="1"/>
      <c r="U34" s="1"/>
      <c r="V34" s="1"/>
      <c r="W34" s="1"/>
    </row>
    <row r="35" spans="1:29" x14ac:dyDescent="0.2">
      <c r="A35">
        <v>25</v>
      </c>
      <c r="C35" s="5" t="s">
        <v>17</v>
      </c>
      <c r="E35" s="1"/>
      <c r="F35" s="1"/>
      <c r="G35" s="1"/>
      <c r="H35" s="1"/>
      <c r="I35" s="1"/>
      <c r="M35" s="2"/>
      <c r="N35" s="3"/>
      <c r="O35" s="3"/>
      <c r="Q35" s="3"/>
      <c r="R35" s="3"/>
      <c r="S35" s="1"/>
    </row>
    <row r="36" spans="1:29" x14ac:dyDescent="0.2">
      <c r="A36">
        <v>26</v>
      </c>
      <c r="B36" s="4">
        <v>41341</v>
      </c>
      <c r="C36" s="145"/>
      <c r="D36">
        <v>1.1986883226</v>
      </c>
      <c r="E36" s="1">
        <v>-3.1719671200000201E-5</v>
      </c>
      <c r="F36" s="1">
        <v>-2.52465975999999E-5</v>
      </c>
      <c r="G36" s="1">
        <v>2.38579553839425E-6</v>
      </c>
      <c r="H36" s="1">
        <v>8.2051847023582897E-10</v>
      </c>
      <c r="I36" s="1">
        <v>5.7999503446174104E-10</v>
      </c>
      <c r="J36">
        <v>13</v>
      </c>
      <c r="K36">
        <v>1</v>
      </c>
      <c r="L36">
        <v>0.2</v>
      </c>
      <c r="M36">
        <v>10</v>
      </c>
      <c r="N36" s="2">
        <f t="shared" ref="N36:N42" si="23">100*D36/(L36*5)</f>
        <v>119.86883226</v>
      </c>
      <c r="O36" s="3">
        <f t="shared" ref="O36:O42" si="24">1000000*E36*L36/(M36*D36)</f>
        <v>-0.52923967977262087</v>
      </c>
      <c r="P36" s="3">
        <f t="shared" ref="P36:P42" si="25">1000000*F36*L36/(D36*M36)</f>
        <v>-0.42123706594953858</v>
      </c>
      <c r="R36" s="3">
        <f t="shared" ref="R36:R42" si="26">1000000*L36*H36/(M36*D36)</f>
        <v>1.3690272187787625E-5</v>
      </c>
      <c r="S36" s="3">
        <f t="shared" ref="S36:S42" si="27">1000000*L36*I36/(M36*D36)</f>
        <v>9.6771616695774605E-6</v>
      </c>
      <c r="T36" s="1">
        <f t="shared" ref="T36:T42" si="28">G36*100/D36</f>
        <v>1.9903385170378317E-4</v>
      </c>
    </row>
    <row r="37" spans="1:29" x14ac:dyDescent="0.2">
      <c r="A37">
        <v>27</v>
      </c>
      <c r="D37">
        <v>1.0009160723999999</v>
      </c>
      <c r="E37" s="1">
        <v>-2.85528166000001E-5</v>
      </c>
      <c r="F37" s="1">
        <v>-2.1258038399999999E-5</v>
      </c>
      <c r="G37" s="1">
        <v>5.03342349404346E-7</v>
      </c>
      <c r="H37" s="1">
        <v>6.0384140301928398E-10</v>
      </c>
      <c r="I37" s="1">
        <v>2.1281443100842601E-7</v>
      </c>
      <c r="J37">
        <v>13</v>
      </c>
      <c r="K37">
        <v>1</v>
      </c>
      <c r="L37">
        <v>0.2</v>
      </c>
      <c r="M37">
        <v>10</v>
      </c>
      <c r="N37" s="2">
        <f t="shared" si="23"/>
        <v>100.09160723999999</v>
      </c>
      <c r="O37" s="3">
        <f t="shared" si="24"/>
        <v>-0.57053368184079734</v>
      </c>
      <c r="P37" s="3">
        <f t="shared" si="25"/>
        <v>-0.42477164641841358</v>
      </c>
      <c r="R37" s="3">
        <f t="shared" si="26"/>
        <v>1.20657749369813E-5</v>
      </c>
      <c r="S37" s="3">
        <f t="shared" si="27"/>
        <v>4.2523931201971579E-3</v>
      </c>
      <c r="T37" s="1">
        <f t="shared" si="28"/>
        <v>5.0288167338289422E-5</v>
      </c>
    </row>
    <row r="38" spans="1:29" x14ac:dyDescent="0.2">
      <c r="A38">
        <v>28</v>
      </c>
      <c r="D38">
        <v>0.60003141104000002</v>
      </c>
      <c r="E38" s="1">
        <v>-2.30374710000001E-5</v>
      </c>
      <c r="F38" s="1">
        <v>-1.20003427999999E-5</v>
      </c>
      <c r="G38" s="1">
        <v>4.88142521535796E-7</v>
      </c>
      <c r="H38" s="1">
        <v>5.4374534480788002E-10</v>
      </c>
      <c r="I38" s="1">
        <v>2.7123952809278E-9</v>
      </c>
      <c r="J38">
        <v>13</v>
      </c>
      <c r="K38">
        <v>1</v>
      </c>
      <c r="L38">
        <v>0.2</v>
      </c>
      <c r="M38">
        <v>10</v>
      </c>
      <c r="N38" s="2">
        <f t="shared" si="23"/>
        <v>60.003141104000001</v>
      </c>
      <c r="O38" s="3">
        <f t="shared" si="24"/>
        <v>-0.76787550038657393</v>
      </c>
      <c r="P38" s="3">
        <f t="shared" si="25"/>
        <v>-0.39999048647137975</v>
      </c>
      <c r="R38" s="3">
        <f t="shared" si="26"/>
        <v>1.8123896009558482E-5</v>
      </c>
      <c r="S38" s="3">
        <f t="shared" si="27"/>
        <v>9.0408442992228057E-5</v>
      </c>
      <c r="T38" s="1">
        <f t="shared" si="28"/>
        <v>8.1352827961077333E-5</v>
      </c>
    </row>
    <row r="39" spans="1:29" x14ac:dyDescent="0.2">
      <c r="A39">
        <v>29</v>
      </c>
      <c r="D39">
        <v>0.40058324724</v>
      </c>
      <c r="E39" s="1">
        <v>-1.8068643200000101E-5</v>
      </c>
      <c r="F39" s="1">
        <v>-7.5878752000000301E-6</v>
      </c>
      <c r="G39" s="1">
        <v>3.0454412455694701E-7</v>
      </c>
      <c r="H39" s="1">
        <v>2.12383204081683E-8</v>
      </c>
      <c r="I39" s="1">
        <v>3.3163855867494701E-9</v>
      </c>
      <c r="J39">
        <v>12</v>
      </c>
      <c r="K39">
        <v>1</v>
      </c>
      <c r="L39">
        <v>0.2</v>
      </c>
      <c r="M39">
        <v>10</v>
      </c>
      <c r="N39" s="2">
        <f t="shared" si="23"/>
        <v>40.058324724000002</v>
      </c>
      <c r="O39" s="3">
        <f t="shared" si="24"/>
        <v>-0.90211676721341771</v>
      </c>
      <c r="P39" s="3">
        <f t="shared" si="25"/>
        <v>-0.37884136454932349</v>
      </c>
      <c r="R39" s="3">
        <f t="shared" si="26"/>
        <v>1.060369875899671E-3</v>
      </c>
      <c r="S39" s="3">
        <f t="shared" si="27"/>
        <v>1.6557784728139346E-4</v>
      </c>
      <c r="T39" s="1">
        <f t="shared" si="28"/>
        <v>7.6025177451938362E-5</v>
      </c>
    </row>
    <row r="40" spans="1:29" x14ac:dyDescent="0.2">
      <c r="A40">
        <v>30</v>
      </c>
      <c r="D40">
        <v>0.20051213722</v>
      </c>
      <c r="E40" s="1">
        <v>-1.10607348E-5</v>
      </c>
      <c r="F40" s="1">
        <v>-3.4887500000000401E-6</v>
      </c>
      <c r="G40" s="1">
        <v>1.5342023280311601E-7</v>
      </c>
      <c r="H40" s="1">
        <v>3.4923432662898499E-8</v>
      </c>
      <c r="I40" s="1">
        <v>3.8116482626443497E-20</v>
      </c>
      <c r="J40">
        <v>12</v>
      </c>
      <c r="K40">
        <v>1</v>
      </c>
      <c r="L40">
        <v>0.2</v>
      </c>
      <c r="M40">
        <v>10</v>
      </c>
      <c r="N40" s="2">
        <f t="shared" si="23"/>
        <v>20.051213722</v>
      </c>
      <c r="O40" s="3">
        <f t="shared" si="24"/>
        <v>-1.1032484071389921</v>
      </c>
      <c r="P40" s="3">
        <f t="shared" si="25"/>
        <v>-0.34798392240687326</v>
      </c>
      <c r="R40" s="3">
        <f t="shared" si="26"/>
        <v>3.4834233126327754E-3</v>
      </c>
      <c r="S40" s="3">
        <f t="shared" si="27"/>
        <v>3.8019127574928255E-15</v>
      </c>
      <c r="T40" s="1">
        <f t="shared" si="28"/>
        <v>7.6514187584956418E-5</v>
      </c>
    </row>
    <row r="41" spans="1:29" x14ac:dyDescent="0.2">
      <c r="A41">
        <v>31</v>
      </c>
      <c r="D41">
        <v>9.9696250626000002E-2</v>
      </c>
      <c r="E41" s="1">
        <v>-5.9171577599999703E-6</v>
      </c>
      <c r="F41" s="1">
        <v>-1.59808524E-6</v>
      </c>
      <c r="G41" s="1">
        <v>6.1426817266612298E-8</v>
      </c>
      <c r="H41" s="1">
        <v>1.7027633170302801E-8</v>
      </c>
      <c r="I41" s="1">
        <v>6.4423189534067605E-8</v>
      </c>
      <c r="J41">
        <v>11</v>
      </c>
      <c r="K41">
        <v>1</v>
      </c>
      <c r="L41">
        <v>0.2</v>
      </c>
      <c r="M41">
        <v>10</v>
      </c>
      <c r="N41" s="2">
        <f t="shared" si="23"/>
        <v>9.9696250626000005</v>
      </c>
      <c r="O41" s="3">
        <f t="shared" si="24"/>
        <v>-1.1870371699729341</v>
      </c>
      <c r="P41" s="3">
        <f t="shared" si="25"/>
        <v>-0.32059084067164145</v>
      </c>
      <c r="R41" s="3">
        <f t="shared" si="26"/>
        <v>3.4159024162664199E-3</v>
      </c>
      <c r="S41" s="3">
        <f t="shared" si="27"/>
        <v>1.2923894154403944E-2</v>
      </c>
      <c r="T41" s="1">
        <f t="shared" si="28"/>
        <v>6.161396931269617E-5</v>
      </c>
    </row>
    <row r="42" spans="1:29" x14ac:dyDescent="0.2">
      <c r="A42">
        <v>32</v>
      </c>
      <c r="D42">
        <v>4.9248535842000001E-2</v>
      </c>
      <c r="E42" s="1">
        <v>-3.1366072999999898E-6</v>
      </c>
      <c r="F42" s="1">
        <v>-7.40630692E-7</v>
      </c>
      <c r="G42" s="1">
        <v>1.4278449404235001E-8</v>
      </c>
      <c r="H42" s="1">
        <v>1.0374001624734799E-8</v>
      </c>
      <c r="I42" s="1">
        <v>7.5740140425227394E-8</v>
      </c>
      <c r="J42">
        <v>10</v>
      </c>
      <c r="K42">
        <v>1</v>
      </c>
      <c r="L42">
        <v>0.2</v>
      </c>
      <c r="M42">
        <v>10</v>
      </c>
      <c r="N42" s="2">
        <f t="shared" si="23"/>
        <v>4.9248535842000001</v>
      </c>
      <c r="O42" s="3">
        <f t="shared" si="24"/>
        <v>-1.2737870258977475</v>
      </c>
      <c r="P42" s="3">
        <f t="shared" si="25"/>
        <v>-0.30077267449172662</v>
      </c>
      <c r="R42" s="3">
        <f t="shared" si="26"/>
        <v>4.212917784202499E-3</v>
      </c>
      <c r="S42" s="3">
        <f t="shared" si="27"/>
        <v>3.0758331848978498E-2</v>
      </c>
      <c r="T42" s="1">
        <f t="shared" si="28"/>
        <v>2.8992637364983534E-5</v>
      </c>
    </row>
    <row r="43" spans="1:29" x14ac:dyDescent="0.2">
      <c r="A43">
        <v>33</v>
      </c>
    </row>
    <row r="44" spans="1:29" x14ac:dyDescent="0.2">
      <c r="A44">
        <v>34</v>
      </c>
      <c r="C44" s="5" t="s">
        <v>71</v>
      </c>
      <c r="D44" s="8"/>
      <c r="E44" s="8"/>
      <c r="F44" s="8"/>
      <c r="I44" s="8" t="s">
        <v>535</v>
      </c>
      <c r="J44" s="8"/>
      <c r="K44" s="8"/>
      <c r="L44" s="8"/>
      <c r="M44" s="8"/>
      <c r="N44" s="8"/>
      <c r="O44" s="8"/>
      <c r="P44" s="25"/>
      <c r="Q44" s="8"/>
      <c r="R44" s="8"/>
      <c r="S44" s="8"/>
      <c r="T44" s="8"/>
      <c r="U44" s="8"/>
      <c r="V44" s="8"/>
    </row>
    <row r="45" spans="1:29" x14ac:dyDescent="0.2">
      <c r="A45">
        <v>35</v>
      </c>
      <c r="C45" s="8"/>
      <c r="D45" s="195" t="s">
        <v>2</v>
      </c>
      <c r="E45" s="196" t="s">
        <v>5</v>
      </c>
      <c r="F45" s="196" t="s">
        <v>6</v>
      </c>
      <c r="G45" s="196" t="s">
        <v>8</v>
      </c>
      <c r="H45" s="196" t="s">
        <v>10</v>
      </c>
      <c r="I45" s="196" t="s">
        <v>11</v>
      </c>
      <c r="J45" s="180"/>
      <c r="L45" s="179"/>
      <c r="M45" s="179"/>
      <c r="N45" s="179"/>
      <c r="O45" s="179"/>
      <c r="P45" s="179"/>
      <c r="Q45" s="181"/>
      <c r="R45" s="5" t="s">
        <v>15</v>
      </c>
      <c r="S45" s="5" t="s">
        <v>15</v>
      </c>
      <c r="T45" s="5" t="s">
        <v>15</v>
      </c>
      <c r="U45" s="8"/>
      <c r="V45" s="8"/>
      <c r="W45" s="8"/>
    </row>
    <row r="46" spans="1:29" x14ac:dyDescent="0.2">
      <c r="A46">
        <v>36</v>
      </c>
      <c r="C46" s="8"/>
      <c r="D46" s="195" t="s">
        <v>7</v>
      </c>
      <c r="E46" s="196" t="s">
        <v>12</v>
      </c>
      <c r="F46" s="196" t="s">
        <v>12</v>
      </c>
      <c r="G46" s="196" t="s">
        <v>9</v>
      </c>
      <c r="H46" s="196" t="s">
        <v>12</v>
      </c>
      <c r="I46" s="196" t="s">
        <v>12</v>
      </c>
      <c r="J46" s="180"/>
      <c r="L46" s="5" t="s">
        <v>2</v>
      </c>
      <c r="M46" s="5" t="s">
        <v>3</v>
      </c>
      <c r="N46" s="5" t="s">
        <v>4</v>
      </c>
      <c r="O46" s="5" t="s">
        <v>0</v>
      </c>
      <c r="P46" s="5" t="s">
        <v>1</v>
      </c>
      <c r="Q46" s="25"/>
      <c r="R46" s="178" t="s">
        <v>5</v>
      </c>
      <c r="S46" s="178" t="s">
        <v>6</v>
      </c>
      <c r="T46" s="178" t="s">
        <v>14</v>
      </c>
      <c r="U46" s="179"/>
      <c r="V46" s="179"/>
      <c r="W46" s="179"/>
    </row>
    <row r="47" spans="1:29" x14ac:dyDescent="0.2">
      <c r="A47">
        <v>37</v>
      </c>
      <c r="C47" s="179"/>
      <c r="D47" s="225">
        <v>1.1987392965999999</v>
      </c>
      <c r="E47" s="226">
        <v>3.4904375599999999E-6</v>
      </c>
      <c r="F47" s="226">
        <v>3.3315734000000001E-6</v>
      </c>
      <c r="G47" s="226">
        <v>5.2141206444716801E-6</v>
      </c>
      <c r="H47" s="226">
        <v>2.0769395264340301E-8</v>
      </c>
      <c r="I47" s="226">
        <v>6.5335336430143299E-8</v>
      </c>
      <c r="J47" s="225">
        <v>10</v>
      </c>
      <c r="K47" s="225">
        <v>1</v>
      </c>
      <c r="L47" s="225">
        <v>0.2</v>
      </c>
      <c r="M47" s="225">
        <v>10</v>
      </c>
      <c r="N47" s="227">
        <f t="shared" ref="N47:N53" si="29">100*D47/(L47*5)</f>
        <v>119.87392965999999</v>
      </c>
      <c r="O47" s="228">
        <f t="shared" ref="O47:O53" si="30">1000000*E47*L47/(M47*D47)</f>
        <v>5.8235140366215986E-2</v>
      </c>
      <c r="P47" s="228">
        <f t="shared" ref="P47:P53" si="31">1000000*F47*L47/(D47*M47)</f>
        <v>5.558461976593887E-2</v>
      </c>
      <c r="Q47" s="181"/>
      <c r="R47" s="181">
        <f t="shared" ref="R47:R53" si="32">1000000*L47*H47/(M47*D47)</f>
        <v>3.4652063752725571E-4</v>
      </c>
      <c r="S47" s="181">
        <f t="shared" ref="S47:S53" si="33">1000000*L47*I47/(M47*D47)</f>
        <v>1.0900674836547826E-3</v>
      </c>
      <c r="T47" s="180">
        <f t="shared" ref="T47:T53" si="34">G47*100/D47</f>
        <v>4.3496702404439064E-4</v>
      </c>
      <c r="U47" s="179"/>
      <c r="V47" s="179" t="s">
        <v>445</v>
      </c>
      <c r="W47" s="179"/>
    </row>
    <row r="48" spans="1:29" x14ac:dyDescent="0.2">
      <c r="A48">
        <v>38</v>
      </c>
      <c r="C48" s="179"/>
      <c r="D48" s="225">
        <v>1.0007990914</v>
      </c>
      <c r="E48" s="226">
        <v>3.0869766599999901E-6</v>
      </c>
      <c r="F48" s="226">
        <v>2.8959045600000001E-6</v>
      </c>
      <c r="G48" s="226">
        <v>5.4416388967328203E-7</v>
      </c>
      <c r="H48" s="226">
        <v>2.5368293979777201E-8</v>
      </c>
      <c r="I48" s="226">
        <v>5.4829390385142903E-8</v>
      </c>
      <c r="J48" s="225">
        <v>10</v>
      </c>
      <c r="K48" s="225">
        <v>1</v>
      </c>
      <c r="L48" s="225">
        <v>0.2</v>
      </c>
      <c r="M48" s="225">
        <v>10</v>
      </c>
      <c r="N48" s="227">
        <f t="shared" si="29"/>
        <v>100.07990914</v>
      </c>
      <c r="O48" s="228">
        <f t="shared" si="30"/>
        <v>6.1690237062099522E-2</v>
      </c>
      <c r="P48" s="228">
        <f t="shared" si="31"/>
        <v>5.7871846305315298E-2</v>
      </c>
      <c r="Q48" s="181"/>
      <c r="R48" s="181">
        <f t="shared" si="32"/>
        <v>5.0696077160281884E-4</v>
      </c>
      <c r="S48" s="181">
        <f t="shared" si="33"/>
        <v>1.0957122334802091E-3</v>
      </c>
      <c r="T48" s="180">
        <f t="shared" si="34"/>
        <v>5.4372940018566649E-5</v>
      </c>
      <c r="U48" s="179"/>
      <c r="V48" s="181">
        <f>O48-'Data(2013)'!N112</f>
        <v>0.1660864630379226</v>
      </c>
      <c r="W48" s="181">
        <f>P48-'Data(2013)'!O112</f>
        <v>0.14705181365763878</v>
      </c>
    </row>
    <row r="49" spans="1:23" x14ac:dyDescent="0.2">
      <c r="A49">
        <v>39</v>
      </c>
      <c r="C49" s="179"/>
      <c r="D49" s="225">
        <v>0.60139049162000002</v>
      </c>
      <c r="E49" s="226">
        <v>2.0916509E-6</v>
      </c>
      <c r="F49" s="226">
        <v>2.0508491199999998E-6</v>
      </c>
      <c r="G49" s="226">
        <v>1.4757406441772101E-6</v>
      </c>
      <c r="H49" s="226">
        <v>2.3142520584412898E-9</v>
      </c>
      <c r="I49" s="226">
        <v>2.1405197416179099E-8</v>
      </c>
      <c r="J49" s="225">
        <v>10</v>
      </c>
      <c r="K49" s="225">
        <v>1</v>
      </c>
      <c r="L49" s="225">
        <v>0.2</v>
      </c>
      <c r="M49" s="225">
        <v>10</v>
      </c>
      <c r="N49" s="227">
        <f t="shared" si="29"/>
        <v>60.139049161999999</v>
      </c>
      <c r="O49" s="228">
        <f t="shared" si="30"/>
        <v>6.9560491199839231E-2</v>
      </c>
      <c r="P49" s="228">
        <f t="shared" si="31"/>
        <v>6.8203576497377266E-2</v>
      </c>
      <c r="Q49" s="181"/>
      <c r="R49" s="181">
        <f t="shared" si="32"/>
        <v>7.6963373737661087E-5</v>
      </c>
      <c r="S49" s="181">
        <f t="shared" si="33"/>
        <v>7.1185686220341432E-4</v>
      </c>
      <c r="T49" s="180">
        <f t="shared" si="34"/>
        <v>2.4538809055692299E-4</v>
      </c>
      <c r="U49" s="179"/>
      <c r="V49" s="181">
        <f>O49-'Data(2013)'!N113</f>
        <v>0.1770157054259589</v>
      </c>
      <c r="W49" s="181">
        <f>P49-'Data(2013)'!O113</f>
        <v>0.15687718157191916</v>
      </c>
    </row>
    <row r="50" spans="1:23" x14ac:dyDescent="0.2">
      <c r="A50">
        <v>40</v>
      </c>
      <c r="C50" s="179"/>
      <c r="D50" s="225">
        <v>0.40058162668000002</v>
      </c>
      <c r="E50" s="226">
        <v>1.6568919E-6</v>
      </c>
      <c r="F50" s="226">
        <v>1.3946831999999901E-6</v>
      </c>
      <c r="G50" s="226">
        <v>4.4958473472943297E-6</v>
      </c>
      <c r="H50" s="226">
        <v>5.1639612850891897E-8</v>
      </c>
      <c r="I50" s="226">
        <v>1.27280703957826E-9</v>
      </c>
      <c r="J50" s="225">
        <v>10</v>
      </c>
      <c r="K50" s="225">
        <v>1</v>
      </c>
      <c r="L50" s="225">
        <v>0.2</v>
      </c>
      <c r="M50" s="225">
        <v>10</v>
      </c>
      <c r="N50" s="227">
        <f t="shared" si="29"/>
        <v>40.058162668000001</v>
      </c>
      <c r="O50" s="228">
        <f t="shared" si="30"/>
        <v>8.2724308337965236E-2</v>
      </c>
      <c r="P50" s="228">
        <f t="shared" si="31"/>
        <v>6.9632909105644861E-2</v>
      </c>
      <c r="Q50" s="181"/>
      <c r="R50" s="181">
        <f t="shared" si="32"/>
        <v>2.5782317216532552E-3</v>
      </c>
      <c r="S50" s="181">
        <f t="shared" si="33"/>
        <v>6.354794902238625E-5</v>
      </c>
      <c r="T50" s="180">
        <f t="shared" si="34"/>
        <v>1.1223298942978693E-3</v>
      </c>
      <c r="U50" s="179"/>
      <c r="V50" s="181">
        <f>O50-'Data(2013)'!N114</f>
        <v>0.21789985640842982</v>
      </c>
      <c r="W50" s="181">
        <f>P50-'Data(2013)'!O114</f>
        <v>0.16273222084337458</v>
      </c>
    </row>
    <row r="51" spans="1:23" x14ac:dyDescent="0.2">
      <c r="A51">
        <v>41</v>
      </c>
      <c r="C51" s="179"/>
      <c r="D51" s="225">
        <v>0.20092368684</v>
      </c>
      <c r="E51" s="226">
        <v>9.3927474600000003E-7</v>
      </c>
      <c r="F51" s="226">
        <v>7.5124161399999997E-7</v>
      </c>
      <c r="G51" s="226">
        <v>4.1320805607469001E-7</v>
      </c>
      <c r="H51" s="226">
        <v>2.0319392294984701E-8</v>
      </c>
      <c r="I51" s="226">
        <v>2.5900271270027302E-8</v>
      </c>
      <c r="J51" s="225">
        <v>8</v>
      </c>
      <c r="K51" s="225">
        <v>1</v>
      </c>
      <c r="L51" s="225">
        <v>0.2</v>
      </c>
      <c r="M51" s="225">
        <v>10</v>
      </c>
      <c r="N51" s="227">
        <f t="shared" si="29"/>
        <v>20.092368684</v>
      </c>
      <c r="O51" s="228">
        <f t="shared" si="30"/>
        <v>9.3495670995522334E-2</v>
      </c>
      <c r="P51" s="228">
        <f t="shared" si="31"/>
        <v>7.4778800430656087E-2</v>
      </c>
      <c r="Q51" s="179"/>
      <c r="R51" s="181">
        <f t="shared" si="32"/>
        <v>2.022597993751278E-3</v>
      </c>
      <c r="S51" s="181">
        <f t="shared" si="33"/>
        <v>2.5781202482763783E-3</v>
      </c>
      <c r="T51" s="180">
        <f t="shared" si="34"/>
        <v>2.0565422751959395E-4</v>
      </c>
      <c r="U51" s="179"/>
      <c r="V51" s="181">
        <f>O51-'Data(2013)'!N115</f>
        <v>0.24749535987390101</v>
      </c>
      <c r="W51" s="181">
        <f>P51-'Data(2013)'!O115</f>
        <v>0.16828081137779538</v>
      </c>
    </row>
    <row r="52" spans="1:23" x14ac:dyDescent="0.2">
      <c r="A52">
        <v>42</v>
      </c>
      <c r="C52" s="179"/>
      <c r="D52" s="225">
        <v>0.10004239946</v>
      </c>
      <c r="E52" s="226">
        <v>5.0613500999999996E-7</v>
      </c>
      <c r="F52" s="226">
        <v>3.7563482800000003E-7</v>
      </c>
      <c r="G52" s="226">
        <v>1.3818527129996401E-7</v>
      </c>
      <c r="H52" s="226">
        <v>2.1708298720579201E-8</v>
      </c>
      <c r="I52" s="226">
        <v>2.7662662400398399E-8</v>
      </c>
      <c r="J52" s="225">
        <v>8</v>
      </c>
      <c r="K52" s="225">
        <v>1</v>
      </c>
      <c r="L52" s="225">
        <v>0.2</v>
      </c>
      <c r="M52" s="225">
        <v>10</v>
      </c>
      <c r="N52" s="227">
        <f t="shared" si="29"/>
        <v>10.004239946</v>
      </c>
      <c r="O52" s="228">
        <f t="shared" si="30"/>
        <v>0.10118410048778732</v>
      </c>
      <c r="P52" s="228">
        <f t="shared" si="31"/>
        <v>7.5095125672228674E-2</v>
      </c>
      <c r="Q52" s="179"/>
      <c r="R52" s="181">
        <f t="shared" si="32"/>
        <v>4.3398196840048484E-3</v>
      </c>
      <c r="S52" s="181">
        <f t="shared" si="33"/>
        <v>5.5301877103535032E-3</v>
      </c>
      <c r="T52" s="180">
        <f t="shared" si="34"/>
        <v>1.3812670632236754E-4</v>
      </c>
      <c r="U52" s="179"/>
      <c r="V52" s="181">
        <f>O52-'Data(2013)'!N116</f>
        <v>0.27790873921310782</v>
      </c>
      <c r="W52" s="181">
        <f>P52-'Data(2013)'!O116</f>
        <v>0.17529149709829184</v>
      </c>
    </row>
    <row r="53" spans="1:23" x14ac:dyDescent="0.2">
      <c r="A53">
        <v>43</v>
      </c>
      <c r="C53" s="179"/>
      <c r="D53" s="225">
        <v>0.10019825086</v>
      </c>
      <c r="E53" s="226">
        <v>5.2587627800000005E-7</v>
      </c>
      <c r="F53" s="226">
        <v>3.7492681599999997E-7</v>
      </c>
      <c r="G53" s="226">
        <v>1.2422448975718701E-7</v>
      </c>
      <c r="H53" s="226">
        <v>3.1525436132886697E-8</v>
      </c>
      <c r="I53" s="226">
        <v>3.0415389025921497E-8</v>
      </c>
      <c r="J53" s="225">
        <v>8</v>
      </c>
      <c r="K53" s="225">
        <v>1</v>
      </c>
      <c r="L53" s="225">
        <v>0.2</v>
      </c>
      <c r="M53" s="225">
        <v>10</v>
      </c>
      <c r="N53" s="227">
        <f t="shared" si="29"/>
        <v>10.019825086000001</v>
      </c>
      <c r="O53" s="228">
        <f t="shared" si="30"/>
        <v>0.10496715730791951</v>
      </c>
      <c r="P53" s="228">
        <f t="shared" si="31"/>
        <v>7.4836998207455527E-2</v>
      </c>
      <c r="Q53" s="179"/>
      <c r="R53" s="181">
        <f t="shared" si="32"/>
        <v>6.292612069034015E-3</v>
      </c>
      <c r="S53" s="181">
        <f t="shared" si="33"/>
        <v>6.0710419123820416E-3</v>
      </c>
      <c r="T53" s="180">
        <f t="shared" si="34"/>
        <v>1.2397870091640341E-4</v>
      </c>
      <c r="U53" s="179"/>
      <c r="V53" s="181">
        <f>O53-'Data(2013)'!N117</f>
        <v>0.29431443883810621</v>
      </c>
      <c r="W53" s="181">
        <f>P53-'Data(2013)'!O117</f>
        <v>0.1708467400081502</v>
      </c>
    </row>
    <row r="54" spans="1:23" x14ac:dyDescent="0.2">
      <c r="A54">
        <v>44</v>
      </c>
      <c r="C54" s="179"/>
      <c r="D54" s="225">
        <v>0.1003120527</v>
      </c>
      <c r="E54" s="226">
        <v>5.1409620799999999E-7</v>
      </c>
      <c r="F54" s="226">
        <v>3.9204613799999999E-7</v>
      </c>
      <c r="G54" s="226">
        <v>8.8558995371458306E-8</v>
      </c>
      <c r="H54" s="226">
        <v>2.9017679327829401E-8</v>
      </c>
      <c r="I54" s="226">
        <v>3.45006216009937E-8</v>
      </c>
      <c r="J54" s="225">
        <v>8</v>
      </c>
      <c r="K54" s="225">
        <v>1</v>
      </c>
      <c r="L54" s="225">
        <v>0.2</v>
      </c>
      <c r="M54" s="225">
        <v>10</v>
      </c>
      <c r="N54" s="227">
        <f t="shared" ref="N54:N61" si="35">100*D54/(L54*5)</f>
        <v>10.031205270000001</v>
      </c>
      <c r="O54" s="228">
        <f t="shared" ref="O54:O61" si="36">1000000*E54*L54/(M54*D54)</f>
        <v>0.10249938948762036</v>
      </c>
      <c r="P54" s="228">
        <f t="shared" ref="P54:P61" si="37">1000000*F54*L54/(D54*M54)</f>
        <v>7.8165310637691693E-2</v>
      </c>
      <c r="Q54" s="179"/>
      <c r="R54" s="181">
        <f t="shared" ref="R54:R61" si="38">1000000*L54*H54/(M54*D54)</f>
        <v>5.7854821124260379E-3</v>
      </c>
      <c r="S54" s="181">
        <f t="shared" ref="S54:S61" si="39">1000000*L54*I54/(M54*D54)</f>
        <v>6.8786592781973233E-3</v>
      </c>
      <c r="T54" s="180">
        <f t="shared" ref="T54:T61" si="40">G54*100/D54</f>
        <v>8.8283504312596222E-5</v>
      </c>
      <c r="U54" s="181"/>
      <c r="V54" s="181"/>
    </row>
    <row r="55" spans="1:23" x14ac:dyDescent="0.2">
      <c r="A55">
        <v>45</v>
      </c>
      <c r="C55" s="179"/>
      <c r="D55" s="225">
        <v>5.0133900039999998E-2</v>
      </c>
      <c r="E55" s="226">
        <v>2.8631539999999998E-7</v>
      </c>
      <c r="F55" s="226">
        <v>1.8596438600000001E-7</v>
      </c>
      <c r="G55" s="226">
        <v>2.1582334984686801E-8</v>
      </c>
      <c r="H55" s="226">
        <v>2.02283733832456E-8</v>
      </c>
      <c r="I55" s="226">
        <v>2.48038842015722E-8</v>
      </c>
      <c r="J55" s="225">
        <v>8</v>
      </c>
      <c r="K55" s="225">
        <v>1</v>
      </c>
      <c r="L55" s="225">
        <v>0.2</v>
      </c>
      <c r="M55" s="225">
        <v>10</v>
      </c>
      <c r="N55" s="227">
        <f t="shared" si="35"/>
        <v>5.0133900039999997</v>
      </c>
      <c r="O55" s="228">
        <f t="shared" si="36"/>
        <v>0.11422027800412872</v>
      </c>
      <c r="P55" s="228">
        <f t="shared" si="37"/>
        <v>7.4187081336830302E-2</v>
      </c>
      <c r="Q55" s="179"/>
      <c r="R55" s="181">
        <f t="shared" si="38"/>
        <v>8.0697385869067124E-3</v>
      </c>
      <c r="S55" s="181">
        <f t="shared" si="39"/>
        <v>9.8950547161828981E-3</v>
      </c>
      <c r="T55" s="180">
        <f t="shared" si="40"/>
        <v>4.3049383685424524E-5</v>
      </c>
      <c r="U55" s="181"/>
      <c r="V55" s="25">
        <f>AVERAGE(V48:V53)</f>
        <v>0.23012009379957107</v>
      </c>
      <c r="W55" s="25">
        <f>AVERAGE(W48:W53)</f>
        <v>0.16351337742619498</v>
      </c>
    </row>
    <row r="56" spans="1:23" x14ac:dyDescent="0.2">
      <c r="A56">
        <v>46</v>
      </c>
      <c r="C56" s="179"/>
      <c r="D56" s="225">
        <v>5.016416948E-2</v>
      </c>
      <c r="E56" s="226">
        <v>2.8469634399999997E-7</v>
      </c>
      <c r="F56" s="226">
        <v>1.9180486000000001E-7</v>
      </c>
      <c r="G56" s="226">
        <v>4.9874779543648497E-8</v>
      </c>
      <c r="H56" s="226">
        <v>3.2172043574222398E-8</v>
      </c>
      <c r="I56" s="226">
        <v>2.4140432982869201E-8</v>
      </c>
      <c r="J56" s="225">
        <v>8</v>
      </c>
      <c r="K56" s="225">
        <v>1</v>
      </c>
      <c r="L56" s="225">
        <v>0.2</v>
      </c>
      <c r="M56" s="225">
        <v>10</v>
      </c>
      <c r="N56" s="227">
        <f t="shared" si="35"/>
        <v>5.0164169479999998</v>
      </c>
      <c r="O56" s="228">
        <f t="shared" si="36"/>
        <v>0.11350585366055183</v>
      </c>
      <c r="P56" s="228">
        <f t="shared" si="37"/>
        <v>7.6470860372350388E-2</v>
      </c>
      <c r="Q56" s="179"/>
      <c r="R56" s="181">
        <f t="shared" si="38"/>
        <v>1.2826702368529834E-2</v>
      </c>
      <c r="S56" s="181">
        <f t="shared" si="39"/>
        <v>9.6245719736250297E-3</v>
      </c>
      <c r="T56" s="180">
        <f t="shared" si="40"/>
        <v>9.942311426791013E-5</v>
      </c>
      <c r="U56" s="181"/>
      <c r="V56" s="181"/>
    </row>
    <row r="57" spans="1:23" x14ac:dyDescent="0.2">
      <c r="A57">
        <v>47</v>
      </c>
      <c r="C57" s="179"/>
      <c r="D57" s="225">
        <v>5.0193988888000002E-2</v>
      </c>
      <c r="E57" s="226">
        <v>2.8277295999999997E-7</v>
      </c>
      <c r="F57" s="226">
        <v>2.1054986199999999E-7</v>
      </c>
      <c r="G57" s="226">
        <v>2.1367472472566699E-8</v>
      </c>
      <c r="H57" s="226">
        <v>3.7785269044091797E-8</v>
      </c>
      <c r="I57" s="226">
        <v>2.8806794597506999E-8</v>
      </c>
      <c r="J57" s="225">
        <v>7</v>
      </c>
      <c r="K57" s="225">
        <v>1</v>
      </c>
      <c r="L57" s="225">
        <v>0.2</v>
      </c>
      <c r="M57" s="225">
        <v>10</v>
      </c>
      <c r="N57" s="227">
        <f t="shared" si="35"/>
        <v>5.0193988888000005</v>
      </c>
      <c r="O57" s="228">
        <f t="shared" si="36"/>
        <v>0.11267204151914025</v>
      </c>
      <c r="P57" s="228">
        <f t="shared" si="37"/>
        <v>8.389445296719053E-2</v>
      </c>
      <c r="Q57" s="179"/>
      <c r="R57" s="181">
        <f t="shared" si="38"/>
        <v>1.5055694867528339E-2</v>
      </c>
      <c r="S57" s="181">
        <f t="shared" si="39"/>
        <v>1.1478185031990518E-2</v>
      </c>
      <c r="T57" s="180">
        <f t="shared" si="40"/>
        <v>4.2569783645298356E-5</v>
      </c>
      <c r="U57" s="181"/>
      <c r="V57" s="181"/>
    </row>
    <row r="58" spans="1:23" x14ac:dyDescent="0.2">
      <c r="A58">
        <v>48</v>
      </c>
      <c r="C58" s="179"/>
      <c r="D58" s="225">
        <v>5.0217038239999998E-2</v>
      </c>
      <c r="E58" s="226">
        <v>2.8060366E-7</v>
      </c>
      <c r="F58" s="226">
        <v>1.9622606200000001E-7</v>
      </c>
      <c r="G58" s="226">
        <v>3.9193087590807198E-8</v>
      </c>
      <c r="H58" s="226">
        <v>2.8232518566936199E-8</v>
      </c>
      <c r="I58" s="226">
        <v>2.4208021963187202E-8</v>
      </c>
      <c r="J58" s="225">
        <v>7</v>
      </c>
      <c r="K58" s="225">
        <v>1</v>
      </c>
      <c r="L58" s="225">
        <v>0.2</v>
      </c>
      <c r="M58" s="225">
        <v>10</v>
      </c>
      <c r="N58" s="227">
        <f t="shared" si="35"/>
        <v>5.0217038239999994</v>
      </c>
      <c r="O58" s="228">
        <f t="shared" si="36"/>
        <v>0.11175635594394226</v>
      </c>
      <c r="P58" s="228">
        <f t="shared" si="37"/>
        <v>7.815118887027378E-2</v>
      </c>
      <c r="Q58" s="179"/>
      <c r="R58" s="181">
        <f t="shared" si="38"/>
        <v>1.1244199003535736E-2</v>
      </c>
      <c r="S58" s="181">
        <f t="shared" si="39"/>
        <v>9.64135791819936E-3</v>
      </c>
      <c r="T58" s="180">
        <f t="shared" si="40"/>
        <v>7.8047389819155532E-5</v>
      </c>
      <c r="U58" s="181"/>
      <c r="V58" s="181"/>
    </row>
    <row r="59" spans="1:23" x14ac:dyDescent="0.2">
      <c r="A59">
        <v>49</v>
      </c>
      <c r="C59" s="179"/>
      <c r="D59" s="225">
        <v>5.0240246422E-2</v>
      </c>
      <c r="E59" s="226">
        <v>2.8329192399999998E-7</v>
      </c>
      <c r="F59" s="226">
        <v>1.9541644600000001E-7</v>
      </c>
      <c r="G59" s="226">
        <v>4.12682911457801E-8</v>
      </c>
      <c r="H59" s="226">
        <v>2.0131736112372999E-8</v>
      </c>
      <c r="I59" s="226">
        <v>2.3574516611525298E-8</v>
      </c>
      <c r="J59" s="225">
        <v>7</v>
      </c>
      <c r="K59" s="225">
        <v>1</v>
      </c>
      <c r="L59" s="225">
        <v>0.2</v>
      </c>
      <c r="M59" s="225">
        <v>10</v>
      </c>
      <c r="N59" s="227">
        <f t="shared" si="35"/>
        <v>5.0240246421999997</v>
      </c>
      <c r="O59" s="228">
        <f t="shared" si="36"/>
        <v>0.1127748943030453</v>
      </c>
      <c r="P59" s="228">
        <f t="shared" si="37"/>
        <v>7.7792789612762717E-2</v>
      </c>
      <c r="Q59" s="179"/>
      <c r="R59" s="181">
        <f t="shared" si="38"/>
        <v>8.0141868506271481E-3</v>
      </c>
      <c r="S59" s="181">
        <f t="shared" si="39"/>
        <v>9.384713766532049E-3</v>
      </c>
      <c r="T59" s="180">
        <f t="shared" si="40"/>
        <v>8.214189635763586E-5</v>
      </c>
      <c r="U59" s="181"/>
      <c r="V59" s="181"/>
    </row>
    <row r="60" spans="1:23" x14ac:dyDescent="0.2">
      <c r="A60">
        <v>50</v>
      </c>
      <c r="C60" s="179"/>
      <c r="D60" s="225">
        <v>4.9425200922E-2</v>
      </c>
      <c r="E60" s="226">
        <v>2.7645088800000001E-7</v>
      </c>
      <c r="F60" s="226">
        <v>1.9940010799999999E-7</v>
      </c>
      <c r="G60" s="226">
        <v>3.6989017165609E-8</v>
      </c>
      <c r="H60" s="226">
        <v>2.71318621926962E-8</v>
      </c>
      <c r="I60" s="226">
        <v>2.49312393842812E-8</v>
      </c>
      <c r="J60" s="225">
        <v>7</v>
      </c>
      <c r="K60" s="225">
        <v>1</v>
      </c>
      <c r="L60" s="225">
        <v>0.2</v>
      </c>
      <c r="M60" s="225">
        <v>10</v>
      </c>
      <c r="N60" s="227">
        <f t="shared" si="35"/>
        <v>4.9425200921999997</v>
      </c>
      <c r="O60" s="228">
        <f t="shared" si="36"/>
        <v>0.11186636891422205</v>
      </c>
      <c r="P60" s="228">
        <f t="shared" si="37"/>
        <v>8.0687626668298928E-2</v>
      </c>
      <c r="Q60" s="179"/>
      <c r="R60" s="181">
        <f t="shared" si="38"/>
        <v>1.0978958784816733E-2</v>
      </c>
      <c r="S60" s="181">
        <f t="shared" si="39"/>
        <v>1.0088472649256901E-2</v>
      </c>
      <c r="T60" s="180">
        <f t="shared" si="40"/>
        <v>7.4838374909154005E-5</v>
      </c>
      <c r="U60" s="181"/>
      <c r="V60" s="181"/>
    </row>
    <row r="61" spans="1:23" x14ac:dyDescent="0.2">
      <c r="A61">
        <v>51</v>
      </c>
      <c r="C61" s="179"/>
      <c r="D61" s="225">
        <v>4.9443430263999999E-2</v>
      </c>
      <c r="E61" s="226">
        <v>2.78864524E-7</v>
      </c>
      <c r="F61" s="226">
        <v>1.8842526799999999E-7</v>
      </c>
      <c r="G61" s="226">
        <v>1.9124625994938499E-8</v>
      </c>
      <c r="H61" s="226">
        <v>2.72151240891058E-8</v>
      </c>
      <c r="I61" s="226">
        <v>2.39378583701253E-8</v>
      </c>
      <c r="J61" s="225">
        <v>7</v>
      </c>
      <c r="K61" s="225">
        <v>1</v>
      </c>
      <c r="L61" s="225">
        <v>0.2</v>
      </c>
      <c r="M61" s="225">
        <v>10</v>
      </c>
      <c r="N61" s="227">
        <f t="shared" si="35"/>
        <v>4.9443430264000003</v>
      </c>
      <c r="O61" s="228">
        <f t="shared" si="36"/>
        <v>0.11280144703189925</v>
      </c>
      <c r="P61" s="228">
        <f t="shared" si="37"/>
        <v>7.6218525694481731E-2</v>
      </c>
      <c r="Q61" s="179"/>
      <c r="R61" s="181">
        <f t="shared" si="38"/>
        <v>1.1008590602954692E-2</v>
      </c>
      <c r="S61" s="181">
        <f t="shared" si="39"/>
        <v>9.6829278398811135E-3</v>
      </c>
      <c r="T61" s="180">
        <f t="shared" si="40"/>
        <v>3.8679812247701654E-5</v>
      </c>
      <c r="U61" s="181"/>
      <c r="V61" s="181"/>
    </row>
    <row r="62" spans="1:23" x14ac:dyDescent="0.2">
      <c r="A62">
        <v>52</v>
      </c>
      <c r="D62" s="225" t="s">
        <v>529</v>
      </c>
    </row>
    <row r="63" spans="1:23" x14ac:dyDescent="0.2">
      <c r="A63">
        <v>53</v>
      </c>
      <c r="C63" s="5"/>
      <c r="D63" s="8" t="s">
        <v>530</v>
      </c>
      <c r="E63" s="8"/>
      <c r="F63" s="8"/>
      <c r="I63" s="8"/>
      <c r="J63" s="8"/>
      <c r="K63" s="8"/>
      <c r="L63" s="8"/>
      <c r="M63" s="8"/>
      <c r="N63" s="8"/>
      <c r="O63" s="8"/>
      <c r="P63" s="25"/>
      <c r="Q63" s="8"/>
      <c r="R63" s="8"/>
      <c r="S63" s="8"/>
      <c r="T63" s="8"/>
      <c r="U63" s="8"/>
      <c r="V63" s="8"/>
    </row>
    <row r="64" spans="1:23" x14ac:dyDescent="0.2">
      <c r="A64">
        <v>54</v>
      </c>
      <c r="C64" s="5" t="s">
        <v>71</v>
      </c>
      <c r="D64" s="8"/>
      <c r="E64" s="8"/>
      <c r="F64" s="8"/>
      <c r="I64" s="8" t="s">
        <v>535</v>
      </c>
      <c r="J64" s="8"/>
      <c r="K64" s="8"/>
      <c r="L64" s="8"/>
      <c r="M64" s="8"/>
      <c r="N64" s="8"/>
      <c r="O64" s="8"/>
      <c r="P64" s="25"/>
      <c r="Q64" s="8"/>
      <c r="R64" s="8"/>
      <c r="S64" s="8"/>
      <c r="T64" s="8"/>
      <c r="U64" s="8"/>
      <c r="V64" s="8"/>
    </row>
    <row r="65" spans="1:23" x14ac:dyDescent="0.2">
      <c r="A65">
        <v>55</v>
      </c>
      <c r="C65" s="8"/>
      <c r="D65" s="195" t="s">
        <v>2</v>
      </c>
      <c r="E65" s="196" t="s">
        <v>5</v>
      </c>
      <c r="F65" s="196" t="s">
        <v>6</v>
      </c>
      <c r="G65" s="196" t="s">
        <v>8</v>
      </c>
      <c r="H65" s="196" t="s">
        <v>10</v>
      </c>
      <c r="I65" s="196" t="s">
        <v>11</v>
      </c>
      <c r="J65" s="180"/>
      <c r="L65" s="179"/>
      <c r="M65" s="179"/>
      <c r="N65" s="179"/>
      <c r="O65" s="179"/>
      <c r="P65" s="179"/>
      <c r="Q65" s="181"/>
      <c r="R65" s="5" t="s">
        <v>15</v>
      </c>
      <c r="S65" s="5" t="s">
        <v>15</v>
      </c>
      <c r="T65" s="5" t="s">
        <v>15</v>
      </c>
      <c r="U65" s="8"/>
      <c r="V65" s="8"/>
      <c r="W65" s="8"/>
    </row>
    <row r="66" spans="1:23" x14ac:dyDescent="0.2">
      <c r="A66">
        <v>56</v>
      </c>
      <c r="C66" s="8"/>
      <c r="D66" s="195" t="s">
        <v>7</v>
      </c>
      <c r="E66" s="196" t="s">
        <v>12</v>
      </c>
      <c r="F66" s="196" t="s">
        <v>12</v>
      </c>
      <c r="G66" s="196" t="s">
        <v>9</v>
      </c>
      <c r="H66" s="196" t="s">
        <v>12</v>
      </c>
      <c r="I66" s="196" t="s">
        <v>12</v>
      </c>
      <c r="J66" s="180"/>
      <c r="L66" s="5" t="s">
        <v>2</v>
      </c>
      <c r="M66" s="5" t="s">
        <v>3</v>
      </c>
      <c r="N66" s="5" t="s">
        <v>4</v>
      </c>
      <c r="O66" s="5" t="s">
        <v>0</v>
      </c>
      <c r="P66" s="5" t="s">
        <v>1</v>
      </c>
      <c r="Q66" s="25"/>
      <c r="R66" s="178" t="s">
        <v>5</v>
      </c>
      <c r="S66" s="178" t="s">
        <v>6</v>
      </c>
      <c r="T66" s="178" t="s">
        <v>14</v>
      </c>
      <c r="U66" s="179"/>
      <c r="V66" s="179"/>
      <c r="W66" s="179"/>
    </row>
    <row r="67" spans="1:23" x14ac:dyDescent="0.2">
      <c r="A67">
        <v>57</v>
      </c>
      <c r="C67" s="179"/>
      <c r="D67">
        <v>1.1992237658</v>
      </c>
      <c r="E67" s="1">
        <v>-4.5233667200000002E-6</v>
      </c>
      <c r="F67" s="1">
        <v>-3.9146583399999899E-6</v>
      </c>
      <c r="G67" s="1">
        <v>5.1961217157282597E-6</v>
      </c>
      <c r="H67" s="1">
        <v>7.0028432440271105E-8</v>
      </c>
      <c r="I67" s="1">
        <v>1.70588423242728E-8</v>
      </c>
      <c r="J67">
        <v>11</v>
      </c>
      <c r="K67">
        <v>1</v>
      </c>
      <c r="L67" s="179">
        <v>0.2</v>
      </c>
      <c r="M67" s="179">
        <v>10</v>
      </c>
      <c r="N67" s="184">
        <f t="shared" ref="N67:N78" si="41">100*D67/(L67*5)</f>
        <v>119.92237658000001</v>
      </c>
      <c r="O67" s="181">
        <f t="shared" ref="O67:O78" si="42">1000000*E67*L67/(M67*D67)</f>
        <v>-7.5438243453797307E-2</v>
      </c>
      <c r="P67" s="181">
        <f t="shared" ref="P67:P78" si="43">1000000*F67*L67/(D67*M67)</f>
        <v>-6.5286537035705403E-2</v>
      </c>
      <c r="Q67" s="181"/>
      <c r="R67" s="181">
        <f t="shared" ref="R67:R78" si="44">1000000*L67*H67/(M67*D67)</f>
        <v>1.1678960080240782E-3</v>
      </c>
      <c r="S67" s="181">
        <f t="shared" ref="S67:S78" si="45">1000000*L67*I67/(M67*D67)</f>
        <v>2.8449806968081347E-4</v>
      </c>
      <c r="T67" s="180">
        <f t="shared" ref="T67:T78" si="46">G67*100/D67</f>
        <v>4.3329042201410478E-4</v>
      </c>
      <c r="U67" s="179"/>
      <c r="V67" s="179" t="s">
        <v>445</v>
      </c>
      <c r="W67" s="179"/>
    </row>
    <row r="68" spans="1:23" x14ac:dyDescent="0.2">
      <c r="A68">
        <v>58</v>
      </c>
      <c r="C68" s="179"/>
      <c r="D68">
        <v>1.0007674825999999</v>
      </c>
      <c r="E68" s="1">
        <v>-4.1391568799999902E-6</v>
      </c>
      <c r="F68" s="1">
        <v>-3.4543284399999999E-6</v>
      </c>
      <c r="G68" s="1">
        <v>4.9408736930202197E-7</v>
      </c>
      <c r="H68" s="1">
        <v>6.7470028505699796E-9</v>
      </c>
      <c r="I68" s="1">
        <v>8.2048128782075293E-9</v>
      </c>
      <c r="J68">
        <v>10</v>
      </c>
      <c r="K68">
        <v>1</v>
      </c>
      <c r="L68" s="179">
        <v>0.2</v>
      </c>
      <c r="M68" s="179">
        <v>10</v>
      </c>
      <c r="N68" s="184">
        <f t="shared" si="41"/>
        <v>100.07674825999999</v>
      </c>
      <c r="O68" s="181">
        <f t="shared" si="42"/>
        <v>-8.2719651706636907E-2</v>
      </c>
      <c r="P68" s="181">
        <f t="shared" si="43"/>
        <v>-6.903358672337423E-2</v>
      </c>
      <c r="Q68" s="181"/>
      <c r="R68" s="181">
        <f t="shared" si="44"/>
        <v>1.3483657228832466E-4</v>
      </c>
      <c r="S68" s="181">
        <f t="shared" si="45"/>
        <v>1.6397041312516224E-4</v>
      </c>
      <c r="T68" s="180">
        <f t="shared" si="46"/>
        <v>4.9370845665206871E-5</v>
      </c>
      <c r="U68" s="179"/>
      <c r="V68" s="181">
        <f>O68-'Data(2013)'!N112</f>
        <v>2.1676574269186163E-2</v>
      </c>
      <c r="W68" s="181">
        <f>P68-'Data(2013)'!O112</f>
        <v>2.0146380628949245E-2</v>
      </c>
    </row>
    <row r="69" spans="1:23" x14ac:dyDescent="0.2">
      <c r="A69">
        <v>59</v>
      </c>
      <c r="C69" s="179"/>
      <c r="D69">
        <v>0.60064223348000001</v>
      </c>
      <c r="E69" s="1">
        <v>-2.8415491200000001E-6</v>
      </c>
      <c r="F69" s="1">
        <v>-2.2306863600000002E-6</v>
      </c>
      <c r="G69" s="1">
        <v>1.50152736031714E-6</v>
      </c>
      <c r="H69" s="1">
        <v>4.4319880961320301E-8</v>
      </c>
      <c r="I69" s="1">
        <v>6.6629645323612502E-8</v>
      </c>
      <c r="J69">
        <v>10</v>
      </c>
      <c r="K69">
        <v>1</v>
      </c>
      <c r="L69" s="179">
        <v>0.2</v>
      </c>
      <c r="M69" s="179">
        <v>10</v>
      </c>
      <c r="N69" s="184">
        <f t="shared" si="41"/>
        <v>60.064223347999999</v>
      </c>
      <c r="O69" s="181">
        <f t="shared" si="42"/>
        <v>-9.4617026962511036E-2</v>
      </c>
      <c r="P69" s="181">
        <f t="shared" si="43"/>
        <v>-7.427670701994607E-2</v>
      </c>
      <c r="Q69" s="181"/>
      <c r="R69" s="181">
        <f t="shared" si="44"/>
        <v>1.4757497388933124E-3</v>
      </c>
      <c r="S69" s="181">
        <f t="shared" si="45"/>
        <v>2.2186133977816968E-3</v>
      </c>
      <c r="T69" s="180">
        <f t="shared" si="46"/>
        <v>2.4998697670951194E-4</v>
      </c>
      <c r="U69" s="179"/>
      <c r="V69" s="181">
        <f>O69-'Data(2013)'!N113</f>
        <v>1.2838187263608622E-2</v>
      </c>
      <c r="W69" s="181">
        <f>P69-'Data(2013)'!O113</f>
        <v>1.4396898054595819E-2</v>
      </c>
    </row>
    <row r="70" spans="1:23" x14ac:dyDescent="0.2">
      <c r="A70">
        <v>60</v>
      </c>
      <c r="C70" s="179"/>
      <c r="D70">
        <v>0.39976236242000002</v>
      </c>
      <c r="E70" s="1">
        <v>-2.1299111399999999E-6</v>
      </c>
      <c r="F70" s="1">
        <v>-1.52644026E-6</v>
      </c>
      <c r="G70" s="1">
        <v>6.9169790824350303E-7</v>
      </c>
      <c r="H70" s="1">
        <v>4.2472812613487301E-8</v>
      </c>
      <c r="I70" s="1">
        <v>6.1443265549060797E-8</v>
      </c>
      <c r="J70">
        <v>10</v>
      </c>
      <c r="K70">
        <v>1</v>
      </c>
      <c r="L70" s="179">
        <v>0.2</v>
      </c>
      <c r="M70" s="179">
        <v>10</v>
      </c>
      <c r="N70" s="184">
        <f t="shared" si="41"/>
        <v>39.976236241999999</v>
      </c>
      <c r="O70" s="181">
        <f t="shared" si="42"/>
        <v>-0.10655886297581281</v>
      </c>
      <c r="P70" s="181">
        <f t="shared" si="43"/>
        <v>-7.63673823998611E-2</v>
      </c>
      <c r="Q70" s="181"/>
      <c r="R70" s="181">
        <f t="shared" si="44"/>
        <v>2.1249030227044907E-3</v>
      </c>
      <c r="S70" s="181">
        <f t="shared" si="45"/>
        <v>3.0739895160268749E-3</v>
      </c>
      <c r="T70" s="180">
        <f t="shared" si="46"/>
        <v>1.7302727151606844E-4</v>
      </c>
      <c r="U70" s="179"/>
      <c r="V70" s="181">
        <f>O70-'Data(2013)'!N114</f>
        <v>2.8616685094651775E-2</v>
      </c>
      <c r="W70" s="181">
        <f>P70-'Data(2013)'!O114</f>
        <v>1.6731929337868615E-2</v>
      </c>
    </row>
    <row r="71" spans="1:23" x14ac:dyDescent="0.2">
      <c r="A71">
        <v>61</v>
      </c>
      <c r="C71" s="179"/>
      <c r="D71">
        <v>0.19950318442000001</v>
      </c>
      <c r="E71" s="1">
        <v>-1.28955252E-6</v>
      </c>
      <c r="F71" s="1">
        <v>-8.2335659200000001E-7</v>
      </c>
      <c r="G71" s="1">
        <v>2.66831503294767E-7</v>
      </c>
      <c r="H71" s="1">
        <v>2.4246661346453499E-8</v>
      </c>
      <c r="I71" s="1">
        <v>4.9158498512724497E-8</v>
      </c>
      <c r="J71">
        <v>9</v>
      </c>
      <c r="K71">
        <v>1</v>
      </c>
      <c r="L71" s="179">
        <v>0.2</v>
      </c>
      <c r="M71" s="179">
        <v>10</v>
      </c>
      <c r="N71" s="184">
        <f t="shared" si="41"/>
        <v>19.950318442</v>
      </c>
      <c r="O71" s="181">
        <f t="shared" si="42"/>
        <v>-0.1292763846100016</v>
      </c>
      <c r="P71" s="181">
        <f t="shared" si="43"/>
        <v>-8.254069672057418E-2</v>
      </c>
      <c r="Q71" s="179"/>
      <c r="R71" s="181">
        <f t="shared" si="44"/>
        <v>2.4307041932131478E-3</v>
      </c>
      <c r="S71" s="181">
        <f t="shared" si="45"/>
        <v>4.9280916147418051E-3</v>
      </c>
      <c r="T71" s="180">
        <f t="shared" si="46"/>
        <v>1.3374799207867551E-4</v>
      </c>
      <c r="U71" s="179"/>
      <c r="V71" s="181">
        <f>O71-'Data(2013)'!N115</f>
        <v>2.4723304268377072E-2</v>
      </c>
      <c r="W71" s="181">
        <f>P71-'Data(2013)'!O115</f>
        <v>1.0961314226565114E-2</v>
      </c>
    </row>
    <row r="72" spans="1:23" x14ac:dyDescent="0.2">
      <c r="A72">
        <v>62</v>
      </c>
      <c r="C72" s="179"/>
      <c r="D72">
        <v>9.9793955909999996E-2</v>
      </c>
      <c r="E72" s="1">
        <v>-6.7628119599999901E-7</v>
      </c>
      <c r="F72" s="1">
        <v>-4.2366175399999998E-7</v>
      </c>
      <c r="G72" s="1">
        <v>1.1412399164957399E-7</v>
      </c>
      <c r="H72" s="1">
        <v>4.3725489270511099E-8</v>
      </c>
      <c r="I72" s="1">
        <v>2.7156594308150701E-8</v>
      </c>
      <c r="J72">
        <v>8</v>
      </c>
      <c r="K72">
        <v>1</v>
      </c>
      <c r="L72" s="179">
        <v>0.2</v>
      </c>
      <c r="M72" s="179">
        <v>10</v>
      </c>
      <c r="N72" s="184">
        <f t="shared" si="41"/>
        <v>9.9793955909999994</v>
      </c>
      <c r="O72" s="181">
        <f t="shared" si="42"/>
        <v>-0.13553550209191204</v>
      </c>
      <c r="P72" s="181">
        <f t="shared" si="43"/>
        <v>-8.4907297267999449E-2</v>
      </c>
      <c r="Q72" s="179"/>
      <c r="R72" s="181">
        <f t="shared" si="44"/>
        <v>8.7631538146348848E-3</v>
      </c>
      <c r="S72" s="181">
        <f t="shared" si="45"/>
        <v>5.4425328789735727E-3</v>
      </c>
      <c r="T72" s="180">
        <f t="shared" si="46"/>
        <v>1.1435962289389316E-4</v>
      </c>
      <c r="U72" s="179"/>
      <c r="V72" s="181">
        <f>O72-'Data(2013)'!N116</f>
        <v>4.118913663340848E-2</v>
      </c>
      <c r="W72" s="181">
        <f>P72-'Data(2013)'!O116</f>
        <v>1.5289074158063728E-2</v>
      </c>
    </row>
    <row r="73" spans="1:23" x14ac:dyDescent="0.2">
      <c r="A73">
        <v>63</v>
      </c>
      <c r="C73" s="179"/>
      <c r="D73">
        <v>4.9893044592000002E-2</v>
      </c>
      <c r="E73" s="1">
        <v>-3.7931961799999998E-7</v>
      </c>
      <c r="F73" s="1">
        <v>-2.08062803E-7</v>
      </c>
      <c r="G73" s="1">
        <v>6.6207285993915296E-8</v>
      </c>
      <c r="H73" s="1">
        <v>3.59032958870363E-8</v>
      </c>
      <c r="I73" s="1">
        <v>3.2651299909897799E-8</v>
      </c>
      <c r="J73">
        <v>7</v>
      </c>
      <c r="K73">
        <v>1</v>
      </c>
      <c r="L73" s="179">
        <v>0.2</v>
      </c>
      <c r="M73" s="179">
        <v>10</v>
      </c>
      <c r="N73" s="184">
        <f t="shared" si="41"/>
        <v>4.9893044592000004</v>
      </c>
      <c r="O73" s="181">
        <f t="shared" si="42"/>
        <v>-0.15205310523816828</v>
      </c>
      <c r="P73" s="181">
        <f t="shared" si="43"/>
        <v>-8.3403530372392384E-2</v>
      </c>
      <c r="Q73" s="179"/>
      <c r="R73" s="181">
        <f t="shared" si="44"/>
        <v>1.4392104623253694E-2</v>
      </c>
      <c r="S73" s="181">
        <f t="shared" si="45"/>
        <v>1.3088517719014167E-2</v>
      </c>
      <c r="T73" s="180">
        <f t="shared" si="46"/>
        <v>1.3269842827858046E-4</v>
      </c>
      <c r="U73" s="179"/>
      <c r="V73" s="181">
        <f>O73-'Data(2013)'!N117</f>
        <v>3.7294176292018394E-2</v>
      </c>
      <c r="W73" s="181">
        <f>P73-'Data(2013)'!O117</f>
        <v>1.2606211428302289E-2</v>
      </c>
    </row>
    <row r="74" spans="1:23" x14ac:dyDescent="0.2">
      <c r="A74">
        <v>64</v>
      </c>
      <c r="C74" s="179"/>
      <c r="D74">
        <v>4.9928311916000001E-2</v>
      </c>
      <c r="E74" s="1">
        <v>-3.6378823800000002E-7</v>
      </c>
      <c r="F74" s="1">
        <v>-2.14083366E-7</v>
      </c>
      <c r="G74" s="1">
        <v>4.9185936789428203E-8</v>
      </c>
      <c r="H74" s="1">
        <v>2.1998843476813901E-8</v>
      </c>
      <c r="I74" s="1">
        <v>1.40576022308231E-8</v>
      </c>
      <c r="J74">
        <v>7</v>
      </c>
      <c r="K74">
        <v>1</v>
      </c>
      <c r="L74" s="179">
        <v>0.2</v>
      </c>
      <c r="M74" s="179">
        <v>10</v>
      </c>
      <c r="N74" s="184">
        <f t="shared" si="41"/>
        <v>4.9928311916000006</v>
      </c>
      <c r="O74" s="181">
        <f t="shared" si="42"/>
        <v>-0.14572422901540988</v>
      </c>
      <c r="P74" s="181">
        <f t="shared" si="43"/>
        <v>-8.5756300497471849E-2</v>
      </c>
      <c r="Q74" s="179"/>
      <c r="R74" s="181">
        <f t="shared" si="44"/>
        <v>8.8121719451781273E-3</v>
      </c>
      <c r="S74" s="181">
        <f t="shared" si="45"/>
        <v>5.6311145686134077E-3</v>
      </c>
      <c r="T74" s="180">
        <f t="shared" si="46"/>
        <v>9.8513117912296379E-5</v>
      </c>
      <c r="U74" s="181"/>
      <c r="V74" s="181"/>
    </row>
    <row r="75" spans="1:23" x14ac:dyDescent="0.2">
      <c r="A75">
        <v>65</v>
      </c>
      <c r="C75" s="179"/>
      <c r="D75">
        <v>4.9966001590000003E-2</v>
      </c>
      <c r="E75" s="1">
        <v>-3.5908951999999997E-7</v>
      </c>
      <c r="F75" s="1">
        <v>-2.1548648400000001E-7</v>
      </c>
      <c r="G75" s="1">
        <v>5.4291567175364498E-8</v>
      </c>
      <c r="H75" s="1">
        <v>2.0104880827639799E-8</v>
      </c>
      <c r="I75" s="1">
        <v>1.32353787453833E-8</v>
      </c>
      <c r="J75">
        <v>7</v>
      </c>
      <c r="K75">
        <v>1</v>
      </c>
      <c r="L75" s="179">
        <v>0.2</v>
      </c>
      <c r="M75" s="179">
        <v>10</v>
      </c>
      <c r="N75" s="184">
        <f t="shared" si="41"/>
        <v>4.9966001590000007</v>
      </c>
      <c r="O75" s="181">
        <f t="shared" si="42"/>
        <v>-0.1437335422379952</v>
      </c>
      <c r="P75" s="181">
        <f t="shared" si="43"/>
        <v>-8.6253243062429319E-2</v>
      </c>
      <c r="Q75" s="179"/>
      <c r="R75" s="181">
        <f t="shared" si="44"/>
        <v>8.0474243236879333E-3</v>
      </c>
      <c r="S75" s="181">
        <f t="shared" si="45"/>
        <v>5.2977538022702924E-3</v>
      </c>
      <c r="T75" s="180">
        <f t="shared" si="46"/>
        <v>1.086570176674497E-4</v>
      </c>
      <c r="U75" s="181"/>
      <c r="V75" s="25">
        <f>AVERAGE(V68:V73)</f>
        <v>2.7723010636875087E-2</v>
      </c>
      <c r="W75" s="25">
        <f>AVERAGE(W68:W73)</f>
        <v>1.5021967972390802E-2</v>
      </c>
    </row>
    <row r="76" spans="1:23" x14ac:dyDescent="0.2">
      <c r="A76">
        <v>66</v>
      </c>
      <c r="C76" s="179"/>
      <c r="D76">
        <v>4.9995234405999997E-2</v>
      </c>
      <c r="E76" s="1">
        <v>-3.6526507600000002E-7</v>
      </c>
      <c r="F76" s="1">
        <v>-2.0875635599999999E-7</v>
      </c>
      <c r="G76" s="1">
        <v>1.9744711956314798E-8</v>
      </c>
      <c r="H76" s="1">
        <v>2.57130582237552E-8</v>
      </c>
      <c r="I76" s="1">
        <v>2.3595988081732599E-8</v>
      </c>
      <c r="J76">
        <v>7</v>
      </c>
      <c r="K76">
        <v>1</v>
      </c>
      <c r="L76" s="179">
        <v>0.2</v>
      </c>
      <c r="M76" s="179">
        <v>10</v>
      </c>
      <c r="N76" s="184">
        <f t="shared" si="41"/>
        <v>4.9995234406</v>
      </c>
      <c r="O76" s="181">
        <f t="shared" si="42"/>
        <v>-0.14611995736784225</v>
      </c>
      <c r="P76" s="181">
        <f t="shared" si="43"/>
        <v>-8.3510501942939921E-2</v>
      </c>
      <c r="Q76" s="179"/>
      <c r="R76" s="181">
        <f t="shared" si="44"/>
        <v>1.0286203686913542E-2</v>
      </c>
      <c r="S76" s="181">
        <f t="shared" si="45"/>
        <v>9.4392949096367505E-3</v>
      </c>
      <c r="T76" s="180">
        <f t="shared" si="46"/>
        <v>3.9493188082632947E-5</v>
      </c>
      <c r="U76" s="181"/>
      <c r="V76" s="181"/>
    </row>
    <row r="77" spans="1:23" x14ac:dyDescent="0.2">
      <c r="A77">
        <v>67</v>
      </c>
      <c r="C77" s="179"/>
      <c r="D77">
        <v>5.0023021250000001E-2</v>
      </c>
      <c r="E77" s="1">
        <v>-3.6686679200000001E-7</v>
      </c>
      <c r="F77" s="1">
        <v>-2.0221050400000001E-7</v>
      </c>
      <c r="G77" s="1">
        <v>3.3673228468125298E-8</v>
      </c>
      <c r="H77" s="1">
        <v>2.0646198754267999E-8</v>
      </c>
      <c r="I77" s="1">
        <v>2.5214759186674501E-8</v>
      </c>
      <c r="J77">
        <v>7</v>
      </c>
      <c r="K77">
        <v>1</v>
      </c>
      <c r="L77" s="179">
        <v>0.2</v>
      </c>
      <c r="M77" s="179">
        <v>10</v>
      </c>
      <c r="N77" s="184">
        <f t="shared" si="41"/>
        <v>5.0023021249999999</v>
      </c>
      <c r="O77" s="181">
        <f t="shared" si="42"/>
        <v>-0.14667918203761035</v>
      </c>
      <c r="P77" s="181">
        <f t="shared" si="43"/>
        <v>-8.0846977630324571E-2</v>
      </c>
      <c r="Q77" s="179"/>
      <c r="R77" s="181">
        <f t="shared" si="44"/>
        <v>8.2546788412017399E-3</v>
      </c>
      <c r="S77" s="181">
        <f t="shared" si="45"/>
        <v>1.0081262009609028E-2</v>
      </c>
      <c r="T77" s="180">
        <f t="shared" si="46"/>
        <v>6.7315463214100244E-5</v>
      </c>
      <c r="U77" s="181"/>
      <c r="V77" s="181"/>
    </row>
    <row r="78" spans="1:23" x14ac:dyDescent="0.2">
      <c r="A78">
        <v>68</v>
      </c>
      <c r="C78" s="179"/>
      <c r="D78">
        <v>5.0044450934E-2</v>
      </c>
      <c r="E78" s="1">
        <v>-3.52723446E-7</v>
      </c>
      <c r="F78" s="1">
        <v>-2.20140442E-7</v>
      </c>
      <c r="G78" s="1">
        <v>2.21936504578848E-8</v>
      </c>
      <c r="H78" s="1">
        <v>2.1441726477107302E-8</v>
      </c>
      <c r="I78" s="1">
        <v>1.6237469209659401E-8</v>
      </c>
      <c r="J78">
        <v>7</v>
      </c>
      <c r="K78">
        <v>1</v>
      </c>
      <c r="L78" s="179">
        <v>0.2</v>
      </c>
      <c r="M78" s="179">
        <v>10</v>
      </c>
      <c r="N78" s="184">
        <f t="shared" si="41"/>
        <v>5.0044450934000002</v>
      </c>
      <c r="O78" s="181">
        <f t="shared" si="42"/>
        <v>-0.14096405871859055</v>
      </c>
      <c r="P78" s="181">
        <f t="shared" si="43"/>
        <v>-8.7977962747688959E-2</v>
      </c>
      <c r="Q78" s="179"/>
      <c r="R78" s="181">
        <f t="shared" si="44"/>
        <v>8.5690725252976583E-3</v>
      </c>
      <c r="S78" s="181">
        <f t="shared" si="45"/>
        <v>6.4892186472677357E-3</v>
      </c>
      <c r="T78" s="180">
        <f t="shared" si="46"/>
        <v>4.4347874826630429E-5</v>
      </c>
      <c r="U78" s="181"/>
      <c r="V78" s="181"/>
    </row>
    <row r="79" spans="1:23" x14ac:dyDescent="0.2">
      <c r="A79">
        <v>69</v>
      </c>
    </row>
    <row r="80" spans="1:23" x14ac:dyDescent="0.2">
      <c r="A80">
        <v>70</v>
      </c>
      <c r="C80" s="5" t="s">
        <v>74</v>
      </c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</row>
    <row r="81" spans="1:29" x14ac:dyDescent="0.2">
      <c r="A81">
        <v>71</v>
      </c>
      <c r="C81" s="8" t="s">
        <v>73</v>
      </c>
      <c r="D81" s="8">
        <v>1.005643391</v>
      </c>
      <c r="E81" s="24">
        <v>-1.1859579541800001E-8</v>
      </c>
      <c r="F81" s="24">
        <v>-1.0126804880000001E-7</v>
      </c>
      <c r="G81" s="24">
        <v>4.9927189189819203E-6</v>
      </c>
      <c r="H81" s="24">
        <v>2.1757110999624801E-8</v>
      </c>
      <c r="I81" s="24">
        <v>3.5509042124944702E-8</v>
      </c>
      <c r="J81" s="8">
        <v>7</v>
      </c>
      <c r="K81">
        <v>1</v>
      </c>
      <c r="L81" s="8">
        <v>0.2</v>
      </c>
      <c r="M81" s="8">
        <v>10</v>
      </c>
      <c r="N81" s="135">
        <f>100*D81/(L81*5)</f>
        <v>100.5643391</v>
      </c>
      <c r="O81" s="25">
        <f>1000000*E81*L81/(M81*D81)</f>
        <v>-2.3586053760084829E-4</v>
      </c>
      <c r="P81" s="25">
        <f>1000000*F81*L81/(D81*M81)</f>
        <v>-2.0139952135378777E-3</v>
      </c>
    </row>
    <row r="82" spans="1:29" x14ac:dyDescent="0.2">
      <c r="A82">
        <v>72</v>
      </c>
      <c r="D82">
        <v>1.001247982</v>
      </c>
      <c r="E82" s="1">
        <v>-1.5681634921999999E-8</v>
      </c>
      <c r="F82" s="1">
        <v>-1.102745186E-7</v>
      </c>
      <c r="G82" s="1">
        <v>3.6679876119586799E-6</v>
      </c>
      <c r="H82" s="1">
        <v>2.2776877454036699E-8</v>
      </c>
      <c r="I82" s="1">
        <v>2.0975334396957602E-8</v>
      </c>
      <c r="J82">
        <v>6</v>
      </c>
      <c r="K82">
        <v>1</v>
      </c>
      <c r="L82" s="8">
        <v>0.2</v>
      </c>
      <c r="M82" s="8">
        <v>10</v>
      </c>
      <c r="N82" s="135">
        <f>100*D82/(L82*5)</f>
        <v>100.1247982</v>
      </c>
      <c r="O82" s="25">
        <f>1000000*E82*L82/(M82*D82)</f>
        <v>-3.1324177833898502E-4</v>
      </c>
      <c r="P82" s="25">
        <f>1000000*F82*L82/(D82*M82)</f>
        <v>-2.2027413903941335E-3</v>
      </c>
    </row>
    <row r="83" spans="1:29" x14ac:dyDescent="0.2">
      <c r="A83">
        <v>73</v>
      </c>
      <c r="E83" s="1"/>
      <c r="F83" s="1"/>
      <c r="G83" s="1"/>
      <c r="H83" s="1"/>
      <c r="I83" s="1"/>
      <c r="L83" s="8"/>
      <c r="M83" s="8"/>
      <c r="N83" s="135"/>
      <c r="O83" s="25"/>
      <c r="P83" s="25"/>
    </row>
    <row r="84" spans="1:29" x14ac:dyDescent="0.2">
      <c r="A84">
        <v>74</v>
      </c>
      <c r="B84" t="s">
        <v>532</v>
      </c>
      <c r="E84" s="1"/>
      <c r="F84" s="1"/>
      <c r="G84" s="1"/>
      <c r="H84" s="1"/>
      <c r="I84" s="1"/>
      <c r="L84" s="8"/>
      <c r="M84" s="8"/>
      <c r="N84" s="135"/>
      <c r="O84" s="25"/>
      <c r="P84" s="25"/>
    </row>
    <row r="85" spans="1:29" x14ac:dyDescent="0.2">
      <c r="A85">
        <v>75</v>
      </c>
      <c r="C85" s="5" t="s">
        <v>71</v>
      </c>
      <c r="D85" s="8"/>
      <c r="E85" s="8"/>
      <c r="F85" s="8"/>
      <c r="I85" s="8" t="s">
        <v>535</v>
      </c>
      <c r="J85" s="8"/>
      <c r="K85" s="8"/>
      <c r="L85" s="8"/>
      <c r="M85" s="8"/>
      <c r="N85" s="8"/>
      <c r="O85" s="8"/>
      <c r="P85" s="25"/>
      <c r="Q85" s="8"/>
      <c r="R85" s="8"/>
      <c r="S85" s="8"/>
      <c r="T85" s="8"/>
      <c r="U85" s="8"/>
      <c r="V85" s="8"/>
    </row>
    <row r="86" spans="1:29" x14ac:dyDescent="0.2">
      <c r="A86">
        <v>76</v>
      </c>
      <c r="C86" s="8"/>
      <c r="D86" s="195" t="s">
        <v>2</v>
      </c>
      <c r="E86" s="196" t="s">
        <v>5</v>
      </c>
      <c r="F86" s="196" t="s">
        <v>6</v>
      </c>
      <c r="G86" s="196" t="s">
        <v>8</v>
      </c>
      <c r="H86" s="196" t="s">
        <v>10</v>
      </c>
      <c r="I86" s="196" t="s">
        <v>11</v>
      </c>
      <c r="J86" s="180"/>
      <c r="L86" s="179"/>
      <c r="M86" s="179"/>
      <c r="N86" s="179"/>
      <c r="O86" s="179"/>
      <c r="P86" s="179"/>
      <c r="Q86" s="181"/>
      <c r="R86" s="5" t="s">
        <v>15</v>
      </c>
      <c r="S86" s="5" t="s">
        <v>15</v>
      </c>
      <c r="T86" s="5" t="s">
        <v>15</v>
      </c>
      <c r="U86" s="8"/>
      <c r="V86" s="8"/>
      <c r="W86" s="5" t="s">
        <v>490</v>
      </c>
      <c r="AA86" s="5" t="s">
        <v>491</v>
      </c>
    </row>
    <row r="87" spans="1:29" x14ac:dyDescent="0.2">
      <c r="A87">
        <v>77</v>
      </c>
      <c r="B87" s="4">
        <v>41344</v>
      </c>
      <c r="C87" s="8"/>
      <c r="D87" s="195" t="s">
        <v>7</v>
      </c>
      <c r="E87" s="196" t="s">
        <v>12</v>
      </c>
      <c r="F87" s="196" t="s">
        <v>12</v>
      </c>
      <c r="G87" s="196" t="s">
        <v>9</v>
      </c>
      <c r="H87" s="196" t="s">
        <v>12</v>
      </c>
      <c r="I87" s="196" t="s">
        <v>12</v>
      </c>
      <c r="J87" s="180"/>
      <c r="L87" s="5" t="s">
        <v>2</v>
      </c>
      <c r="M87" s="5" t="s">
        <v>3</v>
      </c>
      <c r="N87" s="5" t="s">
        <v>4</v>
      </c>
      <c r="O87" s="5" t="s">
        <v>0</v>
      </c>
      <c r="P87" s="5" t="s">
        <v>1</v>
      </c>
      <c r="Q87" s="25"/>
      <c r="R87" s="178" t="s">
        <v>5</v>
      </c>
      <c r="S87" s="178" t="s">
        <v>6</v>
      </c>
      <c r="T87" s="178" t="s">
        <v>14</v>
      </c>
      <c r="U87" s="179"/>
      <c r="V87" s="179"/>
      <c r="W87" s="218" t="s">
        <v>533</v>
      </c>
      <c r="X87" s="218" t="s">
        <v>534</v>
      </c>
      <c r="Y87" s="218" t="s">
        <v>531</v>
      </c>
      <c r="AA87" s="218" t="s">
        <v>533</v>
      </c>
      <c r="AB87" s="218" t="s">
        <v>534</v>
      </c>
      <c r="AC87" s="218" t="s">
        <v>531</v>
      </c>
    </row>
    <row r="88" spans="1:29" x14ac:dyDescent="0.2">
      <c r="A88">
        <v>78</v>
      </c>
      <c r="D88">
        <v>1.1981919936000001</v>
      </c>
      <c r="E88" s="1">
        <v>-4.6751670000000003E-6</v>
      </c>
      <c r="F88" s="1">
        <v>-4.9266920000000004E-6</v>
      </c>
      <c r="G88" s="1">
        <v>5.9849053283794097E-6</v>
      </c>
      <c r="H88" s="1">
        <v>1.0392063690624699E-7</v>
      </c>
      <c r="I88" s="1">
        <v>8.5766620080309405E-9</v>
      </c>
      <c r="J88">
        <v>11</v>
      </c>
      <c r="K88">
        <v>1</v>
      </c>
      <c r="L88" s="179">
        <v>0.2</v>
      </c>
      <c r="M88" s="179">
        <v>10</v>
      </c>
      <c r="N88" s="184">
        <f t="shared" ref="N88:N94" si="47">100*D88/(L88*5)</f>
        <v>119.81919936</v>
      </c>
      <c r="O88" s="181">
        <f t="shared" ref="O88:O94" si="48">1000000*E88*L88/(M88*D88)</f>
        <v>-7.8037026202342333E-2</v>
      </c>
      <c r="P88" s="181">
        <f t="shared" ref="P88:P94" si="49">1000000*F88*L88/(D88*M88)</f>
        <v>-8.2235435160898068E-2</v>
      </c>
      <c r="Q88" s="181"/>
      <c r="R88" s="181">
        <f t="shared" ref="R88:R94" si="50">1000000*L88*H88/(M88*D88)</f>
        <v>1.7346241247033316E-3</v>
      </c>
      <c r="S88" s="181">
        <f t="shared" ref="S88:S94" si="51">1000000*L88*I88/(M88*D88)</f>
        <v>1.4316006205753604E-4</v>
      </c>
      <c r="T88" s="180">
        <f t="shared" ref="T88:T94" si="52">G88*100/D88</f>
        <v>4.9949468535485713E-4</v>
      </c>
      <c r="V88" s="3">
        <v>120</v>
      </c>
      <c r="W88" s="3">
        <f>O88</f>
        <v>-7.8037026202342333E-2</v>
      </c>
      <c r="X88" s="3">
        <f t="shared" ref="X88:X94" si="53">O67</f>
        <v>-7.5438243453797307E-2</v>
      </c>
      <c r="Y88" s="3">
        <f>'Data(2013)'!N112</f>
        <v>-0.10439622597582307</v>
      </c>
      <c r="AA88" s="3">
        <f t="shared" ref="AA88:AA94" si="54">P88</f>
        <v>-8.2235435160898068E-2</v>
      </c>
      <c r="AB88" s="3">
        <f t="shared" ref="AB88:AB94" si="55">P67</f>
        <v>-6.5286537035705403E-2</v>
      </c>
      <c r="AC88" s="3">
        <f>'Data(2013)'!O112</f>
        <v>-8.9179967352323475E-2</v>
      </c>
    </row>
    <row r="89" spans="1:29" x14ac:dyDescent="0.2">
      <c r="A89">
        <v>79</v>
      </c>
      <c r="D89">
        <v>1.0010324961999999</v>
      </c>
      <c r="E89" s="1">
        <v>-3.9183940599999997E-6</v>
      </c>
      <c r="F89" s="1">
        <v>-4.4046091600000003E-6</v>
      </c>
      <c r="G89" s="1">
        <v>9.9632974211165503E-7</v>
      </c>
      <c r="H89" s="1">
        <v>1.37199008785195E-8</v>
      </c>
      <c r="I89" s="1">
        <v>8.6237757446724197E-9</v>
      </c>
      <c r="J89">
        <v>11</v>
      </c>
      <c r="K89">
        <v>1</v>
      </c>
      <c r="L89" s="179">
        <v>0.2</v>
      </c>
      <c r="M89" s="179">
        <v>10</v>
      </c>
      <c r="N89" s="184">
        <f t="shared" si="47"/>
        <v>100.10324961999999</v>
      </c>
      <c r="O89" s="181">
        <f t="shared" si="48"/>
        <v>-7.8287050118243717E-2</v>
      </c>
      <c r="P89" s="181">
        <f t="shared" si="49"/>
        <v>-8.8001322169265289E-2</v>
      </c>
      <c r="Q89" s="181"/>
      <c r="R89" s="181">
        <f t="shared" si="50"/>
        <v>2.7411499487981362E-4</v>
      </c>
      <c r="S89" s="181">
        <f t="shared" si="51"/>
        <v>1.7229761825732868E-4</v>
      </c>
      <c r="T89" s="180">
        <f t="shared" si="52"/>
        <v>9.9530209647918835E-5</v>
      </c>
      <c r="V89" s="3">
        <v>100</v>
      </c>
      <c r="W89" s="3">
        <f t="shared" ref="W89:W94" si="56">O89</f>
        <v>-7.8287050118243717E-2</v>
      </c>
      <c r="X89" s="3">
        <f t="shared" si="53"/>
        <v>-8.2719651706636907E-2</v>
      </c>
      <c r="Y89" s="3">
        <f>'Data(2013)'!N113</f>
        <v>-0.10745521422611966</v>
      </c>
      <c r="AA89" s="3">
        <f t="shared" si="54"/>
        <v>-8.8001322169265289E-2</v>
      </c>
      <c r="AB89" s="3">
        <f t="shared" si="55"/>
        <v>-6.903358672337423E-2</v>
      </c>
      <c r="AC89" s="3">
        <f>'Data(2013)'!O113</f>
        <v>-8.8673605074541889E-2</v>
      </c>
    </row>
    <row r="90" spans="1:29" x14ac:dyDescent="0.2">
      <c r="A90">
        <v>80</v>
      </c>
      <c r="D90">
        <v>0.59995283485999995</v>
      </c>
      <c r="E90" s="1">
        <v>-3.1367887999999998E-6</v>
      </c>
      <c r="F90" s="1">
        <v>-2.7737714E-6</v>
      </c>
      <c r="G90" s="1">
        <v>9.2719719936389498E-7</v>
      </c>
      <c r="H90" s="1">
        <v>6.9164484354327302E-9</v>
      </c>
      <c r="I90" s="1">
        <v>9.7791196352228108E-9</v>
      </c>
      <c r="J90">
        <v>10</v>
      </c>
      <c r="K90">
        <v>1</v>
      </c>
      <c r="L90" s="179">
        <v>0.2</v>
      </c>
      <c r="M90" s="179">
        <v>10</v>
      </c>
      <c r="N90" s="184">
        <f t="shared" si="47"/>
        <v>59.995283485999998</v>
      </c>
      <c r="O90" s="181">
        <f t="shared" si="48"/>
        <v>-0.10456784659520695</v>
      </c>
      <c r="P90" s="181">
        <f t="shared" si="49"/>
        <v>-9.2466315311178243E-2</v>
      </c>
      <c r="Q90" s="181"/>
      <c r="R90" s="181">
        <f t="shared" si="50"/>
        <v>2.305664056757627E-4</v>
      </c>
      <c r="S90" s="181">
        <f t="shared" si="51"/>
        <v>3.259962806077843E-4</v>
      </c>
      <c r="T90" s="180">
        <f t="shared" si="52"/>
        <v>1.5454501512277344E-4</v>
      </c>
      <c r="V90" s="3">
        <v>60</v>
      </c>
      <c r="W90" s="3">
        <f t="shared" si="56"/>
        <v>-0.10456784659520695</v>
      </c>
      <c r="X90" s="3">
        <f t="shared" si="53"/>
        <v>-9.4617026962511036E-2</v>
      </c>
      <c r="Y90" s="3">
        <f>'Data(2013)'!N114</f>
        <v>-0.13517554807046459</v>
      </c>
      <c r="AA90" s="3">
        <f t="shared" si="54"/>
        <v>-9.2466315311178243E-2</v>
      </c>
      <c r="AB90" s="3">
        <f t="shared" si="55"/>
        <v>-7.427670701994607E-2</v>
      </c>
      <c r="AC90" s="3">
        <f>'Data(2013)'!O114</f>
        <v>-9.3099311737729715E-2</v>
      </c>
    </row>
    <row r="91" spans="1:29" x14ac:dyDescent="0.2">
      <c r="A91">
        <v>81</v>
      </c>
      <c r="D91">
        <v>0.40055044579999999</v>
      </c>
      <c r="E91" s="1">
        <v>-2.4784942000000002E-6</v>
      </c>
      <c r="F91" s="1">
        <v>-1.7453778800000001E-6</v>
      </c>
      <c r="G91" s="1">
        <v>7.7520603625201802E-7</v>
      </c>
      <c r="H91" s="1">
        <v>3.4056273718068398E-8</v>
      </c>
      <c r="I91" s="1">
        <v>3.1487431628508499E-9</v>
      </c>
      <c r="J91">
        <v>10</v>
      </c>
      <c r="K91">
        <v>1</v>
      </c>
      <c r="L91" s="179">
        <v>0.2</v>
      </c>
      <c r="M91" s="179">
        <v>10</v>
      </c>
      <c r="N91" s="184">
        <f t="shared" si="47"/>
        <v>40.055044580000001</v>
      </c>
      <c r="O91" s="181">
        <f t="shared" si="48"/>
        <v>-0.12375440976228719</v>
      </c>
      <c r="P91" s="181">
        <f t="shared" si="49"/>
        <v>-8.7148967042792402E-2</v>
      </c>
      <c r="Q91" s="181"/>
      <c r="R91" s="181">
        <f t="shared" si="50"/>
        <v>1.7004736394712757E-3</v>
      </c>
      <c r="S91" s="181">
        <f t="shared" si="51"/>
        <v>1.5722080431402431E-4</v>
      </c>
      <c r="T91" s="180">
        <f t="shared" si="52"/>
        <v>1.9353518249211695E-4</v>
      </c>
      <c r="V91" s="3">
        <v>40</v>
      </c>
      <c r="W91" s="3">
        <f t="shared" si="56"/>
        <v>-0.12375440976228719</v>
      </c>
      <c r="X91" s="3">
        <f t="shared" si="53"/>
        <v>-0.10655886297581281</v>
      </c>
      <c r="Y91" s="3">
        <f>'Data(2013)'!N115</f>
        <v>-0.15399968887837867</v>
      </c>
      <c r="AA91" s="3">
        <f t="shared" si="54"/>
        <v>-8.7148967042792402E-2</v>
      </c>
      <c r="AB91" s="3">
        <f t="shared" si="55"/>
        <v>-7.63673823998611E-2</v>
      </c>
      <c r="AC91" s="3">
        <f>'Data(2013)'!O115</f>
        <v>-9.3502010947139294E-2</v>
      </c>
    </row>
    <row r="92" spans="1:29" x14ac:dyDescent="0.2">
      <c r="A92">
        <v>82</v>
      </c>
      <c r="D92">
        <v>0.20016806422</v>
      </c>
      <c r="E92" s="1">
        <v>-1.4822901600000001E-6</v>
      </c>
      <c r="F92" s="1">
        <v>-8.9006793999999896E-7</v>
      </c>
      <c r="G92" s="1">
        <v>3.6902721974692698E-7</v>
      </c>
      <c r="H92" s="1">
        <v>3.4353929981508697E-8</v>
      </c>
      <c r="I92" s="1">
        <v>1.16955344360316E-8</v>
      </c>
      <c r="J92">
        <v>9</v>
      </c>
      <c r="K92">
        <v>1</v>
      </c>
      <c r="L92" s="179">
        <v>0.2</v>
      </c>
      <c r="M92" s="179">
        <v>10</v>
      </c>
      <c r="N92" s="184">
        <f t="shared" si="47"/>
        <v>20.016806421999998</v>
      </c>
      <c r="O92" s="181">
        <f t="shared" si="48"/>
        <v>-0.14810456061271091</v>
      </c>
      <c r="P92" s="181">
        <f t="shared" si="49"/>
        <v>-8.8932062511405036E-2</v>
      </c>
      <c r="Q92" s="181"/>
      <c r="R92" s="181">
        <f t="shared" si="50"/>
        <v>3.432508588757805E-3</v>
      </c>
      <c r="S92" s="181">
        <f t="shared" si="51"/>
        <v>1.1685714683414548E-3</v>
      </c>
      <c r="T92" s="180">
        <f t="shared" si="52"/>
        <v>1.8435868937681182E-4</v>
      </c>
      <c r="V92" s="3">
        <v>20</v>
      </c>
      <c r="W92" s="3">
        <f t="shared" si="56"/>
        <v>-0.14810456061271091</v>
      </c>
      <c r="X92" s="3">
        <f t="shared" si="53"/>
        <v>-0.1292763846100016</v>
      </c>
      <c r="Y92" s="3">
        <f>'Data(2013)'!N116</f>
        <v>-0.17672463872532052</v>
      </c>
      <c r="AA92" s="3">
        <f t="shared" si="54"/>
        <v>-8.8932062511405036E-2</v>
      </c>
      <c r="AB92" s="3">
        <f t="shared" si="55"/>
        <v>-8.254069672057418E-2</v>
      </c>
      <c r="AC92" s="3">
        <f>'Data(2013)'!O116</f>
        <v>-0.10019637142606318</v>
      </c>
    </row>
    <row r="93" spans="1:29" x14ac:dyDescent="0.2">
      <c r="A93">
        <v>83</v>
      </c>
      <c r="D93">
        <v>9.9585404032000002E-2</v>
      </c>
      <c r="E93" s="1">
        <v>-7.87813234000001E-7</v>
      </c>
      <c r="F93" s="1">
        <v>-4.53256944E-7</v>
      </c>
      <c r="G93" s="1">
        <v>1.51916731742906E-7</v>
      </c>
      <c r="H93" s="1">
        <v>1.85621672286197E-8</v>
      </c>
      <c r="I93" s="1">
        <v>4.5190485274412101E-8</v>
      </c>
      <c r="J93">
        <v>8</v>
      </c>
      <c r="K93">
        <v>1</v>
      </c>
      <c r="L93" s="179">
        <v>0.2</v>
      </c>
      <c r="M93" s="179">
        <v>10</v>
      </c>
      <c r="N93" s="184">
        <f t="shared" si="47"/>
        <v>9.9585404032000007</v>
      </c>
      <c r="O93" s="181">
        <f t="shared" si="48"/>
        <v>-0.1582186147975764</v>
      </c>
      <c r="P93" s="181">
        <f t="shared" si="49"/>
        <v>-9.1028790495111908E-2</v>
      </c>
      <c r="Q93" s="179"/>
      <c r="R93" s="181">
        <f t="shared" si="50"/>
        <v>3.7278891237224033E-3</v>
      </c>
      <c r="S93" s="181">
        <f t="shared" si="51"/>
        <v>9.0757246433204094E-3</v>
      </c>
      <c r="T93" s="180">
        <f t="shared" si="52"/>
        <v>1.5254919455273813E-4</v>
      </c>
      <c r="V93" s="3">
        <v>10</v>
      </c>
      <c r="W93" s="3">
        <f t="shared" si="56"/>
        <v>-0.1582186147975764</v>
      </c>
      <c r="X93" s="3">
        <f t="shared" si="53"/>
        <v>-0.13553550209191204</v>
      </c>
      <c r="Y93" s="3">
        <f>'Data(2013)'!N117</f>
        <v>-0.18934728153018668</v>
      </c>
      <c r="AA93" s="3">
        <f t="shared" si="54"/>
        <v>-9.1028790495111908E-2</v>
      </c>
      <c r="AB93" s="3">
        <f t="shared" si="55"/>
        <v>-8.4907297267999449E-2</v>
      </c>
      <c r="AC93" s="3">
        <f>'Data(2013)'!O117</f>
        <v>-9.6009741800694673E-2</v>
      </c>
    </row>
    <row r="94" spans="1:29" x14ac:dyDescent="0.2">
      <c r="A94">
        <v>84</v>
      </c>
      <c r="D94">
        <v>4.9807166915999998E-2</v>
      </c>
      <c r="E94" s="1">
        <v>-4.2089226600000002E-7</v>
      </c>
      <c r="F94" s="1">
        <v>-2.1841760400000001E-7</v>
      </c>
      <c r="G94" s="1">
        <v>3.6239951655956297E-8</v>
      </c>
      <c r="H94" s="1">
        <v>3.4716788476920502E-8</v>
      </c>
      <c r="I94" s="1">
        <v>2.6626148442671601E-8</v>
      </c>
      <c r="J94">
        <v>7</v>
      </c>
      <c r="K94">
        <v>1</v>
      </c>
      <c r="L94" s="179">
        <v>0.2</v>
      </c>
      <c r="M94" s="179">
        <v>10</v>
      </c>
      <c r="N94" s="184">
        <f t="shared" si="47"/>
        <v>4.9807166915999996</v>
      </c>
      <c r="O94" s="181">
        <f t="shared" si="48"/>
        <v>-0.16900871583795826</v>
      </c>
      <c r="P94" s="181">
        <f t="shared" si="49"/>
        <v>-8.7705291235842531E-2</v>
      </c>
      <c r="Q94" s="179"/>
      <c r="R94" s="181">
        <f t="shared" si="50"/>
        <v>1.3940479102322972E-2</v>
      </c>
      <c r="S94" s="181">
        <f t="shared" si="51"/>
        <v>1.0691693622155508E-2</v>
      </c>
      <c r="T94" s="180">
        <f t="shared" si="52"/>
        <v>7.2760516005809236E-5</v>
      </c>
      <c r="V94" s="3">
        <v>5</v>
      </c>
      <c r="W94" s="3">
        <f t="shared" si="56"/>
        <v>-0.16900871583795826</v>
      </c>
      <c r="X94" s="3">
        <f t="shared" si="53"/>
        <v>-0.15205310523816828</v>
      </c>
      <c r="Y94" s="3"/>
      <c r="AA94" s="3">
        <f t="shared" si="54"/>
        <v>-8.7705291235842531E-2</v>
      </c>
      <c r="AB94" s="3">
        <f t="shared" si="55"/>
        <v>-8.3403530372392384E-2</v>
      </c>
      <c r="AC94" s="3"/>
    </row>
    <row r="95" spans="1:29" x14ac:dyDescent="0.2">
      <c r="A95">
        <v>85</v>
      </c>
      <c r="E95" s="1"/>
      <c r="F95" s="1"/>
      <c r="G95" s="1"/>
      <c r="H95" s="1"/>
      <c r="I95" s="1"/>
      <c r="L95" s="8"/>
      <c r="M95" s="8"/>
      <c r="N95" s="135"/>
      <c r="O95" s="25"/>
      <c r="P95" s="25"/>
      <c r="V95" s="3"/>
      <c r="W95" s="3"/>
      <c r="Z95" s="3"/>
    </row>
    <row r="96" spans="1:29" x14ac:dyDescent="0.2">
      <c r="A96">
        <v>86</v>
      </c>
      <c r="E96" s="1"/>
      <c r="F96" s="1"/>
      <c r="G96" s="1"/>
      <c r="H96" s="1"/>
      <c r="I96" s="1"/>
      <c r="L96" s="8"/>
      <c r="M96" s="8"/>
      <c r="N96" s="135"/>
      <c r="O96" s="25"/>
      <c r="P96" s="25"/>
      <c r="V96" s="3"/>
      <c r="W96" s="3"/>
      <c r="Z96" s="3"/>
    </row>
    <row r="97" spans="1:29" x14ac:dyDescent="0.2">
      <c r="A97">
        <v>87</v>
      </c>
      <c r="C97" s="5" t="s">
        <v>93</v>
      </c>
      <c r="L97" t="s">
        <v>536</v>
      </c>
    </row>
    <row r="98" spans="1:29" x14ac:dyDescent="0.2">
      <c r="A98">
        <v>88</v>
      </c>
      <c r="D98">
        <v>1.1989033988</v>
      </c>
      <c r="E98" s="1">
        <v>4.1017115200000003E-6</v>
      </c>
      <c r="F98" s="1">
        <v>4.3453211799999999E-6</v>
      </c>
      <c r="G98" s="1">
        <v>7.53359306942794E-6</v>
      </c>
      <c r="H98" s="1">
        <v>7.1649347043009405E-8</v>
      </c>
      <c r="I98" s="1">
        <v>2.50465916485178E-8</v>
      </c>
      <c r="J98">
        <v>11</v>
      </c>
      <c r="K98">
        <v>1</v>
      </c>
      <c r="L98">
        <v>0.2</v>
      </c>
      <c r="M98">
        <v>10</v>
      </c>
      <c r="N98" s="2">
        <f t="shared" ref="N98:N104" si="57">100*D98/(L98*5)</f>
        <v>119.89033988</v>
      </c>
      <c r="O98" s="3">
        <f t="shared" ref="O98:O104" si="58">1000000*E98*L98/(M98*D98)</f>
        <v>6.8424387220946473E-2</v>
      </c>
      <c r="P98" s="3">
        <f t="shared" ref="P98:P104" si="59">1000000*F98*L98/(D98*M98)</f>
        <v>7.2488261929181216E-2</v>
      </c>
      <c r="R98" s="3">
        <f t="shared" ref="R98:R104" si="60">1000000*L98*H98/(M98*D98)</f>
        <v>1.19524804274847E-3</v>
      </c>
      <c r="S98" s="3">
        <f t="shared" ref="S98:S104" si="61">1000000*L98*I98/(M98*D98)</f>
        <v>4.1782501698781239E-4</v>
      </c>
      <c r="T98" s="1">
        <f t="shared" ref="T98:T104" si="62">G98*100/D98</f>
        <v>6.2837365186956884E-4</v>
      </c>
      <c r="V98" s="3">
        <v>120</v>
      </c>
      <c r="W98" s="3">
        <f>O98</f>
        <v>6.8424387220946473E-2</v>
      </c>
      <c r="X98" s="3">
        <f>'Data(2013)'!N164</f>
        <v>-1.644966084789103E-2</v>
      </c>
      <c r="Y98" s="3">
        <f>'Data(2000)'!N164</f>
        <v>-4.6169938578732722E-2</v>
      </c>
      <c r="AA98" s="3">
        <f>-P98</f>
        <v>-7.2488261929181216E-2</v>
      </c>
      <c r="AB98" s="3">
        <f>'Data(2000)'!N164</f>
        <v>-4.6169938578732722E-2</v>
      </c>
      <c r="AC98" s="3">
        <f>'Data(2013)'!O164</f>
        <v>-2.6112431240492465E-2</v>
      </c>
    </row>
    <row r="99" spans="1:29" x14ac:dyDescent="0.2">
      <c r="A99">
        <v>89</v>
      </c>
      <c r="D99">
        <v>1.0017299613999999</v>
      </c>
      <c r="E99" s="1">
        <v>3.7452150999999999E-6</v>
      </c>
      <c r="F99" s="1">
        <v>3.7855738200000001E-6</v>
      </c>
      <c r="G99" s="1">
        <v>3.08229733578431E-6</v>
      </c>
      <c r="H99" s="1">
        <v>2.6519918306623802E-8</v>
      </c>
      <c r="I99" s="1">
        <v>9.4058451617917006E-9</v>
      </c>
      <c r="J99">
        <v>10</v>
      </c>
      <c r="K99">
        <v>1</v>
      </c>
      <c r="L99">
        <v>0.2</v>
      </c>
      <c r="M99">
        <v>10</v>
      </c>
      <c r="N99" s="2">
        <f t="shared" si="57"/>
        <v>100.17299614</v>
      </c>
      <c r="O99" s="3">
        <f t="shared" si="58"/>
        <v>7.477494423279013E-2</v>
      </c>
      <c r="P99" s="3">
        <f t="shared" si="59"/>
        <v>7.5580724663747711E-2</v>
      </c>
      <c r="R99" s="3">
        <f t="shared" si="60"/>
        <v>5.2948238204955037E-4</v>
      </c>
      <c r="S99" s="3">
        <f t="shared" si="61"/>
        <v>1.8779203027223545E-4</v>
      </c>
      <c r="T99" s="1">
        <f t="shared" si="62"/>
        <v>3.0769742890354864E-4</v>
      </c>
      <c r="V99" s="3">
        <v>100</v>
      </c>
      <c r="W99" s="3">
        <f t="shared" ref="W99:W104" si="63">O99</f>
        <v>7.477494423279013E-2</v>
      </c>
      <c r="X99" s="3">
        <f>'Data(2013)'!N165</f>
        <v>-1.7485218217558617E-2</v>
      </c>
      <c r="Y99" s="3">
        <f>'Data(2000)'!N165</f>
        <v>-5.0582532971667447E-2</v>
      </c>
      <c r="AA99" s="3">
        <f t="shared" ref="AA99:AA104" si="64">-P99</f>
        <v>-7.5580724663747711E-2</v>
      </c>
      <c r="AB99" s="3">
        <f>'Data(2000)'!N165</f>
        <v>-5.0582532971667447E-2</v>
      </c>
      <c r="AC99" s="3">
        <f>'Data(2013)'!O165</f>
        <v>-2.7167319249127596E-2</v>
      </c>
    </row>
    <row r="100" spans="1:29" x14ac:dyDescent="0.2">
      <c r="A100">
        <v>90</v>
      </c>
      <c r="D100">
        <v>0.60034134266000005</v>
      </c>
      <c r="E100" s="1">
        <v>3.06261246E-6</v>
      </c>
      <c r="F100" s="1">
        <v>2.3623002000000001E-6</v>
      </c>
      <c r="G100" s="1">
        <v>2.4087257543116098E-6</v>
      </c>
      <c r="H100" s="1">
        <v>2.9772577391760999E-8</v>
      </c>
      <c r="I100" s="1">
        <v>4.6057324389938199E-8</v>
      </c>
      <c r="J100">
        <v>10</v>
      </c>
      <c r="K100">
        <v>1</v>
      </c>
      <c r="L100">
        <v>0.2</v>
      </c>
      <c r="M100">
        <v>10</v>
      </c>
      <c r="N100" s="2">
        <f t="shared" si="57"/>
        <v>60.034134266000002</v>
      </c>
      <c r="O100" s="3">
        <f t="shared" si="58"/>
        <v>0.10202903722839203</v>
      </c>
      <c r="P100" s="3">
        <f t="shared" si="59"/>
        <v>7.8698568035747471E-2</v>
      </c>
      <c r="R100" s="3">
        <f t="shared" si="60"/>
        <v>9.9185497569913425E-4</v>
      </c>
      <c r="S100" s="3">
        <f t="shared" si="61"/>
        <v>1.5343712357328856E-3</v>
      </c>
      <c r="T100" s="1">
        <f t="shared" si="62"/>
        <v>4.012260331162597E-4</v>
      </c>
      <c r="V100" s="3">
        <v>60</v>
      </c>
      <c r="W100" s="3">
        <f t="shared" si="63"/>
        <v>0.10202903722839203</v>
      </c>
      <c r="X100" s="3">
        <f>'Data(2013)'!N166</f>
        <v>-1.9979542349289139E-2</v>
      </c>
      <c r="Y100" s="3">
        <f>'Data(2000)'!N166</f>
        <v>-6.0999466757223619E-2</v>
      </c>
      <c r="AA100" s="3">
        <f t="shared" si="64"/>
        <v>-7.8698568035747471E-2</v>
      </c>
      <c r="AB100" s="3">
        <f>'Data(2000)'!N166</f>
        <v>-6.0999466757223619E-2</v>
      </c>
      <c r="AC100" s="3">
        <f>'Data(2013)'!O166</f>
        <v>-3.1007385467940844E-2</v>
      </c>
    </row>
    <row r="101" spans="1:29" x14ac:dyDescent="0.2">
      <c r="A101">
        <v>91</v>
      </c>
      <c r="D101">
        <v>0.40006054563999999</v>
      </c>
      <c r="E101" s="1">
        <v>2.4360132799999999E-6</v>
      </c>
      <c r="F101" s="1">
        <v>1.4333405799999999E-6</v>
      </c>
      <c r="G101" s="1">
        <v>1.5119898218068001E-6</v>
      </c>
      <c r="H101" s="1">
        <v>5.0401969447235E-9</v>
      </c>
      <c r="I101" s="1">
        <v>2.2455743048574501E-8</v>
      </c>
      <c r="J101">
        <v>10</v>
      </c>
      <c r="K101">
        <v>1</v>
      </c>
      <c r="L101">
        <v>0.2</v>
      </c>
      <c r="M101">
        <v>10</v>
      </c>
      <c r="N101" s="2">
        <f t="shared" si="57"/>
        <v>40.006054563999996</v>
      </c>
      <c r="O101" s="3">
        <f t="shared" si="58"/>
        <v>0.12178223054227799</v>
      </c>
      <c r="P101" s="3">
        <f t="shared" si="59"/>
        <v>7.1656182826377049E-2</v>
      </c>
      <c r="R101" s="3">
        <f t="shared" si="60"/>
        <v>2.5197170776540366E-4</v>
      </c>
      <c r="S101" s="3">
        <f t="shared" si="61"/>
        <v>1.1226172284822915E-3</v>
      </c>
      <c r="T101" s="1">
        <f t="shared" si="62"/>
        <v>3.7794024886607662E-4</v>
      </c>
      <c r="V101" s="3">
        <v>40</v>
      </c>
      <c r="W101" s="3">
        <f t="shared" si="63"/>
        <v>0.12178223054227799</v>
      </c>
      <c r="X101" s="3">
        <f>'Data(2013)'!N167</f>
        <v>-2.3951227702488538E-2</v>
      </c>
      <c r="Y101" s="3">
        <f>'Data(2000)'!N167</f>
        <v>-7.3508732479688657E-2</v>
      </c>
      <c r="AA101" s="3">
        <f t="shared" si="64"/>
        <v>-7.1656182826377049E-2</v>
      </c>
      <c r="AB101" s="3">
        <f>'Data(2000)'!N167</f>
        <v>-7.3508732479688657E-2</v>
      </c>
      <c r="AC101" s="3">
        <f>'Data(2013)'!O167</f>
        <v>-3.6736383413223002E-2</v>
      </c>
    </row>
    <row r="102" spans="1:29" x14ac:dyDescent="0.2">
      <c r="A102">
        <v>92</v>
      </c>
      <c r="D102">
        <v>0.19976442342</v>
      </c>
      <c r="E102" s="1">
        <v>1.4726032600000001E-6</v>
      </c>
      <c r="F102" s="1">
        <v>7.5887718199999997E-7</v>
      </c>
      <c r="G102" s="1">
        <v>6.9550129406655104E-7</v>
      </c>
      <c r="H102" s="1">
        <v>7.48129967637468E-8</v>
      </c>
      <c r="I102" s="1">
        <v>3.9594676943256897E-8</v>
      </c>
      <c r="J102">
        <v>9</v>
      </c>
      <c r="K102">
        <v>1</v>
      </c>
      <c r="L102">
        <v>0.2</v>
      </c>
      <c r="M102">
        <v>10</v>
      </c>
      <c r="N102" s="2">
        <f t="shared" si="57"/>
        <v>19.976442341999999</v>
      </c>
      <c r="O102" s="3">
        <f t="shared" si="58"/>
        <v>0.14743398597095406</v>
      </c>
      <c r="P102" s="3">
        <f t="shared" si="59"/>
        <v>7.5977210456986993E-2</v>
      </c>
      <c r="R102" s="3">
        <f t="shared" si="60"/>
        <v>7.4901221631896112E-3</v>
      </c>
      <c r="S102" s="3">
        <f t="shared" si="61"/>
        <v>3.9641369834918019E-3</v>
      </c>
      <c r="T102" s="1">
        <f t="shared" si="62"/>
        <v>3.481607396149193E-4</v>
      </c>
      <c r="V102" s="3">
        <v>20</v>
      </c>
      <c r="W102" s="3">
        <f t="shared" si="63"/>
        <v>0.14743398597095406</v>
      </c>
      <c r="X102" s="3">
        <f>'Data(2013)'!N168</f>
        <v>-3.3384040118780184E-2</v>
      </c>
      <c r="Y102" s="3">
        <f>'Data(2000)'!N168</f>
        <v>-8.9157448822042296E-2</v>
      </c>
      <c r="AA102" s="3">
        <f t="shared" si="64"/>
        <v>-7.5977210456986993E-2</v>
      </c>
      <c r="AB102" s="3">
        <f>'Data(2000)'!N168</f>
        <v>-8.9157448822042296E-2</v>
      </c>
      <c r="AC102" s="3">
        <f>'Data(2013)'!O168</f>
        <v>-4.3022533451896217E-2</v>
      </c>
    </row>
    <row r="103" spans="1:29" x14ac:dyDescent="0.2">
      <c r="A103">
        <v>93</v>
      </c>
      <c r="D103">
        <v>0.100012123336</v>
      </c>
      <c r="E103" s="1">
        <v>8.4131757600000001E-7</v>
      </c>
      <c r="F103" s="1">
        <v>4.1302173200000001E-7</v>
      </c>
      <c r="G103" s="1">
        <v>2.78082180315436E-7</v>
      </c>
      <c r="H103" s="1">
        <v>3.5323036120132998E-8</v>
      </c>
      <c r="I103" s="1">
        <v>2.0832740845893902E-8</v>
      </c>
      <c r="J103">
        <v>9</v>
      </c>
      <c r="K103">
        <v>1</v>
      </c>
      <c r="L103">
        <v>0.2</v>
      </c>
      <c r="M103">
        <v>10</v>
      </c>
      <c r="N103" s="2">
        <f t="shared" si="57"/>
        <v>10.0012123336</v>
      </c>
      <c r="O103" s="3">
        <f t="shared" si="58"/>
        <v>0.16824311852144477</v>
      </c>
      <c r="P103" s="3">
        <f t="shared" si="59"/>
        <v>8.2594333211467821E-2</v>
      </c>
      <c r="R103" s="3">
        <f t="shared" si="60"/>
        <v>7.0637508617754242E-3</v>
      </c>
      <c r="S103" s="3">
        <f t="shared" si="61"/>
        <v>4.1660431057751624E-3</v>
      </c>
      <c r="T103" s="1">
        <f t="shared" si="62"/>
        <v>2.7804847156498533E-4</v>
      </c>
      <c r="V103" s="3">
        <v>10</v>
      </c>
      <c r="W103" s="3">
        <f t="shared" si="63"/>
        <v>0.16824311852144477</v>
      </c>
      <c r="X103" s="3">
        <f>'Data(2013)'!N169</f>
        <v>-3.4866196654333374E-2</v>
      </c>
      <c r="Y103" s="3">
        <f>'Data(2000)'!N169</f>
        <v>-0.10684158360783273</v>
      </c>
      <c r="AA103" s="3">
        <f t="shared" si="64"/>
        <v>-8.2594333211467821E-2</v>
      </c>
      <c r="AB103" s="3">
        <f>'Data(2000)'!N169</f>
        <v>-0.10684158360783273</v>
      </c>
      <c r="AC103" s="3">
        <f>'Data(2013)'!O169</f>
        <v>-4.3335006526921308E-2</v>
      </c>
    </row>
    <row r="104" spans="1:29" x14ac:dyDescent="0.2">
      <c r="A104">
        <v>94</v>
      </c>
      <c r="D104">
        <v>5.0021963241999999E-2</v>
      </c>
      <c r="E104" s="1">
        <v>4.4637866599999998E-7</v>
      </c>
      <c r="F104" s="1">
        <v>1.9231390599999999E-7</v>
      </c>
      <c r="G104" s="1">
        <v>9.1752558607245304E-8</v>
      </c>
      <c r="H104" s="1">
        <v>2.06491868675365E-8</v>
      </c>
      <c r="I104" s="1">
        <v>5.0416206326985402E-8</v>
      </c>
      <c r="J104">
        <v>8</v>
      </c>
      <c r="K104">
        <v>1</v>
      </c>
      <c r="L104">
        <v>0.2</v>
      </c>
      <c r="M104">
        <v>10</v>
      </c>
      <c r="N104" s="2">
        <f t="shared" si="57"/>
        <v>5.0021963241999998</v>
      </c>
      <c r="O104" s="3">
        <f t="shared" si="58"/>
        <v>0.17847306945570124</v>
      </c>
      <c r="P104" s="3">
        <f t="shared" si="59"/>
        <v>7.6891786541687449E-2</v>
      </c>
      <c r="R104" s="3">
        <f t="shared" si="60"/>
        <v>8.2560481553426105E-3</v>
      </c>
      <c r="S104" s="3">
        <f t="shared" si="61"/>
        <v>2.0157627993558792E-2</v>
      </c>
      <c r="T104" s="1">
        <f t="shared" si="62"/>
        <v>1.8342454526096448E-4</v>
      </c>
      <c r="V104" s="3">
        <v>5</v>
      </c>
      <c r="W104" s="3">
        <f t="shared" si="63"/>
        <v>0.17847306945570124</v>
      </c>
      <c r="X104" s="3"/>
      <c r="Y104" s="3"/>
      <c r="AA104" s="3">
        <f t="shared" si="64"/>
        <v>-7.6891786541687449E-2</v>
      </c>
    </row>
    <row r="105" spans="1:29" x14ac:dyDescent="0.2">
      <c r="A105">
        <v>95</v>
      </c>
      <c r="D105" s="1" t="s">
        <v>537</v>
      </c>
      <c r="N105" s="2"/>
      <c r="O105" s="3"/>
      <c r="P105" s="3"/>
      <c r="R105" s="3"/>
      <c r="S105" s="3"/>
      <c r="T105" s="1"/>
    </row>
    <row r="106" spans="1:29" x14ac:dyDescent="0.2">
      <c r="A106">
        <v>96</v>
      </c>
      <c r="C106" s="5" t="s">
        <v>559</v>
      </c>
      <c r="E106" s="1"/>
      <c r="G106" s="1"/>
      <c r="H106" s="1"/>
      <c r="I106" s="1"/>
      <c r="L106" t="s">
        <v>536</v>
      </c>
      <c r="N106" s="2"/>
      <c r="O106" s="3"/>
      <c r="P106" s="3"/>
      <c r="R106" s="3"/>
      <c r="S106" s="3"/>
      <c r="T106" s="1"/>
    </row>
    <row r="107" spans="1:29" x14ac:dyDescent="0.2">
      <c r="A107">
        <v>97</v>
      </c>
      <c r="D107">
        <v>1.1988080308</v>
      </c>
      <c r="E107" s="1">
        <v>4.6984733599999999E-6</v>
      </c>
      <c r="F107" s="1">
        <v>3.5323391599999998E-6</v>
      </c>
      <c r="G107" s="1">
        <v>7.3614363994844596E-6</v>
      </c>
      <c r="H107" s="1">
        <v>9.6569949277766506E-8</v>
      </c>
      <c r="I107" s="1">
        <v>6.4849127655616205E-8</v>
      </c>
      <c r="J107">
        <v>11</v>
      </c>
      <c r="K107">
        <v>1</v>
      </c>
      <c r="L107">
        <v>0.2</v>
      </c>
      <c r="M107">
        <v>10</v>
      </c>
      <c r="N107" s="2">
        <f t="shared" ref="N107:N113" si="65">100*D107/(L107*5)</f>
        <v>119.88080307999999</v>
      </c>
      <c r="O107" s="3">
        <f t="shared" ref="O107:O113" si="66">1000000*E107*L107/(M107*D107)</f>
        <v>7.8385750500262655E-2</v>
      </c>
      <c r="P107" s="3">
        <f t="shared" ref="P107:P113" si="67">1000000*F107*L107/(D107*M107)</f>
        <v>5.8930855804206872E-2</v>
      </c>
      <c r="R107" s="3">
        <f t="shared" ref="R107:R113" si="68">1000000*L107*H107/(M107*D107)</f>
        <v>1.6110994720868281E-3</v>
      </c>
      <c r="S107" s="3">
        <f t="shared" ref="S107:S113" si="69">1000000*L107*I107/(M107*D107)</f>
        <v>1.0818934473160054E-3</v>
      </c>
      <c r="T107" s="1">
        <f t="shared" ref="T107:T113" si="70">G107*100/D107</f>
        <v>6.1406298676293955E-4</v>
      </c>
    </row>
    <row r="108" spans="1:29" x14ac:dyDescent="0.2">
      <c r="A108">
        <v>98</v>
      </c>
      <c r="D108">
        <v>1.0022068129999999</v>
      </c>
      <c r="E108" s="1">
        <v>4.1970687799999998E-6</v>
      </c>
      <c r="F108" s="1">
        <v>3.1277477199999899E-6</v>
      </c>
      <c r="G108" s="1">
        <v>1.37928141511434E-6</v>
      </c>
      <c r="H108" s="1">
        <v>2.0914811524649202E-8</v>
      </c>
      <c r="I108" s="1">
        <v>5.6760045455936796E-9</v>
      </c>
      <c r="J108">
        <v>10</v>
      </c>
      <c r="K108">
        <v>1</v>
      </c>
      <c r="L108">
        <v>0.2</v>
      </c>
      <c r="M108">
        <v>10</v>
      </c>
      <c r="N108" s="2">
        <f t="shared" si="65"/>
        <v>100.2206813</v>
      </c>
      <c r="O108" s="3">
        <f t="shared" si="66"/>
        <v>8.3756540577418728E-2</v>
      </c>
      <c r="P108" s="3">
        <f t="shared" si="67"/>
        <v>6.2417211286708546E-2</v>
      </c>
      <c r="R108" s="3">
        <f t="shared" si="68"/>
        <v>4.1737516156057508E-4</v>
      </c>
      <c r="S108" s="3">
        <f t="shared" si="69"/>
        <v>1.1327012492767158E-4</v>
      </c>
      <c r="T108" s="1">
        <f t="shared" si="70"/>
        <v>1.3762443012990574E-4</v>
      </c>
    </row>
    <row r="109" spans="1:29" x14ac:dyDescent="0.2">
      <c r="A109">
        <v>99</v>
      </c>
      <c r="D109">
        <v>0.60127842828</v>
      </c>
      <c r="E109" s="1">
        <v>3.2879570400000001E-6</v>
      </c>
      <c r="F109" s="1">
        <v>1.9874712000000002E-6</v>
      </c>
      <c r="G109" s="1">
        <v>2.2077537304086002E-6</v>
      </c>
      <c r="H109" s="1">
        <v>6.5277875933875206E-8</v>
      </c>
      <c r="I109" s="1">
        <v>4.2422431898230401E-8</v>
      </c>
      <c r="J109">
        <v>10</v>
      </c>
      <c r="K109">
        <v>1</v>
      </c>
      <c r="L109">
        <v>0.2</v>
      </c>
      <c r="M109">
        <v>10</v>
      </c>
      <c r="N109" s="2">
        <f t="shared" si="65"/>
        <v>60.127842827999999</v>
      </c>
      <c r="O109" s="3">
        <f t="shared" si="66"/>
        <v>0.10936554133183979</v>
      </c>
      <c r="P109" s="3">
        <f t="shared" si="67"/>
        <v>6.6108182383502564E-2</v>
      </c>
      <c r="R109" s="3">
        <f t="shared" si="68"/>
        <v>2.1713027730134024E-3</v>
      </c>
      <c r="S109" s="3">
        <f t="shared" si="69"/>
        <v>1.4110744674337577E-3</v>
      </c>
      <c r="T109" s="1">
        <f t="shared" si="70"/>
        <v>3.6717660680494357E-4</v>
      </c>
    </row>
    <row r="110" spans="1:29" x14ac:dyDescent="0.2">
      <c r="A110">
        <v>100</v>
      </c>
      <c r="D110">
        <v>0.40120864466</v>
      </c>
      <c r="E110" s="1">
        <v>2.4518424200000099E-6</v>
      </c>
      <c r="F110" s="1">
        <v>1.38807278E-6</v>
      </c>
      <c r="G110" s="1">
        <v>1.47343485061542E-6</v>
      </c>
      <c r="H110" s="1">
        <v>1.28443388753022E-8</v>
      </c>
      <c r="I110" s="1">
        <v>6.74926399480713E-9</v>
      </c>
      <c r="J110">
        <v>10</v>
      </c>
      <c r="K110">
        <v>1</v>
      </c>
      <c r="L110">
        <v>0.2</v>
      </c>
      <c r="M110">
        <v>10</v>
      </c>
      <c r="N110" s="2">
        <f t="shared" si="65"/>
        <v>40.120864466</v>
      </c>
      <c r="O110" s="3">
        <f t="shared" si="66"/>
        <v>0.12222281112999436</v>
      </c>
      <c r="P110" s="3">
        <f t="shared" si="67"/>
        <v>6.9194559911654324E-2</v>
      </c>
      <c r="Q110" s="8"/>
      <c r="R110" s="3">
        <f t="shared" si="68"/>
        <v>6.4028225943072576E-4</v>
      </c>
      <c r="S110" s="3">
        <f t="shared" si="69"/>
        <v>3.3644658880801147E-4</v>
      </c>
      <c r="T110" s="1">
        <f t="shared" si="70"/>
        <v>3.6724902871025286E-4</v>
      </c>
    </row>
    <row r="111" spans="1:29" x14ac:dyDescent="0.2">
      <c r="A111">
        <v>101</v>
      </c>
      <c r="D111">
        <v>0.20007584287999999</v>
      </c>
      <c r="E111" s="1">
        <v>1.50839702E-6</v>
      </c>
      <c r="F111" s="1">
        <v>6.70940772000002E-7</v>
      </c>
      <c r="G111" s="1">
        <v>7.20778542069946E-7</v>
      </c>
      <c r="H111" s="1">
        <v>2.41426246899462E-8</v>
      </c>
      <c r="I111" s="1">
        <v>1.4445178360962401E-8</v>
      </c>
      <c r="J111">
        <v>9</v>
      </c>
      <c r="K111">
        <v>1</v>
      </c>
      <c r="L111">
        <v>0.2</v>
      </c>
      <c r="M111">
        <v>10</v>
      </c>
      <c r="N111" s="2">
        <f t="shared" si="65"/>
        <v>20.007584288</v>
      </c>
      <c r="O111" s="3">
        <f t="shared" si="66"/>
        <v>0.1507825230959737</v>
      </c>
      <c r="P111" s="3">
        <f t="shared" si="67"/>
        <v>6.7068643804481076E-2</v>
      </c>
      <c r="Q111" s="8"/>
      <c r="R111" s="3">
        <f t="shared" si="68"/>
        <v>2.4133472929489331E-3</v>
      </c>
      <c r="S111" s="3">
        <f t="shared" si="69"/>
        <v>1.4439702617798018E-3</v>
      </c>
      <c r="T111" s="1">
        <f t="shared" si="70"/>
        <v>3.602526580394062E-4</v>
      </c>
    </row>
    <row r="112" spans="1:29" x14ac:dyDescent="0.2">
      <c r="A112">
        <v>102</v>
      </c>
      <c r="D112">
        <v>0.10085255474</v>
      </c>
      <c r="E112" s="1">
        <v>8.4912022199999897E-7</v>
      </c>
      <c r="F112" s="1">
        <v>3.73095922E-7</v>
      </c>
      <c r="G112" s="1">
        <v>3.0519129920008098E-7</v>
      </c>
      <c r="H112" s="1">
        <v>3.1526938867145303E-8</v>
      </c>
      <c r="I112" s="1">
        <v>3.5935704723685597E-8</v>
      </c>
      <c r="J112">
        <v>9</v>
      </c>
      <c r="K112">
        <v>1</v>
      </c>
      <c r="L112">
        <v>0.2</v>
      </c>
      <c r="M112">
        <v>10</v>
      </c>
      <c r="N112" s="2">
        <f t="shared" si="65"/>
        <v>10.085255474</v>
      </c>
      <c r="O112" s="3">
        <f t="shared" si="66"/>
        <v>0.16838844076663176</v>
      </c>
      <c r="P112" s="3">
        <f t="shared" si="67"/>
        <v>7.3988392849709983E-2</v>
      </c>
      <c r="R112" s="3">
        <f t="shared" si="68"/>
        <v>6.252085323653408E-3</v>
      </c>
      <c r="S112" s="3">
        <f t="shared" si="69"/>
        <v>7.1263846149120548E-3</v>
      </c>
      <c r="T112" s="1">
        <f t="shared" si="70"/>
        <v>3.0261137160766087E-4</v>
      </c>
    </row>
    <row r="113" spans="1:21" x14ac:dyDescent="0.2">
      <c r="A113">
        <v>103</v>
      </c>
      <c r="D113">
        <v>5.01683853E-2</v>
      </c>
      <c r="E113" s="1">
        <v>4.4315955599999998E-7</v>
      </c>
      <c r="F113" s="1">
        <v>1.80936182E-7</v>
      </c>
      <c r="G113" s="1">
        <v>7.0979234471248598E-8</v>
      </c>
      <c r="H113" s="1">
        <v>2.0204008658750499E-8</v>
      </c>
      <c r="I113" s="1">
        <v>2.03444196528895E-8</v>
      </c>
      <c r="J113">
        <v>7</v>
      </c>
      <c r="K113">
        <v>1</v>
      </c>
      <c r="L113">
        <v>0.2</v>
      </c>
      <c r="M113">
        <v>10</v>
      </c>
      <c r="N113" s="2">
        <f t="shared" si="65"/>
        <v>5.0168385300000002</v>
      </c>
      <c r="O113" s="3">
        <f t="shared" si="66"/>
        <v>0.17666885364157817</v>
      </c>
      <c r="P113" s="3">
        <f t="shared" si="67"/>
        <v>7.2131554929674019E-2</v>
      </c>
      <c r="R113" s="3">
        <f t="shared" si="68"/>
        <v>8.0544783484392916E-3</v>
      </c>
      <c r="S113" s="3">
        <f t="shared" si="69"/>
        <v>8.1104542357632956E-3</v>
      </c>
      <c r="T113" s="1">
        <f t="shared" si="70"/>
        <v>1.4148199916501716E-4</v>
      </c>
    </row>
    <row r="114" spans="1:21" x14ac:dyDescent="0.2">
      <c r="A114">
        <v>104</v>
      </c>
      <c r="E114" s="1"/>
      <c r="F114" s="1"/>
      <c r="G114" s="1"/>
      <c r="H114" s="1"/>
      <c r="I114" s="1"/>
      <c r="N114" s="2"/>
      <c r="O114" s="3"/>
      <c r="P114" s="3"/>
      <c r="R114" s="3"/>
      <c r="S114" s="3"/>
      <c r="T114" s="1"/>
    </row>
    <row r="115" spans="1:21" x14ac:dyDescent="0.2">
      <c r="A115">
        <v>105</v>
      </c>
      <c r="C115" s="5" t="s">
        <v>95</v>
      </c>
      <c r="E115" s="1"/>
      <c r="F115" s="1"/>
      <c r="G115" s="1"/>
      <c r="H115" s="1"/>
      <c r="I115" s="1"/>
      <c r="L115" t="s">
        <v>536</v>
      </c>
      <c r="N115" s="2"/>
      <c r="O115" s="3"/>
      <c r="P115" s="3"/>
      <c r="R115" s="3"/>
      <c r="S115" s="3"/>
      <c r="T115" s="1"/>
    </row>
    <row r="116" spans="1:21" x14ac:dyDescent="0.2">
      <c r="A116">
        <v>106</v>
      </c>
      <c r="D116" s="219">
        <v>1.1985080194</v>
      </c>
      <c r="E116" s="220">
        <v>1.81024806E-5</v>
      </c>
      <c r="F116" s="220">
        <v>3.4878199999999699E-6</v>
      </c>
      <c r="G116" s="220">
        <v>9.4965644709540995E-6</v>
      </c>
      <c r="H116" s="220">
        <v>8.1478454352300805E-8</v>
      </c>
      <c r="I116" s="220">
        <v>3.1763735522036299E-20</v>
      </c>
      <c r="J116" s="219">
        <v>12</v>
      </c>
      <c r="K116" s="219">
        <v>1</v>
      </c>
      <c r="L116" s="219">
        <v>0.2</v>
      </c>
      <c r="M116" s="219">
        <v>10</v>
      </c>
      <c r="N116" s="215">
        <f t="shared" ref="N116:N122" si="71">100*D116/(L116*5)</f>
        <v>119.85080194</v>
      </c>
      <c r="O116" s="221">
        <f t="shared" ref="O116:O122" si="72">1000000*E116*L116/(M116*D116)</f>
        <v>0.3020835957203275</v>
      </c>
      <c r="P116" s="221">
        <f t="shared" ref="P116:P122" si="73">1000000*F116*L116/(D116*M116)</f>
        <v>5.8202697746587484E-2</v>
      </c>
      <c r="Q116" s="219"/>
      <c r="R116" s="221">
        <f t="shared" ref="R116:R122" si="74">1000000*L116*H116/(M116*D116)</f>
        <v>1.3596647337093455E-3</v>
      </c>
      <c r="S116" s="221">
        <f t="shared" ref="S116:S122" si="75">1000000*L116*I116/(M116*D116)</f>
        <v>5.3005461803981817E-16</v>
      </c>
      <c r="T116" s="220">
        <f t="shared" ref="T116:T122" si="76">G116*100/D116</f>
        <v>7.9236553425051704E-4</v>
      </c>
      <c r="U116" s="219" t="s">
        <v>538</v>
      </c>
    </row>
    <row r="117" spans="1:21" x14ac:dyDescent="0.2">
      <c r="A117">
        <v>107</v>
      </c>
      <c r="D117">
        <v>1.0009207790000001</v>
      </c>
      <c r="E117" s="1">
        <v>1.59021756E-5</v>
      </c>
      <c r="F117" s="1">
        <v>2.79305000000001E-6</v>
      </c>
      <c r="G117" s="1">
        <v>4.3638334378982502E-6</v>
      </c>
      <c r="H117" s="1">
        <v>2.3916326738025698E-8</v>
      </c>
      <c r="I117" s="1">
        <v>1.22819777351874E-20</v>
      </c>
      <c r="J117">
        <v>12</v>
      </c>
      <c r="K117">
        <v>1</v>
      </c>
      <c r="L117">
        <v>0.2</v>
      </c>
      <c r="M117">
        <v>10</v>
      </c>
      <c r="N117" s="2">
        <f t="shared" si="71"/>
        <v>100.09207790000001</v>
      </c>
      <c r="O117" s="3">
        <f t="shared" si="72"/>
        <v>0.31775093361309864</v>
      </c>
      <c r="P117" s="3">
        <f t="shared" si="73"/>
        <v>5.580961168156566E-2</v>
      </c>
      <c r="R117" s="3">
        <f t="shared" si="74"/>
        <v>4.7788650690057654E-4</v>
      </c>
      <c r="S117" s="3">
        <f t="shared" si="75"/>
        <v>2.4541358303017904E-16</v>
      </c>
      <c r="T117" s="1">
        <f t="shared" si="76"/>
        <v>4.3598190081117793E-4</v>
      </c>
    </row>
    <row r="118" spans="1:21" x14ac:dyDescent="0.2">
      <c r="A118">
        <v>108</v>
      </c>
      <c r="D118">
        <v>0.60157761231999995</v>
      </c>
      <c r="E118" s="1">
        <v>1.02926368E-5</v>
      </c>
      <c r="F118" s="1">
        <v>1.9156454600000001E-6</v>
      </c>
      <c r="G118" s="1">
        <v>1.67241567599598E-6</v>
      </c>
      <c r="H118" s="1">
        <v>1.89919795113622E-8</v>
      </c>
      <c r="I118" s="1">
        <v>3.2964691874616498E-8</v>
      </c>
      <c r="J118">
        <v>11</v>
      </c>
      <c r="K118">
        <v>1</v>
      </c>
      <c r="L118">
        <v>0.2</v>
      </c>
      <c r="M118">
        <v>10</v>
      </c>
      <c r="N118" s="2">
        <f t="shared" si="71"/>
        <v>60.157761231999999</v>
      </c>
      <c r="O118" s="3">
        <f t="shared" si="72"/>
        <v>0.34218815957283305</v>
      </c>
      <c r="P118" s="3">
        <f t="shared" si="73"/>
        <v>6.3687391976315844E-2</v>
      </c>
      <c r="R118" s="3">
        <f t="shared" si="74"/>
        <v>6.314057944450136E-4</v>
      </c>
      <c r="S118" s="3">
        <f t="shared" si="75"/>
        <v>1.0959414446121854E-3</v>
      </c>
      <c r="T118" s="1">
        <f t="shared" si="76"/>
        <v>2.7800497254980359E-4</v>
      </c>
    </row>
    <row r="119" spans="1:21" x14ac:dyDescent="0.2">
      <c r="A119">
        <v>109</v>
      </c>
      <c r="D119">
        <v>0.40020200750000001</v>
      </c>
      <c r="E119" s="1">
        <v>7.1173757799999996E-6</v>
      </c>
      <c r="F119" s="1">
        <v>1.16847446E-6</v>
      </c>
      <c r="G119" s="1">
        <v>1.35541854545447E-6</v>
      </c>
      <c r="H119" s="1">
        <v>7.7409757906814304E-8</v>
      </c>
      <c r="I119" s="1">
        <v>7.7702666625466595E-8</v>
      </c>
      <c r="J119">
        <v>11</v>
      </c>
      <c r="K119">
        <v>1</v>
      </c>
      <c r="L119">
        <v>0.2</v>
      </c>
      <c r="M119">
        <v>10</v>
      </c>
      <c r="N119" s="2">
        <f t="shared" si="71"/>
        <v>40.020200750000001</v>
      </c>
      <c r="O119" s="3">
        <f t="shared" si="72"/>
        <v>0.35568915930537909</v>
      </c>
      <c r="P119" s="3">
        <f t="shared" si="73"/>
        <v>5.8394232817535294E-2</v>
      </c>
      <c r="Q119" s="8"/>
      <c r="R119" s="3">
        <f t="shared" si="74"/>
        <v>3.8685342130281197E-3</v>
      </c>
      <c r="S119" s="3">
        <f t="shared" si="75"/>
        <v>3.8831722564743303E-3</v>
      </c>
      <c r="T119" s="1">
        <f t="shared" si="76"/>
        <v>3.3868359479792711E-4</v>
      </c>
    </row>
    <row r="120" spans="1:21" x14ac:dyDescent="0.2">
      <c r="A120">
        <v>110</v>
      </c>
      <c r="D120">
        <v>0.20029584557999999</v>
      </c>
      <c r="E120" s="1">
        <v>3.79621222E-6</v>
      </c>
      <c r="F120" s="1">
        <v>6.9617989200000403E-7</v>
      </c>
      <c r="G120" s="1">
        <v>7.2864148485941099E-7</v>
      </c>
      <c r="H120" s="1">
        <v>3.7277554200349201E-9</v>
      </c>
      <c r="I120" s="1">
        <v>1.68179610664789E-9</v>
      </c>
      <c r="J120">
        <v>10</v>
      </c>
      <c r="K120">
        <v>1</v>
      </c>
      <c r="L120">
        <v>0.2</v>
      </c>
      <c r="M120">
        <v>10</v>
      </c>
      <c r="N120" s="2">
        <f t="shared" si="71"/>
        <v>20.029584558</v>
      </c>
      <c r="O120" s="3">
        <f t="shared" si="72"/>
        <v>0.37906050512503098</v>
      </c>
      <c r="P120" s="3">
        <f t="shared" si="73"/>
        <v>6.9515160435211665E-2</v>
      </c>
      <c r="Q120" s="8"/>
      <c r="R120" s="3">
        <f t="shared" si="74"/>
        <v>3.722249364923568E-4</v>
      </c>
      <c r="S120" s="3">
        <f t="shared" si="75"/>
        <v>1.6793120214529512E-4</v>
      </c>
      <c r="T120" s="1">
        <f t="shared" si="76"/>
        <v>3.6378262502123886E-4</v>
      </c>
    </row>
    <row r="121" spans="1:21" x14ac:dyDescent="0.2">
      <c r="A121">
        <v>111</v>
      </c>
      <c r="D121">
        <v>9.9907159925999994E-2</v>
      </c>
      <c r="E121" s="1">
        <v>2.0548385000000001E-6</v>
      </c>
      <c r="F121" s="1">
        <v>3.47618000000003E-7</v>
      </c>
      <c r="G121" s="1">
        <v>2.7281904966340798E-7</v>
      </c>
      <c r="H121" s="1">
        <v>1.7976443184067301E-8</v>
      </c>
      <c r="I121" s="1">
        <v>3.2822526706104101E-21</v>
      </c>
      <c r="J121">
        <v>10</v>
      </c>
      <c r="K121">
        <v>1</v>
      </c>
      <c r="L121">
        <v>0.2</v>
      </c>
      <c r="M121">
        <v>10</v>
      </c>
      <c r="N121" s="2">
        <f t="shared" si="71"/>
        <v>9.9907159926000002</v>
      </c>
      <c r="O121" s="3">
        <f t="shared" si="72"/>
        <v>0.41134959727050474</v>
      </c>
      <c r="P121" s="3">
        <f t="shared" si="73"/>
        <v>6.9588205741706488E-2</v>
      </c>
      <c r="R121" s="3">
        <f t="shared" si="74"/>
        <v>3.5986296072037746E-3</v>
      </c>
      <c r="S121" s="3">
        <f t="shared" si="75"/>
        <v>6.5706054962257647E-16</v>
      </c>
      <c r="T121" s="1">
        <f t="shared" si="76"/>
        <v>2.7307257043987808E-4</v>
      </c>
    </row>
    <row r="122" spans="1:21" x14ac:dyDescent="0.2">
      <c r="A122">
        <v>112</v>
      </c>
      <c r="D122">
        <v>4.9999022781999997E-2</v>
      </c>
      <c r="E122" s="1">
        <v>1.02001432E-6</v>
      </c>
      <c r="F122" s="1">
        <v>1.5226665240000001E-7</v>
      </c>
      <c r="G122" s="1">
        <v>1.11274259710836E-7</v>
      </c>
      <c r="H122" s="1">
        <v>2.8826322260212101E-8</v>
      </c>
      <c r="I122" s="1">
        <v>1.6508816904082899E-8</v>
      </c>
      <c r="J122">
        <v>8</v>
      </c>
      <c r="K122">
        <v>1</v>
      </c>
      <c r="L122">
        <v>0.2</v>
      </c>
      <c r="M122">
        <v>10</v>
      </c>
      <c r="N122" s="2">
        <f t="shared" si="71"/>
        <v>4.9999022781999996</v>
      </c>
      <c r="O122" s="3">
        <f t="shared" si="72"/>
        <v>0.40801370236668405</v>
      </c>
      <c r="P122" s="3">
        <f t="shared" si="73"/>
        <v>6.0907851364973911E-2</v>
      </c>
      <c r="R122" s="3">
        <f t="shared" si="74"/>
        <v>1.1530754265297273E-2</v>
      </c>
      <c r="S122" s="3">
        <f t="shared" si="75"/>
        <v>6.6036558258599368E-3</v>
      </c>
      <c r="T122" s="1">
        <f t="shared" si="76"/>
        <v>2.2255286907506427E-4</v>
      </c>
    </row>
    <row r="123" spans="1:21" x14ac:dyDescent="0.2">
      <c r="A123">
        <v>113</v>
      </c>
    </row>
    <row r="124" spans="1:21" x14ac:dyDescent="0.2">
      <c r="A124">
        <v>114</v>
      </c>
      <c r="D124" t="s">
        <v>467</v>
      </c>
    </row>
    <row r="125" spans="1:21" x14ac:dyDescent="0.2">
      <c r="A125">
        <v>115</v>
      </c>
      <c r="D125">
        <v>0.40304850168</v>
      </c>
      <c r="E125" s="1">
        <v>-4.0319574599999801E-5</v>
      </c>
      <c r="F125">
        <v>1.05194424E-4</v>
      </c>
      <c r="G125" s="1">
        <v>1.06585032407852E-7</v>
      </c>
      <c r="H125" s="1">
        <v>2.0966650946332199E-5</v>
      </c>
      <c r="I125" s="1">
        <v>6.0775245394308797E-6</v>
      </c>
      <c r="J125">
        <v>14</v>
      </c>
      <c r="K125">
        <v>1</v>
      </c>
      <c r="L125">
        <v>0.2</v>
      </c>
      <c r="M125">
        <v>10</v>
      </c>
      <c r="N125" s="2">
        <f>100*D125/(L125*5)</f>
        <v>40.304850168000002</v>
      </c>
      <c r="O125" s="3">
        <f>1000000*E125*L125/(M125*D125)</f>
        <v>-2.0007306531069302</v>
      </c>
      <c r="P125" s="3">
        <f>1000000*F125*L125/(D125*M125)</f>
        <v>5.2199387201056524</v>
      </c>
      <c r="R125" s="3">
        <f>1000000*L125*H125/(M125*D125)</f>
        <v>1.040403368772657</v>
      </c>
      <c r="S125" s="3">
        <f>1000000*L125*I125/(M125*D125)</f>
        <v>0.30157782570079494</v>
      </c>
      <c r="T125" s="1">
        <f>G125*100/D125</f>
        <v>2.6444716197574428E-5</v>
      </c>
    </row>
    <row r="126" spans="1:21" x14ac:dyDescent="0.2">
      <c r="A126">
        <v>116</v>
      </c>
    </row>
    <row r="127" spans="1:21" x14ac:dyDescent="0.2">
      <c r="A127">
        <v>117</v>
      </c>
      <c r="C127" s="5" t="s">
        <v>539</v>
      </c>
      <c r="L127" t="s">
        <v>536</v>
      </c>
    </row>
    <row r="128" spans="1:21" x14ac:dyDescent="0.2">
      <c r="A128">
        <v>118</v>
      </c>
      <c r="D128">
        <v>1.1986896488000001</v>
      </c>
      <c r="E128" s="1">
        <v>-2.17200686E-6</v>
      </c>
      <c r="F128" s="1">
        <v>-3.1204979E-6</v>
      </c>
      <c r="G128" s="1">
        <v>7.05361203511004E-6</v>
      </c>
      <c r="H128" s="1">
        <v>4.7210954855207103E-8</v>
      </c>
      <c r="I128" s="1">
        <v>7.8139792289204292E-9</v>
      </c>
      <c r="J128">
        <v>10</v>
      </c>
      <c r="K128">
        <v>1</v>
      </c>
      <c r="L128">
        <v>0.2</v>
      </c>
      <c r="M128">
        <v>10</v>
      </c>
      <c r="N128" s="2">
        <f t="shared" ref="N128:N135" si="77">100*D128/(L128*5)</f>
        <v>119.86896488000001</v>
      </c>
      <c r="O128" s="3">
        <f t="shared" ref="O128:O135" si="78">1000000*E128*L128/(M128*D128)</f>
        <v>-3.6239686597350385E-2</v>
      </c>
      <c r="P128" s="3">
        <f t="shared" ref="P128:P135" si="79">1000000*F128*L128/(D128*M128)</f>
        <v>-5.2065151361303727E-2</v>
      </c>
      <c r="R128" s="3">
        <f t="shared" ref="R128:R135" si="80">1000000*L128*H128/(M128*D128)</f>
        <v>7.8770939421174879E-4</v>
      </c>
      <c r="S128" s="3">
        <f t="shared" ref="S128:S135" si="81">1000000*L128*I128/(M128*D128)</f>
        <v>1.3037535173083292E-4</v>
      </c>
      <c r="T128" s="1">
        <f t="shared" ref="T128:T135" si="82">G128*100/D128</f>
        <v>5.8844355936262254E-4</v>
      </c>
    </row>
    <row r="129" spans="1:22" x14ac:dyDescent="0.2">
      <c r="A129">
        <v>119</v>
      </c>
      <c r="D129">
        <v>1.1989809736000001</v>
      </c>
      <c r="E129" s="1">
        <v>-2.17341826E-6</v>
      </c>
      <c r="F129" s="1">
        <v>-3.11834604E-6</v>
      </c>
      <c r="G129" s="1">
        <v>6.6253192482765498E-6</v>
      </c>
      <c r="H129" s="1">
        <v>4.7656739510507903E-8</v>
      </c>
      <c r="I129" s="1">
        <v>8.5099689493205594E-9</v>
      </c>
      <c r="J129">
        <v>10</v>
      </c>
      <c r="K129">
        <v>1</v>
      </c>
      <c r="L129">
        <v>0.2</v>
      </c>
      <c r="M129">
        <v>10</v>
      </c>
      <c r="N129" s="2">
        <f t="shared" si="77"/>
        <v>119.89809736000001</v>
      </c>
      <c r="O129" s="3">
        <f t="shared" si="78"/>
        <v>-3.6254424513079697E-2</v>
      </c>
      <c r="P129" s="3">
        <f t="shared" si="79"/>
        <v>-5.201660591221912E-2</v>
      </c>
      <c r="Q129" s="8"/>
      <c r="R129" s="3">
        <f t="shared" si="80"/>
        <v>7.9495405781821816E-4</v>
      </c>
      <c r="S129" s="3">
        <f t="shared" si="81"/>
        <v>1.41953361007372E-4</v>
      </c>
      <c r="T129" s="1">
        <f t="shared" si="82"/>
        <v>5.5257918133460432E-4</v>
      </c>
    </row>
    <row r="130" spans="1:22" x14ac:dyDescent="0.2">
      <c r="A130">
        <v>120</v>
      </c>
      <c r="D130">
        <v>1.0005157734000001</v>
      </c>
      <c r="E130" s="1">
        <v>-2.0888228600000001E-6</v>
      </c>
      <c r="F130" s="1">
        <v>-2.74399432E-6</v>
      </c>
      <c r="G130" s="1">
        <v>5.1402226775118297E-7</v>
      </c>
      <c r="H130" s="1">
        <v>5.4755802633511102E-9</v>
      </c>
      <c r="I130" s="1">
        <v>1.0731216675549899E-8</v>
      </c>
      <c r="J130">
        <v>10</v>
      </c>
      <c r="K130">
        <v>1</v>
      </c>
      <c r="L130">
        <v>0.2</v>
      </c>
      <c r="M130">
        <v>10</v>
      </c>
      <c r="N130" s="2">
        <f t="shared" si="77"/>
        <v>100.05157734000001</v>
      </c>
      <c r="O130" s="3">
        <f t="shared" si="78"/>
        <v>-4.1754921122365986E-2</v>
      </c>
      <c r="P130" s="3">
        <f t="shared" si="79"/>
        <v>-5.4851595406141943E-2</v>
      </c>
      <c r="Q130" s="8"/>
      <c r="R130" s="3">
        <f t="shared" si="80"/>
        <v>1.094551512115343E-4</v>
      </c>
      <c r="S130" s="3">
        <f t="shared" si="81"/>
        <v>2.1451369305418484E-4</v>
      </c>
      <c r="T130" s="1">
        <f t="shared" si="82"/>
        <v>5.1375728540931259E-5</v>
      </c>
    </row>
    <row r="131" spans="1:22" x14ac:dyDescent="0.2">
      <c r="A131">
        <v>121</v>
      </c>
      <c r="D131">
        <v>0.60005844500000005</v>
      </c>
      <c r="E131" s="1">
        <v>-1.7438043399999801E-6</v>
      </c>
      <c r="F131" s="1">
        <v>-1.73604944E-6</v>
      </c>
      <c r="G131" s="1">
        <v>1.9750286561578102E-6</v>
      </c>
      <c r="H131" s="1">
        <v>6.6181429751857897E-10</v>
      </c>
      <c r="I131" s="1">
        <v>8.9039083601753104E-9</v>
      </c>
      <c r="J131">
        <v>10</v>
      </c>
      <c r="K131">
        <v>1</v>
      </c>
      <c r="L131">
        <v>0.2</v>
      </c>
      <c r="M131">
        <v>10</v>
      </c>
      <c r="N131" s="2">
        <f t="shared" si="77"/>
        <v>60.005844500000002</v>
      </c>
      <c r="O131" s="3">
        <f t="shared" si="78"/>
        <v>-5.8121149848994462E-2</v>
      </c>
      <c r="P131" s="3">
        <f t="shared" si="79"/>
        <v>-5.786267835960545E-2</v>
      </c>
      <c r="R131" s="3">
        <f t="shared" si="80"/>
        <v>2.2058327918993921E-5</v>
      </c>
      <c r="S131" s="3">
        <f t="shared" si="81"/>
        <v>2.9676803765924198E-4</v>
      </c>
      <c r="T131" s="1">
        <f t="shared" si="82"/>
        <v>3.2913938177435534E-4</v>
      </c>
    </row>
    <row r="132" spans="1:22" x14ac:dyDescent="0.2">
      <c r="A132">
        <v>122</v>
      </c>
      <c r="D132">
        <v>0.40012615767999998</v>
      </c>
      <c r="E132" s="1">
        <v>-1.39539376E-6</v>
      </c>
      <c r="F132" s="1">
        <v>-1.1276832000000001E-6</v>
      </c>
      <c r="G132" s="1">
        <v>1.4608447882910999E-6</v>
      </c>
      <c r="H132" s="1">
        <v>3.0194373831268601E-8</v>
      </c>
      <c r="I132" s="1">
        <v>2.9158645183890101E-8</v>
      </c>
      <c r="J132">
        <v>9</v>
      </c>
      <c r="K132">
        <v>1</v>
      </c>
      <c r="L132">
        <v>0.2</v>
      </c>
      <c r="M132">
        <v>10</v>
      </c>
      <c r="N132" s="2">
        <f t="shared" si="77"/>
        <v>40.012615767999996</v>
      </c>
      <c r="O132" s="3">
        <f t="shared" si="78"/>
        <v>-6.9747689983115924E-2</v>
      </c>
      <c r="P132" s="3">
        <f t="shared" si="79"/>
        <v>-5.6366382369925548E-2</v>
      </c>
      <c r="R132" s="3">
        <f t="shared" si="80"/>
        <v>1.5092426851741336E-3</v>
      </c>
      <c r="S132" s="3">
        <f t="shared" si="81"/>
        <v>1.4574725807958628E-3</v>
      </c>
      <c r="T132" s="1">
        <f t="shared" si="82"/>
        <v>3.6509604789682537E-4</v>
      </c>
    </row>
    <row r="133" spans="1:22" x14ac:dyDescent="0.2">
      <c r="A133">
        <v>123</v>
      </c>
      <c r="D133">
        <v>0.19995050042000001</v>
      </c>
      <c r="E133" s="1">
        <v>-8.6620394399999997E-7</v>
      </c>
      <c r="F133" s="1">
        <v>-6.1139699399999998E-7</v>
      </c>
      <c r="G133" s="1">
        <v>7.0468305553271601E-7</v>
      </c>
      <c r="H133" s="1">
        <v>3.2967120390850997E-8</v>
      </c>
      <c r="I133" s="1">
        <v>1.8656244519998198E-8</v>
      </c>
      <c r="J133">
        <v>8</v>
      </c>
      <c r="K133">
        <v>1</v>
      </c>
      <c r="L133">
        <v>0.2</v>
      </c>
      <c r="M133">
        <v>10</v>
      </c>
      <c r="N133" s="2">
        <f t="shared" si="77"/>
        <v>19.995050042000003</v>
      </c>
      <c r="O133" s="3">
        <f t="shared" si="78"/>
        <v>-8.6641838072975208E-2</v>
      </c>
      <c r="P133" s="3">
        <f t="shared" si="79"/>
        <v>-6.1154835093260432E-2</v>
      </c>
      <c r="R133" s="3">
        <f t="shared" si="80"/>
        <v>3.29752817038246E-3</v>
      </c>
      <c r="S133" s="3">
        <f t="shared" si="81"/>
        <v>1.866086304441388E-3</v>
      </c>
      <c r="T133" s="1">
        <f t="shared" si="82"/>
        <v>3.5242875314266039E-4</v>
      </c>
    </row>
    <row r="134" spans="1:22" x14ac:dyDescent="0.2">
      <c r="A134">
        <v>124</v>
      </c>
      <c r="D134">
        <v>0.10025760626000001</v>
      </c>
      <c r="E134" s="1">
        <v>-4.9690636199999995E-7</v>
      </c>
      <c r="F134" s="1">
        <v>-3.0002512E-7</v>
      </c>
      <c r="G134" s="1">
        <v>2.4527525366295699E-7</v>
      </c>
      <c r="H134" s="1">
        <v>2.4947978522897498E-8</v>
      </c>
      <c r="I134" s="1">
        <v>2.2602711081761901E-8</v>
      </c>
      <c r="J134">
        <v>7</v>
      </c>
      <c r="K134">
        <v>1</v>
      </c>
      <c r="L134">
        <v>0.2</v>
      </c>
      <c r="M134">
        <v>10</v>
      </c>
      <c r="N134" s="2">
        <f t="shared" si="77"/>
        <v>10.025760626</v>
      </c>
      <c r="O134" s="3">
        <f t="shared" si="78"/>
        <v>-9.9125917830386462E-2</v>
      </c>
      <c r="P134" s="3">
        <f t="shared" si="79"/>
        <v>-5.9850844477961906E-2</v>
      </c>
      <c r="R134" s="3">
        <f t="shared" si="80"/>
        <v>4.9767752200664799E-3</v>
      </c>
      <c r="S134" s="3">
        <f t="shared" si="81"/>
        <v>4.5089269383004919E-3</v>
      </c>
      <c r="T134" s="1">
        <f t="shared" si="82"/>
        <v>2.4464503274382982E-4</v>
      </c>
    </row>
    <row r="135" spans="1:22" x14ac:dyDescent="0.2">
      <c r="A135">
        <v>125</v>
      </c>
      <c r="D135">
        <v>5.0287811786000003E-2</v>
      </c>
      <c r="E135" s="1">
        <v>-2.7282316599999997E-7</v>
      </c>
      <c r="F135" s="1">
        <v>-1.58770085E-7</v>
      </c>
      <c r="G135" s="1">
        <v>9.6530122703916206E-8</v>
      </c>
      <c r="H135" s="1">
        <v>1.86258434217204E-8</v>
      </c>
      <c r="I135" s="1">
        <v>3.3355308032505897E-8</v>
      </c>
      <c r="J135">
        <v>7</v>
      </c>
      <c r="K135">
        <v>1</v>
      </c>
      <c r="L135">
        <v>0.2</v>
      </c>
      <c r="M135">
        <v>10</v>
      </c>
      <c r="N135" s="2">
        <f t="shared" si="77"/>
        <v>5.0287811786000001</v>
      </c>
      <c r="O135" s="3">
        <f t="shared" si="78"/>
        <v>-0.10850468784006753</v>
      </c>
      <c r="P135" s="3">
        <f t="shared" si="79"/>
        <v>-6.3144559033766187E-2</v>
      </c>
      <c r="R135" s="3">
        <f t="shared" si="80"/>
        <v>7.4076969190796198E-3</v>
      </c>
      <c r="S135" s="3">
        <f t="shared" si="81"/>
        <v>1.3265762357864985E-2</v>
      </c>
      <c r="T135" s="1">
        <f t="shared" si="82"/>
        <v>1.919553054221181E-4</v>
      </c>
    </row>
    <row r="136" spans="1:22" x14ac:dyDescent="0.2">
      <c r="A136">
        <v>126</v>
      </c>
      <c r="D136" s="1"/>
      <c r="E136" s="1"/>
      <c r="F136" s="1"/>
      <c r="G136" s="1"/>
      <c r="H136" s="1"/>
      <c r="M136" s="2"/>
      <c r="N136" s="3"/>
      <c r="O136" s="3"/>
      <c r="Q136" s="3"/>
      <c r="R136" s="3"/>
      <c r="S136" s="1"/>
    </row>
    <row r="137" spans="1:22" x14ac:dyDescent="0.2">
      <c r="A137">
        <v>127</v>
      </c>
    </row>
    <row r="138" spans="1:22" x14ac:dyDescent="0.2">
      <c r="A138">
        <v>128</v>
      </c>
      <c r="C138" s="5" t="s">
        <v>540</v>
      </c>
      <c r="L138" t="s">
        <v>536</v>
      </c>
    </row>
    <row r="139" spans="1:22" x14ac:dyDescent="0.2">
      <c r="A139">
        <v>129</v>
      </c>
      <c r="D139" s="219">
        <v>1.1956811893999999</v>
      </c>
      <c r="E139" s="220">
        <v>1.4578363E-5</v>
      </c>
      <c r="F139" s="220">
        <v>4.2027425999999898E-6</v>
      </c>
      <c r="G139" s="220">
        <v>8.6495680612348698E-6</v>
      </c>
      <c r="H139" s="220">
        <v>3.1657500390902599E-8</v>
      </c>
      <c r="I139" s="220">
        <v>3.7816282937909203E-8</v>
      </c>
      <c r="J139" s="219">
        <v>12</v>
      </c>
      <c r="K139" s="219">
        <v>1</v>
      </c>
      <c r="L139" s="219">
        <v>0.2</v>
      </c>
      <c r="M139" s="219">
        <v>10</v>
      </c>
      <c r="N139" s="215">
        <f t="shared" ref="N139:N148" si="83">100*D139/(L139*5)</f>
        <v>119.56811893999999</v>
      </c>
      <c r="O139" s="221">
        <f t="shared" ref="O139:O148" si="84">1000000*E139*L139/(M139*D139)</f>
        <v>0.24385033618059196</v>
      </c>
      <c r="P139" s="221">
        <f t="shared" ref="P139:P148" si="85">1000000*F139*L139/(D139*M139)</f>
        <v>7.0298715698771705E-2</v>
      </c>
      <c r="Q139" s="219"/>
      <c r="R139" s="221">
        <f t="shared" ref="R139:R148" si="86">1000000*L139*H139/(M139*D139)</f>
        <v>5.2953079251482618E-4</v>
      </c>
      <c r="S139" s="221">
        <f t="shared" ref="S139:S148" si="87">1000000*L139*I139/(M139*D139)</f>
        <v>6.3254792787842797E-4</v>
      </c>
      <c r="T139" s="220">
        <f t="shared" ref="T139:T148" si="88">G139*100/D139</f>
        <v>7.2340086453775163E-4</v>
      </c>
      <c r="U139" s="219" t="s">
        <v>538</v>
      </c>
      <c r="V139" s="219"/>
    </row>
    <row r="140" spans="1:22" x14ac:dyDescent="0.2">
      <c r="A140">
        <v>130</v>
      </c>
      <c r="B140" s="4">
        <v>41345</v>
      </c>
      <c r="D140" s="219">
        <v>1.1973069236</v>
      </c>
      <c r="E140" s="220">
        <v>1.4575453600000101E-5</v>
      </c>
      <c r="F140" s="220">
        <v>4.3012007800000003E-6</v>
      </c>
      <c r="G140" s="220">
        <v>5.3178895254133804E-6</v>
      </c>
      <c r="H140" s="220">
        <v>3.1155130669602598E-8</v>
      </c>
      <c r="I140" s="220">
        <v>1.0738263711043601E-7</v>
      </c>
      <c r="J140" s="219">
        <v>12</v>
      </c>
      <c r="K140" s="219">
        <v>1</v>
      </c>
      <c r="L140" s="219">
        <v>0.2</v>
      </c>
      <c r="M140" s="219">
        <v>10</v>
      </c>
      <c r="N140" s="215">
        <f t="shared" si="83"/>
        <v>119.73069236000001</v>
      </c>
      <c r="O140" s="221">
        <f t="shared" si="84"/>
        <v>0.24347063084167903</v>
      </c>
      <c r="P140" s="221">
        <f t="shared" si="85"/>
        <v>7.1847922954748719E-2</v>
      </c>
      <c r="Q140" s="219"/>
      <c r="R140" s="221">
        <f t="shared" si="86"/>
        <v>5.2042012044709431E-4</v>
      </c>
      <c r="S140" s="221">
        <f t="shared" si="87"/>
        <v>1.7937361756426413E-3</v>
      </c>
      <c r="T140" s="220">
        <f t="shared" si="88"/>
        <v>4.4415424488015385E-4</v>
      </c>
      <c r="U140" s="219" t="s">
        <v>538</v>
      </c>
      <c r="V140" s="219"/>
    </row>
    <row r="141" spans="1:22" x14ac:dyDescent="0.2">
      <c r="A141">
        <v>131</v>
      </c>
      <c r="D141">
        <v>1.0006112804</v>
      </c>
      <c r="E141" s="1">
        <v>1.24818890000001E-5</v>
      </c>
      <c r="F141" s="1">
        <v>3.5936456400000099E-6</v>
      </c>
      <c r="G141" s="1">
        <v>7.0970466529626496E-7</v>
      </c>
      <c r="H141" s="1">
        <v>3.8754441539002999E-8</v>
      </c>
      <c r="I141" s="1">
        <v>6.7085130031851301E-8</v>
      </c>
      <c r="J141">
        <v>12</v>
      </c>
      <c r="K141">
        <v>1</v>
      </c>
      <c r="L141">
        <v>0.2</v>
      </c>
      <c r="M141">
        <v>10</v>
      </c>
      <c r="N141" s="2">
        <f t="shared" si="83"/>
        <v>100.06112804</v>
      </c>
      <c r="O141" s="3">
        <f t="shared" si="84"/>
        <v>0.24948527454158612</v>
      </c>
      <c r="P141" s="3">
        <f t="shared" si="85"/>
        <v>7.1829005137008448E-2</v>
      </c>
      <c r="Q141" s="8"/>
      <c r="R141" s="3">
        <f t="shared" si="86"/>
        <v>7.746153236151943E-4</v>
      </c>
      <c r="S141" s="3">
        <f t="shared" si="87"/>
        <v>1.3408829451739468E-3</v>
      </c>
      <c r="T141" s="1">
        <f t="shared" si="88"/>
        <v>7.0927110177346447E-5</v>
      </c>
    </row>
    <row r="142" spans="1:22" x14ac:dyDescent="0.2">
      <c r="A142">
        <v>132</v>
      </c>
      <c r="D142">
        <v>0.60013135478000001</v>
      </c>
      <c r="E142" s="1">
        <v>8.3313666000000097E-6</v>
      </c>
      <c r="F142" s="1">
        <v>2.4282978199999998E-6</v>
      </c>
      <c r="G142" s="1">
        <v>2.2154631086526599E-6</v>
      </c>
      <c r="H142" s="1">
        <v>1.9139862153108902E-8</v>
      </c>
      <c r="I142" s="1">
        <v>8.6416303929061903E-9</v>
      </c>
      <c r="J142">
        <v>11</v>
      </c>
      <c r="K142">
        <v>1</v>
      </c>
      <c r="L142">
        <v>0.2</v>
      </c>
      <c r="M142">
        <v>10</v>
      </c>
      <c r="N142" s="2">
        <f t="shared" si="83"/>
        <v>60.013135478000002</v>
      </c>
      <c r="O142" s="3">
        <f t="shared" si="84"/>
        <v>0.27765143526134123</v>
      </c>
      <c r="P142" s="3">
        <f t="shared" si="85"/>
        <v>8.0925544071603475E-2</v>
      </c>
      <c r="R142" s="3">
        <f t="shared" si="86"/>
        <v>6.3785576276464712E-4</v>
      </c>
      <c r="S142" s="3">
        <f t="shared" si="87"/>
        <v>2.8799129804087949E-4</v>
      </c>
      <c r="T142" s="1">
        <f t="shared" si="88"/>
        <v>3.6916303256056643E-4</v>
      </c>
    </row>
    <row r="143" spans="1:22" x14ac:dyDescent="0.2">
      <c r="A143">
        <v>133</v>
      </c>
      <c r="D143">
        <v>0.40001591761999999</v>
      </c>
      <c r="E143" s="1">
        <v>5.8566487400000002E-6</v>
      </c>
      <c r="F143" s="1">
        <v>1.4869565400000199E-6</v>
      </c>
      <c r="G143" s="1">
        <v>1.5775725933558499E-6</v>
      </c>
      <c r="H143" s="1">
        <v>2.8739019242354099E-8</v>
      </c>
      <c r="I143" s="1">
        <v>2.1365792955760099E-8</v>
      </c>
      <c r="J143">
        <v>11</v>
      </c>
      <c r="K143">
        <v>1</v>
      </c>
      <c r="L143">
        <v>0.2</v>
      </c>
      <c r="M143">
        <v>10</v>
      </c>
      <c r="N143" s="2">
        <f t="shared" si="83"/>
        <v>40.001591761999997</v>
      </c>
      <c r="O143" s="3">
        <f t="shared" si="84"/>
        <v>0.29282078447506155</v>
      </c>
      <c r="P143" s="3">
        <f t="shared" si="85"/>
        <v>7.4344868516586005E-2</v>
      </c>
      <c r="R143" s="3">
        <f t="shared" si="86"/>
        <v>1.4368937822946874E-3</v>
      </c>
      <c r="S143" s="3">
        <f t="shared" si="87"/>
        <v>1.0682471379079865E-3</v>
      </c>
      <c r="T143" s="1">
        <f t="shared" si="88"/>
        <v>3.9437745446282074E-4</v>
      </c>
    </row>
    <row r="144" spans="1:22" x14ac:dyDescent="0.2">
      <c r="A144">
        <v>134</v>
      </c>
      <c r="D144">
        <v>0.19992534749999999</v>
      </c>
      <c r="E144" s="1">
        <v>3.1465592200000101E-6</v>
      </c>
      <c r="F144" s="1">
        <v>7.3381783599999997E-7</v>
      </c>
      <c r="G144" s="1">
        <v>7.8195645663685602E-7</v>
      </c>
      <c r="H144" s="1">
        <v>3.6575932879307398E-8</v>
      </c>
      <c r="I144" s="1">
        <v>4.4124735223195403E-8</v>
      </c>
      <c r="J144">
        <v>10</v>
      </c>
      <c r="K144">
        <v>1</v>
      </c>
      <c r="L144">
        <v>0.2</v>
      </c>
      <c r="M144">
        <v>10</v>
      </c>
      <c r="N144" s="2">
        <f t="shared" si="83"/>
        <v>19.992534749999997</v>
      </c>
      <c r="O144" s="3">
        <f t="shared" si="84"/>
        <v>0.31477341511185924</v>
      </c>
      <c r="P144" s="3">
        <f t="shared" si="85"/>
        <v>7.3409184495727836E-2</v>
      </c>
      <c r="R144" s="3">
        <f t="shared" si="86"/>
        <v>3.658959040129456E-3</v>
      </c>
      <c r="S144" s="3">
        <f t="shared" si="87"/>
        <v>4.4141211482146255E-3</v>
      </c>
      <c r="T144" s="1">
        <f t="shared" si="88"/>
        <v>3.9112422032271625E-4</v>
      </c>
    </row>
    <row r="145" spans="1:22" x14ac:dyDescent="0.2">
      <c r="A145">
        <v>135</v>
      </c>
      <c r="D145">
        <v>9.9993475858000003E-2</v>
      </c>
      <c r="E145" s="1">
        <v>1.70030868E-6</v>
      </c>
      <c r="F145" s="1">
        <v>4.3365709200000103E-7</v>
      </c>
      <c r="G145" s="1">
        <v>3.0780787660044501E-7</v>
      </c>
      <c r="H145" s="1">
        <v>3.3810155697032799E-8</v>
      </c>
      <c r="I145" s="1">
        <v>9.90444141259546E-9</v>
      </c>
      <c r="J145">
        <v>9</v>
      </c>
      <c r="K145">
        <v>1</v>
      </c>
      <c r="L145">
        <v>0.2</v>
      </c>
      <c r="M145">
        <v>10</v>
      </c>
      <c r="N145" s="2">
        <f t="shared" si="83"/>
        <v>9.9993475858000007</v>
      </c>
      <c r="O145" s="3">
        <f t="shared" si="84"/>
        <v>0.34008392355809208</v>
      </c>
      <c r="P145" s="3">
        <f t="shared" si="85"/>
        <v>8.6737077250086642E-2</v>
      </c>
      <c r="R145" s="3">
        <f t="shared" si="86"/>
        <v>6.7624723327042559E-3</v>
      </c>
      <c r="S145" s="3">
        <f t="shared" si="87"/>
        <v>1.9810175269155926E-3</v>
      </c>
      <c r="T145" s="1">
        <f t="shared" si="88"/>
        <v>3.0782795973365371E-4</v>
      </c>
    </row>
    <row r="146" spans="1:22" x14ac:dyDescent="0.2">
      <c r="A146">
        <v>136</v>
      </c>
      <c r="D146">
        <v>5.0068643247999998E-2</v>
      </c>
      <c r="E146" s="1">
        <v>8.6273696200000005E-7</v>
      </c>
      <c r="F146" s="1">
        <v>2.07508141400001E-7</v>
      </c>
      <c r="G146" s="1">
        <v>1.2140641128620201E-7</v>
      </c>
      <c r="H146" s="1">
        <v>5.9786938886955401E-8</v>
      </c>
      <c r="I146" s="1">
        <v>3.6641785481383997E-8</v>
      </c>
      <c r="J146">
        <v>9</v>
      </c>
      <c r="K146">
        <v>1</v>
      </c>
      <c r="L146">
        <v>0.2</v>
      </c>
      <c r="M146">
        <v>10</v>
      </c>
      <c r="N146" s="2">
        <f t="shared" si="83"/>
        <v>5.0068643247999995</v>
      </c>
      <c r="O146" s="3">
        <f t="shared" si="84"/>
        <v>0.34462166579057935</v>
      </c>
      <c r="P146" s="3">
        <f t="shared" si="85"/>
        <v>8.2889460524093572E-2</v>
      </c>
      <c r="R146" s="3">
        <f t="shared" si="86"/>
        <v>2.3881988809170938E-2</v>
      </c>
      <c r="S146" s="3">
        <f t="shared" si="87"/>
        <v>1.4636620089699619E-2</v>
      </c>
      <c r="T146" s="1">
        <f t="shared" si="88"/>
        <v>2.4247993037249238E-4</v>
      </c>
    </row>
    <row r="147" spans="1:22" x14ac:dyDescent="0.2">
      <c r="A147">
        <v>137</v>
      </c>
      <c r="D147">
        <v>4.9514262557999997E-2</v>
      </c>
      <c r="E147" s="1">
        <v>8.5984235000000096E-7</v>
      </c>
      <c r="F147" s="1">
        <v>1.9578396808999999E-7</v>
      </c>
      <c r="G147" s="1">
        <v>1.2370535367256001E-7</v>
      </c>
      <c r="H147" s="1">
        <v>4.2926532830307899E-8</v>
      </c>
      <c r="I147" s="1">
        <v>6.0727709195761202E-8</v>
      </c>
      <c r="J147">
        <v>9</v>
      </c>
      <c r="K147">
        <v>1</v>
      </c>
      <c r="L147">
        <v>0.2</v>
      </c>
      <c r="M147">
        <v>10</v>
      </c>
      <c r="N147" s="2">
        <f t="shared" si="83"/>
        <v>4.9514262557999995</v>
      </c>
      <c r="O147" s="3">
        <f t="shared" si="84"/>
        <v>0.34731097892967677</v>
      </c>
      <c r="P147" s="3">
        <f t="shared" si="85"/>
        <v>7.9081847522484108E-2</v>
      </c>
      <c r="R147" s="3">
        <f t="shared" si="86"/>
        <v>1.7339057723024607E-2</v>
      </c>
      <c r="S147" s="3">
        <f t="shared" si="87"/>
        <v>2.4529380448563076E-2</v>
      </c>
      <c r="T147" s="1">
        <f t="shared" si="88"/>
        <v>2.4983781900751137E-4</v>
      </c>
    </row>
    <row r="148" spans="1:22" x14ac:dyDescent="0.2">
      <c r="A148">
        <v>138</v>
      </c>
      <c r="D148">
        <v>5.0413830896000003E-2</v>
      </c>
      <c r="E148" s="1">
        <v>8.7201551800000004E-7</v>
      </c>
      <c r="F148" s="1">
        <v>1.9777648399999999E-7</v>
      </c>
      <c r="G148" s="1">
        <v>3.0694113161867199E-8</v>
      </c>
      <c r="H148" s="1">
        <v>2.57044443834461E-8</v>
      </c>
      <c r="I148" s="1">
        <v>1.91574483328481E-8</v>
      </c>
      <c r="J148">
        <v>8</v>
      </c>
      <c r="K148">
        <v>1</v>
      </c>
      <c r="L148">
        <v>0.2</v>
      </c>
      <c r="M148">
        <v>10</v>
      </c>
      <c r="N148" s="2">
        <f t="shared" si="83"/>
        <v>5.0413830896</v>
      </c>
      <c r="O148" s="3">
        <f t="shared" si="84"/>
        <v>0.34594296942000041</v>
      </c>
      <c r="P148" s="3">
        <f t="shared" si="85"/>
        <v>7.8461200224199681E-2</v>
      </c>
      <c r="R148" s="3">
        <f t="shared" si="86"/>
        <v>1.0197377952281574E-2</v>
      </c>
      <c r="S148" s="3">
        <f t="shared" si="87"/>
        <v>7.6000764045757591E-3</v>
      </c>
      <c r="T148" s="1">
        <f t="shared" si="88"/>
        <v>6.0884310151289391E-5</v>
      </c>
    </row>
    <row r="149" spans="1:22" x14ac:dyDescent="0.2">
      <c r="A149">
        <v>139</v>
      </c>
      <c r="E149" s="1"/>
      <c r="F149" s="1"/>
      <c r="G149" s="1"/>
      <c r="H149" s="1"/>
      <c r="I149" s="1"/>
    </row>
    <row r="150" spans="1:22" x14ac:dyDescent="0.2">
      <c r="A150">
        <v>140</v>
      </c>
      <c r="D150" s="201" t="s">
        <v>545</v>
      </c>
      <c r="E150" s="1"/>
      <c r="F150" s="1"/>
      <c r="G150" s="1"/>
      <c r="H150" s="1"/>
      <c r="I150" s="1"/>
    </row>
    <row r="151" spans="1:22" x14ac:dyDescent="0.2">
      <c r="A151">
        <v>141</v>
      </c>
      <c r="E151" s="1"/>
      <c r="F151" s="1"/>
      <c r="G151" s="1"/>
      <c r="H151" s="1"/>
      <c r="I151" s="1"/>
    </row>
    <row r="152" spans="1:22" x14ac:dyDescent="0.2">
      <c r="A152">
        <v>142</v>
      </c>
      <c r="B152" s="5" t="s">
        <v>96</v>
      </c>
      <c r="E152" s="1"/>
      <c r="F152" s="1"/>
      <c r="G152" s="1"/>
      <c r="H152" s="1"/>
      <c r="I152" s="1"/>
      <c r="J152" s="1"/>
      <c r="K152" s="1"/>
      <c r="N152" s="1"/>
      <c r="O152" s="1"/>
    </row>
    <row r="153" spans="1:22" x14ac:dyDescent="0.2">
      <c r="A153">
        <v>143</v>
      </c>
      <c r="B153" s="5" t="s">
        <v>34</v>
      </c>
      <c r="C153" s="5" t="s">
        <v>42</v>
      </c>
      <c r="D153" s="13" t="s">
        <v>2</v>
      </c>
      <c r="E153" s="14" t="s">
        <v>5</v>
      </c>
      <c r="F153" s="14" t="s">
        <v>6</v>
      </c>
      <c r="G153" s="14" t="s">
        <v>8</v>
      </c>
      <c r="H153" s="14" t="s">
        <v>10</v>
      </c>
      <c r="I153" s="14" t="s">
        <v>11</v>
      </c>
      <c r="J153" s="14" t="s">
        <v>523</v>
      </c>
      <c r="K153" s="14" t="s">
        <v>523</v>
      </c>
      <c r="R153" s="5" t="s">
        <v>15</v>
      </c>
      <c r="S153" s="5" t="s">
        <v>15</v>
      </c>
      <c r="T153" s="5" t="s">
        <v>15</v>
      </c>
      <c r="U153" s="5" t="s">
        <v>358</v>
      </c>
      <c r="V153" s="5" t="s">
        <v>358</v>
      </c>
    </row>
    <row r="154" spans="1:22" x14ac:dyDescent="0.2">
      <c r="A154">
        <v>144</v>
      </c>
      <c r="D154" s="13" t="s">
        <v>7</v>
      </c>
      <c r="E154" s="14" t="s">
        <v>12</v>
      </c>
      <c r="F154" s="14" t="s">
        <v>12</v>
      </c>
      <c r="G154" s="14" t="s">
        <v>9</v>
      </c>
      <c r="H154" s="14" t="s">
        <v>12</v>
      </c>
      <c r="I154" s="14" t="s">
        <v>12</v>
      </c>
      <c r="J154" s="14" t="s">
        <v>524</v>
      </c>
      <c r="K154" s="14" t="s">
        <v>525</v>
      </c>
      <c r="L154" s="5" t="s">
        <v>2</v>
      </c>
      <c r="M154" s="5" t="s">
        <v>3</v>
      </c>
      <c r="N154" s="5" t="s">
        <v>4</v>
      </c>
      <c r="O154" s="5" t="s">
        <v>0</v>
      </c>
      <c r="P154" s="5" t="s">
        <v>1</v>
      </c>
      <c r="R154" s="5" t="s">
        <v>5</v>
      </c>
      <c r="S154" s="5" t="s">
        <v>6</v>
      </c>
      <c r="T154" s="5" t="s">
        <v>14</v>
      </c>
      <c r="U154" s="5" t="s">
        <v>5</v>
      </c>
      <c r="V154" s="5" t="s">
        <v>6</v>
      </c>
    </row>
    <row r="155" spans="1:22" x14ac:dyDescent="0.2">
      <c r="A155">
        <v>145</v>
      </c>
      <c r="B155" s="4">
        <v>41345</v>
      </c>
      <c r="C155" s="8" t="s">
        <v>13</v>
      </c>
      <c r="D155">
        <v>1.1992134297999999</v>
      </c>
      <c r="E155" s="1">
        <v>-1.2067783999999999E-5</v>
      </c>
      <c r="F155" s="1">
        <v>-1.08544622E-5</v>
      </c>
      <c r="G155" s="1">
        <v>2.8783982255580402E-6</v>
      </c>
      <c r="H155" s="1">
        <v>1.1461816166733799E-7</v>
      </c>
      <c r="I155" s="1">
        <v>1.17431259003555E-7</v>
      </c>
      <c r="J155" s="217">
        <v>12</v>
      </c>
      <c r="K155" s="217">
        <v>1</v>
      </c>
      <c r="L155">
        <v>0.2</v>
      </c>
      <c r="M155">
        <v>10</v>
      </c>
      <c r="N155" s="2">
        <f t="shared" ref="N155:N161" si="89">100*D155/(L155*5)</f>
        <v>119.92134297999999</v>
      </c>
      <c r="O155" s="216">
        <f>(1000000*E155*L155/(M155*D155))</f>
        <v>-0.20126165535041779</v>
      </c>
      <c r="P155" s="181">
        <f t="shared" ref="P155:P163" si="90">1000000*F155*L155/(D155*M155)</f>
        <v>-0.18102636161788591</v>
      </c>
      <c r="Q155" s="216"/>
      <c r="R155" s="216">
        <f>1000000*L155*H155/(M155*D155)</f>
        <v>1.9115556717281519E-3</v>
      </c>
      <c r="S155" s="216">
        <f>1000000*L155*I155/(M155*D155)</f>
        <v>1.9584713794130828E-3</v>
      </c>
      <c r="T155" s="1">
        <f t="shared" ref="T155:T161" si="91">G155*100/D155</f>
        <v>2.400238484685823E-4</v>
      </c>
      <c r="U155" s="3">
        <f t="shared" ref="U155:U161" si="92">Comode_std*L155/(M155*D155)</f>
        <v>1.6677598418269484E-3</v>
      </c>
      <c r="V155" s="3">
        <f t="shared" ref="V155:V161" si="93">Comode_std*L155/(M155*D155)</f>
        <v>1.6677598418269484E-3</v>
      </c>
    </row>
    <row r="156" spans="1:22" x14ac:dyDescent="0.2">
      <c r="A156">
        <v>146</v>
      </c>
      <c r="D156">
        <v>1.0012826708</v>
      </c>
      <c r="E156" s="1">
        <v>-1.1078215999999901E-5</v>
      </c>
      <c r="F156" s="1">
        <v>-8.9881710599999892E-6</v>
      </c>
      <c r="G156" s="1">
        <v>3.7900329040240102E-7</v>
      </c>
      <c r="H156" s="1">
        <v>3.2022492095416602E-10</v>
      </c>
      <c r="I156" s="1">
        <v>3.61097951758249E-9</v>
      </c>
      <c r="J156" s="217">
        <v>12</v>
      </c>
      <c r="K156" s="217">
        <v>1</v>
      </c>
      <c r="L156">
        <v>0.2</v>
      </c>
      <c r="M156">
        <v>10</v>
      </c>
      <c r="N156" s="2">
        <f t="shared" si="89"/>
        <v>100.12826708</v>
      </c>
      <c r="O156" s="216">
        <f t="shared" ref="O156:O163" si="94">(1000000*E156*L156/(M156*D156))</f>
        <v>-0.22128048997689495</v>
      </c>
      <c r="P156" s="181">
        <f t="shared" si="90"/>
        <v>-0.17953313928460707</v>
      </c>
      <c r="Q156" s="216"/>
      <c r="R156" s="216">
        <f t="shared" ref="R156:R161" si="95">1000000*L156*H156/(M156*D156)</f>
        <v>6.3962940794394096E-6</v>
      </c>
      <c r="S156" s="216">
        <f t="shared" ref="S156:S161" si="96">1000000*L156*I156/(M156*D156)</f>
        <v>7.2127075058582744E-5</v>
      </c>
      <c r="T156" s="1">
        <f t="shared" si="91"/>
        <v>3.7851777670294325E-5</v>
      </c>
      <c r="U156" s="3">
        <f t="shared" si="92"/>
        <v>1.9974379446735554E-3</v>
      </c>
      <c r="V156" s="3">
        <f t="shared" si="93"/>
        <v>1.9974379446735554E-3</v>
      </c>
    </row>
    <row r="157" spans="1:22" x14ac:dyDescent="0.2">
      <c r="A157">
        <v>147</v>
      </c>
      <c r="D157">
        <v>0.60003849411999999</v>
      </c>
      <c r="E157" s="1">
        <v>-8.8206701599999207E-6</v>
      </c>
      <c r="F157" s="1">
        <v>-4.9627592600000002E-6</v>
      </c>
      <c r="G157" s="1">
        <v>2.5253519020032998E-6</v>
      </c>
      <c r="H157" s="1">
        <v>1.5702220989368001E-10</v>
      </c>
      <c r="I157" s="1">
        <v>2.43401105267088E-8</v>
      </c>
      <c r="J157" s="217">
        <v>11</v>
      </c>
      <c r="K157" s="217">
        <v>1</v>
      </c>
      <c r="L157">
        <v>0.2</v>
      </c>
      <c r="M157">
        <v>10</v>
      </c>
      <c r="N157" s="2">
        <f t="shared" si="89"/>
        <v>60.003849412000001</v>
      </c>
      <c r="O157" s="216">
        <f t="shared" si="94"/>
        <v>-0.29400347632483392</v>
      </c>
      <c r="P157" s="181">
        <f t="shared" si="90"/>
        <v>-0.16541469617805926</v>
      </c>
      <c r="Q157" s="216"/>
      <c r="R157" s="216">
        <f t="shared" si="95"/>
        <v>5.2337378828991453E-6</v>
      </c>
      <c r="S157" s="216">
        <f t="shared" si="96"/>
        <v>8.1128496805543584E-4</v>
      </c>
      <c r="T157" s="1">
        <f t="shared" si="91"/>
        <v>4.2086498228866335E-4</v>
      </c>
      <c r="U157" s="3">
        <f t="shared" si="92"/>
        <v>3.3331194908305765E-3</v>
      </c>
      <c r="V157" s="3">
        <f t="shared" si="93"/>
        <v>3.3331194908305765E-3</v>
      </c>
    </row>
    <row r="158" spans="1:22" x14ac:dyDescent="0.2">
      <c r="A158">
        <v>148</v>
      </c>
      <c r="D158">
        <v>0.40068668876000002</v>
      </c>
      <c r="E158" s="1">
        <v>-6.8620707999999897E-6</v>
      </c>
      <c r="F158" s="1">
        <v>-3.3756497399999999E-6</v>
      </c>
      <c r="G158" s="1">
        <v>1.6131387367365099E-6</v>
      </c>
      <c r="H158" s="1">
        <v>1.1957382312195299E-8</v>
      </c>
      <c r="I158" s="1">
        <v>1.68103276271583E-8</v>
      </c>
      <c r="J158" s="217">
        <v>11</v>
      </c>
      <c r="K158" s="217">
        <v>1</v>
      </c>
      <c r="L158">
        <v>0.2</v>
      </c>
      <c r="M158">
        <v>10</v>
      </c>
      <c r="N158" s="2">
        <f t="shared" si="89"/>
        <v>40.068668876000004</v>
      </c>
      <c r="O158" s="216">
        <f t="shared" si="94"/>
        <v>-0.34251553607812396</v>
      </c>
      <c r="P158" s="181">
        <f t="shared" si="90"/>
        <v>-0.16849323098037422</v>
      </c>
      <c r="Q158" s="216"/>
      <c r="R158" s="216">
        <f t="shared" si="95"/>
        <v>5.968444995864303E-4</v>
      </c>
      <c r="S158" s="216">
        <f t="shared" si="96"/>
        <v>8.3907592134797426E-4</v>
      </c>
      <c r="T158" s="1">
        <f t="shared" si="91"/>
        <v>4.0259354303200578E-4</v>
      </c>
      <c r="U158" s="3">
        <f t="shared" si="92"/>
        <v>4.9914311009167161E-3</v>
      </c>
      <c r="V158" s="3">
        <f t="shared" si="93"/>
        <v>4.9914311009167161E-3</v>
      </c>
    </row>
    <row r="159" spans="1:22" x14ac:dyDescent="0.2">
      <c r="A159">
        <v>149</v>
      </c>
      <c r="D159">
        <v>0.20073238814</v>
      </c>
      <c r="E159" s="1">
        <v>-4.1451915200000198E-6</v>
      </c>
      <c r="F159" s="1">
        <v>-1.6145989200000001E-6</v>
      </c>
      <c r="G159" s="1">
        <v>3.1363599180996298E-7</v>
      </c>
      <c r="H159" s="1">
        <v>2.30024670189966E-9</v>
      </c>
      <c r="I159" s="1">
        <v>5.7135352040865199E-8</v>
      </c>
      <c r="J159" s="217">
        <v>10</v>
      </c>
      <c r="K159" s="217">
        <v>1</v>
      </c>
      <c r="L159">
        <v>0.2</v>
      </c>
      <c r="M159">
        <v>10</v>
      </c>
      <c r="N159" s="2">
        <f t="shared" si="89"/>
        <v>20.073238814</v>
      </c>
      <c r="O159" s="216">
        <f t="shared" si="94"/>
        <v>-0.41300674578822555</v>
      </c>
      <c r="P159" s="181">
        <f t="shared" si="90"/>
        <v>-0.16087079269678239</v>
      </c>
      <c r="Q159" s="216"/>
      <c r="R159" s="216">
        <f t="shared" si="95"/>
        <v>2.2918540682088256E-4</v>
      </c>
      <c r="S159" s="216">
        <f t="shared" si="96"/>
        <v>5.6926889148567672E-3</v>
      </c>
      <c r="T159" s="1">
        <f t="shared" si="91"/>
        <v>1.5624583293016912E-4</v>
      </c>
      <c r="U159" s="3">
        <f t="shared" si="92"/>
        <v>9.9635142018292943E-3</v>
      </c>
      <c r="V159" s="3">
        <f t="shared" si="93"/>
        <v>9.9635142018292943E-3</v>
      </c>
    </row>
    <row r="160" spans="1:22" x14ac:dyDescent="0.2">
      <c r="A160">
        <v>150</v>
      </c>
      <c r="D160">
        <v>0.10093327226</v>
      </c>
      <c r="E160" s="1">
        <v>-2.34597512E-6</v>
      </c>
      <c r="F160" s="1">
        <v>-7.0643653399999703E-7</v>
      </c>
      <c r="G160" s="1">
        <v>3.4842348764673797E-8</v>
      </c>
      <c r="H160" s="1">
        <v>4.25433277093553E-8</v>
      </c>
      <c r="I160" s="1">
        <v>8.6782037210959698E-9</v>
      </c>
      <c r="J160" s="217">
        <v>10</v>
      </c>
      <c r="K160" s="217">
        <v>1</v>
      </c>
      <c r="L160">
        <v>0.2</v>
      </c>
      <c r="M160">
        <v>10</v>
      </c>
      <c r="N160" s="2">
        <f t="shared" si="89"/>
        <v>10.093327226</v>
      </c>
      <c r="O160" s="216">
        <f t="shared" si="94"/>
        <v>-0.46485664587527964</v>
      </c>
      <c r="P160" s="181">
        <f t="shared" si="90"/>
        <v>-0.13998090385502324</v>
      </c>
      <c r="Q160" s="216"/>
      <c r="R160" s="216">
        <f t="shared" si="95"/>
        <v>8.4299907764340438E-3</v>
      </c>
      <c r="S160" s="216">
        <f t="shared" si="96"/>
        <v>1.7195922666098193E-3</v>
      </c>
      <c r="T160" s="1">
        <f t="shared" si="91"/>
        <v>3.4520181486756241E-5</v>
      </c>
      <c r="U160" s="3">
        <f t="shared" si="92"/>
        <v>1.9815071434997986E-2</v>
      </c>
      <c r="V160" s="3">
        <f t="shared" si="93"/>
        <v>1.9815071434997986E-2</v>
      </c>
    </row>
    <row r="161" spans="1:23" x14ac:dyDescent="0.2">
      <c r="A161">
        <v>151</v>
      </c>
      <c r="D161">
        <v>4.9894502315999997E-2</v>
      </c>
      <c r="E161" s="1">
        <v>-1.2163044E-6</v>
      </c>
      <c r="F161" s="1">
        <v>-4.0279395999999999E-7</v>
      </c>
      <c r="G161" s="1">
        <v>2.3514439781691799E-8</v>
      </c>
      <c r="H161" s="1">
        <v>3.0606965093586099E-8</v>
      </c>
      <c r="I161" s="1">
        <v>2.5805890251150001E-8</v>
      </c>
      <c r="J161" s="217">
        <v>9</v>
      </c>
      <c r="K161" s="217">
        <v>1</v>
      </c>
      <c r="L161">
        <v>0.2</v>
      </c>
      <c r="M161">
        <v>10</v>
      </c>
      <c r="N161" s="2">
        <f t="shared" si="89"/>
        <v>4.9894502315999993</v>
      </c>
      <c r="O161" s="216">
        <f t="shared" si="94"/>
        <v>-0.48755046890605408</v>
      </c>
      <c r="P161" s="181">
        <f t="shared" si="90"/>
        <v>-0.16145825343600367</v>
      </c>
      <c r="Q161" s="216"/>
      <c r="R161" s="216">
        <f t="shared" si="95"/>
        <v>1.2268672367845689E-2</v>
      </c>
      <c r="S161" s="216">
        <f t="shared" si="96"/>
        <v>1.034418184501047E-2</v>
      </c>
      <c r="T161" s="1">
        <f t="shared" si="91"/>
        <v>4.7128318131657695E-5</v>
      </c>
      <c r="U161" s="3">
        <f t="shared" si="92"/>
        <v>4.0084576599908224E-2</v>
      </c>
      <c r="V161" s="3">
        <f t="shared" si="93"/>
        <v>4.0084576599908224E-2</v>
      </c>
      <c r="W161" s="1"/>
    </row>
    <row r="162" spans="1:23" x14ac:dyDescent="0.2">
      <c r="A162">
        <v>152</v>
      </c>
      <c r="D162">
        <v>4.9986365287999997E-2</v>
      </c>
      <c r="E162" s="1">
        <v>-1.2448519599999999E-6</v>
      </c>
      <c r="F162" s="1">
        <v>-4.1082405600000002E-7</v>
      </c>
      <c r="G162" s="1">
        <v>5.6435374141314003E-8</v>
      </c>
      <c r="H162" s="1">
        <v>3.1995643705954699E-8</v>
      </c>
      <c r="I162" s="1">
        <v>2.0058840140767499E-8</v>
      </c>
      <c r="J162">
        <v>9</v>
      </c>
      <c r="K162">
        <v>1</v>
      </c>
      <c r="L162">
        <v>0.2</v>
      </c>
      <c r="M162">
        <v>10</v>
      </c>
      <c r="N162" s="2">
        <f>100*D162/(L162*5)</f>
        <v>4.9986365287999996</v>
      </c>
      <c r="O162" s="216">
        <f t="shared" si="94"/>
        <v>-0.4980766066217045</v>
      </c>
      <c r="P162" s="181">
        <f t="shared" si="90"/>
        <v>-0.16437444636472687</v>
      </c>
      <c r="Q162" s="216"/>
      <c r="R162" s="216">
        <f>1000000*L162*H162/(M162*D162)</f>
        <v>1.2801748445444882E-2</v>
      </c>
      <c r="S162" s="216">
        <f>1000000*L162*I162/(M162*D162)</f>
        <v>8.0257246251841143E-3</v>
      </c>
      <c r="T162" s="1">
        <f>G162*100/D162</f>
        <v>1.1290153588114996E-4</v>
      </c>
      <c r="U162" s="3">
        <f>Comode_std*L162/(M162*D162)</f>
        <v>4.00109107448973E-2</v>
      </c>
      <c r="V162" s="3">
        <f>Comode_std*L162/(M162*D162)</f>
        <v>4.00109107448973E-2</v>
      </c>
      <c r="W162" s="1"/>
    </row>
    <row r="163" spans="1:23" x14ac:dyDescent="0.2">
      <c r="A163">
        <v>153</v>
      </c>
      <c r="D163">
        <v>5.0062205082000003E-2</v>
      </c>
      <c r="E163" s="1">
        <v>-1.2271516000000001E-6</v>
      </c>
      <c r="F163" s="1">
        <v>-4.0913045400000002E-7</v>
      </c>
      <c r="G163" s="1">
        <v>1.01080341207812E-7</v>
      </c>
      <c r="H163" s="1">
        <v>3.3972070885361099E-8</v>
      </c>
      <c r="I163" s="1">
        <v>2.1403502925359799E-8</v>
      </c>
      <c r="J163">
        <v>9</v>
      </c>
      <c r="K163">
        <v>1</v>
      </c>
      <c r="L163">
        <v>0.2</v>
      </c>
      <c r="M163">
        <v>10</v>
      </c>
      <c r="N163" s="2">
        <f>100*D163/(L163*5)</f>
        <v>5.0062205082000002</v>
      </c>
      <c r="O163" s="216">
        <f t="shared" si="94"/>
        <v>-0.49025071827737993</v>
      </c>
      <c r="P163" s="181">
        <f t="shared" si="90"/>
        <v>-0.16344883463677234</v>
      </c>
      <c r="Q163" s="216"/>
      <c r="R163" s="216">
        <f>1000000*L163*H163/(M163*D163)</f>
        <v>1.357194347700671E-2</v>
      </c>
      <c r="S163" s="216">
        <f>1000000*L163*I163/(M163*D163)</f>
        <v>8.5507631516836581E-3</v>
      </c>
      <c r="T163" s="1">
        <f>G163*100/D163</f>
        <v>2.0190948649234728E-4</v>
      </c>
      <c r="U163" s="3">
        <f>Comode_std*L163/(M163*D163)</f>
        <v>3.9950297769027074E-2</v>
      </c>
      <c r="V163" s="3">
        <f>Comode_std*L163/(M163*D163)</f>
        <v>3.9950297769027074E-2</v>
      </c>
    </row>
    <row r="164" spans="1:23" x14ac:dyDescent="0.2">
      <c r="A164">
        <v>154</v>
      </c>
    </row>
    <row r="165" spans="1:23" x14ac:dyDescent="0.2">
      <c r="A165">
        <v>155</v>
      </c>
    </row>
    <row r="166" spans="1:23" x14ac:dyDescent="0.2">
      <c r="A166">
        <v>156</v>
      </c>
      <c r="C166" s="5" t="s">
        <v>71</v>
      </c>
      <c r="D166" s="8"/>
      <c r="E166" s="8"/>
      <c r="F166" s="8"/>
      <c r="I166" s="8" t="s">
        <v>535</v>
      </c>
      <c r="J166" s="8"/>
      <c r="K166" s="8"/>
      <c r="L166" s="8"/>
      <c r="M166" s="8"/>
      <c r="N166" s="8"/>
      <c r="O166" s="8"/>
      <c r="P166" s="25"/>
      <c r="Q166" s="8"/>
      <c r="R166" s="8"/>
      <c r="S166" s="8"/>
      <c r="T166" s="8"/>
      <c r="U166" s="8"/>
    </row>
    <row r="167" spans="1:23" x14ac:dyDescent="0.2">
      <c r="A167">
        <v>157</v>
      </c>
      <c r="C167" s="8"/>
      <c r="D167" s="195" t="s">
        <v>2</v>
      </c>
      <c r="E167" s="196" t="s">
        <v>5</v>
      </c>
      <c r="F167" s="196" t="s">
        <v>6</v>
      </c>
      <c r="G167" s="196" t="s">
        <v>8</v>
      </c>
      <c r="H167" s="196" t="s">
        <v>10</v>
      </c>
      <c r="I167" s="196" t="s">
        <v>11</v>
      </c>
      <c r="J167" s="180"/>
      <c r="L167" s="179"/>
      <c r="M167" s="179"/>
      <c r="N167" s="179"/>
      <c r="O167" s="179"/>
      <c r="P167" s="179"/>
      <c r="Q167" s="181"/>
      <c r="R167" s="5" t="s">
        <v>15</v>
      </c>
      <c r="S167" s="5" t="s">
        <v>15</v>
      </c>
      <c r="T167" s="5" t="s">
        <v>15</v>
      </c>
      <c r="U167" s="8"/>
    </row>
    <row r="168" spans="1:23" x14ac:dyDescent="0.2">
      <c r="A168">
        <v>158</v>
      </c>
      <c r="C168" s="8"/>
      <c r="D168" s="195" t="s">
        <v>7</v>
      </c>
      <c r="E168" s="196" t="s">
        <v>12</v>
      </c>
      <c r="F168" s="196" t="s">
        <v>12</v>
      </c>
      <c r="G168" s="196" t="s">
        <v>9</v>
      </c>
      <c r="H168" s="196" t="s">
        <v>12</v>
      </c>
      <c r="I168" s="196" t="s">
        <v>12</v>
      </c>
      <c r="J168" s="180"/>
      <c r="L168" s="5" t="s">
        <v>2</v>
      </c>
      <c r="M168" s="5" t="s">
        <v>3</v>
      </c>
      <c r="N168" s="5" t="s">
        <v>4</v>
      </c>
      <c r="O168" s="5" t="s">
        <v>0</v>
      </c>
      <c r="P168" s="5" t="s">
        <v>1</v>
      </c>
      <c r="Q168" s="25"/>
      <c r="R168" s="178" t="s">
        <v>5</v>
      </c>
      <c r="S168" s="178" t="s">
        <v>6</v>
      </c>
      <c r="T168" s="178" t="s">
        <v>14</v>
      </c>
      <c r="U168" s="179"/>
    </row>
    <row r="169" spans="1:23" x14ac:dyDescent="0.2">
      <c r="A169">
        <v>159</v>
      </c>
      <c r="C169" s="179"/>
      <c r="D169">
        <v>1.1992392908</v>
      </c>
      <c r="E169" s="1">
        <v>-3.9497321199999798E-6</v>
      </c>
      <c r="F169" s="1">
        <v>-3.8513173600000103E-6</v>
      </c>
      <c r="G169" s="1">
        <v>3.8168334285865298E-6</v>
      </c>
      <c r="H169" s="1">
        <v>6.4264695253328199E-10</v>
      </c>
      <c r="I169" s="1">
        <v>4.1125762317924199E-8</v>
      </c>
      <c r="J169">
        <v>11</v>
      </c>
      <c r="K169">
        <v>1</v>
      </c>
      <c r="L169" s="179">
        <v>0.2</v>
      </c>
      <c r="M169" s="179">
        <v>10</v>
      </c>
      <c r="N169" s="184">
        <f t="shared" ref="N169:N177" si="97">100*D169/(L169*5)</f>
        <v>119.92392908000001</v>
      </c>
      <c r="O169" s="181">
        <f t="shared" ref="O169:O177" si="98">1000000*E169*L169/(M169*D169)</f>
        <v>-6.587062565912355E-2</v>
      </c>
      <c r="P169" s="181">
        <f>1000000*F169*L169/(D169*M169)</f>
        <v>-6.4229339207704531E-2</v>
      </c>
      <c r="Q169" s="181"/>
      <c r="R169" s="181">
        <f t="shared" ref="R169:R177" si="99">1000000*L169*H169/(M169*D169)</f>
        <v>1.0717576674869933E-5</v>
      </c>
      <c r="S169" s="181">
        <f t="shared" ref="S169:S177" si="100">1000000*L169*I169/(M169*D169)</f>
        <v>6.8586415794448562E-4</v>
      </c>
      <c r="T169" s="180">
        <f t="shared" ref="T169:T177" si="101">G169*100/D169</f>
        <v>3.1827121224825447E-4</v>
      </c>
      <c r="U169" s="179"/>
    </row>
    <row r="170" spans="1:23" x14ac:dyDescent="0.2">
      <c r="A170">
        <v>160</v>
      </c>
      <c r="C170" s="179"/>
      <c r="D170">
        <v>1.0009320314000001</v>
      </c>
      <c r="E170" s="1">
        <v>-3.5420732599999999E-6</v>
      </c>
      <c r="F170" s="1">
        <v>-3.1676283000000001E-6</v>
      </c>
      <c r="G170" s="1">
        <v>3.33949684629694E-7</v>
      </c>
      <c r="H170" s="1">
        <v>3.5798799208526602E-8</v>
      </c>
      <c r="I170" s="1">
        <v>3.2225469376100601E-8</v>
      </c>
      <c r="J170">
        <v>10</v>
      </c>
      <c r="K170">
        <v>1</v>
      </c>
      <c r="L170" s="179">
        <v>0.2</v>
      </c>
      <c r="M170" s="179">
        <v>10</v>
      </c>
      <c r="N170" s="184">
        <f t="shared" si="97"/>
        <v>100.09320314000001</v>
      </c>
      <c r="O170" s="181">
        <f t="shared" si="98"/>
        <v>-7.0775500211452222E-2</v>
      </c>
      <c r="P170" s="181">
        <f>1000000*F170*L170/(D170*M170)</f>
        <v>-6.3293574401239824E-2</v>
      </c>
      <c r="Q170" s="181"/>
      <c r="R170" s="181">
        <f t="shared" si="99"/>
        <v>7.1530929344832631E-4</v>
      </c>
      <c r="S170" s="181">
        <f t="shared" si="100"/>
        <v>6.4390924388795813E-4</v>
      </c>
      <c r="T170" s="180">
        <f t="shared" si="101"/>
        <v>3.3363872286372906E-5</v>
      </c>
      <c r="U170" s="179"/>
    </row>
    <row r="171" spans="1:23" x14ac:dyDescent="0.2">
      <c r="A171">
        <v>161</v>
      </c>
      <c r="C171" s="179"/>
      <c r="D171">
        <v>0.60035549210000005</v>
      </c>
      <c r="E171" s="1">
        <v>-2.7391303200000102E-6</v>
      </c>
      <c r="F171" s="1">
        <v>-2.0727825999999999E-6</v>
      </c>
      <c r="G171" s="1">
        <v>1.7051517688726099E-6</v>
      </c>
      <c r="H171" s="1">
        <v>1.22465506285484E-8</v>
      </c>
      <c r="I171" s="1">
        <v>8.3563637809755398E-9</v>
      </c>
      <c r="J171">
        <v>10</v>
      </c>
      <c r="K171">
        <v>1</v>
      </c>
      <c r="L171" s="179">
        <v>0.2</v>
      </c>
      <c r="M171" s="179">
        <v>10</v>
      </c>
      <c r="N171" s="184">
        <f t="shared" si="97"/>
        <v>60.035549210000006</v>
      </c>
      <c r="O171" s="181">
        <f t="shared" si="98"/>
        <v>-9.1250279410911378E-2</v>
      </c>
      <c r="P171" s="181">
        <f t="shared" ref="P171:P177" si="102">1000000*F171*L171/(D171*M171)</f>
        <v>-6.9051841026707583E-2</v>
      </c>
      <c r="Q171" s="181"/>
      <c r="R171" s="181">
        <f t="shared" si="99"/>
        <v>4.079766335012894E-4</v>
      </c>
      <c r="S171" s="181">
        <f t="shared" si="100"/>
        <v>2.7838052257157119E-4</v>
      </c>
      <c r="T171" s="180">
        <f t="shared" si="101"/>
        <v>2.8402368118730996E-4</v>
      </c>
      <c r="U171" s="179"/>
    </row>
    <row r="172" spans="1:23" x14ac:dyDescent="0.2">
      <c r="A172">
        <v>162</v>
      </c>
      <c r="C172" s="179"/>
      <c r="D172">
        <v>0.40057213714000001</v>
      </c>
      <c r="E172" s="1">
        <v>-2.0653494799999999E-6</v>
      </c>
      <c r="F172" s="1">
        <v>-1.3953502999999999E-6</v>
      </c>
      <c r="G172" s="1">
        <v>1.21059535209571E-6</v>
      </c>
      <c r="H172" s="1">
        <v>1.37310919496448E-8</v>
      </c>
      <c r="I172" s="1">
        <v>6.5569123831268595E-11</v>
      </c>
      <c r="J172">
        <v>10</v>
      </c>
      <c r="K172">
        <v>1</v>
      </c>
      <c r="L172" s="179">
        <v>0.2</v>
      </c>
      <c r="M172" s="179">
        <v>10</v>
      </c>
      <c r="N172" s="184">
        <f t="shared" si="97"/>
        <v>40.057213714</v>
      </c>
      <c r="O172" s="181">
        <f t="shared" si="98"/>
        <v>-0.1031199770780942</v>
      </c>
      <c r="P172" s="181">
        <f t="shared" si="102"/>
        <v>-6.9667866065897893E-2</v>
      </c>
      <c r="Q172" s="181"/>
      <c r="R172" s="181">
        <f t="shared" si="99"/>
        <v>6.8557399162517301E-4</v>
      </c>
      <c r="S172" s="181">
        <f t="shared" si="100"/>
        <v>3.2737735729408551E-6</v>
      </c>
      <c r="T172" s="180">
        <f t="shared" si="101"/>
        <v>3.0221656472142664E-4</v>
      </c>
      <c r="U172" s="179"/>
    </row>
    <row r="173" spans="1:23" x14ac:dyDescent="0.2">
      <c r="A173">
        <v>163</v>
      </c>
      <c r="C173" s="179"/>
      <c r="D173">
        <v>0.20152266274</v>
      </c>
      <c r="E173" s="1">
        <v>-1.14097414E-6</v>
      </c>
      <c r="F173" s="1">
        <v>-6.88794898E-7</v>
      </c>
      <c r="G173" s="1">
        <v>4.0894133061090898E-7</v>
      </c>
      <c r="H173" s="1">
        <v>3.7550226404915301E-8</v>
      </c>
      <c r="I173" s="1">
        <v>3.39806979212552E-8</v>
      </c>
      <c r="J173">
        <v>9</v>
      </c>
      <c r="K173">
        <v>1</v>
      </c>
      <c r="L173" s="179">
        <v>0.2</v>
      </c>
      <c r="M173" s="179">
        <v>10</v>
      </c>
      <c r="N173" s="184">
        <f t="shared" si="97"/>
        <v>20.152266273999999</v>
      </c>
      <c r="O173" s="181">
        <f t="shared" si="98"/>
        <v>-0.11323531800213052</v>
      </c>
      <c r="P173" s="181">
        <f t="shared" si="102"/>
        <v>-6.8359050901254492E-2</v>
      </c>
      <c r="Q173" s="179"/>
      <c r="R173" s="181">
        <f t="shared" si="99"/>
        <v>3.7266504813269321E-3</v>
      </c>
      <c r="S173" s="181">
        <f t="shared" si="100"/>
        <v>3.3723946934044163E-3</v>
      </c>
      <c r="T173" s="180">
        <f t="shared" si="101"/>
        <v>2.0292572807978221E-4</v>
      </c>
      <c r="U173" s="179"/>
    </row>
    <row r="174" spans="1:23" x14ac:dyDescent="0.2">
      <c r="A174">
        <v>164</v>
      </c>
      <c r="C174" s="179"/>
      <c r="D174">
        <v>9.9747214224E-2</v>
      </c>
      <c r="E174" s="1">
        <v>-6.2510664000000096E-7</v>
      </c>
      <c r="F174" s="1">
        <v>-3.69439326E-7</v>
      </c>
      <c r="G174" s="1">
        <v>1.2049527436430999E-7</v>
      </c>
      <c r="H174" s="1">
        <v>1.10019187376748E-8</v>
      </c>
      <c r="I174" s="1">
        <v>2.95699328267029E-8</v>
      </c>
      <c r="J174">
        <v>8</v>
      </c>
      <c r="K174">
        <v>1</v>
      </c>
      <c r="L174" s="179">
        <v>0.2</v>
      </c>
      <c r="M174" s="179">
        <v>10</v>
      </c>
      <c r="N174" s="184">
        <f t="shared" si="97"/>
        <v>9.9747214224</v>
      </c>
      <c r="O174" s="181">
        <f t="shared" si="98"/>
        <v>-0.12533816505315395</v>
      </c>
      <c r="P174" s="181">
        <f t="shared" si="102"/>
        <v>-7.4075116558214582E-2</v>
      </c>
      <c r="Q174" s="179"/>
      <c r="R174" s="181">
        <f t="shared" si="99"/>
        <v>2.2059601008942559E-3</v>
      </c>
      <c r="S174" s="181">
        <f t="shared" si="100"/>
        <v>5.9289741687017722E-3</v>
      </c>
      <c r="T174" s="180">
        <f t="shared" si="101"/>
        <v>1.2080064120258693E-4</v>
      </c>
      <c r="U174" s="179"/>
    </row>
    <row r="175" spans="1:23" x14ac:dyDescent="0.2">
      <c r="A175">
        <v>165</v>
      </c>
      <c r="C175" s="179"/>
      <c r="D175">
        <v>4.9441033635999998E-2</v>
      </c>
      <c r="E175" s="1">
        <v>-3.3288645400000001E-7</v>
      </c>
      <c r="F175" s="1">
        <v>-1.8123105000000001E-7</v>
      </c>
      <c r="G175" s="1">
        <v>7.3350152878215195E-8</v>
      </c>
      <c r="H175" s="1">
        <v>1.6811307924129101E-8</v>
      </c>
      <c r="I175" s="1">
        <v>2.11385742228633E-8</v>
      </c>
      <c r="J175">
        <v>7</v>
      </c>
      <c r="K175">
        <v>1</v>
      </c>
      <c r="L175" s="179">
        <v>0.2</v>
      </c>
      <c r="M175" s="179">
        <v>10</v>
      </c>
      <c r="N175" s="184">
        <f t="shared" si="97"/>
        <v>4.9441033636</v>
      </c>
      <c r="O175" s="181">
        <f t="shared" si="98"/>
        <v>-0.1346599896963368</v>
      </c>
      <c r="P175" s="181">
        <f t="shared" si="102"/>
        <v>-7.3311998828454267E-2</v>
      </c>
      <c r="Q175" s="179"/>
      <c r="R175" s="181">
        <f t="shared" si="99"/>
        <v>6.8005487295832402E-3</v>
      </c>
      <c r="S175" s="181">
        <f t="shared" si="100"/>
        <v>8.5510243893733868E-3</v>
      </c>
      <c r="T175" s="180">
        <f t="shared" si="101"/>
        <v>1.4835885798472872E-4</v>
      </c>
      <c r="U175" s="179"/>
    </row>
    <row r="176" spans="1:23" x14ac:dyDescent="0.2">
      <c r="A176">
        <v>166</v>
      </c>
      <c r="C176" s="179"/>
      <c r="D176">
        <v>5.0312045976000003E-2</v>
      </c>
      <c r="E176" s="1">
        <v>-3.35403166E-7</v>
      </c>
      <c r="F176" s="1">
        <v>-1.8838972400000001E-7</v>
      </c>
      <c r="G176" s="1">
        <v>4.1493313822519301E-8</v>
      </c>
      <c r="H176" s="1">
        <v>1.43294994107416E-8</v>
      </c>
      <c r="I176" s="1">
        <v>2.1964938086592101E-8</v>
      </c>
      <c r="J176">
        <v>7</v>
      </c>
      <c r="K176">
        <v>1</v>
      </c>
      <c r="L176" s="179">
        <v>0.2</v>
      </c>
      <c r="M176" s="179">
        <v>10</v>
      </c>
      <c r="N176" s="184">
        <f t="shared" si="97"/>
        <v>5.0312045976000004</v>
      </c>
      <c r="O176" s="181">
        <f t="shared" si="98"/>
        <v>-0.13332916978172382</v>
      </c>
      <c r="P176" s="181">
        <f t="shared" si="102"/>
        <v>-7.4888516396199117E-2</v>
      </c>
      <c r="Q176" s="179"/>
      <c r="R176" s="181">
        <f t="shared" si="99"/>
        <v>5.6962499269368203E-3</v>
      </c>
      <c r="S176" s="181">
        <f t="shared" si="100"/>
        <v>8.7314827534820897E-3</v>
      </c>
      <c r="T176" s="180">
        <f t="shared" si="101"/>
        <v>8.2471926986059287E-5</v>
      </c>
      <c r="U176" s="181"/>
    </row>
    <row r="177" spans="1:21" x14ac:dyDescent="0.2">
      <c r="A177">
        <v>167</v>
      </c>
      <c r="C177" s="179"/>
      <c r="D177">
        <v>5.0340034584E-2</v>
      </c>
      <c r="E177" s="1">
        <v>-3.3846883800000001E-7</v>
      </c>
      <c r="F177" s="1">
        <v>-1.7550119399999999E-7</v>
      </c>
      <c r="G177" s="1">
        <v>4.2758669360895701E-8</v>
      </c>
      <c r="H177" s="1">
        <v>2.51427802752153E-8</v>
      </c>
      <c r="I177" s="1">
        <v>2.25730890729728E-8</v>
      </c>
      <c r="J177">
        <v>7</v>
      </c>
      <c r="K177">
        <v>1</v>
      </c>
      <c r="L177" s="179">
        <v>0.2</v>
      </c>
      <c r="M177" s="179">
        <v>10</v>
      </c>
      <c r="N177" s="184">
        <f t="shared" si="97"/>
        <v>5.0340034584</v>
      </c>
      <c r="O177" s="181">
        <f t="shared" si="98"/>
        <v>-0.13447302561352564</v>
      </c>
      <c r="P177" s="181">
        <f t="shared" si="102"/>
        <v>-6.9726290595668775E-2</v>
      </c>
      <c r="Q177" s="179"/>
      <c r="R177" s="181">
        <f t="shared" si="99"/>
        <v>9.9891787850327155E-3</v>
      </c>
      <c r="S177" s="181">
        <f t="shared" si="100"/>
        <v>8.9682453576014794E-3</v>
      </c>
      <c r="T177" s="180">
        <f t="shared" si="101"/>
        <v>8.4939690078174977E-5</v>
      </c>
      <c r="U177" s="181"/>
    </row>
    <row r="178" spans="1:21" x14ac:dyDescent="0.2">
      <c r="A178">
        <v>168</v>
      </c>
      <c r="D178" t="s">
        <v>546</v>
      </c>
    </row>
    <row r="179" spans="1:21" x14ac:dyDescent="0.2">
      <c r="A179">
        <v>169</v>
      </c>
      <c r="C179" s="169" t="s">
        <v>547</v>
      </c>
      <c r="D179">
        <v>0.40003420497999997</v>
      </c>
      <c r="E179" s="1">
        <v>-2.06937266E-6</v>
      </c>
      <c r="F179" s="1">
        <v>-1.39516562000001E-6</v>
      </c>
      <c r="G179" s="1">
        <v>1.4019577154588699E-7</v>
      </c>
      <c r="H179" s="1">
        <v>2.51778994502004E-8</v>
      </c>
      <c r="I179" s="1">
        <v>5.0605667484580698E-9</v>
      </c>
      <c r="J179">
        <v>10</v>
      </c>
      <c r="K179">
        <v>1</v>
      </c>
      <c r="L179" s="179">
        <v>0.2</v>
      </c>
      <c r="M179" s="179">
        <v>10</v>
      </c>
      <c r="N179" s="184">
        <f>100*D179/(L179*5)</f>
        <v>40.003420497999997</v>
      </c>
      <c r="O179" s="181">
        <f>1000000*E179*L179/(M179*D179)</f>
        <v>-0.10345978590023121</v>
      </c>
      <c r="P179" s="181">
        <f>1000000*F179*L179/(D179*M179)</f>
        <v>-6.97523163085398E-2</v>
      </c>
      <c r="Q179" s="179"/>
      <c r="R179" s="181">
        <f>1000000*L179*H179/(M179*D179)</f>
        <v>1.2587873305213583E-3</v>
      </c>
      <c r="S179" s="181">
        <f>1000000*L179*I179/(M179*D179)</f>
        <v>2.53006702199932E-4</v>
      </c>
      <c r="T179" s="180">
        <f>G179*100/D179</f>
        <v>3.5045946021764859E-5</v>
      </c>
    </row>
    <row r="180" spans="1:21" x14ac:dyDescent="0.2">
      <c r="A180">
        <v>170</v>
      </c>
      <c r="C180" s="169" t="s">
        <v>548</v>
      </c>
      <c r="D180">
        <v>0.39973868076000002</v>
      </c>
      <c r="E180" s="1">
        <v>-5.0483948400000201E-5</v>
      </c>
      <c r="F180" s="1">
        <v>-4.3676899400000102E-6</v>
      </c>
      <c r="G180" s="1">
        <v>3.0801949532983101E-8</v>
      </c>
      <c r="H180" s="1">
        <v>8.0678215151480204E-10</v>
      </c>
      <c r="I180" s="1">
        <v>3.15091865683073E-8</v>
      </c>
      <c r="J180">
        <v>13</v>
      </c>
      <c r="K180">
        <v>1</v>
      </c>
      <c r="L180" s="179">
        <v>0.2</v>
      </c>
      <c r="M180" s="179">
        <v>10</v>
      </c>
      <c r="N180" s="184">
        <f>100*D180/(L180*5)</f>
        <v>39.973868076000002</v>
      </c>
      <c r="O180" s="181">
        <f>1000000*E180*L180/(M180*D180)</f>
        <v>-2.5258475514062333</v>
      </c>
      <c r="P180" s="181">
        <f>1000000*F180*L180/(D180*M180)</f>
        <v>-0.21852726044404683</v>
      </c>
      <c r="Q180" s="179"/>
      <c r="R180" s="181">
        <f>1000000*L180*H180/(M180*D180)</f>
        <v>4.0365478265996865E-5</v>
      </c>
      <c r="S180" s="181">
        <f>1000000*L180*I180/(M180*D180)</f>
        <v>1.5764892458443455E-3</v>
      </c>
      <c r="T180" s="180">
        <f>G180*100/D180</f>
        <v>7.7055213857265799E-6</v>
      </c>
    </row>
    <row r="181" spans="1:21" x14ac:dyDescent="0.2">
      <c r="A181">
        <v>171</v>
      </c>
    </row>
    <row r="182" spans="1:21" x14ac:dyDescent="0.2">
      <c r="A182">
        <v>172</v>
      </c>
      <c r="C182" s="5" t="s">
        <v>93</v>
      </c>
      <c r="L182" t="s">
        <v>536</v>
      </c>
    </row>
    <row r="183" spans="1:21" x14ac:dyDescent="0.2">
      <c r="A183">
        <v>173</v>
      </c>
      <c r="D183">
        <v>1.1979504752000001</v>
      </c>
      <c r="E183" s="1">
        <v>-3.1038590799999998E-6</v>
      </c>
      <c r="F183" s="1">
        <v>-2.4462822199999802E-6</v>
      </c>
      <c r="G183" s="1">
        <v>1.1854485210505901E-5</v>
      </c>
      <c r="H183" s="1">
        <v>5.6970935005140701E-9</v>
      </c>
      <c r="I183" s="1">
        <v>7.0720853269456999E-9</v>
      </c>
      <c r="J183">
        <v>10</v>
      </c>
      <c r="K183">
        <v>1</v>
      </c>
      <c r="L183">
        <v>0.2</v>
      </c>
      <c r="M183">
        <v>10</v>
      </c>
      <c r="N183" s="2">
        <f t="shared" ref="N183:N191" si="103">100*D183/(L183*5)</f>
        <v>119.79504752000001</v>
      </c>
      <c r="O183" s="3">
        <f t="shared" ref="O183:O191" si="104">1000000*E183*L183/(M183*D183)</f>
        <v>-5.1819489106706265E-2</v>
      </c>
      <c r="P183" s="3">
        <f t="shared" ref="P183:P191" si="105">1000000*F183*L183/(D183*M183)</f>
        <v>-4.0841124414455761E-2</v>
      </c>
      <c r="R183" s="3">
        <f t="shared" ref="R183:R191" si="106">1000000*L183*H183/(M183*D183)</f>
        <v>9.5114007105559682E-5</v>
      </c>
      <c r="S183" s="3">
        <f t="shared" ref="S183:S191" si="107">1000000*L183*I183/(M183*D183)</f>
        <v>1.1806974450700896E-4</v>
      </c>
      <c r="T183" s="1">
        <f t="shared" ref="T183:T191" si="108">G183*100/D183</f>
        <v>9.8956388063761746E-4</v>
      </c>
    </row>
    <row r="184" spans="1:21" x14ac:dyDescent="0.2">
      <c r="A184">
        <v>174</v>
      </c>
      <c r="D184">
        <v>1.1984700020000001</v>
      </c>
      <c r="E184" s="1">
        <v>-3.1063115400000002E-6</v>
      </c>
      <c r="F184" s="1">
        <v>-2.44712613999999E-6</v>
      </c>
      <c r="G184" s="1">
        <v>7.2371320014464999E-6</v>
      </c>
      <c r="H184" s="1">
        <v>4.1855695225858898E-9</v>
      </c>
      <c r="I184" s="1">
        <v>7.8974205725920698E-9</v>
      </c>
      <c r="J184">
        <v>10</v>
      </c>
      <c r="K184">
        <v>1</v>
      </c>
      <c r="L184">
        <v>0.2</v>
      </c>
      <c r="M184">
        <v>10</v>
      </c>
      <c r="N184" s="2">
        <f t="shared" si="103"/>
        <v>119.84700020000001</v>
      </c>
      <c r="O184" s="3">
        <f t="shared" si="104"/>
        <v>-5.1837952302789467E-2</v>
      </c>
      <c r="P184" s="3">
        <f t="shared" si="105"/>
        <v>-4.0837503415458699E-2</v>
      </c>
      <c r="R184" s="3">
        <f t="shared" si="106"/>
        <v>6.9848548826437611E-5</v>
      </c>
      <c r="S184" s="3">
        <f t="shared" si="107"/>
        <v>1.3179171042100173E-4</v>
      </c>
      <c r="T184" s="1">
        <f t="shared" si="108"/>
        <v>6.0386425937814165E-4</v>
      </c>
    </row>
    <row r="185" spans="1:21" x14ac:dyDescent="0.2">
      <c r="A185">
        <v>175</v>
      </c>
      <c r="D185">
        <v>0.99848646088000004</v>
      </c>
      <c r="E185" s="1">
        <v>-2.7728826599999999E-6</v>
      </c>
      <c r="F185" s="1">
        <v>-2.09703712E-6</v>
      </c>
      <c r="G185" s="1">
        <v>3.7839652143351302E-6</v>
      </c>
      <c r="H185" s="1">
        <v>8.9833003692629593E-9</v>
      </c>
      <c r="I185" s="1">
        <v>3.4506878887549899E-9</v>
      </c>
      <c r="J185">
        <v>10</v>
      </c>
      <c r="K185">
        <v>1</v>
      </c>
      <c r="L185">
        <v>0.2</v>
      </c>
      <c r="M185">
        <v>10</v>
      </c>
      <c r="N185" s="2">
        <f t="shared" si="103"/>
        <v>99.84864608800001</v>
      </c>
      <c r="O185" s="3">
        <f t="shared" si="104"/>
        <v>-5.5541717762625731E-2</v>
      </c>
      <c r="P185" s="3">
        <f t="shared" si="105"/>
        <v>-4.2004317577863E-2</v>
      </c>
      <c r="R185" s="3">
        <f t="shared" si="106"/>
        <v>1.7993835111886587E-4</v>
      </c>
      <c r="S185" s="3">
        <f t="shared" si="107"/>
        <v>6.9118371133721355E-5</v>
      </c>
      <c r="T185" s="1">
        <f t="shared" si="108"/>
        <v>3.7897010751654993E-4</v>
      </c>
    </row>
    <row r="186" spans="1:21" x14ac:dyDescent="0.2">
      <c r="A186">
        <v>176</v>
      </c>
      <c r="D186">
        <v>0.60036926252</v>
      </c>
      <c r="E186" s="1">
        <v>-2.0935112599999798E-6</v>
      </c>
      <c r="F186" s="1">
        <v>-1.3922275200000001E-6</v>
      </c>
      <c r="G186" s="1">
        <v>1.3296558777046999E-6</v>
      </c>
      <c r="H186" s="1">
        <v>1.5355851693735601E-9</v>
      </c>
      <c r="I186" s="1">
        <v>3.8787550901803396E-9</v>
      </c>
      <c r="J186">
        <v>10</v>
      </c>
      <c r="K186">
        <v>1</v>
      </c>
      <c r="L186">
        <v>0.2</v>
      </c>
      <c r="M186">
        <v>10</v>
      </c>
      <c r="N186" s="2">
        <f t="shared" si="103"/>
        <v>60.036926252000001</v>
      </c>
      <c r="O186" s="3">
        <f t="shared" si="104"/>
        <v>-6.9740787568392179E-2</v>
      </c>
      <c r="P186" s="3">
        <f t="shared" si="105"/>
        <v>-4.6379040597656213E-2</v>
      </c>
      <c r="R186" s="3">
        <f t="shared" si="106"/>
        <v>5.11546897963453E-5</v>
      </c>
      <c r="S186" s="3">
        <f t="shared" si="107"/>
        <v>1.2921231423139779E-4</v>
      </c>
      <c r="T186" s="1">
        <f t="shared" si="108"/>
        <v>2.2147301014771809E-4</v>
      </c>
    </row>
    <row r="187" spans="1:21" x14ac:dyDescent="0.2">
      <c r="A187">
        <v>177</v>
      </c>
      <c r="D187">
        <v>0.40078594610000001</v>
      </c>
      <c r="E187" s="1">
        <v>-1.6660049800000001E-6</v>
      </c>
      <c r="F187" s="1">
        <v>-9.4028956999999999E-7</v>
      </c>
      <c r="G187" s="1">
        <v>2.7769300194604901E-6</v>
      </c>
      <c r="H187" s="1">
        <v>3.8765825411044699E-8</v>
      </c>
      <c r="I187" s="1">
        <v>3.4107434241014101E-8</v>
      </c>
      <c r="J187">
        <v>9</v>
      </c>
      <c r="K187">
        <v>1</v>
      </c>
      <c r="L187">
        <v>0.2</v>
      </c>
      <c r="M187">
        <v>10</v>
      </c>
      <c r="N187" s="2">
        <f t="shared" si="103"/>
        <v>40.078594610000003</v>
      </c>
      <c r="O187" s="3">
        <f t="shared" si="104"/>
        <v>-8.313689620166051E-2</v>
      </c>
      <c r="P187" s="3">
        <f t="shared" si="105"/>
        <v>-4.692228253759121E-2</v>
      </c>
      <c r="R187" s="3">
        <f t="shared" si="106"/>
        <v>1.9344902578680863E-3</v>
      </c>
      <c r="S187" s="3">
        <f t="shared" si="107"/>
        <v>1.7020274574450255E-3</v>
      </c>
      <c r="T187" s="1">
        <f t="shared" si="108"/>
        <v>6.9287110650522138E-4</v>
      </c>
    </row>
    <row r="188" spans="1:21" x14ac:dyDescent="0.2">
      <c r="A188">
        <v>178</v>
      </c>
      <c r="D188">
        <v>0.20078383601999999</v>
      </c>
      <c r="E188" s="1">
        <v>-9.9174236399999991E-7</v>
      </c>
      <c r="F188" s="1">
        <v>-4.8233880200000102E-7</v>
      </c>
      <c r="G188" s="1">
        <v>4.4005058290330101E-6</v>
      </c>
      <c r="H188" s="1">
        <v>3.3498995238059102E-8</v>
      </c>
      <c r="I188" s="1">
        <v>2.6761207488355198E-8</v>
      </c>
      <c r="J188">
        <v>9</v>
      </c>
      <c r="K188">
        <v>1</v>
      </c>
      <c r="L188">
        <v>0.2</v>
      </c>
      <c r="M188">
        <v>10</v>
      </c>
      <c r="N188" s="2">
        <f t="shared" si="103"/>
        <v>20.078383601999999</v>
      </c>
      <c r="O188" s="3">
        <f t="shared" si="104"/>
        <v>-9.8787072072994253E-2</v>
      </c>
      <c r="P188" s="3">
        <f t="shared" si="105"/>
        <v>-4.8045580915383593E-2</v>
      </c>
      <c r="R188" s="3">
        <f t="shared" si="106"/>
        <v>3.3368219177486256E-3</v>
      </c>
      <c r="S188" s="3">
        <f t="shared" si="107"/>
        <v>2.6656734943234697E-3</v>
      </c>
      <c r="T188" s="1">
        <f t="shared" si="108"/>
        <v>2.1916633909687222E-3</v>
      </c>
    </row>
    <row r="189" spans="1:21" x14ac:dyDescent="0.2">
      <c r="A189">
        <v>179</v>
      </c>
      <c r="D189">
        <v>9.9260643213999994E-2</v>
      </c>
      <c r="E189" s="1">
        <v>-5.3568698800000003E-7</v>
      </c>
      <c r="F189" s="1">
        <v>-2.7366537199999998E-7</v>
      </c>
      <c r="G189" s="1">
        <v>2.8207054289619501E-6</v>
      </c>
      <c r="H189" s="1">
        <v>2.4700100400845599E-8</v>
      </c>
      <c r="I189" s="1">
        <v>2.60304834071443E-8</v>
      </c>
      <c r="J189">
        <v>8</v>
      </c>
      <c r="K189">
        <v>1</v>
      </c>
      <c r="L189">
        <v>0.2</v>
      </c>
      <c r="M189">
        <v>10</v>
      </c>
      <c r="N189" s="2">
        <f t="shared" si="103"/>
        <v>9.9260643214000002</v>
      </c>
      <c r="O189" s="3">
        <f t="shared" si="104"/>
        <v>-0.10793542549287961</v>
      </c>
      <c r="P189" s="3">
        <f t="shared" si="105"/>
        <v>-5.5140761360974434E-2</v>
      </c>
      <c r="R189" s="3">
        <f t="shared" si="106"/>
        <v>4.9768165107682534E-3</v>
      </c>
      <c r="S189" s="3">
        <f t="shared" si="107"/>
        <v>5.2448750208124563E-3</v>
      </c>
      <c r="T189" s="1">
        <f t="shared" si="108"/>
        <v>2.8417158479224019E-3</v>
      </c>
    </row>
    <row r="190" spans="1:21" x14ac:dyDescent="0.2">
      <c r="A190">
        <v>180</v>
      </c>
      <c r="D190">
        <v>5.0156125952000002E-2</v>
      </c>
      <c r="E190" s="1">
        <v>-2.9903616999999999E-7</v>
      </c>
      <c r="F190" s="1">
        <v>-1.2923713019999999E-7</v>
      </c>
      <c r="G190" s="1">
        <v>5.4842039941956295E-7</v>
      </c>
      <c r="H190" s="1">
        <v>1.08004252214948E-8</v>
      </c>
      <c r="I190" s="1">
        <v>1.9170019981386202E-8</v>
      </c>
      <c r="J190">
        <v>7</v>
      </c>
      <c r="K190">
        <v>1</v>
      </c>
      <c r="L190">
        <v>0.2</v>
      </c>
      <c r="M190">
        <v>10</v>
      </c>
      <c r="N190" s="2">
        <f t="shared" si="103"/>
        <v>5.0156125952000004</v>
      </c>
      <c r="O190" s="3">
        <f t="shared" si="104"/>
        <v>-0.11924213217192296</v>
      </c>
      <c r="P190" s="3">
        <f t="shared" si="105"/>
        <v>-5.1533936382439673E-2</v>
      </c>
      <c r="R190" s="3">
        <f t="shared" si="106"/>
        <v>4.3067222663213389E-3</v>
      </c>
      <c r="S190" s="3">
        <f t="shared" si="107"/>
        <v>7.6441390229110328E-3</v>
      </c>
      <c r="T190" s="1">
        <f t="shared" si="108"/>
        <v>1.0934265536066475E-3</v>
      </c>
    </row>
    <row r="191" spans="1:21" x14ac:dyDescent="0.2">
      <c r="A191">
        <v>181</v>
      </c>
      <c r="D191">
        <v>5.0152628563999997E-2</v>
      </c>
      <c r="E191" s="1">
        <v>-2.9370364200000002E-7</v>
      </c>
      <c r="F191" s="1">
        <v>-1.2870358E-7</v>
      </c>
      <c r="G191" s="1">
        <v>1.6777966087108E-7</v>
      </c>
      <c r="H191" s="1">
        <v>1.9475767779213101E-8</v>
      </c>
      <c r="I191" s="1">
        <v>2.4939337747646E-8</v>
      </c>
      <c r="J191">
        <v>7</v>
      </c>
      <c r="K191">
        <v>1</v>
      </c>
      <c r="L191">
        <v>0.2</v>
      </c>
      <c r="M191">
        <v>10</v>
      </c>
      <c r="N191" s="2">
        <f t="shared" si="103"/>
        <v>5.0152628563999997</v>
      </c>
      <c r="O191" s="3">
        <f t="shared" si="104"/>
        <v>-0.11712392766221753</v>
      </c>
      <c r="P191" s="3">
        <f t="shared" si="105"/>
        <v>-5.1324759513157223E-2</v>
      </c>
      <c r="R191" s="3">
        <f t="shared" si="106"/>
        <v>7.766599014590027E-3</v>
      </c>
      <c r="S191" s="3">
        <f t="shared" si="107"/>
        <v>9.9453761295166393E-3</v>
      </c>
      <c r="T191" s="1">
        <f t="shared" si="108"/>
        <v>3.3453812028411551E-4</v>
      </c>
    </row>
    <row r="192" spans="1:21" x14ac:dyDescent="0.2">
      <c r="A192">
        <v>182</v>
      </c>
      <c r="E192" s="1"/>
      <c r="F192" s="1"/>
      <c r="G192" s="1"/>
      <c r="H192" s="1"/>
      <c r="I192" s="1"/>
      <c r="N192" s="2"/>
      <c r="O192" s="3"/>
      <c r="P192" s="3"/>
      <c r="R192" s="3"/>
      <c r="S192" s="3"/>
      <c r="T192" s="1"/>
    </row>
    <row r="193" spans="1:21" x14ac:dyDescent="0.2">
      <c r="A193">
        <v>183</v>
      </c>
      <c r="C193" s="5" t="s">
        <v>95</v>
      </c>
      <c r="E193" s="1"/>
      <c r="F193" s="1"/>
      <c r="G193" s="1"/>
      <c r="H193" s="1"/>
      <c r="I193" s="1"/>
      <c r="L193" t="s">
        <v>536</v>
      </c>
      <c r="N193" s="2"/>
      <c r="O193" s="3"/>
      <c r="P193" s="3"/>
      <c r="R193" s="3"/>
      <c r="S193" s="3"/>
      <c r="T193" s="1"/>
    </row>
    <row r="194" spans="1:21" x14ac:dyDescent="0.2">
      <c r="A194">
        <v>184</v>
      </c>
      <c r="D194" s="219">
        <v>1.1967498223999999</v>
      </c>
      <c r="E194" s="220">
        <v>-1.59659152E-5</v>
      </c>
      <c r="F194" s="220">
        <v>-2.7604832000000001E-6</v>
      </c>
      <c r="G194" s="220">
        <v>1.0394868163005201E-5</v>
      </c>
      <c r="H194" s="220">
        <v>3.0068082745728202E-10</v>
      </c>
      <c r="I194" s="220">
        <v>1.6967654822042999E-8</v>
      </c>
      <c r="J194" s="219">
        <v>12</v>
      </c>
      <c r="K194" s="219">
        <v>1</v>
      </c>
      <c r="L194" s="219">
        <v>0.2</v>
      </c>
      <c r="M194" s="219">
        <v>10</v>
      </c>
      <c r="N194" s="215">
        <f t="shared" ref="N194:N203" si="109">100*D194/(L194*5)</f>
        <v>119.67498223999999</v>
      </c>
      <c r="O194" s="221">
        <f t="shared" ref="O194:O203" si="110">1000000*E194*L194/(M194*D194)</f>
        <v>-0.26682126708791065</v>
      </c>
      <c r="P194" s="221">
        <f t="shared" ref="P194:P203" si="111">1000000*F194*L194/(D194*M194)</f>
        <v>-4.6133003712739887E-2</v>
      </c>
      <c r="Q194" s="219"/>
      <c r="R194" s="221">
        <f t="shared" ref="R194:R200" si="112">1000000*L194*H194/(M194*D194)</f>
        <v>5.0249571268669533E-6</v>
      </c>
      <c r="S194" s="221">
        <f t="shared" ref="S194:S200" si="113">1000000*L194*I194/(M194*D194)</f>
        <v>2.8356227014958777E-4</v>
      </c>
      <c r="T194" s="220">
        <f t="shared" ref="T194:T200" si="114">G194*100/D194</f>
        <v>8.6859157765814445E-4</v>
      </c>
      <c r="U194" s="219" t="s">
        <v>538</v>
      </c>
    </row>
    <row r="195" spans="1:21" x14ac:dyDescent="0.2">
      <c r="A195">
        <v>185</v>
      </c>
      <c r="D195">
        <v>1.0004419520000001</v>
      </c>
      <c r="E195" s="1">
        <v>-1.3872100000000101E-5</v>
      </c>
      <c r="F195" s="1">
        <v>-2.0964200000000001E-6</v>
      </c>
      <c r="G195" s="1">
        <v>3.0106623151193999E-6</v>
      </c>
      <c r="H195" s="1">
        <v>1.1180834903756801E-19</v>
      </c>
      <c r="I195" s="1">
        <v>1.2705494208814499E-21</v>
      </c>
      <c r="J195">
        <v>12</v>
      </c>
      <c r="K195">
        <v>1</v>
      </c>
      <c r="L195">
        <v>0.2</v>
      </c>
      <c r="M195">
        <v>10</v>
      </c>
      <c r="N195" s="2">
        <f t="shared" si="109"/>
        <v>100.0441952</v>
      </c>
      <c r="O195" s="3">
        <f t="shared" si="110"/>
        <v>-0.27731943811968618</v>
      </c>
      <c r="P195" s="3">
        <f t="shared" si="111"/>
        <v>-4.1909877845666355E-2</v>
      </c>
      <c r="R195" s="3">
        <f t="shared" si="112"/>
        <v>2.2351791388605822E-15</v>
      </c>
      <c r="S195" s="3">
        <f t="shared" si="113"/>
        <v>2.5399762941597432E-17</v>
      </c>
      <c r="T195" s="1">
        <f t="shared" si="114"/>
        <v>3.0093323346754253E-4</v>
      </c>
    </row>
    <row r="196" spans="1:21" x14ac:dyDescent="0.2">
      <c r="A196">
        <v>186</v>
      </c>
      <c r="D196">
        <v>0.60072354246000004</v>
      </c>
      <c r="E196" s="1">
        <v>-8.8178921399999405E-6</v>
      </c>
      <c r="F196" s="1">
        <v>-1.4777723799999901E-6</v>
      </c>
      <c r="G196" s="1">
        <v>1.3571438623224201E-6</v>
      </c>
      <c r="H196" s="1">
        <v>6.6986501939123803E-9</v>
      </c>
      <c r="I196" s="1">
        <v>2.9021258648790599E-9</v>
      </c>
      <c r="J196">
        <v>11</v>
      </c>
      <c r="K196">
        <v>1</v>
      </c>
      <c r="L196">
        <v>0.2</v>
      </c>
      <c r="M196">
        <v>10</v>
      </c>
      <c r="N196" s="2">
        <f t="shared" si="109"/>
        <v>60.072354246000003</v>
      </c>
      <c r="O196" s="3">
        <f t="shared" si="110"/>
        <v>-0.29357571384301429</v>
      </c>
      <c r="P196" s="3">
        <f t="shared" si="111"/>
        <v>-4.9199749154109088E-2</v>
      </c>
      <c r="R196" s="3">
        <f t="shared" si="112"/>
        <v>2.2301939978849484E-4</v>
      </c>
      <c r="S196" s="3">
        <f t="shared" si="113"/>
        <v>9.6621013153394154E-5</v>
      </c>
      <c r="T196" s="1">
        <f t="shared" si="114"/>
        <v>2.2591820802707883E-4</v>
      </c>
    </row>
    <row r="197" spans="1:21" x14ac:dyDescent="0.2">
      <c r="A197">
        <v>187</v>
      </c>
      <c r="D197">
        <v>0.40045035715999999</v>
      </c>
      <c r="E197" s="1">
        <v>-5.9583607399999897E-6</v>
      </c>
      <c r="F197" s="1">
        <v>-9.8627799999999493E-7</v>
      </c>
      <c r="G197" s="1">
        <v>1.21738849149008E-6</v>
      </c>
      <c r="H197" s="1">
        <v>3.0866032703481698E-8</v>
      </c>
      <c r="I197" s="1">
        <v>5.0821976835257998E-21</v>
      </c>
      <c r="J197">
        <v>11</v>
      </c>
      <c r="K197">
        <v>1</v>
      </c>
      <c r="L197">
        <v>0.2</v>
      </c>
      <c r="M197">
        <v>10</v>
      </c>
      <c r="N197" s="2">
        <f t="shared" si="109"/>
        <v>40.045035716000001</v>
      </c>
      <c r="O197" s="3">
        <f t="shared" si="110"/>
        <v>-0.29758299042392045</v>
      </c>
      <c r="P197" s="3">
        <f t="shared" si="111"/>
        <v>-4.9258440271832613E-2</v>
      </c>
      <c r="Q197" s="8"/>
      <c r="R197" s="3">
        <f t="shared" si="112"/>
        <v>1.5415659969632226E-3</v>
      </c>
      <c r="S197" s="3">
        <f t="shared" si="113"/>
        <v>2.5382410541815086E-16</v>
      </c>
      <c r="T197" s="1">
        <f t="shared" si="114"/>
        <v>3.0400484597487129E-4</v>
      </c>
    </row>
    <row r="198" spans="1:21" x14ac:dyDescent="0.2">
      <c r="A198">
        <v>188</v>
      </c>
      <c r="D198">
        <v>0.20001910279999999</v>
      </c>
      <c r="E198" s="1">
        <v>-3.1441196799999999E-6</v>
      </c>
      <c r="F198" s="1">
        <v>-4.8616796600000005E-7</v>
      </c>
      <c r="G198" s="1">
        <v>5.9113036363836402E-7</v>
      </c>
      <c r="H198" s="1">
        <v>8.7131545778552497E-9</v>
      </c>
      <c r="I198" s="1">
        <v>6.0692460889708902E-8</v>
      </c>
      <c r="J198">
        <v>10</v>
      </c>
      <c r="K198">
        <v>1</v>
      </c>
      <c r="L198">
        <v>0.2</v>
      </c>
      <c r="M198">
        <v>10</v>
      </c>
      <c r="N198" s="2">
        <f t="shared" si="109"/>
        <v>20.001910279999997</v>
      </c>
      <c r="O198" s="3">
        <f t="shared" si="110"/>
        <v>-0.31438194012337106</v>
      </c>
      <c r="P198" s="3">
        <f t="shared" si="111"/>
        <v>-4.8612153458774558E-2</v>
      </c>
      <c r="Q198" s="8"/>
      <c r="R198" s="3">
        <f t="shared" si="112"/>
        <v>8.7123224290907588E-4</v>
      </c>
      <c r="S198" s="3">
        <f t="shared" si="113"/>
        <v>6.0686664463639331E-3</v>
      </c>
      <c r="T198" s="1">
        <f t="shared" si="114"/>
        <v>2.9553695390256696E-4</v>
      </c>
    </row>
    <row r="199" spans="1:21" x14ac:dyDescent="0.2">
      <c r="A199">
        <v>189</v>
      </c>
      <c r="D199">
        <v>0.10000293669800001</v>
      </c>
      <c r="E199" s="1">
        <v>-1.6591707400000001E-6</v>
      </c>
      <c r="F199" s="1">
        <v>-2.3251512200000001E-7</v>
      </c>
      <c r="G199" s="1">
        <v>1.95873300615701E-7</v>
      </c>
      <c r="H199" s="1">
        <v>3.3368053597002002E-8</v>
      </c>
      <c r="I199" s="1">
        <v>1.120545601567E-8</v>
      </c>
      <c r="J199">
        <v>9</v>
      </c>
      <c r="K199">
        <v>1</v>
      </c>
      <c r="L199">
        <v>0.2</v>
      </c>
      <c r="M199">
        <v>10</v>
      </c>
      <c r="N199" s="2">
        <f t="shared" si="109"/>
        <v>10.000293669800001</v>
      </c>
      <c r="O199" s="3">
        <f t="shared" si="110"/>
        <v>-0.33182440331938423</v>
      </c>
      <c r="P199" s="3">
        <f t="shared" si="111"/>
        <v>-4.650165878671645E-2</v>
      </c>
      <c r="R199" s="3">
        <f t="shared" si="112"/>
        <v>6.6734147413631591E-3</v>
      </c>
      <c r="S199" s="3">
        <f t="shared" si="113"/>
        <v>2.2410253909861638E-3</v>
      </c>
      <c r="T199" s="1">
        <f t="shared" si="114"/>
        <v>1.9586754857731927E-4</v>
      </c>
    </row>
    <row r="200" spans="1:21" x14ac:dyDescent="0.2">
      <c r="A200">
        <v>190</v>
      </c>
      <c r="D200">
        <v>4.9720754765999998E-2</v>
      </c>
      <c r="E200" s="1">
        <v>-8.6054684400000005E-7</v>
      </c>
      <c r="F200" s="1">
        <v>-1.428258284E-7</v>
      </c>
      <c r="G200" s="1">
        <v>8.02942710306743E-8</v>
      </c>
      <c r="H200" s="1">
        <v>1.64664084012168E-8</v>
      </c>
      <c r="I200" s="1">
        <v>3.97700155337163E-8</v>
      </c>
      <c r="J200">
        <v>9</v>
      </c>
      <c r="K200">
        <v>1</v>
      </c>
      <c r="L200">
        <v>0.2</v>
      </c>
      <c r="M200">
        <v>10</v>
      </c>
      <c r="N200" s="2">
        <f t="shared" si="109"/>
        <v>4.9720754765999997</v>
      </c>
      <c r="O200" s="3">
        <f t="shared" si="110"/>
        <v>-0.34615196331993675</v>
      </c>
      <c r="P200" s="3">
        <f t="shared" si="111"/>
        <v>-5.7451190784282721E-2</v>
      </c>
      <c r="R200" s="3">
        <f t="shared" si="112"/>
        <v>6.6235552853983809E-3</v>
      </c>
      <c r="S200" s="3">
        <f t="shared" si="113"/>
        <v>1.5997349887742169E-2</v>
      </c>
      <c r="T200" s="1">
        <f t="shared" si="114"/>
        <v>1.6149045083599787E-4</v>
      </c>
    </row>
    <row r="201" spans="1:21" x14ac:dyDescent="0.2">
      <c r="A201">
        <v>191</v>
      </c>
      <c r="D201">
        <v>4.9784543511999998E-2</v>
      </c>
      <c r="E201" s="1">
        <v>-8.5819900399999903E-7</v>
      </c>
      <c r="F201" s="1">
        <v>-1.3553375859999999E-7</v>
      </c>
      <c r="G201" s="1">
        <v>7.6950140371935002E-8</v>
      </c>
      <c r="H201" s="1">
        <v>4.3085839679133399E-8</v>
      </c>
      <c r="I201" s="1">
        <v>1.7910177484042599E-8</v>
      </c>
      <c r="J201">
        <v>8</v>
      </c>
      <c r="K201">
        <v>1</v>
      </c>
      <c r="L201">
        <v>0.2</v>
      </c>
      <c r="M201">
        <v>10</v>
      </c>
      <c r="N201" s="2">
        <f t="shared" si="109"/>
        <v>4.9784543511999999</v>
      </c>
      <c r="O201" s="3">
        <f t="shared" si="110"/>
        <v>-0.34476523975484075</v>
      </c>
      <c r="P201" s="3">
        <f t="shared" si="111"/>
        <v>-5.4448127486528476E-2</v>
      </c>
      <c r="R201" s="3">
        <f>1000000*L201*H201/(M201*D201)</f>
        <v>1.7308922263693367E-2</v>
      </c>
      <c r="S201" s="3">
        <f>1000000*L201*I201/(M201*D201)</f>
        <v>7.1950755076123389E-3</v>
      </c>
      <c r="T201" s="1">
        <f>G201*100/D201</f>
        <v>1.5456632710388724E-4</v>
      </c>
    </row>
    <row r="202" spans="1:21" x14ac:dyDescent="0.2">
      <c r="A202">
        <v>192</v>
      </c>
      <c r="D202">
        <v>4.9944508286E-2</v>
      </c>
      <c r="E202" s="1">
        <v>-8.4462869000000003E-7</v>
      </c>
      <c r="F202" s="1">
        <v>-1.4201372800000001E-7</v>
      </c>
      <c r="G202" s="1">
        <v>5.7356638446847499E-8</v>
      </c>
      <c r="H202" s="1">
        <v>2.57450846283694E-8</v>
      </c>
      <c r="I202" s="1">
        <v>1.2180305668661001E-8</v>
      </c>
      <c r="J202">
        <v>8</v>
      </c>
      <c r="K202">
        <v>1</v>
      </c>
      <c r="L202">
        <v>0.2</v>
      </c>
      <c r="M202">
        <v>10</v>
      </c>
      <c r="N202" s="2">
        <f t="shared" si="109"/>
        <v>4.9944508285999998</v>
      </c>
      <c r="O202" s="3">
        <f t="shared" si="110"/>
        <v>-0.33822685175449363</v>
      </c>
      <c r="P202" s="3">
        <f t="shared" si="111"/>
        <v>-5.6868605928315059E-2</v>
      </c>
      <c r="R202" s="3">
        <f>1000000*L202*H202/(M202*D202)</f>
        <v>1.030947566084499E-2</v>
      </c>
      <c r="S202" s="3">
        <f>1000000*L202*I202/(M202*D202)</f>
        <v>4.8775355235903982E-3</v>
      </c>
      <c r="T202" s="1">
        <f>G202*100/D202</f>
        <v>1.1484073107378093E-4</v>
      </c>
    </row>
    <row r="203" spans="1:21" x14ac:dyDescent="0.2">
      <c r="A203">
        <v>193</v>
      </c>
      <c r="D203">
        <v>5.0087558111999997E-2</v>
      </c>
      <c r="E203" s="1">
        <v>-8.5322747799999998E-7</v>
      </c>
      <c r="F203" s="1">
        <v>-1.355434002E-7</v>
      </c>
      <c r="G203" s="1">
        <v>4.6937489059647199E-8</v>
      </c>
      <c r="H203" s="1">
        <v>2.56336446572374E-8</v>
      </c>
      <c r="I203" s="1">
        <v>2.1670568050244099E-8</v>
      </c>
      <c r="J203">
        <v>8</v>
      </c>
      <c r="K203">
        <v>1</v>
      </c>
      <c r="L203">
        <v>0.2</v>
      </c>
      <c r="M203">
        <v>10</v>
      </c>
      <c r="N203" s="2">
        <f t="shared" si="109"/>
        <v>5.0087558111999995</v>
      </c>
      <c r="O203" s="3">
        <f t="shared" si="110"/>
        <v>-0.3406943800662478</v>
      </c>
      <c r="P203" s="3">
        <f t="shared" si="111"/>
        <v>-5.4122582656919924E-2</v>
      </c>
      <c r="R203" s="3">
        <f>1000000*L203*H203/(M203*D203)</f>
        <v>1.0235533782628578E-2</v>
      </c>
      <c r="S203" s="3">
        <f>1000000*L203*I203/(M203*D203)</f>
        <v>8.6530742831530689E-3</v>
      </c>
      <c r="T203" s="1">
        <f>G203*100/D203</f>
        <v>9.3710875173213721E-5</v>
      </c>
    </row>
    <row r="204" spans="1:21" x14ac:dyDescent="0.2">
      <c r="A204">
        <v>194</v>
      </c>
    </row>
    <row r="205" spans="1:21" x14ac:dyDescent="0.2">
      <c r="A205">
        <v>195</v>
      </c>
      <c r="C205" s="5" t="s">
        <v>539</v>
      </c>
      <c r="L205" t="s">
        <v>536</v>
      </c>
    </row>
    <row r="206" spans="1:21" x14ac:dyDescent="0.2">
      <c r="A206">
        <v>196</v>
      </c>
      <c r="D206">
        <v>1.1980793668</v>
      </c>
      <c r="E206" s="1">
        <v>-2.2632533400000001E-6</v>
      </c>
      <c r="F206" s="1">
        <v>-2.8384270800000002E-6</v>
      </c>
      <c r="G206" s="1">
        <v>9.4718055251684098E-6</v>
      </c>
      <c r="H206" s="1">
        <v>6.4325121113328698E-8</v>
      </c>
      <c r="I206" s="1">
        <v>2.87733862705382E-8</v>
      </c>
      <c r="J206">
        <v>10</v>
      </c>
      <c r="K206">
        <v>1</v>
      </c>
      <c r="L206">
        <v>0.2</v>
      </c>
      <c r="M206">
        <v>10</v>
      </c>
      <c r="N206" s="229">
        <f t="shared" ref="N206:N214" si="115">100*D206/(L206*5)</f>
        <v>119.80793668000001</v>
      </c>
      <c r="O206" s="3">
        <f t="shared" ref="O206:O214" si="116">1000000*E206*L206/(M206*D206)</f>
        <v>-3.7781359110540695E-2</v>
      </c>
      <c r="P206" s="3">
        <f t="shared" ref="P206:P214" si="117">1000000*F206*L206/(D206*M206)</f>
        <v>-4.7382955731576838E-2</v>
      </c>
      <c r="R206" s="3">
        <f t="shared" ref="R206:R214" si="118">1000000*L206*H206/(M206*D206)</f>
        <v>1.073804004907243E-3</v>
      </c>
      <c r="S206" s="3">
        <f t="shared" ref="S206:S214" si="119">1000000*L206*I206/(M206*D206)</f>
        <v>4.8032521163251867E-4</v>
      </c>
      <c r="T206" s="1">
        <f t="shared" ref="T206:T214" si="120">G206*100/D206</f>
        <v>7.9058247622334479E-4</v>
      </c>
    </row>
    <row r="207" spans="1:21" x14ac:dyDescent="0.2">
      <c r="A207">
        <v>197</v>
      </c>
      <c r="D207">
        <v>1.1979913684000001</v>
      </c>
      <c r="E207" s="1">
        <v>-2.2603960999999998E-6</v>
      </c>
      <c r="F207" s="1">
        <v>-2.8441767400000001E-6</v>
      </c>
      <c r="G207" s="1">
        <v>7.2275452690013896E-6</v>
      </c>
      <c r="H207" s="1">
        <v>4.4879815991044403E-8</v>
      </c>
      <c r="I207" s="1">
        <v>3.3092011911825498E-8</v>
      </c>
      <c r="J207">
        <v>10</v>
      </c>
      <c r="K207">
        <v>1</v>
      </c>
      <c r="L207">
        <v>0.2</v>
      </c>
      <c r="M207">
        <v>10</v>
      </c>
      <c r="N207" s="229">
        <f t="shared" si="115"/>
        <v>119.79913684</v>
      </c>
      <c r="O207" s="3">
        <f t="shared" si="116"/>
        <v>-3.7736433827881659E-2</v>
      </c>
      <c r="P207" s="3">
        <f t="shared" si="117"/>
        <v>-4.7482424582050098E-2</v>
      </c>
      <c r="Q207" s="8"/>
      <c r="R207" s="3">
        <f t="shared" si="118"/>
        <v>7.4925107433761369E-4</v>
      </c>
      <c r="S207" s="3">
        <f t="shared" si="119"/>
        <v>5.5245826947855484E-4</v>
      </c>
      <c r="T207" s="1">
        <f t="shared" si="120"/>
        <v>6.0330528747083332E-4</v>
      </c>
    </row>
    <row r="208" spans="1:21" x14ac:dyDescent="0.2">
      <c r="A208">
        <v>198</v>
      </c>
      <c r="D208">
        <v>1.0005971123999999</v>
      </c>
      <c r="E208" s="1">
        <v>-2.0916711199999899E-6</v>
      </c>
      <c r="F208" s="1">
        <v>-2.4431546599999899E-6</v>
      </c>
      <c r="G208" s="1">
        <v>1.31930706958788E-6</v>
      </c>
      <c r="H208" s="1">
        <v>1.59803815523908E-9</v>
      </c>
      <c r="I208" s="1">
        <v>2.6381862869024201E-9</v>
      </c>
      <c r="J208">
        <v>10</v>
      </c>
      <c r="K208">
        <v>1</v>
      </c>
      <c r="L208">
        <v>0.2</v>
      </c>
      <c r="M208">
        <v>10</v>
      </c>
      <c r="N208" s="229">
        <f t="shared" si="115"/>
        <v>100.05971124</v>
      </c>
      <c r="O208" s="3">
        <f t="shared" si="116"/>
        <v>-4.1808458051272507E-2</v>
      </c>
      <c r="P208" s="3">
        <f t="shared" si="117"/>
        <v>-4.8833933852555668E-2</v>
      </c>
      <c r="Q208" s="8"/>
      <c r="R208" s="3">
        <f t="shared" si="118"/>
        <v>3.1941690325411341E-5</v>
      </c>
      <c r="S208" s="3">
        <f t="shared" si="119"/>
        <v>5.2732238664462104E-5</v>
      </c>
      <c r="T208" s="1">
        <f t="shared" si="120"/>
        <v>1.3185197650865019E-4</v>
      </c>
    </row>
    <row r="209" spans="1:21" x14ac:dyDescent="0.2">
      <c r="A209">
        <v>199</v>
      </c>
      <c r="D209">
        <v>0.60054093791999996</v>
      </c>
      <c r="E209" s="1">
        <v>-1.7420764999999899E-6</v>
      </c>
      <c r="F209" s="1">
        <v>-1.5627897999999999E-6</v>
      </c>
      <c r="G209" s="1">
        <v>1.25094077561917E-6</v>
      </c>
      <c r="H209" s="1">
        <v>2.5083662312349898E-9</v>
      </c>
      <c r="I209" s="1">
        <v>4.41163606790043E-8</v>
      </c>
      <c r="J209">
        <v>10</v>
      </c>
      <c r="K209">
        <v>1</v>
      </c>
      <c r="L209">
        <v>0.2</v>
      </c>
      <c r="M209">
        <v>10</v>
      </c>
      <c r="N209" s="229">
        <f t="shared" si="115"/>
        <v>60.054093791999996</v>
      </c>
      <c r="O209" s="3">
        <f t="shared" si="116"/>
        <v>-5.8016910754951995E-2</v>
      </c>
      <c r="P209" s="3">
        <f t="shared" si="117"/>
        <v>-5.2046070511455607E-2</v>
      </c>
      <c r="R209" s="3">
        <f t="shared" si="118"/>
        <v>8.3536893918433831E-5</v>
      </c>
      <c r="S209" s="3">
        <f t="shared" si="119"/>
        <v>1.4692207605963804E-3</v>
      </c>
      <c r="T209" s="1">
        <f t="shared" si="120"/>
        <v>2.0830233155325908E-4</v>
      </c>
    </row>
    <row r="210" spans="1:21" x14ac:dyDescent="0.2">
      <c r="A210">
        <v>200</v>
      </c>
      <c r="D210">
        <v>0.39999222565999998</v>
      </c>
      <c r="E210" s="1">
        <v>-1.36742504E-6</v>
      </c>
      <c r="F210" s="1">
        <v>-1.0938114000000001E-6</v>
      </c>
      <c r="G210" s="1">
        <v>1.5915615547415299E-6</v>
      </c>
      <c r="H210" s="1">
        <v>2.8340084548187201E-8</v>
      </c>
      <c r="I210" s="1">
        <v>1.05978050010368E-8</v>
      </c>
      <c r="J210">
        <v>9</v>
      </c>
      <c r="K210">
        <v>1</v>
      </c>
      <c r="L210">
        <v>0.2</v>
      </c>
      <c r="M210">
        <v>10</v>
      </c>
      <c r="N210" s="229">
        <f t="shared" si="115"/>
        <v>39.999222566</v>
      </c>
      <c r="O210" s="3">
        <f t="shared" si="116"/>
        <v>-6.8372580879226097E-2</v>
      </c>
      <c r="P210" s="3">
        <f t="shared" si="117"/>
        <v>-5.4691632978374836E-2</v>
      </c>
      <c r="R210" s="3">
        <f t="shared" si="118"/>
        <v>1.4170317686262605E-3</v>
      </c>
      <c r="S210" s="3">
        <f t="shared" si="119"/>
        <v>5.299005491194277E-4</v>
      </c>
      <c r="T210" s="1">
        <f t="shared" si="120"/>
        <v>3.9789812217360033E-4</v>
      </c>
    </row>
    <row r="211" spans="1:21" x14ac:dyDescent="0.2">
      <c r="A211">
        <v>201</v>
      </c>
      <c r="D211">
        <v>9.9826008719999998E-2</v>
      </c>
      <c r="E211" s="1">
        <v>-4.7771828600000005E-7</v>
      </c>
      <c r="F211" s="1">
        <v>-2.8951308000000001E-7</v>
      </c>
      <c r="G211" s="1">
        <v>3.89715799838206E-7</v>
      </c>
      <c r="H211" s="1">
        <v>1.75814987214459E-8</v>
      </c>
      <c r="I211" s="1">
        <v>2.0875845659843299E-8</v>
      </c>
      <c r="J211">
        <v>8</v>
      </c>
      <c r="K211">
        <v>1</v>
      </c>
      <c r="L211">
        <v>0.2</v>
      </c>
      <c r="M211">
        <v>10</v>
      </c>
      <c r="N211" s="229">
        <f t="shared" si="115"/>
        <v>9.982600871999999</v>
      </c>
      <c r="O211" s="3">
        <f t="shared" si="116"/>
        <v>-9.5710184575232823E-2</v>
      </c>
      <c r="P211" s="3">
        <f t="shared" si="117"/>
        <v>-5.8003537096639711E-2</v>
      </c>
      <c r="R211" s="3">
        <f t="shared" si="118"/>
        <v>3.5224284626584439E-3</v>
      </c>
      <c r="S211" s="3">
        <f t="shared" si="119"/>
        <v>4.1824462236885679E-3</v>
      </c>
      <c r="T211" s="1">
        <f t="shared" si="120"/>
        <v>3.9039505318830498E-4</v>
      </c>
    </row>
    <row r="212" spans="1:21" x14ac:dyDescent="0.2">
      <c r="A212">
        <v>202</v>
      </c>
      <c r="D212">
        <v>5.0005586025999998E-2</v>
      </c>
      <c r="E212" s="1">
        <v>-2.4809416800000003E-7</v>
      </c>
      <c r="F212" s="1">
        <v>-1.4314733000000001E-7</v>
      </c>
      <c r="G212" s="1">
        <v>1.5294198218030399E-7</v>
      </c>
      <c r="H212" s="1">
        <v>2.2958843258399901E-8</v>
      </c>
      <c r="I212" s="1">
        <v>2.07819619653771E-8</v>
      </c>
      <c r="J212">
        <v>7</v>
      </c>
      <c r="K212">
        <v>1</v>
      </c>
      <c r="L212">
        <v>0.2</v>
      </c>
      <c r="M212">
        <v>10</v>
      </c>
      <c r="N212" s="229">
        <f t="shared" si="115"/>
        <v>5.0005586026</v>
      </c>
      <c r="O212" s="3">
        <f t="shared" si="116"/>
        <v>-9.9226581554710896E-2</v>
      </c>
      <c r="P212" s="3">
        <f t="shared" si="117"/>
        <v>-5.7252535716938391E-2</v>
      </c>
      <c r="R212" s="3">
        <f t="shared" si="118"/>
        <v>9.1825114284082715E-3</v>
      </c>
      <c r="S212" s="3">
        <f t="shared" si="119"/>
        <v>8.3118561812561033E-3</v>
      </c>
      <c r="T212" s="1">
        <f t="shared" si="120"/>
        <v>3.0584979466250639E-4</v>
      </c>
    </row>
    <row r="213" spans="1:21" x14ac:dyDescent="0.2">
      <c r="A213">
        <v>203</v>
      </c>
      <c r="D213">
        <v>4.9385373539999999E-2</v>
      </c>
      <c r="E213" s="1">
        <v>-2.5425829999999998E-7</v>
      </c>
      <c r="F213" s="1">
        <v>-1.2959425379999999E-7</v>
      </c>
      <c r="G213" s="1">
        <v>1.12577206715712E-7</v>
      </c>
      <c r="H213" s="1">
        <v>2.1448133947036E-8</v>
      </c>
      <c r="I213" s="1">
        <v>1.64217762155318E-8</v>
      </c>
      <c r="J213">
        <v>7</v>
      </c>
      <c r="K213">
        <v>1</v>
      </c>
      <c r="L213">
        <v>0.2</v>
      </c>
      <c r="M213">
        <v>10</v>
      </c>
      <c r="N213" s="229">
        <f t="shared" si="115"/>
        <v>4.9385373540000002</v>
      </c>
      <c r="O213" s="3">
        <f t="shared" si="116"/>
        <v>-0.10296907030340141</v>
      </c>
      <c r="P213" s="3">
        <f t="shared" si="117"/>
        <v>-5.2482848467283259E-2</v>
      </c>
      <c r="R213" s="3">
        <f t="shared" si="118"/>
        <v>8.6860268170955296E-3</v>
      </c>
      <c r="S213" s="3">
        <f t="shared" si="119"/>
        <v>6.6504614781260595E-3</v>
      </c>
      <c r="T213" s="1">
        <f t="shared" si="120"/>
        <v>2.279565763019477E-4</v>
      </c>
    </row>
    <row r="214" spans="1:21" x14ac:dyDescent="0.2">
      <c r="A214">
        <v>204</v>
      </c>
      <c r="D214">
        <v>5.0417357753999997E-2</v>
      </c>
      <c r="E214" s="1">
        <v>-2.6736230599999998E-7</v>
      </c>
      <c r="F214" s="1">
        <v>-1.244790566E-7</v>
      </c>
      <c r="G214" s="1">
        <v>1.0446453851166101E-7</v>
      </c>
      <c r="H214" s="1">
        <v>1.93221391420402E-8</v>
      </c>
      <c r="I214" s="1">
        <v>2.0181156380874099E-8</v>
      </c>
      <c r="J214">
        <v>7</v>
      </c>
      <c r="K214">
        <v>1</v>
      </c>
      <c r="L214">
        <v>0.2</v>
      </c>
      <c r="M214">
        <v>10</v>
      </c>
      <c r="N214" s="229">
        <f t="shared" si="115"/>
        <v>5.0417357753999994</v>
      </c>
      <c r="O214" s="3">
        <f t="shared" si="116"/>
        <v>-0.10605962625194815</v>
      </c>
      <c r="P214" s="3">
        <f t="shared" si="117"/>
        <v>-4.9379444756850278E-2</v>
      </c>
      <c r="R214" s="3">
        <f t="shared" si="118"/>
        <v>7.66487575025973E-3</v>
      </c>
      <c r="S214" s="3">
        <f t="shared" si="119"/>
        <v>8.0056382483760635E-3</v>
      </c>
      <c r="T214" s="1">
        <f t="shared" si="120"/>
        <v>2.0719955024492141E-4</v>
      </c>
    </row>
    <row r="215" spans="1:21" x14ac:dyDescent="0.2">
      <c r="A215">
        <v>205</v>
      </c>
    </row>
    <row r="216" spans="1:21" x14ac:dyDescent="0.2">
      <c r="A216">
        <v>206</v>
      </c>
      <c r="C216" s="5" t="s">
        <v>540</v>
      </c>
      <c r="L216" t="s">
        <v>536</v>
      </c>
    </row>
    <row r="217" spans="1:21" x14ac:dyDescent="0.2">
      <c r="A217">
        <v>207</v>
      </c>
      <c r="D217" s="219">
        <v>1.1973482726</v>
      </c>
      <c r="E217" s="220">
        <v>-1.5227754400000001E-5</v>
      </c>
      <c r="F217" s="220">
        <v>-2.8479713399999999E-6</v>
      </c>
      <c r="G217" s="220">
        <v>8.3658609938314798E-6</v>
      </c>
      <c r="H217" s="220">
        <v>2.7747733612675401E-8</v>
      </c>
      <c r="I217" s="220">
        <v>4.5771831302717198E-8</v>
      </c>
      <c r="J217" s="219">
        <v>12</v>
      </c>
      <c r="K217" s="219">
        <v>1</v>
      </c>
      <c r="L217" s="219">
        <v>0.2</v>
      </c>
      <c r="M217" s="219">
        <v>10</v>
      </c>
      <c r="N217" s="215">
        <f t="shared" ref="N217:N226" si="121">100*D217/(L217*5)</f>
        <v>119.73482726</v>
      </c>
      <c r="O217" s="221">
        <f t="shared" ref="O217:O226" si="122">1000000*E217*L217/(M217*D217)</f>
        <v>-0.25435798002085835</v>
      </c>
      <c r="P217" s="221">
        <f t="shared" ref="P217:P226" si="123">1000000*F217*L217/(D217*M217)</f>
        <v>-4.757131079023031E-2</v>
      </c>
      <c r="Q217" s="219"/>
      <c r="R217" s="221">
        <f t="shared" ref="R217:R226" si="124">1000000*L217*H217/(M217*D217)</f>
        <v>4.6348642659202515E-4</v>
      </c>
      <c r="S217" s="221">
        <f t="shared" ref="S217:S226" si="125">1000000*L217*I217/(M217*D217)</f>
        <v>7.6455334425505562E-4</v>
      </c>
      <c r="T217" s="220">
        <f t="shared" ref="T217:T226" si="126">G217*100/D217</f>
        <v>6.986990489964382E-4</v>
      </c>
      <c r="U217" s="219"/>
    </row>
    <row r="218" spans="1:21" x14ac:dyDescent="0.2">
      <c r="A218">
        <v>208</v>
      </c>
      <c r="D218" s="219">
        <v>1.1966667364000001</v>
      </c>
      <c r="E218" s="220">
        <v>-1.5235822200000001E-5</v>
      </c>
      <c r="F218" s="220">
        <v>-2.8896089600000001E-6</v>
      </c>
      <c r="G218" s="220">
        <v>9.00123106812959E-6</v>
      </c>
      <c r="H218" s="220">
        <v>1.9062263432236999E-8</v>
      </c>
      <c r="I218" s="220">
        <v>5.0342048469628203E-8</v>
      </c>
      <c r="J218" s="219">
        <v>12</v>
      </c>
      <c r="K218" s="219">
        <v>1</v>
      </c>
      <c r="L218" s="219">
        <v>0.2</v>
      </c>
      <c r="M218" s="219">
        <v>10</v>
      </c>
      <c r="N218" s="215">
        <f t="shared" si="121"/>
        <v>119.66667364000001</v>
      </c>
      <c r="O218" s="221">
        <f t="shared" si="122"/>
        <v>-0.25463768209743648</v>
      </c>
      <c r="P218" s="221">
        <f t="shared" si="123"/>
        <v>-4.8294297352878268E-2</v>
      </c>
      <c r="Q218" s="219"/>
      <c r="R218" s="221">
        <f t="shared" si="124"/>
        <v>3.185893424193118E-4</v>
      </c>
      <c r="S218" s="221">
        <f t="shared" si="125"/>
        <v>8.4137123458574649E-4</v>
      </c>
      <c r="T218" s="220">
        <f t="shared" si="126"/>
        <v>7.5219196743184322E-4</v>
      </c>
      <c r="U218" s="219"/>
    </row>
    <row r="219" spans="1:21" x14ac:dyDescent="0.2">
      <c r="A219">
        <v>209</v>
      </c>
      <c r="D219">
        <v>1.0002898456</v>
      </c>
      <c r="E219" s="1">
        <v>-1.25578558E-5</v>
      </c>
      <c r="F219" s="1">
        <v>-2.7861099799999899E-6</v>
      </c>
      <c r="G219" s="1">
        <v>1.8689893738982099E-6</v>
      </c>
      <c r="H219" s="1">
        <v>8.3220487780113301E-8</v>
      </c>
      <c r="I219" s="1">
        <v>7.0045373151694099E-9</v>
      </c>
      <c r="J219">
        <v>12</v>
      </c>
      <c r="K219">
        <v>1</v>
      </c>
      <c r="L219">
        <v>0.2</v>
      </c>
      <c r="M219">
        <v>10</v>
      </c>
      <c r="N219" s="2">
        <f t="shared" si="121"/>
        <v>100.02898456</v>
      </c>
      <c r="O219" s="3">
        <f t="shared" si="122"/>
        <v>-0.25108434030873261</v>
      </c>
      <c r="P219" s="3">
        <f t="shared" si="123"/>
        <v>-5.5706053445515248E-2</v>
      </c>
      <c r="Q219" s="8"/>
      <c r="R219" s="3">
        <f t="shared" si="124"/>
        <v>1.6639274735453396E-3</v>
      </c>
      <c r="S219" s="3">
        <f t="shared" si="125"/>
        <v>1.4005015338265089E-4</v>
      </c>
      <c r="T219" s="1">
        <f t="shared" si="126"/>
        <v>1.868447812520921E-4</v>
      </c>
    </row>
    <row r="220" spans="1:21" x14ac:dyDescent="0.2">
      <c r="A220">
        <v>210</v>
      </c>
      <c r="D220">
        <v>0.60015608854000002</v>
      </c>
      <c r="E220" s="1">
        <v>-8.2177916600000001E-6</v>
      </c>
      <c r="F220" s="1">
        <v>-1.4894726200000001E-6</v>
      </c>
      <c r="G220" s="1">
        <v>1.64441512581104E-6</v>
      </c>
      <c r="H220" s="1">
        <v>4.4844098160676597E-8</v>
      </c>
      <c r="I220" s="1">
        <v>1.46213753982175E-8</v>
      </c>
      <c r="J220">
        <v>11</v>
      </c>
      <c r="K220">
        <v>1</v>
      </c>
      <c r="L220">
        <v>0.2</v>
      </c>
      <c r="M220">
        <v>10</v>
      </c>
      <c r="N220" s="2">
        <f t="shared" si="121"/>
        <v>60.015608854</v>
      </c>
      <c r="O220" s="3">
        <f t="shared" si="122"/>
        <v>-0.27385514591683724</v>
      </c>
      <c r="P220" s="3">
        <f t="shared" si="123"/>
        <v>-4.9636174603291651E-2</v>
      </c>
      <c r="R220" s="3">
        <f t="shared" si="124"/>
        <v>1.4944145037258175E-3</v>
      </c>
      <c r="S220" s="3">
        <f t="shared" si="125"/>
        <v>4.8725242240854134E-4</v>
      </c>
      <c r="T220" s="1">
        <f t="shared" si="126"/>
        <v>2.7399790774620139E-4</v>
      </c>
    </row>
    <row r="221" spans="1:21" x14ac:dyDescent="0.2">
      <c r="A221">
        <v>211</v>
      </c>
      <c r="D221">
        <v>0.39986475329999999</v>
      </c>
      <c r="E221" s="1">
        <v>-5.69968266E-6</v>
      </c>
      <c r="F221" s="1">
        <v>-9.899780959999981E-7</v>
      </c>
      <c r="G221" s="1">
        <v>9.6073692811247696E-7</v>
      </c>
      <c r="H221" s="1">
        <v>8.7572238749071603E-8</v>
      </c>
      <c r="I221" s="1">
        <v>2.4597048885555298E-9</v>
      </c>
      <c r="J221">
        <v>11</v>
      </c>
      <c r="K221">
        <v>1</v>
      </c>
      <c r="L221">
        <v>0.2</v>
      </c>
      <c r="M221">
        <v>10</v>
      </c>
      <c r="N221" s="2">
        <f t="shared" si="121"/>
        <v>39.986475329999998</v>
      </c>
      <c r="O221" s="3">
        <f t="shared" si="122"/>
        <v>-0.28508052350009416</v>
      </c>
      <c r="P221" s="3">
        <f t="shared" si="123"/>
        <v>-4.9515646869593609E-2</v>
      </c>
      <c r="R221" s="3">
        <f t="shared" si="124"/>
        <v>4.380092920236469E-3</v>
      </c>
      <c r="S221" s="3">
        <f t="shared" si="125"/>
        <v>1.2302684186371021E-4</v>
      </c>
      <c r="T221" s="1">
        <f t="shared" si="126"/>
        <v>2.4026546980790794E-4</v>
      </c>
    </row>
    <row r="222" spans="1:21" x14ac:dyDescent="0.2">
      <c r="A222">
        <v>212</v>
      </c>
      <c r="D222">
        <v>0.2000437487</v>
      </c>
      <c r="E222" s="1">
        <v>-3.0011812399999999E-6</v>
      </c>
      <c r="F222" s="1">
        <v>-6.6381356599999903E-7</v>
      </c>
      <c r="G222" s="1">
        <v>6.4023956799218304E-7</v>
      </c>
      <c r="H222" s="1">
        <v>4.6553407334613001E-8</v>
      </c>
      <c r="I222" s="1">
        <v>3.4402772506436798E-8</v>
      </c>
      <c r="J222">
        <v>10</v>
      </c>
      <c r="K222">
        <v>1</v>
      </c>
      <c r="L222">
        <v>0.2</v>
      </c>
      <c r="M222">
        <v>10</v>
      </c>
      <c r="N222" s="2">
        <f t="shared" si="121"/>
        <v>20.004374869999999</v>
      </c>
      <c r="O222" s="3">
        <f t="shared" si="122"/>
        <v>-0.30005248946826996</v>
      </c>
      <c r="P222" s="3">
        <f t="shared" si="123"/>
        <v>-6.6366839285290705E-2</v>
      </c>
      <c r="R222" s="3">
        <f t="shared" si="124"/>
        <v>4.6543226306389445E-3</v>
      </c>
      <c r="S222" s="3">
        <f t="shared" si="125"/>
        <v>3.4395248769337619E-3</v>
      </c>
      <c r="T222" s="1">
        <f t="shared" si="126"/>
        <v>3.2004977518809263E-4</v>
      </c>
    </row>
    <row r="223" spans="1:21" x14ac:dyDescent="0.2">
      <c r="A223">
        <v>213</v>
      </c>
      <c r="D223">
        <v>0.10014578373999999</v>
      </c>
      <c r="E223" s="1">
        <v>-1.5396158399999999E-6</v>
      </c>
      <c r="F223" s="1">
        <v>-2.6054153000000002E-7</v>
      </c>
      <c r="G223" s="1">
        <v>3.12217587970034E-7</v>
      </c>
      <c r="H223" s="1">
        <v>1.17566436321937E-8</v>
      </c>
      <c r="I223" s="1">
        <v>2.23133753002342E-8</v>
      </c>
      <c r="J223">
        <v>9</v>
      </c>
      <c r="K223">
        <v>1</v>
      </c>
      <c r="L223">
        <v>0.2</v>
      </c>
      <c r="M223">
        <v>10</v>
      </c>
      <c r="N223" s="2">
        <f t="shared" si="121"/>
        <v>10.014578373999999</v>
      </c>
      <c r="O223" s="3">
        <f t="shared" si="122"/>
        <v>-0.30747491956269957</v>
      </c>
      <c r="P223" s="3">
        <f t="shared" si="123"/>
        <v>-5.2032451146704677E-2</v>
      </c>
      <c r="R223" s="3">
        <f t="shared" si="124"/>
        <v>2.3479058614622218E-3</v>
      </c>
      <c r="S223" s="3">
        <f t="shared" si="125"/>
        <v>4.4561786761117229E-3</v>
      </c>
      <c r="T223" s="1">
        <f t="shared" si="126"/>
        <v>3.1176308808029106E-4</v>
      </c>
    </row>
    <row r="224" spans="1:21" x14ac:dyDescent="0.2">
      <c r="A224">
        <v>214</v>
      </c>
      <c r="D224">
        <v>5.0256175957999999E-2</v>
      </c>
      <c r="E224" s="1">
        <v>-7.85999149999999E-7</v>
      </c>
      <c r="F224" s="1">
        <v>-1.5986764999999999E-7</v>
      </c>
      <c r="G224" s="1">
        <v>1.37354765350287E-7</v>
      </c>
      <c r="H224" s="1">
        <v>1.4578429756441501E-8</v>
      </c>
      <c r="I224" s="1">
        <v>1.5321463049836299E-8</v>
      </c>
      <c r="J224">
        <v>8</v>
      </c>
      <c r="K224">
        <v>1</v>
      </c>
      <c r="L224">
        <v>0.2</v>
      </c>
      <c r="M224">
        <v>10</v>
      </c>
      <c r="N224" s="2">
        <f t="shared" si="121"/>
        <v>5.0256175958</v>
      </c>
      <c r="O224" s="3">
        <f t="shared" si="122"/>
        <v>-0.31279703838066503</v>
      </c>
      <c r="P224" s="3">
        <f t="shared" si="123"/>
        <v>-6.3621096095176161E-2</v>
      </c>
      <c r="R224" s="3">
        <f t="shared" si="124"/>
        <v>5.8016470527423166E-3</v>
      </c>
      <c r="S224" s="3">
        <f t="shared" si="125"/>
        <v>6.0973453541872044E-3</v>
      </c>
      <c r="T224" s="1">
        <f t="shared" si="126"/>
        <v>2.7330922564637009E-4</v>
      </c>
    </row>
    <row r="225" spans="1:20" x14ac:dyDescent="0.2">
      <c r="A225">
        <v>215</v>
      </c>
      <c r="D225">
        <v>4.9675826300000003E-2</v>
      </c>
      <c r="E225" s="1">
        <v>-7.8355501399999998E-7</v>
      </c>
      <c r="F225" s="1">
        <v>-1.4786443999999999E-7</v>
      </c>
      <c r="G225" s="1">
        <v>1.12515687698529E-7</v>
      </c>
      <c r="H225" s="1">
        <v>8.4218485349597701E-9</v>
      </c>
      <c r="I225" s="1">
        <v>1.34442009245027E-8</v>
      </c>
      <c r="J225">
        <v>8</v>
      </c>
      <c r="K225">
        <v>1</v>
      </c>
      <c r="L225">
        <v>0.2</v>
      </c>
      <c r="M225">
        <v>10</v>
      </c>
      <c r="N225" s="2">
        <f t="shared" si="121"/>
        <v>4.9675826300000008</v>
      </c>
      <c r="O225" s="3">
        <f t="shared" si="122"/>
        <v>-0.31546732983080744</v>
      </c>
      <c r="P225" s="3">
        <f t="shared" si="123"/>
        <v>-5.9531748543858641E-2</v>
      </c>
      <c r="R225" s="3">
        <f t="shared" si="124"/>
        <v>3.3907230789072024E-3</v>
      </c>
      <c r="S225" s="3">
        <f t="shared" si="125"/>
        <v>5.4127739489670847E-3</v>
      </c>
      <c r="T225" s="1">
        <f t="shared" si="126"/>
        <v>2.2649988148969955E-4</v>
      </c>
    </row>
    <row r="226" spans="1:20" x14ac:dyDescent="0.2">
      <c r="A226">
        <v>216</v>
      </c>
      <c r="D226">
        <v>4.9758585036000003E-2</v>
      </c>
      <c r="E226" s="1">
        <v>-7.8139819399999996E-7</v>
      </c>
      <c r="F226" s="1">
        <v>-1.5315457399999999E-7</v>
      </c>
      <c r="G226" s="1">
        <v>8.3599568207996102E-8</v>
      </c>
      <c r="H226" s="1">
        <v>1.1547734100522201E-8</v>
      </c>
      <c r="I226" s="1">
        <v>1.102175780375E-8</v>
      </c>
      <c r="J226">
        <v>8</v>
      </c>
      <c r="K226">
        <v>1</v>
      </c>
      <c r="L226">
        <v>0.2</v>
      </c>
      <c r="M226">
        <v>10</v>
      </c>
      <c r="N226" s="2">
        <f t="shared" si="121"/>
        <v>4.9758585036000005</v>
      </c>
      <c r="O226" s="3">
        <f t="shared" si="122"/>
        <v>-0.31407572921724508</v>
      </c>
      <c r="P226" s="3">
        <f t="shared" si="123"/>
        <v>-6.1559055141617747E-2</v>
      </c>
      <c r="R226" s="3">
        <f t="shared" si="124"/>
        <v>4.6415042116521171E-3</v>
      </c>
      <c r="S226" s="3">
        <f t="shared" si="125"/>
        <v>4.4300929360333828E-3</v>
      </c>
      <c r="T226" s="1">
        <f t="shared" si="126"/>
        <v>1.6801034062265312E-4</v>
      </c>
    </row>
    <row r="227" spans="1:20" x14ac:dyDescent="0.2">
      <c r="A227">
        <v>217</v>
      </c>
      <c r="E227" s="1"/>
      <c r="F227" s="1"/>
      <c r="G227" s="1"/>
      <c r="H227" s="1"/>
      <c r="I227" s="1"/>
    </row>
    <row r="228" spans="1:20" x14ac:dyDescent="0.2">
      <c r="A228">
        <v>218</v>
      </c>
      <c r="D228" s="223" t="s">
        <v>549</v>
      </c>
      <c r="E228" s="1"/>
      <c r="F228" s="1"/>
      <c r="G228" s="1"/>
      <c r="H228" s="1"/>
      <c r="I228" s="1"/>
    </row>
    <row r="229" spans="1:20" x14ac:dyDescent="0.2">
      <c r="A229">
        <v>219</v>
      </c>
      <c r="D229" s="219">
        <v>1.1972800562000001</v>
      </c>
      <c r="E229" s="220">
        <v>-1.5260884600000001E-5</v>
      </c>
      <c r="F229" s="220">
        <v>-2.0964200000000001E-6</v>
      </c>
      <c r="G229" s="220">
        <v>7.9069152863483408E-6</v>
      </c>
      <c r="H229" s="220">
        <v>4.5435649923820796E-9</v>
      </c>
      <c r="I229" s="220">
        <v>1.2705494208814499E-21</v>
      </c>
      <c r="J229" s="219">
        <v>12</v>
      </c>
      <c r="K229" s="219">
        <v>1</v>
      </c>
      <c r="L229" s="219">
        <v>0.2</v>
      </c>
      <c r="M229" s="219">
        <v>10</v>
      </c>
      <c r="N229" s="215">
        <f>100*D229/(L229*5)</f>
        <v>119.72800562</v>
      </c>
      <c r="O229" s="221">
        <f>1000000*E229*L229/(M229*D229)</f>
        <v>-0.25492589676029381</v>
      </c>
      <c r="P229" s="221">
        <f>1000000*F229*L229/(D229*M229)</f>
        <v>-3.5019709701901235E-2</v>
      </c>
      <c r="Q229" s="219"/>
      <c r="R229" s="221">
        <f>1000000*L229*H229/(M229*D229)</f>
        <v>7.589811538000092E-5</v>
      </c>
      <c r="S229" s="221">
        <f>1000000*L229*I229/(M229*D229)</f>
        <v>2.1223930262632063E-17</v>
      </c>
      <c r="T229" s="220">
        <f>G229*100/D229</f>
        <v>6.6040649766135645E-4</v>
      </c>
    </row>
    <row r="230" spans="1:20" x14ac:dyDescent="0.2">
      <c r="A230">
        <v>220</v>
      </c>
      <c r="D230">
        <v>1.00028055774</v>
      </c>
      <c r="E230" s="1">
        <v>-1.25920816E-5</v>
      </c>
      <c r="F230" s="1">
        <v>-2.0893284399999999E-6</v>
      </c>
      <c r="G230" s="1">
        <v>2.8901757003906298E-6</v>
      </c>
      <c r="H230" s="1">
        <v>7.7658826294504301E-8</v>
      </c>
      <c r="I230" s="1">
        <v>3.8117219686645599E-9</v>
      </c>
      <c r="J230">
        <v>12</v>
      </c>
      <c r="K230">
        <v>1</v>
      </c>
      <c r="L230">
        <v>0.2</v>
      </c>
      <c r="M230">
        <v>10</v>
      </c>
      <c r="N230" s="2">
        <f>100*D230/(L230*5)</f>
        <v>100.02805577399999</v>
      </c>
      <c r="O230" s="3">
        <f>1000000*E230*L230/(M230*D230)</f>
        <v>-0.2517709956984493</v>
      </c>
      <c r="P230" s="3">
        <f>1000000*F230*L230/(D230*M230)</f>
        <v>-4.1774848542903961E-2</v>
      </c>
      <c r="Q230" s="8"/>
      <c r="R230" s="3">
        <f>1000000*L230*H230/(M230*D230)</f>
        <v>1.5527408924145046E-3</v>
      </c>
      <c r="S230" s="3">
        <f>1000000*L230*I230/(M230*D230)</f>
        <v>7.621305721020181E-5</v>
      </c>
      <c r="T230" s="1">
        <f>G230*100/D230</f>
        <v>2.8893650666574934E-4</v>
      </c>
    </row>
    <row r="231" spans="1:20" x14ac:dyDescent="0.2">
      <c r="A231">
        <v>221</v>
      </c>
      <c r="D231">
        <v>0.59948498778000003</v>
      </c>
      <c r="E231" s="1">
        <v>-8.2206983000000001E-6</v>
      </c>
      <c r="F231" s="1">
        <v>-1.1180551599999999E-6</v>
      </c>
      <c r="G231" s="1">
        <v>1.12868525845876E-6</v>
      </c>
      <c r="H231" s="1">
        <v>7.7570774136333104E-8</v>
      </c>
      <c r="I231" s="1">
        <v>6.8543072970026701E-8</v>
      </c>
      <c r="J231">
        <v>11</v>
      </c>
      <c r="K231">
        <v>1</v>
      </c>
      <c r="L231">
        <v>0.2</v>
      </c>
      <c r="M231">
        <v>10</v>
      </c>
      <c r="N231" s="2">
        <f>100*D231/(L231*5)</f>
        <v>59.948498778000001</v>
      </c>
      <c r="O231" s="3">
        <f>1000000*E231*L231/(M231*D231)</f>
        <v>-0.27425868762594757</v>
      </c>
      <c r="P231" s="3">
        <f>1000000*F231*L231/(D231*M231)</f>
        <v>-3.7300522374725607E-2</v>
      </c>
      <c r="R231" s="3">
        <f>1000000*L231*H231/(M231*D231)</f>
        <v>2.5879138166108725E-3</v>
      </c>
      <c r="S231" s="3">
        <f>1000000*L231*I231/(M231*D231)</f>
        <v>2.2867319238085992E-3</v>
      </c>
      <c r="T231" s="1">
        <f>G231*100/D231</f>
        <v>1.8827581698725818E-4</v>
      </c>
    </row>
    <row r="232" spans="1:20" x14ac:dyDescent="0.2">
      <c r="A232">
        <v>222</v>
      </c>
      <c r="C232" s="223" t="s">
        <v>550</v>
      </c>
    </row>
    <row r="233" spans="1:20" x14ac:dyDescent="0.2">
      <c r="A233">
        <v>223</v>
      </c>
      <c r="C233" s="5" t="s">
        <v>540</v>
      </c>
    </row>
    <row r="234" spans="1:20" x14ac:dyDescent="0.2">
      <c r="A234">
        <v>224</v>
      </c>
      <c r="D234">
        <v>1.1993042089999999</v>
      </c>
      <c r="E234" s="1">
        <v>-1.5088092E-5</v>
      </c>
      <c r="F234" s="1">
        <v>-3.4792421200000199E-6</v>
      </c>
      <c r="G234" s="1">
        <v>3.9716390920778399E-6</v>
      </c>
      <c r="H234" s="1">
        <v>9.3466033916070194E-8</v>
      </c>
      <c r="I234" s="1">
        <v>1.07709842217691E-8</v>
      </c>
      <c r="J234">
        <v>12</v>
      </c>
      <c r="K234">
        <v>1</v>
      </c>
      <c r="L234">
        <v>0.2</v>
      </c>
      <c r="M234">
        <v>10</v>
      </c>
      <c r="N234" s="2">
        <f t="shared" ref="N234:N243" si="127">100*D234/(L234*5)</f>
        <v>119.93042089999999</v>
      </c>
      <c r="O234" s="3">
        <f t="shared" ref="O234:O243" si="128">1000000*E234*L234/(M234*D234)</f>
        <v>-0.2516140923507757</v>
      </c>
      <c r="P234" s="3">
        <f t="shared" ref="P234:P243" si="129">1000000*F234*L234/(D234*M234)</f>
        <v>-5.8021010747574556E-2</v>
      </c>
      <c r="R234" s="3">
        <f t="shared" ref="R234:R243" si="130">1000000*L234*H234/(M234*D234)</f>
        <v>1.5586709896399638E-3</v>
      </c>
      <c r="S234" s="3">
        <f t="shared" ref="S234:S243" si="131">1000000*L234*I234/(M234*D234)</f>
        <v>1.7962055233259171E-4</v>
      </c>
      <c r="T234" s="1">
        <f t="shared" ref="T234:T243" si="132">G234*100/D234</f>
        <v>3.3116194058798972E-4</v>
      </c>
    </row>
    <row r="235" spans="1:20" x14ac:dyDescent="0.2">
      <c r="A235">
        <v>225</v>
      </c>
      <c r="D235">
        <v>1.1990305033999999</v>
      </c>
      <c r="E235" s="1">
        <v>-1.49160624E-5</v>
      </c>
      <c r="F235" s="1">
        <v>-3.4863371200000199E-6</v>
      </c>
      <c r="G235" s="1">
        <v>6.4678972390865898E-6</v>
      </c>
      <c r="H235" s="1">
        <v>1.2376565139908601E-7</v>
      </c>
      <c r="I235" s="1">
        <v>4.4239880770182301E-9</v>
      </c>
      <c r="J235">
        <v>12</v>
      </c>
      <c r="K235">
        <v>1</v>
      </c>
      <c r="L235">
        <v>0.2</v>
      </c>
      <c r="M235">
        <v>10</v>
      </c>
      <c r="N235" s="2">
        <f t="shared" si="127"/>
        <v>119.90305033999999</v>
      </c>
      <c r="O235" s="3">
        <f t="shared" si="128"/>
        <v>-0.24880205061845639</v>
      </c>
      <c r="P235" s="3">
        <f t="shared" si="129"/>
        <v>-5.8152600957424833E-2</v>
      </c>
      <c r="R235" s="3">
        <f t="shared" si="130"/>
        <v>2.0644287371861373E-3</v>
      </c>
      <c r="S235" s="3">
        <f t="shared" si="131"/>
        <v>7.379275280275961E-5</v>
      </c>
      <c r="T235" s="1">
        <f t="shared" si="132"/>
        <v>5.394272473257406E-4</v>
      </c>
    </row>
    <row r="236" spans="1:20" x14ac:dyDescent="0.2">
      <c r="A236">
        <v>226</v>
      </c>
      <c r="D236">
        <v>1.0000640871599999</v>
      </c>
      <c r="E236" s="1">
        <v>-1.24743116E-5</v>
      </c>
      <c r="F236" s="1">
        <v>-2.7939800000000302E-6</v>
      </c>
      <c r="G236" s="1">
        <v>1.2828408464942299E-6</v>
      </c>
      <c r="H236" s="1">
        <v>2.9662339759374298E-10</v>
      </c>
      <c r="I236" s="1">
        <v>3.43048343637992E-20</v>
      </c>
      <c r="J236">
        <v>12</v>
      </c>
      <c r="K236">
        <v>1</v>
      </c>
      <c r="L236">
        <v>0.2</v>
      </c>
      <c r="M236">
        <v>10</v>
      </c>
      <c r="N236" s="2">
        <f t="shared" si="127"/>
        <v>100.006408716</v>
      </c>
      <c r="O236" s="3">
        <f t="shared" si="128"/>
        <v>-0.24947024416054728</v>
      </c>
      <c r="P236" s="3">
        <f t="shared" si="129"/>
        <v>-5.587601906462665E-2</v>
      </c>
      <c r="R236" s="3">
        <f t="shared" si="130"/>
        <v>5.9320877812160908E-6</v>
      </c>
      <c r="S236" s="3">
        <f t="shared" si="131"/>
        <v>6.8605272010554217E-16</v>
      </c>
      <c r="T236" s="1">
        <f t="shared" si="132"/>
        <v>1.2827586381361465E-4</v>
      </c>
    </row>
    <row r="237" spans="1:20" x14ac:dyDescent="0.2">
      <c r="A237">
        <v>227</v>
      </c>
      <c r="D237">
        <v>0.60024769552000001</v>
      </c>
      <c r="E237" s="1">
        <v>-7.8839953200000002E-6</v>
      </c>
      <c r="F237" s="1">
        <v>-1.8948684399999999E-6</v>
      </c>
      <c r="G237" s="1">
        <v>1.86262186106098E-6</v>
      </c>
      <c r="H237" s="1">
        <v>3.0528627222618501E-8</v>
      </c>
      <c r="I237" s="1">
        <v>4.2360530525081998E-8</v>
      </c>
      <c r="J237">
        <v>11</v>
      </c>
      <c r="K237">
        <v>1</v>
      </c>
      <c r="L237">
        <v>0.2</v>
      </c>
      <c r="M237">
        <v>10</v>
      </c>
      <c r="N237" s="2">
        <f t="shared" si="127"/>
        <v>60.024769552000002</v>
      </c>
      <c r="O237" s="3">
        <f t="shared" si="128"/>
        <v>-0.26269139819587395</v>
      </c>
      <c r="P237" s="3">
        <f t="shared" si="129"/>
        <v>-6.3136217069803435E-2</v>
      </c>
      <c r="R237" s="3">
        <f t="shared" si="130"/>
        <v>1.0172009805442493E-3</v>
      </c>
      <c r="S237" s="3">
        <f t="shared" si="131"/>
        <v>1.411435007289272E-3</v>
      </c>
      <c r="T237" s="1">
        <f t="shared" si="132"/>
        <v>3.1030887331393649E-4</v>
      </c>
    </row>
    <row r="238" spans="1:20" x14ac:dyDescent="0.2">
      <c r="A238">
        <v>228</v>
      </c>
      <c r="D238">
        <v>0.39994777622</v>
      </c>
      <c r="E238" s="1">
        <v>-5.48758734E-6</v>
      </c>
      <c r="F238" s="1">
        <v>-1.0763123659999999E-6</v>
      </c>
      <c r="G238" s="1">
        <v>1.0642100351720301E-6</v>
      </c>
      <c r="H238" s="1">
        <v>5.4442069493401897E-8</v>
      </c>
      <c r="I238" s="1">
        <v>7.3064738594564496E-8</v>
      </c>
      <c r="J238">
        <v>11</v>
      </c>
      <c r="K238">
        <v>1</v>
      </c>
      <c r="L238">
        <v>0.2</v>
      </c>
      <c r="M238">
        <v>10</v>
      </c>
      <c r="N238" s="2">
        <f t="shared" si="127"/>
        <v>39.994777622000001</v>
      </c>
      <c r="O238" s="3">
        <f t="shared" si="128"/>
        <v>-0.27441519449686519</v>
      </c>
      <c r="P238" s="3">
        <f t="shared" si="129"/>
        <v>-5.38226453549751E-2</v>
      </c>
      <c r="R238" s="3">
        <f t="shared" si="130"/>
        <v>2.7224589174089995E-3</v>
      </c>
      <c r="S238" s="3">
        <f t="shared" si="131"/>
        <v>3.6537139566128578E-3</v>
      </c>
      <c r="T238" s="1">
        <f t="shared" si="132"/>
        <v>2.6608724899788869E-4</v>
      </c>
    </row>
    <row r="239" spans="1:20" x14ac:dyDescent="0.2">
      <c r="A239">
        <v>229</v>
      </c>
      <c r="D239">
        <v>0.20065449086000001</v>
      </c>
      <c r="E239" s="1">
        <v>-2.9987959400000001E-6</v>
      </c>
      <c r="F239" s="1">
        <v>-6.8799543399999796E-7</v>
      </c>
      <c r="G239" s="1">
        <v>5.18442192180201E-7</v>
      </c>
      <c r="H239" s="1">
        <v>4.61993720662565E-8</v>
      </c>
      <c r="I239" s="1">
        <v>1.1280078106717401E-8</v>
      </c>
      <c r="J239">
        <v>10</v>
      </c>
      <c r="K239">
        <v>1</v>
      </c>
      <c r="L239">
        <v>0.2</v>
      </c>
      <c r="M239">
        <v>10</v>
      </c>
      <c r="N239" s="2">
        <f t="shared" si="127"/>
        <v>20.065449086000001</v>
      </c>
      <c r="O239" s="3">
        <f t="shared" si="128"/>
        <v>-0.29890145265597973</v>
      </c>
      <c r="P239" s="3">
        <f t="shared" si="129"/>
        <v>-6.8575134406538049E-2</v>
      </c>
      <c r="R239" s="3">
        <f t="shared" si="130"/>
        <v>4.6048679865820273E-3</v>
      </c>
      <c r="S239" s="3">
        <f t="shared" si="131"/>
        <v>1.1243284970469663E-3</v>
      </c>
      <c r="T239" s="1">
        <f t="shared" si="132"/>
        <v>2.5837557383249739E-4</v>
      </c>
    </row>
    <row r="240" spans="1:20" x14ac:dyDescent="0.2">
      <c r="A240">
        <v>230</v>
      </c>
      <c r="D240">
        <v>0.1004010508</v>
      </c>
      <c r="E240" s="1">
        <v>-1.53622154E-6</v>
      </c>
      <c r="F240" s="1">
        <v>-3.0334476399999999E-7</v>
      </c>
      <c r="G240" s="1">
        <v>2.28775731801262E-7</v>
      </c>
      <c r="H240" s="1">
        <v>5.6300433238475198E-9</v>
      </c>
      <c r="I240" s="1">
        <v>3.0085399595556402E-8</v>
      </c>
      <c r="J240">
        <v>9</v>
      </c>
      <c r="K240">
        <v>1</v>
      </c>
      <c r="L240">
        <v>0.2</v>
      </c>
      <c r="M240">
        <v>10</v>
      </c>
      <c r="N240" s="2">
        <f t="shared" si="127"/>
        <v>10.04010508</v>
      </c>
      <c r="O240" s="3">
        <f t="shared" si="128"/>
        <v>-0.30601702427600491</v>
      </c>
      <c r="P240" s="3">
        <f t="shared" si="129"/>
        <v>-6.0426611391601097E-2</v>
      </c>
      <c r="R240" s="3">
        <f t="shared" si="130"/>
        <v>1.1215108365872841E-3</v>
      </c>
      <c r="S240" s="3">
        <f t="shared" si="131"/>
        <v>5.9930447651363435E-3</v>
      </c>
      <c r="T240" s="1">
        <f t="shared" si="132"/>
        <v>2.2786188986904707E-4</v>
      </c>
    </row>
    <row r="241" spans="1:26" x14ac:dyDescent="0.2">
      <c r="A241">
        <v>231</v>
      </c>
      <c r="D241">
        <v>5.0360189100000001E-2</v>
      </c>
      <c r="E241" s="1">
        <v>-7.9062314800000001E-7</v>
      </c>
      <c r="F241" s="1">
        <v>-1.57738232E-7</v>
      </c>
      <c r="G241" s="1">
        <v>9.2747165968504797E-8</v>
      </c>
      <c r="H241" s="1">
        <v>1.3142275408699101E-8</v>
      </c>
      <c r="I241" s="1">
        <v>6.9161914145124698E-9</v>
      </c>
      <c r="J241">
        <v>8</v>
      </c>
      <c r="K241">
        <v>1</v>
      </c>
      <c r="L241">
        <v>0.2</v>
      </c>
      <c r="M241">
        <v>10</v>
      </c>
      <c r="N241" s="2">
        <f t="shared" si="127"/>
        <v>5.0360189100000001</v>
      </c>
      <c r="O241" s="3">
        <f t="shared" si="128"/>
        <v>-0.31398736268843758</v>
      </c>
      <c r="P241" s="3">
        <f t="shared" si="129"/>
        <v>-6.2644018943924115E-2</v>
      </c>
      <c r="R241" s="3">
        <f t="shared" si="130"/>
        <v>5.2193113820929249E-3</v>
      </c>
      <c r="S241" s="3">
        <f t="shared" si="131"/>
        <v>2.7466900097531484E-3</v>
      </c>
      <c r="T241" s="1">
        <f t="shared" si="132"/>
        <v>1.8416762848991129E-4</v>
      </c>
    </row>
    <row r="242" spans="1:26" x14ac:dyDescent="0.2">
      <c r="A242">
        <v>232</v>
      </c>
      <c r="D242">
        <v>4.9628616803999999E-2</v>
      </c>
      <c r="E242" s="1">
        <v>-7.77547032E-7</v>
      </c>
      <c r="F242" s="1">
        <v>-1.3286991859999999E-7</v>
      </c>
      <c r="G242" s="1">
        <v>9.3535624333828096E-8</v>
      </c>
      <c r="H242" s="1">
        <v>9.9128326070289296E-9</v>
      </c>
      <c r="I242" s="1">
        <v>2.8808719650573101E-8</v>
      </c>
      <c r="J242">
        <v>8</v>
      </c>
      <c r="K242">
        <v>1</v>
      </c>
      <c r="L242">
        <v>0.2</v>
      </c>
      <c r="M242">
        <v>10</v>
      </c>
      <c r="N242" s="2">
        <f t="shared" si="127"/>
        <v>4.9628616803999996</v>
      </c>
      <c r="O242" s="3">
        <f t="shared" si="128"/>
        <v>-0.31334624338646921</v>
      </c>
      <c r="P242" s="3">
        <f t="shared" si="129"/>
        <v>-5.3545686805960252E-2</v>
      </c>
      <c r="R242" s="3">
        <f t="shared" si="130"/>
        <v>3.9948051126139665E-3</v>
      </c>
      <c r="S242" s="3">
        <f t="shared" si="131"/>
        <v>1.1609720965767944E-2</v>
      </c>
      <c r="T242" s="1">
        <f t="shared" si="132"/>
        <v>1.884711490212019E-4</v>
      </c>
    </row>
    <row r="243" spans="1:26" x14ac:dyDescent="0.2">
      <c r="A243">
        <v>233</v>
      </c>
      <c r="D243">
        <v>4.9728741783999997E-2</v>
      </c>
      <c r="E243" s="1">
        <v>-8.0044451199999904E-7</v>
      </c>
      <c r="F243" s="1">
        <v>-1.7142960400000001E-7</v>
      </c>
      <c r="G243" s="1">
        <v>6.8234396444276505E-8</v>
      </c>
      <c r="H243" s="1">
        <v>4.6580139753094901E-8</v>
      </c>
      <c r="I243" s="1">
        <v>2.2976087939751299E-8</v>
      </c>
      <c r="J243">
        <v>8</v>
      </c>
      <c r="K243">
        <v>1</v>
      </c>
      <c r="L243">
        <v>0.2</v>
      </c>
      <c r="M243">
        <v>10</v>
      </c>
      <c r="N243" s="2">
        <f t="shared" si="127"/>
        <v>4.9728741783999997</v>
      </c>
      <c r="O243" s="3">
        <f t="shared" si="128"/>
        <v>-0.32192429700987873</v>
      </c>
      <c r="P243" s="3">
        <f t="shared" si="129"/>
        <v>-6.8945884351796216E-2</v>
      </c>
      <c r="R243" s="3">
        <f t="shared" si="130"/>
        <v>1.8733689243704877E-2</v>
      </c>
      <c r="S243" s="3">
        <f t="shared" si="131"/>
        <v>9.2405667690324527E-3</v>
      </c>
      <c r="T243" s="1">
        <f t="shared" si="132"/>
        <v>1.3721319702930958E-4</v>
      </c>
    </row>
    <row r="244" spans="1:26" x14ac:dyDescent="0.2">
      <c r="A244">
        <v>234</v>
      </c>
    </row>
    <row r="245" spans="1:26" x14ac:dyDescent="0.2">
      <c r="A245">
        <v>235</v>
      </c>
      <c r="C245" s="230" t="s">
        <v>562</v>
      </c>
      <c r="Q245" s="3"/>
      <c r="R245" s="3"/>
      <c r="V245" s="37"/>
      <c r="W245" s="37" t="s">
        <v>566</v>
      </c>
      <c r="X245" s="37"/>
      <c r="Y245" s="37"/>
      <c r="Z245" s="37"/>
    </row>
    <row r="246" spans="1:26" x14ac:dyDescent="0.2">
      <c r="A246">
        <v>236</v>
      </c>
      <c r="C246" s="5" t="s">
        <v>539</v>
      </c>
      <c r="L246" t="s">
        <v>536</v>
      </c>
      <c r="V246" s="37"/>
      <c r="W246" s="37" t="s">
        <v>565</v>
      </c>
      <c r="X246" s="37" t="s">
        <v>564</v>
      </c>
      <c r="Y246" s="37"/>
      <c r="Z246" s="37"/>
    </row>
    <row r="247" spans="1:26" x14ac:dyDescent="0.2">
      <c r="A247">
        <v>237</v>
      </c>
      <c r="B247" s="4">
        <v>41348</v>
      </c>
      <c r="C247" s="8" t="s">
        <v>13</v>
      </c>
      <c r="D247">
        <v>1.1989456754000001</v>
      </c>
      <c r="E247" s="1">
        <v>-2.43310651666667E-6</v>
      </c>
      <c r="F247" s="1">
        <v>-3.14547583333333E-6</v>
      </c>
      <c r="G247" s="1">
        <v>6.3254513581103097E-6</v>
      </c>
      <c r="H247" s="1">
        <v>8.66562544577072E-9</v>
      </c>
      <c r="I247" s="1">
        <v>2.37848289596307E-8</v>
      </c>
      <c r="J247">
        <v>10</v>
      </c>
      <c r="K247">
        <v>1</v>
      </c>
      <c r="L247">
        <v>0.2</v>
      </c>
      <c r="M247">
        <v>10</v>
      </c>
      <c r="N247" s="2">
        <f t="shared" ref="N247:N255" si="133">100*D247/(L247*5)</f>
        <v>119.89456754000001</v>
      </c>
      <c r="O247" s="3">
        <f t="shared" ref="O247:O255" si="134">1000000*E247*L247/(M247*D247)</f>
        <v>-4.0587435554240957E-2</v>
      </c>
      <c r="P247" s="3">
        <f t="shared" ref="P247:P255" si="135">1000000*F247*L247/(D247*M247)</f>
        <v>-5.2470698178779723E-2</v>
      </c>
      <c r="R247" s="3">
        <f t="shared" ref="R247:R255" si="136">1000000*L247*H247/(M247*D247)</f>
        <v>1.4455409654619484E-4</v>
      </c>
      <c r="S247" s="3">
        <f t="shared" ref="S247:S255" si="137">1000000*L247*I247/(M247*D247)</f>
        <v>3.9676241297080371E-4</v>
      </c>
      <c r="T247" s="1">
        <f t="shared" ref="T247:T255" si="138">G247*100/D247</f>
        <v>5.2758448425947008E-4</v>
      </c>
      <c r="V247" s="167">
        <f t="shared" ref="V247:X251" si="139">N206</f>
        <v>119.80793668000001</v>
      </c>
      <c r="W247" s="168">
        <f t="shared" si="139"/>
        <v>-3.7781359110540695E-2</v>
      </c>
      <c r="X247" s="168">
        <f t="shared" si="139"/>
        <v>-4.7382955731576838E-2</v>
      </c>
      <c r="Y247" s="168">
        <f t="shared" ref="Y247:Z251" si="140">O247-W247</f>
        <v>-2.8060764437002617E-3</v>
      </c>
      <c r="Z247" s="168">
        <f t="shared" si="140"/>
        <v>-5.0877424472028851E-3</v>
      </c>
    </row>
    <row r="248" spans="1:26" x14ac:dyDescent="0.2">
      <c r="A248">
        <v>238</v>
      </c>
      <c r="D248">
        <v>1.1990899723999999</v>
      </c>
      <c r="E248" s="1">
        <v>-2.4241528499999999E-6</v>
      </c>
      <c r="F248" s="1">
        <v>-3.1489520500000002E-6</v>
      </c>
      <c r="G248" s="1">
        <v>4.6091440566490604E-6</v>
      </c>
      <c r="H248" s="1">
        <v>1.09528885099244E-8</v>
      </c>
      <c r="I248" s="1">
        <v>1.52477953258004E-8</v>
      </c>
      <c r="J248">
        <v>10</v>
      </c>
      <c r="K248">
        <v>1</v>
      </c>
      <c r="L248">
        <v>0.2</v>
      </c>
      <c r="M248">
        <v>10</v>
      </c>
      <c r="N248" s="2">
        <f t="shared" si="133"/>
        <v>119.90899723999999</v>
      </c>
      <c r="O248" s="3">
        <f t="shared" si="134"/>
        <v>-4.0433210281093673E-2</v>
      </c>
      <c r="P248" s="3">
        <f t="shared" si="135"/>
        <v>-5.2522364834680701E-2</v>
      </c>
      <c r="R248" s="3">
        <f t="shared" si="136"/>
        <v>1.826866834354723E-4</v>
      </c>
      <c r="S248" s="3">
        <f t="shared" si="137"/>
        <v>2.5432278939472187E-4</v>
      </c>
      <c r="T248" s="1">
        <f t="shared" si="138"/>
        <v>3.8438684024884112E-4</v>
      </c>
      <c r="V248" s="167">
        <f t="shared" si="139"/>
        <v>119.79913684</v>
      </c>
      <c r="W248" s="168">
        <f t="shared" si="139"/>
        <v>-3.7736433827881659E-2</v>
      </c>
      <c r="X248" s="168">
        <f t="shared" si="139"/>
        <v>-4.7482424582050098E-2</v>
      </c>
      <c r="Y248" s="168">
        <f t="shared" si="140"/>
        <v>-2.6967764532120145E-3</v>
      </c>
      <c r="Z248" s="168">
        <f t="shared" si="140"/>
        <v>-5.0399402526306036E-3</v>
      </c>
    </row>
    <row r="249" spans="1:26" x14ac:dyDescent="0.2">
      <c r="A249">
        <v>239</v>
      </c>
      <c r="D249">
        <v>1.0016515392000001</v>
      </c>
      <c r="E249" s="1">
        <v>-2.1320165666666698E-6</v>
      </c>
      <c r="F249" s="1">
        <v>-2.7758774000000001E-6</v>
      </c>
      <c r="G249" s="1">
        <v>2.4977282289990802E-6</v>
      </c>
      <c r="H249" s="1">
        <v>3.1967400794333501E-8</v>
      </c>
      <c r="I249" s="1">
        <v>9.2417685125737805E-9</v>
      </c>
      <c r="J249">
        <v>10</v>
      </c>
      <c r="K249">
        <v>1</v>
      </c>
      <c r="L249">
        <v>0.2</v>
      </c>
      <c r="M249">
        <v>10</v>
      </c>
      <c r="N249" s="2">
        <f t="shared" si="133"/>
        <v>100.16515392000001</v>
      </c>
      <c r="O249" s="3">
        <f t="shared" si="134"/>
        <v>-4.2570025267858538E-2</v>
      </c>
      <c r="P249" s="3">
        <f t="shared" si="135"/>
        <v>-5.5426009772161694E-2</v>
      </c>
      <c r="R249" s="3">
        <f t="shared" si="136"/>
        <v>6.3829384857463011E-4</v>
      </c>
      <c r="S249" s="3">
        <f t="shared" si="137"/>
        <v>1.8453061071428101E-4</v>
      </c>
      <c r="T249" s="1">
        <f t="shared" si="138"/>
        <v>2.4936099344428382E-4</v>
      </c>
      <c r="V249" s="167">
        <f t="shared" si="139"/>
        <v>100.05971124</v>
      </c>
      <c r="W249" s="168">
        <f t="shared" si="139"/>
        <v>-4.1808458051272507E-2</v>
      </c>
      <c r="X249" s="168">
        <f t="shared" si="139"/>
        <v>-4.8833933852555668E-2</v>
      </c>
      <c r="Y249" s="168">
        <f t="shared" si="140"/>
        <v>-7.6156721658603155E-4</v>
      </c>
      <c r="Z249" s="168">
        <f t="shared" si="140"/>
        <v>-6.5920759196060261E-3</v>
      </c>
    </row>
    <row r="250" spans="1:26" x14ac:dyDescent="0.2">
      <c r="A250">
        <v>240</v>
      </c>
      <c r="D250">
        <v>0.60079884224000002</v>
      </c>
      <c r="E250" s="1">
        <v>-1.7503825333333399E-6</v>
      </c>
      <c r="F250" s="1">
        <v>-1.74252424999999E-6</v>
      </c>
      <c r="G250" s="1">
        <v>1.14103361563385E-6</v>
      </c>
      <c r="H250" s="1">
        <v>8.6425244527022202E-9</v>
      </c>
      <c r="I250" s="1">
        <v>6.6652133077269098E-9</v>
      </c>
      <c r="J250">
        <v>10</v>
      </c>
      <c r="K250">
        <v>1</v>
      </c>
      <c r="L250">
        <v>0.2</v>
      </c>
      <c r="M250">
        <v>10</v>
      </c>
      <c r="N250" s="2">
        <f t="shared" si="133"/>
        <v>60.079884224000004</v>
      </c>
      <c r="O250" s="3">
        <f t="shared" si="134"/>
        <v>-5.8268505538634774E-2</v>
      </c>
      <c r="P250" s="3">
        <f t="shared" si="135"/>
        <v>-5.8006911048736912E-2</v>
      </c>
      <c r="R250" s="3">
        <f t="shared" si="136"/>
        <v>2.877011021019846E-4</v>
      </c>
      <c r="S250" s="3">
        <f t="shared" si="137"/>
        <v>2.218783672377441E-4</v>
      </c>
      <c r="T250" s="1">
        <f t="shared" si="138"/>
        <v>1.8991940986098696E-4</v>
      </c>
      <c r="V250" s="167">
        <f t="shared" si="139"/>
        <v>60.054093791999996</v>
      </c>
      <c r="W250" s="168">
        <f t="shared" si="139"/>
        <v>-5.8016910754951995E-2</v>
      </c>
      <c r="X250" s="168">
        <f t="shared" si="139"/>
        <v>-5.2046070511455607E-2</v>
      </c>
      <c r="Y250" s="168">
        <f t="shared" si="140"/>
        <v>-2.5159478368277921E-4</v>
      </c>
      <c r="Z250" s="168">
        <f t="shared" si="140"/>
        <v>-5.9608405372813048E-3</v>
      </c>
    </row>
    <row r="251" spans="1:26" x14ac:dyDescent="0.2">
      <c r="A251">
        <v>241</v>
      </c>
      <c r="D251">
        <v>0.40071349826000002</v>
      </c>
      <c r="E251" s="1">
        <v>-1.5200678499999999E-6</v>
      </c>
      <c r="F251" s="1">
        <v>-1.1841900999999999E-6</v>
      </c>
      <c r="G251" s="1">
        <v>7.8233935804881996E-7</v>
      </c>
      <c r="H251" s="1">
        <v>1.5336648891163699E-8</v>
      </c>
      <c r="I251" s="1">
        <v>4.0970343737757401E-8</v>
      </c>
      <c r="J251">
        <v>9</v>
      </c>
      <c r="K251">
        <v>1</v>
      </c>
      <c r="L251">
        <v>0.2</v>
      </c>
      <c r="M251">
        <v>10</v>
      </c>
      <c r="N251" s="2">
        <f t="shared" si="133"/>
        <v>40.071349826000002</v>
      </c>
      <c r="O251" s="3">
        <f t="shared" si="134"/>
        <v>-7.5868063172342404E-2</v>
      </c>
      <c r="P251" s="3">
        <f t="shared" si="135"/>
        <v>-5.9104078357332841E-2</v>
      </c>
      <c r="R251" s="3">
        <f t="shared" si="136"/>
        <v>7.6546704604458452E-4</v>
      </c>
      <c r="S251" s="3">
        <f t="shared" si="137"/>
        <v>2.0448696595278698E-3</v>
      </c>
      <c r="T251" s="1">
        <f t="shared" si="138"/>
        <v>1.9523658709924585E-4</v>
      </c>
      <c r="V251" s="167">
        <f t="shared" si="139"/>
        <v>39.999222566</v>
      </c>
      <c r="W251" s="168">
        <f t="shared" si="139"/>
        <v>-6.8372580879226097E-2</v>
      </c>
      <c r="X251" s="168">
        <f t="shared" si="139"/>
        <v>-5.4691632978374836E-2</v>
      </c>
      <c r="Y251" s="168">
        <f t="shared" si="140"/>
        <v>-7.4954822931163068E-3</v>
      </c>
      <c r="Z251" s="168">
        <f t="shared" si="140"/>
        <v>-4.4124453789580048E-3</v>
      </c>
    </row>
    <row r="252" spans="1:26" x14ac:dyDescent="0.2">
      <c r="A252">
        <v>242</v>
      </c>
      <c r="D252">
        <v>0.19999084906</v>
      </c>
      <c r="E252" s="1">
        <v>-9.10864503333333E-7</v>
      </c>
      <c r="F252" s="1">
        <v>-6.5833922833333299E-7</v>
      </c>
      <c r="G252" s="1">
        <v>3.6116465254434501E-7</v>
      </c>
      <c r="H252" s="1">
        <v>4.0064314909280401E-8</v>
      </c>
      <c r="I252" s="1">
        <v>9.6957800019491607E-9</v>
      </c>
      <c r="J252">
        <v>9</v>
      </c>
      <c r="K252">
        <v>1</v>
      </c>
      <c r="L252">
        <v>0.2</v>
      </c>
      <c r="M252">
        <v>10</v>
      </c>
      <c r="N252" s="2">
        <f t="shared" si="133"/>
        <v>19.999084906</v>
      </c>
      <c r="O252" s="3">
        <f t="shared" si="134"/>
        <v>-9.10906181572399E-2</v>
      </c>
      <c r="P252" s="3">
        <f t="shared" si="135"/>
        <v>-6.5836935182551501E-2</v>
      </c>
      <c r="R252" s="3">
        <f t="shared" si="136"/>
        <v>4.0066148123867962E-3</v>
      </c>
      <c r="S252" s="3">
        <f t="shared" si="137"/>
        <v>9.6962236497533875E-4</v>
      </c>
      <c r="T252" s="1">
        <f t="shared" si="138"/>
        <v>1.8059058914040143E-4</v>
      </c>
      <c r="V252" s="37"/>
      <c r="W252" s="37"/>
      <c r="X252" s="37"/>
      <c r="Y252" s="37"/>
      <c r="Z252" s="37"/>
    </row>
    <row r="253" spans="1:26" x14ac:dyDescent="0.2">
      <c r="A253">
        <v>243</v>
      </c>
      <c r="D253">
        <v>9.9998294838000004E-2</v>
      </c>
      <c r="E253" s="1">
        <v>-5.2942986833333298E-7</v>
      </c>
      <c r="F253" s="1">
        <v>-3.2890740666666698E-7</v>
      </c>
      <c r="G253" s="1">
        <v>1.59828618351215E-7</v>
      </c>
      <c r="H253" s="1">
        <v>3.43625494589822E-8</v>
      </c>
      <c r="I253" s="1">
        <v>1.8394904814593501E-8</v>
      </c>
      <c r="J253">
        <v>8</v>
      </c>
      <c r="K253">
        <v>1</v>
      </c>
      <c r="L253">
        <v>0.2</v>
      </c>
      <c r="M253">
        <v>10</v>
      </c>
      <c r="N253" s="2">
        <f t="shared" si="133"/>
        <v>9.999829483800001</v>
      </c>
      <c r="O253" s="3">
        <f t="shared" si="134"/>
        <v>-0.10588777922484058</v>
      </c>
      <c r="P253" s="3">
        <f t="shared" si="135"/>
        <v>-6.5782603033282927E-2</v>
      </c>
      <c r="R253" s="3">
        <f t="shared" si="136"/>
        <v>6.8726270812218306E-3</v>
      </c>
      <c r="S253" s="3">
        <f t="shared" si="137"/>
        <v>3.6790436965737773E-3</v>
      </c>
      <c r="T253" s="1">
        <f t="shared" si="138"/>
        <v>1.5983134373455247E-4</v>
      </c>
      <c r="V253" s="167">
        <f t="shared" ref="V253:X256" si="141">N211</f>
        <v>9.982600871999999</v>
      </c>
      <c r="W253" s="168">
        <f t="shared" si="141"/>
        <v>-9.5710184575232823E-2</v>
      </c>
      <c r="X253" s="168">
        <f t="shared" si="141"/>
        <v>-5.8003537096639711E-2</v>
      </c>
      <c r="Y253" s="168">
        <f t="shared" ref="Y253:Z256" si="142">O253-W253</f>
        <v>-1.0177594649607755E-2</v>
      </c>
      <c r="Z253" s="168">
        <f t="shared" si="142"/>
        <v>-7.7790659366432161E-3</v>
      </c>
    </row>
    <row r="254" spans="1:26" x14ac:dyDescent="0.2">
      <c r="A254">
        <v>244</v>
      </c>
      <c r="D254">
        <v>4.9392275201999999E-2</v>
      </c>
      <c r="E254" s="1">
        <v>-2.7687041166666599E-7</v>
      </c>
      <c r="F254" s="1">
        <v>-1.61706055333333E-7</v>
      </c>
      <c r="G254" s="1">
        <v>6.6615302460698998E-8</v>
      </c>
      <c r="H254" s="1">
        <v>2.8114441844400899E-8</v>
      </c>
      <c r="I254" s="1">
        <v>3.0227004723637E-8</v>
      </c>
      <c r="J254">
        <v>7</v>
      </c>
      <c r="K254">
        <v>1</v>
      </c>
      <c r="L254">
        <v>0.2</v>
      </c>
      <c r="M254">
        <v>10</v>
      </c>
      <c r="N254" s="2">
        <f t="shared" si="133"/>
        <v>4.9392275202000002</v>
      </c>
      <c r="O254" s="3">
        <f t="shared" si="134"/>
        <v>-0.11211081511606694</v>
      </c>
      <c r="P254" s="3">
        <f t="shared" si="135"/>
        <v>-6.5478277593814971E-2</v>
      </c>
      <c r="R254" s="3">
        <f t="shared" si="136"/>
        <v>1.1384145285642758E-2</v>
      </c>
      <c r="S254" s="3">
        <f t="shared" si="137"/>
        <v>1.2239567665193541E-2</v>
      </c>
      <c r="T254" s="1">
        <f t="shared" si="138"/>
        <v>1.3486988033708074E-4</v>
      </c>
      <c r="V254" s="167">
        <f t="shared" si="141"/>
        <v>5.0005586026</v>
      </c>
      <c r="W254" s="168">
        <f t="shared" si="141"/>
        <v>-9.9226581554710896E-2</v>
      </c>
      <c r="X254" s="168">
        <f t="shared" si="141"/>
        <v>-5.7252535716938391E-2</v>
      </c>
      <c r="Y254" s="168">
        <f t="shared" si="142"/>
        <v>-1.288423356135604E-2</v>
      </c>
      <c r="Z254" s="168">
        <f t="shared" si="142"/>
        <v>-8.22574187687658E-3</v>
      </c>
    </row>
    <row r="255" spans="1:26" x14ac:dyDescent="0.2">
      <c r="A255">
        <v>245</v>
      </c>
      <c r="D255">
        <v>4.9450587871999997E-2</v>
      </c>
      <c r="E255" s="1">
        <v>-2.7475887833333299E-7</v>
      </c>
      <c r="F255" s="1">
        <v>-1.64720861166667E-7</v>
      </c>
      <c r="G255" s="1">
        <v>6.3686601958879904E-8</v>
      </c>
      <c r="H255" s="1">
        <v>2.5073675357238699E-8</v>
      </c>
      <c r="I255" s="1">
        <v>2.9153904189714899E-8</v>
      </c>
      <c r="J255">
        <v>7</v>
      </c>
      <c r="K255">
        <v>1</v>
      </c>
      <c r="L255">
        <v>0.2</v>
      </c>
      <c r="M255">
        <v>10</v>
      </c>
      <c r="N255" s="2">
        <f t="shared" si="133"/>
        <v>4.9450587871999998</v>
      </c>
      <c r="O255" s="3">
        <f t="shared" si="134"/>
        <v>-0.11112461556353206</v>
      </c>
      <c r="P255" s="3">
        <f t="shared" si="135"/>
        <v>-6.6620385421114703E-2</v>
      </c>
      <c r="R255" s="3">
        <f t="shared" si="136"/>
        <v>1.0140900820892348E-2</v>
      </c>
      <c r="S255" s="3">
        <f t="shared" si="137"/>
        <v>1.1791125422079149E-2</v>
      </c>
      <c r="T255" s="1">
        <f t="shared" si="138"/>
        <v>1.2878836167474694E-4</v>
      </c>
      <c r="V255" s="167">
        <f t="shared" si="141"/>
        <v>4.9385373540000002</v>
      </c>
      <c r="W255" s="168">
        <f t="shared" si="141"/>
        <v>-0.10296907030340141</v>
      </c>
      <c r="X255" s="168">
        <f t="shared" si="141"/>
        <v>-5.2482848467283259E-2</v>
      </c>
      <c r="Y255" s="168">
        <f t="shared" si="142"/>
        <v>-8.1555452601306533E-3</v>
      </c>
      <c r="Z255" s="168">
        <f t="shared" si="142"/>
        <v>-1.4137536953831444E-2</v>
      </c>
    </row>
    <row r="256" spans="1:26" x14ac:dyDescent="0.2">
      <c r="A256">
        <v>246</v>
      </c>
      <c r="D256">
        <v>4.9511463536E-2</v>
      </c>
      <c r="E256" s="1">
        <v>-2.76758186666666E-7</v>
      </c>
      <c r="F256" s="1">
        <v>-1.4937376833333301E-7</v>
      </c>
      <c r="G256" s="1">
        <v>6.0266399211003699E-8</v>
      </c>
      <c r="H256" s="1">
        <v>3.9945905753637498E-8</v>
      </c>
      <c r="I256" s="1">
        <v>3.6945457895313198E-8</v>
      </c>
      <c r="J256">
        <v>7</v>
      </c>
      <c r="K256">
        <v>1</v>
      </c>
      <c r="L256">
        <v>0.2</v>
      </c>
      <c r="M256">
        <v>10</v>
      </c>
      <c r="N256" s="2">
        <f>100*D256/(L256*5)</f>
        <v>4.9511463536000004</v>
      </c>
      <c r="O256" s="3">
        <f>1000000*E256*L256/(M256*D256)</f>
        <v>-0.1117955992011563</v>
      </c>
      <c r="P256" s="3">
        <f>1000000*F256*L256/(D256*M256)</f>
        <v>-6.0339063992613635E-2</v>
      </c>
      <c r="R256" s="3">
        <f>1000000*L256*H256/(M256*D256)</f>
        <v>1.6136023013980452E-2</v>
      </c>
      <c r="S256" s="3">
        <f>1000000*L256*I256/(M256*D256)</f>
        <v>1.4924001536916797E-2</v>
      </c>
      <c r="T256" s="1">
        <f>G256*100/D256</f>
        <v>1.2172211222797675E-4</v>
      </c>
      <c r="V256" s="167">
        <f t="shared" si="141"/>
        <v>5.0417357753999994</v>
      </c>
      <c r="W256" s="168">
        <f t="shared" si="141"/>
        <v>-0.10605962625194815</v>
      </c>
      <c r="X256" s="168">
        <f t="shared" si="141"/>
        <v>-4.9379444756850278E-2</v>
      </c>
      <c r="Y256" s="168">
        <f t="shared" si="142"/>
        <v>-5.7359729492081485E-3</v>
      </c>
      <c r="Z256" s="168">
        <f t="shared" si="142"/>
        <v>-1.0959619235763357E-2</v>
      </c>
    </row>
    <row r="257" spans="1:24" x14ac:dyDescent="0.2">
      <c r="A257">
        <v>247</v>
      </c>
      <c r="D257">
        <v>4.9585895828E-2</v>
      </c>
      <c r="E257" s="1">
        <v>-2.8151058166666599E-7</v>
      </c>
      <c r="F257" s="1">
        <v>-1.7237103833333299E-7</v>
      </c>
      <c r="G257" s="1">
        <v>4.2266533314503397E-8</v>
      </c>
      <c r="H257" s="1">
        <v>2.2864230744184899E-8</v>
      </c>
      <c r="I257" s="1">
        <v>2.46555727701372E-8</v>
      </c>
      <c r="J257">
        <v>7</v>
      </c>
      <c r="K257">
        <v>1</v>
      </c>
      <c r="L257">
        <v>0.2</v>
      </c>
      <c r="M257">
        <v>10</v>
      </c>
      <c r="N257" s="2">
        <f>100*D257/(L257*5)</f>
        <v>4.9585895828000002</v>
      </c>
      <c r="O257" s="3">
        <f>1000000*E257*L257/(M257*D257)</f>
        <v>-0.1135446186726765</v>
      </c>
      <c r="P257" s="3">
        <f>1000000*F257*L257/(D257*M257)</f>
        <v>-6.9524220730524375E-2</v>
      </c>
      <c r="Q257" s="3"/>
      <c r="R257" s="3">
        <f>1000000*L257*H257/(M257*D257)</f>
        <v>9.2220702529988378E-3</v>
      </c>
      <c r="S257" s="3">
        <f>1000000*L257*I257/(M257*D257)</f>
        <v>9.9445910408317243E-3</v>
      </c>
      <c r="T257" s="1">
        <f>G257*100/D257</f>
        <v>8.5239023332591422E-5</v>
      </c>
    </row>
    <row r="258" spans="1:24" x14ac:dyDescent="0.2">
      <c r="A258">
        <v>248</v>
      </c>
      <c r="B258" s="201" t="s">
        <v>561</v>
      </c>
      <c r="W258" t="s">
        <v>563</v>
      </c>
    </row>
    <row r="259" spans="1:24" x14ac:dyDescent="0.2">
      <c r="A259">
        <v>249</v>
      </c>
      <c r="C259" s="5" t="s">
        <v>539</v>
      </c>
      <c r="L259" t="s">
        <v>536</v>
      </c>
      <c r="W259" t="s">
        <v>565</v>
      </c>
      <c r="X259" t="s">
        <v>564</v>
      </c>
    </row>
    <row r="260" spans="1:24" x14ac:dyDescent="0.2">
      <c r="A260">
        <v>250</v>
      </c>
      <c r="C260" s="8" t="s">
        <v>560</v>
      </c>
      <c r="D260">
        <v>1.1992552009999999</v>
      </c>
      <c r="E260" s="1">
        <v>-2.71819671666667E-6</v>
      </c>
      <c r="F260" s="1">
        <v>-3.7038501166666701E-6</v>
      </c>
      <c r="G260" s="1">
        <v>4.2928834214033299E-6</v>
      </c>
      <c r="H260" s="1">
        <v>4.9260070050563097E-8</v>
      </c>
      <c r="I260" s="1">
        <v>5.2189834813110098E-8</v>
      </c>
      <c r="J260">
        <v>10</v>
      </c>
      <c r="K260">
        <v>1</v>
      </c>
      <c r="L260">
        <v>0.2</v>
      </c>
      <c r="M260">
        <v>10</v>
      </c>
      <c r="N260" s="2">
        <f t="shared" ref="N260:N265" si="143">100*D260/(L260*5)</f>
        <v>119.9255201</v>
      </c>
      <c r="O260" s="3">
        <f t="shared" ref="O260:O265" si="144">1000000*E260*L260/(M260*D260)</f>
        <v>-4.5331414271125935E-2</v>
      </c>
      <c r="P260" s="3">
        <f t="shared" ref="P260:P265" si="145">1000000*F260*L260/(D260*M260)</f>
        <v>-6.1769173293194174E-2</v>
      </c>
      <c r="R260" s="3">
        <f t="shared" ref="R260:R265" si="146">1000000*L260*H260/(M260*D260)</f>
        <v>8.215110513506642E-4</v>
      </c>
      <c r="S260" s="3">
        <f t="shared" ref="S260:S265" si="147">1000000*L260*I260/(M260*D260)</f>
        <v>8.7037078962995645E-4</v>
      </c>
      <c r="T260" s="1">
        <f t="shared" ref="T260:T265" si="148">G260*100/D260</f>
        <v>3.5796246018559734E-4</v>
      </c>
      <c r="V260" s="2">
        <f t="shared" ref="V260:V270" si="149">N260</f>
        <v>119.9255201</v>
      </c>
      <c r="W260" s="3">
        <f t="shared" ref="W260:W270" si="150">O247-O260</f>
        <v>4.7439787168849779E-3</v>
      </c>
      <c r="X260" s="3">
        <f t="shared" ref="X260:X270" si="151">P247-P260</f>
        <v>9.2984751144144506E-3</v>
      </c>
    </row>
    <row r="261" spans="1:24" x14ac:dyDescent="0.2">
      <c r="A261">
        <v>251</v>
      </c>
      <c r="D261">
        <v>1.1991972021999999</v>
      </c>
      <c r="E261" s="1">
        <v>-2.7245933999999999E-6</v>
      </c>
      <c r="F261" s="1">
        <v>-3.7131364833333299E-6</v>
      </c>
      <c r="G261" s="1">
        <v>4.1770812423190296E-6</v>
      </c>
      <c r="H261" s="1">
        <v>5.1279220321425898E-8</v>
      </c>
      <c r="I261" s="1">
        <v>6.6418181527849599E-8</v>
      </c>
      <c r="J261">
        <v>10</v>
      </c>
      <c r="K261">
        <v>1</v>
      </c>
      <c r="L261">
        <v>0.2</v>
      </c>
      <c r="M261">
        <v>10</v>
      </c>
      <c r="N261" s="2">
        <f t="shared" si="143"/>
        <v>119.91972021999999</v>
      </c>
      <c r="O261" s="3">
        <f t="shared" si="144"/>
        <v>-4.544028947034847E-2</v>
      </c>
      <c r="P261" s="3">
        <f t="shared" si="145"/>
        <v>-6.1927037129862486E-2</v>
      </c>
      <c r="R261" s="3">
        <f t="shared" si="146"/>
        <v>8.5522581652710769E-4</v>
      </c>
      <c r="S261" s="3">
        <f t="shared" si="147"/>
        <v>1.1077107485908311E-3</v>
      </c>
      <c r="T261" s="1">
        <f t="shared" si="148"/>
        <v>3.4832313106267432E-4</v>
      </c>
      <c r="V261" s="2">
        <f t="shared" si="149"/>
        <v>119.91972021999999</v>
      </c>
      <c r="W261" s="3">
        <f t="shared" si="150"/>
        <v>5.0070791892547969E-3</v>
      </c>
      <c r="X261" s="3">
        <f t="shared" si="151"/>
        <v>9.4046722951817846E-3</v>
      </c>
    </row>
    <row r="262" spans="1:24" x14ac:dyDescent="0.2">
      <c r="A262">
        <v>252</v>
      </c>
      <c r="D262">
        <v>1.0016254983999999</v>
      </c>
      <c r="E262" s="1">
        <v>-2.4558636500000001E-6</v>
      </c>
      <c r="F262" s="1">
        <v>-3.1722576166666701E-6</v>
      </c>
      <c r="G262" s="1">
        <v>1.2828254358660099E-6</v>
      </c>
      <c r="H262" s="1">
        <v>1.2182313608020701E-8</v>
      </c>
      <c r="I262" s="1">
        <v>1.83727110362005E-8</v>
      </c>
      <c r="J262">
        <v>10</v>
      </c>
      <c r="K262">
        <v>1</v>
      </c>
      <c r="L262">
        <v>0.2</v>
      </c>
      <c r="M262">
        <v>10</v>
      </c>
      <c r="N262" s="2">
        <f t="shared" si="143"/>
        <v>100.16254984</v>
      </c>
      <c r="O262" s="3">
        <f t="shared" si="144"/>
        <v>-4.9037562520582896E-2</v>
      </c>
      <c r="P262" s="3">
        <f t="shared" si="145"/>
        <v>-6.3342189705314925E-2</v>
      </c>
      <c r="R262" s="3">
        <f t="shared" si="146"/>
        <v>2.4325086826325348E-4</v>
      </c>
      <c r="S262" s="3">
        <f t="shared" si="147"/>
        <v>3.6685789380460325E-4</v>
      </c>
      <c r="T262" s="1">
        <f t="shared" si="148"/>
        <v>1.2807435892109374E-4</v>
      </c>
      <c r="V262" s="2">
        <f t="shared" si="149"/>
        <v>100.16254984</v>
      </c>
      <c r="W262" s="3">
        <f t="shared" si="150"/>
        <v>6.4675372527243577E-3</v>
      </c>
      <c r="X262" s="3">
        <f t="shared" si="151"/>
        <v>7.9161799331532307E-3</v>
      </c>
    </row>
    <row r="263" spans="1:24" x14ac:dyDescent="0.2">
      <c r="A263">
        <v>253</v>
      </c>
      <c r="D263">
        <v>0.60103125938000002</v>
      </c>
      <c r="E263" s="1">
        <v>-2.0900221666666501E-6</v>
      </c>
      <c r="F263" s="1">
        <v>-2.0912603166666499E-6</v>
      </c>
      <c r="G263" s="1">
        <v>1.1481234635568801E-6</v>
      </c>
      <c r="H263" s="1">
        <v>9.3315874125943208E-9</v>
      </c>
      <c r="I263" s="1">
        <v>6.0963603950544298E-9</v>
      </c>
      <c r="J263">
        <v>10</v>
      </c>
      <c r="K263">
        <v>1</v>
      </c>
      <c r="L263">
        <v>0.2</v>
      </c>
      <c r="M263">
        <v>10</v>
      </c>
      <c r="N263" s="2">
        <f t="shared" si="143"/>
        <v>60.103125938000005</v>
      </c>
      <c r="O263" s="3">
        <f t="shared" si="144"/>
        <v>-6.9547869068328799E-2</v>
      </c>
      <c r="P263" s="3">
        <f t="shared" si="145"/>
        <v>-6.9589069920386867E-2</v>
      </c>
      <c r="R263" s="3">
        <f t="shared" si="146"/>
        <v>3.1051920401678994E-4</v>
      </c>
      <c r="S263" s="3">
        <f t="shared" si="147"/>
        <v>2.0286333863377397E-4</v>
      </c>
      <c r="T263" s="1">
        <f t="shared" si="148"/>
        <v>1.9102558238671957E-4</v>
      </c>
      <c r="V263" s="2">
        <f t="shared" si="149"/>
        <v>60.103125938000005</v>
      </c>
      <c r="W263" s="3">
        <f t="shared" si="150"/>
        <v>1.1279363529694025E-2</v>
      </c>
      <c r="X263" s="3">
        <f t="shared" si="151"/>
        <v>1.1582158871649956E-2</v>
      </c>
    </row>
    <row r="264" spans="1:24" x14ac:dyDescent="0.2">
      <c r="A264">
        <v>254</v>
      </c>
      <c r="D264">
        <v>0.40010698653999999</v>
      </c>
      <c r="E264" s="1">
        <v>-1.74575595E-6</v>
      </c>
      <c r="F264" s="1">
        <v>-1.3933393500000001E-6</v>
      </c>
      <c r="G264" s="1">
        <v>2.0848054127484099E-7</v>
      </c>
      <c r="H264" s="1">
        <v>1.7561255927467099E-9</v>
      </c>
      <c r="I264" s="1">
        <v>9.5319088195475596E-9</v>
      </c>
      <c r="J264">
        <v>10</v>
      </c>
      <c r="K264">
        <v>1</v>
      </c>
      <c r="L264">
        <v>0.2</v>
      </c>
      <c r="M264">
        <v>10</v>
      </c>
      <c r="N264" s="2">
        <f>100*D264/(L264*5)</f>
        <v>40.010698653999995</v>
      </c>
      <c r="O264" s="3">
        <f t="shared" si="144"/>
        <v>-8.7264457194149547E-2</v>
      </c>
      <c r="P264" s="3">
        <f t="shared" si="145"/>
        <v>-6.9648338913007368E-2</v>
      </c>
      <c r="R264" s="26">
        <f t="shared" si="146"/>
        <v>8.7782800692041621E-5</v>
      </c>
      <c r="S264" s="26">
        <f t="shared" si="147"/>
        <v>4.7646800182003942E-4</v>
      </c>
      <c r="T264" s="1">
        <f t="shared" si="148"/>
        <v>5.2106198663941226E-5</v>
      </c>
      <c r="V264" s="2">
        <f t="shared" si="149"/>
        <v>40.010698653999995</v>
      </c>
      <c r="W264" s="3">
        <f t="shared" si="150"/>
        <v>1.1396394021807144E-2</v>
      </c>
      <c r="X264" s="3">
        <f t="shared" si="151"/>
        <v>1.0544260555674527E-2</v>
      </c>
    </row>
    <row r="265" spans="1:24" x14ac:dyDescent="0.2">
      <c r="A265">
        <v>255</v>
      </c>
      <c r="D265">
        <v>0.19974012386000001</v>
      </c>
      <c r="E265" s="1">
        <v>-1.10165575E-6</v>
      </c>
      <c r="F265" s="1">
        <v>-7.19290254999999E-7</v>
      </c>
      <c r="G265" s="1">
        <v>2.9758520481274201E-7</v>
      </c>
      <c r="H265" s="1">
        <v>1.0129510161116699E-8</v>
      </c>
      <c r="I265" s="1">
        <v>3.8413605753300201E-8</v>
      </c>
      <c r="J265">
        <v>9</v>
      </c>
      <c r="K265">
        <v>1</v>
      </c>
      <c r="L265">
        <v>0.2</v>
      </c>
      <c r="M265">
        <v>10</v>
      </c>
      <c r="N265" s="2">
        <f t="shared" si="143"/>
        <v>19.974012386000002</v>
      </c>
      <c r="O265" s="3">
        <f t="shared" si="144"/>
        <v>-0.11030890826643948</v>
      </c>
      <c r="P265" s="3">
        <f t="shared" si="145"/>
        <v>-7.2022610289774039E-2</v>
      </c>
      <c r="R265" s="26">
        <f t="shared" si="146"/>
        <v>1.0142689375937887E-3</v>
      </c>
      <c r="S265" s="26">
        <f t="shared" si="147"/>
        <v>3.8463584592772861E-3</v>
      </c>
      <c r="T265" s="1">
        <f t="shared" si="148"/>
        <v>1.4898619218906798E-4</v>
      </c>
      <c r="V265" s="2">
        <f t="shared" si="149"/>
        <v>19.974012386000002</v>
      </c>
      <c r="W265" s="3">
        <f t="shared" si="150"/>
        <v>1.9218290109199579E-2</v>
      </c>
      <c r="X265" s="3">
        <f t="shared" si="151"/>
        <v>6.185675107222538E-3</v>
      </c>
    </row>
    <row r="266" spans="1:24" x14ac:dyDescent="0.2">
      <c r="A266">
        <v>256</v>
      </c>
      <c r="D266">
        <v>0.1001482551</v>
      </c>
      <c r="E266" s="1">
        <v>-6.3093656999999996E-7</v>
      </c>
      <c r="F266" s="1">
        <v>-3.6978829000000002E-7</v>
      </c>
      <c r="G266" s="1">
        <v>1.20688126501297E-7</v>
      </c>
      <c r="H266" s="1">
        <v>1.74480485863539E-8</v>
      </c>
      <c r="I266" s="1">
        <v>2.1762594283906098E-8</v>
      </c>
      <c r="J266">
        <v>8</v>
      </c>
      <c r="K266">
        <v>1</v>
      </c>
      <c r="L266">
        <v>0.2</v>
      </c>
      <c r="M266">
        <v>10</v>
      </c>
      <c r="N266" s="2">
        <f t="shared" ref="N266:N271" si="152">100*D266/(L266*5)</f>
        <v>10.01482551</v>
      </c>
      <c r="O266" s="3">
        <f t="shared" ref="O266:O271" si="153">1000000*E266*L266/(M266*D266)</f>
        <v>-0.12600051181520783</v>
      </c>
      <c r="P266" s="3">
        <f t="shared" ref="P266:P271" si="154">1000000*F266*L266/(D266*M266)</f>
        <v>-7.3848174315320647E-2</v>
      </c>
      <c r="R266" s="3">
        <f t="shared" ref="R266:R271" si="155">1000000*L266*H266/(M266*D266)</f>
        <v>3.4844438515542141E-3</v>
      </c>
      <c r="S266" s="3">
        <f t="shared" ref="S266:S271" si="156">1000000*L266*I266/(M266*D266)</f>
        <v>4.3460755780868505E-3</v>
      </c>
      <c r="T266" s="1">
        <f t="shared" ref="T266:T271" si="157">G266*100/D266</f>
        <v>1.2050946507334304E-4</v>
      </c>
      <c r="V266" s="2">
        <f t="shared" si="149"/>
        <v>10.01482551</v>
      </c>
      <c r="W266" s="3">
        <f t="shared" si="150"/>
        <v>2.0112732590367249E-2</v>
      </c>
      <c r="X266" s="3">
        <f t="shared" si="151"/>
        <v>8.0655712820377201E-3</v>
      </c>
    </row>
    <row r="267" spans="1:24" x14ac:dyDescent="0.2">
      <c r="A267">
        <v>257</v>
      </c>
      <c r="D267">
        <v>5.0147061485999997E-2</v>
      </c>
      <c r="E267" s="1">
        <v>-3.4588096833333302E-7</v>
      </c>
      <c r="F267" s="1">
        <v>-1.7459663500000001E-7</v>
      </c>
      <c r="G267" s="1">
        <v>6.3870088595623395E-8</v>
      </c>
      <c r="H267" s="1">
        <v>1.84546477380089E-8</v>
      </c>
      <c r="I267" s="1">
        <v>1.3686299704026699E-8</v>
      </c>
      <c r="J267">
        <v>8</v>
      </c>
      <c r="K267">
        <v>1</v>
      </c>
      <c r="L267">
        <v>0.2</v>
      </c>
      <c r="M267">
        <v>10</v>
      </c>
      <c r="N267" s="2">
        <f t="shared" si="152"/>
        <v>5.0147061485999993</v>
      </c>
      <c r="O267" s="3">
        <f t="shared" si="153"/>
        <v>-0.13794665453324545</v>
      </c>
      <c r="P267" s="3">
        <f t="shared" si="154"/>
        <v>-6.9633844865962358E-2</v>
      </c>
      <c r="R267" s="3">
        <f t="shared" si="155"/>
        <v>7.3602110237949037E-3</v>
      </c>
      <c r="S267" s="3">
        <f t="shared" si="156"/>
        <v>5.4584652812997335E-3</v>
      </c>
      <c r="T267" s="1">
        <f t="shared" si="157"/>
        <v>1.2736556580380005E-4</v>
      </c>
      <c r="V267" s="2">
        <f t="shared" si="149"/>
        <v>5.0147061485999993</v>
      </c>
      <c r="W267" s="3">
        <f t="shared" si="150"/>
        <v>2.5835839417178513E-2</v>
      </c>
      <c r="X267" s="3">
        <f t="shared" si="151"/>
        <v>4.1555672721473869E-3</v>
      </c>
    </row>
    <row r="268" spans="1:24" x14ac:dyDescent="0.2">
      <c r="A268">
        <v>258</v>
      </c>
      <c r="D268">
        <v>5.0189260962E-2</v>
      </c>
      <c r="E268" s="1">
        <v>-3.3826290833333301E-7</v>
      </c>
      <c r="F268" s="1">
        <v>-1.7907057E-7</v>
      </c>
      <c r="G268" s="1">
        <v>6.5423893646918396E-8</v>
      </c>
      <c r="H268" s="1">
        <v>1.7773623607280099E-8</v>
      </c>
      <c r="I268" s="1">
        <v>1.48683162517404E-8</v>
      </c>
      <c r="J268">
        <v>8</v>
      </c>
      <c r="K268">
        <v>1</v>
      </c>
      <c r="L268">
        <v>0.2</v>
      </c>
      <c r="M268">
        <v>10</v>
      </c>
      <c r="N268" s="2">
        <f t="shared" si="152"/>
        <v>5.0189260962000004</v>
      </c>
      <c r="O268" s="3">
        <f t="shared" si="153"/>
        <v>-0.13479493495209796</v>
      </c>
      <c r="P268" s="3">
        <f t="shared" si="154"/>
        <v>-7.1358121864189397E-2</v>
      </c>
      <c r="R268" s="3">
        <f t="shared" si="155"/>
        <v>7.0826400973455711E-3</v>
      </c>
      <c r="S268" s="3">
        <f t="shared" si="156"/>
        <v>5.9248994572754154E-3</v>
      </c>
      <c r="T268" s="1">
        <f t="shared" si="157"/>
        <v>1.3035436743420682E-4</v>
      </c>
      <c r="V268" s="2">
        <f t="shared" si="149"/>
        <v>5.0189260962000004</v>
      </c>
      <c r="W268" s="3">
        <f t="shared" si="150"/>
        <v>2.3670319388565897E-2</v>
      </c>
      <c r="X268" s="3">
        <f t="shared" si="151"/>
        <v>4.7377364430746943E-3</v>
      </c>
    </row>
    <row r="269" spans="1:24" x14ac:dyDescent="0.2">
      <c r="A269">
        <v>259</v>
      </c>
      <c r="D269">
        <v>5.0225589488000003E-2</v>
      </c>
      <c r="E269" s="1">
        <v>-3.54126078333333E-7</v>
      </c>
      <c r="F269" s="1">
        <v>-1.7465047666666699E-7</v>
      </c>
      <c r="G269" s="1">
        <v>3.3207403586705001E-8</v>
      </c>
      <c r="H269" s="1">
        <v>2.38475044498482E-8</v>
      </c>
      <c r="I269" s="1">
        <v>2.3219491218215499E-8</v>
      </c>
      <c r="J269">
        <v>8</v>
      </c>
      <c r="K269">
        <v>1</v>
      </c>
      <c r="L269">
        <v>0.2</v>
      </c>
      <c r="M269">
        <v>10</v>
      </c>
      <c r="N269" s="2">
        <f t="shared" si="152"/>
        <v>5.0225589488000004</v>
      </c>
      <c r="O269" s="3">
        <f t="shared" si="153"/>
        <v>-0.1410142048877063</v>
      </c>
      <c r="P269" s="3">
        <f t="shared" si="154"/>
        <v>-6.9546411877712197E-2</v>
      </c>
      <c r="R269" s="3">
        <f t="shared" si="155"/>
        <v>9.4961571155061878E-3</v>
      </c>
      <c r="S269" s="3">
        <f t="shared" si="156"/>
        <v>9.246080117691062E-3</v>
      </c>
      <c r="T269" s="1">
        <f t="shared" si="157"/>
        <v>6.6116503410356154E-5</v>
      </c>
      <c r="V269" s="2">
        <f t="shared" si="149"/>
        <v>5.0225589488000004</v>
      </c>
      <c r="W269" s="3">
        <f t="shared" si="150"/>
        <v>2.9218605686550006E-2</v>
      </c>
      <c r="X269" s="3">
        <f t="shared" si="151"/>
        <v>9.2073478850985616E-3</v>
      </c>
    </row>
    <row r="270" spans="1:24" x14ac:dyDescent="0.2">
      <c r="A270">
        <v>260</v>
      </c>
      <c r="D270">
        <v>4.9516134977999997E-2</v>
      </c>
      <c r="E270" s="1">
        <v>-3.3821672833333299E-7</v>
      </c>
      <c r="F270" s="1">
        <v>-1.8969376000000001E-7</v>
      </c>
      <c r="G270" s="1">
        <v>3.7766566619716301E-8</v>
      </c>
      <c r="H270" s="1">
        <v>1.9730845475917399E-8</v>
      </c>
      <c r="I270" s="1">
        <v>2.0493900291527398E-8</v>
      </c>
      <c r="J270">
        <v>7</v>
      </c>
      <c r="K270">
        <v>1</v>
      </c>
      <c r="L270">
        <v>0.2</v>
      </c>
      <c r="M270">
        <v>10</v>
      </c>
      <c r="N270" s="2">
        <f t="shared" si="152"/>
        <v>4.9516134977999995</v>
      </c>
      <c r="O270" s="3">
        <f t="shared" si="153"/>
        <v>-0.13660869471480461</v>
      </c>
      <c r="P270" s="3">
        <f t="shared" si="154"/>
        <v>-7.6618968780289856E-2</v>
      </c>
      <c r="Q270" s="3"/>
      <c r="R270" s="3">
        <f t="shared" si="155"/>
        <v>7.9694610593834952E-3</v>
      </c>
      <c r="S270" s="3">
        <f t="shared" si="156"/>
        <v>8.2776655733056842E-3</v>
      </c>
      <c r="T270" s="1">
        <f t="shared" si="157"/>
        <v>7.6271232874892142E-5</v>
      </c>
      <c r="V270" s="2">
        <f t="shared" si="149"/>
        <v>4.9516134977999995</v>
      </c>
      <c r="W270" s="3">
        <f t="shared" si="150"/>
        <v>2.3064076042128109E-2</v>
      </c>
      <c r="X270" s="3">
        <f t="shared" si="151"/>
        <v>7.0947480497654813E-3</v>
      </c>
    </row>
    <row r="271" spans="1:24" x14ac:dyDescent="0.2">
      <c r="A271">
        <v>261</v>
      </c>
      <c r="D271">
        <v>4.9545000059999997E-2</v>
      </c>
      <c r="E271" s="1">
        <v>-3.4961740000000002E-7</v>
      </c>
      <c r="F271" s="1">
        <v>-1.88540963333333E-7</v>
      </c>
      <c r="G271" s="1">
        <v>3.25262787501221E-8</v>
      </c>
      <c r="H271" s="1">
        <v>2.0358190371035802E-8</v>
      </c>
      <c r="I271" s="1">
        <v>2.5400816192962299E-8</v>
      </c>
      <c r="J271">
        <v>7</v>
      </c>
      <c r="K271">
        <v>1</v>
      </c>
      <c r="L271">
        <v>0.2</v>
      </c>
      <c r="M271">
        <v>10</v>
      </c>
      <c r="N271" s="2">
        <f t="shared" si="152"/>
        <v>4.954500006</v>
      </c>
      <c r="O271" s="3">
        <f t="shared" si="153"/>
        <v>-0.14113125424426534</v>
      </c>
      <c r="P271" s="3">
        <f t="shared" si="154"/>
        <v>-7.6108976932084405E-2</v>
      </c>
      <c r="R271" s="3">
        <f t="shared" si="155"/>
        <v>8.2180604890025721E-3</v>
      </c>
      <c r="S271" s="3">
        <f t="shared" si="156"/>
        <v>1.0253634539187161E-2</v>
      </c>
      <c r="T271" s="1">
        <f t="shared" si="157"/>
        <v>6.5649972168194804E-5</v>
      </c>
      <c r="V271" s="2"/>
      <c r="W271" s="3"/>
      <c r="X271" s="3"/>
    </row>
    <row r="272" spans="1:24" x14ac:dyDescent="0.2">
      <c r="A272">
        <v>262</v>
      </c>
    </row>
    <row r="273" spans="1:23" x14ac:dyDescent="0.2">
      <c r="A273">
        <v>263</v>
      </c>
    </row>
    <row r="274" spans="1:23" x14ac:dyDescent="0.2">
      <c r="A274">
        <v>264</v>
      </c>
      <c r="B274" s="5" t="s">
        <v>567</v>
      </c>
      <c r="E274" s="1"/>
      <c r="F274" s="1"/>
      <c r="G274" s="1"/>
      <c r="H274" s="1"/>
      <c r="I274" s="1"/>
      <c r="J274" s="1"/>
      <c r="K274" s="1"/>
      <c r="N274" s="1"/>
      <c r="O274" s="1"/>
    </row>
    <row r="275" spans="1:23" x14ac:dyDescent="0.2">
      <c r="A275">
        <v>265</v>
      </c>
      <c r="B275" s="5" t="s">
        <v>34</v>
      </c>
      <c r="C275" s="5" t="s">
        <v>42</v>
      </c>
      <c r="D275" s="13" t="s">
        <v>2</v>
      </c>
      <c r="E275" s="14" t="s">
        <v>5</v>
      </c>
      <c r="F275" s="14" t="s">
        <v>6</v>
      </c>
      <c r="G275" s="14" t="s">
        <v>8</v>
      </c>
      <c r="H275" s="14" t="s">
        <v>10</v>
      </c>
      <c r="I275" s="14" t="s">
        <v>11</v>
      </c>
      <c r="J275" s="14" t="s">
        <v>523</v>
      </c>
      <c r="K275" s="14" t="s">
        <v>523</v>
      </c>
      <c r="R275" s="5" t="s">
        <v>15</v>
      </c>
      <c r="S275" s="5" t="s">
        <v>15</v>
      </c>
      <c r="T275" s="5" t="s">
        <v>15</v>
      </c>
      <c r="U275" s="5" t="s">
        <v>358</v>
      </c>
      <c r="V275" s="5" t="s">
        <v>358</v>
      </c>
    </row>
    <row r="276" spans="1:23" x14ac:dyDescent="0.2">
      <c r="A276">
        <v>266</v>
      </c>
      <c r="D276" s="13" t="s">
        <v>7</v>
      </c>
      <c r="E276" s="14" t="s">
        <v>12</v>
      </c>
      <c r="F276" s="14" t="s">
        <v>12</v>
      </c>
      <c r="G276" s="14" t="s">
        <v>9</v>
      </c>
      <c r="H276" s="14" t="s">
        <v>12</v>
      </c>
      <c r="I276" s="14" t="s">
        <v>12</v>
      </c>
      <c r="J276" s="14" t="s">
        <v>524</v>
      </c>
      <c r="K276" s="14" t="s">
        <v>525</v>
      </c>
      <c r="L276" s="5" t="s">
        <v>2</v>
      </c>
      <c r="M276" s="5" t="s">
        <v>3</v>
      </c>
      <c r="N276" s="5" t="s">
        <v>4</v>
      </c>
      <c r="O276" s="5" t="s">
        <v>0</v>
      </c>
      <c r="P276" s="5" t="s">
        <v>1</v>
      </c>
      <c r="R276" s="5" t="s">
        <v>5</v>
      </c>
      <c r="S276" s="5" t="s">
        <v>6</v>
      </c>
      <c r="T276" s="5" t="s">
        <v>14</v>
      </c>
      <c r="U276" s="5" t="s">
        <v>5</v>
      </c>
      <c r="V276" s="5" t="s">
        <v>6</v>
      </c>
    </row>
    <row r="277" spans="1:23" x14ac:dyDescent="0.2">
      <c r="A277">
        <v>267</v>
      </c>
      <c r="B277" s="4">
        <v>41351</v>
      </c>
      <c r="C277" s="8" t="s">
        <v>13</v>
      </c>
      <c r="D277" s="232">
        <v>1.1997753933999999</v>
      </c>
      <c r="E277" s="233">
        <v>-1.5966068833333299E-5</v>
      </c>
      <c r="F277" s="233">
        <v>-1.29722726666667E-5</v>
      </c>
      <c r="G277" s="233">
        <v>1.1265477218584401E-6</v>
      </c>
      <c r="H277" s="233">
        <v>1.17388754666832E-9</v>
      </c>
      <c r="I277" s="233">
        <v>9.4310259531447095E-8</v>
      </c>
      <c r="J277" s="232">
        <v>12</v>
      </c>
      <c r="K277" s="232">
        <v>1</v>
      </c>
      <c r="L277" s="232">
        <v>0.2</v>
      </c>
      <c r="M277" s="232">
        <v>10</v>
      </c>
      <c r="N277" s="229">
        <f t="shared" ref="N277:N282" si="158">100*D277/(L277*5)</f>
        <v>119.97753933999999</v>
      </c>
      <c r="O277" s="234">
        <f>1000000*E277*L277/(M277*D277)</f>
        <v>-0.26615096327467824</v>
      </c>
      <c r="P277" s="234">
        <f>1000000*F277*L277/(D277*M277)</f>
        <v>-0.21624501949327446</v>
      </c>
      <c r="Q277" s="234"/>
      <c r="R277" s="234">
        <f>1000000*L277*H277/(M277*D277)</f>
        <v>1.9568455114614126E-5</v>
      </c>
      <c r="S277" s="234">
        <f>1000000*L277*I277/(M277*D277)</f>
        <v>1.5721319181948661E-3</v>
      </c>
      <c r="T277" s="233">
        <f t="shared" ref="T277:T282" si="159">G277*100/D277</f>
        <v>9.3896551642550145E-5</v>
      </c>
      <c r="U277" s="235">
        <f t="shared" ref="U277:U282" si="160">Comode_std*L277/(M277*D277)</f>
        <v>1.6669786786777424E-3</v>
      </c>
      <c r="V277" s="235">
        <f t="shared" ref="V277:V282" si="161">Comode_std*L277/(M277*D277)</f>
        <v>1.6669786786777424E-3</v>
      </c>
      <c r="W277" s="232"/>
    </row>
    <row r="278" spans="1:23" x14ac:dyDescent="0.2">
      <c r="A278">
        <v>268</v>
      </c>
      <c r="D278" s="232">
        <v>1.0002524718000001</v>
      </c>
      <c r="E278" s="233">
        <v>-1.3871978333333499E-5</v>
      </c>
      <c r="F278" s="233">
        <v>-1.1078214999999899E-5</v>
      </c>
      <c r="G278" s="233">
        <v>2.9098134411772201E-6</v>
      </c>
      <c r="H278" s="233">
        <v>4.6028674637562798E-10</v>
      </c>
      <c r="I278" s="233">
        <v>3.1902194281914502E-10</v>
      </c>
      <c r="J278" s="232">
        <v>12</v>
      </c>
      <c r="K278" s="232">
        <v>1</v>
      </c>
      <c r="L278" s="232">
        <v>0.2</v>
      </c>
      <c r="M278" s="232">
        <v>10</v>
      </c>
      <c r="N278" s="229">
        <f t="shared" si="158"/>
        <v>100.02524718000001</v>
      </c>
      <c r="O278" s="234">
        <f t="shared" ref="O278:O283" si="162">1000000*E278*L278/(M278*D278)</f>
        <v>-0.27736953867997433</v>
      </c>
      <c r="P278" s="234">
        <f t="shared" ref="P278:P283" si="163">1000000*F278*L278/(D278*M278)</f>
        <v>-0.22150837538175031</v>
      </c>
      <c r="Q278" s="234"/>
      <c r="R278" s="234">
        <f t="shared" ref="R278:R283" si="164">1000000*L278*H278/(M278*D278)</f>
        <v>9.2034113256890225E-6</v>
      </c>
      <c r="S278" s="234">
        <f t="shared" ref="S278:S283" si="165">1000000*L278*I278/(M278*D278)</f>
        <v>6.3788283820993812E-6</v>
      </c>
      <c r="T278" s="233">
        <f t="shared" si="159"/>
        <v>2.9090789807706023E-4</v>
      </c>
      <c r="U278" s="235">
        <f t="shared" si="160"/>
        <v>1.9994951838518422E-3</v>
      </c>
      <c r="V278" s="235">
        <f t="shared" si="161"/>
        <v>1.9994951838518422E-3</v>
      </c>
      <c r="W278" s="232"/>
    </row>
    <row r="279" spans="1:23" x14ac:dyDescent="0.2">
      <c r="A279">
        <v>269</v>
      </c>
      <c r="D279" s="232">
        <v>0.60000610363999995</v>
      </c>
      <c r="E279" s="233">
        <v>-1.05097E-5</v>
      </c>
      <c r="F279" s="233">
        <v>-6.2679265500000099E-6</v>
      </c>
      <c r="G279" s="233">
        <v>5.5631479809922903E-7</v>
      </c>
      <c r="H279" s="233">
        <v>8.4483963172505898E-8</v>
      </c>
      <c r="I279" s="233">
        <v>2.1056201681788801E-8</v>
      </c>
      <c r="J279" s="232">
        <v>12</v>
      </c>
      <c r="K279" s="232">
        <v>1</v>
      </c>
      <c r="L279" s="232">
        <v>0.2</v>
      </c>
      <c r="M279" s="232">
        <v>10</v>
      </c>
      <c r="N279" s="229">
        <f t="shared" si="158"/>
        <v>60.000610363999996</v>
      </c>
      <c r="O279" s="234">
        <f t="shared" si="162"/>
        <v>-0.35031976962373562</v>
      </c>
      <c r="P279" s="234">
        <f t="shared" si="163"/>
        <v>-0.20892875962344304</v>
      </c>
      <c r="Q279" s="234"/>
      <c r="R279" s="234">
        <f t="shared" si="164"/>
        <v>2.8161034582806764E-3</v>
      </c>
      <c r="S279" s="234">
        <f t="shared" si="165"/>
        <v>7.0186624949476826E-4</v>
      </c>
      <c r="T279" s="233">
        <f t="shared" si="159"/>
        <v>9.2718189819118E-5</v>
      </c>
      <c r="U279" s="235">
        <f t="shared" si="160"/>
        <v>3.3332994245671675E-3</v>
      </c>
      <c r="V279" s="235">
        <f t="shared" si="161"/>
        <v>3.3332994245671675E-3</v>
      </c>
      <c r="W279" s="232"/>
    </row>
    <row r="280" spans="1:23" x14ac:dyDescent="0.2">
      <c r="A280">
        <v>270</v>
      </c>
      <c r="D280" s="232">
        <v>0.40000010877999997</v>
      </c>
      <c r="E280" s="233">
        <v>-8.3280897333333895E-6</v>
      </c>
      <c r="F280" s="233">
        <v>-3.9410630833333298E-6</v>
      </c>
      <c r="G280" s="233">
        <v>4.25145806558886E-7</v>
      </c>
      <c r="H280" s="233">
        <v>4.9023048547502001E-10</v>
      </c>
      <c r="I280" s="233">
        <v>7.2972239694093697E-9</v>
      </c>
      <c r="J280" s="232">
        <v>11</v>
      </c>
      <c r="K280" s="232">
        <v>1</v>
      </c>
      <c r="L280" s="232">
        <v>0.2</v>
      </c>
      <c r="M280" s="232">
        <v>10</v>
      </c>
      <c r="N280" s="229">
        <f t="shared" si="158"/>
        <v>40.000010877999998</v>
      </c>
      <c r="O280" s="234">
        <f t="shared" si="162"/>
        <v>-0.41640437342550018</v>
      </c>
      <c r="P280" s="234">
        <f t="shared" si="163"/>
        <v>-0.19705310057807582</v>
      </c>
      <c r="Q280" s="234"/>
      <c r="R280" s="234">
        <f t="shared" si="164"/>
        <v>2.451151760784379E-5</v>
      </c>
      <c r="S280" s="234">
        <f t="shared" si="165"/>
        <v>3.648610992464926E-4</v>
      </c>
      <c r="T280" s="233">
        <f t="shared" si="159"/>
        <v>1.0628642273512884E-4</v>
      </c>
      <c r="U280" s="235">
        <f t="shared" si="160"/>
        <v>4.9999986402503712E-3</v>
      </c>
      <c r="V280" s="235">
        <f t="shared" si="161"/>
        <v>4.9999986402503712E-3</v>
      </c>
      <c r="W280" s="232"/>
    </row>
    <row r="281" spans="1:23" x14ac:dyDescent="0.2">
      <c r="A281">
        <v>271</v>
      </c>
      <c r="D281" s="232">
        <v>0.2003440511</v>
      </c>
      <c r="E281" s="233">
        <v>-4.9169540333333296E-6</v>
      </c>
      <c r="F281" s="233">
        <v>-1.8670643E-6</v>
      </c>
      <c r="G281" s="233">
        <v>1.9861069048169E-7</v>
      </c>
      <c r="H281" s="233">
        <v>3.9073654880651002E-8</v>
      </c>
      <c r="I281" s="233">
        <v>5.7667453549149702E-8</v>
      </c>
      <c r="J281" s="232">
        <v>10</v>
      </c>
      <c r="K281" s="232">
        <v>1</v>
      </c>
      <c r="L281" s="232">
        <v>0.2</v>
      </c>
      <c r="M281" s="232">
        <v>10</v>
      </c>
      <c r="N281" s="229">
        <f t="shared" si="158"/>
        <v>20.034405110000002</v>
      </c>
      <c r="O281" s="234">
        <f t="shared" si="162"/>
        <v>-0.49085101417651522</v>
      </c>
      <c r="P281" s="234">
        <f t="shared" si="163"/>
        <v>-0.18638579880448469</v>
      </c>
      <c r="Q281" s="234"/>
      <c r="R281" s="234">
        <f t="shared" si="164"/>
        <v>3.9006553642211938E-3</v>
      </c>
      <c r="S281" s="234">
        <f t="shared" si="165"/>
        <v>5.7568421156029724E-3</v>
      </c>
      <c r="T281" s="233">
        <f t="shared" si="159"/>
        <v>9.9134808042069186E-5</v>
      </c>
      <c r="U281" s="235">
        <f t="shared" si="160"/>
        <v>9.9828269869701187E-3</v>
      </c>
      <c r="V281" s="235">
        <f t="shared" si="161"/>
        <v>9.9828269869701187E-3</v>
      </c>
      <c r="W281" s="232"/>
    </row>
    <row r="282" spans="1:23" x14ac:dyDescent="0.2">
      <c r="A282">
        <v>272</v>
      </c>
      <c r="D282" s="232">
        <v>9.9716228517999994E-2</v>
      </c>
      <c r="E282" s="233">
        <v>-2.7588688666666699E-6</v>
      </c>
      <c r="F282" s="233">
        <v>-9.4570299000000005E-7</v>
      </c>
      <c r="G282" s="233">
        <v>7.1270385904439304E-8</v>
      </c>
      <c r="H282" s="233">
        <v>1.6428075989462501E-8</v>
      </c>
      <c r="I282" s="233">
        <v>5.6239117655002702E-8</v>
      </c>
      <c r="J282" s="232">
        <v>10</v>
      </c>
      <c r="K282" s="232">
        <v>1</v>
      </c>
      <c r="L282" s="232">
        <v>0.2</v>
      </c>
      <c r="M282" s="232">
        <v>10</v>
      </c>
      <c r="N282" s="229">
        <f t="shared" si="158"/>
        <v>9.9716228517999994</v>
      </c>
      <c r="O282" s="234">
        <f t="shared" si="162"/>
        <v>-0.5533440058192054</v>
      </c>
      <c r="P282" s="234">
        <f t="shared" si="163"/>
        <v>-0.18967885249075364</v>
      </c>
      <c r="Q282" s="234"/>
      <c r="R282" s="234">
        <f t="shared" si="164"/>
        <v>3.2949653699542061E-3</v>
      </c>
      <c r="S282" s="234">
        <f t="shared" si="165"/>
        <v>1.1279832478792729E-2</v>
      </c>
      <c r="T282" s="233">
        <f t="shared" si="159"/>
        <v>7.1473206481705362E-5</v>
      </c>
      <c r="U282" s="235">
        <f t="shared" si="160"/>
        <v>2.0056915807229674E-2</v>
      </c>
      <c r="V282" s="235">
        <f t="shared" si="161"/>
        <v>2.0056915807229674E-2</v>
      </c>
      <c r="W282" s="232"/>
    </row>
    <row r="283" spans="1:23" x14ac:dyDescent="0.2">
      <c r="A283">
        <v>273</v>
      </c>
      <c r="D283" s="232">
        <v>4.9676965683999999E-2</v>
      </c>
      <c r="E283" s="233">
        <v>-1.43062283333333E-6</v>
      </c>
      <c r="F283" s="233">
        <v>-4.4173198333333501E-7</v>
      </c>
      <c r="G283" s="233">
        <v>2.68402868146877E-8</v>
      </c>
      <c r="H283" s="233">
        <v>3.8709374785774498E-8</v>
      </c>
      <c r="I283" s="233">
        <v>9.3255961019330406E-9</v>
      </c>
      <c r="J283" s="232">
        <v>9</v>
      </c>
      <c r="K283" s="232">
        <v>1</v>
      </c>
      <c r="L283" s="232">
        <v>0.2</v>
      </c>
      <c r="M283" s="232">
        <v>10</v>
      </c>
      <c r="N283" s="229">
        <f>100*D283/(L283*5)</f>
        <v>4.9676965684000001</v>
      </c>
      <c r="O283" s="234">
        <f t="shared" si="162"/>
        <v>-0.57597029675027289</v>
      </c>
      <c r="P283" s="234">
        <f t="shared" si="163"/>
        <v>-0.17784177324486164</v>
      </c>
      <c r="Q283" s="234"/>
      <c r="R283" s="234">
        <f t="shared" si="164"/>
        <v>1.5584436067214167E-2</v>
      </c>
      <c r="S283" s="234">
        <f t="shared" si="165"/>
        <v>3.7544950556175527E-3</v>
      </c>
      <c r="T283" s="233">
        <f>G283*100/D283</f>
        <v>5.4029642199608908E-5</v>
      </c>
      <c r="U283" s="235">
        <f t="shared" ref="U283:U292" si="166">Comode_std*L283/(M283*D283)</f>
        <v>4.0260107928535627E-2</v>
      </c>
      <c r="V283" s="235">
        <f t="shared" ref="V283:V292" si="167">Comode_std*L283/(M283*D283)</f>
        <v>4.0260107928535627E-2</v>
      </c>
      <c r="W283" s="232"/>
    </row>
    <row r="284" spans="1:23" x14ac:dyDescent="0.2">
      <c r="A284">
        <v>274</v>
      </c>
      <c r="D284" s="232">
        <v>4.9709609070000001E-2</v>
      </c>
      <c r="E284" s="233">
        <v>-1.4306726833333299E-6</v>
      </c>
      <c r="F284" s="233">
        <v>-4.3834546833333402E-7</v>
      </c>
      <c r="G284" s="233">
        <v>2.2661014931453E-8</v>
      </c>
      <c r="H284" s="233">
        <v>4.6905197309392603E-8</v>
      </c>
      <c r="I284" s="233">
        <v>1.2154096640323799E-8</v>
      </c>
      <c r="J284" s="232">
        <v>9</v>
      </c>
      <c r="K284" s="232">
        <v>1</v>
      </c>
      <c r="L284" s="232">
        <v>0.2</v>
      </c>
      <c r="M284" s="232">
        <v>10</v>
      </c>
      <c r="N284" s="229">
        <f t="shared" ref="N284:N290" si="168">100*D284/(L284*5)</f>
        <v>4.9709609070000003</v>
      </c>
      <c r="O284" s="234">
        <f t="shared" ref="O284:O290" si="169">1000000*E284*L284/(M284*D284)</f>
        <v>-0.57561212413426444</v>
      </c>
      <c r="P284" s="234">
        <f t="shared" ref="P284:P290" si="170">1000000*F284*L284/(D284*M284)</f>
        <v>-0.17636246855856999</v>
      </c>
      <c r="Q284" s="232"/>
      <c r="R284" s="234">
        <f t="shared" ref="R284:R292" si="171">1000000*L284*H284/(M284*D284)</f>
        <v>1.887168223083055E-2</v>
      </c>
      <c r="S284" s="234">
        <f t="shared" ref="S284:S292" si="172">1000000*L284*I284/(M284*D284)</f>
        <v>4.8900391162636832E-3</v>
      </c>
      <c r="T284" s="233">
        <f t="shared" ref="T284:T292" si="173">G284*100/D284</f>
        <v>4.558678966785325E-5</v>
      </c>
      <c r="U284" s="235">
        <f t="shared" si="166"/>
        <v>4.0233669856136738E-2</v>
      </c>
      <c r="V284" s="235">
        <f t="shared" si="167"/>
        <v>4.0233669856136738E-2</v>
      </c>
      <c r="W284" s="232"/>
    </row>
    <row r="285" spans="1:23" x14ac:dyDescent="0.2">
      <c r="A285">
        <v>275</v>
      </c>
      <c r="D285" s="232">
        <v>4.9743213456000003E-2</v>
      </c>
      <c r="E285" s="233">
        <v>-1.4605851E-6</v>
      </c>
      <c r="F285" s="233">
        <v>-4.39540660000001E-7</v>
      </c>
      <c r="G285" s="233">
        <v>2.5569620476542398E-8</v>
      </c>
      <c r="H285" s="233">
        <v>4.27109487952445E-8</v>
      </c>
      <c r="I285" s="233">
        <v>8.47868647635942E-9</v>
      </c>
      <c r="J285" s="232">
        <v>9</v>
      </c>
      <c r="K285" s="232">
        <v>1</v>
      </c>
      <c r="L285" s="232">
        <v>0.2</v>
      </c>
      <c r="M285" s="232">
        <v>10</v>
      </c>
      <c r="N285" s="229">
        <f t="shared" si="168"/>
        <v>4.9743213455999999</v>
      </c>
      <c r="O285" s="234">
        <f t="shared" si="169"/>
        <v>-0.58724999794874533</v>
      </c>
      <c r="P285" s="234">
        <f t="shared" si="170"/>
        <v>-0.1767238702376128</v>
      </c>
      <c r="Q285" s="232"/>
      <c r="R285" s="234">
        <f t="shared" si="171"/>
        <v>1.7172573232738235E-2</v>
      </c>
      <c r="S285" s="234">
        <f t="shared" si="172"/>
        <v>3.4089822057270912E-3</v>
      </c>
      <c r="T285" s="233">
        <f t="shared" si="173"/>
        <v>5.1403234129937784E-5</v>
      </c>
      <c r="U285" s="235">
        <f t="shared" si="166"/>
        <v>4.0206489710784082E-2</v>
      </c>
      <c r="V285" s="235">
        <f t="shared" si="167"/>
        <v>4.0206489710784082E-2</v>
      </c>
      <c r="W285" s="232"/>
    </row>
    <row r="286" spans="1:23" x14ac:dyDescent="0.2">
      <c r="A286">
        <v>276</v>
      </c>
      <c r="D286" s="232">
        <v>1.3314132286000001E-2</v>
      </c>
      <c r="E286" s="233">
        <v>-4.08788801666666E-7</v>
      </c>
      <c r="F286" s="233">
        <v>-1.16568983666667E-7</v>
      </c>
      <c r="G286" s="233">
        <v>1.18883104739075E-7</v>
      </c>
      <c r="H286" s="233">
        <v>2.7082822535800499E-8</v>
      </c>
      <c r="I286" s="233">
        <v>3.5696961501186598E-8</v>
      </c>
      <c r="J286" s="232">
        <v>8</v>
      </c>
      <c r="K286" s="232">
        <v>1</v>
      </c>
      <c r="L286" s="232">
        <v>0.2</v>
      </c>
      <c r="M286" s="232">
        <v>10</v>
      </c>
      <c r="N286" s="229">
        <f t="shared" si="168"/>
        <v>1.3314132286</v>
      </c>
      <c r="O286" s="234">
        <f t="shared" si="169"/>
        <v>-0.6140675079464446</v>
      </c>
      <c r="P286" s="234">
        <f t="shared" si="170"/>
        <v>-0.17510564137813314</v>
      </c>
      <c r="Q286" s="232"/>
      <c r="R286" s="234">
        <f t="shared" si="171"/>
        <v>4.0682820260511413E-2</v>
      </c>
      <c r="S286" s="234">
        <f t="shared" si="172"/>
        <v>5.3622663098702207E-2</v>
      </c>
      <c r="T286" s="233">
        <f t="shared" si="173"/>
        <v>8.9290914484965928E-4</v>
      </c>
      <c r="U286" s="235">
        <f t="shared" si="166"/>
        <v>0.15021632330505147</v>
      </c>
      <c r="V286" s="235">
        <f t="shared" si="167"/>
        <v>0.15021632330505147</v>
      </c>
      <c r="W286" s="232"/>
    </row>
    <row r="287" spans="1:23" x14ac:dyDescent="0.2">
      <c r="A287">
        <v>277</v>
      </c>
      <c r="D287" s="232">
        <v>1.3313732458000001E-2</v>
      </c>
      <c r="E287" s="233">
        <v>-4.0870913833333299E-7</v>
      </c>
      <c r="F287" s="233">
        <v>-1.1445215766666699E-7</v>
      </c>
      <c r="G287" s="233">
        <v>8.0063607400074994E-8</v>
      </c>
      <c r="H287" s="233">
        <v>2.7450208270051399E-8</v>
      </c>
      <c r="I287" s="233">
        <v>3.0486399202529797E-8</v>
      </c>
      <c r="J287" s="232">
        <v>8</v>
      </c>
      <c r="K287" s="232">
        <v>1</v>
      </c>
      <c r="L287" s="232">
        <v>0.2</v>
      </c>
      <c r="M287" s="232">
        <v>10</v>
      </c>
      <c r="N287" s="229">
        <f t="shared" si="168"/>
        <v>1.3313732458</v>
      </c>
      <c r="O287" s="234">
        <f t="shared" si="169"/>
        <v>-0.61396627823589245</v>
      </c>
      <c r="P287" s="234">
        <f t="shared" si="170"/>
        <v>-0.17193098633718543</v>
      </c>
      <c r="Q287" s="234"/>
      <c r="R287" s="234">
        <f t="shared" si="171"/>
        <v>4.1235931932156307E-2</v>
      </c>
      <c r="S287" s="234">
        <f t="shared" si="172"/>
        <v>4.5796923287595478E-2</v>
      </c>
      <c r="T287" s="233">
        <f t="shared" si="173"/>
        <v>6.0136109579073073E-4</v>
      </c>
      <c r="U287" s="235">
        <f t="shared" si="166"/>
        <v>0.15022083448869619</v>
      </c>
      <c r="V287" s="235">
        <f t="shared" si="167"/>
        <v>0.15022083448869619</v>
      </c>
      <c r="W287" s="232"/>
    </row>
    <row r="288" spans="1:23" x14ac:dyDescent="0.2">
      <c r="A288">
        <v>278</v>
      </c>
      <c r="D288" s="232">
        <v>1.3309933458E-2</v>
      </c>
      <c r="E288" s="233">
        <v>-4.0096209833333298E-7</v>
      </c>
      <c r="F288" s="233">
        <v>-1.08842157833333E-7</v>
      </c>
      <c r="G288" s="233">
        <v>7.6541146795022898E-8</v>
      </c>
      <c r="H288" s="233">
        <v>1.9435125719308599E-8</v>
      </c>
      <c r="I288" s="233">
        <v>2.6773570153091399E-8</v>
      </c>
      <c r="J288" s="232">
        <v>8</v>
      </c>
      <c r="K288" s="232">
        <v>1</v>
      </c>
      <c r="L288" s="232">
        <v>0.2</v>
      </c>
      <c r="M288" s="232">
        <v>10</v>
      </c>
      <c r="N288" s="229">
        <f t="shared" si="168"/>
        <v>1.3309933458000001</v>
      </c>
      <c r="O288" s="234">
        <f t="shared" si="169"/>
        <v>-0.60250053029729123</v>
      </c>
      <c r="P288" s="234">
        <f t="shared" si="170"/>
        <v>-0.16355026593752486</v>
      </c>
      <c r="Q288" s="234"/>
      <c r="R288" s="234">
        <f t="shared" si="171"/>
        <v>2.9203941222751977E-2</v>
      </c>
      <c r="S288" s="234">
        <f t="shared" si="172"/>
        <v>4.0230960188608625E-2</v>
      </c>
      <c r="T288" s="233">
        <f t="shared" si="173"/>
        <v>5.7506783964436333E-4</v>
      </c>
      <c r="U288" s="235">
        <f t="shared" si="166"/>
        <v>0.15026371140855635</v>
      </c>
      <c r="V288" s="235">
        <f t="shared" si="167"/>
        <v>0.15026371140855635</v>
      </c>
      <c r="W288" s="232"/>
    </row>
    <row r="289" spans="1:23" x14ac:dyDescent="0.2">
      <c r="A289">
        <v>279</v>
      </c>
      <c r="D289" s="232">
        <v>1.3336908999999999E-2</v>
      </c>
      <c r="E289" s="233">
        <v>-3.9894512500000001E-7</v>
      </c>
      <c r="F289" s="233">
        <v>-1.3030057616666699E-7</v>
      </c>
      <c r="G289" s="233">
        <v>1.3662686103166201E-7</v>
      </c>
      <c r="H289" s="233">
        <v>2.5988519592107901E-8</v>
      </c>
      <c r="I289" s="233">
        <v>2.4707993808685602E-8</v>
      </c>
      <c r="J289" s="232">
        <v>8</v>
      </c>
      <c r="K289" s="232">
        <v>1</v>
      </c>
      <c r="L289" s="232">
        <v>0.2</v>
      </c>
      <c r="M289" s="232">
        <v>10</v>
      </c>
      <c r="N289" s="229">
        <f t="shared" si="168"/>
        <v>1.3336908999999999</v>
      </c>
      <c r="O289" s="234">
        <f t="shared" si="169"/>
        <v>-0.59825724986201834</v>
      </c>
      <c r="P289" s="234">
        <f t="shared" si="170"/>
        <v>-0.19539846326711385</v>
      </c>
      <c r="Q289" s="234"/>
      <c r="R289" s="234">
        <f t="shared" si="171"/>
        <v>3.8972327984104715E-2</v>
      </c>
      <c r="S289" s="234">
        <f t="shared" si="172"/>
        <v>3.7052054278372305E-2</v>
      </c>
      <c r="T289" s="233">
        <f t="shared" si="173"/>
        <v>1.0244267320985846E-3</v>
      </c>
      <c r="U289" s="235">
        <f t="shared" si="166"/>
        <v>0.14995978453478243</v>
      </c>
      <c r="V289" s="235">
        <f t="shared" si="167"/>
        <v>0.14995978453478243</v>
      </c>
      <c r="W289" s="232"/>
    </row>
    <row r="290" spans="1:23" x14ac:dyDescent="0.2">
      <c r="A290">
        <v>280</v>
      </c>
      <c r="D290" s="232">
        <v>1.3411756683999999E-2</v>
      </c>
      <c r="E290" s="233">
        <v>-3.9242252833333301E-7</v>
      </c>
      <c r="F290" s="233">
        <v>-1.0722437733333299E-7</v>
      </c>
      <c r="G290" s="233">
        <v>8.4279731178415699E-8</v>
      </c>
      <c r="H290" s="233">
        <v>3.3827818035198903E-8</v>
      </c>
      <c r="I290" s="233">
        <v>2.0222619343751E-8</v>
      </c>
      <c r="J290" s="232">
        <v>7</v>
      </c>
      <c r="K290" s="232">
        <v>1</v>
      </c>
      <c r="L290" s="232">
        <v>0.2</v>
      </c>
      <c r="M290" s="232">
        <v>10</v>
      </c>
      <c r="N290" s="229">
        <f t="shared" si="168"/>
        <v>1.3411756684</v>
      </c>
      <c r="O290" s="234">
        <f t="shared" si="169"/>
        <v>-0.58519183963646848</v>
      </c>
      <c r="P290" s="234">
        <f t="shared" si="170"/>
        <v>-0.15989609692405155</v>
      </c>
      <c r="Q290" s="234"/>
      <c r="R290" s="234">
        <f t="shared" si="171"/>
        <v>5.0445021979193712E-2</v>
      </c>
      <c r="S290" s="234">
        <f t="shared" si="172"/>
        <v>3.0156555655198019E-2</v>
      </c>
      <c r="T290" s="233">
        <f t="shared" si="173"/>
        <v>6.2840188026196456E-4</v>
      </c>
      <c r="U290" s="235">
        <f t="shared" si="166"/>
        <v>0.14912289621134919</v>
      </c>
      <c r="V290" s="235">
        <f t="shared" si="167"/>
        <v>0.14912289621134919</v>
      </c>
      <c r="W290" s="232"/>
    </row>
    <row r="291" spans="1:23" x14ac:dyDescent="0.2">
      <c r="A291">
        <v>281</v>
      </c>
      <c r="D291" s="232">
        <v>1.3393021442000001E-2</v>
      </c>
      <c r="E291" s="233">
        <v>-3.9773879166666699E-7</v>
      </c>
      <c r="F291" s="233">
        <v>-1.13054362E-7</v>
      </c>
      <c r="G291" s="233">
        <v>3.1698011871372297E-8</v>
      </c>
      <c r="H291" s="233">
        <v>3.2054028253740597E-8</v>
      </c>
      <c r="I291" s="233">
        <v>2.8066910242897901E-8</v>
      </c>
      <c r="J291" s="232">
        <v>7</v>
      </c>
      <c r="K291" s="232">
        <v>1</v>
      </c>
      <c r="L291" s="232">
        <v>0.2</v>
      </c>
      <c r="M291" s="232">
        <v>10</v>
      </c>
      <c r="N291" s="229">
        <f>100*D291/(L291*5)</f>
        <v>1.3393021442000002</v>
      </c>
      <c r="O291" s="234">
        <f>1000000*E291*L291/(M291*D291)</f>
        <v>-0.5939493091818302</v>
      </c>
      <c r="P291" s="234">
        <f>1000000*F291*L291/(D291*M291)</f>
        <v>-0.16882577615453653</v>
      </c>
      <c r="Q291" s="234"/>
      <c r="R291" s="234">
        <f t="shared" si="171"/>
        <v>4.7866761645315371E-2</v>
      </c>
      <c r="S291" s="234">
        <f t="shared" si="172"/>
        <v>4.1912738457777945E-2</v>
      </c>
      <c r="T291" s="233">
        <f t="shared" si="173"/>
        <v>2.3667558518176152E-4</v>
      </c>
      <c r="U291" s="235">
        <f t="shared" si="166"/>
        <v>0.14933150138385334</v>
      </c>
      <c r="V291" s="235">
        <f t="shared" si="167"/>
        <v>0.14933150138385334</v>
      </c>
      <c r="W291" s="232"/>
    </row>
    <row r="292" spans="1:23" x14ac:dyDescent="0.2">
      <c r="A292">
        <v>282</v>
      </c>
      <c r="D292" s="232">
        <v>1.3402608163999999E-2</v>
      </c>
      <c r="E292" s="233">
        <v>-4.0078442000000001E-7</v>
      </c>
      <c r="F292" s="233">
        <v>-1.1963381666666699E-7</v>
      </c>
      <c r="G292" s="233">
        <v>5.83532799360466E-8</v>
      </c>
      <c r="H292" s="233">
        <v>2.7262467751048E-8</v>
      </c>
      <c r="I292" s="233">
        <v>1.9724428368644501E-8</v>
      </c>
      <c r="J292" s="232">
        <v>7</v>
      </c>
      <c r="K292" s="232">
        <v>1</v>
      </c>
      <c r="L292" s="232">
        <v>0.2</v>
      </c>
      <c r="M292" s="232">
        <v>10</v>
      </c>
      <c r="N292" s="229">
        <f>100*D292/(L292*5)</f>
        <v>1.3402608163999998</v>
      </c>
      <c r="O292" s="234">
        <f>1000000*E292*L292/(M292*D292)</f>
        <v>-0.59806929382077256</v>
      </c>
      <c r="P292" s="234">
        <f>1000000*F292*L292/(D292*M292)</f>
        <v>-0.17852318772999534</v>
      </c>
      <c r="Q292" s="234"/>
      <c r="R292" s="234">
        <f t="shared" si="171"/>
        <v>4.0682332002029579E-2</v>
      </c>
      <c r="S292" s="234">
        <f t="shared" si="172"/>
        <v>2.9433716374138569E-2</v>
      </c>
      <c r="T292" s="233">
        <f t="shared" si="173"/>
        <v>4.3538749489659855E-4</v>
      </c>
      <c r="U292" s="235">
        <f t="shared" si="166"/>
        <v>0.14922468638395989</v>
      </c>
      <c r="V292" s="235">
        <f t="shared" si="167"/>
        <v>0.14922468638395989</v>
      </c>
      <c r="W292" s="232"/>
    </row>
    <row r="293" spans="1:23" x14ac:dyDescent="0.2">
      <c r="A293">
        <v>283</v>
      </c>
      <c r="D293" s="232"/>
      <c r="E293" s="233"/>
      <c r="F293" s="233"/>
      <c r="G293" s="233"/>
      <c r="H293" s="233"/>
      <c r="I293" s="233"/>
      <c r="J293" s="232"/>
      <c r="K293" s="232"/>
      <c r="L293" s="232"/>
      <c r="M293" s="232"/>
      <c r="N293" s="232"/>
      <c r="O293" s="232"/>
      <c r="P293" s="232"/>
      <c r="Q293" s="234"/>
      <c r="R293" s="232"/>
      <c r="S293" s="232"/>
      <c r="T293" s="232"/>
      <c r="U293" s="232"/>
      <c r="V293" s="232"/>
      <c r="W293" s="232"/>
    </row>
    <row r="294" spans="1:23" x14ac:dyDescent="0.2">
      <c r="A294">
        <v>284</v>
      </c>
      <c r="D294" s="232"/>
      <c r="E294" s="233"/>
      <c r="F294" s="233"/>
      <c r="G294" s="233"/>
      <c r="H294" s="233"/>
      <c r="I294" s="233"/>
      <c r="J294" s="232"/>
      <c r="K294" s="232"/>
      <c r="L294" s="232"/>
      <c r="M294" s="232"/>
      <c r="N294" s="232"/>
      <c r="O294" s="232"/>
      <c r="P294" s="232"/>
      <c r="Q294" s="232"/>
      <c r="R294" s="232"/>
      <c r="S294" s="232"/>
      <c r="T294" s="232"/>
      <c r="U294" s="232"/>
      <c r="V294" s="232"/>
      <c r="W294" s="232"/>
    </row>
    <row r="295" spans="1:23" x14ac:dyDescent="0.2">
      <c r="A295">
        <v>285</v>
      </c>
      <c r="B295" s="4">
        <v>41351</v>
      </c>
      <c r="C295" s="8" t="s">
        <v>560</v>
      </c>
      <c r="D295" s="232">
        <v>1.1992652046000001</v>
      </c>
      <c r="E295" s="233">
        <v>-1.6101036833333201E-5</v>
      </c>
      <c r="F295" s="233">
        <v>-1.4154711E-5</v>
      </c>
      <c r="G295" s="233">
        <v>3.7662603646832101E-6</v>
      </c>
      <c r="H295" s="233">
        <v>2.2708566480509499E-7</v>
      </c>
      <c r="I295" s="233">
        <v>4.4830681458140298E-10</v>
      </c>
      <c r="J295" s="236">
        <v>12</v>
      </c>
      <c r="K295" s="236">
        <v>1</v>
      </c>
      <c r="L295" s="232">
        <v>0.2</v>
      </c>
      <c r="M295" s="232">
        <v>10</v>
      </c>
      <c r="N295" s="229">
        <f t="shared" ref="N295:N308" si="174">100*D295/(L295*5)</f>
        <v>119.92652046000001</v>
      </c>
      <c r="O295" s="234">
        <f t="shared" ref="O295:O308" si="175">1000000*E295*L295/(M295*D295)</f>
        <v>-0.26851503356513212</v>
      </c>
      <c r="P295" s="234">
        <f t="shared" ref="P295:P308" si="176">1000000*F295*L295/(D295*M295)</f>
        <v>-0.2360563942938898</v>
      </c>
      <c r="Q295" s="232"/>
      <c r="R295" s="234">
        <f t="shared" ref="R295:R308" si="177">1000000*L295*H295/(M295*D295)</f>
        <v>3.7870800209005746E-3</v>
      </c>
      <c r="S295" s="234">
        <f t="shared" ref="S295:S308" si="178">1000000*L295*I295/(M295*D295)</f>
        <v>7.4763582377249104E-6</v>
      </c>
      <c r="T295" s="233">
        <f t="shared" ref="T295:T308" si="179">G295*100/D295</f>
        <v>3.140473308353342E-4</v>
      </c>
      <c r="U295" s="235">
        <f t="shared" ref="U295:U308" si="180">Comode_std*L295/(M295*D295)</f>
        <v>1.6676878411285814E-3</v>
      </c>
      <c r="V295" s="235">
        <f t="shared" ref="V295:V308" si="181">Comode_std*L295/(M295*D295)</f>
        <v>1.6676878411285814E-3</v>
      </c>
      <c r="W295" s="232"/>
    </row>
    <row r="296" spans="1:23" x14ac:dyDescent="0.2">
      <c r="A296">
        <v>286</v>
      </c>
      <c r="D296" s="232">
        <v>1.00029921454</v>
      </c>
      <c r="E296" s="233">
        <v>-1.48622915E-5</v>
      </c>
      <c r="F296" s="233">
        <v>-1.2061121500000099E-5</v>
      </c>
      <c r="G296" s="233">
        <v>6.7470444900919702E-6</v>
      </c>
      <c r="H296" s="233">
        <v>5.3378138262931799E-8</v>
      </c>
      <c r="I296" s="233">
        <v>4.4909659317359199E-10</v>
      </c>
      <c r="J296" s="236">
        <v>12</v>
      </c>
      <c r="K296" s="236">
        <v>1</v>
      </c>
      <c r="L296" s="232">
        <v>0.2</v>
      </c>
      <c r="M296" s="232">
        <v>10</v>
      </c>
      <c r="N296" s="229">
        <f t="shared" si="174"/>
        <v>100.029921454</v>
      </c>
      <c r="O296" s="234">
        <f t="shared" si="175"/>
        <v>-0.29715691632997249</v>
      </c>
      <c r="P296" s="234">
        <f t="shared" si="176"/>
        <v>-0.241150274331597</v>
      </c>
      <c r="Q296" s="232"/>
      <c r="R296" s="234">
        <f t="shared" si="177"/>
        <v>1.067243430506509E-3</v>
      </c>
      <c r="S296" s="234">
        <f t="shared" si="178"/>
        <v>8.9792451427668985E-6</v>
      </c>
      <c r="T296" s="233">
        <f t="shared" si="179"/>
        <v>6.7450262801562648E-4</v>
      </c>
      <c r="U296" s="235">
        <f t="shared" si="180"/>
        <v>1.9994017499251212E-3</v>
      </c>
      <c r="V296" s="235">
        <f t="shared" si="181"/>
        <v>1.9994017499251212E-3</v>
      </c>
      <c r="W296" s="232"/>
    </row>
    <row r="297" spans="1:23" x14ac:dyDescent="0.2">
      <c r="A297">
        <v>287</v>
      </c>
      <c r="D297" s="232">
        <v>0.60044742726</v>
      </c>
      <c r="E297" s="233">
        <v>-1.19339826666667E-5</v>
      </c>
      <c r="F297" s="233">
        <v>-7.1743369333333601E-6</v>
      </c>
      <c r="G297" s="233">
        <v>5.0000323757331803E-7</v>
      </c>
      <c r="H297" s="233">
        <v>3.4377517355905099E-8</v>
      </c>
      <c r="I297" s="233">
        <v>5.7473842939387695E-10</v>
      </c>
      <c r="J297" s="236">
        <v>12</v>
      </c>
      <c r="K297" s="236">
        <v>1</v>
      </c>
      <c r="L297" s="232">
        <v>0.2</v>
      </c>
      <c r="M297" s="232">
        <v>10</v>
      </c>
      <c r="N297" s="229">
        <f t="shared" si="174"/>
        <v>60.044742726000003</v>
      </c>
      <c r="O297" s="234">
        <f t="shared" si="175"/>
        <v>-0.39750299942576528</v>
      </c>
      <c r="P297" s="234">
        <f t="shared" si="176"/>
        <v>-0.23896636433506771</v>
      </c>
      <c r="Q297" s="232"/>
      <c r="R297" s="234">
        <f t="shared" si="177"/>
        <v>1.145063357595811E-3</v>
      </c>
      <c r="S297" s="234">
        <f t="shared" si="178"/>
        <v>1.9143671978629672E-5</v>
      </c>
      <c r="T297" s="233">
        <f t="shared" si="179"/>
        <v>8.3271776157816969E-5</v>
      </c>
      <c r="U297" s="235">
        <f t="shared" si="180"/>
        <v>3.3308494785738831E-3</v>
      </c>
      <c r="V297" s="235">
        <f t="shared" si="181"/>
        <v>3.3308494785738831E-3</v>
      </c>
      <c r="W297" s="232"/>
    </row>
    <row r="298" spans="1:23" x14ac:dyDescent="0.2">
      <c r="A298">
        <v>288</v>
      </c>
      <c r="D298" s="232">
        <v>0.40058750069999999</v>
      </c>
      <c r="E298" s="233">
        <v>-9.5160623666666E-6</v>
      </c>
      <c r="F298" s="233">
        <v>-4.5092756666666698E-6</v>
      </c>
      <c r="G298" s="233">
        <v>3.8805170986804999E-7</v>
      </c>
      <c r="H298" s="233">
        <v>2.29323059362886E-10</v>
      </c>
      <c r="I298" s="233">
        <v>2.23252303807947E-8</v>
      </c>
      <c r="J298" s="236">
        <v>11</v>
      </c>
      <c r="K298" s="236">
        <v>1</v>
      </c>
      <c r="L298" s="232">
        <v>0.2</v>
      </c>
      <c r="M298" s="232">
        <v>10</v>
      </c>
      <c r="N298" s="229">
        <f t="shared" si="174"/>
        <v>40.058750070000002</v>
      </c>
      <c r="O298" s="234">
        <f t="shared" si="175"/>
        <v>-0.47510530658285216</v>
      </c>
      <c r="P298" s="234">
        <f t="shared" si="176"/>
        <v>-0.22513311867130206</v>
      </c>
      <c r="Q298" s="232"/>
      <c r="R298" s="234">
        <f t="shared" si="177"/>
        <v>1.1449336734778755E-5</v>
      </c>
      <c r="S298" s="234">
        <f t="shared" si="178"/>
        <v>1.1146244124833073E-3</v>
      </c>
      <c r="T298" s="233">
        <f t="shared" si="179"/>
        <v>9.6870648532456822E-5</v>
      </c>
      <c r="U298" s="235">
        <f t="shared" si="180"/>
        <v>4.992667011589561E-3</v>
      </c>
      <c r="V298" s="235">
        <f t="shared" si="181"/>
        <v>4.992667011589561E-3</v>
      </c>
      <c r="W298" s="232"/>
    </row>
    <row r="299" spans="1:23" x14ac:dyDescent="0.2">
      <c r="A299">
        <v>289</v>
      </c>
      <c r="D299" s="232">
        <v>0.19999140792</v>
      </c>
      <c r="E299" s="233">
        <v>-5.6880933999999996E-6</v>
      </c>
      <c r="F299" s="233">
        <v>-2.0913032499999999E-6</v>
      </c>
      <c r="G299" s="233">
        <v>1.7079925721543499E-7</v>
      </c>
      <c r="H299" s="233">
        <v>6.0628931878875504E-8</v>
      </c>
      <c r="I299" s="233">
        <v>4.4466378706510801E-8</v>
      </c>
      <c r="J299" s="236">
        <v>11</v>
      </c>
      <c r="K299" s="236">
        <v>1</v>
      </c>
      <c r="L299" s="232">
        <v>0.2</v>
      </c>
      <c r="M299" s="232">
        <v>10</v>
      </c>
      <c r="N299" s="229">
        <f t="shared" si="174"/>
        <v>19.999140791999999</v>
      </c>
      <c r="O299" s="234">
        <f t="shared" si="175"/>
        <v>-0.56883377732660734</v>
      </c>
      <c r="P299" s="234">
        <f t="shared" si="176"/>
        <v>-0.20913930970840078</v>
      </c>
      <c r="Q299" s="232"/>
      <c r="R299" s="234">
        <f t="shared" si="177"/>
        <v>6.0631536633941911E-3</v>
      </c>
      <c r="S299" s="234">
        <f t="shared" si="178"/>
        <v>4.4468289081997072E-3</v>
      </c>
      <c r="T299" s="233">
        <f t="shared" si="179"/>
        <v>8.5403297567542312E-5</v>
      </c>
      <c r="U299" s="235">
        <f t="shared" si="180"/>
        <v>1.0000429622456754E-2</v>
      </c>
      <c r="V299" s="235">
        <f t="shared" si="181"/>
        <v>1.0000429622456754E-2</v>
      </c>
      <c r="W299" s="232"/>
    </row>
    <row r="300" spans="1:23" x14ac:dyDescent="0.2">
      <c r="A300">
        <v>290</v>
      </c>
      <c r="D300" s="232">
        <v>0.10075397933999999</v>
      </c>
      <c r="E300" s="233">
        <v>-3.2010214833333299E-6</v>
      </c>
      <c r="F300" s="233">
        <v>-1.0490243833333399E-6</v>
      </c>
      <c r="G300" s="233">
        <v>7.7557494262275298E-8</v>
      </c>
      <c r="H300" s="233">
        <v>1.4438480678372001E-8</v>
      </c>
      <c r="I300" s="233">
        <v>1.1867408955014099E-9</v>
      </c>
      <c r="J300" s="232">
        <v>10</v>
      </c>
      <c r="K300" s="232">
        <v>1</v>
      </c>
      <c r="L300" s="232">
        <v>0.2</v>
      </c>
      <c r="M300" s="232">
        <v>10</v>
      </c>
      <c r="N300" s="229">
        <f t="shared" si="174"/>
        <v>10.075397934</v>
      </c>
      <c r="O300" s="234">
        <f t="shared" si="175"/>
        <v>-0.635413410825453</v>
      </c>
      <c r="P300" s="234">
        <f t="shared" si="176"/>
        <v>-0.20823482907674506</v>
      </c>
      <c r="Q300" s="232"/>
      <c r="R300" s="234">
        <f t="shared" si="177"/>
        <v>2.8660864360798162E-3</v>
      </c>
      <c r="S300" s="234">
        <f t="shared" si="178"/>
        <v>2.3557201477803389E-4</v>
      </c>
      <c r="T300" s="233">
        <f t="shared" si="179"/>
        <v>7.6977102810553167E-5</v>
      </c>
      <c r="U300" s="235">
        <f t="shared" si="180"/>
        <v>1.9850332593325051E-2</v>
      </c>
      <c r="V300" s="235">
        <f t="shared" si="181"/>
        <v>1.9850332593325051E-2</v>
      </c>
      <c r="W300" s="232"/>
    </row>
    <row r="301" spans="1:23" x14ac:dyDescent="0.2">
      <c r="A301">
        <v>291</v>
      </c>
      <c r="D301" s="232">
        <v>4.9539102135999998E-2</v>
      </c>
      <c r="E301" s="233">
        <v>-1.74689686666667E-6</v>
      </c>
      <c r="F301" s="233">
        <v>-4.4888552875E-7</v>
      </c>
      <c r="G301" s="233">
        <v>3.8201508326494503E-8</v>
      </c>
      <c r="H301" s="233">
        <v>1.3620201477039699E-7</v>
      </c>
      <c r="I301" s="233">
        <v>1.05179107460903E-7</v>
      </c>
      <c r="J301" s="232">
        <v>9</v>
      </c>
      <c r="K301" s="232">
        <v>1</v>
      </c>
      <c r="L301" s="232">
        <v>0.2</v>
      </c>
      <c r="M301" s="232">
        <v>10</v>
      </c>
      <c r="N301" s="229">
        <f t="shared" si="174"/>
        <v>4.9539102135999995</v>
      </c>
      <c r="O301" s="234">
        <f t="shared" si="175"/>
        <v>-0.70525980138715616</v>
      </c>
      <c r="P301" s="234">
        <f t="shared" si="176"/>
        <v>-0.18122473335010064</v>
      </c>
      <c r="Q301" s="232"/>
      <c r="R301" s="234">
        <f t="shared" si="177"/>
        <v>5.4987679993263011E-2</v>
      </c>
      <c r="S301" s="234">
        <f t="shared" si="178"/>
        <v>4.2463065710054315E-2</v>
      </c>
      <c r="T301" s="233">
        <f t="shared" si="179"/>
        <v>7.7113848817081244E-5</v>
      </c>
      <c r="U301" s="235">
        <f t="shared" si="180"/>
        <v>4.0372148742409346E-2</v>
      </c>
      <c r="V301" s="235">
        <f t="shared" si="181"/>
        <v>4.0372148742409346E-2</v>
      </c>
      <c r="W301" s="232"/>
    </row>
    <row r="302" spans="1:23" x14ac:dyDescent="0.2">
      <c r="A302">
        <v>292</v>
      </c>
      <c r="D302" s="232">
        <v>4.9569095434000003E-2</v>
      </c>
      <c r="E302" s="233">
        <v>-1.6922812000000001E-6</v>
      </c>
      <c r="F302" s="233">
        <v>-4.9425030500000002E-7</v>
      </c>
      <c r="G302" s="233">
        <v>4.2210817653760203E-8</v>
      </c>
      <c r="H302" s="233">
        <v>2.7348403357904898E-8</v>
      </c>
      <c r="I302" s="233">
        <v>2.7342912068431399E-8</v>
      </c>
      <c r="J302" s="232">
        <v>9</v>
      </c>
      <c r="K302" s="232">
        <v>1</v>
      </c>
      <c r="L302" s="232">
        <v>0.2</v>
      </c>
      <c r="M302" s="232">
        <v>10</v>
      </c>
      <c r="N302" s="229">
        <f t="shared" si="174"/>
        <v>4.9569095434000001</v>
      </c>
      <c r="O302" s="234">
        <f t="shared" si="175"/>
        <v>-0.68279688591583421</v>
      </c>
      <c r="P302" s="234">
        <f t="shared" si="176"/>
        <v>-0.19941873083323935</v>
      </c>
      <c r="Q302" s="232"/>
      <c r="R302" s="234">
        <f t="shared" si="177"/>
        <v>1.1034457303873379E-2</v>
      </c>
      <c r="S302" s="234">
        <f t="shared" si="178"/>
        <v>1.1032241693753638E-2</v>
      </c>
      <c r="T302" s="233">
        <f t="shared" si="179"/>
        <v>8.5155513297519906E-5</v>
      </c>
      <c r="U302" s="235">
        <f t="shared" si="180"/>
        <v>4.0347720338430419E-2</v>
      </c>
      <c r="V302" s="235">
        <f t="shared" si="181"/>
        <v>4.0347720338430419E-2</v>
      </c>
      <c r="W302" s="232"/>
    </row>
    <row r="303" spans="1:23" x14ac:dyDescent="0.2">
      <c r="A303">
        <v>293</v>
      </c>
      <c r="D303" s="232">
        <v>4.9593216968000002E-2</v>
      </c>
      <c r="E303" s="233">
        <v>-1.6952835999999999E-6</v>
      </c>
      <c r="F303" s="233">
        <v>-4.9073616166666703E-7</v>
      </c>
      <c r="G303" s="233">
        <v>2.2380661544056999E-8</v>
      </c>
      <c r="H303" s="233">
        <v>2.9306739703351501E-8</v>
      </c>
      <c r="I303" s="233">
        <v>2.2902224014977201E-8</v>
      </c>
      <c r="J303" s="232">
        <v>9</v>
      </c>
      <c r="K303" s="232">
        <v>1</v>
      </c>
      <c r="L303" s="232">
        <v>0.2</v>
      </c>
      <c r="M303" s="232">
        <v>10</v>
      </c>
      <c r="N303" s="229">
        <f t="shared" si="174"/>
        <v>4.9593216968</v>
      </c>
      <c r="O303" s="234">
        <f t="shared" si="175"/>
        <v>-0.68367559260932032</v>
      </c>
      <c r="P303" s="234">
        <f t="shared" si="176"/>
        <v>-0.19790454891575771</v>
      </c>
      <c r="Q303" s="232"/>
      <c r="R303" s="234">
        <f t="shared" si="177"/>
        <v>1.1818850034375331E-2</v>
      </c>
      <c r="S303" s="234">
        <f t="shared" si="178"/>
        <v>9.2360308183898811E-3</v>
      </c>
      <c r="T303" s="233">
        <f t="shared" si="179"/>
        <v>4.5128473029886547E-5</v>
      </c>
      <c r="U303" s="235">
        <f t="shared" si="180"/>
        <v>4.0328095700879807E-2</v>
      </c>
      <c r="V303" s="235">
        <f t="shared" si="181"/>
        <v>4.0328095700879807E-2</v>
      </c>
      <c r="W303" s="232"/>
    </row>
    <row r="304" spans="1:23" x14ac:dyDescent="0.2">
      <c r="A304">
        <v>294</v>
      </c>
      <c r="D304" s="232">
        <v>1.663384435E-2</v>
      </c>
      <c r="E304" s="233">
        <v>-6.0815765666666605E-7</v>
      </c>
      <c r="F304" s="233">
        <v>-1.64856445E-7</v>
      </c>
      <c r="G304" s="233">
        <v>5.8783400380822902E-8</v>
      </c>
      <c r="H304" s="233">
        <v>1.9217416679983902E-8</v>
      </c>
      <c r="I304" s="233">
        <v>1.68132135053646E-8</v>
      </c>
      <c r="J304" s="232">
        <v>8</v>
      </c>
      <c r="K304" s="232">
        <v>1</v>
      </c>
      <c r="L304" s="232">
        <v>0.2</v>
      </c>
      <c r="M304" s="232">
        <v>10</v>
      </c>
      <c r="N304" s="229">
        <f t="shared" si="174"/>
        <v>1.663384435</v>
      </c>
      <c r="O304" s="234">
        <f t="shared" si="175"/>
        <v>-0.73122922623316022</v>
      </c>
      <c r="P304" s="234">
        <f t="shared" si="176"/>
        <v>-0.19821809262030279</v>
      </c>
      <c r="Q304" s="232"/>
      <c r="R304" s="234">
        <f t="shared" si="177"/>
        <v>2.3106404359235094E-2</v>
      </c>
      <c r="S304" s="234">
        <f t="shared" si="178"/>
        <v>2.0215667709268425E-2</v>
      </c>
      <c r="T304" s="233">
        <f t="shared" si="179"/>
        <v>3.5339635951819464E-4</v>
      </c>
      <c r="U304" s="235">
        <f t="shared" si="180"/>
        <v>0.12023678699386174</v>
      </c>
      <c r="V304" s="235">
        <f t="shared" si="181"/>
        <v>0.12023678699386174</v>
      </c>
      <c r="W304" s="232"/>
    </row>
    <row r="305" spans="1:23" x14ac:dyDescent="0.2">
      <c r="A305">
        <v>295</v>
      </c>
      <c r="D305" s="232">
        <v>1.6786477134E-2</v>
      </c>
      <c r="E305" s="233">
        <v>-6.1597952333333304E-7</v>
      </c>
      <c r="F305" s="233">
        <v>-1.7234033499999999E-7</v>
      </c>
      <c r="G305" s="233">
        <v>1.0699103811305201E-7</v>
      </c>
      <c r="H305" s="233">
        <v>1.69465446151358E-8</v>
      </c>
      <c r="I305" s="233">
        <v>1.8006669562214301E-8</v>
      </c>
      <c r="J305" s="232">
        <v>8</v>
      </c>
      <c r="K305" s="232">
        <v>1</v>
      </c>
      <c r="L305" s="232">
        <v>0.2</v>
      </c>
      <c r="M305" s="232">
        <v>10</v>
      </c>
      <c r="N305" s="229">
        <f t="shared" si="174"/>
        <v>1.6786477134</v>
      </c>
      <c r="O305" s="234">
        <f t="shared" si="175"/>
        <v>-0.73389969606631</v>
      </c>
      <c r="P305" s="234">
        <f t="shared" si="176"/>
        <v>-0.20533234415330065</v>
      </c>
      <c r="Q305" s="232"/>
      <c r="R305" s="234">
        <f t="shared" si="177"/>
        <v>2.0190710033866001E-2</v>
      </c>
      <c r="S305" s="234">
        <f t="shared" si="178"/>
        <v>2.1453780228542267E-2</v>
      </c>
      <c r="T305" s="233">
        <f t="shared" si="179"/>
        <v>6.3736445270191986E-4</v>
      </c>
      <c r="U305" s="235">
        <f t="shared" si="180"/>
        <v>0.11914352154027129</v>
      </c>
      <c r="V305" s="235">
        <f t="shared" si="181"/>
        <v>0.11914352154027129</v>
      </c>
      <c r="W305" s="232"/>
    </row>
    <row r="306" spans="1:23" x14ac:dyDescent="0.2">
      <c r="A306">
        <v>296</v>
      </c>
      <c r="D306" s="232">
        <v>1.6786508338000002E-2</v>
      </c>
      <c r="E306" s="233">
        <v>-6.00465328333333E-7</v>
      </c>
      <c r="F306" s="233">
        <v>-1.8091934666666601E-7</v>
      </c>
      <c r="G306" s="233">
        <v>1.11613550647311E-7</v>
      </c>
      <c r="H306" s="233">
        <v>1.7804861878352101E-8</v>
      </c>
      <c r="I306" s="233">
        <v>1.95623133918211E-8</v>
      </c>
      <c r="J306" s="232">
        <v>8</v>
      </c>
      <c r="K306" s="232">
        <v>1</v>
      </c>
      <c r="L306" s="232">
        <v>0.2</v>
      </c>
      <c r="M306" s="232">
        <v>10</v>
      </c>
      <c r="N306" s="229">
        <f t="shared" si="174"/>
        <v>1.6786508338000001</v>
      </c>
      <c r="O306" s="234">
        <f t="shared" si="175"/>
        <v>-0.71541420793750898</v>
      </c>
      <c r="P306" s="234">
        <f t="shared" si="176"/>
        <v>-0.21555328007923455</v>
      </c>
      <c r="Q306" s="232"/>
      <c r="R306" s="234">
        <f t="shared" si="177"/>
        <v>2.1213300014329761E-2</v>
      </c>
      <c r="S306" s="234">
        <f t="shared" si="178"/>
        <v>2.3307185744563027E-2</v>
      </c>
      <c r="T306" s="233">
        <f t="shared" si="179"/>
        <v>6.6490033781860909E-4</v>
      </c>
      <c r="U306" s="235">
        <f t="shared" si="180"/>
        <v>0.11914330006750451</v>
      </c>
      <c r="V306" s="235">
        <f t="shared" si="181"/>
        <v>0.11914330006750451</v>
      </c>
      <c r="W306" s="232"/>
    </row>
    <row r="307" spans="1:23" x14ac:dyDescent="0.2">
      <c r="A307">
        <v>297</v>
      </c>
      <c r="D307" s="232">
        <v>1.6784893703999999E-2</v>
      </c>
      <c r="E307" s="233">
        <v>-6.1181387833333304E-7</v>
      </c>
      <c r="F307" s="233">
        <v>-1.6766449666666701E-7</v>
      </c>
      <c r="G307" s="233">
        <v>1.3314825827337801E-7</v>
      </c>
      <c r="H307" s="233">
        <v>1.8601269339847001E-8</v>
      </c>
      <c r="I307" s="233">
        <v>1.6579228921253302E-8</v>
      </c>
      <c r="J307" s="232">
        <v>8</v>
      </c>
      <c r="K307" s="232">
        <v>1</v>
      </c>
      <c r="L307" s="232">
        <v>0.2</v>
      </c>
      <c r="M307" s="232">
        <v>10</v>
      </c>
      <c r="N307" s="229">
        <f t="shared" si="174"/>
        <v>1.6784893703999999</v>
      </c>
      <c r="O307" s="234">
        <f t="shared" si="175"/>
        <v>-0.72900536532743365</v>
      </c>
      <c r="P307" s="234">
        <f t="shared" si="176"/>
        <v>-0.19978023051371602</v>
      </c>
      <c r="Q307" s="232"/>
      <c r="R307" s="234">
        <f t="shared" si="177"/>
        <v>2.2164298050233278E-2</v>
      </c>
      <c r="S307" s="234">
        <f t="shared" si="178"/>
        <v>1.9754940619376476E-2</v>
      </c>
      <c r="T307" s="233">
        <f t="shared" si="179"/>
        <v>7.9326244551460891E-4</v>
      </c>
      <c r="U307" s="235">
        <f t="shared" si="180"/>
        <v>0.11915476113640097</v>
      </c>
      <c r="V307" s="235">
        <f t="shared" si="181"/>
        <v>0.11915476113640097</v>
      </c>
      <c r="W307" s="232"/>
    </row>
    <row r="308" spans="1:23" x14ac:dyDescent="0.2">
      <c r="A308">
        <v>298</v>
      </c>
      <c r="D308" s="232">
        <v>1.6787214330000001E-2</v>
      </c>
      <c r="E308" s="233">
        <v>-6.1855054000000004E-7</v>
      </c>
      <c r="F308" s="233">
        <v>-1.63691511666667E-7</v>
      </c>
      <c r="G308" s="233">
        <v>8.1593131713599497E-8</v>
      </c>
      <c r="H308" s="233">
        <v>2.1431765961653E-8</v>
      </c>
      <c r="I308" s="233">
        <v>2.03161488534744E-8</v>
      </c>
      <c r="J308" s="232">
        <v>8</v>
      </c>
      <c r="K308" s="232">
        <v>1</v>
      </c>
      <c r="L308" s="232">
        <v>0.2</v>
      </c>
      <c r="M308" s="232">
        <v>10</v>
      </c>
      <c r="N308" s="229">
        <f t="shared" si="174"/>
        <v>1.6787214330000002</v>
      </c>
      <c r="O308" s="234">
        <f t="shared" si="175"/>
        <v>-0.73693053277410581</v>
      </c>
      <c r="P308" s="234">
        <f t="shared" si="176"/>
        <v>-0.19501926698360922</v>
      </c>
      <c r="Q308" s="232"/>
      <c r="R308" s="234">
        <f t="shared" si="177"/>
        <v>2.5533439366831508E-2</v>
      </c>
      <c r="S308" s="234">
        <f t="shared" si="178"/>
        <v>2.4204312227273983E-2</v>
      </c>
      <c r="T308" s="233">
        <f t="shared" si="179"/>
        <v>4.8604330718400666E-4</v>
      </c>
      <c r="U308" s="235">
        <f t="shared" si="180"/>
        <v>0.11913828945555617</v>
      </c>
      <c r="V308" s="235">
        <f t="shared" si="181"/>
        <v>0.11913828945555617</v>
      </c>
      <c r="W308" s="232"/>
    </row>
    <row r="309" spans="1:23" x14ac:dyDescent="0.2">
      <c r="A309">
        <v>299</v>
      </c>
      <c r="D309" s="232" t="s">
        <v>579</v>
      </c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32"/>
      <c r="S309" s="232"/>
      <c r="T309" s="232"/>
      <c r="U309" s="232"/>
      <c r="V309" s="232"/>
      <c r="W309" s="232"/>
    </row>
    <row r="310" spans="1:23" x14ac:dyDescent="0.2">
      <c r="A310">
        <v>300</v>
      </c>
      <c r="B310" s="4">
        <v>41352</v>
      </c>
      <c r="C310" s="8" t="s">
        <v>560</v>
      </c>
      <c r="D310" s="232">
        <v>1.1995428972</v>
      </c>
      <c r="E310" s="233">
        <v>-1.55499034999999E-5</v>
      </c>
      <c r="F310" s="233">
        <v>-1.4290845833333299E-5</v>
      </c>
      <c r="G310" s="233">
        <v>2.9515571138124998E-6</v>
      </c>
      <c r="H310" s="233">
        <v>4.4759105218868301E-10</v>
      </c>
      <c r="I310" s="233">
        <v>1.2123304162908301E-7</v>
      </c>
      <c r="J310" s="236">
        <v>12</v>
      </c>
      <c r="K310" s="236">
        <v>1</v>
      </c>
      <c r="L310" s="232">
        <v>0.2</v>
      </c>
      <c r="M310" s="232">
        <v>10</v>
      </c>
      <c r="N310" s="229">
        <f t="shared" ref="N310:N324" si="182">100*D310/(L310*5)</f>
        <v>119.95428971999999</v>
      </c>
      <c r="O310" s="234">
        <f t="shared" ref="O310:O318" si="183">1000000*E310*L310/(M310*D310)</f>
        <v>-0.25926381684718131</v>
      </c>
      <c r="P310" s="234">
        <f t="shared" ref="P310:P318" si="184">1000000*F310*L310/(D310*M310)</f>
        <v>-0.2382715260403161</v>
      </c>
      <c r="Q310" s="232"/>
      <c r="R310" s="234">
        <f t="shared" ref="R310:R324" si="185">1000000*L310*H310/(M310*D310)</f>
        <v>7.4626935515763574E-6</v>
      </c>
      <c r="S310" s="234">
        <f t="shared" ref="S310:S324" si="186">1000000*L310*I310/(M310*D310)</f>
        <v>2.0213206532599696E-3</v>
      </c>
      <c r="T310" s="233">
        <f t="shared" ref="T310:T324" si="187">G310*100/D310</f>
        <v>2.4605682053573E-4</v>
      </c>
      <c r="U310" s="235">
        <f t="shared" ref="U310:U324" si="188">Comode_std*L310/(M310*D310)</f>
        <v>1.6673017735909616E-3</v>
      </c>
      <c r="V310" s="235">
        <f t="shared" ref="V310:V324" si="189">Comode_std*L310/(M310*D310)</f>
        <v>1.6673017735909616E-3</v>
      </c>
      <c r="W310" s="232"/>
    </row>
    <row r="311" spans="1:23" x14ac:dyDescent="0.2">
      <c r="A311">
        <v>301</v>
      </c>
      <c r="D311" s="232">
        <v>1.0003294061400001</v>
      </c>
      <c r="E311" s="233">
        <v>-1.5198726333333299E-5</v>
      </c>
      <c r="F311" s="233">
        <v>-1.20617031666667E-5</v>
      </c>
      <c r="G311" s="233">
        <v>1.46932028303586E-5</v>
      </c>
      <c r="H311" s="233">
        <v>3.2549316143336902E-7</v>
      </c>
      <c r="I311" s="233">
        <v>2.3029198796794299E-9</v>
      </c>
      <c r="J311" s="236">
        <v>12</v>
      </c>
      <c r="K311" s="236">
        <v>1</v>
      </c>
      <c r="L311" s="232">
        <v>0.2</v>
      </c>
      <c r="M311" s="232">
        <v>10</v>
      </c>
      <c r="N311" s="229">
        <f t="shared" si="182"/>
        <v>100.03294061400001</v>
      </c>
      <c r="O311" s="234">
        <f t="shared" si="183"/>
        <v>-0.30387442856410796</v>
      </c>
      <c r="P311" s="234">
        <f t="shared" si="184"/>
        <v>-0.24115462551899858</v>
      </c>
      <c r="Q311" s="232"/>
      <c r="R311" s="234">
        <f t="shared" si="185"/>
        <v>6.5077195458915641E-3</v>
      </c>
      <c r="S311" s="234">
        <f t="shared" si="186"/>
        <v>4.6043230670700219E-5</v>
      </c>
      <c r="T311" s="233">
        <f t="shared" si="187"/>
        <v>1.4688364392941007E-3</v>
      </c>
      <c r="U311" s="235">
        <f t="shared" si="188"/>
        <v>1.9993414046653472E-3</v>
      </c>
      <c r="V311" s="235">
        <f t="shared" si="189"/>
        <v>1.9993414046653472E-3</v>
      </c>
      <c r="W311" s="232"/>
    </row>
    <row r="312" spans="1:23" x14ac:dyDescent="0.2">
      <c r="A312">
        <v>302</v>
      </c>
      <c r="D312" s="232">
        <v>0.60028256440000005</v>
      </c>
      <c r="E312" s="233">
        <v>-1.1362602000000001E-5</v>
      </c>
      <c r="F312" s="233">
        <v>-7.1739859333333599E-6</v>
      </c>
      <c r="G312" s="233">
        <v>5.8159616038588599E-7</v>
      </c>
      <c r="H312" s="233">
        <v>4.4743267650019301E-10</v>
      </c>
      <c r="I312" s="233">
        <v>1.7012155836994999E-9</v>
      </c>
      <c r="J312" s="236">
        <v>12</v>
      </c>
      <c r="K312" s="236">
        <v>1</v>
      </c>
      <c r="L312" s="232">
        <v>0.2</v>
      </c>
      <c r="M312" s="232">
        <v>10</v>
      </c>
      <c r="N312" s="229">
        <f t="shared" si="182"/>
        <v>60.028256440000007</v>
      </c>
      <c r="O312" s="234">
        <f t="shared" si="183"/>
        <v>-0.37857511358362556</v>
      </c>
      <c r="P312" s="234">
        <f t="shared" si="184"/>
        <v>-0.23902030006498584</v>
      </c>
      <c r="Q312" s="232"/>
      <c r="R312" s="234">
        <f t="shared" si="185"/>
        <v>1.490740204814761E-5</v>
      </c>
      <c r="S312" s="234">
        <f t="shared" si="186"/>
        <v>5.668049297416841E-5</v>
      </c>
      <c r="T312" s="233">
        <f t="shared" si="187"/>
        <v>9.6887065338505761E-5</v>
      </c>
      <c r="U312" s="235">
        <f t="shared" si="188"/>
        <v>3.3317642700468218E-3</v>
      </c>
      <c r="V312" s="235">
        <f t="shared" si="189"/>
        <v>3.3317642700468218E-3</v>
      </c>
      <c r="W312" s="232"/>
    </row>
    <row r="313" spans="1:23" x14ac:dyDescent="0.2">
      <c r="A313">
        <v>303</v>
      </c>
      <c r="D313" s="232">
        <v>0.39969021253999998</v>
      </c>
      <c r="E313" s="233">
        <v>-9.3147328833333404E-6</v>
      </c>
      <c r="F313" s="233">
        <v>-4.4910062833333302E-6</v>
      </c>
      <c r="G313" s="233">
        <v>4.1185893530060203E-7</v>
      </c>
      <c r="H313" s="233">
        <v>7.7713427676215601E-8</v>
      </c>
      <c r="I313" s="233">
        <v>2.5053192445003699E-8</v>
      </c>
      <c r="J313" s="232">
        <v>11</v>
      </c>
      <c r="K313" s="232">
        <v>1</v>
      </c>
      <c r="L313" s="232">
        <v>0.2</v>
      </c>
      <c r="M313" s="232">
        <v>10</v>
      </c>
      <c r="N313" s="229">
        <f t="shared" si="182"/>
        <v>39.969021253999998</v>
      </c>
      <c r="O313" s="234">
        <f t="shared" si="183"/>
        <v>-0.46609762216287176</v>
      </c>
      <c r="P313" s="234">
        <f t="shared" si="184"/>
        <v>-0.22472435613538486</v>
      </c>
      <c r="Q313" s="232"/>
      <c r="R313" s="234">
        <f t="shared" si="185"/>
        <v>3.8886830469204063E-3</v>
      </c>
      <c r="S313" s="234">
        <f t="shared" si="186"/>
        <v>1.2536305197864428E-3</v>
      </c>
      <c r="T313" s="233">
        <f t="shared" si="187"/>
        <v>1.0304453858984206E-4</v>
      </c>
      <c r="U313" s="235">
        <f t="shared" si="188"/>
        <v>5.0038753445828888E-3</v>
      </c>
      <c r="V313" s="235">
        <f t="shared" si="189"/>
        <v>5.0038753445828888E-3</v>
      </c>
      <c r="W313" s="232"/>
    </row>
    <row r="314" spans="1:23" x14ac:dyDescent="0.2">
      <c r="A314">
        <v>304</v>
      </c>
      <c r="D314" s="232">
        <v>0.2012841735</v>
      </c>
      <c r="E314" s="233">
        <v>-5.5970863999999898E-6</v>
      </c>
      <c r="F314" s="233">
        <v>-2.1973730500000002E-6</v>
      </c>
      <c r="G314" s="233">
        <v>2.0270492460525499E-7</v>
      </c>
      <c r="H314" s="233">
        <v>3.0705886900940202E-8</v>
      </c>
      <c r="I314" s="233">
        <v>7.32323076735774E-8</v>
      </c>
      <c r="J314" s="232">
        <v>11</v>
      </c>
      <c r="K314" s="232">
        <v>1</v>
      </c>
      <c r="L314" s="232">
        <v>0.2</v>
      </c>
      <c r="M314" s="232">
        <v>10</v>
      </c>
      <c r="N314" s="229">
        <f t="shared" si="182"/>
        <v>20.128417349999999</v>
      </c>
      <c r="O314" s="234">
        <f t="shared" si="183"/>
        <v>-0.55613775317511394</v>
      </c>
      <c r="P314" s="234">
        <f t="shared" si="184"/>
        <v>-0.21833540231120066</v>
      </c>
      <c r="Q314" s="232"/>
      <c r="R314" s="234">
        <f t="shared" si="185"/>
        <v>3.0509986321344039E-3</v>
      </c>
      <c r="S314" s="234">
        <f t="shared" si="186"/>
        <v>7.2765092655014338E-3</v>
      </c>
      <c r="T314" s="233">
        <f t="shared" si="187"/>
        <v>1.007058434255165E-4</v>
      </c>
      <c r="U314" s="235">
        <f t="shared" si="188"/>
        <v>9.9362009701175064E-3</v>
      </c>
      <c r="V314" s="235">
        <f t="shared" si="189"/>
        <v>9.9362009701175064E-3</v>
      </c>
      <c r="W314" s="232"/>
    </row>
    <row r="315" spans="1:23" x14ac:dyDescent="0.2">
      <c r="A315">
        <v>305</v>
      </c>
      <c r="D315" s="232">
        <v>0.10046620316</v>
      </c>
      <c r="E315" s="233">
        <v>-3.1908316666666601E-6</v>
      </c>
      <c r="F315" s="233">
        <v>-1.049667E-6</v>
      </c>
      <c r="G315" s="233">
        <v>7.9396577766556301E-8</v>
      </c>
      <c r="H315" s="233">
        <v>2.16391127642106E-8</v>
      </c>
      <c r="I315" s="233">
        <v>1.8889243852873602E-9</v>
      </c>
      <c r="J315" s="232">
        <v>10</v>
      </c>
      <c r="K315" s="232">
        <v>1</v>
      </c>
      <c r="L315" s="232">
        <v>0.2</v>
      </c>
      <c r="M315" s="232">
        <v>10</v>
      </c>
      <c r="N315" s="229">
        <f t="shared" si="182"/>
        <v>10.046620316</v>
      </c>
      <c r="O315" s="234">
        <f t="shared" si="183"/>
        <v>-0.63520498760862298</v>
      </c>
      <c r="P315" s="234">
        <f t="shared" si="184"/>
        <v>-0.20895922548766499</v>
      </c>
      <c r="Q315" s="232"/>
      <c r="R315" s="234">
        <f t="shared" si="185"/>
        <v>4.3077397340772761E-3</v>
      </c>
      <c r="S315" s="234">
        <f t="shared" si="186"/>
        <v>3.7603180490042119E-4</v>
      </c>
      <c r="T315" s="233">
        <f t="shared" si="187"/>
        <v>7.9028146052370721E-5</v>
      </c>
      <c r="U315" s="235">
        <f t="shared" si="188"/>
        <v>1.9907192041634634E-2</v>
      </c>
      <c r="V315" s="235">
        <f t="shared" si="189"/>
        <v>1.9907192041634634E-2</v>
      </c>
      <c r="W315" s="232"/>
    </row>
    <row r="316" spans="1:23" x14ac:dyDescent="0.2">
      <c r="A316">
        <v>306</v>
      </c>
      <c r="D316" s="232">
        <v>5.0023405004000002E-2</v>
      </c>
      <c r="E316" s="233">
        <v>-1.68571026666667E-6</v>
      </c>
      <c r="F316" s="233">
        <v>-5.2822122833333405E-7</v>
      </c>
      <c r="G316" s="233">
        <v>4.1142245240969903E-8</v>
      </c>
      <c r="H316" s="233">
        <v>1.12714436560993E-7</v>
      </c>
      <c r="I316" s="233">
        <v>6.3189948630613206E-8</v>
      </c>
      <c r="J316" s="232">
        <v>9</v>
      </c>
      <c r="K316" s="232">
        <v>1</v>
      </c>
      <c r="L316" s="232">
        <v>0.2</v>
      </c>
      <c r="M316" s="232">
        <v>10</v>
      </c>
      <c r="N316" s="229">
        <f t="shared" si="182"/>
        <v>5.0023405003999999</v>
      </c>
      <c r="O316" s="234">
        <f t="shared" si="183"/>
        <v>-0.67396862190083884</v>
      </c>
      <c r="P316" s="234">
        <f t="shared" si="184"/>
        <v>-0.21118963344902097</v>
      </c>
      <c r="Q316" s="232"/>
      <c r="R316" s="234">
        <f t="shared" si="185"/>
        <v>4.506467984415697E-2</v>
      </c>
      <c r="S316" s="234">
        <f t="shared" si="186"/>
        <v>2.5264153300064391E-2</v>
      </c>
      <c r="T316" s="233">
        <f t="shared" si="187"/>
        <v>8.224599112691361E-5</v>
      </c>
      <c r="U316" s="235">
        <f t="shared" si="188"/>
        <v>3.9981284757406567E-2</v>
      </c>
      <c r="V316" s="235">
        <f t="shared" si="189"/>
        <v>3.9981284757406567E-2</v>
      </c>
      <c r="W316" s="232"/>
    </row>
    <row r="317" spans="1:23" x14ac:dyDescent="0.2">
      <c r="A317">
        <v>307</v>
      </c>
      <c r="D317" s="232">
        <v>5.0048562852000003E-2</v>
      </c>
      <c r="E317" s="233">
        <v>-1.7082917999999999E-6</v>
      </c>
      <c r="F317" s="233">
        <v>-4.9810678333333402E-7</v>
      </c>
      <c r="G317" s="233">
        <v>2.04368290258887E-8</v>
      </c>
      <c r="H317" s="233">
        <v>3.1202985195223502E-8</v>
      </c>
      <c r="I317" s="233">
        <v>4.3773164279038802E-8</v>
      </c>
      <c r="J317" s="232">
        <v>9</v>
      </c>
      <c r="K317" s="232">
        <v>1</v>
      </c>
      <c r="L317" s="232">
        <v>0.2</v>
      </c>
      <c r="M317" s="232">
        <v>10</v>
      </c>
      <c r="N317" s="229">
        <f t="shared" si="182"/>
        <v>5.0048562852000007</v>
      </c>
      <c r="O317" s="234">
        <f t="shared" si="183"/>
        <v>-0.68265368779984259</v>
      </c>
      <c r="P317" s="234">
        <f t="shared" si="184"/>
        <v>-0.19904938521663429</v>
      </c>
      <c r="Q317" s="232"/>
      <c r="R317" s="234">
        <f t="shared" si="185"/>
        <v>1.2469083393061542E-2</v>
      </c>
      <c r="S317" s="234">
        <f t="shared" si="186"/>
        <v>1.7492276215195886E-2</v>
      </c>
      <c r="T317" s="233">
        <f t="shared" si="187"/>
        <v>4.0833997743997197E-5</v>
      </c>
      <c r="U317" s="235">
        <f t="shared" si="188"/>
        <v>3.9961187415396046E-2</v>
      </c>
      <c r="V317" s="235">
        <f t="shared" si="189"/>
        <v>3.9961187415396046E-2</v>
      </c>
      <c r="W317" s="232"/>
    </row>
    <row r="318" spans="1:23" x14ac:dyDescent="0.2">
      <c r="A318">
        <v>308</v>
      </c>
      <c r="D318" s="232">
        <v>5.0069924336E-2</v>
      </c>
      <c r="E318" s="233">
        <v>-1.7295436166666699E-6</v>
      </c>
      <c r="F318" s="233">
        <v>-4.899475E-7</v>
      </c>
      <c r="G318" s="233">
        <v>3.2425303355528403E-8</v>
      </c>
      <c r="H318" s="233">
        <v>2.6496424955448698E-8</v>
      </c>
      <c r="I318" s="233">
        <v>1.7675015768498401E-8</v>
      </c>
      <c r="J318" s="232">
        <v>9</v>
      </c>
      <c r="K318" s="232">
        <v>1</v>
      </c>
      <c r="L318" s="232">
        <v>0.2</v>
      </c>
      <c r="M318" s="232">
        <v>10</v>
      </c>
      <c r="N318" s="229">
        <f t="shared" si="182"/>
        <v>5.0069924335999998</v>
      </c>
      <c r="O318" s="234">
        <f t="shared" si="183"/>
        <v>-0.69085130029770692</v>
      </c>
      <c r="P318" s="234">
        <f t="shared" si="184"/>
        <v>-0.19570530872471498</v>
      </c>
      <c r="Q318" s="232"/>
      <c r="R318" s="234">
        <f t="shared" si="185"/>
        <v>1.0583768722173967E-2</v>
      </c>
      <c r="S318" s="234">
        <f t="shared" si="186"/>
        <v>7.0601328054295306E-3</v>
      </c>
      <c r="T318" s="233">
        <f t="shared" si="187"/>
        <v>6.476004065421522E-5</v>
      </c>
      <c r="U318" s="235">
        <f t="shared" si="188"/>
        <v>3.9944138652552572E-2</v>
      </c>
      <c r="V318" s="235">
        <f t="shared" si="189"/>
        <v>3.9944138652552572E-2</v>
      </c>
      <c r="W318" s="232"/>
    </row>
    <row r="319" spans="1:23" x14ac:dyDescent="0.2">
      <c r="A319">
        <v>309</v>
      </c>
      <c r="D319" s="232">
        <v>1.3007514966E-2</v>
      </c>
      <c r="E319" s="233">
        <v>-4.68963643333333E-7</v>
      </c>
      <c r="F319" s="233">
        <v>-1.24264003833333E-7</v>
      </c>
      <c r="G319" s="233">
        <v>5.72857937146196E-8</v>
      </c>
      <c r="H319" s="233">
        <v>2.0822935210470601E-8</v>
      </c>
      <c r="I319" s="233">
        <v>2.0595499210075001E-8</v>
      </c>
      <c r="J319" s="232">
        <v>8</v>
      </c>
      <c r="K319" s="232">
        <v>1</v>
      </c>
      <c r="L319" s="232">
        <v>0.2</v>
      </c>
      <c r="M319" s="232">
        <v>10</v>
      </c>
      <c r="N319" s="229">
        <f t="shared" si="182"/>
        <v>1.3007514966</v>
      </c>
      <c r="O319" s="234">
        <f t="shared" ref="O319:O324" si="190">1000000*E319*L319/(M319*D319)</f>
        <v>-0.72106569865057957</v>
      </c>
      <c r="P319" s="234">
        <f t="shared" ref="P319:P324" si="191">1000000*F319*L319/(D319*M319)</f>
        <v>-0.19106494077945463</v>
      </c>
      <c r="Q319" s="232"/>
      <c r="R319" s="234">
        <f t="shared" si="185"/>
        <v>3.2016776863065879E-2</v>
      </c>
      <c r="S319" s="234">
        <f t="shared" si="186"/>
        <v>3.1667077476226678E-2</v>
      </c>
      <c r="T319" s="233">
        <f t="shared" si="187"/>
        <v>4.4040536462466065E-4</v>
      </c>
      <c r="U319" s="235">
        <f t="shared" si="188"/>
        <v>0.15375727071833073</v>
      </c>
      <c r="V319" s="235">
        <f t="shared" si="189"/>
        <v>0.15375727071833073</v>
      </c>
      <c r="W319" s="232"/>
    </row>
    <row r="320" spans="1:23" x14ac:dyDescent="0.2">
      <c r="A320">
        <v>310</v>
      </c>
      <c r="D320" s="232">
        <v>1.3010896706000001E-2</v>
      </c>
      <c r="E320" s="233">
        <v>-4.8182565833333297E-7</v>
      </c>
      <c r="F320" s="233">
        <v>-1.36150694333333E-7</v>
      </c>
      <c r="G320" s="233">
        <v>8.3477420516488598E-8</v>
      </c>
      <c r="H320" s="233">
        <v>3.03990089749364E-8</v>
      </c>
      <c r="I320" s="233">
        <v>2.3602186231154499E-8</v>
      </c>
      <c r="J320" s="232">
        <v>8</v>
      </c>
      <c r="K320" s="232">
        <v>1</v>
      </c>
      <c r="L320" s="232">
        <v>0.2</v>
      </c>
      <c r="M320" s="232">
        <v>10</v>
      </c>
      <c r="N320" s="229">
        <f t="shared" si="182"/>
        <v>1.3010896706000001</v>
      </c>
      <c r="O320" s="234">
        <f t="shared" si="190"/>
        <v>-0.74064942520239696</v>
      </c>
      <c r="P320" s="234">
        <f t="shared" si="191"/>
        <v>-0.20928718044552125</v>
      </c>
      <c r="Q320" s="232"/>
      <c r="R320" s="234">
        <f t="shared" si="185"/>
        <v>4.6728537873823625E-2</v>
      </c>
      <c r="S320" s="234">
        <f t="shared" si="186"/>
        <v>3.6280645007765379E-2</v>
      </c>
      <c r="T320" s="233">
        <f t="shared" si="187"/>
        <v>6.415962127959468E-4</v>
      </c>
      <c r="U320" s="235">
        <f t="shared" si="188"/>
        <v>0.15371730674625189</v>
      </c>
      <c r="V320" s="235">
        <f t="shared" si="189"/>
        <v>0.15371730674625189</v>
      </c>
      <c r="W320" s="232"/>
    </row>
    <row r="321" spans="1:23" x14ac:dyDescent="0.2">
      <c r="A321">
        <v>311</v>
      </c>
      <c r="D321" s="232">
        <v>1.3014443331999999E-2</v>
      </c>
      <c r="E321" s="233">
        <v>-4.7436241166666599E-7</v>
      </c>
      <c r="F321" s="233">
        <v>-1.18749052E-7</v>
      </c>
      <c r="G321" s="233">
        <v>3.5653226840855497E-8</v>
      </c>
      <c r="H321" s="233">
        <v>2.3862007258168E-8</v>
      </c>
      <c r="I321" s="233">
        <v>1.8608415782019099E-8</v>
      </c>
      <c r="J321" s="232">
        <v>7</v>
      </c>
      <c r="K321" s="232">
        <v>1</v>
      </c>
      <c r="L321" s="232">
        <v>0.2</v>
      </c>
      <c r="M321" s="232">
        <v>10</v>
      </c>
      <c r="N321" s="229">
        <f t="shared" si="182"/>
        <v>1.3014443331999999</v>
      </c>
      <c r="O321" s="234">
        <f t="shared" si="190"/>
        <v>-0.72897841200829627</v>
      </c>
      <c r="P321" s="234">
        <f t="shared" si="191"/>
        <v>-0.18248810029088075</v>
      </c>
      <c r="Q321" s="232"/>
      <c r="R321" s="234">
        <f t="shared" si="185"/>
        <v>3.66700390473036E-2</v>
      </c>
      <c r="S321" s="234">
        <f t="shared" si="186"/>
        <v>2.8596560463350136E-2</v>
      </c>
      <c r="T321" s="233">
        <f t="shared" si="187"/>
        <v>2.7395122427703925E-4</v>
      </c>
      <c r="U321" s="235">
        <f t="shared" si="188"/>
        <v>0.15367541653375116</v>
      </c>
      <c r="V321" s="235">
        <f t="shared" si="189"/>
        <v>0.15367541653375116</v>
      </c>
      <c r="W321" s="232"/>
    </row>
    <row r="322" spans="1:23" x14ac:dyDescent="0.2">
      <c r="A322">
        <v>312</v>
      </c>
      <c r="D322" s="232">
        <v>1.301970608E-2</v>
      </c>
      <c r="E322" s="233">
        <v>-4.7318054999999999E-7</v>
      </c>
      <c r="F322" s="233">
        <v>-1.20789908333333E-7</v>
      </c>
      <c r="G322" s="233">
        <v>1.08467069235045E-7</v>
      </c>
      <c r="H322" s="233">
        <v>2.6151741097503099E-8</v>
      </c>
      <c r="I322" s="233">
        <v>1.7502757340461101E-8</v>
      </c>
      <c r="J322" s="232">
        <v>7</v>
      </c>
      <c r="K322" s="232">
        <v>1</v>
      </c>
      <c r="L322" s="232">
        <v>0.2</v>
      </c>
      <c r="M322" s="232">
        <v>10</v>
      </c>
      <c r="N322" s="229">
        <f t="shared" si="182"/>
        <v>1.301970608</v>
      </c>
      <c r="O322" s="234">
        <f t="shared" si="190"/>
        <v>-0.72686825200588545</v>
      </c>
      <c r="P322" s="234">
        <f t="shared" si="191"/>
        <v>-0.18554936277537382</v>
      </c>
      <c r="Q322" s="232"/>
      <c r="R322" s="234">
        <f t="shared" si="185"/>
        <v>4.0172552186374853E-2</v>
      </c>
      <c r="S322" s="234">
        <f t="shared" si="186"/>
        <v>2.6886562926866163E-2</v>
      </c>
      <c r="T322" s="233">
        <f t="shared" si="187"/>
        <v>8.3309921567019732E-4</v>
      </c>
      <c r="U322" s="235">
        <f t="shared" si="188"/>
        <v>0.15361329877271701</v>
      </c>
      <c r="V322" s="235">
        <f t="shared" si="189"/>
        <v>0.15361329877271701</v>
      </c>
      <c r="W322" s="232"/>
    </row>
    <row r="323" spans="1:23" x14ac:dyDescent="0.2">
      <c r="A323">
        <v>313</v>
      </c>
      <c r="D323" s="232">
        <v>1.3017963174000001E-2</v>
      </c>
      <c r="E323" s="233">
        <v>-4.6957930500000002E-7</v>
      </c>
      <c r="F323" s="233">
        <v>-1.3318040333333299E-7</v>
      </c>
      <c r="G323" s="233">
        <v>6.5506586882011503E-8</v>
      </c>
      <c r="H323" s="233">
        <v>2.43872178395153E-8</v>
      </c>
      <c r="I323" s="233">
        <v>2.4430534738324E-8</v>
      </c>
      <c r="J323" s="232">
        <v>7</v>
      </c>
      <c r="K323" s="232">
        <v>1</v>
      </c>
      <c r="L323" s="232">
        <v>0.2</v>
      </c>
      <c r="M323" s="232">
        <v>10</v>
      </c>
      <c r="N323" s="229">
        <f t="shared" si="182"/>
        <v>1.3017963174</v>
      </c>
      <c r="O323" s="234">
        <f t="shared" si="190"/>
        <v>-0.72143283664815205</v>
      </c>
      <c r="P323" s="234">
        <f t="shared" si="191"/>
        <v>-0.20461020138592231</v>
      </c>
      <c r="Q323" s="232"/>
      <c r="R323" s="234">
        <f t="shared" si="185"/>
        <v>3.7467025391840769E-2</v>
      </c>
      <c r="S323" s="234">
        <f t="shared" si="186"/>
        <v>3.7533574817783549E-2</v>
      </c>
      <c r="T323" s="233">
        <f t="shared" si="187"/>
        <v>5.0320150707480792E-4</v>
      </c>
      <c r="U323" s="235">
        <f t="shared" si="188"/>
        <v>0.1536338652420281</v>
      </c>
      <c r="V323" s="235">
        <f t="shared" si="189"/>
        <v>0.1536338652420281</v>
      </c>
      <c r="W323" s="232"/>
    </row>
    <row r="324" spans="1:23" x14ac:dyDescent="0.2">
      <c r="A324">
        <v>314</v>
      </c>
      <c r="D324" s="232">
        <v>1.302599498E-2</v>
      </c>
      <c r="E324" s="233">
        <v>-4.68340236666667E-7</v>
      </c>
      <c r="F324" s="233">
        <v>-1.2712171083333301E-7</v>
      </c>
      <c r="G324" s="233">
        <v>7.1406435509861001E-8</v>
      </c>
      <c r="H324" s="233">
        <v>2.9203426832376899E-8</v>
      </c>
      <c r="I324" s="233">
        <v>2.7194917128697001E-8</v>
      </c>
      <c r="J324" s="232">
        <v>7</v>
      </c>
      <c r="K324" s="232">
        <v>1</v>
      </c>
      <c r="L324" s="232">
        <v>0.2</v>
      </c>
      <c r="M324" s="232">
        <v>10</v>
      </c>
      <c r="N324" s="229">
        <f t="shared" si="182"/>
        <v>1.302599498</v>
      </c>
      <c r="O324" s="234">
        <f t="shared" si="190"/>
        <v>-0.71908554760807541</v>
      </c>
      <c r="P324" s="234">
        <f t="shared" si="191"/>
        <v>-0.19518157504054715</v>
      </c>
      <c r="Q324" s="232"/>
      <c r="R324" s="234">
        <f t="shared" si="185"/>
        <v>4.4838688909700317E-2</v>
      </c>
      <c r="S324" s="234">
        <f t="shared" si="186"/>
        <v>4.1754840486967544E-2</v>
      </c>
      <c r="T324" s="233">
        <f t="shared" si="187"/>
        <v>5.4818411660297604E-4</v>
      </c>
      <c r="U324" s="235">
        <f t="shared" si="188"/>
        <v>0.15353913486614904</v>
      </c>
      <c r="V324" s="235">
        <f t="shared" si="189"/>
        <v>0.15353913486614904</v>
      </c>
      <c r="W324" s="232"/>
    </row>
    <row r="325" spans="1:23" x14ac:dyDescent="0.2">
      <c r="A325">
        <v>315</v>
      </c>
      <c r="C325" s="232" t="s">
        <v>576</v>
      </c>
    </row>
    <row r="326" spans="1:23" x14ac:dyDescent="0.2">
      <c r="A326">
        <v>316</v>
      </c>
      <c r="C326" s="232" t="s">
        <v>578</v>
      </c>
    </row>
    <row r="327" spans="1:23" x14ac:dyDescent="0.2">
      <c r="A327">
        <v>317</v>
      </c>
      <c r="E327" s="1"/>
      <c r="F327" s="1"/>
      <c r="G327" s="1"/>
      <c r="H327" s="1"/>
      <c r="I327" s="1"/>
      <c r="N327" s="2"/>
      <c r="O327" s="216"/>
      <c r="P327" s="216"/>
      <c r="R327" s="216"/>
      <c r="S327" s="216"/>
      <c r="T327" s="1"/>
      <c r="U327" s="3"/>
      <c r="V327" s="3"/>
    </row>
    <row r="328" spans="1:23" x14ac:dyDescent="0.2">
      <c r="A328">
        <v>318</v>
      </c>
      <c r="B328" s="5" t="s">
        <v>34</v>
      </c>
      <c r="C328" s="5" t="s">
        <v>42</v>
      </c>
      <c r="D328" s="13" t="s">
        <v>2</v>
      </c>
      <c r="E328" s="14" t="s">
        <v>5</v>
      </c>
      <c r="F328" s="14" t="s">
        <v>6</v>
      </c>
      <c r="G328" s="14" t="s">
        <v>8</v>
      </c>
      <c r="H328" s="14" t="s">
        <v>10</v>
      </c>
      <c r="I328" s="14" t="s">
        <v>11</v>
      </c>
      <c r="J328" s="14" t="s">
        <v>523</v>
      </c>
      <c r="K328" s="14" t="s">
        <v>523</v>
      </c>
      <c r="R328" s="5" t="s">
        <v>15</v>
      </c>
      <c r="S328" s="5" t="s">
        <v>15</v>
      </c>
      <c r="T328" s="5" t="s">
        <v>15</v>
      </c>
      <c r="U328" s="5" t="s">
        <v>358</v>
      </c>
      <c r="V328" s="5" t="s">
        <v>358</v>
      </c>
    </row>
    <row r="329" spans="1:23" x14ac:dyDescent="0.2">
      <c r="A329">
        <v>319</v>
      </c>
      <c r="D329" s="13" t="s">
        <v>7</v>
      </c>
      <c r="E329" s="14" t="s">
        <v>12</v>
      </c>
      <c r="F329" s="14" t="s">
        <v>12</v>
      </c>
      <c r="G329" s="14" t="s">
        <v>9</v>
      </c>
      <c r="H329" s="14" t="s">
        <v>12</v>
      </c>
      <c r="I329" s="14" t="s">
        <v>12</v>
      </c>
      <c r="J329" s="14" t="s">
        <v>524</v>
      </c>
      <c r="K329" s="14" t="s">
        <v>525</v>
      </c>
      <c r="L329" s="5" t="s">
        <v>2</v>
      </c>
      <c r="M329" s="5" t="s">
        <v>3</v>
      </c>
      <c r="N329" s="5" t="s">
        <v>4</v>
      </c>
      <c r="O329" s="5" t="s">
        <v>0</v>
      </c>
      <c r="P329" s="5" t="s">
        <v>1</v>
      </c>
      <c r="R329" s="5" t="s">
        <v>5</v>
      </c>
      <c r="S329" s="5" t="s">
        <v>6</v>
      </c>
      <c r="T329" s="5" t="s">
        <v>14</v>
      </c>
      <c r="U329" s="5" t="s">
        <v>5</v>
      </c>
      <c r="V329" s="5" t="s">
        <v>6</v>
      </c>
    </row>
    <row r="330" spans="1:23" x14ac:dyDescent="0.2">
      <c r="A330">
        <v>320</v>
      </c>
      <c r="B330" s="4">
        <v>41352</v>
      </c>
      <c r="C330" s="8" t="s">
        <v>13</v>
      </c>
      <c r="D330">
        <v>1.1994934799999999</v>
      </c>
      <c r="E330" s="1">
        <v>-1.31727945000001E-5</v>
      </c>
      <c r="F330" s="1">
        <v>-1.2455668000000001E-5</v>
      </c>
      <c r="G330" s="1">
        <v>2.1393031775693802E-6</v>
      </c>
      <c r="H330" s="1">
        <v>2.7589807900753399E-10</v>
      </c>
      <c r="I330" s="1">
        <v>3.2963115386747001E-8</v>
      </c>
      <c r="J330">
        <v>12</v>
      </c>
      <c r="K330">
        <v>1</v>
      </c>
      <c r="L330">
        <v>0.2</v>
      </c>
      <c r="M330">
        <v>10</v>
      </c>
      <c r="N330" s="2">
        <f t="shared" ref="N330:N339" si="192">100*D330/(L330*5)</f>
        <v>119.94934799999999</v>
      </c>
      <c r="O330" s="216">
        <f t="shared" ref="O330:O339" si="193">1000000*E330*L330/(M330*D330)</f>
        <v>-0.21963928474209132</v>
      </c>
      <c r="P330" s="216">
        <f t="shared" ref="P330:P339" si="194">1000000*F330*L330/(D330*M330)</f>
        <v>-0.20768212929344146</v>
      </c>
      <c r="Q330" s="216"/>
      <c r="R330" s="216">
        <f t="shared" ref="R330:R339" si="195">1000000*L330*H330/(M330*D330)</f>
        <v>4.6002430793960469E-6</v>
      </c>
      <c r="S330" s="216">
        <f t="shared" ref="S330:S339" si="196">1000000*L330*I330/(M330*D330)</f>
        <v>5.496172498869607E-4</v>
      </c>
      <c r="T330" s="1">
        <f t="shared" ref="T330:T339" si="197">G330*100/D330</f>
        <v>1.7835054656315267E-4</v>
      </c>
      <c r="U330" s="3">
        <f t="shared" ref="U330:U339" si="198">Comode_std*L330/(M330*D330)</f>
        <v>1.6673704637394115E-3</v>
      </c>
      <c r="V330" s="3">
        <f t="shared" ref="V330:V339" si="199">Comode_std*L330/(M330*D330)</f>
        <v>1.6673704637394115E-3</v>
      </c>
    </row>
    <row r="331" spans="1:23" x14ac:dyDescent="0.2">
      <c r="A331">
        <v>321</v>
      </c>
      <c r="D331">
        <v>1.0003655934</v>
      </c>
      <c r="E331" s="1">
        <v>-1.18499233333333E-5</v>
      </c>
      <c r="F331" s="1">
        <v>-1.03809538333333E-5</v>
      </c>
      <c r="G331" s="1">
        <v>1.86694924077333E-6</v>
      </c>
      <c r="H331" s="1">
        <v>1.3302401282809401E-7</v>
      </c>
      <c r="I331" s="1">
        <v>1.23216015147746E-9</v>
      </c>
      <c r="J331">
        <v>12</v>
      </c>
      <c r="K331">
        <v>1</v>
      </c>
      <c r="L331">
        <v>0.2</v>
      </c>
      <c r="M331">
        <v>10</v>
      </c>
      <c r="N331" s="2">
        <f t="shared" si="192"/>
        <v>100.03655934</v>
      </c>
      <c r="O331" s="216">
        <f t="shared" si="193"/>
        <v>-0.23691185325673361</v>
      </c>
      <c r="P331" s="216">
        <f t="shared" si="194"/>
        <v>-0.20754320024244249</v>
      </c>
      <c r="Q331" s="216"/>
      <c r="R331" s="216">
        <f t="shared" si="195"/>
        <v>2.6595079580051862E-3</v>
      </c>
      <c r="S331" s="216">
        <f t="shared" si="196"/>
        <v>2.4634196929737391E-5</v>
      </c>
      <c r="T331" s="1">
        <f t="shared" si="197"/>
        <v>1.8662669458952726E-4</v>
      </c>
      <c r="U331" s="3">
        <f t="shared" si="198"/>
        <v>1.9992690804193753E-3</v>
      </c>
      <c r="V331" s="3">
        <f t="shared" si="199"/>
        <v>1.9992690804193753E-3</v>
      </c>
    </row>
    <row r="332" spans="1:23" x14ac:dyDescent="0.2">
      <c r="A332">
        <v>322</v>
      </c>
      <c r="D332">
        <v>0.60037394791999998</v>
      </c>
      <c r="E332" s="1">
        <v>-9.6866216666666803E-6</v>
      </c>
      <c r="F332" s="1">
        <v>-5.5879600000000697E-6</v>
      </c>
      <c r="G332" s="1">
        <v>7.2795561010460801E-7</v>
      </c>
      <c r="H332" s="1">
        <v>4.7376396959761701E-9</v>
      </c>
      <c r="I332" s="1">
        <v>7.4538899358378406E-20</v>
      </c>
      <c r="J332">
        <v>12</v>
      </c>
      <c r="K332">
        <v>1</v>
      </c>
      <c r="L332">
        <v>0.2</v>
      </c>
      <c r="M332">
        <v>10</v>
      </c>
      <c r="N332" s="2">
        <f t="shared" si="192"/>
        <v>60.037394792000001</v>
      </c>
      <c r="O332" s="216">
        <f t="shared" si="193"/>
        <v>-0.32268627578615139</v>
      </c>
      <c r="P332" s="216">
        <f t="shared" si="194"/>
        <v>-0.18614931641719629</v>
      </c>
      <c r="Q332" s="216"/>
      <c r="R332" s="216">
        <f t="shared" si="195"/>
        <v>1.5782296058613996E-4</v>
      </c>
      <c r="S332" s="216">
        <f t="shared" si="196"/>
        <v>2.4830824061110235E-15</v>
      </c>
      <c r="T332" s="1">
        <f t="shared" si="197"/>
        <v>1.2125036614706813E-4</v>
      </c>
      <c r="U332" s="3">
        <f t="shared" si="198"/>
        <v>3.3312571388698915E-3</v>
      </c>
      <c r="V332" s="3">
        <f t="shared" si="199"/>
        <v>3.3312571388698915E-3</v>
      </c>
    </row>
    <row r="333" spans="1:23" x14ac:dyDescent="0.2">
      <c r="A333">
        <v>323</v>
      </c>
      <c r="D333">
        <v>0.40069161024</v>
      </c>
      <c r="E333" s="1">
        <v>-7.8057598166666503E-6</v>
      </c>
      <c r="F333" s="1">
        <v>-3.5402547833333301E-6</v>
      </c>
      <c r="G333" s="1">
        <v>3.9218283598983801E-7</v>
      </c>
      <c r="H333" s="1">
        <v>2.4885604040617299E-8</v>
      </c>
      <c r="I333" s="1">
        <v>4.9131370337966203E-8</v>
      </c>
      <c r="J333">
        <v>11</v>
      </c>
      <c r="K333">
        <v>1</v>
      </c>
      <c r="L333">
        <v>0.2</v>
      </c>
      <c r="M333">
        <v>10</v>
      </c>
      <c r="N333" s="2">
        <f t="shared" si="192"/>
        <v>40.069161023999996</v>
      </c>
      <c r="O333" s="216">
        <f t="shared" si="193"/>
        <v>-0.38961433766937514</v>
      </c>
      <c r="P333" s="216">
        <f t="shared" si="194"/>
        <v>-0.17670720788053654</v>
      </c>
      <c r="Q333" s="216"/>
      <c r="R333" s="216">
        <f t="shared" si="195"/>
        <v>1.2421325230998327E-3</v>
      </c>
      <c r="S333" s="216">
        <f t="shared" si="196"/>
        <v>2.4523283783525322E-3</v>
      </c>
      <c r="T333" s="1">
        <f t="shared" si="197"/>
        <v>9.787647806125376E-5</v>
      </c>
      <c r="U333" s="3">
        <f t="shared" si="198"/>
        <v>4.9913697938473722E-3</v>
      </c>
      <c r="V333" s="3">
        <f t="shared" si="199"/>
        <v>4.9913697938473722E-3</v>
      </c>
    </row>
    <row r="334" spans="1:23" x14ac:dyDescent="0.2">
      <c r="A334">
        <v>324</v>
      </c>
      <c r="D334">
        <v>0.20017243256</v>
      </c>
      <c r="E334" s="1">
        <v>-4.5092372833333403E-6</v>
      </c>
      <c r="F334" s="1">
        <v>-1.74354431666666E-6</v>
      </c>
      <c r="G334" s="1">
        <v>2.3261028877125799E-7</v>
      </c>
      <c r="H334" s="1">
        <v>6.3426459347070002E-9</v>
      </c>
      <c r="I334" s="1">
        <v>1.38542864596326E-9</v>
      </c>
      <c r="J334">
        <v>10</v>
      </c>
      <c r="K334">
        <v>1</v>
      </c>
      <c r="L334">
        <v>0.2</v>
      </c>
      <c r="M334">
        <v>10</v>
      </c>
      <c r="N334" s="2">
        <f t="shared" si="192"/>
        <v>20.017243256</v>
      </c>
      <c r="O334" s="216">
        <f t="shared" si="193"/>
        <v>-0.45053529356313682</v>
      </c>
      <c r="P334" s="216">
        <f t="shared" si="194"/>
        <v>-0.17420423925198064</v>
      </c>
      <c r="Q334" s="216"/>
      <c r="R334" s="216">
        <f t="shared" si="195"/>
        <v>6.3371822519125813E-4</v>
      </c>
      <c r="S334" s="216">
        <f t="shared" si="196"/>
        <v>1.3842352098588693E-4</v>
      </c>
      <c r="T334" s="1">
        <f t="shared" si="197"/>
        <v>1.1620495679470499E-4</v>
      </c>
      <c r="U334" s="3">
        <f t="shared" si="198"/>
        <v>9.9913857988437899E-3</v>
      </c>
      <c r="V334" s="3">
        <f t="shared" si="199"/>
        <v>9.9913857988437899E-3</v>
      </c>
    </row>
    <row r="335" spans="1:23" x14ac:dyDescent="0.2">
      <c r="A335">
        <v>325</v>
      </c>
      <c r="D335">
        <v>0.10026776462000001</v>
      </c>
      <c r="E335" s="1">
        <v>-2.4937842166666701E-6</v>
      </c>
      <c r="F335" s="1">
        <v>-8.3418796666666698E-7</v>
      </c>
      <c r="G335" s="1">
        <v>1.0076749870153401E-7</v>
      </c>
      <c r="H335" s="1">
        <v>1.37461645855804E-7</v>
      </c>
      <c r="I335" s="1">
        <v>7.20886190897395E-8</v>
      </c>
      <c r="J335">
        <v>10</v>
      </c>
      <c r="K335">
        <v>1</v>
      </c>
      <c r="L335">
        <v>0.2</v>
      </c>
      <c r="M335">
        <v>10</v>
      </c>
      <c r="N335" s="2">
        <f t="shared" si="192"/>
        <v>10.026776462000001</v>
      </c>
      <c r="O335" s="216">
        <f t="shared" si="193"/>
        <v>-0.49742491539883105</v>
      </c>
      <c r="P335" s="216">
        <f t="shared" si="194"/>
        <v>-0.16639205428147641</v>
      </c>
      <c r="Q335" s="216"/>
      <c r="R335" s="216">
        <f t="shared" si="195"/>
        <v>2.7418911028237902E-2</v>
      </c>
      <c r="S335" s="216">
        <f t="shared" si="196"/>
        <v>1.437922135053967E-2</v>
      </c>
      <c r="T335" s="1">
        <f t="shared" si="197"/>
        <v>1.0049839954388924E-4</v>
      </c>
      <c r="U335" s="3">
        <f t="shared" si="198"/>
        <v>1.994659008884565E-2</v>
      </c>
      <c r="V335" s="3">
        <f t="shared" si="199"/>
        <v>1.994659008884565E-2</v>
      </c>
    </row>
    <row r="336" spans="1:23" x14ac:dyDescent="0.2">
      <c r="A336">
        <v>326</v>
      </c>
      <c r="D336">
        <v>5.0416513269999998E-2</v>
      </c>
      <c r="E336" s="1">
        <v>-1.3327521666666599E-6</v>
      </c>
      <c r="F336" s="1">
        <v>-4.3768592666666601E-7</v>
      </c>
      <c r="G336" s="1">
        <v>3.6831218134069299E-8</v>
      </c>
      <c r="H336" s="1">
        <v>1.4494697523769E-8</v>
      </c>
      <c r="I336" s="1">
        <v>8.7441098110645704E-9</v>
      </c>
      <c r="J336">
        <v>9</v>
      </c>
      <c r="K336">
        <v>1</v>
      </c>
      <c r="L336">
        <v>0.2</v>
      </c>
      <c r="M336">
        <v>10</v>
      </c>
      <c r="N336" s="2">
        <f t="shared" si="192"/>
        <v>5.0416513269999994</v>
      </c>
      <c r="O336" s="216">
        <f t="shared" si="193"/>
        <v>-0.52869668298132988</v>
      </c>
      <c r="P336" s="216">
        <f t="shared" si="194"/>
        <v>-0.17362800331815414</v>
      </c>
      <c r="Q336" s="216"/>
      <c r="R336" s="216">
        <f t="shared" si="195"/>
        <v>5.7499801488231717E-3</v>
      </c>
      <c r="S336" s="216">
        <f t="shared" si="196"/>
        <v>3.4687483302292123E-3</v>
      </c>
      <c r="T336" s="1">
        <f t="shared" si="197"/>
        <v>7.3053878075272344E-5</v>
      </c>
      <c r="U336" s="3">
        <f t="shared" si="198"/>
        <v>3.9669542185299965E-2</v>
      </c>
      <c r="V336" s="3">
        <f t="shared" si="199"/>
        <v>3.9669542185299965E-2</v>
      </c>
    </row>
    <row r="337" spans="1:22" x14ac:dyDescent="0.2">
      <c r="A337">
        <v>327</v>
      </c>
      <c r="D337">
        <v>1.6803832452000001E-2</v>
      </c>
      <c r="E337" s="1">
        <v>-4.48639885166667E-7</v>
      </c>
      <c r="F337" s="1">
        <v>-1.5051960900000001E-7</v>
      </c>
      <c r="G337" s="1">
        <v>5.67125149890297E-8</v>
      </c>
      <c r="H337" s="1">
        <v>8.88978296325982E-8</v>
      </c>
      <c r="I337" s="1">
        <v>9.2611810651252394E-8</v>
      </c>
      <c r="J337">
        <v>8</v>
      </c>
      <c r="K337">
        <v>1</v>
      </c>
      <c r="L337">
        <v>0.2</v>
      </c>
      <c r="M337">
        <v>10</v>
      </c>
      <c r="N337" s="2">
        <f t="shared" si="192"/>
        <v>1.6803832452</v>
      </c>
      <c r="O337" s="216">
        <f t="shared" si="193"/>
        <v>-0.53397329025768725</v>
      </c>
      <c r="P337" s="216">
        <f t="shared" si="194"/>
        <v>-0.17914914282793279</v>
      </c>
      <c r="Q337" s="216"/>
      <c r="R337" s="216">
        <f t="shared" si="195"/>
        <v>0.10580661273139216</v>
      </c>
      <c r="S337" s="216">
        <f t="shared" si="196"/>
        <v>0.11022701031541134</v>
      </c>
      <c r="T337" s="1">
        <f t="shared" si="197"/>
        <v>3.3749750332865135E-4</v>
      </c>
      <c r="U337" s="3">
        <f t="shared" si="198"/>
        <v>0.11902046784345076</v>
      </c>
      <c r="V337" s="3">
        <f t="shared" si="199"/>
        <v>0.11902046784345076</v>
      </c>
    </row>
    <row r="338" spans="1:22" x14ac:dyDescent="0.2">
      <c r="A338">
        <v>328</v>
      </c>
      <c r="D338">
        <v>1.6803898944000001E-2</v>
      </c>
      <c r="E338" s="1">
        <v>-4.7054649499999998E-7</v>
      </c>
      <c r="F338" s="1">
        <v>-1.2302655500000001E-7</v>
      </c>
      <c r="G338" s="1">
        <v>9.6004715019012796E-8</v>
      </c>
      <c r="H338" s="1">
        <v>1.92364535708459E-8</v>
      </c>
      <c r="I338" s="1">
        <v>2.0885130175926801E-8</v>
      </c>
      <c r="J338">
        <v>7</v>
      </c>
      <c r="K338">
        <v>1</v>
      </c>
      <c r="L338">
        <v>0.2</v>
      </c>
      <c r="M338">
        <v>10</v>
      </c>
      <c r="N338" s="2">
        <f t="shared" si="192"/>
        <v>1.6803898944000002</v>
      </c>
      <c r="O338" s="216">
        <f t="shared" si="193"/>
        <v>-0.56004442369967156</v>
      </c>
      <c r="P338" s="216">
        <f t="shared" si="194"/>
        <v>-0.14642620193086542</v>
      </c>
      <c r="Q338" s="216"/>
      <c r="R338" s="216">
        <f t="shared" si="195"/>
        <v>2.2895226441140278E-2</v>
      </c>
      <c r="S338" s="216">
        <f t="shared" si="196"/>
        <v>2.4857481285180002E-2</v>
      </c>
      <c r="T338" s="1">
        <f t="shared" si="197"/>
        <v>5.7132404413377076E-4</v>
      </c>
      <c r="U338" s="3">
        <f t="shared" si="198"/>
        <v>0.11901999688674159</v>
      </c>
      <c r="V338" s="3">
        <f t="shared" si="199"/>
        <v>0.11901999688674159</v>
      </c>
    </row>
    <row r="339" spans="1:22" x14ac:dyDescent="0.2">
      <c r="A339">
        <v>329</v>
      </c>
      <c r="D339">
        <v>1.6821431596000001E-2</v>
      </c>
      <c r="E339" s="1">
        <v>-4.6031097E-7</v>
      </c>
      <c r="F339" s="1">
        <v>-1.2639210633333301E-7</v>
      </c>
      <c r="G339" s="1">
        <v>6.8134768367331494E-8</v>
      </c>
      <c r="H339" s="1">
        <v>1.9864373136323701E-8</v>
      </c>
      <c r="I339" s="1">
        <v>1.9524172116213399E-8</v>
      </c>
      <c r="J339">
        <v>7</v>
      </c>
      <c r="K339">
        <v>1</v>
      </c>
      <c r="L339">
        <v>0.2</v>
      </c>
      <c r="M339">
        <v>10</v>
      </c>
      <c r="N339" s="2">
        <f t="shared" si="192"/>
        <v>1.6821431596</v>
      </c>
      <c r="O339" s="216">
        <f t="shared" si="193"/>
        <v>-0.54729107611680117</v>
      </c>
      <c r="P339" s="216">
        <f t="shared" si="194"/>
        <v>-0.15027508879016935</v>
      </c>
      <c r="Q339" s="216"/>
      <c r="R339" s="216">
        <f t="shared" si="195"/>
        <v>2.3617934089566181E-2</v>
      </c>
      <c r="S339" s="216">
        <f t="shared" si="196"/>
        <v>2.3213448872991392E-2</v>
      </c>
      <c r="T339" s="1">
        <f t="shared" si="197"/>
        <v>4.0504738243285661E-4</v>
      </c>
      <c r="U339" s="3">
        <f t="shared" si="198"/>
        <v>0.11889594465167781</v>
      </c>
      <c r="V339" s="3">
        <f t="shared" si="199"/>
        <v>0.11889594465167781</v>
      </c>
    </row>
    <row r="340" spans="1:22" x14ac:dyDescent="0.2">
      <c r="A340">
        <v>330</v>
      </c>
    </row>
    <row r="341" spans="1:22" x14ac:dyDescent="0.2">
      <c r="A341">
        <v>331</v>
      </c>
      <c r="C341" s="8" t="s">
        <v>560</v>
      </c>
      <c r="D341">
        <v>1.1988964771999999</v>
      </c>
      <c r="E341" s="1">
        <v>-1.48523244999999E-5</v>
      </c>
      <c r="F341" s="1">
        <v>-1.36847861666667E-5</v>
      </c>
      <c r="G341" s="1">
        <v>1.9556888677949998E-6</v>
      </c>
      <c r="H341" s="1">
        <v>4.4927691906008801E-10</v>
      </c>
      <c r="I341" s="1">
        <v>8.7567362786060494E-8</v>
      </c>
      <c r="J341" s="217">
        <v>12</v>
      </c>
      <c r="K341" s="217">
        <v>1</v>
      </c>
      <c r="L341">
        <v>0.2</v>
      </c>
      <c r="M341">
        <v>10</v>
      </c>
      <c r="N341" s="2">
        <f t="shared" ref="N341:N350" si="200">100*D341/(L341*5)</f>
        <v>119.88964772</v>
      </c>
      <c r="O341" s="216">
        <f t="shared" ref="O341:O350" si="201">1000000*E341*L341/(M341*D341)</f>
        <v>-0.24776658839947924</v>
      </c>
      <c r="P341" s="216">
        <f t="shared" ref="P341:P350" si="202">1000000*F341*L341/(D341*M341)</f>
        <v>-0.22828970519001376</v>
      </c>
      <c r="R341" s="216">
        <f t="shared" ref="R341:R350" si="203">1000000*L341*H341/(M341*D341)</f>
        <v>7.4948409242033273E-6</v>
      </c>
      <c r="S341" s="216">
        <f t="shared" ref="S341:S350" si="204">1000000*L341*I341/(M341*D341)</f>
        <v>1.4607994009720074E-3</v>
      </c>
      <c r="T341" s="1">
        <f t="shared" ref="T341:T350" si="205">G341*100/D341</f>
        <v>1.6312408160231435E-4</v>
      </c>
      <c r="U341" s="3">
        <f t="shared" ref="U341:U350" si="206">Comode_std*L341/(M341*D341)</f>
        <v>1.668200747966966E-3</v>
      </c>
      <c r="V341" s="3">
        <f t="shared" ref="V341:V350" si="207">Comode_std*L341/(M341*D341)</f>
        <v>1.668200747966966E-3</v>
      </c>
    </row>
    <row r="342" spans="1:22" x14ac:dyDescent="0.2">
      <c r="A342">
        <v>332</v>
      </c>
      <c r="D342">
        <v>1.0016697738</v>
      </c>
      <c r="E342" s="1">
        <v>-1.3488232833333401E-5</v>
      </c>
      <c r="F342" s="1">
        <v>-1.17286611666667E-5</v>
      </c>
      <c r="G342" s="1">
        <v>3.89641318261105E-7</v>
      </c>
      <c r="H342" s="1">
        <v>3.1571078093283802E-8</v>
      </c>
      <c r="I342" s="1">
        <v>6.9746776809437897E-8</v>
      </c>
      <c r="J342" s="217">
        <v>12</v>
      </c>
      <c r="K342" s="217">
        <v>1</v>
      </c>
      <c r="L342">
        <v>0.2</v>
      </c>
      <c r="M342">
        <v>10</v>
      </c>
      <c r="N342" s="2">
        <f t="shared" si="200"/>
        <v>100.16697738000001</v>
      </c>
      <c r="O342" s="216">
        <f t="shared" si="201"/>
        <v>-0.26931496159984064</v>
      </c>
      <c r="P342" s="216">
        <f t="shared" si="202"/>
        <v>-0.23418219204463134</v>
      </c>
      <c r="R342" s="216">
        <f t="shared" si="203"/>
        <v>6.3036898824477244E-4</v>
      </c>
      <c r="S342" s="216">
        <f t="shared" si="204"/>
        <v>1.3926101921762492E-3</v>
      </c>
      <c r="T342" s="1">
        <f t="shared" si="205"/>
        <v>3.8899178996181167E-5</v>
      </c>
      <c r="U342" s="3">
        <f t="shared" si="206"/>
        <v>1.9966660193934671E-3</v>
      </c>
      <c r="V342" s="3">
        <f t="shared" si="207"/>
        <v>1.9966660193934671E-3</v>
      </c>
    </row>
    <row r="343" spans="1:22" x14ac:dyDescent="0.2">
      <c r="A343">
        <v>333</v>
      </c>
      <c r="D343">
        <v>0.60029752709999995</v>
      </c>
      <c r="E343" s="1">
        <v>-1.12126176666667E-5</v>
      </c>
      <c r="F343" s="1">
        <v>-6.9737919666666504E-6</v>
      </c>
      <c r="G343" s="1">
        <v>5.2410587314674603E-7</v>
      </c>
      <c r="H343" s="1">
        <v>3.6977657955702002E-8</v>
      </c>
      <c r="I343" s="1">
        <v>8.5481356329255306E-9</v>
      </c>
      <c r="J343">
        <v>12</v>
      </c>
      <c r="K343">
        <v>1</v>
      </c>
      <c r="L343">
        <v>0.2</v>
      </c>
      <c r="M343">
        <v>10</v>
      </c>
      <c r="N343" s="2">
        <f t="shared" si="200"/>
        <v>60.029752709999997</v>
      </c>
      <c r="O343" s="216">
        <f t="shared" si="201"/>
        <v>-0.37356867754675449</v>
      </c>
      <c r="P343" s="216">
        <f t="shared" si="202"/>
        <v>-0.23234451757136518</v>
      </c>
      <c r="R343" s="216">
        <f t="shared" si="203"/>
        <v>1.2319776872758005E-3</v>
      </c>
      <c r="S343" s="216">
        <f t="shared" si="204"/>
        <v>2.8479662990520859E-4</v>
      </c>
      <c r="T343" s="1">
        <f t="shared" si="205"/>
        <v>8.7307684853987142E-5</v>
      </c>
      <c r="U343" s="3">
        <f t="shared" si="206"/>
        <v>3.3316812242453774E-3</v>
      </c>
      <c r="V343" s="3">
        <f t="shared" si="207"/>
        <v>3.3316812242453774E-3</v>
      </c>
    </row>
    <row r="344" spans="1:22" x14ac:dyDescent="0.2">
      <c r="A344">
        <v>334</v>
      </c>
      <c r="D344">
        <v>0.40017397974000002</v>
      </c>
      <c r="E344" s="1">
        <v>-9.0143826500000195E-6</v>
      </c>
      <c r="F344" s="1">
        <v>-4.3097225666666602E-6</v>
      </c>
      <c r="G344" s="1">
        <v>2.4864094695815501E-7</v>
      </c>
      <c r="H344" s="1">
        <v>6.28661332866643E-9</v>
      </c>
      <c r="I344" s="1">
        <v>5.0038990977825302E-8</v>
      </c>
      <c r="J344">
        <v>11</v>
      </c>
      <c r="K344">
        <v>1</v>
      </c>
      <c r="L344">
        <v>0.2</v>
      </c>
      <c r="M344">
        <v>10</v>
      </c>
      <c r="N344" s="2">
        <f t="shared" si="200"/>
        <v>40.017397974000005</v>
      </c>
      <c r="O344" s="216">
        <f t="shared" si="201"/>
        <v>-0.45052317773668449</v>
      </c>
      <c r="P344" s="216">
        <f t="shared" si="202"/>
        <v>-0.21539244353002474</v>
      </c>
      <c r="R344" s="216">
        <f t="shared" si="203"/>
        <v>3.1419400795378808E-4</v>
      </c>
      <c r="S344" s="216">
        <f t="shared" si="204"/>
        <v>2.500861800676621E-3</v>
      </c>
      <c r="T344" s="1">
        <f t="shared" si="205"/>
        <v>6.2133211939392302E-5</v>
      </c>
      <c r="U344" s="3">
        <f t="shared" si="206"/>
        <v>4.9978261987434448E-3</v>
      </c>
      <c r="V344" s="3">
        <f t="shared" si="207"/>
        <v>4.9978261987434448E-3</v>
      </c>
    </row>
    <row r="345" spans="1:22" x14ac:dyDescent="0.2">
      <c r="A345">
        <v>335</v>
      </c>
      <c r="D345">
        <v>0.20031669837999999</v>
      </c>
      <c r="E345" s="1">
        <v>-5.3944749166666698E-6</v>
      </c>
      <c r="F345" s="1">
        <v>-1.9832254833333398E-6</v>
      </c>
      <c r="G345" s="1">
        <v>1.58482367977507E-7</v>
      </c>
      <c r="H345" s="1">
        <v>1.07397921649628E-7</v>
      </c>
      <c r="I345" s="1">
        <v>6.5083400930182196E-9</v>
      </c>
      <c r="J345">
        <v>11</v>
      </c>
      <c r="K345">
        <v>1</v>
      </c>
      <c r="L345">
        <v>0.2</v>
      </c>
      <c r="M345">
        <v>10</v>
      </c>
      <c r="N345" s="2">
        <f t="shared" si="200"/>
        <v>20.031669837999999</v>
      </c>
      <c r="O345" s="216">
        <f t="shared" si="201"/>
        <v>-0.53859463143041342</v>
      </c>
      <c r="P345" s="216">
        <f t="shared" si="202"/>
        <v>-0.19800900268146082</v>
      </c>
      <c r="R345" s="216">
        <f t="shared" si="203"/>
        <v>1.0722812677942062E-2</v>
      </c>
      <c r="S345" s="216">
        <f t="shared" si="204"/>
        <v>6.4980504827130529E-4</v>
      </c>
      <c r="T345" s="1">
        <f t="shared" si="205"/>
        <v>7.9115904594666674E-5</v>
      </c>
      <c r="U345" s="3">
        <f t="shared" si="206"/>
        <v>9.9841901158235352E-3</v>
      </c>
      <c r="V345" s="3">
        <f t="shared" si="207"/>
        <v>9.9841901158235352E-3</v>
      </c>
    </row>
    <row r="346" spans="1:22" x14ac:dyDescent="0.2">
      <c r="A346">
        <v>336</v>
      </c>
      <c r="D346">
        <v>9.9638357354000007E-2</v>
      </c>
      <c r="E346" s="1">
        <v>-3.0067373666666702E-6</v>
      </c>
      <c r="F346" s="1">
        <v>-1.03912205000001E-6</v>
      </c>
      <c r="G346" s="1">
        <v>4.51126177439535E-8</v>
      </c>
      <c r="H346" s="1">
        <v>5.2540194363289402E-8</v>
      </c>
      <c r="I346" s="1">
        <v>1.0692684070467599E-8</v>
      </c>
      <c r="J346">
        <v>10</v>
      </c>
      <c r="K346">
        <v>1</v>
      </c>
      <c r="L346">
        <v>0.2</v>
      </c>
      <c r="M346">
        <v>10</v>
      </c>
      <c r="N346" s="2">
        <f t="shared" si="200"/>
        <v>9.9638357354</v>
      </c>
      <c r="O346" s="216">
        <f t="shared" si="201"/>
        <v>-0.60353009554025205</v>
      </c>
      <c r="P346" s="216">
        <f t="shared" si="202"/>
        <v>-0.20857871960055838</v>
      </c>
      <c r="R346" s="216">
        <f t="shared" si="203"/>
        <v>1.0546178351098673E-2</v>
      </c>
      <c r="S346" s="216">
        <f t="shared" si="204"/>
        <v>2.1462987456684198E-3</v>
      </c>
      <c r="T346" s="1">
        <f t="shared" si="205"/>
        <v>4.5276356357095686E-5</v>
      </c>
      <c r="U346" s="3">
        <f t="shared" si="206"/>
        <v>2.0072591049391783E-2</v>
      </c>
      <c r="V346" s="3">
        <f t="shared" si="207"/>
        <v>2.0072591049391783E-2</v>
      </c>
    </row>
    <row r="347" spans="1:22" x14ac:dyDescent="0.2">
      <c r="A347">
        <v>337</v>
      </c>
      <c r="D347">
        <v>5.0030319470000001E-2</v>
      </c>
      <c r="E347" s="1">
        <v>-1.6056761666666701E-6</v>
      </c>
      <c r="F347" s="1">
        <v>-4.6706964666666702E-7</v>
      </c>
      <c r="G347" s="1">
        <v>2.4512382682812099E-8</v>
      </c>
      <c r="H347" s="1">
        <v>2.2330700033187999E-8</v>
      </c>
      <c r="I347" s="1">
        <v>2.1634643713694199E-8</v>
      </c>
      <c r="J347">
        <v>9</v>
      </c>
      <c r="K347">
        <v>1</v>
      </c>
      <c r="L347">
        <v>0.2</v>
      </c>
      <c r="M347">
        <v>10</v>
      </c>
      <c r="N347" s="2">
        <f t="shared" si="200"/>
        <v>5.0030319470000002</v>
      </c>
      <c r="O347" s="216">
        <f t="shared" si="201"/>
        <v>-0.64188123668868113</v>
      </c>
      <c r="P347" s="216">
        <f t="shared" si="202"/>
        <v>-0.18671463689003184</v>
      </c>
      <c r="R347" s="216">
        <f t="shared" si="203"/>
        <v>8.9268668558386069E-3</v>
      </c>
      <c r="S347" s="216">
        <f t="shared" si="204"/>
        <v>8.6486130581944886E-3</v>
      </c>
      <c r="T347" s="1">
        <f t="shared" si="205"/>
        <v>4.8995055283447905E-5</v>
      </c>
      <c r="U347" s="3">
        <f t="shared" si="206"/>
        <v>3.9975759123410615E-2</v>
      </c>
      <c r="V347" s="3">
        <f t="shared" si="207"/>
        <v>3.9975759123410615E-2</v>
      </c>
    </row>
    <row r="348" spans="1:22" x14ac:dyDescent="0.2">
      <c r="A348">
        <v>338</v>
      </c>
      <c r="D348">
        <v>1.6905113023999999E-2</v>
      </c>
      <c r="E348" s="1">
        <v>-5.82391358333333E-7</v>
      </c>
      <c r="F348" s="1">
        <v>-1.5775394333333399E-7</v>
      </c>
      <c r="G348" s="1">
        <v>7.5515404518197401E-8</v>
      </c>
      <c r="H348" s="1">
        <v>2.06972345409541E-8</v>
      </c>
      <c r="I348" s="1">
        <v>2.0731881595265799E-8</v>
      </c>
      <c r="J348">
        <v>8</v>
      </c>
      <c r="K348">
        <v>1</v>
      </c>
      <c r="L348">
        <v>0.2</v>
      </c>
      <c r="M348">
        <v>10</v>
      </c>
      <c r="N348" s="2">
        <f t="shared" si="200"/>
        <v>1.6905113024</v>
      </c>
      <c r="O348" s="216">
        <f t="shared" si="201"/>
        <v>-0.68901208469475306</v>
      </c>
      <c r="P348" s="216">
        <f t="shared" si="202"/>
        <v>-0.1866345916875829</v>
      </c>
      <c r="R348" s="216">
        <f t="shared" si="203"/>
        <v>2.4486360442039602E-2</v>
      </c>
      <c r="S348" s="216">
        <f t="shared" si="204"/>
        <v>2.4527350471816405E-2</v>
      </c>
      <c r="T348" s="1">
        <f t="shared" si="205"/>
        <v>4.4670156544347869E-4</v>
      </c>
      <c r="U348" s="3">
        <f t="shared" si="206"/>
        <v>0.11830740185887091</v>
      </c>
      <c r="V348" s="3">
        <f t="shared" si="207"/>
        <v>0.11830740185887091</v>
      </c>
    </row>
    <row r="349" spans="1:22" x14ac:dyDescent="0.2">
      <c r="A349">
        <v>339</v>
      </c>
      <c r="D349">
        <v>1.6919771976E-2</v>
      </c>
      <c r="E349" s="1">
        <v>-5.830625E-7</v>
      </c>
      <c r="F349" s="1">
        <v>-1.6862249666666701E-7</v>
      </c>
      <c r="G349" s="1">
        <v>9.7669261212127894E-8</v>
      </c>
      <c r="H349" s="1">
        <v>2.3995904280036399E-8</v>
      </c>
      <c r="I349" s="1">
        <v>2.4669040875423599E-8</v>
      </c>
      <c r="J349">
        <v>8</v>
      </c>
      <c r="K349">
        <v>1</v>
      </c>
      <c r="L349">
        <v>0.2</v>
      </c>
      <c r="M349">
        <v>10</v>
      </c>
      <c r="N349" s="2">
        <f t="shared" si="200"/>
        <v>1.6919771976</v>
      </c>
      <c r="O349" s="216">
        <f t="shared" si="201"/>
        <v>-0.68920846076064168</v>
      </c>
      <c r="P349" s="216">
        <f t="shared" si="202"/>
        <v>-0.19932005810226175</v>
      </c>
      <c r="R349" s="216">
        <f t="shared" si="203"/>
        <v>2.8364335304368878E-2</v>
      </c>
      <c r="S349" s="216">
        <f t="shared" si="204"/>
        <v>2.9160015761932983E-2</v>
      </c>
      <c r="T349" s="1">
        <f t="shared" si="205"/>
        <v>5.7724927588071351E-4</v>
      </c>
      <c r="U349" s="3">
        <f t="shared" si="206"/>
        <v>0.11820490269236004</v>
      </c>
      <c r="V349" s="3">
        <f t="shared" si="207"/>
        <v>0.11820490269236004</v>
      </c>
    </row>
    <row r="350" spans="1:22" x14ac:dyDescent="0.2">
      <c r="A350">
        <v>340</v>
      </c>
      <c r="D350">
        <v>1.6924551146E-2</v>
      </c>
      <c r="E350" s="1">
        <v>-5.8513895166666699E-7</v>
      </c>
      <c r="F350" s="1">
        <v>-1.5828448199999999E-7</v>
      </c>
      <c r="G350" s="1">
        <v>6.6869841136424696E-8</v>
      </c>
      <c r="H350" s="1">
        <v>2.30845880368843E-8</v>
      </c>
      <c r="I350" s="1">
        <v>2.330868668132E-8</v>
      </c>
      <c r="J350">
        <v>8</v>
      </c>
      <c r="K350">
        <v>1</v>
      </c>
      <c r="L350">
        <v>0.2</v>
      </c>
      <c r="M350">
        <v>10</v>
      </c>
      <c r="N350" s="2">
        <f t="shared" si="200"/>
        <v>1.6924551146</v>
      </c>
      <c r="O350" s="216">
        <f t="shared" si="201"/>
        <v>-0.6914676160318266</v>
      </c>
      <c r="P350" s="216">
        <f t="shared" si="202"/>
        <v>-0.18704718445358529</v>
      </c>
      <c r="R350" s="216">
        <f t="shared" si="203"/>
        <v>2.7279409465863654E-2</v>
      </c>
      <c r="S350" s="216">
        <f t="shared" si="204"/>
        <v>2.7544230248999952E-2</v>
      </c>
      <c r="T350" s="1">
        <f t="shared" si="205"/>
        <v>3.9510555145345119E-4</v>
      </c>
      <c r="U350" s="3">
        <f t="shared" si="206"/>
        <v>0.11817152388544652</v>
      </c>
      <c r="V350" s="3">
        <f t="shared" si="207"/>
        <v>0.11817152388544652</v>
      </c>
    </row>
    <row r="351" spans="1:22" x14ac:dyDescent="0.2">
      <c r="A351">
        <v>341</v>
      </c>
      <c r="E351" s="1"/>
      <c r="F351" s="1"/>
      <c r="G351" s="1"/>
      <c r="H351" s="1"/>
      <c r="I351" s="1"/>
      <c r="N351" s="2"/>
      <c r="O351" s="216"/>
      <c r="P351" s="216"/>
      <c r="R351" s="216"/>
      <c r="S351" s="216"/>
      <c r="T351" s="1"/>
      <c r="U351" s="3"/>
      <c r="V351" s="3"/>
    </row>
    <row r="352" spans="1:22" x14ac:dyDescent="0.2">
      <c r="A352">
        <v>342</v>
      </c>
      <c r="C352" s="5" t="s">
        <v>577</v>
      </c>
    </row>
    <row r="353" spans="1:22" x14ac:dyDescent="0.2">
      <c r="A353">
        <v>343</v>
      </c>
      <c r="B353" s="4">
        <v>41352</v>
      </c>
      <c r="C353" s="8" t="s">
        <v>13</v>
      </c>
      <c r="D353">
        <v>1.1975291364</v>
      </c>
      <c r="E353" s="1">
        <v>-1.2474302000000101E-5</v>
      </c>
      <c r="F353" s="1">
        <v>-1.1775296499999999E-5</v>
      </c>
      <c r="G353" s="1">
        <v>2.1175406028369001E-6</v>
      </c>
      <c r="H353" s="1">
        <v>2.8529984227133699E-10</v>
      </c>
      <c r="I353" s="1">
        <v>4.0629674397744397E-9</v>
      </c>
      <c r="J353">
        <v>12</v>
      </c>
      <c r="K353">
        <v>1</v>
      </c>
      <c r="L353">
        <v>0.2</v>
      </c>
      <c r="M353">
        <v>10</v>
      </c>
      <c r="N353" s="2">
        <f t="shared" ref="N353:N362" si="208">100*D353/(L353*5)</f>
        <v>119.75291364</v>
      </c>
      <c r="O353" s="216">
        <f t="shared" ref="O353:O362" si="209">1000000*E353*L353/(M353*D353)</f>
        <v>-0.20833400408945743</v>
      </c>
      <c r="P353" s="216">
        <f t="shared" ref="P353:P362" si="210">1000000*F353*L353/(D353*M353)</f>
        <v>-0.19665987477179517</v>
      </c>
      <c r="R353" s="216">
        <f t="shared" ref="R353:R367" si="211">1000000*L353*H353/(M353*D353)</f>
        <v>4.7648083641455693E-6</v>
      </c>
      <c r="S353" s="216">
        <f t="shared" ref="S353:S367" si="212">1000000*L353*I353/(M353*D353)</f>
        <v>6.785584277286966E-5</v>
      </c>
      <c r="T353" s="1">
        <f t="shared" ref="T353:T367" si="213">G353*100/D353</f>
        <v>1.7682581061890731E-4</v>
      </c>
      <c r="U353" s="3">
        <f t="shared" ref="U353:U367" si="214">Comode_std*L353/(M353*D353)</f>
        <v>1.6701055024117243E-3</v>
      </c>
      <c r="V353" s="3">
        <f t="shared" ref="V353:V367" si="215">Comode_std*L353/(M353*D353)</f>
        <v>1.6701055024117243E-3</v>
      </c>
    </row>
    <row r="354" spans="1:22" x14ac:dyDescent="0.2">
      <c r="A354">
        <v>344</v>
      </c>
      <c r="D354">
        <v>1.0014273793999999</v>
      </c>
      <c r="E354" s="1">
        <v>-1.1776716666666701E-5</v>
      </c>
      <c r="F354" s="1">
        <v>-9.6859841166666197E-6</v>
      </c>
      <c r="G354" s="1">
        <v>3.95153538038394E-7</v>
      </c>
      <c r="H354" s="1">
        <v>3.2102267140446598E-10</v>
      </c>
      <c r="I354" s="1">
        <v>5.8320935251750101E-9</v>
      </c>
      <c r="J354">
        <v>12</v>
      </c>
      <c r="K354">
        <v>1</v>
      </c>
      <c r="L354">
        <v>0.2</v>
      </c>
      <c r="M354">
        <v>10</v>
      </c>
      <c r="N354" s="2">
        <f t="shared" si="208"/>
        <v>100.14273793999999</v>
      </c>
      <c r="O354" s="216">
        <f t="shared" si="209"/>
        <v>-0.23519861567441189</v>
      </c>
      <c r="P354" s="216">
        <f t="shared" si="210"/>
        <v>-0.1934435649736265</v>
      </c>
      <c r="R354" s="216">
        <f t="shared" si="211"/>
        <v>6.411302067590863E-6</v>
      </c>
      <c r="S354" s="216">
        <f t="shared" si="212"/>
        <v>1.1647561560917735E-4</v>
      </c>
      <c r="T354" s="1">
        <f t="shared" si="213"/>
        <v>3.9459030796137033E-5</v>
      </c>
      <c r="U354" s="3">
        <f t="shared" si="214"/>
        <v>1.997149310215874E-3</v>
      </c>
      <c r="V354" s="3">
        <f t="shared" si="215"/>
        <v>1.997149310215874E-3</v>
      </c>
    </row>
    <row r="355" spans="1:22" x14ac:dyDescent="0.2">
      <c r="A355">
        <v>345</v>
      </c>
      <c r="D355">
        <v>0.60095215611999997</v>
      </c>
      <c r="E355" s="1">
        <v>-9.5464952500000097E-6</v>
      </c>
      <c r="F355" s="1">
        <v>-5.5763669166666703E-6</v>
      </c>
      <c r="G355" s="1">
        <v>4.8700928434359898E-7</v>
      </c>
      <c r="H355" s="1">
        <v>8.3390222424079796E-8</v>
      </c>
      <c r="I355" s="1">
        <v>7.1837553312820597E-9</v>
      </c>
      <c r="J355">
        <v>12</v>
      </c>
      <c r="K355">
        <v>1</v>
      </c>
      <c r="L355">
        <v>0.2</v>
      </c>
      <c r="M355">
        <v>10</v>
      </c>
      <c r="N355" s="2">
        <f t="shared" si="208"/>
        <v>60.095215611999997</v>
      </c>
      <c r="O355" s="216">
        <f t="shared" si="209"/>
        <v>-0.31771232211350076</v>
      </c>
      <c r="P355" s="216">
        <f t="shared" si="210"/>
        <v>-0.18558438837028365</v>
      </c>
      <c r="R355" s="216">
        <f t="shared" si="211"/>
        <v>2.7752699303878752E-3</v>
      </c>
      <c r="S355" s="216">
        <f t="shared" si="212"/>
        <v>2.3907910997984956E-4</v>
      </c>
      <c r="T355" s="1">
        <f t="shared" si="213"/>
        <v>8.1039610122698601E-5</v>
      </c>
      <c r="U355" s="3">
        <f t="shared" si="214"/>
        <v>3.3280519582670975E-3</v>
      </c>
      <c r="V355" s="3">
        <f t="shared" si="215"/>
        <v>3.3280519582670975E-3</v>
      </c>
    </row>
    <row r="356" spans="1:22" x14ac:dyDescent="0.2">
      <c r="A356">
        <v>346</v>
      </c>
      <c r="D356">
        <v>0.40106102104000002</v>
      </c>
      <c r="E356" s="1">
        <v>-7.3369363166666599E-6</v>
      </c>
      <c r="F356" s="1">
        <v>-3.48198498333333E-6</v>
      </c>
      <c r="G356" s="1">
        <v>1.5943123958583701E-7</v>
      </c>
      <c r="H356" s="1">
        <v>4.9602447348221197E-8</v>
      </c>
      <c r="I356" s="1">
        <v>5.4166869643719701E-8</v>
      </c>
      <c r="J356">
        <v>11</v>
      </c>
      <c r="K356">
        <v>1</v>
      </c>
      <c r="L356">
        <v>0.2</v>
      </c>
      <c r="M356">
        <v>10</v>
      </c>
      <c r="N356" s="2">
        <f t="shared" si="208"/>
        <v>40.106102104000001</v>
      </c>
      <c r="O356" s="216">
        <f t="shared" si="209"/>
        <v>-0.36587630967682133</v>
      </c>
      <c r="P356" s="216">
        <f t="shared" si="210"/>
        <v>-0.17363866347839638</v>
      </c>
      <c r="R356" s="216">
        <f t="shared" si="211"/>
        <v>2.4735611164403868E-3</v>
      </c>
      <c r="S356" s="216">
        <f t="shared" si="212"/>
        <v>2.7011784642276336E-3</v>
      </c>
      <c r="T356" s="1">
        <f t="shared" si="213"/>
        <v>3.9752364658228914E-5</v>
      </c>
      <c r="U356" s="3">
        <f t="shared" si="214"/>
        <v>4.9867723241060853E-3</v>
      </c>
      <c r="V356" s="3">
        <f t="shared" si="215"/>
        <v>4.9867723241060853E-3</v>
      </c>
    </row>
    <row r="357" spans="1:22" x14ac:dyDescent="0.2">
      <c r="A357">
        <v>347</v>
      </c>
      <c r="D357">
        <v>0.20068891027999999</v>
      </c>
      <c r="E357" s="1">
        <v>-4.3530881833333302E-6</v>
      </c>
      <c r="F357" s="1">
        <v>-1.6748138666666699E-6</v>
      </c>
      <c r="G357" s="1">
        <v>1.17871712654798E-7</v>
      </c>
      <c r="H357" s="1">
        <v>4.7605981996660801E-8</v>
      </c>
      <c r="I357" s="1">
        <v>5.1339629975769097E-8</v>
      </c>
      <c r="J357">
        <v>10</v>
      </c>
      <c r="K357">
        <v>1</v>
      </c>
      <c r="L357">
        <v>0.2</v>
      </c>
      <c r="M357">
        <v>10</v>
      </c>
      <c r="N357" s="2">
        <f t="shared" si="208"/>
        <v>20.068891027999999</v>
      </c>
      <c r="O357" s="216">
        <f t="shared" si="209"/>
        <v>-0.43381452191453207</v>
      </c>
      <c r="P357" s="216">
        <f t="shared" si="210"/>
        <v>-0.16690646875604434</v>
      </c>
      <c r="R357" s="216">
        <f t="shared" si="211"/>
        <v>4.7442563647628775E-3</v>
      </c>
      <c r="S357" s="216">
        <f t="shared" si="212"/>
        <v>5.116339503178362E-3</v>
      </c>
      <c r="T357" s="1">
        <f t="shared" si="213"/>
        <v>5.8733545610638905E-5</v>
      </c>
      <c r="U357" s="3">
        <f t="shared" si="214"/>
        <v>9.9656727280526478E-3</v>
      </c>
      <c r="V357" s="3">
        <f t="shared" si="215"/>
        <v>9.9656727280526478E-3</v>
      </c>
    </row>
    <row r="358" spans="1:22" x14ac:dyDescent="0.2">
      <c r="A358">
        <v>348</v>
      </c>
      <c r="D358">
        <v>0.10049021472</v>
      </c>
      <c r="E358" s="1">
        <v>-2.4318778833333298E-6</v>
      </c>
      <c r="F358" s="1">
        <v>-7.3828437499999995E-7</v>
      </c>
      <c r="G358" s="1">
        <v>5.4806589645412802E-8</v>
      </c>
      <c r="H358" s="1">
        <v>7.3330358210672703E-9</v>
      </c>
      <c r="I358" s="1">
        <v>2.91577614970876E-8</v>
      </c>
      <c r="J358">
        <v>10</v>
      </c>
      <c r="K358">
        <v>1</v>
      </c>
      <c r="L358">
        <v>0.2</v>
      </c>
      <c r="M358">
        <v>10</v>
      </c>
      <c r="N358" s="2">
        <f t="shared" si="208"/>
        <v>10.049021472</v>
      </c>
      <c r="O358" s="216">
        <f t="shared" si="209"/>
        <v>-0.48400292309243659</v>
      </c>
      <c r="P358" s="216">
        <f t="shared" si="210"/>
        <v>-0.14693657030331003</v>
      </c>
      <c r="R358" s="216">
        <f t="shared" si="211"/>
        <v>1.4594527121868748E-3</v>
      </c>
      <c r="S358" s="216">
        <f t="shared" si="212"/>
        <v>5.8031046263222873E-3</v>
      </c>
      <c r="T358" s="1">
        <f t="shared" si="213"/>
        <v>5.4539230310257221E-5</v>
      </c>
      <c r="U358" s="3">
        <f t="shared" si="214"/>
        <v>1.9902435332362283E-2</v>
      </c>
      <c r="V358" s="3">
        <f t="shared" si="215"/>
        <v>1.9902435332362283E-2</v>
      </c>
    </row>
    <row r="359" spans="1:22" x14ac:dyDescent="0.2">
      <c r="A359">
        <v>349</v>
      </c>
      <c r="D359">
        <v>5.0506725379999999E-2</v>
      </c>
      <c r="E359" s="1">
        <v>-1.3126822499999999E-6</v>
      </c>
      <c r="F359" s="1">
        <v>-4.2743481333333399E-7</v>
      </c>
      <c r="G359" s="1">
        <v>2.55007664471445E-8</v>
      </c>
      <c r="H359" s="1">
        <v>7.6793552748586902E-9</v>
      </c>
      <c r="I359" s="1">
        <v>1.33957611978002E-8</v>
      </c>
      <c r="J359">
        <v>9</v>
      </c>
      <c r="K359">
        <v>1</v>
      </c>
      <c r="L359">
        <v>0.2</v>
      </c>
      <c r="M359">
        <v>10</v>
      </c>
      <c r="N359" s="2">
        <f t="shared" si="208"/>
        <v>5.0506725379999997</v>
      </c>
      <c r="O359" s="216">
        <f t="shared" si="209"/>
        <v>-0.51980493295643548</v>
      </c>
      <c r="P359" s="216">
        <f t="shared" si="210"/>
        <v>-0.16925857303850969</v>
      </c>
      <c r="R359" s="216">
        <f t="shared" si="211"/>
        <v>3.0409238441340782E-3</v>
      </c>
      <c r="S359" s="216">
        <f t="shared" si="212"/>
        <v>5.3045455222106904E-3</v>
      </c>
      <c r="T359" s="1">
        <f t="shared" si="213"/>
        <v>5.0489843194709412E-5</v>
      </c>
      <c r="U359" s="3">
        <f t="shared" si="214"/>
        <v>3.9598686807598385E-2</v>
      </c>
      <c r="V359" s="3">
        <f t="shared" si="215"/>
        <v>3.9598686807598385E-2</v>
      </c>
    </row>
    <row r="360" spans="1:22" x14ac:dyDescent="0.2">
      <c r="A360">
        <v>350</v>
      </c>
      <c r="D360">
        <v>1.2757750123999999E-2</v>
      </c>
      <c r="E360" s="1">
        <v>-3.4072551000000003E-7</v>
      </c>
      <c r="F360" s="1">
        <v>-1.18656315833333E-7</v>
      </c>
      <c r="G360" s="1">
        <v>8.2740735935875696E-8</v>
      </c>
      <c r="H360" s="1">
        <v>1.42490844294139E-8</v>
      </c>
      <c r="I360" s="1">
        <v>2.0398528114058401E-8</v>
      </c>
      <c r="J360">
        <v>8</v>
      </c>
      <c r="K360">
        <v>1</v>
      </c>
      <c r="L360">
        <v>0.2</v>
      </c>
      <c r="M360">
        <v>10</v>
      </c>
      <c r="N360" s="2">
        <f t="shared" si="208"/>
        <v>1.2757750124</v>
      </c>
      <c r="O360" s="216">
        <f t="shared" si="209"/>
        <v>-0.5341467056311503</v>
      </c>
      <c r="P360" s="216">
        <f t="shared" si="210"/>
        <v>-0.1860144848112609</v>
      </c>
      <c r="R360" s="216">
        <f t="shared" si="211"/>
        <v>2.2337926814553904E-2</v>
      </c>
      <c r="S360" s="216">
        <f t="shared" si="212"/>
        <v>3.1978253086623006E-2</v>
      </c>
      <c r="T360" s="1">
        <f t="shared" si="213"/>
        <v>6.4855272388681642E-4</v>
      </c>
      <c r="U360" s="3">
        <f t="shared" si="214"/>
        <v>0.15676745355261204</v>
      </c>
      <c r="V360" s="3">
        <f t="shared" si="215"/>
        <v>0.15676745355261204</v>
      </c>
    </row>
    <row r="361" spans="1:22" x14ac:dyDescent="0.2">
      <c r="A361">
        <v>351</v>
      </c>
      <c r="D361">
        <v>1.2776909646E-2</v>
      </c>
      <c r="E361" s="1">
        <v>-3.4491558333333299E-7</v>
      </c>
      <c r="F361" s="1">
        <v>-9.1415630666666596E-8</v>
      </c>
      <c r="G361" s="1">
        <v>8.6746469497031001E-8</v>
      </c>
      <c r="H361" s="1">
        <v>1.9527728317609999E-8</v>
      </c>
      <c r="I361" s="1">
        <v>1.7331406228087601E-8</v>
      </c>
      <c r="J361">
        <v>7</v>
      </c>
      <c r="K361">
        <v>1</v>
      </c>
      <c r="L361">
        <v>0.2</v>
      </c>
      <c r="M361">
        <v>10</v>
      </c>
      <c r="N361" s="2">
        <f t="shared" si="208"/>
        <v>1.2776909645999999</v>
      </c>
      <c r="O361" s="216">
        <f t="shared" si="209"/>
        <v>-0.53990455108417224</v>
      </c>
      <c r="P361" s="216">
        <f t="shared" si="210"/>
        <v>-0.14309505694170047</v>
      </c>
      <c r="R361" s="216">
        <f t="shared" si="211"/>
        <v>3.0567216734953495E-2</v>
      </c>
      <c r="S361" s="216">
        <f t="shared" si="212"/>
        <v>2.7129261626286059E-2</v>
      </c>
      <c r="T361" s="1">
        <f t="shared" si="213"/>
        <v>6.789315405716144E-4</v>
      </c>
      <c r="U361" s="3">
        <f t="shared" si="214"/>
        <v>0.15653237405698722</v>
      </c>
      <c r="V361" s="3">
        <f t="shared" si="215"/>
        <v>0.15653237405698722</v>
      </c>
    </row>
    <row r="362" spans="1:22" x14ac:dyDescent="0.2">
      <c r="A362">
        <v>352</v>
      </c>
      <c r="D362">
        <v>1.2757995931999999E-2</v>
      </c>
      <c r="E362" s="1">
        <v>-3.47828718333333E-7</v>
      </c>
      <c r="F362" s="1">
        <v>-9.3753289166666698E-8</v>
      </c>
      <c r="G362" s="1">
        <v>4.9332158099135703E-8</v>
      </c>
      <c r="H362" s="1">
        <v>2.14884701138152E-8</v>
      </c>
      <c r="I362" s="1">
        <v>2.24890335941936E-8</v>
      </c>
      <c r="J362">
        <v>7</v>
      </c>
      <c r="K362">
        <v>1</v>
      </c>
      <c r="L362">
        <v>0.2</v>
      </c>
      <c r="M362">
        <v>10</v>
      </c>
      <c r="N362" s="2">
        <f t="shared" si="208"/>
        <v>1.2757995931999999</v>
      </c>
      <c r="O362" s="216">
        <f t="shared" si="209"/>
        <v>-0.5452717185163829</v>
      </c>
      <c r="P362" s="216">
        <f t="shared" si="210"/>
        <v>-0.14697181229147724</v>
      </c>
      <c r="R362" s="216">
        <f t="shared" si="211"/>
        <v>3.3686278359624108E-2</v>
      </c>
      <c r="S362" s="216">
        <f t="shared" si="212"/>
        <v>3.5254806027623688E-2</v>
      </c>
      <c r="T362" s="1">
        <f t="shared" si="213"/>
        <v>3.8667638994459362E-4</v>
      </c>
      <c r="U362" s="3">
        <f t="shared" si="214"/>
        <v>0.15676443311786442</v>
      </c>
      <c r="V362" s="3">
        <f t="shared" si="215"/>
        <v>0.15676443311786442</v>
      </c>
    </row>
    <row r="363" spans="1:22" x14ac:dyDescent="0.2">
      <c r="A363">
        <v>353</v>
      </c>
      <c r="R363" s="216"/>
      <c r="S363" s="216"/>
      <c r="T363" s="1"/>
      <c r="U363" s="3"/>
      <c r="V363" s="3"/>
    </row>
    <row r="364" spans="1:22" x14ac:dyDescent="0.2">
      <c r="A364">
        <v>354</v>
      </c>
      <c r="C364" s="8" t="s">
        <v>560</v>
      </c>
      <c r="D364">
        <v>1.1990142786</v>
      </c>
      <c r="E364" s="1">
        <v>-1.4852289999999899E-5</v>
      </c>
      <c r="F364" s="1">
        <v>-1.3456699999999999E-5</v>
      </c>
      <c r="G364" s="1">
        <v>1.9927999716241199E-6</v>
      </c>
      <c r="H364" s="1">
        <v>4.4598206241969398E-10</v>
      </c>
      <c r="I364" s="1">
        <v>5.0821976835257998E-21</v>
      </c>
      <c r="J364">
        <v>12</v>
      </c>
      <c r="K364">
        <v>1</v>
      </c>
      <c r="L364">
        <v>0.2</v>
      </c>
      <c r="M364">
        <v>10</v>
      </c>
      <c r="N364" s="2">
        <f t="shared" ref="N364:N374" si="216">100*D364/(L364*5)</f>
        <v>119.90142786</v>
      </c>
      <c r="O364" s="216">
        <f t="shared" ref="O364:O374" si="217">1000000*E364*L364/(M364*D364)</f>
        <v>-0.24774167022167271</v>
      </c>
      <c r="P364" s="216">
        <f t="shared" ref="P364:P374" si="218">1000000*F364*L364/(D364*M364)</f>
        <v>-0.22446271475119364</v>
      </c>
      <c r="R364" s="216">
        <f t="shared" si="211"/>
        <v>7.4391451441334652E-6</v>
      </c>
      <c r="S364" s="216">
        <f t="shared" si="212"/>
        <v>8.4772930134908906E-17</v>
      </c>
      <c r="T364" s="1">
        <f t="shared" si="213"/>
        <v>1.6620318933574039E-4</v>
      </c>
      <c r="U364" s="3">
        <f t="shared" si="214"/>
        <v>1.6680368496822674E-3</v>
      </c>
      <c r="V364" s="3">
        <f t="shared" si="215"/>
        <v>1.6680368496822674E-3</v>
      </c>
    </row>
    <row r="365" spans="1:22" x14ac:dyDescent="0.2">
      <c r="A365">
        <v>355</v>
      </c>
      <c r="D365">
        <v>1.0010910496000001</v>
      </c>
      <c r="E365" s="1">
        <v>-1.3664512166666699E-5</v>
      </c>
      <c r="F365" s="1">
        <v>-1.1606786166666699E-5</v>
      </c>
      <c r="G365" s="1">
        <v>5.7076419707586095E-7</v>
      </c>
      <c r="H365" s="1">
        <v>5.5114332394628203E-8</v>
      </c>
      <c r="I365" s="1">
        <v>4.4026749353533801E-8</v>
      </c>
      <c r="J365">
        <v>12</v>
      </c>
      <c r="K365">
        <v>1</v>
      </c>
      <c r="L365">
        <v>0.2</v>
      </c>
      <c r="M365">
        <v>10</v>
      </c>
      <c r="N365" s="2">
        <f t="shared" si="216"/>
        <v>100.10910496000001</v>
      </c>
      <c r="O365" s="216">
        <f t="shared" si="217"/>
        <v>-0.27299239508986811</v>
      </c>
      <c r="P365" s="216">
        <f t="shared" si="218"/>
        <v>-0.23188272777594712</v>
      </c>
      <c r="R365" s="216">
        <f t="shared" si="211"/>
        <v>1.1010853092063885E-3</v>
      </c>
      <c r="S365" s="216">
        <f t="shared" si="212"/>
        <v>8.7957532676224211E-4</v>
      </c>
      <c r="T365" s="1">
        <f t="shared" si="213"/>
        <v>5.7014214371801425E-5</v>
      </c>
      <c r="U365" s="3">
        <f t="shared" si="214"/>
        <v>1.9978202789837432E-3</v>
      </c>
      <c r="V365" s="3">
        <f t="shared" si="215"/>
        <v>1.9978202789837432E-3</v>
      </c>
    </row>
    <row r="366" spans="1:22" x14ac:dyDescent="0.2">
      <c r="A366">
        <v>356</v>
      </c>
      <c r="D366">
        <v>0.60084868887999998</v>
      </c>
      <c r="E366" s="1">
        <v>-1.1024844833333299E-5</v>
      </c>
      <c r="F366" s="1">
        <v>-6.7743751166666597E-6</v>
      </c>
      <c r="G366" s="1">
        <v>4.5664386646804101E-7</v>
      </c>
      <c r="H366" s="1">
        <v>1.03295610135695E-7</v>
      </c>
      <c r="I366" s="1">
        <v>1.47212220421131E-7</v>
      </c>
      <c r="J366">
        <v>12</v>
      </c>
      <c r="K366">
        <v>1</v>
      </c>
      <c r="L366">
        <v>0.2</v>
      </c>
      <c r="M366">
        <v>10</v>
      </c>
      <c r="N366" s="2">
        <f t="shared" si="216"/>
        <v>60.084868887999995</v>
      </c>
      <c r="O366" s="216">
        <f t="shared" si="217"/>
        <v>-0.36697574738438532</v>
      </c>
      <c r="P366" s="216">
        <f t="shared" si="218"/>
        <v>-0.22549354744517452</v>
      </c>
      <c r="R366" s="216">
        <f t="shared" si="211"/>
        <v>3.4383235595717484E-3</v>
      </c>
      <c r="S366" s="216">
        <f t="shared" si="212"/>
        <v>4.9001428527884116E-3</v>
      </c>
      <c r="T366" s="1">
        <f t="shared" si="213"/>
        <v>7.5999810754224812E-5</v>
      </c>
      <c r="U366" s="3">
        <f t="shared" si="214"/>
        <v>3.3286250548837187E-3</v>
      </c>
      <c r="V366" s="3">
        <f t="shared" si="215"/>
        <v>3.3286250548837187E-3</v>
      </c>
    </row>
    <row r="367" spans="1:22" x14ac:dyDescent="0.2">
      <c r="A367">
        <v>357</v>
      </c>
      <c r="D367">
        <v>0.39987622462</v>
      </c>
      <c r="E367" s="1">
        <v>-8.8355821833333303E-6</v>
      </c>
      <c r="F367" s="1">
        <v>-4.2400847000000003E-6</v>
      </c>
      <c r="G367" s="1">
        <v>2.9119088316656699E-7</v>
      </c>
      <c r="H367" s="1">
        <v>5.5354841673814399E-8</v>
      </c>
      <c r="I367" s="1">
        <v>5.4992194605931698E-8</v>
      </c>
      <c r="J367">
        <v>11</v>
      </c>
      <c r="K367">
        <v>1</v>
      </c>
      <c r="L367">
        <v>0.2</v>
      </c>
      <c r="M367">
        <v>10</v>
      </c>
      <c r="N367" s="2">
        <f t="shared" si="216"/>
        <v>39.987622461999997</v>
      </c>
      <c r="O367" s="216">
        <f t="shared" si="217"/>
        <v>-0.44191585492384461</v>
      </c>
      <c r="P367" s="216">
        <f t="shared" si="218"/>
        <v>-0.21206985756801761</v>
      </c>
      <c r="R367" s="216">
        <f t="shared" si="211"/>
        <v>2.7685987946103959E-3</v>
      </c>
      <c r="S367" s="216">
        <f t="shared" si="212"/>
        <v>2.7504608286321825E-3</v>
      </c>
      <c r="T367" s="1">
        <f t="shared" si="213"/>
        <v>7.2820254178223266E-5</v>
      </c>
      <c r="U367" s="3">
        <f t="shared" si="214"/>
        <v>5.0015476711589655E-3</v>
      </c>
      <c r="V367" s="3">
        <f t="shared" si="215"/>
        <v>5.0015476711589655E-3</v>
      </c>
    </row>
    <row r="368" spans="1:22" x14ac:dyDescent="0.2">
      <c r="A368">
        <v>358</v>
      </c>
      <c r="D368">
        <v>0.19972881083999999</v>
      </c>
      <c r="E368" s="1">
        <v>-5.3391710500000003E-6</v>
      </c>
      <c r="F368" s="1">
        <v>-2.03620155E-6</v>
      </c>
      <c r="G368" s="1">
        <v>9.9178370986069695E-8</v>
      </c>
      <c r="H368" s="1">
        <v>5.3018821479397003E-8</v>
      </c>
      <c r="I368" s="1">
        <v>5.44248528348722E-8</v>
      </c>
      <c r="J368">
        <v>11</v>
      </c>
      <c r="K368">
        <v>1</v>
      </c>
      <c r="L368">
        <v>0.2</v>
      </c>
      <c r="M368">
        <v>10</v>
      </c>
      <c r="N368" s="2">
        <f t="shared" si="216"/>
        <v>19.972881084000001</v>
      </c>
      <c r="O368" s="216">
        <f t="shared" si="217"/>
        <v>-0.53464205064307291</v>
      </c>
      <c r="P368" s="216">
        <f t="shared" si="218"/>
        <v>-0.20389662777606712</v>
      </c>
      <c r="R368" s="216">
        <f t="shared" ref="R368:R374" si="219">1000000*L368*H368/(M368*D368)</f>
        <v>5.3090809739882398E-3</v>
      </c>
      <c r="S368" s="216">
        <f t="shared" ref="S368:S374" si="220">1000000*L368*I368/(M368*D368)</f>
        <v>5.449875018629256E-3</v>
      </c>
      <c r="T368" s="1">
        <f t="shared" ref="T368:T374" si="221">G368*100/D368</f>
        <v>4.9656517038756177E-5</v>
      </c>
      <c r="U368" s="3">
        <f t="shared" ref="U368:U374" si="222">Comode_std*L368/(M368*D368)</f>
        <v>1.0013577868854248E-2</v>
      </c>
      <c r="V368" s="3">
        <f t="shared" ref="V368:V374" si="223">Comode_std*L368/(M368*D368)</f>
        <v>1.0013577868854248E-2</v>
      </c>
    </row>
    <row r="369" spans="1:22" x14ac:dyDescent="0.2">
      <c r="A369">
        <v>359</v>
      </c>
      <c r="D369">
        <v>0.10028331386</v>
      </c>
      <c r="E369" s="1">
        <v>-3.0043300000000002E-6</v>
      </c>
      <c r="F369" s="1">
        <v>-9.7538935999999805E-7</v>
      </c>
      <c r="G369" s="1">
        <v>5.7780106730956001E-8</v>
      </c>
      <c r="H369" s="1">
        <v>5.1916318343400797E-8</v>
      </c>
      <c r="I369" s="1">
        <v>5.5117280755619001E-8</v>
      </c>
      <c r="J369">
        <v>10</v>
      </c>
      <c r="K369">
        <v>1</v>
      </c>
      <c r="L369">
        <v>0.2</v>
      </c>
      <c r="M369">
        <v>10</v>
      </c>
      <c r="N369" s="2">
        <f t="shared" si="216"/>
        <v>10.028331386</v>
      </c>
      <c r="O369" s="216">
        <f t="shared" si="217"/>
        <v>-0.59916847267216955</v>
      </c>
      <c r="P369" s="216">
        <f t="shared" si="218"/>
        <v>-0.19452675075370671</v>
      </c>
      <c r="R369" s="216">
        <f t="shared" si="219"/>
        <v>1.0353929551206955E-2</v>
      </c>
      <c r="S369" s="216">
        <f t="shared" si="220"/>
        <v>1.0992313403716434E-2</v>
      </c>
      <c r="T369" s="1">
        <f t="shared" si="221"/>
        <v>5.761687015211685E-5</v>
      </c>
      <c r="U369" s="3">
        <f t="shared" si="222"/>
        <v>1.9943497307957834E-2</v>
      </c>
      <c r="V369" s="3">
        <f t="shared" si="223"/>
        <v>1.9943497307957834E-2</v>
      </c>
    </row>
    <row r="370" spans="1:22" x14ac:dyDescent="0.2">
      <c r="A370">
        <v>360</v>
      </c>
      <c r="D370">
        <v>5.0201511669999997E-2</v>
      </c>
      <c r="E370" s="1">
        <v>-1.6038513333333301E-6</v>
      </c>
      <c r="F370" s="1">
        <v>-4.7842198666666699E-7</v>
      </c>
      <c r="G370" s="1">
        <v>1.42708439100165E-8</v>
      </c>
      <c r="H370" s="1">
        <v>5.3435418187648598E-8</v>
      </c>
      <c r="I370" s="1">
        <v>5.4231143209719998E-8</v>
      </c>
      <c r="J370">
        <v>9</v>
      </c>
      <c r="K370">
        <v>1</v>
      </c>
      <c r="L370">
        <v>0.2</v>
      </c>
      <c r="M370">
        <v>10</v>
      </c>
      <c r="N370" s="2">
        <f t="shared" si="216"/>
        <v>5.0201511669999999</v>
      </c>
      <c r="O370" s="216">
        <f t="shared" si="217"/>
        <v>-0.63896535382291231</v>
      </c>
      <c r="P370" s="216">
        <f t="shared" si="218"/>
        <v>-0.19060062964301847</v>
      </c>
      <c r="R370" s="216">
        <f t="shared" si="219"/>
        <v>2.1288370174550403E-2</v>
      </c>
      <c r="S370" s="216">
        <f t="shared" si="220"/>
        <v>2.1605382549517157E-2</v>
      </c>
      <c r="T370" s="1">
        <f t="shared" si="221"/>
        <v>2.8427119891978545E-5</v>
      </c>
      <c r="U370" s="3">
        <f t="shared" si="222"/>
        <v>3.9839437767273125E-2</v>
      </c>
      <c r="V370" s="3">
        <f t="shared" si="223"/>
        <v>3.9839437767273125E-2</v>
      </c>
    </row>
    <row r="371" spans="1:22" x14ac:dyDescent="0.2">
      <c r="A371">
        <v>361</v>
      </c>
      <c r="D371">
        <v>5.0188001686000003E-2</v>
      </c>
      <c r="E371" s="1">
        <v>-1.6108822333333301E-6</v>
      </c>
      <c r="F371" s="1">
        <v>-4.8532008499999899E-7</v>
      </c>
      <c r="G371" s="1">
        <v>3.1833304429200901E-8</v>
      </c>
      <c r="H371" s="1">
        <v>5.4182657382341603E-8</v>
      </c>
      <c r="I371" s="1">
        <v>5.0816881043092103E-8</v>
      </c>
      <c r="J371">
        <v>10</v>
      </c>
      <c r="K371">
        <v>1</v>
      </c>
      <c r="L371">
        <v>0.2</v>
      </c>
      <c r="M371">
        <v>10</v>
      </c>
      <c r="N371" s="2">
        <f t="shared" si="216"/>
        <v>5.0188001686000003</v>
      </c>
      <c r="O371" s="216">
        <f t="shared" si="217"/>
        <v>-0.64193918036895559</v>
      </c>
      <c r="P371" s="216">
        <f t="shared" si="218"/>
        <v>-0.1934008403189241</v>
      </c>
      <c r="R371" s="216">
        <f t="shared" si="219"/>
        <v>2.1591876768210085E-2</v>
      </c>
      <c r="S371" s="216">
        <f t="shared" si="220"/>
        <v>2.0250609442881057E-2</v>
      </c>
      <c r="T371" s="1">
        <f t="shared" si="221"/>
        <v>6.3428116999686865E-5</v>
      </c>
      <c r="U371" s="3">
        <f t="shared" si="222"/>
        <v>3.9850162046955982E-2</v>
      </c>
      <c r="V371" s="3">
        <f t="shared" si="223"/>
        <v>3.9850162046955982E-2</v>
      </c>
    </row>
    <row r="372" spans="1:22" x14ac:dyDescent="0.2">
      <c r="A372">
        <v>362</v>
      </c>
      <c r="D372">
        <v>1.2781510887999999E-2</v>
      </c>
      <c r="E372" s="1">
        <v>-4.5358433833333402E-7</v>
      </c>
      <c r="F372" s="1">
        <v>-1.16813139583333E-7</v>
      </c>
      <c r="G372" s="1">
        <v>8.6575696252547402E-8</v>
      </c>
      <c r="H372" s="1">
        <v>5.9622230661785905E-8</v>
      </c>
      <c r="I372" s="1">
        <v>5.6622343009591598E-8</v>
      </c>
      <c r="J372">
        <v>9</v>
      </c>
      <c r="K372">
        <v>1</v>
      </c>
      <c r="L372">
        <v>0.2</v>
      </c>
      <c r="M372">
        <v>10</v>
      </c>
      <c r="N372" s="2">
        <f t="shared" si="216"/>
        <v>1.2781510887999998</v>
      </c>
      <c r="O372" s="216">
        <f t="shared" si="217"/>
        <v>-0.70975073652549869</v>
      </c>
      <c r="P372" s="216">
        <f t="shared" si="218"/>
        <v>-0.18278455592132498</v>
      </c>
      <c r="R372" s="216">
        <f t="shared" si="219"/>
        <v>9.3294495751300582E-2</v>
      </c>
      <c r="S372" s="216">
        <f t="shared" si="220"/>
        <v>8.8600390839164142E-2</v>
      </c>
      <c r="T372" s="1">
        <f t="shared" si="221"/>
        <v>6.7735103471866943E-4</v>
      </c>
      <c r="U372" s="3">
        <f t="shared" si="222"/>
        <v>0.1564760236505148</v>
      </c>
      <c r="V372" s="3">
        <f t="shared" si="223"/>
        <v>0.1564760236505148</v>
      </c>
    </row>
    <row r="373" spans="1:22" x14ac:dyDescent="0.2">
      <c r="A373">
        <v>363</v>
      </c>
      <c r="D373">
        <v>1.278110838E-2</v>
      </c>
      <c r="E373" s="1">
        <v>-4.3993406833333402E-7</v>
      </c>
      <c r="F373" s="1">
        <v>-1.2165176256166701E-7</v>
      </c>
      <c r="G373" s="1">
        <v>6.2327473217195005E-8</v>
      </c>
      <c r="H373" s="1">
        <v>5.4978921487393601E-8</v>
      </c>
      <c r="I373" s="1">
        <v>5.3057974065493702E-8</v>
      </c>
      <c r="J373">
        <v>8</v>
      </c>
      <c r="K373">
        <v>1</v>
      </c>
      <c r="L373">
        <v>0.2</v>
      </c>
      <c r="M373">
        <v>10</v>
      </c>
      <c r="N373" s="2">
        <f t="shared" si="216"/>
        <v>1.2781108379999999</v>
      </c>
      <c r="O373" s="216">
        <f t="shared" si="217"/>
        <v>-0.68841301591925641</v>
      </c>
      <c r="P373" s="216">
        <f t="shared" si="218"/>
        <v>-0.19036183552285474</v>
      </c>
      <c r="R373" s="216">
        <f t="shared" si="219"/>
        <v>8.603153944524114E-2</v>
      </c>
      <c r="S373" s="216">
        <f t="shared" si="220"/>
        <v>8.3025622642429533E-2</v>
      </c>
      <c r="T373" s="1">
        <f t="shared" si="221"/>
        <v>4.876531155523697E-4</v>
      </c>
      <c r="U373" s="3">
        <f t="shared" si="222"/>
        <v>0.15648095145876545</v>
      </c>
      <c r="V373" s="3">
        <f t="shared" si="223"/>
        <v>0.15648095145876545</v>
      </c>
    </row>
    <row r="374" spans="1:22" x14ac:dyDescent="0.2">
      <c r="A374">
        <v>364</v>
      </c>
      <c r="D374">
        <v>1.2785939059999999E-2</v>
      </c>
      <c r="E374" s="1">
        <v>-4.3777381999999902E-7</v>
      </c>
      <c r="F374" s="1">
        <v>-1.1956976125000001E-7</v>
      </c>
      <c r="G374" s="1">
        <v>3.8392513773755901E-8</v>
      </c>
      <c r="H374" s="1">
        <v>5.2971582682833498E-8</v>
      </c>
      <c r="I374" s="1">
        <v>5.3880195811609701E-8</v>
      </c>
      <c r="J374">
        <v>8</v>
      </c>
      <c r="K374">
        <v>1</v>
      </c>
      <c r="L374">
        <v>0.2</v>
      </c>
      <c r="M374">
        <v>10</v>
      </c>
      <c r="N374" s="2">
        <f t="shared" si="216"/>
        <v>1.278593906</v>
      </c>
      <c r="O374" s="216">
        <f t="shared" si="217"/>
        <v>-0.68477382528678987</v>
      </c>
      <c r="P374" s="216">
        <f t="shared" si="218"/>
        <v>-0.18703320997996378</v>
      </c>
      <c r="R374" s="216">
        <f t="shared" si="219"/>
        <v>8.2859119591069771E-2</v>
      </c>
      <c r="S374" s="216">
        <f t="shared" si="220"/>
        <v>8.4280388884646701E-2</v>
      </c>
      <c r="T374" s="1">
        <f t="shared" si="221"/>
        <v>3.0027136523639827E-4</v>
      </c>
      <c r="U374" s="3">
        <f t="shared" si="222"/>
        <v>0.15642183109231875</v>
      </c>
      <c r="V374" s="3">
        <f t="shared" si="223"/>
        <v>0.15642183109231875</v>
      </c>
    </row>
    <row r="376" spans="1:22" x14ac:dyDescent="0.2">
      <c r="E376" s="1"/>
      <c r="F376" s="1"/>
      <c r="G376" s="1"/>
      <c r="H376" s="1"/>
      <c r="I376" s="1"/>
      <c r="N376" s="2"/>
      <c r="O376" s="216"/>
      <c r="P376" s="216"/>
      <c r="R376" s="216"/>
      <c r="S376" s="216"/>
      <c r="T376" s="1"/>
      <c r="U376" s="3"/>
      <c r="V376" s="3"/>
    </row>
    <row r="377" spans="1:22" x14ac:dyDescent="0.2">
      <c r="E377" s="1"/>
      <c r="F377" s="1"/>
      <c r="G377" s="1"/>
      <c r="H377" s="1"/>
      <c r="I377" s="1"/>
      <c r="N377" s="2"/>
      <c r="O377" s="216"/>
      <c r="P377" s="216"/>
      <c r="R377" s="216"/>
      <c r="S377" s="216"/>
      <c r="T377" s="1"/>
      <c r="U377" s="3"/>
      <c r="V377" s="3"/>
    </row>
    <row r="378" spans="1:22" x14ac:dyDescent="0.2">
      <c r="E378" s="1"/>
      <c r="F378" s="1"/>
      <c r="G378" s="1"/>
      <c r="H378" s="1"/>
      <c r="I378" s="1"/>
      <c r="N378" s="2"/>
      <c r="O378" s="216"/>
      <c r="P378" s="216"/>
      <c r="R378" s="216"/>
      <c r="S378" s="216"/>
      <c r="T378" s="1"/>
      <c r="U378" s="3"/>
      <c r="V378" s="3"/>
    </row>
    <row r="380" spans="1:22" x14ac:dyDescent="0.2">
      <c r="E380" s="1"/>
      <c r="F380" s="1"/>
      <c r="G380" s="1"/>
      <c r="H380" s="1"/>
      <c r="I380" s="1"/>
    </row>
    <row r="381" spans="1:22" x14ac:dyDescent="0.2">
      <c r="E381" s="1"/>
      <c r="F381" s="1"/>
      <c r="G381" s="1"/>
      <c r="H381" s="1"/>
      <c r="I381" s="1"/>
    </row>
    <row r="382" spans="1:22" x14ac:dyDescent="0.2">
      <c r="E382" s="1"/>
      <c r="F382" s="1"/>
      <c r="G382" s="1"/>
      <c r="H382" s="1"/>
      <c r="I382" s="1"/>
    </row>
    <row r="383" spans="1:22" x14ac:dyDescent="0.2">
      <c r="E383" s="1"/>
      <c r="F383" s="1"/>
      <c r="G383" s="1"/>
      <c r="H383" s="1"/>
      <c r="I383" s="1"/>
    </row>
    <row r="384" spans="1:22" x14ac:dyDescent="0.2">
      <c r="E384" s="1"/>
      <c r="F384" s="1"/>
      <c r="G384" s="1"/>
      <c r="H384" s="1"/>
      <c r="I384" s="1"/>
    </row>
    <row r="385" spans="5:9" x14ac:dyDescent="0.2">
      <c r="E385" s="1"/>
      <c r="F385" s="1"/>
      <c r="G385" s="1"/>
      <c r="H385" s="1"/>
      <c r="I385" s="1"/>
    </row>
    <row r="386" spans="5:9" x14ac:dyDescent="0.2">
      <c r="E386" s="1"/>
      <c r="F386" s="1"/>
      <c r="G386" s="1"/>
      <c r="H386" s="1"/>
      <c r="I386" s="1"/>
    </row>
    <row r="387" spans="5:9" x14ac:dyDescent="0.2">
      <c r="E387" s="1"/>
      <c r="F387" s="1"/>
      <c r="G387" s="1"/>
      <c r="H387" s="1"/>
      <c r="I387" s="1"/>
    </row>
    <row r="388" spans="5:9" x14ac:dyDescent="0.2">
      <c r="E388" s="1"/>
      <c r="F388" s="1"/>
      <c r="G388" s="1"/>
      <c r="H388" s="1"/>
      <c r="I388" s="1"/>
    </row>
    <row r="389" spans="5:9" x14ac:dyDescent="0.2">
      <c r="E389" s="1"/>
      <c r="F389" s="1"/>
      <c r="G389" s="1"/>
      <c r="H389" s="1"/>
      <c r="I389" s="1"/>
    </row>
    <row r="390" spans="5:9" x14ac:dyDescent="0.2">
      <c r="E390" s="1"/>
      <c r="F390" s="1"/>
      <c r="G390" s="1"/>
      <c r="H390" s="1"/>
      <c r="I390" s="1"/>
    </row>
    <row r="391" spans="5:9" x14ac:dyDescent="0.2">
      <c r="E391" s="1"/>
      <c r="F391" s="1"/>
      <c r="G391" s="1"/>
      <c r="H391" s="1"/>
      <c r="I391" s="1"/>
    </row>
    <row r="392" spans="5:9" x14ac:dyDescent="0.2">
      <c r="E392" s="1"/>
      <c r="F392" s="1"/>
      <c r="G392" s="1"/>
      <c r="H392" s="1"/>
      <c r="I392" s="1"/>
    </row>
    <row r="393" spans="5:9" x14ac:dyDescent="0.2">
      <c r="E393" s="1"/>
      <c r="F393" s="1"/>
      <c r="G393" s="1"/>
      <c r="H393" s="1"/>
      <c r="I393" s="1"/>
    </row>
    <row r="394" spans="5:9" x14ac:dyDescent="0.2">
      <c r="E394" s="1"/>
      <c r="F394" s="1"/>
      <c r="G394" s="1"/>
      <c r="H394" s="1"/>
      <c r="I394" s="1"/>
    </row>
  </sheetData>
  <phoneticPr fontId="3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pageSetUpPr fitToPage="1"/>
  </sheetPr>
  <dimension ref="A1:BZ364"/>
  <sheetViews>
    <sheetView topLeftCell="A203" zoomScaleNormal="100" workbookViewId="0">
      <selection activeCell="G57" sqref="G57"/>
    </sheetView>
  </sheetViews>
  <sheetFormatPr defaultRowHeight="12.75" x14ac:dyDescent="0.2"/>
  <cols>
    <col min="1" max="1" width="9.28515625" bestFit="1" customWidth="1"/>
    <col min="2" max="2" width="12" customWidth="1"/>
    <col min="3" max="3" width="33.140625" customWidth="1"/>
    <col min="4" max="4" width="9.28515625" bestFit="1" customWidth="1"/>
    <col min="5" max="5" width="9.42578125" bestFit="1" customWidth="1"/>
    <col min="6" max="6" width="10.140625" customWidth="1"/>
    <col min="7" max="7" width="10.42578125" customWidth="1"/>
    <col min="8" max="9" width="9.28515625" bestFit="1" customWidth="1"/>
    <col min="10" max="10" width="11.140625" customWidth="1"/>
    <col min="11" max="11" width="9.28515625" bestFit="1" customWidth="1"/>
    <col min="12" max="12" width="14.5703125" bestFit="1" customWidth="1"/>
    <col min="13" max="13" width="12.140625" customWidth="1"/>
    <col min="14" max="14" width="9.42578125" customWidth="1"/>
    <col min="15" max="16" width="12.5703125" bestFit="1" customWidth="1"/>
    <col min="17" max="17" width="10.5703125" customWidth="1"/>
    <col min="19" max="19" width="9.42578125" customWidth="1"/>
    <col min="20" max="20" width="9.85546875" customWidth="1"/>
    <col min="21" max="21" width="9.42578125" customWidth="1"/>
    <col min="22" max="22" width="11.42578125" customWidth="1"/>
    <col min="23" max="23" width="12.42578125" bestFit="1" customWidth="1"/>
    <col min="24" max="24" width="10.42578125" bestFit="1" customWidth="1"/>
    <col min="25" max="25" width="11.42578125" customWidth="1"/>
    <col min="26" max="26" width="12.42578125" bestFit="1" customWidth="1"/>
    <col min="28" max="28" width="10.7109375" customWidth="1"/>
    <col min="29" max="30" width="9.42578125" bestFit="1" customWidth="1"/>
    <col min="31" max="31" width="10.42578125" bestFit="1" customWidth="1"/>
    <col min="33" max="33" width="10.28515625" bestFit="1" customWidth="1"/>
    <col min="34" max="34" width="11" customWidth="1"/>
    <col min="41" max="41" width="10.140625" customWidth="1"/>
  </cols>
  <sheetData>
    <row r="1" spans="1:38" x14ac:dyDescent="0.2">
      <c r="E1" s="1"/>
      <c r="F1" s="1"/>
      <c r="G1" s="1"/>
      <c r="H1" s="1"/>
      <c r="I1" s="1"/>
      <c r="J1" s="1"/>
      <c r="M1" s="1"/>
      <c r="N1" s="1"/>
    </row>
    <row r="2" spans="1:38" x14ac:dyDescent="0.2">
      <c r="E2" s="1"/>
      <c r="F2" s="1"/>
      <c r="G2" s="1"/>
      <c r="H2" s="1"/>
      <c r="I2" s="1"/>
      <c r="J2" s="1"/>
      <c r="M2" s="1"/>
      <c r="N2" s="1"/>
    </row>
    <row r="3" spans="1:38" x14ac:dyDescent="0.2">
      <c r="B3" s="5" t="s">
        <v>96</v>
      </c>
      <c r="C3" s="5"/>
      <c r="E3" s="1"/>
      <c r="F3" s="1"/>
      <c r="G3" s="1"/>
      <c r="H3" s="1"/>
      <c r="I3" s="1"/>
      <c r="M3" s="1"/>
      <c r="N3" s="1"/>
    </row>
    <row r="4" spans="1:38" x14ac:dyDescent="0.2">
      <c r="E4" s="1"/>
      <c r="F4" s="1"/>
      <c r="G4" s="1"/>
      <c r="H4" s="1"/>
      <c r="I4" s="1"/>
      <c r="M4" s="1"/>
      <c r="N4" s="1"/>
    </row>
    <row r="5" spans="1:38" x14ac:dyDescent="0.2">
      <c r="E5" s="1"/>
      <c r="F5" s="1"/>
      <c r="G5" s="1"/>
      <c r="H5" s="1"/>
      <c r="I5" s="1"/>
      <c r="J5" s="1"/>
      <c r="M5" s="1"/>
      <c r="N5" s="1"/>
    </row>
    <row r="6" spans="1:38" x14ac:dyDescent="0.2">
      <c r="E6" s="1"/>
      <c r="F6" s="1"/>
      <c r="G6" s="1"/>
      <c r="H6" s="1"/>
      <c r="I6" s="1"/>
      <c r="J6" s="1"/>
      <c r="M6" s="1"/>
      <c r="N6" s="1"/>
    </row>
    <row r="7" spans="1:38" x14ac:dyDescent="0.2">
      <c r="A7" s="5" t="s">
        <v>35</v>
      </c>
      <c r="B7" s="5" t="s">
        <v>34</v>
      </c>
      <c r="C7" s="5" t="s">
        <v>42</v>
      </c>
      <c r="D7" s="13" t="s">
        <v>2</v>
      </c>
      <c r="E7" s="14" t="s">
        <v>5</v>
      </c>
      <c r="F7" s="14" t="s">
        <v>6</v>
      </c>
      <c r="G7" s="14" t="s">
        <v>8</v>
      </c>
      <c r="H7" s="14" t="s">
        <v>10</v>
      </c>
      <c r="I7" s="14" t="s">
        <v>11</v>
      </c>
      <c r="J7" s="1"/>
      <c r="Q7" s="5" t="s">
        <v>15</v>
      </c>
      <c r="R7" s="5" t="s">
        <v>15</v>
      </c>
      <c r="S7" s="5" t="s">
        <v>15</v>
      </c>
      <c r="T7" s="5" t="s">
        <v>358</v>
      </c>
      <c r="U7" s="5" t="s">
        <v>358</v>
      </c>
    </row>
    <row r="8" spans="1:38" x14ac:dyDescent="0.2">
      <c r="D8" s="13" t="s">
        <v>7</v>
      </c>
      <c r="E8" s="14" t="s">
        <v>12</v>
      </c>
      <c r="F8" s="14" t="s">
        <v>12</v>
      </c>
      <c r="G8" s="14" t="s">
        <v>9</v>
      </c>
      <c r="H8" s="14" t="s">
        <v>12</v>
      </c>
      <c r="I8" s="14" t="s">
        <v>12</v>
      </c>
      <c r="J8" s="1"/>
      <c r="K8" s="5" t="s">
        <v>2</v>
      </c>
      <c r="L8" s="5" t="s">
        <v>3</v>
      </c>
      <c r="M8" s="5" t="s">
        <v>4</v>
      </c>
      <c r="N8" s="5" t="s">
        <v>0</v>
      </c>
      <c r="O8" s="5" t="s">
        <v>1</v>
      </c>
      <c r="Q8" s="5" t="s">
        <v>5</v>
      </c>
      <c r="R8" s="5" t="s">
        <v>6</v>
      </c>
      <c r="S8" s="5" t="s">
        <v>14</v>
      </c>
      <c r="T8" s="5" t="s">
        <v>5</v>
      </c>
      <c r="U8" s="5" t="s">
        <v>6</v>
      </c>
      <c r="X8" s="5" t="s">
        <v>443</v>
      </c>
      <c r="AA8" t="s">
        <v>444</v>
      </c>
      <c r="AG8" s="3"/>
      <c r="AL8" s="3"/>
    </row>
    <row r="9" spans="1:38" x14ac:dyDescent="0.2">
      <c r="A9">
        <v>1</v>
      </c>
      <c r="B9" s="4">
        <v>41281</v>
      </c>
      <c r="C9" s="8" t="s">
        <v>13</v>
      </c>
      <c r="D9">
        <v>1.1201978416</v>
      </c>
      <c r="E9" s="1">
        <v>-1.17767083333334E-5</v>
      </c>
      <c r="F9" s="1">
        <v>-1.31728095000001E-5</v>
      </c>
      <c r="G9" s="1">
        <v>6.8521912050418601E-7</v>
      </c>
      <c r="H9" s="1">
        <v>3.10800936649679E-10</v>
      </c>
      <c r="I9" s="1">
        <v>2.94210383909293E-10</v>
      </c>
      <c r="K9">
        <v>0.2</v>
      </c>
      <c r="L9">
        <v>10</v>
      </c>
      <c r="M9" s="2">
        <f t="shared" ref="M9:M14" si="0">100*D9/(K9*5)</f>
        <v>112.01978416</v>
      </c>
      <c r="N9" s="205">
        <f t="shared" ref="N9:N14" si="1">1000000*F9*K9/(L9*D9)</f>
        <v>-0.23518719659707835</v>
      </c>
      <c r="O9" s="205">
        <f t="shared" ref="O9:O14" si="2">1000000*E9*K9/(D9*L9)</f>
        <v>-0.21026122165192715</v>
      </c>
      <c r="P9" s="3"/>
      <c r="Q9" s="205">
        <f t="shared" ref="Q9:Q14" si="3">1000000*K9*I9/(L9*D9)</f>
        <v>5.2528289733011209E-6</v>
      </c>
      <c r="R9" s="205">
        <f t="shared" ref="R9:R14" si="4">1000000*K9*H9/(L9*D9)</f>
        <v>5.5490365202945956E-6</v>
      </c>
      <c r="S9" s="1">
        <f t="shared" ref="S9:S14" si="5">G9*100/D9</f>
        <v>6.1169473378512709E-5</v>
      </c>
      <c r="T9" s="3">
        <f t="shared" ref="T9:T14" si="6">Comode_std*K9/(L9*D9)</f>
        <v>1.785398905199962E-3</v>
      </c>
      <c r="U9" s="3">
        <f t="shared" ref="U9:U14" si="7">Comode_std*K9/(L9*D9)</f>
        <v>1.785398905199962E-3</v>
      </c>
      <c r="X9" s="3">
        <f>'Data(2000)'!N34</f>
        <v>-0.18636193565663087</v>
      </c>
      <c r="Y9" s="3">
        <f>'Data (2012)'!O34</f>
        <v>-0.23299220565878304</v>
      </c>
      <c r="Z9" s="2"/>
      <c r="AA9" s="3">
        <f>N41-X9</f>
        <v>-2.2080369578201892E-2</v>
      </c>
      <c r="AB9" s="3">
        <f>O41-Y9</f>
        <v>4.759652297636735E-2</v>
      </c>
      <c r="AC9" s="18"/>
      <c r="AD9" s="21"/>
      <c r="AE9" s="18"/>
      <c r="AG9" s="3"/>
      <c r="AH9" s="18"/>
      <c r="AI9" s="21"/>
      <c r="AJ9" s="18"/>
      <c r="AL9" s="3"/>
    </row>
    <row r="10" spans="1:38" x14ac:dyDescent="0.2">
      <c r="A10">
        <v>2</v>
      </c>
      <c r="D10">
        <v>1.0001799981999999</v>
      </c>
      <c r="E10" s="1">
        <v>-1.04192761666667E-5</v>
      </c>
      <c r="F10" s="1">
        <v>-1.24752216666667E-5</v>
      </c>
      <c r="G10" s="1">
        <v>1.7179128585610801E-7</v>
      </c>
      <c r="H10" s="1">
        <v>5.6915904472934401E-8</v>
      </c>
      <c r="I10" s="1">
        <v>3.2690042656594199E-10</v>
      </c>
      <c r="K10">
        <v>0.2</v>
      </c>
      <c r="L10">
        <v>10</v>
      </c>
      <c r="M10" s="2">
        <f t="shared" si="0"/>
        <v>100.01799981999999</v>
      </c>
      <c r="N10" s="205">
        <f t="shared" si="1"/>
        <v>-0.24945953106676916</v>
      </c>
      <c r="O10" s="205">
        <f t="shared" si="2"/>
        <v>-0.20834802106456882</v>
      </c>
      <c r="P10" s="3"/>
      <c r="Q10" s="205">
        <f t="shared" si="3"/>
        <v>6.5368319133407367E-6</v>
      </c>
      <c r="R10" s="205">
        <f t="shared" si="4"/>
        <v>1.1381132311256892E-3</v>
      </c>
      <c r="S10" s="1">
        <f t="shared" si="5"/>
        <v>1.7176036929880289E-5</v>
      </c>
      <c r="T10" s="3">
        <f t="shared" si="6"/>
        <v>1.999640068387043E-3</v>
      </c>
      <c r="U10" s="3">
        <f t="shared" si="7"/>
        <v>1.999640068387043E-3</v>
      </c>
      <c r="X10" s="3">
        <f>'Data(2000)'!N35</f>
        <v>-0.20688727365950044</v>
      </c>
      <c r="Y10" s="3">
        <f>'Data (2012)'!O35</f>
        <v>-0.20914552862274613</v>
      </c>
      <c r="Z10" s="2"/>
      <c r="AA10" s="3">
        <f t="shared" ref="AA10:AB14" si="8">N42-X10</f>
        <v>-2.8307854250523512E-2</v>
      </c>
      <c r="AB10" s="3">
        <f t="shared" si="8"/>
        <v>1.79911570739546E-2</v>
      </c>
      <c r="AC10" s="18"/>
      <c r="AD10" s="21"/>
      <c r="AE10" s="18"/>
      <c r="AG10" s="3"/>
      <c r="AH10" s="18"/>
      <c r="AI10" s="21"/>
      <c r="AJ10" s="18"/>
      <c r="AL10" s="3"/>
    </row>
    <row r="11" spans="1:38" x14ac:dyDescent="0.2">
      <c r="A11">
        <v>3</v>
      </c>
      <c r="D11">
        <v>0.60002639776</v>
      </c>
      <c r="E11" s="1">
        <v>-6.2047846666667203E-6</v>
      </c>
      <c r="F11" s="1">
        <v>-1.02356080666667E-5</v>
      </c>
      <c r="G11" s="1">
        <v>1.3047181213809701E-7</v>
      </c>
      <c r="H11" s="1">
        <v>1.73047115263124E-7</v>
      </c>
      <c r="I11" s="1">
        <v>1.13318710471523E-7</v>
      </c>
      <c r="K11">
        <v>0.2</v>
      </c>
      <c r="L11">
        <v>10</v>
      </c>
      <c r="M11" s="2">
        <f t="shared" si="0"/>
        <v>60.002639776000002</v>
      </c>
      <c r="N11" s="205">
        <f t="shared" si="1"/>
        <v>-0.34117192526455353</v>
      </c>
      <c r="O11" s="205">
        <f t="shared" si="2"/>
        <v>-0.20681705637719378</v>
      </c>
      <c r="P11" s="3"/>
      <c r="Q11" s="205">
        <f t="shared" si="3"/>
        <v>3.7771241696885642E-3</v>
      </c>
      <c r="R11" s="205">
        <f t="shared" si="4"/>
        <v>5.7679834057014212E-3</v>
      </c>
      <c r="S11" s="1">
        <f t="shared" si="5"/>
        <v>2.1744345352999525E-5</v>
      </c>
      <c r="T11" s="3">
        <f t="shared" si="6"/>
        <v>3.3331866855630665E-3</v>
      </c>
      <c r="U11" s="3">
        <f t="shared" si="7"/>
        <v>3.3331866855630665E-3</v>
      </c>
      <c r="X11" s="3">
        <f>'Data(2000)'!N36</f>
        <v>-0.27748743353949917</v>
      </c>
      <c r="Y11" s="3">
        <f>'Data (2012)'!O36</f>
        <v>-0.20757087129560509</v>
      </c>
      <c r="Z11" s="2"/>
      <c r="AA11" s="3">
        <f t="shared" si="8"/>
        <v>-3.2204983673025378E-2</v>
      </c>
      <c r="AB11" s="3">
        <f t="shared" si="8"/>
        <v>2.9806923662118567E-2</v>
      </c>
      <c r="AC11" s="18"/>
      <c r="AD11" s="21"/>
      <c r="AE11" s="18"/>
      <c r="AG11" s="3"/>
      <c r="AH11" s="18"/>
      <c r="AI11" s="21"/>
      <c r="AJ11" s="18"/>
      <c r="AL11" s="3"/>
    </row>
    <row r="12" spans="1:38" x14ac:dyDescent="0.2">
      <c r="A12">
        <v>4</v>
      </c>
      <c r="D12">
        <v>0.40000214336000001</v>
      </c>
      <c r="E12" s="1">
        <v>-3.8972924000000003E-6</v>
      </c>
      <c r="F12" s="1">
        <v>-7.8330198833333198E-6</v>
      </c>
      <c r="G12" s="1">
        <v>2.5012865478444301E-8</v>
      </c>
      <c r="H12" s="1">
        <v>9.5300405603753994E-8</v>
      </c>
      <c r="I12" s="1">
        <v>2.3514357092772001E-8</v>
      </c>
      <c r="J12" s="1"/>
      <c r="K12">
        <v>0.2</v>
      </c>
      <c r="L12">
        <v>10</v>
      </c>
      <c r="M12" s="2">
        <f t="shared" si="0"/>
        <v>40.000214335999999</v>
      </c>
      <c r="N12" s="205">
        <f t="shared" si="1"/>
        <v>-0.39164889555522409</v>
      </c>
      <c r="O12" s="205">
        <f t="shared" si="2"/>
        <v>-0.19486357584301525</v>
      </c>
      <c r="P12" s="3"/>
      <c r="Q12" s="205">
        <f t="shared" si="3"/>
        <v>1.1757115547058055E-3</v>
      </c>
      <c r="R12" s="205">
        <f t="shared" si="4"/>
        <v>4.7649947474398451E-3</v>
      </c>
      <c r="S12" s="1">
        <f t="shared" si="5"/>
        <v>6.2531828625560242E-6</v>
      </c>
      <c r="T12" s="3">
        <f t="shared" si="6"/>
        <v>4.9999732081435627E-3</v>
      </c>
      <c r="U12" s="3">
        <f t="shared" si="7"/>
        <v>4.9999732081435627E-3</v>
      </c>
      <c r="X12" s="3">
        <f>'Data(2000)'!N37</f>
        <v>-0.31794850411741338</v>
      </c>
      <c r="Y12" s="3">
        <f>'Data (2012)'!O37</f>
        <v>-0.19655464530470193</v>
      </c>
      <c r="Z12" s="2"/>
      <c r="AA12" s="3">
        <f t="shared" si="8"/>
        <v>-4.6183269528511872E-2</v>
      </c>
      <c r="AB12" s="3">
        <f t="shared" si="8"/>
        <v>2.4881737098336743E-2</v>
      </c>
      <c r="AC12" s="18"/>
      <c r="AD12" s="21"/>
      <c r="AE12" s="18"/>
      <c r="AG12" s="3"/>
      <c r="AH12" s="18"/>
      <c r="AI12" s="21"/>
      <c r="AJ12" s="18"/>
      <c r="AL12" s="3"/>
    </row>
    <row r="13" spans="1:38" x14ac:dyDescent="0.2">
      <c r="A13">
        <v>5</v>
      </c>
      <c r="D13">
        <v>0.20002459148000001</v>
      </c>
      <c r="E13" s="1">
        <v>-1.79244788333334E-6</v>
      </c>
      <c r="F13" s="1">
        <v>-4.8183479166666698E-6</v>
      </c>
      <c r="G13" s="1">
        <v>5.2044102353282598E-8</v>
      </c>
      <c r="H13" s="1">
        <v>9.3368280806098203E-8</v>
      </c>
      <c r="I13" s="1">
        <v>3.1924082777109201E-8</v>
      </c>
      <c r="J13" s="1"/>
      <c r="K13">
        <v>0.2</v>
      </c>
      <c r="L13">
        <v>10</v>
      </c>
      <c r="M13" s="2">
        <f t="shared" si="0"/>
        <v>20.002459148</v>
      </c>
      <c r="N13" s="205">
        <f t="shared" si="1"/>
        <v>-0.48177555379718845</v>
      </c>
      <c r="O13" s="205">
        <f t="shared" si="2"/>
        <v>-0.17922275156978013</v>
      </c>
      <c r="P13" s="3"/>
      <c r="Q13" s="205">
        <f t="shared" si="3"/>
        <v>3.1920157957479158E-3</v>
      </c>
      <c r="R13" s="205">
        <f t="shared" si="4"/>
        <v>9.3356801896464694E-3</v>
      </c>
      <c r="S13" s="1">
        <f t="shared" si="5"/>
        <v>2.6018851966252542E-5</v>
      </c>
      <c r="T13" s="3">
        <f t="shared" si="6"/>
        <v>9.9987705771666362E-3</v>
      </c>
      <c r="U13" s="3">
        <f t="shared" si="7"/>
        <v>9.9987705771666362E-3</v>
      </c>
      <c r="X13" s="3">
        <f>'Data(2000)'!N38</f>
        <v>-0.37309207469497901</v>
      </c>
      <c r="Y13" s="3">
        <f>'Data (2012)'!O38</f>
        <v>-0.1648337308856147</v>
      </c>
      <c r="Z13" s="2"/>
      <c r="AA13" s="3">
        <f t="shared" si="8"/>
        <v>-5.8208276791510527E-2</v>
      </c>
      <c r="AB13" s="3">
        <f t="shared" si="8"/>
        <v>-4.6005532698959462E-3</v>
      </c>
      <c r="AC13" s="18"/>
      <c r="AD13" s="21"/>
      <c r="AE13" s="18"/>
      <c r="AG13" s="3"/>
      <c r="AH13" s="18"/>
      <c r="AI13" s="21"/>
      <c r="AJ13" s="18"/>
      <c r="AL13" s="3"/>
    </row>
    <row r="14" spans="1:38" x14ac:dyDescent="0.2">
      <c r="A14">
        <v>6</v>
      </c>
      <c r="D14">
        <v>0.1000258275</v>
      </c>
      <c r="E14" s="1">
        <v>-9.1780965333333298E-7</v>
      </c>
      <c r="F14" s="1">
        <v>-2.6761339333333302E-6</v>
      </c>
      <c r="G14" s="1">
        <v>2.3784796597849101E-8</v>
      </c>
      <c r="H14" s="1">
        <v>7.0937696570815998E-8</v>
      </c>
      <c r="I14" s="1">
        <v>1.0733344763025E-7</v>
      </c>
      <c r="J14" s="1"/>
      <c r="K14">
        <v>0.2</v>
      </c>
      <c r="L14">
        <v>10</v>
      </c>
      <c r="M14" s="2">
        <f t="shared" si="0"/>
        <v>10.00258275</v>
      </c>
      <c r="N14" s="205">
        <f t="shared" si="1"/>
        <v>-0.53508858666194603</v>
      </c>
      <c r="O14" s="205">
        <f t="shared" si="2"/>
        <v>-0.18351453345053967</v>
      </c>
      <c r="P14" s="3"/>
      <c r="Q14" s="205">
        <f t="shared" si="3"/>
        <v>2.1461146648399383E-2</v>
      </c>
      <c r="R14" s="205">
        <f t="shared" si="4"/>
        <v>1.4183875973596119E-2</v>
      </c>
      <c r="S14" s="1">
        <f t="shared" si="5"/>
        <v>2.3778655165686184E-5</v>
      </c>
      <c r="T14" s="3">
        <f t="shared" si="6"/>
        <v>1.9994835833775038E-2</v>
      </c>
      <c r="U14" s="3">
        <f t="shared" si="7"/>
        <v>1.9994835833775038E-2</v>
      </c>
      <c r="X14" s="3">
        <f>'Data(2000)'!N39</f>
        <v>-0.41157445956753275</v>
      </c>
      <c r="Y14" s="3">
        <f>'Data (2012)'!O39</f>
        <v>-0.21128689207763918</v>
      </c>
      <c r="Z14" s="2"/>
      <c r="AA14" s="3">
        <f t="shared" si="8"/>
        <v>-5.6153542351743302E-2</v>
      </c>
      <c r="AB14" s="3">
        <f t="shared" si="8"/>
        <v>4.6857910638179234E-2</v>
      </c>
      <c r="AC14" s="18"/>
      <c r="AD14" s="21"/>
      <c r="AE14" s="18"/>
      <c r="AG14" s="3"/>
      <c r="AH14" s="18"/>
      <c r="AI14" s="21"/>
      <c r="AJ14" s="18"/>
      <c r="AL14" s="3"/>
    </row>
    <row r="15" spans="1:38" x14ac:dyDescent="0.2">
      <c r="A15">
        <v>7</v>
      </c>
      <c r="F15" s="1"/>
      <c r="G15" s="1"/>
      <c r="H15" s="1"/>
      <c r="I15" s="1"/>
      <c r="J15" s="1"/>
      <c r="L15" s="1"/>
      <c r="M15" s="1"/>
      <c r="N15" s="206" t="s">
        <v>425</v>
      </c>
      <c r="O15" s="207"/>
      <c r="Q15" s="207"/>
      <c r="R15" s="207"/>
      <c r="S15" s="201" t="s">
        <v>494</v>
      </c>
      <c r="U15" s="26"/>
      <c r="V15" s="26"/>
      <c r="AG15" s="21"/>
      <c r="AL15" s="21"/>
    </row>
    <row r="16" spans="1:38" x14ac:dyDescent="0.2">
      <c r="A16">
        <v>8</v>
      </c>
      <c r="F16" s="1"/>
      <c r="G16" s="1"/>
      <c r="H16" s="1"/>
      <c r="I16" s="1"/>
      <c r="J16" s="1"/>
      <c r="L16" s="1"/>
      <c r="M16" s="1"/>
      <c r="N16" s="207" t="s">
        <v>424</v>
      </c>
      <c r="O16" s="207"/>
      <c r="Q16" s="207"/>
      <c r="R16" s="207"/>
    </row>
    <row r="17" spans="1:30" x14ac:dyDescent="0.2">
      <c r="A17">
        <v>9</v>
      </c>
      <c r="B17" s="4">
        <v>36536</v>
      </c>
      <c r="C17" s="4" t="s">
        <v>64</v>
      </c>
      <c r="D17">
        <v>1.1996934388</v>
      </c>
      <c r="E17" s="1">
        <v>-1.24752250000001E-5</v>
      </c>
      <c r="F17" s="1">
        <v>-1.3355844166666699E-5</v>
      </c>
      <c r="G17" s="1">
        <v>1.1264975463868001E-6</v>
      </c>
      <c r="H17" s="1">
        <v>3.30718913883237E-10</v>
      </c>
      <c r="I17" s="1">
        <v>1.10381671935632E-7</v>
      </c>
      <c r="K17">
        <v>0.2</v>
      </c>
      <c r="L17">
        <v>10</v>
      </c>
      <c r="M17" s="2">
        <f t="shared" ref="M17:M22" si="9">100*D17/(K17*5)</f>
        <v>119.96934388</v>
      </c>
      <c r="N17" s="205">
        <f t="shared" ref="N17:N22" si="10">1000000*F17*K17/(L17*D17)</f>
        <v>-0.2226542837481208</v>
      </c>
      <c r="O17" s="205">
        <f t="shared" ref="O17:O22" si="11">1000000*E17*K17/(D17*L17)</f>
        <v>-0.20797354718349575</v>
      </c>
      <c r="Q17" s="205">
        <f t="shared" ref="Q17:Q22" si="12">1000000*K17*I17/(L17*D17)</f>
        <v>1.840164634826075E-3</v>
      </c>
      <c r="R17" s="205">
        <f t="shared" ref="R17:R22" si="13">1000000*K17*H17/(L17*D17)</f>
        <v>5.5133903910325693E-6</v>
      </c>
      <c r="S17" s="1">
        <f t="shared" ref="S17:S22" si="14">G17*100/D17</f>
        <v>9.3898783635391509E-5</v>
      </c>
      <c r="T17" s="3">
        <f t="shared" ref="T17:T22" si="15">Comode_std*K17/(L17*D17)</f>
        <v>1.6670925549117878E-3</v>
      </c>
      <c r="U17" s="3">
        <f t="shared" ref="U17:U22" si="16">Comode_std*K17/(L17*D17)</f>
        <v>1.6670925549117878E-3</v>
      </c>
      <c r="V17" s="3">
        <f>'Data(2000)'!E17</f>
        <v>-1.12290716666667E-5</v>
      </c>
      <c r="W17" s="3">
        <f>'Data(2000)'!F17</f>
        <v>-9.6927538666666894E-6</v>
      </c>
      <c r="X17" s="3"/>
    </row>
    <row r="18" spans="1:30" x14ac:dyDescent="0.2">
      <c r="A18">
        <v>10</v>
      </c>
      <c r="D18">
        <v>0.99995956917999995</v>
      </c>
      <c r="E18" s="1">
        <v>-1.03850898333333E-5</v>
      </c>
      <c r="F18" s="1">
        <v>-1.24740713333333E-5</v>
      </c>
      <c r="G18" s="1">
        <v>1.67843459133026E-7</v>
      </c>
      <c r="H18" s="1">
        <v>8.5395970708842198E-8</v>
      </c>
      <c r="I18" s="1">
        <v>1.66713673371112E-9</v>
      </c>
      <c r="J18" s="1"/>
      <c r="K18">
        <v>0.2</v>
      </c>
      <c r="L18">
        <v>10</v>
      </c>
      <c r="M18" s="2">
        <f t="shared" si="9"/>
        <v>99.99595691799999</v>
      </c>
      <c r="N18" s="205">
        <f t="shared" si="10"/>
        <v>-0.24949151381315254</v>
      </c>
      <c r="O18" s="205">
        <f t="shared" si="11"/>
        <v>-0.20771019456015444</v>
      </c>
      <c r="Q18" s="205">
        <f t="shared" si="12"/>
        <v>3.3344082802832263E-5</v>
      </c>
      <c r="R18" s="205">
        <f t="shared" si="13"/>
        <v>1.7079884695512186E-3</v>
      </c>
      <c r="S18" s="1">
        <f t="shared" si="14"/>
        <v>1.6785024545608699E-5</v>
      </c>
      <c r="T18" s="3">
        <f t="shared" si="15"/>
        <v>2.0000808649094349E-3</v>
      </c>
      <c r="U18" s="3">
        <f t="shared" si="16"/>
        <v>2.0000808649094349E-3</v>
      </c>
      <c r="V18" s="3">
        <f>'Data(2000)'!E18</f>
        <v>-1.03871923333333E-5</v>
      </c>
      <c r="W18" s="3">
        <f>'Data(2000)'!F18</f>
        <v>-8.2733919333333292E-6</v>
      </c>
      <c r="X18" s="3"/>
    </row>
    <row r="19" spans="1:30" x14ac:dyDescent="0.2">
      <c r="A19">
        <v>11</v>
      </c>
      <c r="D19">
        <v>0.60003436751999994</v>
      </c>
      <c r="E19" s="1">
        <v>-5.92127254999999E-6</v>
      </c>
      <c r="F19" s="1">
        <v>-9.7804412666666793E-6</v>
      </c>
      <c r="G19" s="1">
        <v>1.9154792088725901E-7</v>
      </c>
      <c r="H19" s="1">
        <v>2.07667379290371E-7</v>
      </c>
      <c r="I19" s="1">
        <v>4.7498931146524003E-8</v>
      </c>
      <c r="J19" s="1"/>
      <c r="K19">
        <v>0.2</v>
      </c>
      <c r="L19">
        <v>10</v>
      </c>
      <c r="M19" s="2">
        <f t="shared" si="9"/>
        <v>60.003436751999992</v>
      </c>
      <c r="N19" s="205">
        <f t="shared" si="10"/>
        <v>-0.32599603609673855</v>
      </c>
      <c r="O19" s="205">
        <f t="shared" si="11"/>
        <v>-0.1973644467890458</v>
      </c>
      <c r="Q19" s="205">
        <f t="shared" si="12"/>
        <v>1.5832070200525906E-3</v>
      </c>
      <c r="R19" s="205">
        <f t="shared" si="13"/>
        <v>6.9218494983439146E-3</v>
      </c>
      <c r="S19" s="1">
        <f t="shared" si="14"/>
        <v>3.1922824967333972E-5</v>
      </c>
      <c r="T19" s="3">
        <f t="shared" si="15"/>
        <v>3.333142413602397E-3</v>
      </c>
      <c r="U19" s="3">
        <f t="shared" si="16"/>
        <v>3.333142413602397E-3</v>
      </c>
      <c r="V19" s="3">
        <f>'Data(2000)'!E19</f>
        <v>-8.3270701999999693E-6</v>
      </c>
      <c r="W19" s="3">
        <f>'Data(2000)'!F19</f>
        <v>-4.4316804333333599E-6</v>
      </c>
      <c r="X19" s="3"/>
    </row>
    <row r="20" spans="1:30" x14ac:dyDescent="0.2">
      <c r="A20">
        <v>12</v>
      </c>
      <c r="D20">
        <v>0.40005308422000002</v>
      </c>
      <c r="E20" s="1">
        <v>-3.7785536666666598E-6</v>
      </c>
      <c r="F20" s="1">
        <v>-7.8330960499999402E-6</v>
      </c>
      <c r="G20" s="1">
        <v>2.5206059790566202E-7</v>
      </c>
      <c r="H20" s="1">
        <v>1.0787456391826401E-7</v>
      </c>
      <c r="I20" s="1">
        <v>2.2954434351920901E-9</v>
      </c>
      <c r="J20" s="1"/>
      <c r="K20">
        <v>0.2</v>
      </c>
      <c r="L20">
        <v>10</v>
      </c>
      <c r="M20" s="2">
        <f>100*D20/(K20*5)</f>
        <v>40.005308421999999</v>
      </c>
      <c r="N20" s="205">
        <f t="shared" si="10"/>
        <v>-0.39160283267269153</v>
      </c>
      <c r="O20" s="205">
        <f t="shared" si="11"/>
        <v>-0.18890261396353744</v>
      </c>
      <c r="Q20" s="205">
        <f t="shared" si="12"/>
        <v>1.147569423026752E-4</v>
      </c>
      <c r="R20" s="205">
        <f t="shared" si="13"/>
        <v>5.3930124862599915E-3</v>
      </c>
      <c r="S20" s="1">
        <f t="shared" si="14"/>
        <v>6.3006787810951376E-5</v>
      </c>
      <c r="T20" s="3">
        <f t="shared" si="15"/>
        <v>4.9993365352987663E-3</v>
      </c>
      <c r="U20" s="3">
        <f t="shared" si="16"/>
        <v>4.9993365352987663E-3</v>
      </c>
      <c r="V20" s="3">
        <f>'Data(2000)'!E20</f>
        <v>-6.3782731999999896E-6</v>
      </c>
      <c r="W20" s="3">
        <f>'Data(2000)'!F20</f>
        <v>-2.93174043333332E-6</v>
      </c>
      <c r="X20" s="3"/>
    </row>
    <row r="21" spans="1:30" x14ac:dyDescent="0.2">
      <c r="A21">
        <v>13</v>
      </c>
      <c r="D21">
        <v>0.20001318382</v>
      </c>
      <c r="E21" s="1">
        <v>-1.75994241666667E-6</v>
      </c>
      <c r="F21" s="1">
        <v>-4.6260090666666699E-6</v>
      </c>
      <c r="G21" s="1">
        <v>1.26779497565513E-7</v>
      </c>
      <c r="H21" s="1">
        <v>7.98529443351529E-8</v>
      </c>
      <c r="I21" s="1">
        <v>4.5320470802889497E-8</v>
      </c>
      <c r="J21" s="1"/>
      <c r="K21">
        <v>0.2</v>
      </c>
      <c r="L21">
        <v>10</v>
      </c>
      <c r="M21" s="2">
        <f t="shared" si="9"/>
        <v>20.001318382000001</v>
      </c>
      <c r="N21" s="205">
        <f t="shared" si="10"/>
        <v>-0.46257041444126051</v>
      </c>
      <c r="O21" s="205">
        <f t="shared" si="11"/>
        <v>-0.17598264104935343</v>
      </c>
      <c r="Q21" s="205">
        <f t="shared" si="12"/>
        <v>4.5317483515161924E-3</v>
      </c>
      <c r="R21" s="205">
        <f t="shared" si="13"/>
        <v>7.9847680847894339E-3</v>
      </c>
      <c r="S21" s="1">
        <f t="shared" si="14"/>
        <v>6.3385570462998593E-5</v>
      </c>
      <c r="T21" s="3">
        <f t="shared" si="15"/>
        <v>9.9993408524504165E-3</v>
      </c>
      <c r="U21" s="3">
        <f t="shared" si="16"/>
        <v>9.9993408524504165E-3</v>
      </c>
      <c r="V21" s="3">
        <f>'Data(2000)'!E21</f>
        <v>-3.73511323333333E-6</v>
      </c>
      <c r="W21" s="3">
        <f>'Data(2000)'!F21</f>
        <v>-1.35512406666666E-6</v>
      </c>
      <c r="X21" s="3"/>
    </row>
    <row r="22" spans="1:30" x14ac:dyDescent="0.2">
      <c r="A22">
        <v>14</v>
      </c>
      <c r="D22">
        <v>0.10004456457999999</v>
      </c>
      <c r="E22" s="1">
        <v>-8.9258865833333402E-7</v>
      </c>
      <c r="F22" s="1">
        <v>-2.5753562666666699E-6</v>
      </c>
      <c r="G22" s="1">
        <v>7.9640990499589001E-8</v>
      </c>
      <c r="H22" s="1">
        <v>9.3389314559848006E-8</v>
      </c>
      <c r="I22" s="1">
        <v>5.1043563826032201E-8</v>
      </c>
      <c r="J22" s="1"/>
      <c r="K22">
        <v>0.2</v>
      </c>
      <c r="L22">
        <v>10</v>
      </c>
      <c r="M22" s="2">
        <f t="shared" si="9"/>
        <v>10.004456458</v>
      </c>
      <c r="N22" s="205">
        <f t="shared" si="10"/>
        <v>-0.51484181624026226</v>
      </c>
      <c r="O22" s="205">
        <f t="shared" si="11"/>
        <v>-0.1784382114271848</v>
      </c>
      <c r="Q22" s="205">
        <f t="shared" si="12"/>
        <v>1.0204165321788279E-2</v>
      </c>
      <c r="R22" s="205">
        <f t="shared" si="13"/>
        <v>1.8669542908584472E-2</v>
      </c>
      <c r="S22" s="1">
        <f t="shared" si="14"/>
        <v>7.9605514636334491E-5</v>
      </c>
      <c r="T22" s="3">
        <f t="shared" si="15"/>
        <v>1.9991091054234269E-2</v>
      </c>
      <c r="U22" s="3">
        <f t="shared" si="16"/>
        <v>1.9991091054234269E-2</v>
      </c>
      <c r="V22" s="3">
        <f>'Data(2000)'!E22</f>
        <v>-2.1978718999999999E-6</v>
      </c>
      <c r="W22" s="3">
        <f>'Data(2000)'!F22</f>
        <v>-6.7897431333333295E-7</v>
      </c>
      <c r="X22" s="3"/>
      <c r="AA22" s="145"/>
    </row>
    <row r="23" spans="1:30" x14ac:dyDescent="0.2">
      <c r="A23">
        <v>15</v>
      </c>
      <c r="E23" s="1"/>
      <c r="F23" s="1"/>
      <c r="G23" s="1"/>
      <c r="H23" s="1"/>
      <c r="I23" s="1"/>
      <c r="J23" s="1"/>
      <c r="M23" s="2"/>
      <c r="N23" s="206" t="s">
        <v>425</v>
      </c>
      <c r="O23" s="205"/>
      <c r="P23" s="34"/>
      <c r="Q23" s="205"/>
      <c r="R23" s="205"/>
      <c r="S23" s="1"/>
      <c r="T23" s="3"/>
      <c r="U23" s="3"/>
      <c r="X23" s="3"/>
    </row>
    <row r="24" spans="1:30" x14ac:dyDescent="0.2">
      <c r="A24">
        <v>16</v>
      </c>
      <c r="N24" s="207" t="s">
        <v>424</v>
      </c>
      <c r="O24" s="207"/>
      <c r="P24" s="34"/>
      <c r="Q24" s="34"/>
      <c r="R24" s="34"/>
    </row>
    <row r="25" spans="1:30" x14ac:dyDescent="0.2">
      <c r="A25">
        <v>17</v>
      </c>
      <c r="B25" s="8"/>
    </row>
    <row r="26" spans="1:30" x14ac:dyDescent="0.2">
      <c r="A26">
        <v>18</v>
      </c>
      <c r="B26" s="139">
        <v>41306</v>
      </c>
      <c r="C26" s="8" t="s">
        <v>429</v>
      </c>
      <c r="D26">
        <v>1.1976207092</v>
      </c>
      <c r="E26" s="1">
        <v>-1.5426573166666701E-5</v>
      </c>
      <c r="F26" s="1">
        <v>-1.2113196833333199E-5</v>
      </c>
      <c r="G26" s="1">
        <v>6.6313085813267896E-6</v>
      </c>
      <c r="H26" s="1">
        <v>2.9732344233730701E-7</v>
      </c>
      <c r="I26" s="1">
        <v>2.7217939495849398E-7</v>
      </c>
      <c r="J26" s="7"/>
      <c r="K26" s="8">
        <v>0.2</v>
      </c>
      <c r="L26" s="8">
        <v>10</v>
      </c>
      <c r="M26" s="135">
        <f t="shared" ref="M26:M31" si="17">100*D26/(K26*5)</f>
        <v>119.76207092</v>
      </c>
      <c r="N26" s="25">
        <f t="shared" ref="N26:N31" si="18">1000000*E26*K26/(L26*D26)</f>
        <v>-0.25762034754678742</v>
      </c>
      <c r="O26" s="25">
        <f t="shared" ref="O26:O31" si="19">1000000*F26*K26/(D26*L26)</f>
        <v>-0.20228769827176268</v>
      </c>
      <c r="P26" s="8"/>
      <c r="Q26" s="25">
        <f t="shared" ref="Q26:Q31" si="20">1000000*K26*H26/(L26*D26)</f>
        <v>4.9652354882192455E-3</v>
      </c>
      <c r="R26" s="25">
        <f t="shared" ref="R26:R31" si="21">1000000*K26*I26/(L26*D26)</f>
        <v>4.5453354783804197E-3</v>
      </c>
      <c r="S26" s="24">
        <f t="shared" ref="S26:S31" si="22">G26*100/D26</f>
        <v>5.5370690656781013E-4</v>
      </c>
    </row>
    <row r="27" spans="1:30" x14ac:dyDescent="0.2">
      <c r="A27">
        <v>19</v>
      </c>
      <c r="B27" s="8"/>
      <c r="C27" s="8" t="s">
        <v>426</v>
      </c>
      <c r="D27">
        <v>1.002435309</v>
      </c>
      <c r="E27" s="1">
        <v>-1.2813600666666701E-5</v>
      </c>
      <c r="F27" s="1">
        <v>-1.0679727483333299E-5</v>
      </c>
      <c r="G27" s="1">
        <v>3.7415022292764699E-6</v>
      </c>
      <c r="H27" s="1">
        <v>4.4410208199567002E-7</v>
      </c>
      <c r="I27" s="1">
        <v>4.7730197179476002E-7</v>
      </c>
      <c r="J27" s="7"/>
      <c r="K27" s="8">
        <v>0.2</v>
      </c>
      <c r="L27" s="8">
        <v>10</v>
      </c>
      <c r="M27" s="135">
        <f t="shared" si="17"/>
        <v>100.2435309</v>
      </c>
      <c r="N27" s="25">
        <f t="shared" si="18"/>
        <v>-0.2556494279805282</v>
      </c>
      <c r="O27" s="25">
        <f t="shared" si="19"/>
        <v>-0.2130756446316138</v>
      </c>
      <c r="P27" s="8"/>
      <c r="Q27" s="25">
        <f t="shared" si="20"/>
        <v>8.8604636729864034E-3</v>
      </c>
      <c r="R27" s="25">
        <f t="shared" si="21"/>
        <v>9.522848357584341E-3</v>
      </c>
      <c r="S27" s="24">
        <f t="shared" si="22"/>
        <v>3.7324126511553972E-4</v>
      </c>
    </row>
    <row r="28" spans="1:30" x14ac:dyDescent="0.2">
      <c r="A28">
        <v>20</v>
      </c>
      <c r="B28" s="8"/>
      <c r="C28" s="8" t="s">
        <v>427</v>
      </c>
      <c r="D28">
        <v>0.60049053785999995</v>
      </c>
      <c r="E28" s="1">
        <v>-1.03175867500001E-5</v>
      </c>
      <c r="F28" s="1">
        <v>-5.7669734833333901E-6</v>
      </c>
      <c r="G28" s="1">
        <v>5.22588371601436E-7</v>
      </c>
      <c r="H28" s="1">
        <v>2.3050253363380599E-7</v>
      </c>
      <c r="I28" s="1">
        <v>3.3590748617245901E-7</v>
      </c>
      <c r="J28" s="7"/>
      <c r="K28" s="8">
        <v>0.2</v>
      </c>
      <c r="L28" s="8">
        <v>10</v>
      </c>
      <c r="M28" s="135">
        <f t="shared" si="17"/>
        <v>60.049053785999995</v>
      </c>
      <c r="N28" s="25">
        <f t="shared" si="18"/>
        <v>-0.34363861208436136</v>
      </c>
      <c r="O28" s="25">
        <f t="shared" si="19"/>
        <v>-0.19207541567217565</v>
      </c>
      <c r="P28" s="8"/>
      <c r="Q28" s="25">
        <f t="shared" si="20"/>
        <v>7.677141240401893E-3</v>
      </c>
      <c r="R28" s="25">
        <f t="shared" si="21"/>
        <v>1.1187769498235573E-2</v>
      </c>
      <c r="S28" s="24">
        <f t="shared" si="22"/>
        <v>8.702691194166223E-5</v>
      </c>
    </row>
    <row r="29" spans="1:30" x14ac:dyDescent="0.2">
      <c r="A29">
        <v>21</v>
      </c>
      <c r="B29" s="7"/>
      <c r="D29">
        <v>0.39978789613999999</v>
      </c>
      <c r="E29" s="1">
        <v>-7.9801399666666695E-6</v>
      </c>
      <c r="F29" s="1">
        <v>-4.3607440999999999E-6</v>
      </c>
      <c r="G29" s="1">
        <v>4.0024651727374598E-7</v>
      </c>
      <c r="H29" s="1">
        <v>1.9550247718123401E-7</v>
      </c>
      <c r="I29" s="1">
        <v>6.60924490636555E-7</v>
      </c>
      <c r="J29" s="7"/>
      <c r="K29" s="8">
        <v>0.2</v>
      </c>
      <c r="L29" s="8">
        <v>10</v>
      </c>
      <c r="M29" s="135">
        <f t="shared" si="17"/>
        <v>39.978789614</v>
      </c>
      <c r="N29" s="25">
        <f t="shared" si="18"/>
        <v>-0.39921868789505027</v>
      </c>
      <c r="O29" s="25">
        <f t="shared" si="19"/>
        <v>-0.21815288267121175</v>
      </c>
      <c r="P29" s="8"/>
      <c r="Q29" s="25">
        <f t="shared" si="20"/>
        <v>9.7803099627994661E-3</v>
      </c>
      <c r="R29" s="25">
        <f t="shared" si="21"/>
        <v>3.3063756907993465E-2</v>
      </c>
      <c r="S29" s="24">
        <f t="shared" si="22"/>
        <v>1.0011471611276229E-4</v>
      </c>
    </row>
    <row r="30" spans="1:30" x14ac:dyDescent="0.2">
      <c r="A30">
        <v>22</v>
      </c>
      <c r="B30" s="7"/>
      <c r="D30">
        <v>0.20023832997999999</v>
      </c>
      <c r="E30" s="1">
        <v>-4.8452885833333699E-6</v>
      </c>
      <c r="F30" s="1">
        <v>-2.1186258999999999E-6</v>
      </c>
      <c r="G30" s="1">
        <v>5.8238634631651102E-8</v>
      </c>
      <c r="H30" s="1">
        <v>4.7807102314909998E-7</v>
      </c>
      <c r="I30" s="1">
        <v>6.6540257563437298E-7</v>
      </c>
      <c r="J30" s="7"/>
      <c r="K30" s="8">
        <v>0.2</v>
      </c>
      <c r="L30" s="8">
        <v>10</v>
      </c>
      <c r="M30" s="135">
        <f t="shared" si="17"/>
        <v>20.023832998</v>
      </c>
      <c r="N30" s="25">
        <f t="shared" si="18"/>
        <v>-0.48395215679408859</v>
      </c>
      <c r="O30" s="25">
        <f t="shared" si="19"/>
        <v>-0.21161042445885467</v>
      </c>
      <c r="P30" s="8"/>
      <c r="Q30" s="25">
        <f t="shared" si="20"/>
        <v>4.7750200792910147E-2</v>
      </c>
      <c r="R30" s="25">
        <f t="shared" si="21"/>
        <v>6.6461059248829543E-2</v>
      </c>
      <c r="S30" s="24">
        <f t="shared" si="22"/>
        <v>2.9084658585330807E-5</v>
      </c>
    </row>
    <row r="31" spans="1:30" x14ac:dyDescent="0.2">
      <c r="A31">
        <v>23</v>
      </c>
      <c r="B31" s="7"/>
      <c r="D31">
        <v>0.10221956318</v>
      </c>
      <c r="E31" s="1">
        <v>-3.07381415E-6</v>
      </c>
      <c r="F31" s="1">
        <v>-1.2649920855000001E-6</v>
      </c>
      <c r="G31" s="1">
        <v>6.1720348795786397E-7</v>
      </c>
      <c r="H31" s="1">
        <v>6.8601434018146496E-7</v>
      </c>
      <c r="I31" s="1">
        <v>6.4765851203588997E-7</v>
      </c>
      <c r="J31" s="7"/>
      <c r="K31" s="8">
        <v>0.2</v>
      </c>
      <c r="L31" s="8">
        <v>10</v>
      </c>
      <c r="M31" s="135">
        <f t="shared" si="17"/>
        <v>10.221956318</v>
      </c>
      <c r="N31" s="25">
        <f t="shared" si="18"/>
        <v>-0.6014140648570907</v>
      </c>
      <c r="O31" s="25">
        <f t="shared" si="19"/>
        <v>-0.24750488969952966</v>
      </c>
      <c r="P31" s="8"/>
      <c r="Q31" s="25">
        <f t="shared" si="20"/>
        <v>0.13422368846821459</v>
      </c>
      <c r="R31" s="25">
        <f t="shared" si="21"/>
        <v>0.1267190920969635</v>
      </c>
      <c r="S31" s="24">
        <f t="shared" si="22"/>
        <v>6.0380172714201571E-4</v>
      </c>
    </row>
    <row r="32" spans="1:30" x14ac:dyDescent="0.2">
      <c r="A32">
        <v>24</v>
      </c>
      <c r="E32" s="1"/>
      <c r="F32" s="1"/>
      <c r="G32" s="1"/>
      <c r="H32" s="1"/>
      <c r="I32" s="1"/>
      <c r="M32" s="2"/>
      <c r="N32" s="3"/>
      <c r="O32" s="3"/>
      <c r="Q32" s="3"/>
      <c r="R32" s="3"/>
      <c r="S32" s="1"/>
      <c r="W32" s="64" t="s">
        <v>259</v>
      </c>
      <c r="X32" s="64"/>
      <c r="Y32" s="308" t="s">
        <v>266</v>
      </c>
      <c r="Z32" s="308"/>
      <c r="AA32" s="308"/>
      <c r="AB32" s="308"/>
      <c r="AC32" s="308"/>
      <c r="AD32" s="308"/>
    </row>
    <row r="33" spans="1:30" x14ac:dyDescent="0.2">
      <c r="A33">
        <v>25</v>
      </c>
      <c r="D33" s="8"/>
      <c r="W33" s="33" t="s">
        <v>5</v>
      </c>
      <c r="X33" s="33" t="s">
        <v>6</v>
      </c>
      <c r="Y33" s="34" t="s">
        <v>260</v>
      </c>
      <c r="Z33" s="34" t="s">
        <v>261</v>
      </c>
      <c r="AA33" s="34" t="s">
        <v>262</v>
      </c>
      <c r="AB33" s="34" t="s">
        <v>263</v>
      </c>
      <c r="AC33" s="34" t="s">
        <v>264</v>
      </c>
      <c r="AD33" s="34" t="s">
        <v>265</v>
      </c>
    </row>
    <row r="34" spans="1:30" x14ac:dyDescent="0.2">
      <c r="A34">
        <v>26</v>
      </c>
      <c r="B34" s="4">
        <v>41306</v>
      </c>
      <c r="C34" s="8" t="s">
        <v>13</v>
      </c>
      <c r="D34">
        <v>1.197532582</v>
      </c>
      <c r="E34" s="1">
        <v>-1.2191205333333301E-5</v>
      </c>
      <c r="F34" s="1">
        <v>-1.1076620500000099E-5</v>
      </c>
      <c r="G34" s="1">
        <v>2.64668611968243E-6</v>
      </c>
      <c r="H34" s="1">
        <v>1.8806852679689801E-7</v>
      </c>
      <c r="I34" s="1">
        <v>2.97286376481781E-8</v>
      </c>
      <c r="J34" s="1"/>
      <c r="K34">
        <v>0.2</v>
      </c>
      <c r="L34">
        <v>10</v>
      </c>
      <c r="M34" s="2">
        <f t="shared" ref="M34:M39" si="23">100*D34/(K34*5)</f>
        <v>119.7532582</v>
      </c>
      <c r="N34" s="3">
        <f t="shared" ref="N34:N39" si="24">1000000*E34*K34/(L34*D34)</f>
        <v>-0.20360540525707888</v>
      </c>
      <c r="O34" s="3">
        <f t="shared" ref="O34:O39" si="25">1000000*F34*K34/(D34*L34)</f>
        <v>-0.1849907161857931</v>
      </c>
      <c r="Q34" s="3">
        <f t="shared" ref="Q34:Q39" si="26">1000000*K34*H34/(L34*D34)</f>
        <v>3.1409337770635787E-3</v>
      </c>
      <c r="R34" s="3">
        <f t="shared" ref="R34:R39" si="27">1000000*K34*I34/(L34*D34)</f>
        <v>4.9649818460101151E-4</v>
      </c>
      <c r="S34" s="1">
        <f t="shared" ref="S34:S39" si="28">G34*100/D34</f>
        <v>2.2101161667452906E-4</v>
      </c>
      <c r="T34" s="3" t="e">
        <f t="shared" ref="T34:T39" si="29">Noise_std*K34/(L34*D34)</f>
        <v>#NAME?</v>
      </c>
      <c r="U34" s="3" t="e">
        <f t="shared" ref="U34:U39" si="30">Noise_std*K34/(L34*D34)</f>
        <v>#NAME?</v>
      </c>
      <c r="W34" s="26">
        <f t="shared" ref="W34:X39" si="31">(N34+N17+N9)/3</f>
        <v>-0.22048229520075935</v>
      </c>
      <c r="X34" s="26">
        <f t="shared" si="31"/>
        <v>-0.20107516167373865</v>
      </c>
      <c r="Y34" s="3">
        <f t="shared" ref="Y34:Y39" si="32">N34-W34</f>
        <v>1.6876889943680473E-2</v>
      </c>
      <c r="Z34" s="3">
        <f t="shared" ref="Z34:Z39" si="33">W34-N17</f>
        <v>2.1719885473614475E-3</v>
      </c>
      <c r="AA34" s="3">
        <f t="shared" ref="AA34:AA39" si="34">W34-N9</f>
        <v>1.4704901396318998E-2</v>
      </c>
      <c r="AB34" s="3">
        <f t="shared" ref="AB34:AB39" si="35">Q34-Z34</f>
        <v>9.6894522970213115E-4</v>
      </c>
      <c r="AC34" s="3">
        <f t="shared" ref="AC34:AC39" si="36">Z34-Q17</f>
        <v>3.3182391253537254E-4</v>
      </c>
      <c r="AD34" s="3">
        <f t="shared" ref="AD34:AD39" si="37">Z34-Q9</f>
        <v>2.1667357183881462E-3</v>
      </c>
    </row>
    <row r="35" spans="1:30" x14ac:dyDescent="0.2">
      <c r="A35">
        <v>27</v>
      </c>
      <c r="C35" s="4" t="s">
        <v>39</v>
      </c>
      <c r="D35">
        <v>1.0039513252000001</v>
      </c>
      <c r="E35" s="1">
        <v>-1.11648853333333E-5</v>
      </c>
      <c r="F35" s="1">
        <v>-9.5761172166666703E-6</v>
      </c>
      <c r="G35" s="1">
        <v>6.3539992267512202E-7</v>
      </c>
      <c r="H35" s="1">
        <v>1.31165033519693E-7</v>
      </c>
      <c r="I35" s="1">
        <v>1.32604839816475E-7</v>
      </c>
      <c r="J35" s="1"/>
      <c r="K35">
        <v>0.2</v>
      </c>
      <c r="L35">
        <v>10</v>
      </c>
      <c r="M35" s="2">
        <f t="shared" si="23"/>
        <v>100.39513252</v>
      </c>
      <c r="N35" s="3">
        <f t="shared" si="24"/>
        <v>-0.22241885743034626</v>
      </c>
      <c r="O35" s="3">
        <f t="shared" si="25"/>
        <v>-0.19076855573170312</v>
      </c>
      <c r="Q35" s="3">
        <f t="shared" si="26"/>
        <v>2.6129759526651005E-3</v>
      </c>
      <c r="R35" s="3">
        <f t="shared" si="27"/>
        <v>2.6416587435662462E-3</v>
      </c>
      <c r="S35" s="1">
        <f t="shared" si="28"/>
        <v>6.3289913238427382E-5</v>
      </c>
      <c r="T35" s="3" t="e">
        <f t="shared" si="29"/>
        <v>#NAME?</v>
      </c>
      <c r="U35" s="3" t="e">
        <f t="shared" si="30"/>
        <v>#NAME?</v>
      </c>
      <c r="W35" s="26">
        <f t="shared" si="31"/>
        <v>-0.24045663410342266</v>
      </c>
      <c r="X35" s="26">
        <f t="shared" si="31"/>
        <v>-0.20227559045214213</v>
      </c>
      <c r="Y35" s="3">
        <f t="shared" si="32"/>
        <v>1.8037776673076406E-2</v>
      </c>
      <c r="Z35" s="3">
        <f t="shared" si="33"/>
        <v>9.0348797097298816E-3</v>
      </c>
      <c r="AA35" s="3">
        <f t="shared" si="34"/>
        <v>9.0028969633464961E-3</v>
      </c>
      <c r="AB35" s="3">
        <f t="shared" si="35"/>
        <v>-6.4219037570647812E-3</v>
      </c>
      <c r="AC35" s="3">
        <f t="shared" si="36"/>
        <v>9.0015356269270499E-3</v>
      </c>
      <c r="AD35" s="3">
        <f t="shared" si="37"/>
        <v>9.0283428778165416E-3</v>
      </c>
    </row>
    <row r="36" spans="1:30" x14ac:dyDescent="0.2">
      <c r="A36">
        <v>28</v>
      </c>
      <c r="C36" s="8" t="s">
        <v>428</v>
      </c>
      <c r="D36">
        <v>0.60186710135999999</v>
      </c>
      <c r="E36" s="1">
        <v>-9.0265815833333294E-6</v>
      </c>
      <c r="F36" s="1">
        <v>-5.3805282166666601E-6</v>
      </c>
      <c r="G36" s="1">
        <v>4.72049507509072E-7</v>
      </c>
      <c r="H36" s="1">
        <v>1.3524748128027999E-7</v>
      </c>
      <c r="I36" s="1">
        <v>6.4677686546338293E-8</v>
      </c>
      <c r="J36" s="1"/>
      <c r="K36">
        <v>0.2</v>
      </c>
      <c r="L36">
        <v>10</v>
      </c>
      <c r="M36" s="2">
        <f t="shared" si="23"/>
        <v>60.186710136000002</v>
      </c>
      <c r="N36" s="3">
        <f t="shared" si="24"/>
        <v>-0.29995264944492067</v>
      </c>
      <c r="O36" s="3">
        <f t="shared" si="25"/>
        <v>-0.17879456127469437</v>
      </c>
      <c r="Q36" s="3">
        <f t="shared" si="26"/>
        <v>4.4942639654059861E-3</v>
      </c>
      <c r="R36" s="3">
        <f t="shared" si="27"/>
        <v>2.1492348194540067E-3</v>
      </c>
      <c r="S36" s="1">
        <f t="shared" si="28"/>
        <v>7.8430853994579933E-5</v>
      </c>
      <c r="T36" s="3" t="e">
        <f t="shared" si="29"/>
        <v>#NAME?</v>
      </c>
      <c r="U36" s="3" t="e">
        <f t="shared" si="30"/>
        <v>#NAME?</v>
      </c>
      <c r="W36" s="26">
        <f t="shared" si="31"/>
        <v>-0.32237353693540421</v>
      </c>
      <c r="X36" s="26">
        <f t="shared" si="31"/>
        <v>-0.19432535481364463</v>
      </c>
      <c r="Y36" s="3">
        <f t="shared" si="32"/>
        <v>2.2420887490483543E-2</v>
      </c>
      <c r="Z36" s="3">
        <f t="shared" si="33"/>
        <v>3.622499161334336E-3</v>
      </c>
      <c r="AA36" s="3">
        <f t="shared" si="34"/>
        <v>1.8798388329149318E-2</v>
      </c>
      <c r="AB36" s="3">
        <f t="shared" si="35"/>
        <v>8.7176480407165011E-4</v>
      </c>
      <c r="AC36" s="3">
        <f t="shared" si="36"/>
        <v>2.0392921412817457E-3</v>
      </c>
      <c r="AD36" s="3">
        <f t="shared" si="37"/>
        <v>-1.5462500835422815E-4</v>
      </c>
    </row>
    <row r="37" spans="1:30" x14ac:dyDescent="0.2">
      <c r="A37">
        <v>29</v>
      </c>
      <c r="C37" t="s">
        <v>41</v>
      </c>
      <c r="D37">
        <v>0.40113545315999999</v>
      </c>
      <c r="E37" s="1">
        <v>-7.0192840000000003E-6</v>
      </c>
      <c r="F37" s="1">
        <v>-3.4615553499999899E-6</v>
      </c>
      <c r="G37" s="1">
        <v>2.5925120551828397E-7</v>
      </c>
      <c r="H37" s="1">
        <v>1.2595919062405401E-7</v>
      </c>
      <c r="I37" s="1">
        <v>7.2464303482548099E-8</v>
      </c>
      <c r="J37" s="1"/>
      <c r="K37">
        <v>0.2</v>
      </c>
      <c r="L37">
        <v>10</v>
      </c>
      <c r="M37" s="2">
        <f t="shared" si="23"/>
        <v>40.113545316</v>
      </c>
      <c r="N37" s="3">
        <f t="shared" si="24"/>
        <v>-0.34997076148241796</v>
      </c>
      <c r="O37" s="3">
        <f t="shared" si="25"/>
        <v>-0.17258785393966597</v>
      </c>
      <c r="Q37" s="3">
        <f t="shared" si="26"/>
        <v>6.2801325403572814E-3</v>
      </c>
      <c r="R37" s="3">
        <f t="shared" si="27"/>
        <v>3.6129593089666108E-3</v>
      </c>
      <c r="S37" s="1">
        <f t="shared" si="28"/>
        <v>6.4629342401923526E-5</v>
      </c>
      <c r="T37" s="3" t="e">
        <f t="shared" si="29"/>
        <v>#NAME?</v>
      </c>
      <c r="U37" s="3" t="e">
        <f t="shared" si="30"/>
        <v>#NAME?</v>
      </c>
      <c r="W37" s="26">
        <f t="shared" si="31"/>
        <v>-0.37774082990344454</v>
      </c>
      <c r="X37" s="26">
        <f t="shared" si="31"/>
        <v>-0.18545134791540621</v>
      </c>
      <c r="Y37" s="3">
        <f t="shared" si="32"/>
        <v>2.7770068421026584E-2</v>
      </c>
      <c r="Z37" s="3">
        <f t="shared" si="33"/>
        <v>1.3862002769246984E-2</v>
      </c>
      <c r="AA37" s="3">
        <f t="shared" si="34"/>
        <v>1.3908065651779544E-2</v>
      </c>
      <c r="AB37" s="3">
        <f t="shared" si="35"/>
        <v>-7.5818702288897024E-3</v>
      </c>
      <c r="AC37" s="3">
        <f t="shared" si="36"/>
        <v>1.3747245826944308E-2</v>
      </c>
      <c r="AD37" s="3">
        <f t="shared" si="37"/>
        <v>1.2686291214541179E-2</v>
      </c>
    </row>
    <row r="38" spans="1:30" x14ac:dyDescent="0.2">
      <c r="A38">
        <v>30</v>
      </c>
      <c r="C38" t="s">
        <v>65</v>
      </c>
      <c r="D38">
        <v>0.19981875063999999</v>
      </c>
      <c r="E38" s="1">
        <v>-4.2050701666666702E-6</v>
      </c>
      <c r="F38" s="1">
        <v>-1.6508506000000001E-6</v>
      </c>
      <c r="G38" s="1">
        <v>1.3064615192124101E-7</v>
      </c>
      <c r="H38" s="1">
        <v>6.9850444379203696E-8</v>
      </c>
      <c r="I38" s="1">
        <v>8.7500227717646599E-8</v>
      </c>
      <c r="J38" s="1"/>
      <c r="K38">
        <v>0.2</v>
      </c>
      <c r="L38">
        <v>10</v>
      </c>
      <c r="M38" s="2">
        <f t="shared" si="23"/>
        <v>19.981875064</v>
      </c>
      <c r="N38" s="3">
        <f t="shared" si="24"/>
        <v>-0.42088844547353438</v>
      </c>
      <c r="O38" s="3">
        <f t="shared" si="25"/>
        <v>-0.16523480351193134</v>
      </c>
      <c r="Q38" s="3">
        <f t="shared" si="26"/>
        <v>6.9913803539937598E-3</v>
      </c>
      <c r="R38" s="3">
        <f t="shared" si="27"/>
        <v>8.7579596446671695E-3</v>
      </c>
      <c r="S38" s="1">
        <f t="shared" si="28"/>
        <v>6.5382328486588033E-5</v>
      </c>
      <c r="T38" s="3" t="e">
        <f t="shared" si="29"/>
        <v>#NAME?</v>
      </c>
      <c r="U38" s="3" t="e">
        <f t="shared" si="30"/>
        <v>#NAME?</v>
      </c>
      <c r="W38" s="26">
        <f t="shared" si="31"/>
        <v>-0.45507813790399448</v>
      </c>
      <c r="X38" s="26">
        <f t="shared" si="31"/>
        <v>-0.17348006537702165</v>
      </c>
      <c r="Y38" s="3">
        <f t="shared" si="32"/>
        <v>3.4189692430460106E-2</v>
      </c>
      <c r="Z38" s="3">
        <f t="shared" si="33"/>
        <v>7.4922765372660294E-3</v>
      </c>
      <c r="AA38" s="3">
        <f t="shared" si="34"/>
        <v>2.6697415893193965E-2</v>
      </c>
      <c r="AB38" s="3">
        <f t="shared" si="35"/>
        <v>-5.0089618327226956E-4</v>
      </c>
      <c r="AC38" s="3">
        <f t="shared" si="36"/>
        <v>2.960528185749837E-3</v>
      </c>
      <c r="AD38" s="3">
        <f t="shared" si="37"/>
        <v>4.3002607415181136E-3</v>
      </c>
    </row>
    <row r="39" spans="1:30" x14ac:dyDescent="0.2">
      <c r="A39">
        <v>31</v>
      </c>
      <c r="C39" t="s">
        <v>66</v>
      </c>
      <c r="D39">
        <v>0.10308803726</v>
      </c>
      <c r="E39" s="1">
        <v>-2.3855092500000002E-6</v>
      </c>
      <c r="F39" s="1">
        <v>-8.7249149999999999E-7</v>
      </c>
      <c r="G39" s="1">
        <v>7.2979795517930306E-8</v>
      </c>
      <c r="H39" s="1">
        <v>9.6977012423585003E-8</v>
      </c>
      <c r="I39" s="1">
        <v>1.12664287928829E-7</v>
      </c>
      <c r="J39" s="1"/>
      <c r="K39">
        <v>0.2</v>
      </c>
      <c r="L39">
        <v>10</v>
      </c>
      <c r="M39" s="2">
        <f t="shared" si="23"/>
        <v>10.308803726000001</v>
      </c>
      <c r="N39" s="3">
        <f t="shared" si="24"/>
        <v>-0.46281010161896263</v>
      </c>
      <c r="O39" s="3">
        <f t="shared" si="25"/>
        <v>-0.16927114400276633</v>
      </c>
      <c r="Q39" s="3">
        <f t="shared" si="26"/>
        <v>1.8814406598701209E-2</v>
      </c>
      <c r="R39" s="3">
        <f t="shared" si="27"/>
        <v>2.1857878163821585E-2</v>
      </c>
      <c r="S39" s="1">
        <f t="shared" si="28"/>
        <v>7.079366089187127E-5</v>
      </c>
      <c r="T39" s="3" t="e">
        <f t="shared" si="29"/>
        <v>#NAME?</v>
      </c>
      <c r="U39" s="3" t="e">
        <f t="shared" si="30"/>
        <v>#NAME?</v>
      </c>
      <c r="W39" s="26">
        <f t="shared" si="31"/>
        <v>-0.50424683484039035</v>
      </c>
      <c r="X39" s="26">
        <f t="shared" si="31"/>
        <v>-0.17707462962683027</v>
      </c>
      <c r="Y39" s="3">
        <f t="shared" si="32"/>
        <v>4.1436733221427713E-2</v>
      </c>
      <c r="Z39" s="3">
        <f t="shared" si="33"/>
        <v>1.0594981399871917E-2</v>
      </c>
      <c r="AA39" s="3">
        <f t="shared" si="34"/>
        <v>3.0841751821555685E-2</v>
      </c>
      <c r="AB39" s="140">
        <f t="shared" si="35"/>
        <v>8.2194251988292923E-3</v>
      </c>
      <c r="AC39" s="140">
        <f t="shared" si="36"/>
        <v>3.9081607808363721E-4</v>
      </c>
      <c r="AD39" s="140">
        <f t="shared" si="37"/>
        <v>-1.0866165248527467E-2</v>
      </c>
    </row>
    <row r="40" spans="1:30" x14ac:dyDescent="0.2">
      <c r="A40">
        <v>32</v>
      </c>
      <c r="W40" s="26"/>
      <c r="X40" s="26"/>
      <c r="Y40">
        <f>SUMSQ(Y34:Y39)</f>
        <v>4.7700016260015347E-3</v>
      </c>
      <c r="Z40">
        <f>SUMSQ(Z34:Z39)</f>
        <v>4.6001204514213595E-4</v>
      </c>
      <c r="AA40">
        <f>SUMSQ(AA34:AA39)</f>
        <v>2.5080656435524044E-3</v>
      </c>
      <c r="AB40">
        <f>SUMSQ(AB34:AB38)</f>
        <v>1.0067532975092406E-4</v>
      </c>
      <c r="AC40">
        <f>SUMSQ(AC34:AC38)</f>
        <v>2.8304795815431764E-4</v>
      </c>
      <c r="AD40">
        <f>SUMSQ(AD34:AD38)</f>
        <v>2.656638549111548E-4</v>
      </c>
    </row>
    <row r="41" spans="1:30" x14ac:dyDescent="0.2">
      <c r="A41">
        <v>33</v>
      </c>
      <c r="B41" s="4">
        <v>41312</v>
      </c>
      <c r="C41" t="s">
        <v>433</v>
      </c>
      <c r="D41">
        <v>1.1969954934</v>
      </c>
      <c r="E41" s="1">
        <v>-1.24752250000001E-5</v>
      </c>
      <c r="F41" s="1">
        <v>-1.10958898333334E-5</v>
      </c>
      <c r="G41" s="1">
        <v>3.0453291386547602E-6</v>
      </c>
      <c r="H41" s="1">
        <v>3.3071891388323901E-10</v>
      </c>
      <c r="I41" s="1">
        <v>5.2160148389093001E-8</v>
      </c>
      <c r="K41">
        <v>0.2</v>
      </c>
      <c r="L41">
        <v>10</v>
      </c>
      <c r="M41" s="2">
        <f t="shared" ref="M41:M46" si="38">100*D41/(K41*5)</f>
        <v>119.69954934</v>
      </c>
      <c r="N41" s="3">
        <f t="shared" ref="N41:N46" si="39">1000000*E41*K41/(L41*D41)</f>
        <v>-0.20844230523483276</v>
      </c>
      <c r="O41" s="3">
        <f t="shared" ref="O41:O46" si="40">1000000*F41*K41/(D41*L41)</f>
        <v>-0.18539568268241569</v>
      </c>
      <c r="Q41" s="3">
        <f t="shared" ref="Q41:Q46" si="41">1000000*K41*H41/(L41*D41)</f>
        <v>5.5258171932435615E-6</v>
      </c>
      <c r="R41" s="3">
        <f t="shared" ref="R41:R46" si="42">1000000*K41*I41/(L41*D41)</f>
        <v>8.7151787415564884E-4</v>
      </c>
      <c r="S41" s="1">
        <f t="shared" ref="S41:S46" si="43">G41*100/D41</f>
        <v>2.5441441972389302E-4</v>
      </c>
      <c r="X41" s="37" t="s">
        <v>268</v>
      </c>
      <c r="Y41" s="38">
        <f>SQRT(Y40:AA40)</f>
        <v>6.906519837082592E-2</v>
      </c>
      <c r="AA41" s="37" t="s">
        <v>269</v>
      </c>
      <c r="AB41" s="38">
        <f>SQRT(AB40:AD40)</f>
        <v>1.0033709670452104E-2</v>
      </c>
    </row>
    <row r="42" spans="1:30" x14ac:dyDescent="0.2">
      <c r="A42">
        <v>34</v>
      </c>
      <c r="C42" t="s">
        <v>434</v>
      </c>
      <c r="D42">
        <v>1.0000300548600001</v>
      </c>
      <c r="E42" s="1">
        <v>-1.17601098333333E-5</v>
      </c>
      <c r="F42" s="1">
        <v>-9.5580058333333406E-6</v>
      </c>
      <c r="G42" s="1">
        <v>7.2666047266718905E-7</v>
      </c>
      <c r="H42" s="1">
        <v>4.7366876823073697E-8</v>
      </c>
      <c r="I42" s="1">
        <v>1.2453735316752301E-7</v>
      </c>
      <c r="K42">
        <v>0.2</v>
      </c>
      <c r="L42">
        <v>10</v>
      </c>
      <c r="M42" s="2">
        <f t="shared" si="38"/>
        <v>100.00300548600001</v>
      </c>
      <c r="N42" s="3">
        <f t="shared" si="39"/>
        <v>-0.23519512791002395</v>
      </c>
      <c r="O42" s="3">
        <f t="shared" si="40"/>
        <v>-0.19115437154879153</v>
      </c>
      <c r="Q42" s="3">
        <f t="shared" si="41"/>
        <v>9.4730906522014192E-4</v>
      </c>
      <c r="R42" s="3">
        <f t="shared" si="42"/>
        <v>2.4906722065459862E-3</v>
      </c>
      <c r="S42" s="1">
        <f t="shared" si="43"/>
        <v>7.2663863364478412E-5</v>
      </c>
    </row>
    <row r="43" spans="1:30" x14ac:dyDescent="0.2">
      <c r="A43">
        <v>35</v>
      </c>
      <c r="C43" t="s">
        <v>435</v>
      </c>
      <c r="D43">
        <v>0.60120609993999996</v>
      </c>
      <c r="E43" s="1">
        <v>-9.3094485166666594E-6</v>
      </c>
      <c r="F43" s="1">
        <v>-5.3436384833333404E-6</v>
      </c>
      <c r="G43" s="1">
        <v>2.7517726501073899E-7</v>
      </c>
      <c r="H43" s="1">
        <v>3.3771504945733799E-8</v>
      </c>
      <c r="I43" s="1">
        <v>8.6816747759479305E-8</v>
      </c>
      <c r="K43">
        <v>0.2</v>
      </c>
      <c r="L43">
        <v>10</v>
      </c>
      <c r="M43" s="2">
        <f t="shared" si="38"/>
        <v>60.120609993999999</v>
      </c>
      <c r="N43" s="3">
        <f t="shared" si="39"/>
        <v>-0.30969241721252455</v>
      </c>
      <c r="O43" s="3">
        <f t="shared" si="40"/>
        <v>-0.17776394763348652</v>
      </c>
      <c r="Q43" s="3">
        <f t="shared" si="41"/>
        <v>1.1234584928231492E-3</v>
      </c>
      <c r="R43" s="3">
        <f t="shared" si="42"/>
        <v>2.8880860579473026E-3</v>
      </c>
      <c r="S43" s="1">
        <f t="shared" si="43"/>
        <v>4.5770870428327577E-5</v>
      </c>
    </row>
    <row r="44" spans="1:30" x14ac:dyDescent="0.2">
      <c r="A44">
        <v>36</v>
      </c>
      <c r="C44" t="s">
        <v>436</v>
      </c>
      <c r="D44">
        <v>0.39993423958000002</v>
      </c>
      <c r="E44" s="1">
        <v>-7.2814381999999898E-6</v>
      </c>
      <c r="F44" s="1">
        <v>-3.4328936999999901E-6</v>
      </c>
      <c r="G44" s="1">
        <v>2.1830847688670901E-7</v>
      </c>
      <c r="H44" s="1">
        <v>9.1078287312399594E-8</v>
      </c>
      <c r="I44" s="1">
        <v>2.90488411009803E-8</v>
      </c>
      <c r="K44">
        <v>0.2</v>
      </c>
      <c r="L44">
        <v>10</v>
      </c>
      <c r="M44" s="2">
        <f t="shared" si="38"/>
        <v>39.993423958000001</v>
      </c>
      <c r="N44" s="3">
        <f t="shared" si="39"/>
        <v>-0.36413177364592525</v>
      </c>
      <c r="O44" s="3">
        <f t="shared" si="40"/>
        <v>-0.17167290820636519</v>
      </c>
      <c r="Q44" s="3">
        <f t="shared" si="41"/>
        <v>4.5546631570253905E-3</v>
      </c>
      <c r="R44" s="3">
        <f t="shared" si="42"/>
        <v>1.4526808773105597E-3</v>
      </c>
      <c r="S44" s="1">
        <f t="shared" si="43"/>
        <v>5.458609323272011E-5</v>
      </c>
    </row>
    <row r="45" spans="1:30" x14ac:dyDescent="0.2">
      <c r="A45">
        <v>37</v>
      </c>
      <c r="D45">
        <v>0.20029648566</v>
      </c>
      <c r="E45" s="1">
        <v>-4.3193972333333296E-6</v>
      </c>
      <c r="F45" s="1">
        <v>-1.69685458333333E-6</v>
      </c>
      <c r="G45" s="1">
        <v>1.09140389994936E-7</v>
      </c>
      <c r="H45" s="1">
        <v>8.9838114532078705E-8</v>
      </c>
      <c r="I45" s="1">
        <v>6.3939363701033697E-8</v>
      </c>
      <c r="K45">
        <v>0.2</v>
      </c>
      <c r="L45">
        <v>10</v>
      </c>
      <c r="M45" s="2">
        <f t="shared" si="38"/>
        <v>20.029648565999999</v>
      </c>
      <c r="N45" s="3">
        <f t="shared" si="39"/>
        <v>-0.43130035148648954</v>
      </c>
      <c r="O45" s="3">
        <f t="shared" si="40"/>
        <v>-0.16943428415551065</v>
      </c>
      <c r="Q45" s="3">
        <f t="shared" si="41"/>
        <v>8.9705133104109915E-3</v>
      </c>
      <c r="R45" s="3">
        <f t="shared" si="42"/>
        <v>6.3844718483548162E-3</v>
      </c>
      <c r="S45" s="1">
        <f t="shared" si="43"/>
        <v>5.4489418341667771E-5</v>
      </c>
    </row>
    <row r="46" spans="1:30" x14ac:dyDescent="0.2">
      <c r="A46">
        <v>38</v>
      </c>
      <c r="D46">
        <v>0.10443835762000001</v>
      </c>
      <c r="E46" s="1">
        <v>-2.44243721666667E-6</v>
      </c>
      <c r="F46" s="1">
        <v>-8.5863463833333298E-7</v>
      </c>
      <c r="G46" s="1">
        <v>5.4683717537834298E-8</v>
      </c>
      <c r="H46" s="1">
        <v>1.0269899905266699E-7</v>
      </c>
      <c r="I46" s="1">
        <v>1.06956168180884E-7</v>
      </c>
      <c r="K46">
        <v>0.2</v>
      </c>
      <c r="L46">
        <v>10</v>
      </c>
      <c r="M46" s="2">
        <f t="shared" si="38"/>
        <v>10.443835762000001</v>
      </c>
      <c r="N46" s="3">
        <f t="shared" si="39"/>
        <v>-0.46772800191927605</v>
      </c>
      <c r="O46" s="3">
        <f t="shared" si="40"/>
        <v>-0.16442898143945994</v>
      </c>
      <c r="Q46" s="3">
        <f t="shared" si="41"/>
        <v>1.9666911926428089E-2</v>
      </c>
      <c r="R46" s="3">
        <f t="shared" si="42"/>
        <v>2.0482162036681021E-2</v>
      </c>
      <c r="S46" s="1">
        <f t="shared" si="43"/>
        <v>5.2359802264223212E-5</v>
      </c>
    </row>
    <row r="47" spans="1:30" x14ac:dyDescent="0.2">
      <c r="A47">
        <v>39</v>
      </c>
    </row>
    <row r="48" spans="1:30" x14ac:dyDescent="0.2">
      <c r="A48">
        <v>40</v>
      </c>
      <c r="C48" s="5" t="s">
        <v>43</v>
      </c>
      <c r="N48" s="21"/>
    </row>
    <row r="49" spans="1:22" x14ac:dyDescent="0.2">
      <c r="A49">
        <v>41</v>
      </c>
      <c r="E49" t="s">
        <v>44</v>
      </c>
      <c r="H49" t="s">
        <v>50</v>
      </c>
      <c r="I49" t="s">
        <v>51</v>
      </c>
      <c r="J49" t="s">
        <v>53</v>
      </c>
      <c r="L49" t="s">
        <v>54</v>
      </c>
      <c r="M49" t="s">
        <v>58</v>
      </c>
      <c r="N49" t="s">
        <v>56</v>
      </c>
      <c r="Q49" s="145">
        <v>41312</v>
      </c>
    </row>
    <row r="50" spans="1:22" x14ac:dyDescent="0.2">
      <c r="A50">
        <v>42</v>
      </c>
      <c r="D50" t="s">
        <v>14</v>
      </c>
      <c r="E50" t="s">
        <v>16</v>
      </c>
      <c r="F50" t="s">
        <v>47</v>
      </c>
      <c r="G50" t="s">
        <v>32</v>
      </c>
      <c r="H50" t="s">
        <v>16</v>
      </c>
      <c r="I50" t="s">
        <v>52</v>
      </c>
      <c r="J50" t="s">
        <v>54</v>
      </c>
      <c r="K50" t="s">
        <v>55</v>
      </c>
      <c r="L50" t="s">
        <v>57</v>
      </c>
      <c r="M50" t="s">
        <v>57</v>
      </c>
      <c r="N50" t="s">
        <v>59</v>
      </c>
      <c r="Q50" t="s">
        <v>430</v>
      </c>
      <c r="R50" t="s">
        <v>431</v>
      </c>
      <c r="S50" t="s">
        <v>432</v>
      </c>
      <c r="T50" t="s">
        <v>430</v>
      </c>
    </row>
    <row r="51" spans="1:22" x14ac:dyDescent="0.2">
      <c r="A51">
        <v>43</v>
      </c>
      <c r="C51" t="s">
        <v>45</v>
      </c>
      <c r="D51">
        <v>1.0017</v>
      </c>
      <c r="E51">
        <v>1.071</v>
      </c>
      <c r="F51" s="147">
        <f>S51</f>
        <v>1.053474</v>
      </c>
      <c r="G51">
        <v>0.2</v>
      </c>
      <c r="H51">
        <f>0.268*D51/G51</f>
        <v>1.3422780000000001</v>
      </c>
      <c r="I51">
        <f>H51+E51</f>
        <v>2.413278</v>
      </c>
      <c r="J51">
        <f>F51-I51/4</f>
        <v>0.45015450000000001</v>
      </c>
      <c r="K51">
        <v>1</v>
      </c>
      <c r="L51">
        <f>J51</f>
        <v>0.45015450000000001</v>
      </c>
      <c r="M51" s="15">
        <f>1/(L51*G51/D51)</f>
        <v>11.126180011529375</v>
      </c>
      <c r="N51">
        <f>4*M51/SUM($M$51:$M$54)</f>
        <v>1.0195420329011489</v>
      </c>
      <c r="Q51">
        <v>1.0019560000000001</v>
      </c>
      <c r="R51">
        <v>1.0712189999999999</v>
      </c>
      <c r="S51">
        <v>1.053474</v>
      </c>
      <c r="T51">
        <v>1.0015540000000001</v>
      </c>
    </row>
    <row r="52" spans="1:22" x14ac:dyDescent="0.2">
      <c r="A52">
        <v>44</v>
      </c>
      <c r="C52" t="s">
        <v>46</v>
      </c>
      <c r="D52">
        <v>1.0014000000000001</v>
      </c>
      <c r="E52">
        <v>1.07</v>
      </c>
      <c r="F52" s="147">
        <f>S51+S52</f>
        <v>2.1172440000000003</v>
      </c>
      <c r="G52">
        <v>0.2</v>
      </c>
      <c r="H52">
        <f>0.268*D52/G52</f>
        <v>1.3418760000000001</v>
      </c>
      <c r="I52">
        <f>H52+E52</f>
        <v>2.4118760000000004</v>
      </c>
      <c r="J52">
        <f>F52-I52/2</f>
        <v>0.91130600000000017</v>
      </c>
      <c r="K52">
        <v>2</v>
      </c>
      <c r="L52">
        <f>J52-J51</f>
        <v>0.46115150000000016</v>
      </c>
      <c r="M52" s="15">
        <f>1/(L52*G52/D52)</f>
        <v>10.85760319547914</v>
      </c>
      <c r="N52">
        <f>4*M52/SUM($M$51:$M$54)</f>
        <v>0.99493112846294751</v>
      </c>
      <c r="P52" s="3"/>
      <c r="Q52">
        <v>1.001395</v>
      </c>
      <c r="R52">
        <v>1.0702959999999999</v>
      </c>
      <c r="S52">
        <v>1.0637700000000001</v>
      </c>
      <c r="T52">
        <v>1.0014339999999999</v>
      </c>
    </row>
    <row r="53" spans="1:22" x14ac:dyDescent="0.2">
      <c r="A53">
        <v>45</v>
      </c>
      <c r="C53" t="s">
        <v>48</v>
      </c>
      <c r="D53">
        <v>1.0005999999999999</v>
      </c>
      <c r="E53">
        <v>1.069</v>
      </c>
      <c r="F53" s="147">
        <f>S51+S52+S53</f>
        <v>3.1857460000000004</v>
      </c>
      <c r="G53">
        <v>0.2</v>
      </c>
      <c r="H53">
        <f>0.268*D53/G53</f>
        <v>1.3408039999999999</v>
      </c>
      <c r="I53">
        <f>H53+E53</f>
        <v>2.4098039999999998</v>
      </c>
      <c r="J53">
        <f>F53-I53*3/4</f>
        <v>1.3783930000000004</v>
      </c>
      <c r="K53">
        <v>3</v>
      </c>
      <c r="L53">
        <f>J53-J52</f>
        <v>0.46708700000000025</v>
      </c>
      <c r="M53" s="15">
        <f>1/(L53*G53/D53)</f>
        <v>10.711066674944918</v>
      </c>
      <c r="N53">
        <f>4*M53/SUM($M$51:$M$54)</f>
        <v>0.98150332647835736</v>
      </c>
      <c r="P53" s="3"/>
      <c r="Q53">
        <v>1.0006759999999999</v>
      </c>
      <c r="R53">
        <v>1.0687739999999999</v>
      </c>
      <c r="S53">
        <v>1.0685020000000001</v>
      </c>
      <c r="T53">
        <v>1.000605</v>
      </c>
    </row>
    <row r="54" spans="1:22" x14ac:dyDescent="0.2">
      <c r="A54">
        <v>46</v>
      </c>
      <c r="C54" t="s">
        <v>49</v>
      </c>
      <c r="D54">
        <v>1.0004</v>
      </c>
      <c r="E54">
        <v>1.069</v>
      </c>
      <c r="F54" s="147">
        <f>S51+S52+S53+S54</f>
        <v>4.2444480000000002</v>
      </c>
      <c r="G54">
        <v>0.2</v>
      </c>
      <c r="H54">
        <f>0.268*D54/G54</f>
        <v>1.3405359999999999</v>
      </c>
      <c r="I54">
        <f>H54+E54</f>
        <v>2.4095360000000001</v>
      </c>
      <c r="J54">
        <f>F54-I54</f>
        <v>1.8349120000000001</v>
      </c>
      <c r="K54">
        <v>4</v>
      </c>
      <c r="L54">
        <f>J54-J53</f>
        <v>0.45651899999999968</v>
      </c>
      <c r="M54" s="15">
        <f>1/(L54*G54/D54)</f>
        <v>10.956827645727786</v>
      </c>
      <c r="N54">
        <f>4*M54/SUM($M$51:$M$54)</f>
        <v>1.0040235121575467</v>
      </c>
      <c r="P54" s="3"/>
      <c r="Q54">
        <v>1.0005219999999999</v>
      </c>
      <c r="R54">
        <v>1.0686119999999999</v>
      </c>
      <c r="S54">
        <v>1.058702</v>
      </c>
      <c r="T54">
        <v>1.000327</v>
      </c>
    </row>
    <row r="55" spans="1:22" x14ac:dyDescent="0.2">
      <c r="A55">
        <v>47</v>
      </c>
      <c r="F55" s="146" t="s">
        <v>438</v>
      </c>
      <c r="G55" s="146"/>
      <c r="H55" s="146"/>
      <c r="I55" s="146"/>
      <c r="J55" s="146"/>
      <c r="K55" s="146"/>
      <c r="L55" s="146"/>
      <c r="O55" s="3"/>
    </row>
    <row r="56" spans="1:22" x14ac:dyDescent="0.2">
      <c r="A56">
        <v>48</v>
      </c>
      <c r="C56" s="5" t="s">
        <v>17</v>
      </c>
      <c r="E56" s="1"/>
      <c r="F56" s="1"/>
      <c r="G56" s="1"/>
      <c r="H56" s="1"/>
      <c r="I56" s="1"/>
      <c r="M56" s="2"/>
      <c r="N56" s="3"/>
      <c r="O56" s="3"/>
      <c r="Q56" s="3"/>
      <c r="R56" s="3"/>
      <c r="S56" s="1"/>
    </row>
    <row r="57" spans="1:22" x14ac:dyDescent="0.2">
      <c r="A57">
        <v>49</v>
      </c>
      <c r="B57" s="4">
        <v>41313</v>
      </c>
      <c r="C57" s="145"/>
      <c r="D57">
        <v>1.1995927018000001</v>
      </c>
      <c r="E57" s="1">
        <v>-3.9498771166666698E-5</v>
      </c>
      <c r="F57" s="1">
        <v>-3.4249621166666698E-5</v>
      </c>
      <c r="G57" s="1">
        <v>1.79596459319628E-6</v>
      </c>
      <c r="H57" s="1">
        <v>8.9189093794993703E-8</v>
      </c>
      <c r="I57" s="1">
        <v>1.1685627925778E-7</v>
      </c>
      <c r="K57">
        <v>0.2</v>
      </c>
      <c r="L57">
        <v>10</v>
      </c>
      <c r="M57" s="2">
        <f t="shared" ref="M57:M62" si="44">100*D57/(K57*5)</f>
        <v>119.95927018</v>
      </c>
      <c r="N57" s="3">
        <f t="shared" ref="N57:N62" si="45">1000000*E57*K57/(L57*D57)</f>
        <v>-0.65853637000956111</v>
      </c>
      <c r="O57" s="3">
        <f t="shared" ref="O57:O62" si="46">1000000*F57*K57/(D57*L57)</f>
        <v>-0.57102083257550362</v>
      </c>
      <c r="Q57" s="3">
        <f t="shared" ref="Q57:Q62" si="47">1000000*K57*H57/(L57*D57)</f>
        <v>1.4869896034073002E-3</v>
      </c>
      <c r="R57" s="3">
        <f t="shared" ref="R57:R62" si="48">1000000*K57*I57/(L57*D57)</f>
        <v>1.9482659253000799E-3</v>
      </c>
      <c r="S57" s="1">
        <f t="shared" ref="S57:S62" si="49">G57*100/D57</f>
        <v>1.497145314823455E-4</v>
      </c>
      <c r="U57" s="156">
        <f>'Data(2000)'!N57</f>
        <v>-0.55527576757069963</v>
      </c>
      <c r="V57" s="156">
        <f>'Data(2000)'!O57</f>
        <v>-0.38570568700145674</v>
      </c>
    </row>
    <row r="58" spans="1:22" x14ac:dyDescent="0.2">
      <c r="A58">
        <v>50</v>
      </c>
      <c r="D58">
        <v>1.0018073385999999</v>
      </c>
      <c r="E58" s="1">
        <v>-3.5832118499999999E-5</v>
      </c>
      <c r="F58" s="1">
        <v>-2.8694480500000001E-5</v>
      </c>
      <c r="G58" s="1">
        <v>1.2050640922395401E-7</v>
      </c>
      <c r="H58" s="1">
        <v>1.15527523016884E-7</v>
      </c>
      <c r="I58" s="1">
        <v>1.15504163430372E-7</v>
      </c>
      <c r="K58">
        <v>0.2</v>
      </c>
      <c r="L58">
        <v>10</v>
      </c>
      <c r="M58" s="2">
        <f t="shared" si="44"/>
        <v>100.18073385999999</v>
      </c>
      <c r="N58" s="3">
        <f t="shared" si="45"/>
        <v>-0.71534949125197</v>
      </c>
      <c r="O58" s="3">
        <f t="shared" si="46"/>
        <v>-0.57285426836860276</v>
      </c>
      <c r="Q58" s="3">
        <f t="shared" si="47"/>
        <v>2.3063820470377223E-3</v>
      </c>
      <c r="R58" s="3">
        <f t="shared" si="48"/>
        <v>2.3059156981578136E-3</v>
      </c>
      <c r="S58" s="1">
        <f t="shared" si="49"/>
        <v>1.2028900625978506E-5</v>
      </c>
      <c r="U58" s="156">
        <f>'Data(2000)'!N58</f>
        <v>-0.53461750936743213</v>
      </c>
      <c r="V58" s="156">
        <f>'Data(2000)'!O58</f>
        <v>-0.34977770439089406</v>
      </c>
    </row>
    <row r="59" spans="1:22" x14ac:dyDescent="0.2">
      <c r="A59">
        <v>51</v>
      </c>
      <c r="D59">
        <v>0.60004092683999999</v>
      </c>
      <c r="E59" s="1">
        <v>-2.6790032166666601E-5</v>
      </c>
      <c r="F59" s="1">
        <v>-1.6320419166666701E-5</v>
      </c>
      <c r="G59" s="1">
        <v>2.5665173074875303E-7</v>
      </c>
      <c r="H59" s="1">
        <v>1.55634675491375E-7</v>
      </c>
      <c r="I59" s="1">
        <v>1.0877391958847E-7</v>
      </c>
      <c r="K59">
        <v>0.2</v>
      </c>
      <c r="L59">
        <v>10</v>
      </c>
      <c r="M59" s="2">
        <f t="shared" si="44"/>
        <v>60.004092684</v>
      </c>
      <c r="N59" s="3">
        <f t="shared" si="45"/>
        <v>-0.89294016352354988</v>
      </c>
      <c r="O59" s="3">
        <f t="shared" si="46"/>
        <v>-0.54397686679857149</v>
      </c>
      <c r="Q59" s="3">
        <f t="shared" si="47"/>
        <v>5.1874686718786011E-3</v>
      </c>
      <c r="R59" s="3">
        <f t="shared" si="48"/>
        <v>3.6255500157733205E-3</v>
      </c>
      <c r="S59" s="1">
        <f t="shared" si="49"/>
        <v>4.2772370894825448E-5</v>
      </c>
      <c r="U59" s="156">
        <f>'Data(2000)'!N59</f>
        <v>-0.73191546315500033</v>
      </c>
      <c r="V59" s="156">
        <f>'Data(2000)'!O59</f>
        <v>-0.32542351322521573</v>
      </c>
    </row>
    <row r="60" spans="1:22" x14ac:dyDescent="0.2">
      <c r="A60">
        <v>52</v>
      </c>
      <c r="D60">
        <v>0.40080091759999997</v>
      </c>
      <c r="E60" s="1">
        <v>-2.0247126333333298E-5</v>
      </c>
      <c r="F60" s="1">
        <v>-1.05496086666667E-5</v>
      </c>
      <c r="G60" s="1">
        <v>2.4180137424658602E-7</v>
      </c>
      <c r="H60" s="1">
        <v>1.10781105969786E-7</v>
      </c>
      <c r="I60" s="1">
        <v>1.7539110522359901E-7</v>
      </c>
      <c r="K60">
        <v>0.2</v>
      </c>
      <c r="L60">
        <v>10</v>
      </c>
      <c r="M60" s="2">
        <f t="shared" si="44"/>
        <v>40.080091759999995</v>
      </c>
      <c r="N60" s="3">
        <f t="shared" si="45"/>
        <v>-1.010333332297406</v>
      </c>
      <c r="O60" s="3">
        <f t="shared" si="46"/>
        <v>-0.52642637296530492</v>
      </c>
      <c r="Q60" s="3">
        <f t="shared" si="47"/>
        <v>5.5279866439999388E-3</v>
      </c>
      <c r="R60" s="3">
        <f t="shared" si="48"/>
        <v>8.7520311217770038E-3</v>
      </c>
      <c r="S60" s="1">
        <f t="shared" si="49"/>
        <v>6.0329546073520777E-5</v>
      </c>
      <c r="U60" s="156">
        <f>'Data(2000)'!N60</f>
        <v>-0.83164038944667695</v>
      </c>
      <c r="V60" s="156">
        <f>'Data(2000)'!O60</f>
        <v>-0.30856255375243691</v>
      </c>
    </row>
    <row r="61" spans="1:22" x14ac:dyDescent="0.2">
      <c r="A61">
        <v>53</v>
      </c>
      <c r="D61">
        <v>0.20072045592000001</v>
      </c>
      <c r="E61" s="1">
        <v>-1.16699108333333E-5</v>
      </c>
      <c r="F61" s="1">
        <v>-5.1351091333333297E-6</v>
      </c>
      <c r="G61" s="1">
        <v>1.43633894845724E-7</v>
      </c>
      <c r="H61" s="1">
        <v>1.05826824888457E-7</v>
      </c>
      <c r="I61" s="1">
        <v>7.4322665474597205E-8</v>
      </c>
      <c r="K61">
        <v>0.2</v>
      </c>
      <c r="L61">
        <v>10</v>
      </c>
      <c r="M61" s="2">
        <f t="shared" si="44"/>
        <v>20.072045592000002</v>
      </c>
      <c r="N61" s="3">
        <f t="shared" si="45"/>
        <v>-1.1628023441700936</v>
      </c>
      <c r="O61" s="3">
        <f t="shared" si="46"/>
        <v>-0.51166774306052798</v>
      </c>
      <c r="Q61" s="3">
        <f t="shared" si="47"/>
        <v>1.0544697540009152E-2</v>
      </c>
      <c r="R61" s="3">
        <f t="shared" si="48"/>
        <v>7.4055895433218378E-3</v>
      </c>
      <c r="S61" s="1">
        <f t="shared" si="49"/>
        <v>7.1559171279967271E-5</v>
      </c>
      <c r="U61" s="156">
        <f>'Data(2000)'!N61</f>
        <v>-0.95310199724344835</v>
      </c>
      <c r="V61" s="156">
        <f>'Data(2000)'!O61</f>
        <v>-0.29389536881403694</v>
      </c>
    </row>
    <row r="62" spans="1:22" x14ac:dyDescent="0.2">
      <c r="A62">
        <v>54</v>
      </c>
      <c r="D62">
        <v>0.10088458954</v>
      </c>
      <c r="E62" s="1">
        <v>-6.4481721333333396E-6</v>
      </c>
      <c r="F62" s="1">
        <v>-2.49493433333334E-6</v>
      </c>
      <c r="G62" s="1">
        <v>6.3406731389004801E-8</v>
      </c>
      <c r="H62" s="1">
        <v>5.5369582499017898E-8</v>
      </c>
      <c r="I62" s="1">
        <v>1.1491091740513099E-7</v>
      </c>
      <c r="K62">
        <v>0.2</v>
      </c>
      <c r="L62">
        <v>10</v>
      </c>
      <c r="M62" s="2">
        <f t="shared" si="44"/>
        <v>10.088458954</v>
      </c>
      <c r="N62" s="3">
        <f t="shared" si="45"/>
        <v>-1.2783264842995048</v>
      </c>
      <c r="O62" s="3">
        <f t="shared" si="46"/>
        <v>-0.49461158432807373</v>
      </c>
      <c r="Q62" s="3">
        <f t="shared" si="47"/>
        <v>1.0976816727209713E-2</v>
      </c>
      <c r="R62" s="3">
        <f t="shared" si="48"/>
        <v>2.2780668074100587E-2</v>
      </c>
      <c r="S62" s="1">
        <f t="shared" si="49"/>
        <v>6.2850760139004675E-5</v>
      </c>
      <c r="U62" s="156">
        <f>'Data(2000)'!N62</f>
        <v>-1.0379947205702256</v>
      </c>
      <c r="V62" s="156">
        <f>'Data(2000)'!O62</f>
        <v>-0.27965953058202586</v>
      </c>
    </row>
    <row r="63" spans="1:22" x14ac:dyDescent="0.2">
      <c r="A63">
        <v>55</v>
      </c>
      <c r="U63" s="156"/>
      <c r="V63" s="156"/>
    </row>
    <row r="64" spans="1:22" x14ac:dyDescent="0.2">
      <c r="A64">
        <v>56</v>
      </c>
      <c r="C64" t="s">
        <v>67</v>
      </c>
      <c r="D64">
        <v>1.1995197464</v>
      </c>
      <c r="E64" s="1">
        <v>-3.88903556666667E-5</v>
      </c>
      <c r="F64" s="1">
        <v>-3.3686166500000001E-5</v>
      </c>
      <c r="G64" s="1">
        <v>9.6906362704612608E-7</v>
      </c>
      <c r="H64" s="1">
        <v>1.1265781405605599E-7</v>
      </c>
      <c r="I64" s="1">
        <v>1.26738603936409E-7</v>
      </c>
      <c r="K64">
        <v>0.2</v>
      </c>
      <c r="L64">
        <v>10</v>
      </c>
      <c r="M64" s="2">
        <f t="shared" ref="M64:M69" si="50">100*D64/(K64*5)</f>
        <v>119.95197464</v>
      </c>
      <c r="N64" s="3">
        <f t="shared" ref="N64:N69" si="51">1000000*E64*K64/(L64*D64)</f>
        <v>-0.64843210432149168</v>
      </c>
      <c r="O64" s="3">
        <f t="shared" ref="O64:O69" si="52">1000000*F64*K64/(D64*L64)</f>
        <v>-0.5616608913875567</v>
      </c>
      <c r="Q64" s="3">
        <f t="shared" ref="Q64:Q69" si="53">1000000*K64*H64/(L64*D64)</f>
        <v>1.8783819840259364E-3</v>
      </c>
      <c r="R64" s="3">
        <f t="shared" ref="R64:R69" si="54">1000000*K64*I64/(L64*D64)</f>
        <v>2.1131557744968688E-3</v>
      </c>
      <c r="S64" s="1">
        <f t="shared" ref="S64:S69" si="55">G64*100/D64</f>
        <v>8.0787634380716195E-5</v>
      </c>
      <c r="U64" s="156">
        <f>'Data(2000)'!N64</f>
        <v>-0.69890493168346968</v>
      </c>
      <c r="V64" s="156">
        <f>'Data(2000)'!O64</f>
        <v>-0.37378962913930192</v>
      </c>
    </row>
    <row r="65" spans="1:29" x14ac:dyDescent="0.2">
      <c r="A65">
        <v>57</v>
      </c>
      <c r="D65">
        <v>1.0007801236</v>
      </c>
      <c r="E65" s="1">
        <v>-3.50910956666667E-5</v>
      </c>
      <c r="F65" s="1">
        <v>-2.8146331833333301E-5</v>
      </c>
      <c r="G65" s="1">
        <v>1.0291408467228E-7</v>
      </c>
      <c r="H65" s="1">
        <v>4.1138627604992097E-8</v>
      </c>
      <c r="I65" s="1">
        <v>8.8949120868649198E-8</v>
      </c>
      <c r="K65">
        <v>0.2</v>
      </c>
      <c r="L65">
        <v>10</v>
      </c>
      <c r="M65" s="2">
        <f t="shared" si="50"/>
        <v>100.07801236</v>
      </c>
      <c r="N65" s="3">
        <f t="shared" si="51"/>
        <v>-0.70127483228658127</v>
      </c>
      <c r="O65" s="3">
        <f t="shared" si="52"/>
        <v>-0.5624878266383927</v>
      </c>
      <c r="Q65" s="3">
        <f t="shared" si="53"/>
        <v>8.2213118815766407E-4</v>
      </c>
      <c r="R65" s="3">
        <f t="shared" si="54"/>
        <v>1.7775956730371897E-3</v>
      </c>
      <c r="S65" s="1">
        <f t="shared" si="55"/>
        <v>1.028338615500057E-5</v>
      </c>
      <c r="U65" s="156">
        <f>'Data(2000)'!N65</f>
        <v>-0.77664864154905555</v>
      </c>
      <c r="V65" s="156">
        <f>'Data(2000)'!O65</f>
        <v>-0.37093128238014617</v>
      </c>
    </row>
    <row r="66" spans="1:29" x14ac:dyDescent="0.2">
      <c r="A66">
        <v>58</v>
      </c>
      <c r="D66">
        <v>0.60003541737999999</v>
      </c>
      <c r="E66" s="1">
        <v>-2.6331872833333298E-5</v>
      </c>
      <c r="F66" s="1">
        <v>-1.5857924333333301E-5</v>
      </c>
      <c r="G66" s="1">
        <v>2.5534177639184098E-7</v>
      </c>
      <c r="H66" s="1">
        <v>7.60405960346549E-8</v>
      </c>
      <c r="I66" s="1">
        <v>1.04302697030752E-7</v>
      </c>
      <c r="K66">
        <v>0.2</v>
      </c>
      <c r="L66">
        <v>10</v>
      </c>
      <c r="M66" s="2">
        <f t="shared" si="50"/>
        <v>60.003541737999996</v>
      </c>
      <c r="N66" s="3">
        <f t="shared" si="51"/>
        <v>-0.87767728606118034</v>
      </c>
      <c r="O66" s="3">
        <f t="shared" si="52"/>
        <v>-0.52856627705662729</v>
      </c>
      <c r="Q66" s="3">
        <f t="shared" si="53"/>
        <v>2.5345369233929303E-3</v>
      </c>
      <c r="R66" s="3">
        <f t="shared" si="54"/>
        <v>3.4765513504579522E-3</v>
      </c>
      <c r="S66" s="1">
        <f t="shared" si="55"/>
        <v>4.2554450786716487E-5</v>
      </c>
      <c r="U66" s="156">
        <f>'Data(2000)'!N66</f>
        <v>-0.7681735914683252</v>
      </c>
      <c r="V66" s="156">
        <f>'Data(2000)'!O66</f>
        <v>-0.36309952867944711</v>
      </c>
    </row>
    <row r="67" spans="1:29" x14ac:dyDescent="0.2">
      <c r="A67">
        <v>59</v>
      </c>
      <c r="D67">
        <v>0.40013409686000001</v>
      </c>
      <c r="E67" s="1">
        <v>-1.9743525333333401E-5</v>
      </c>
      <c r="F67" s="1">
        <v>-1.024078205E-5</v>
      </c>
      <c r="G67" s="1">
        <v>2.44610555752245E-7</v>
      </c>
      <c r="H67" s="1">
        <v>6.6817419072840195E-8</v>
      </c>
      <c r="I67" s="1">
        <v>1.2802162752297299E-7</v>
      </c>
      <c r="K67">
        <v>0.2</v>
      </c>
      <c r="L67">
        <v>10</v>
      </c>
      <c r="M67" s="2">
        <f t="shared" si="50"/>
        <v>40.013409686000003</v>
      </c>
      <c r="N67" s="3">
        <f t="shared" si="51"/>
        <v>-0.98684543448149686</v>
      </c>
      <c r="O67" s="3">
        <f t="shared" si="52"/>
        <v>-0.51186750293780003</v>
      </c>
      <c r="Q67" s="3">
        <f t="shared" si="53"/>
        <v>3.3397513282262697E-3</v>
      </c>
      <c r="R67" s="3">
        <f t="shared" si="54"/>
        <v>6.3989361830249399E-3</v>
      </c>
      <c r="S67" s="1">
        <f t="shared" si="55"/>
        <v>6.1132144866382138E-5</v>
      </c>
      <c r="U67" s="156">
        <f>'Data(2000)'!N67</f>
        <v>-0.9041777936512464</v>
      </c>
      <c r="V67" s="156">
        <f>'Data(2000)'!O67</f>
        <v>-0.32398509075241239</v>
      </c>
    </row>
    <row r="68" spans="1:29" x14ac:dyDescent="0.2">
      <c r="A68">
        <v>60</v>
      </c>
      <c r="D68">
        <v>0.20001238441999999</v>
      </c>
      <c r="E68" s="1">
        <v>-1.13446663333333E-5</v>
      </c>
      <c r="F68" s="1">
        <v>-4.9453524500000104E-6</v>
      </c>
      <c r="G68" s="1">
        <v>7.3894554720665304E-8</v>
      </c>
      <c r="H68" s="1">
        <v>9.7230068222518202E-8</v>
      </c>
      <c r="I68" s="1">
        <v>1.3336332741236401E-7</v>
      </c>
      <c r="K68">
        <v>0.2</v>
      </c>
      <c r="L68">
        <v>10</v>
      </c>
      <c r="M68" s="2">
        <f t="shared" si="50"/>
        <v>20.001238441999998</v>
      </c>
      <c r="N68" s="3">
        <f t="shared" si="51"/>
        <v>-1.1343963891266828</v>
      </c>
      <c r="O68" s="3">
        <f t="shared" si="52"/>
        <v>-0.49450462423520869</v>
      </c>
      <c r="Q68" s="3">
        <f t="shared" si="53"/>
        <v>9.7224047905301401E-3</v>
      </c>
      <c r="R68" s="3">
        <f t="shared" si="54"/>
        <v>1.333550697863972E-2</v>
      </c>
      <c r="S68" s="1">
        <f t="shared" si="55"/>
        <v>3.6944989648989112E-5</v>
      </c>
      <c r="U68" s="156">
        <f>'Data(2000)'!N68</f>
        <v>-1.029857369945044</v>
      </c>
      <c r="V68" s="156">
        <f>'Data(2000)'!O68</f>
        <v>-0.29679518452082992</v>
      </c>
    </row>
    <row r="69" spans="1:29" x14ac:dyDescent="0.2">
      <c r="A69">
        <v>61</v>
      </c>
      <c r="D69">
        <v>0.1004237056</v>
      </c>
      <c r="E69" s="1">
        <v>-6.2239777E-6</v>
      </c>
      <c r="F69" s="1">
        <v>-2.3413423000000001E-6</v>
      </c>
      <c r="G69" s="1">
        <v>5.8419166539749202E-8</v>
      </c>
      <c r="H69" s="1">
        <v>1.2047333780845499E-7</v>
      </c>
      <c r="I69" s="1">
        <v>1.1342992628363099E-7</v>
      </c>
      <c r="K69">
        <v>0.2</v>
      </c>
      <c r="L69">
        <v>10</v>
      </c>
      <c r="M69" s="2">
        <f t="shared" si="50"/>
        <v>10.04237056</v>
      </c>
      <c r="N69" s="3">
        <f t="shared" si="51"/>
        <v>-1.2395435246715294</v>
      </c>
      <c r="O69" s="3">
        <f t="shared" si="52"/>
        <v>-0.4662927514995025</v>
      </c>
      <c r="Q69" s="3">
        <f t="shared" si="53"/>
        <v>2.3993007843848176E-2</v>
      </c>
      <c r="R69" s="3">
        <f t="shared" si="54"/>
        <v>2.2590269021825655E-2</v>
      </c>
      <c r="S69" s="1">
        <f t="shared" si="55"/>
        <v>5.8172685613135958E-5</v>
      </c>
      <c r="U69" s="156">
        <f>'Data(2000)'!N69</f>
        <v>-1.0921502575358495</v>
      </c>
      <c r="V69" s="156">
        <f>'Data(2000)'!O69</f>
        <v>-0.29455252560269957</v>
      </c>
    </row>
    <row r="70" spans="1:29" x14ac:dyDescent="0.2">
      <c r="A70">
        <v>62</v>
      </c>
    </row>
    <row r="71" spans="1:29" x14ac:dyDescent="0.2">
      <c r="A71">
        <v>63</v>
      </c>
    </row>
    <row r="72" spans="1:29" x14ac:dyDescent="0.2">
      <c r="A72">
        <v>64</v>
      </c>
      <c r="C72" s="5" t="s">
        <v>437</v>
      </c>
      <c r="G72" t="s">
        <v>70</v>
      </c>
    </row>
    <row r="73" spans="1:29" x14ac:dyDescent="0.2">
      <c r="A73">
        <v>65</v>
      </c>
      <c r="B73" t="s">
        <v>440</v>
      </c>
      <c r="C73" s="5" t="s">
        <v>23</v>
      </c>
      <c r="G73" s="8" t="s">
        <v>485</v>
      </c>
    </row>
    <row r="74" spans="1:29" x14ac:dyDescent="0.2">
      <c r="A74">
        <v>66</v>
      </c>
      <c r="B74" t="s">
        <v>441</v>
      </c>
      <c r="C74" s="5"/>
      <c r="D74" s="13" t="s">
        <v>2</v>
      </c>
      <c r="E74" s="14" t="s">
        <v>5</v>
      </c>
      <c r="F74" s="14" t="s">
        <v>6</v>
      </c>
      <c r="G74" s="14" t="s">
        <v>8</v>
      </c>
      <c r="H74" s="14" t="s">
        <v>10</v>
      </c>
      <c r="I74" s="14" t="s">
        <v>11</v>
      </c>
      <c r="J74" s="5" t="s">
        <v>18</v>
      </c>
      <c r="K74" s="5" t="s">
        <v>2</v>
      </c>
      <c r="L74" s="5" t="s">
        <v>3</v>
      </c>
      <c r="M74" s="5" t="s">
        <v>180</v>
      </c>
      <c r="N74" s="307" t="s">
        <v>246</v>
      </c>
      <c r="O74" s="307"/>
      <c r="P74" s="307" t="s">
        <v>245</v>
      </c>
      <c r="Q74" s="307"/>
      <c r="S74" s="5" t="s">
        <v>318</v>
      </c>
      <c r="T74" s="5" t="s">
        <v>318</v>
      </c>
      <c r="U74" s="307" t="s">
        <v>109</v>
      </c>
      <c r="V74" s="307"/>
    </row>
    <row r="75" spans="1:29" x14ac:dyDescent="0.2">
      <c r="A75">
        <v>67</v>
      </c>
      <c r="C75" s="5"/>
      <c r="D75" s="13" t="s">
        <v>7</v>
      </c>
      <c r="E75" s="14" t="s">
        <v>12</v>
      </c>
      <c r="F75" s="14" t="s">
        <v>12</v>
      </c>
      <c r="G75" s="14" t="s">
        <v>9</v>
      </c>
      <c r="H75" s="14" t="s">
        <v>12</v>
      </c>
      <c r="I75" s="14" t="s">
        <v>12</v>
      </c>
      <c r="N75" t="s">
        <v>247</v>
      </c>
      <c r="O75" t="s">
        <v>248</v>
      </c>
      <c r="P75" t="s">
        <v>107</v>
      </c>
      <c r="Q75" t="s">
        <v>108</v>
      </c>
      <c r="R75" t="s">
        <v>320</v>
      </c>
      <c r="U75" t="s">
        <v>98</v>
      </c>
      <c r="V75" t="s">
        <v>99</v>
      </c>
      <c r="X75" t="s">
        <v>439</v>
      </c>
    </row>
    <row r="76" spans="1:29" x14ac:dyDescent="0.2">
      <c r="A76">
        <v>68</v>
      </c>
      <c r="B76" s="4">
        <v>41316</v>
      </c>
      <c r="C76" t="s">
        <v>19</v>
      </c>
      <c r="D76">
        <v>0.25098371990000001</v>
      </c>
      <c r="E76" s="1">
        <v>1.10694787333333E-6</v>
      </c>
      <c r="F76" s="1">
        <v>3.8811758499999999E-7</v>
      </c>
      <c r="G76" s="1">
        <v>2.4848838500065999E-8</v>
      </c>
      <c r="H76" s="1">
        <v>7.1482966670673595E-8</v>
      </c>
      <c r="I76" s="1">
        <v>5.9582445977061402E-8</v>
      </c>
      <c r="J76">
        <v>4</v>
      </c>
      <c r="K76">
        <v>0.2</v>
      </c>
      <c r="L76">
        <v>10</v>
      </c>
      <c r="M76" s="2">
        <f>J76*D76/K76</f>
        <v>5.0196743980000003</v>
      </c>
      <c r="N76" s="3">
        <f>10^6*E76/10</f>
        <v>0.110694787333333</v>
      </c>
      <c r="O76" s="3">
        <f>10^6*F76/L76</f>
        <v>3.8811758500000001E-2</v>
      </c>
      <c r="P76" s="3">
        <f>J76*N76/M76</f>
        <v>8.820873909864542E-2</v>
      </c>
      <c r="Q76" s="26">
        <f>J76*O76/M76</f>
        <v>3.0927709984905679E-2</v>
      </c>
      <c r="S76" s="3"/>
      <c r="T76" s="3"/>
      <c r="X76">
        <v>0.25084984828000001</v>
      </c>
      <c r="Y76" s="1">
        <v>-1.12650893333333E-6</v>
      </c>
      <c r="Z76" s="1">
        <v>-6.0470144063333306E-8</v>
      </c>
      <c r="AA76" s="1">
        <v>4.0249002320140403E-8</v>
      </c>
      <c r="AB76" s="1">
        <v>9.8028278400651003E-8</v>
      </c>
      <c r="AC76" s="1">
        <v>1.1154005639274E-7</v>
      </c>
    </row>
    <row r="77" spans="1:29" x14ac:dyDescent="0.2">
      <c r="A77">
        <v>69</v>
      </c>
      <c r="C77" t="s">
        <v>20</v>
      </c>
      <c r="D77">
        <v>0.25093198904000003</v>
      </c>
      <c r="E77" s="1">
        <v>1.1128578216666699E-6</v>
      </c>
      <c r="F77" s="1">
        <v>6.1246032333333301E-7</v>
      </c>
      <c r="G77" s="1">
        <v>7.3518821809399694E-8</v>
      </c>
      <c r="H77" s="1">
        <v>7.8378493623101395E-8</v>
      </c>
      <c r="I77" s="1">
        <v>5.5262660079859703E-8</v>
      </c>
      <c r="J77">
        <v>4</v>
      </c>
      <c r="K77">
        <v>0.2</v>
      </c>
      <c r="L77">
        <v>10</v>
      </c>
      <c r="M77" s="2">
        <f t="shared" ref="M77:M89" si="56">J77*D77/K77</f>
        <v>5.0186397808000001</v>
      </c>
      <c r="N77" s="3">
        <f t="shared" ref="N77:N89" si="57">10^6*E77/10</f>
        <v>0.111285782166667</v>
      </c>
      <c r="O77" s="3">
        <f t="shared" ref="O77:O89" si="58">10^6*F77/L77</f>
        <v>6.1246032333333297E-2</v>
      </c>
      <c r="P77" s="3">
        <f t="shared" ref="P77:P89" si="59">J77*N77/M77</f>
        <v>8.8697963613501185E-2</v>
      </c>
      <c r="Q77" s="26">
        <f t="shared" ref="Q77:Q89" si="60">J77*O77/M77</f>
        <v>4.8814846259852766E-2</v>
      </c>
      <c r="S77" s="3"/>
      <c r="T77" s="3"/>
      <c r="X77">
        <v>0.25060383984000001</v>
      </c>
      <c r="Y77" s="1">
        <v>-9.7038776166666599E-7</v>
      </c>
      <c r="Z77" s="1">
        <v>2.3124787278333299E-7</v>
      </c>
      <c r="AA77" s="1">
        <v>6.1638651015678095E-8</v>
      </c>
      <c r="AB77" s="1">
        <v>1.15696809088561E-7</v>
      </c>
      <c r="AC77" s="1">
        <v>1.0215563691895E-7</v>
      </c>
    </row>
    <row r="78" spans="1:29" x14ac:dyDescent="0.2">
      <c r="A78">
        <v>70</v>
      </c>
      <c r="C78" t="s">
        <v>21</v>
      </c>
      <c r="D78">
        <v>0.25094776221999998</v>
      </c>
      <c r="E78" s="1">
        <v>1.2742564833333299E-6</v>
      </c>
      <c r="F78" s="1">
        <v>-1.1533968666666699E-7</v>
      </c>
      <c r="G78" s="1">
        <v>5.0614150353220504E-9</v>
      </c>
      <c r="H78" s="1">
        <v>5.3159851490259E-8</v>
      </c>
      <c r="I78" s="1">
        <v>7.6623016201283102E-8</v>
      </c>
      <c r="J78">
        <v>4</v>
      </c>
      <c r="K78">
        <v>0.2</v>
      </c>
      <c r="L78">
        <v>10</v>
      </c>
      <c r="M78" s="2">
        <f t="shared" si="56"/>
        <v>5.018955244399999</v>
      </c>
      <c r="N78" s="3">
        <f t="shared" si="57"/>
        <v>0.12742564833333297</v>
      </c>
      <c r="O78" s="3">
        <f t="shared" si="58"/>
        <v>-1.15339686666667E-2</v>
      </c>
      <c r="P78" s="3">
        <f t="shared" si="59"/>
        <v>0.10155551673867642</v>
      </c>
      <c r="Q78" s="26">
        <f t="shared" si="60"/>
        <v>-9.1923263747258621E-3</v>
      </c>
      <c r="S78" s="3"/>
      <c r="T78" s="3"/>
      <c r="X78">
        <v>0.25012766168</v>
      </c>
      <c r="Y78" s="1">
        <v>-1.18233698666667E-6</v>
      </c>
      <c r="Z78" s="1">
        <v>1.47463915E-6</v>
      </c>
      <c r="AA78" s="1">
        <v>8.6817994718752899E-8</v>
      </c>
      <c r="AB78" s="1">
        <v>9.9920573674409801E-8</v>
      </c>
      <c r="AC78" s="1">
        <v>9.1257236802225702E-8</v>
      </c>
    </row>
    <row r="79" spans="1:29" x14ac:dyDescent="0.2">
      <c r="A79">
        <v>71</v>
      </c>
      <c r="C79" t="s">
        <v>22</v>
      </c>
      <c r="D79">
        <v>0.25089962966000001</v>
      </c>
      <c r="E79" s="1">
        <v>1.038727835E-6</v>
      </c>
      <c r="F79" s="1">
        <v>1.05654467E-6</v>
      </c>
      <c r="G79" s="1">
        <v>6.1471729702659999E-8</v>
      </c>
      <c r="H79" s="1">
        <v>8.7693309886413004E-8</v>
      </c>
      <c r="I79" s="1">
        <v>3.8883190305680498E-8</v>
      </c>
      <c r="J79">
        <v>4</v>
      </c>
      <c r="K79">
        <v>0.2</v>
      </c>
      <c r="L79">
        <v>10</v>
      </c>
      <c r="M79" s="2">
        <f t="shared" si="56"/>
        <v>5.0179925931999998</v>
      </c>
      <c r="N79" s="3">
        <f t="shared" si="57"/>
        <v>0.1038727835</v>
      </c>
      <c r="O79" s="3">
        <f t="shared" si="58"/>
        <v>0.105654467</v>
      </c>
      <c r="P79" s="3">
        <f t="shared" si="59"/>
        <v>8.2800268490440143E-2</v>
      </c>
      <c r="Q79" s="26">
        <f t="shared" si="60"/>
        <v>8.4220504544526328E-2</v>
      </c>
      <c r="S79" s="3"/>
      <c r="T79" s="3"/>
      <c r="X79">
        <v>0.25016048905999999</v>
      </c>
      <c r="Y79" s="1">
        <v>-9.3978271666666699E-7</v>
      </c>
      <c r="Z79" s="1">
        <v>8.16957458333333E-7</v>
      </c>
      <c r="AA79" s="1">
        <v>1.00939465573342E-7</v>
      </c>
      <c r="AB79" s="1">
        <v>5.2494133267090498E-8</v>
      </c>
      <c r="AC79" s="1">
        <v>7.0762110837709401E-8</v>
      </c>
    </row>
    <row r="80" spans="1:29" x14ac:dyDescent="0.2">
      <c r="A80">
        <v>72</v>
      </c>
      <c r="E80" s="1"/>
      <c r="F80" s="1"/>
      <c r="G80" s="1"/>
      <c r="H80" s="1"/>
      <c r="I80" s="1"/>
      <c r="M80" s="2"/>
      <c r="N80" s="3"/>
      <c r="O80" s="3"/>
      <c r="P80" s="3"/>
      <c r="Q80" s="26"/>
      <c r="S80" s="3"/>
      <c r="T80" s="3"/>
      <c r="Y80" s="1"/>
      <c r="Z80" s="1"/>
      <c r="AA80" s="1"/>
      <c r="AB80" s="1"/>
      <c r="AC80" s="1"/>
    </row>
    <row r="81" spans="1:44" x14ac:dyDescent="0.2">
      <c r="A81">
        <v>73</v>
      </c>
      <c r="C81" t="s">
        <v>24</v>
      </c>
      <c r="D81">
        <v>0.25018463827999998</v>
      </c>
      <c r="E81" s="1">
        <v>1.0518229566666701E-6</v>
      </c>
      <c r="F81" s="1">
        <v>7.6421845000000004E-7</v>
      </c>
      <c r="G81" s="1">
        <v>5.5492297628617298E-9</v>
      </c>
      <c r="H81" s="1">
        <v>7.9870890198879404E-8</v>
      </c>
      <c r="I81" s="1">
        <v>4.1016252776805898E-8</v>
      </c>
      <c r="J81">
        <v>4</v>
      </c>
      <c r="K81">
        <v>0.2</v>
      </c>
      <c r="L81">
        <v>10</v>
      </c>
      <c r="M81" s="2">
        <f t="shared" si="56"/>
        <v>5.0036927655999994</v>
      </c>
      <c r="N81" s="3">
        <f t="shared" si="57"/>
        <v>0.10518229566666701</v>
      </c>
      <c r="O81" s="3">
        <f t="shared" si="58"/>
        <v>7.6421845000000002E-2</v>
      </c>
      <c r="P81" s="3">
        <f t="shared" si="59"/>
        <v>8.4083736227601458E-2</v>
      </c>
      <c r="Q81" s="26">
        <f t="shared" si="60"/>
        <v>6.1092356049831258E-2</v>
      </c>
      <c r="S81" s="3"/>
      <c r="T81" s="3"/>
      <c r="X81">
        <v>0.25071495098000002</v>
      </c>
      <c r="Y81" s="1">
        <v>-9.6524937500000101E-7</v>
      </c>
      <c r="Z81" s="1">
        <v>3.8703736499999997E-7</v>
      </c>
      <c r="AA81" s="1">
        <v>9.7753545518101897E-8</v>
      </c>
      <c r="AB81" s="1">
        <v>7.92528210512895E-8</v>
      </c>
      <c r="AC81" s="1">
        <v>9.2690690828017395E-8</v>
      </c>
    </row>
    <row r="82" spans="1:44" x14ac:dyDescent="0.2">
      <c r="A82">
        <v>74</v>
      </c>
      <c r="C82" t="s">
        <v>25</v>
      </c>
      <c r="D82">
        <v>0.24997495174000001</v>
      </c>
      <c r="E82" s="1">
        <v>-1.03020448333333E-5</v>
      </c>
      <c r="F82" s="1">
        <v>-3.4361743833333301E-6</v>
      </c>
      <c r="G82" s="1">
        <v>2.3925872662024799E-8</v>
      </c>
      <c r="H82" s="1">
        <v>6.2316929659775104E-10</v>
      </c>
      <c r="I82" s="1">
        <v>8.6673336126547893E-9</v>
      </c>
      <c r="J82">
        <v>4</v>
      </c>
      <c r="K82">
        <v>0.2</v>
      </c>
      <c r="L82">
        <v>10</v>
      </c>
      <c r="M82" s="2">
        <f t="shared" si="56"/>
        <v>4.9994990347999995</v>
      </c>
      <c r="N82" s="3">
        <f t="shared" si="57"/>
        <v>-1.0302044833333299</v>
      </c>
      <c r="O82" s="3">
        <f t="shared" si="58"/>
        <v>-0.34361743833333303</v>
      </c>
      <c r="P82" s="3">
        <f t="shared" si="59"/>
        <v>-0.82424617039618442</v>
      </c>
      <c r="Q82" s="26">
        <f t="shared" si="60"/>
        <v>-0.27492149588710074</v>
      </c>
      <c r="R82" s="1"/>
      <c r="S82" s="3"/>
      <c r="T82" s="3"/>
      <c r="X82">
        <v>0.24977984423999999</v>
      </c>
      <c r="Y82" s="1">
        <v>1.0274109999999999E-5</v>
      </c>
      <c r="Z82" s="1">
        <v>4.5452482333333304E-6</v>
      </c>
      <c r="AA82" s="1">
        <v>6.6783523568657198E-8</v>
      </c>
      <c r="AB82" s="1">
        <v>4.1817679275636503E-8</v>
      </c>
      <c r="AC82" s="1">
        <v>1.05304115093122E-7</v>
      </c>
    </row>
    <row r="83" spans="1:44" x14ac:dyDescent="0.2">
      <c r="A83">
        <v>75</v>
      </c>
      <c r="C83" s="5" t="s">
        <v>69</v>
      </c>
      <c r="E83" s="1"/>
      <c r="F83" s="1"/>
      <c r="G83" s="1"/>
      <c r="H83" s="1"/>
      <c r="I83" s="1"/>
      <c r="M83" s="2"/>
      <c r="N83" s="3"/>
      <c r="O83" s="3"/>
      <c r="P83" s="3"/>
      <c r="Q83" s="26"/>
      <c r="Y83" s="1"/>
      <c r="Z83" s="1"/>
      <c r="AA83" s="1"/>
      <c r="AB83" s="1"/>
      <c r="AC83" s="1"/>
    </row>
    <row r="84" spans="1:44" x14ac:dyDescent="0.2">
      <c r="A84">
        <v>76</v>
      </c>
      <c r="C84" t="s">
        <v>26</v>
      </c>
      <c r="D84">
        <v>0.25051263274000002</v>
      </c>
      <c r="E84" s="1">
        <v>1.0113854683333301E-6</v>
      </c>
      <c r="F84" s="1">
        <v>7.8468658E-7</v>
      </c>
      <c r="G84" s="1">
        <v>1.00297723732088E-7</v>
      </c>
      <c r="H84" s="1">
        <v>4.3697323538621903E-8</v>
      </c>
      <c r="I84" s="1">
        <v>3.3416760231560402E-8</v>
      </c>
      <c r="J84">
        <v>4</v>
      </c>
      <c r="K84">
        <v>0.2</v>
      </c>
      <c r="L84">
        <v>10</v>
      </c>
      <c r="M84" s="2">
        <f t="shared" si="56"/>
        <v>5.0102526548000004</v>
      </c>
      <c r="N84" s="3">
        <f t="shared" si="57"/>
        <v>0.10113854683333301</v>
      </c>
      <c r="O84" s="3">
        <f t="shared" si="58"/>
        <v>7.8468657999999997E-2</v>
      </c>
      <c r="P84" s="3">
        <f t="shared" si="59"/>
        <v>8.0745266797225226E-2</v>
      </c>
      <c r="Q84" s="26">
        <f t="shared" si="60"/>
        <v>6.2646467878081341E-2</v>
      </c>
      <c r="R84" s="3">
        <f>1-N52</f>
        <v>5.0688715370524884E-3</v>
      </c>
      <c r="S84" s="3">
        <f>P84*R84</f>
        <v>4.0928738462016426E-4</v>
      </c>
      <c r="T84" s="3">
        <f>Q84*R84</f>
        <v>3.1754689792407953E-4</v>
      </c>
      <c r="W84" s="3"/>
      <c r="X84">
        <v>0.25037779850000003</v>
      </c>
      <c r="Y84" s="1">
        <v>-1.0258449716666699E-6</v>
      </c>
      <c r="Z84" s="1">
        <v>4.1923599E-7</v>
      </c>
      <c r="AA84" s="1">
        <v>2.5693039196560099E-7</v>
      </c>
      <c r="AB84" s="1">
        <v>8.6485291041064098E-8</v>
      </c>
      <c r="AC84" s="1">
        <v>1.31912988144231E-7</v>
      </c>
    </row>
    <row r="85" spans="1:44" x14ac:dyDescent="0.2">
      <c r="A85">
        <v>77</v>
      </c>
      <c r="C85" t="s">
        <v>27</v>
      </c>
      <c r="D85">
        <v>0.25094195547999998</v>
      </c>
      <c r="E85" s="1">
        <v>-3.2595979935000098E-8</v>
      </c>
      <c r="F85" s="1">
        <v>4.2429589333333403E-7</v>
      </c>
      <c r="G85" s="1">
        <v>2.4554884175045902E-7</v>
      </c>
      <c r="H85" s="1">
        <v>9.1307520755876802E-8</v>
      </c>
      <c r="I85" s="1">
        <v>3.5796454980187901E-8</v>
      </c>
      <c r="J85">
        <v>4</v>
      </c>
      <c r="K85">
        <v>0.2</v>
      </c>
      <c r="L85">
        <v>10</v>
      </c>
      <c r="M85" s="2">
        <f t="shared" si="56"/>
        <v>5.0188391095999991</v>
      </c>
      <c r="N85" s="3">
        <f t="shared" si="57"/>
        <v>-3.2595979935000096E-3</v>
      </c>
      <c r="O85" s="3">
        <f t="shared" si="58"/>
        <v>4.2429589333333399E-2</v>
      </c>
      <c r="P85" s="3">
        <f t="shared" si="59"/>
        <v>-2.5978900078825595E-3</v>
      </c>
      <c r="Q85" s="26">
        <f t="shared" si="60"/>
        <v>3.381625782916562E-2</v>
      </c>
      <c r="R85" s="3">
        <f>1-N53</f>
        <v>1.8496673521642637E-2</v>
      </c>
      <c r="S85" s="3">
        <f>P85*R85</f>
        <v>-4.8052323320941316E-5</v>
      </c>
      <c r="T85" s="3">
        <f>Q85*R85</f>
        <v>6.2548828078976828E-4</v>
      </c>
      <c r="X85">
        <v>0.25047133034000002</v>
      </c>
      <c r="Y85" s="1">
        <v>5.3156251666666596E-7</v>
      </c>
      <c r="Z85" s="1">
        <v>2.5080435600000002E-7</v>
      </c>
      <c r="AA85" s="1">
        <v>1.66910926105695E-7</v>
      </c>
      <c r="AB85" s="1">
        <v>1.35590514249042E-7</v>
      </c>
      <c r="AC85" s="1">
        <v>6.7860761921490897E-8</v>
      </c>
    </row>
    <row r="86" spans="1:44" x14ac:dyDescent="0.2">
      <c r="A86">
        <v>78</v>
      </c>
      <c r="C86" t="s">
        <v>28</v>
      </c>
      <c r="D86">
        <v>0.25112440652000001</v>
      </c>
      <c r="E86" s="1">
        <v>1.76087071666667E-6</v>
      </c>
      <c r="F86" s="1">
        <v>9.7052060666666603E-7</v>
      </c>
      <c r="G86" s="1">
        <v>5.4369982833778798E-8</v>
      </c>
      <c r="H86" s="1">
        <v>1.27318793056271E-8</v>
      </c>
      <c r="I86" s="1">
        <v>4.2509838472349997E-8</v>
      </c>
      <c r="J86">
        <v>4</v>
      </c>
      <c r="K86">
        <v>0.2</v>
      </c>
      <c r="L86">
        <v>10</v>
      </c>
      <c r="M86" s="2">
        <f t="shared" si="56"/>
        <v>5.0224881304000002</v>
      </c>
      <c r="N86" s="3">
        <f t="shared" si="57"/>
        <v>0.17608707166666698</v>
      </c>
      <c r="O86" s="3">
        <f t="shared" si="58"/>
        <v>9.7052060666666606E-2</v>
      </c>
      <c r="P86" s="3">
        <f t="shared" si="59"/>
        <v>0.14023891513120856</v>
      </c>
      <c r="Q86" s="26">
        <f t="shared" si="60"/>
        <v>7.7294008982704915E-2</v>
      </c>
      <c r="R86" s="3">
        <f>1-N54</f>
        <v>-4.0235121575467048E-3</v>
      </c>
      <c r="S86" s="3">
        <f>P86*R86</f>
        <v>-5.6425297999157823E-4</v>
      </c>
      <c r="T86" s="3">
        <f>Q86*R86</f>
        <v>-3.1099338484743741E-4</v>
      </c>
      <c r="U86" s="40">
        <f>SUM(S84:S86)</f>
        <v>-2.0301791869235526E-4</v>
      </c>
      <c r="V86" s="40">
        <f>SUM(T84:T86)</f>
        <v>6.320417938664104E-4</v>
      </c>
      <c r="X86">
        <v>0.24379279296</v>
      </c>
      <c r="Y86" s="1">
        <v>-1.2295860000000001E-6</v>
      </c>
      <c r="Z86" s="1">
        <v>5.5276296300000004E-7</v>
      </c>
      <c r="AA86" s="1">
        <v>4.3026756317376399E-7</v>
      </c>
      <c r="AB86" s="1">
        <v>4.5090886141214798E-8</v>
      </c>
      <c r="AC86" s="1">
        <v>1.17152656347858E-7</v>
      </c>
    </row>
    <row r="87" spans="1:44" x14ac:dyDescent="0.2">
      <c r="A87">
        <v>79</v>
      </c>
      <c r="C87" t="s">
        <v>29</v>
      </c>
      <c r="D87">
        <v>0.25107092949999998</v>
      </c>
      <c r="E87" s="1">
        <v>-1.0777307833333299E-6</v>
      </c>
      <c r="F87" s="1">
        <v>-1.7145744416666699E-7</v>
      </c>
      <c r="G87" s="1">
        <v>4.4478067314194498E-8</v>
      </c>
      <c r="H87" s="1">
        <v>4.98919446382853E-8</v>
      </c>
      <c r="I87" s="1">
        <v>9.4992195187227197E-8</v>
      </c>
      <c r="J87">
        <v>4</v>
      </c>
      <c r="K87">
        <v>0.2</v>
      </c>
      <c r="L87">
        <v>10</v>
      </c>
      <c r="M87" s="2">
        <f t="shared" si="56"/>
        <v>5.0214185899999997</v>
      </c>
      <c r="N87" s="3">
        <f t="shared" si="57"/>
        <v>-0.10777307833333301</v>
      </c>
      <c r="O87" s="3">
        <f t="shared" si="58"/>
        <v>-1.7145744416666699E-2</v>
      </c>
      <c r="P87" s="3">
        <f t="shared" si="59"/>
        <v>-8.5850702467195047E-2</v>
      </c>
      <c r="Q87" s="26">
        <f t="shared" si="60"/>
        <v>-1.3658088135342406E-2</v>
      </c>
      <c r="R87" s="3"/>
      <c r="U87" s="188">
        <f>'Data(2000)'!U86</f>
        <v>-2.8874773213776609E-3</v>
      </c>
      <c r="V87" s="156">
        <f>'Data(2000)'!V86</f>
        <v>-6.7812097146875217E-4</v>
      </c>
      <c r="W87" s="3"/>
      <c r="X87">
        <v>0.24966350672000001</v>
      </c>
      <c r="Y87" s="1">
        <v>1.45687798333333E-6</v>
      </c>
      <c r="Z87" s="1">
        <v>-1.9323124233333301E-8</v>
      </c>
      <c r="AA87" s="1">
        <v>2.4168525264180801E-7</v>
      </c>
      <c r="AB87" s="1">
        <v>5.1944330913967103E-8</v>
      </c>
      <c r="AC87" s="1">
        <v>1.2574407498925801E-7</v>
      </c>
    </row>
    <row r="88" spans="1:44" x14ac:dyDescent="0.2">
      <c r="A88">
        <v>80</v>
      </c>
      <c r="C88" t="s">
        <v>30</v>
      </c>
      <c r="D88">
        <v>0.25057618467999998</v>
      </c>
      <c r="E88" s="1">
        <v>6.8487579833333296E-7</v>
      </c>
      <c r="F88" s="1">
        <v>4.3083491000000002E-7</v>
      </c>
      <c r="G88" s="1">
        <v>1.0744039808818399E-7</v>
      </c>
      <c r="H88" s="1">
        <v>8.1012803475280006E-8</v>
      </c>
      <c r="I88" s="1">
        <v>6.5044751256002494E-8</v>
      </c>
      <c r="J88">
        <v>4</v>
      </c>
      <c r="K88">
        <v>0.2</v>
      </c>
      <c r="L88">
        <v>10</v>
      </c>
      <c r="M88" s="2">
        <f t="shared" si="56"/>
        <v>5.0115236935999992</v>
      </c>
      <c r="N88" s="3">
        <f t="shared" si="57"/>
        <v>6.8487579833333298E-2</v>
      </c>
      <c r="O88" s="3">
        <f t="shared" si="58"/>
        <v>4.3083491000000002E-2</v>
      </c>
      <c r="P88" s="3">
        <f t="shared" si="59"/>
        <v>5.4664077450772772E-2</v>
      </c>
      <c r="Q88" s="26">
        <f t="shared" si="60"/>
        <v>3.4387538508513942E-2</v>
      </c>
      <c r="V88" s="3"/>
      <c r="W88" s="3"/>
      <c r="X88">
        <v>0.25098191168</v>
      </c>
      <c r="Y88" s="1">
        <v>-3.0125688918333301E-7</v>
      </c>
      <c r="Z88" s="1">
        <v>3.23720851633333E-7</v>
      </c>
      <c r="AA88" s="1">
        <v>1.20788472626201E-7</v>
      </c>
      <c r="AB88" s="1">
        <v>9.0283418099174994E-8</v>
      </c>
      <c r="AC88" s="1">
        <v>9.3907514694969894E-8</v>
      </c>
    </row>
    <row r="89" spans="1:44" x14ac:dyDescent="0.2">
      <c r="A89">
        <v>81</v>
      </c>
      <c r="C89" t="s">
        <v>31</v>
      </c>
      <c r="D89">
        <v>0.25065261789999999</v>
      </c>
      <c r="E89" s="1">
        <v>1.71073206666667E-6</v>
      </c>
      <c r="F89" s="1">
        <v>8.2948608166666604E-7</v>
      </c>
      <c r="G89" s="1">
        <v>5.3832116789035198E-8</v>
      </c>
      <c r="H89" s="1">
        <v>4.9971433653594101E-8</v>
      </c>
      <c r="I89" s="1">
        <v>5.9993824008601101E-8</v>
      </c>
      <c r="J89">
        <v>4</v>
      </c>
      <c r="K89">
        <v>0.2</v>
      </c>
      <c r="L89">
        <v>10</v>
      </c>
      <c r="M89" s="2">
        <f t="shared" si="56"/>
        <v>5.0130523579999995</v>
      </c>
      <c r="N89" s="3">
        <f t="shared" si="57"/>
        <v>0.171073206666667</v>
      </c>
      <c r="O89" s="3">
        <f t="shared" si="58"/>
        <v>8.2948608166666604E-2</v>
      </c>
      <c r="P89" s="3">
        <f t="shared" si="59"/>
        <v>0.13650223013822113</v>
      </c>
      <c r="Q89" s="26">
        <f t="shared" si="60"/>
        <v>6.6186109573975943E-2</v>
      </c>
      <c r="V89" s="3"/>
      <c r="W89" s="3"/>
      <c r="X89">
        <v>0.25057933758000001</v>
      </c>
      <c r="Y89" s="1">
        <v>-1.78205218333333E-6</v>
      </c>
      <c r="Z89" s="1">
        <v>4.2106354333333401E-7</v>
      </c>
      <c r="AA89" s="1">
        <v>1.7483594599680399E-7</v>
      </c>
      <c r="AB89" s="1">
        <v>6.9588817837827896E-8</v>
      </c>
      <c r="AC89" s="1">
        <v>8.5790316466515E-8</v>
      </c>
    </row>
    <row r="90" spans="1:44" x14ac:dyDescent="0.2">
      <c r="A90">
        <v>82</v>
      </c>
    </row>
    <row r="91" spans="1:44" x14ac:dyDescent="0.2">
      <c r="A91">
        <v>83</v>
      </c>
      <c r="P91" s="3"/>
    </row>
    <row r="92" spans="1:44" x14ac:dyDescent="0.2">
      <c r="A92">
        <v>84</v>
      </c>
      <c r="C92" s="5" t="s">
        <v>71</v>
      </c>
      <c r="G92" t="s">
        <v>72</v>
      </c>
      <c r="P92" s="3"/>
    </row>
    <row r="93" spans="1:44" x14ac:dyDescent="0.2">
      <c r="A93">
        <v>85</v>
      </c>
      <c r="D93" s="13" t="s">
        <v>2</v>
      </c>
      <c r="E93" s="14" t="s">
        <v>5</v>
      </c>
      <c r="F93" s="14" t="s">
        <v>6</v>
      </c>
      <c r="G93" s="14" t="s">
        <v>8</v>
      </c>
      <c r="H93" s="14" t="s">
        <v>10</v>
      </c>
      <c r="I93" s="14" t="s">
        <v>11</v>
      </c>
      <c r="J93" s="1"/>
      <c r="P93" s="3"/>
      <c r="Q93" s="5" t="s">
        <v>15</v>
      </c>
      <c r="R93" s="5" t="s">
        <v>15</v>
      </c>
      <c r="S93" s="5" t="s">
        <v>15</v>
      </c>
      <c r="AC93" s="149" t="s">
        <v>446</v>
      </c>
    </row>
    <row r="94" spans="1:44" x14ac:dyDescent="0.2">
      <c r="A94">
        <v>86</v>
      </c>
      <c r="D94" s="13" t="s">
        <v>7</v>
      </c>
      <c r="E94" s="14" t="s">
        <v>12</v>
      </c>
      <c r="F94" s="14" t="s">
        <v>12</v>
      </c>
      <c r="G94" s="14" t="s">
        <v>9</v>
      </c>
      <c r="H94" s="14" t="s">
        <v>12</v>
      </c>
      <c r="I94" s="14" t="s">
        <v>12</v>
      </c>
      <c r="J94" s="1"/>
      <c r="K94" s="5" t="s">
        <v>2</v>
      </c>
      <c r="L94" s="5" t="s">
        <v>3</v>
      </c>
      <c r="M94" s="5" t="s">
        <v>4</v>
      </c>
      <c r="N94" s="5" t="s">
        <v>0</v>
      </c>
      <c r="O94" s="5" t="s">
        <v>1</v>
      </c>
      <c r="P94" s="3"/>
      <c r="Q94" s="5" t="s">
        <v>5</v>
      </c>
      <c r="R94" s="5" t="s">
        <v>6</v>
      </c>
      <c r="S94" s="5" t="s">
        <v>14</v>
      </c>
      <c r="AH94" s="3"/>
      <c r="AI94" s="5" t="s">
        <v>15</v>
      </c>
      <c r="AJ94" s="5" t="s">
        <v>15</v>
      </c>
      <c r="AK94" s="5" t="s">
        <v>15</v>
      </c>
    </row>
    <row r="95" spans="1:44" x14ac:dyDescent="0.2">
      <c r="A95">
        <v>87</v>
      </c>
      <c r="B95" s="4">
        <v>41317</v>
      </c>
      <c r="C95" s="7"/>
      <c r="D95" s="152">
        <v>1.1910543054</v>
      </c>
      <c r="E95" s="153">
        <v>-5.7684090166666397E-6</v>
      </c>
      <c r="F95" s="153">
        <v>-4.4968720666666702E-6</v>
      </c>
      <c r="G95" s="153">
        <v>3.5415596790156497E-5</v>
      </c>
      <c r="H95" s="153">
        <v>1.5973306059861099E-7</v>
      </c>
      <c r="I95" s="153">
        <v>8.5251808346776804E-8</v>
      </c>
      <c r="J95" s="152"/>
      <c r="K95" s="152">
        <v>0.2</v>
      </c>
      <c r="L95" s="152">
        <v>10</v>
      </c>
      <c r="M95" s="154">
        <f>100*D95/(K95*5)</f>
        <v>119.10543054</v>
      </c>
      <c r="N95" s="155">
        <f>1000000*E95*K95/(L95*D95)</f>
        <v>-9.6862233577660356E-2</v>
      </c>
      <c r="O95" s="155">
        <f>1000000*F95*K95/(D95*L95)</f>
        <v>-7.5510781435888519E-2</v>
      </c>
      <c r="P95" s="155"/>
      <c r="Q95" s="155">
        <f>1000000*K95*H95/(L95*D95)</f>
        <v>2.6822128911236625E-3</v>
      </c>
      <c r="R95" s="155">
        <f>1000000*K95*I95/(L95*D95)</f>
        <v>1.4315352030593784E-3</v>
      </c>
      <c r="S95" s="153">
        <f>G95*100/D95</f>
        <v>2.9734661660336835E-3</v>
      </c>
      <c r="U95" t="s">
        <v>445</v>
      </c>
      <c r="X95" s="189" t="s">
        <v>442</v>
      </c>
      <c r="Y95" s="189"/>
      <c r="AC95" s="5" t="s">
        <v>2</v>
      </c>
      <c r="AD95" s="5" t="s">
        <v>3</v>
      </c>
      <c r="AE95" s="5" t="s">
        <v>4</v>
      </c>
      <c r="AF95" s="5" t="s">
        <v>0</v>
      </c>
      <c r="AG95" s="5" t="s">
        <v>1</v>
      </c>
      <c r="AH95" s="3"/>
      <c r="AI95" s="5" t="s">
        <v>5</v>
      </c>
      <c r="AJ95" s="5" t="s">
        <v>6</v>
      </c>
      <c r="AK95" s="5" t="s">
        <v>14</v>
      </c>
    </row>
    <row r="96" spans="1:44" x14ac:dyDescent="0.2">
      <c r="A96">
        <v>88</v>
      </c>
      <c r="C96" s="152" t="s">
        <v>448</v>
      </c>
      <c r="D96" s="152">
        <v>1.1931460482</v>
      </c>
      <c r="E96" s="153">
        <v>-6.3658499333333404E-6</v>
      </c>
      <c r="F96" s="153">
        <v>-4.8584480500000097E-6</v>
      </c>
      <c r="G96" s="153">
        <v>9.6394320270405905E-6</v>
      </c>
      <c r="H96" s="153">
        <v>2.3927037010739299E-7</v>
      </c>
      <c r="I96" s="153">
        <v>9.9825818969998002E-8</v>
      </c>
      <c r="J96" s="152"/>
      <c r="K96" s="152">
        <v>0.2</v>
      </c>
      <c r="L96" s="152">
        <v>10</v>
      </c>
      <c r="M96" s="154">
        <f t="shared" ref="M96:M101" si="61">100*D96/(K96*5)</f>
        <v>119.31460482</v>
      </c>
      <c r="N96" s="155">
        <f t="shared" ref="N96:N101" si="62">1000000*E96*K96/(L96*D96)</f>
        <v>-0.10670696924214715</v>
      </c>
      <c r="O96" s="155">
        <f t="shared" ref="O96:O101" si="63">1000000*F96*K96/(D96*L96)</f>
        <v>-8.1439284944698015E-2</v>
      </c>
      <c r="P96" s="155"/>
      <c r="Q96" s="155">
        <f t="shared" ref="Q96:Q101" si="64">1000000*K96*H96/(L96*D96)</f>
        <v>4.0107473928838846E-3</v>
      </c>
      <c r="R96" s="155">
        <f t="shared" ref="R96:R101" si="65">1000000*K96*I96/(L96*D96)</f>
        <v>1.6733210342622664E-3</v>
      </c>
      <c r="S96" s="153">
        <f t="shared" ref="S96:S101" si="66">G96*100/D96</f>
        <v>8.0790042774585703E-4</v>
      </c>
      <c r="U96" s="3">
        <f t="shared" ref="U96:V101" si="67">N96-X96</f>
        <v>-4.2423862145698224E-2</v>
      </c>
      <c r="V96" s="3">
        <f t="shared" si="67"/>
        <v>-4.6946580546101374E-2</v>
      </c>
      <c r="X96" s="188">
        <f>'Data(2000)'!N112</f>
        <v>-6.4283107096448924E-2</v>
      </c>
      <c r="Y96" s="188">
        <f>'Data(2000)'!O112</f>
        <v>-3.4492704398596641E-2</v>
      </c>
      <c r="AC96" s="149">
        <v>1.1954393863999999</v>
      </c>
      <c r="AD96" s="150">
        <v>-5.7348436166666704E-6</v>
      </c>
      <c r="AE96" s="150">
        <v>-5.3337490500000103E-6</v>
      </c>
      <c r="AF96" s="150">
        <v>9.4966471911079108E-6</v>
      </c>
      <c r="AG96" s="150">
        <v>3.29959820770277E-7</v>
      </c>
      <c r="AH96" s="150">
        <v>2.1176693209343201E-7</v>
      </c>
      <c r="AI96" s="149"/>
      <c r="AJ96" s="149">
        <v>0.2</v>
      </c>
      <c r="AK96" s="149">
        <v>10</v>
      </c>
      <c r="AL96" s="151">
        <f t="shared" ref="AL96:AL101" si="68">100*AC96/(AJ96*5)</f>
        <v>119.54393863999999</v>
      </c>
      <c r="AM96" s="148">
        <f t="shared" ref="AM96:AM101" si="69">1000000*AD96*AJ96/(AK96*AC96)</f>
        <v>-9.5945368404446452E-2</v>
      </c>
      <c r="AN96" s="148">
        <f t="shared" ref="AN96:AN101" si="70">1000000*AE96*AJ96/(AC96*AK96)</f>
        <v>-8.9234955961461207E-2</v>
      </c>
      <c r="AO96" s="148"/>
      <c r="AP96" s="148">
        <f t="shared" ref="AP96:AP101" si="71">1000000*AJ96*AG96/(AK96*AC96)</f>
        <v>5.5203103482131845E-3</v>
      </c>
      <c r="AQ96" s="148">
        <f t="shared" ref="AQ96:AQ101" si="72">1000000*AJ96*AH96/(AK96*AC96)</f>
        <v>3.542913752091714E-3</v>
      </c>
      <c r="AR96" s="150">
        <f t="shared" ref="AR96:AR101" si="73">AF96*100/AC96</f>
        <v>7.944064165148969E-4</v>
      </c>
    </row>
    <row r="97" spans="1:44" x14ac:dyDescent="0.2">
      <c r="A97">
        <v>89</v>
      </c>
      <c r="C97" s="152" t="s">
        <v>454</v>
      </c>
      <c r="D97" s="152">
        <v>0.99886711409999995</v>
      </c>
      <c r="E97" s="153">
        <v>-5.7023791833333297E-6</v>
      </c>
      <c r="F97" s="153">
        <v>-3.96341723333335E-6</v>
      </c>
      <c r="G97" s="153">
        <v>2.2934462420108099E-5</v>
      </c>
      <c r="H97" s="153">
        <v>1.7983682664895501E-7</v>
      </c>
      <c r="I97" s="153">
        <v>4.7841222357699799E-8</v>
      </c>
      <c r="J97" s="152"/>
      <c r="K97" s="152">
        <v>0.2</v>
      </c>
      <c r="L97" s="152">
        <v>10</v>
      </c>
      <c r="M97" s="154">
        <f t="shared" si="61"/>
        <v>99.88671140999999</v>
      </c>
      <c r="N97" s="155">
        <f t="shared" si="62"/>
        <v>-0.11417693310428569</v>
      </c>
      <c r="O97" s="155">
        <f t="shared" si="63"/>
        <v>-7.9358248507449797E-2</v>
      </c>
      <c r="P97" s="155"/>
      <c r="Q97" s="155">
        <f t="shared" si="64"/>
        <v>3.6008158464800742E-3</v>
      </c>
      <c r="R97" s="155">
        <f t="shared" si="65"/>
        <v>9.5790964948937651E-4</v>
      </c>
      <c r="S97" s="153">
        <f t="shared" si="66"/>
        <v>2.2960474017379709E-3</v>
      </c>
      <c r="U97" s="3">
        <f t="shared" si="67"/>
        <v>-3.819509047443051E-2</v>
      </c>
      <c r="V97" s="3">
        <f t="shared" si="67"/>
        <v>-4.4533995191531971E-2</v>
      </c>
      <c r="X97" s="188">
        <f>'Data(2000)'!N113</f>
        <v>-7.5981842629855176E-2</v>
      </c>
      <c r="Y97" s="188">
        <f>'Data(2000)'!O113</f>
        <v>-3.4824253315917826E-2</v>
      </c>
      <c r="AC97" s="149">
        <v>1.0005065399399999</v>
      </c>
      <c r="AD97" s="150">
        <v>-4.8099772333333197E-6</v>
      </c>
      <c r="AE97" s="150">
        <v>-4.38456673333332E-6</v>
      </c>
      <c r="AF97" s="150">
        <v>6.9946367463009296E-6</v>
      </c>
      <c r="AG97" s="150">
        <v>1.0690203259844399E-7</v>
      </c>
      <c r="AH97" s="150">
        <v>6.1690773145818697E-8</v>
      </c>
      <c r="AI97" s="149"/>
      <c r="AJ97" s="149">
        <v>0.2</v>
      </c>
      <c r="AK97" s="149">
        <v>10</v>
      </c>
      <c r="AL97" s="151">
        <f t="shared" si="68"/>
        <v>100.05065399399999</v>
      </c>
      <c r="AM97" s="148">
        <f t="shared" si="69"/>
        <v>-9.6150840425726206E-2</v>
      </c>
      <c r="AN97" s="148">
        <f t="shared" si="70"/>
        <v>-8.7646937991954776E-2</v>
      </c>
      <c r="AO97" s="148"/>
      <c r="AP97" s="148">
        <f t="shared" si="71"/>
        <v>2.1369581972918413E-3</v>
      </c>
      <c r="AQ97" s="148">
        <f t="shared" si="72"/>
        <v>1.2331908025212564E-3</v>
      </c>
      <c r="AR97" s="150">
        <f t="shared" si="73"/>
        <v>6.9910954772173662E-4</v>
      </c>
    </row>
    <row r="98" spans="1:44" x14ac:dyDescent="0.2">
      <c r="A98">
        <v>90</v>
      </c>
      <c r="C98" s="7" t="s">
        <v>449</v>
      </c>
      <c r="D98" s="152">
        <v>0.60322849097999998</v>
      </c>
      <c r="E98" s="153">
        <v>-4.8494065333333401E-6</v>
      </c>
      <c r="F98" s="153">
        <v>-2.8260403500000099E-6</v>
      </c>
      <c r="G98" s="153">
        <v>4.9304227702278998E-6</v>
      </c>
      <c r="H98" s="153">
        <v>7.14980748154491E-8</v>
      </c>
      <c r="I98" s="153">
        <v>9.6794305523159902E-8</v>
      </c>
      <c r="J98" s="152"/>
      <c r="K98" s="152">
        <v>0.2</v>
      </c>
      <c r="L98" s="152">
        <v>10</v>
      </c>
      <c r="M98" s="154">
        <f t="shared" si="61"/>
        <v>60.322849097999999</v>
      </c>
      <c r="N98" s="155">
        <f t="shared" si="62"/>
        <v>-0.16078174707746429</v>
      </c>
      <c r="O98" s="155">
        <f t="shared" si="63"/>
        <v>-9.3697177512582275E-2</v>
      </c>
      <c r="P98" s="155"/>
      <c r="Q98" s="155">
        <f t="shared" si="64"/>
        <v>2.3705138561772479E-3</v>
      </c>
      <c r="R98" s="155">
        <f t="shared" si="65"/>
        <v>3.2092086819675474E-3</v>
      </c>
      <c r="S98" s="153">
        <f t="shared" si="66"/>
        <v>8.1733917478234099E-4</v>
      </c>
      <c r="U98" s="3">
        <f t="shared" si="67"/>
        <v>-6.7541573081844525E-2</v>
      </c>
      <c r="V98" s="3">
        <f t="shared" si="67"/>
        <v>-5.763816601102973E-2</v>
      </c>
      <c r="X98" s="188">
        <f>'Data(2000)'!N114</f>
        <v>-9.3240173995619763E-2</v>
      </c>
      <c r="Y98" s="188">
        <f>'Data(2000)'!O114</f>
        <v>-3.6059011501552544E-2</v>
      </c>
      <c r="AC98" s="149">
        <v>0.60178772181999995</v>
      </c>
      <c r="AD98" s="150">
        <v>-3.48393438333333E-6</v>
      </c>
      <c r="AE98" s="150">
        <v>-2.6121904666666701E-6</v>
      </c>
      <c r="AF98" s="150">
        <v>2.7093957998806999E-6</v>
      </c>
      <c r="AG98" s="150">
        <v>9.65912737361519E-9</v>
      </c>
      <c r="AH98" s="150">
        <v>7.0682180345889797E-8</v>
      </c>
      <c r="AI98" s="149"/>
      <c r="AJ98" s="149">
        <v>0.2</v>
      </c>
      <c r="AK98" s="149">
        <v>10</v>
      </c>
      <c r="AL98" s="151">
        <f t="shared" si="68"/>
        <v>60.178772181999996</v>
      </c>
      <c r="AM98" s="148">
        <f t="shared" si="69"/>
        <v>-0.11578615704543756</v>
      </c>
      <c r="AN98" s="148">
        <f t="shared" si="70"/>
        <v>-8.6814349045426328E-2</v>
      </c>
      <c r="AO98" s="148"/>
      <c r="AP98" s="148">
        <f t="shared" si="71"/>
        <v>3.2101443826081653E-4</v>
      </c>
      <c r="AQ98" s="148">
        <f t="shared" si="72"/>
        <v>2.3490735281911073E-3</v>
      </c>
      <c r="AR98" s="150">
        <f t="shared" si="73"/>
        <v>4.5022450635692833E-4</v>
      </c>
    </row>
    <row r="99" spans="1:44" x14ac:dyDescent="0.2">
      <c r="A99">
        <v>91</v>
      </c>
      <c r="C99" s="7" t="s">
        <v>450</v>
      </c>
      <c r="D99" s="152">
        <v>0.40171928652</v>
      </c>
      <c r="E99" s="153">
        <v>-3.5566234833333402E-6</v>
      </c>
      <c r="F99" s="153">
        <v>-1.98878946666667E-6</v>
      </c>
      <c r="G99" s="153">
        <v>9.2060290845901995E-6</v>
      </c>
      <c r="H99" s="153">
        <v>7.2201389578269599E-8</v>
      </c>
      <c r="I99" s="153">
        <v>6.59392795207497E-8</v>
      </c>
      <c r="J99" s="152"/>
      <c r="K99" s="152">
        <v>0.2</v>
      </c>
      <c r="L99" s="152">
        <v>10</v>
      </c>
      <c r="M99" s="154">
        <f t="shared" si="61"/>
        <v>40.171928651999998</v>
      </c>
      <c r="N99" s="155">
        <f t="shared" si="62"/>
        <v>-0.17707008862549448</v>
      </c>
      <c r="O99" s="155">
        <f t="shared" si="63"/>
        <v>-9.9013890216478634E-2</v>
      </c>
      <c r="P99" s="152"/>
      <c r="Q99" s="155">
        <f t="shared" si="64"/>
        <v>3.594619028811552E-3</v>
      </c>
      <c r="R99" s="155">
        <f t="shared" si="65"/>
        <v>3.2828535613495793E-3</v>
      </c>
      <c r="S99" s="153">
        <f t="shared" si="66"/>
        <v>2.2916572326760489E-3</v>
      </c>
      <c r="U99" s="3">
        <f t="shared" si="67"/>
        <v>-7.6994980524265247E-2</v>
      </c>
      <c r="V99" s="3">
        <f t="shared" si="67"/>
        <v>-5.7829184012253412E-2</v>
      </c>
      <c r="X99" s="188">
        <f>'Data(2000)'!N115</f>
        <v>-0.10007510810122923</v>
      </c>
      <c r="Y99" s="188">
        <f>'Data(2000)'!O115</f>
        <v>-4.1184706204225222E-2</v>
      </c>
      <c r="AC99" s="149">
        <v>0.39979214806000002</v>
      </c>
      <c r="AD99" s="150">
        <v>-2.7535756333333399E-6</v>
      </c>
      <c r="AE99" s="150">
        <v>-1.7490372833333301E-6</v>
      </c>
      <c r="AF99" s="150">
        <v>6.6925471154881798E-7</v>
      </c>
      <c r="AG99" s="150">
        <v>7.0785923983978397E-8</v>
      </c>
      <c r="AH99" s="150">
        <v>2.38838916103102E-8</v>
      </c>
      <c r="AI99" s="149"/>
      <c r="AJ99" s="149">
        <v>0.2</v>
      </c>
      <c r="AK99" s="149">
        <v>10</v>
      </c>
      <c r="AL99" s="151">
        <f t="shared" si="68"/>
        <v>39.979214806000002</v>
      </c>
      <c r="AM99" s="148">
        <f t="shared" si="69"/>
        <v>-0.13775036086602124</v>
      </c>
      <c r="AN99" s="148">
        <f t="shared" si="70"/>
        <v>-8.7497330391333145E-2</v>
      </c>
      <c r="AO99" s="149"/>
      <c r="AP99" s="148">
        <f t="shared" si="71"/>
        <v>3.5411362793125686E-3</v>
      </c>
      <c r="AQ99" s="148">
        <f t="shared" si="72"/>
        <v>1.194815442284562E-3</v>
      </c>
      <c r="AR99" s="150">
        <f t="shared" si="73"/>
        <v>1.6740066426926861E-4</v>
      </c>
    </row>
    <row r="100" spans="1:44" x14ac:dyDescent="0.2">
      <c r="A100">
        <v>92</v>
      </c>
      <c r="C100" s="7"/>
      <c r="D100" s="152">
        <v>0.20378716524000001</v>
      </c>
      <c r="E100" s="153">
        <v>-1.8266117500000001E-6</v>
      </c>
      <c r="F100" s="153">
        <v>-1.0559786333333501E-6</v>
      </c>
      <c r="G100" s="153">
        <v>1.8974463586156701E-7</v>
      </c>
      <c r="H100" s="153">
        <v>6.7561071906121898E-8</v>
      </c>
      <c r="I100" s="153">
        <v>4.0436710698723401E-8</v>
      </c>
      <c r="J100" s="152"/>
      <c r="K100" s="152">
        <v>0.2</v>
      </c>
      <c r="L100" s="152">
        <v>10</v>
      </c>
      <c r="M100" s="154">
        <f t="shared" si="61"/>
        <v>20.378716524000001</v>
      </c>
      <c r="N100" s="155">
        <f t="shared" si="62"/>
        <v>-0.17926661356212503</v>
      </c>
      <c r="O100" s="155">
        <f t="shared" si="63"/>
        <v>-0.10363544064119296</v>
      </c>
      <c r="P100" s="152"/>
      <c r="Q100" s="155">
        <f t="shared" si="64"/>
        <v>6.6305522064213675E-3</v>
      </c>
      <c r="R100" s="155">
        <f t="shared" si="65"/>
        <v>3.968523793056458E-3</v>
      </c>
      <c r="S100" s="153">
        <f t="shared" si="66"/>
        <v>9.3109217961840179E-5</v>
      </c>
      <c r="U100" s="3">
        <f t="shared" si="67"/>
        <v>-6.6498235402131609E-2</v>
      </c>
      <c r="V100" s="3">
        <f t="shared" si="67"/>
        <v>-5.5055351105178639E-2</v>
      </c>
      <c r="X100" s="188">
        <f>'Data(2000)'!N116</f>
        <v>-0.11276837815999342</v>
      </c>
      <c r="Y100" s="188">
        <f>'Data(2000)'!O116</f>
        <v>-4.8580089536014316E-2</v>
      </c>
      <c r="AC100" s="149">
        <v>0.20078290044</v>
      </c>
      <c r="AD100" s="150">
        <v>-1.6013726E-6</v>
      </c>
      <c r="AE100" s="150">
        <v>-9.0786376666666605E-7</v>
      </c>
      <c r="AF100" s="150">
        <v>1.9560474006995401E-7</v>
      </c>
      <c r="AG100" s="150">
        <v>5.1070535747858897E-8</v>
      </c>
      <c r="AH100" s="150">
        <v>5.3830089373468101E-8</v>
      </c>
      <c r="AI100" s="149"/>
      <c r="AJ100" s="149">
        <v>0.2</v>
      </c>
      <c r="AK100" s="149">
        <v>10</v>
      </c>
      <c r="AL100" s="151">
        <f t="shared" si="68"/>
        <v>20.078290043999999</v>
      </c>
      <c r="AM100" s="148">
        <f t="shared" si="69"/>
        <v>-0.15951284661101292</v>
      </c>
      <c r="AN100" s="148">
        <f t="shared" si="70"/>
        <v>-9.043237892043135E-2</v>
      </c>
      <c r="AO100" s="149"/>
      <c r="AP100" s="148">
        <f t="shared" si="71"/>
        <v>5.0871399542432964E-3</v>
      </c>
      <c r="AQ100" s="148">
        <f t="shared" si="72"/>
        <v>5.3620193009966165E-3</v>
      </c>
      <c r="AR100" s="150">
        <f t="shared" si="73"/>
        <v>9.7421015256429476E-5</v>
      </c>
    </row>
    <row r="101" spans="1:44" x14ac:dyDescent="0.2">
      <c r="A101">
        <v>93</v>
      </c>
      <c r="C101" s="7"/>
      <c r="D101" s="152">
        <v>9.9501614660000001E-2</v>
      </c>
      <c r="E101" s="153">
        <v>-9.7747313999999993E-7</v>
      </c>
      <c r="F101" s="153">
        <v>-4.8030529E-7</v>
      </c>
      <c r="G101" s="153">
        <v>1.9952746033999001E-7</v>
      </c>
      <c r="H101" s="153">
        <v>4.2602848475507699E-8</v>
      </c>
      <c r="I101" s="153">
        <v>1.9761650533948301E-8</v>
      </c>
      <c r="J101" s="152"/>
      <c r="K101" s="152">
        <v>0.2</v>
      </c>
      <c r="L101" s="152">
        <v>10</v>
      </c>
      <c r="M101" s="154">
        <f t="shared" si="61"/>
        <v>9.9501614660000008</v>
      </c>
      <c r="N101" s="155">
        <f t="shared" si="62"/>
        <v>-0.19647382473943864</v>
      </c>
      <c r="O101" s="155">
        <f t="shared" si="63"/>
        <v>-9.6542210222661726E-2</v>
      </c>
      <c r="P101" s="152"/>
      <c r="Q101" s="155">
        <f t="shared" si="64"/>
        <v>8.5632476660972602E-3</v>
      </c>
      <c r="R101" s="155">
        <f t="shared" si="65"/>
        <v>3.9721266034675826E-3</v>
      </c>
      <c r="S101" s="153">
        <f t="shared" si="66"/>
        <v>2.0052685679702918E-4</v>
      </c>
      <c r="U101" s="3">
        <f t="shared" si="67"/>
        <v>-7.9475926363061514E-2</v>
      </c>
      <c r="V101" s="3">
        <f t="shared" si="67"/>
        <v>-4.7797066396212951E-2</v>
      </c>
      <c r="X101" s="188">
        <f>'Data(2000)'!N117</f>
        <v>-0.11699789837637713</v>
      </c>
      <c r="Y101" s="188">
        <f>'Data(2000)'!O117</f>
        <v>-4.8745143826448775E-2</v>
      </c>
      <c r="AC101" s="149">
        <v>0.10209826442</v>
      </c>
      <c r="AD101" s="150">
        <v>-8.7135762166666399E-7</v>
      </c>
      <c r="AE101" s="150">
        <v>-4.5642476000000197E-7</v>
      </c>
      <c r="AF101" s="150">
        <v>1.66086594767188E-7</v>
      </c>
      <c r="AG101" s="150">
        <v>5.0360649596139903E-8</v>
      </c>
      <c r="AH101" s="150">
        <v>3.1960314107484303E-8</v>
      </c>
      <c r="AI101" s="149"/>
      <c r="AJ101" s="149">
        <v>0.2</v>
      </c>
      <c r="AK101" s="149">
        <v>10</v>
      </c>
      <c r="AL101" s="151">
        <f t="shared" si="68"/>
        <v>10.209826442000001</v>
      </c>
      <c r="AM101" s="148">
        <f t="shared" si="69"/>
        <v>-0.17068999686070552</v>
      </c>
      <c r="AN101" s="148">
        <f t="shared" si="70"/>
        <v>-8.9408916516428669E-2</v>
      </c>
      <c r="AO101" s="149"/>
      <c r="AP101" s="148">
        <f t="shared" si="71"/>
        <v>9.8651333364438206E-3</v>
      </c>
      <c r="AQ101" s="148">
        <f t="shared" si="72"/>
        <v>6.2606968471098914E-3</v>
      </c>
      <c r="AR101" s="150">
        <f t="shared" si="73"/>
        <v>1.6267327922829346E-4</v>
      </c>
    </row>
    <row r="102" spans="1:44" x14ac:dyDescent="0.2">
      <c r="A102">
        <v>94</v>
      </c>
      <c r="C102" s="5" t="s">
        <v>74</v>
      </c>
      <c r="U102" s="148">
        <f>AVERAGE(U96:U101)</f>
        <v>-6.1854944665238602E-2</v>
      </c>
      <c r="V102" s="148">
        <f>AVERAGE(V96:V101)</f>
        <v>-5.1633390543718009E-2</v>
      </c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</row>
    <row r="103" spans="1:44" x14ac:dyDescent="0.2">
      <c r="A103">
        <v>95</v>
      </c>
      <c r="C103" t="s">
        <v>73</v>
      </c>
      <c r="D103">
        <v>1.0140457848</v>
      </c>
      <c r="E103" s="1">
        <v>9.22766470716666E-8</v>
      </c>
      <c r="F103" s="1">
        <v>3.0585369999999998E-7</v>
      </c>
      <c r="G103" s="1">
        <v>1.5300822823578501E-5</v>
      </c>
      <c r="H103" s="1">
        <v>5.1603668697110501E-8</v>
      </c>
      <c r="I103" s="1">
        <v>6.6845555930617605E-8</v>
      </c>
      <c r="K103">
        <v>0.2</v>
      </c>
      <c r="L103">
        <v>10</v>
      </c>
      <c r="M103" s="2">
        <f>100*D103/(K103*5)</f>
        <v>101.40457848</v>
      </c>
      <c r="N103" s="3">
        <f>1000000*E103*K103/(L103*D103)</f>
        <v>1.8199700339934118E-3</v>
      </c>
      <c r="O103" s="3">
        <f>1000000*F103*K103/(D103*L103)</f>
        <v>6.0323449805636418E-3</v>
      </c>
      <c r="Q103" s="3">
        <f>1000000*K103*H103/(L103*D103)</f>
        <v>1.0177778847981361E-3</v>
      </c>
      <c r="R103" s="3">
        <f>1000000*K103*I103/(L103*D103)</f>
        <v>1.3183932507308145E-3</v>
      </c>
      <c r="S103" s="1">
        <f>G103*100/D103</f>
        <v>1.5088887556094204E-3</v>
      </c>
    </row>
    <row r="104" spans="1:44" x14ac:dyDescent="0.2">
      <c r="A104">
        <v>96</v>
      </c>
      <c r="W104" s="3">
        <f t="shared" ref="W104:X109" si="74">N96-N105</f>
        <v>-1.7944768472507713E-2</v>
      </c>
      <c r="X104" s="3">
        <f t="shared" si="74"/>
        <v>7.2627484214612542E-3</v>
      </c>
      <c r="AC104" s="149" t="s">
        <v>447</v>
      </c>
    </row>
    <row r="105" spans="1:44" x14ac:dyDescent="0.2">
      <c r="A105">
        <v>97</v>
      </c>
      <c r="B105" s="4">
        <v>41317</v>
      </c>
      <c r="C105" t="s">
        <v>75</v>
      </c>
      <c r="D105">
        <v>1.198422997</v>
      </c>
      <c r="E105" s="1">
        <v>-5.31873313333335E-6</v>
      </c>
      <c r="F105" s="1">
        <v>-5.3151278333333301E-6</v>
      </c>
      <c r="G105" s="1">
        <v>5.1140889333762303E-6</v>
      </c>
      <c r="H105" s="1">
        <v>9.1533774703742903E-8</v>
      </c>
      <c r="I105" s="1">
        <v>1.3439190961006099E-7</v>
      </c>
      <c r="K105">
        <v>0.2</v>
      </c>
      <c r="L105">
        <v>10</v>
      </c>
      <c r="M105" s="2">
        <f t="shared" ref="M105:M110" si="75">100*D105/(K105*5)</f>
        <v>119.8422997</v>
      </c>
      <c r="N105" s="3">
        <f t="shared" ref="N105:N110" si="76">1000000*E105*K105/(L105*D105)</f>
        <v>-8.8762200769639435E-2</v>
      </c>
      <c r="O105" s="3">
        <f t="shared" ref="O105:O110" si="77">1000000*F105*K105/(D105*L105)</f>
        <v>-8.8702033366159269E-2</v>
      </c>
      <c r="Q105" s="3">
        <f t="shared" ref="Q105:Q110" si="78">1000000*K105*H105/(L105*D105)</f>
        <v>1.5275703976455469E-3</v>
      </c>
      <c r="R105" s="3">
        <f t="shared" ref="R105:R110" si="79">1000000*K105*I105/(L105*D105)</f>
        <v>2.2428125953270739E-3</v>
      </c>
      <c r="S105" s="1">
        <f t="shared" ref="S105:S110" si="80">G105*100/D105</f>
        <v>4.2673487960246732E-4</v>
      </c>
      <c r="U105" s="3">
        <f t="shared" ref="U105:V110" si="81">N105-X96</f>
        <v>-2.4479093673190511E-2</v>
      </c>
      <c r="V105" s="3">
        <f t="shared" si="81"/>
        <v>-5.4209328967562628E-2</v>
      </c>
      <c r="W105" s="3">
        <f t="shared" si="74"/>
        <v>-1.489209411720524E-2</v>
      </c>
      <c r="X105" s="3">
        <f t="shared" si="74"/>
        <v>1.8387333472554238E-2</v>
      </c>
      <c r="AH105" s="3"/>
      <c r="AI105" s="5" t="s">
        <v>15</v>
      </c>
      <c r="AJ105" s="5" t="s">
        <v>15</v>
      </c>
      <c r="AK105" s="5" t="s">
        <v>15</v>
      </c>
    </row>
    <row r="106" spans="1:44" x14ac:dyDescent="0.2">
      <c r="A106">
        <v>98</v>
      </c>
      <c r="D106">
        <v>1.0013164314</v>
      </c>
      <c r="E106" s="1">
        <v>-4.9707770333333497E-6</v>
      </c>
      <c r="F106" s="1">
        <v>-4.8937128666666896E-6</v>
      </c>
      <c r="G106" s="1">
        <v>6.56151889406539E-6</v>
      </c>
      <c r="H106" s="1">
        <v>9.8524279578854305E-8</v>
      </c>
      <c r="I106" s="1">
        <v>5.4116247259477197E-8</v>
      </c>
      <c r="K106">
        <v>0.2</v>
      </c>
      <c r="L106">
        <v>10</v>
      </c>
      <c r="M106" s="2">
        <f t="shared" si="75"/>
        <v>100.13164314000001</v>
      </c>
      <c r="N106" s="3">
        <f t="shared" si="76"/>
        <v>-9.9284838987080445E-2</v>
      </c>
      <c r="O106" s="3">
        <f t="shared" si="77"/>
        <v>-9.7745581980004034E-2</v>
      </c>
      <c r="Q106" s="3">
        <f t="shared" si="78"/>
        <v>1.9678949928166396E-3</v>
      </c>
      <c r="R106" s="3">
        <f t="shared" si="79"/>
        <v>1.0809020118408333E-3</v>
      </c>
      <c r="S106" s="1">
        <f t="shared" si="80"/>
        <v>6.5528924606693406E-4</v>
      </c>
      <c r="U106" s="3">
        <f t="shared" si="81"/>
        <v>-2.330299635722527E-2</v>
      </c>
      <c r="V106" s="3">
        <f t="shared" si="81"/>
        <v>-6.2921328664086201E-2</v>
      </c>
      <c r="W106" s="3">
        <f t="shared" si="74"/>
        <v>-2.7273543512526865E-2</v>
      </c>
      <c r="X106" s="3">
        <f t="shared" si="74"/>
        <v>-1.8969415097040698E-3</v>
      </c>
      <c r="AC106" s="5" t="s">
        <v>2</v>
      </c>
      <c r="AD106" s="5" t="s">
        <v>3</v>
      </c>
      <c r="AE106" s="5" t="s">
        <v>4</v>
      </c>
      <c r="AF106" s="5" t="s">
        <v>0</v>
      </c>
      <c r="AG106" s="5" t="s">
        <v>1</v>
      </c>
      <c r="AH106" s="3"/>
      <c r="AI106" s="5" t="s">
        <v>5</v>
      </c>
      <c r="AJ106" s="5" t="s">
        <v>6</v>
      </c>
      <c r="AK106" s="5" t="s">
        <v>14</v>
      </c>
    </row>
    <row r="107" spans="1:44" x14ac:dyDescent="0.2">
      <c r="A107">
        <v>99</v>
      </c>
      <c r="D107">
        <v>0.60068013694</v>
      </c>
      <c r="E107" s="1">
        <v>-4.0097863E-6</v>
      </c>
      <c r="F107" s="1">
        <v>-2.7571289166666599E-6</v>
      </c>
      <c r="G107" s="1">
        <v>2.2947094538326602E-6</v>
      </c>
      <c r="H107" s="1">
        <v>6.68873856292051E-8</v>
      </c>
      <c r="I107" s="1">
        <v>2.97920776604518E-8</v>
      </c>
      <c r="K107">
        <v>0.2</v>
      </c>
      <c r="L107">
        <v>10</v>
      </c>
      <c r="M107" s="2">
        <f t="shared" si="75"/>
        <v>60.068013694000001</v>
      </c>
      <c r="N107" s="3">
        <f t="shared" si="76"/>
        <v>-0.13350820356493742</v>
      </c>
      <c r="O107" s="3">
        <f t="shared" si="77"/>
        <v>-9.1800236002878205E-2</v>
      </c>
      <c r="Q107" s="3">
        <f t="shared" si="78"/>
        <v>2.227055016999381E-3</v>
      </c>
      <c r="R107" s="3">
        <f t="shared" si="79"/>
        <v>9.9194482481872485E-4</v>
      </c>
      <c r="S107" s="1">
        <f t="shared" si="80"/>
        <v>3.820185341107544E-4</v>
      </c>
      <c r="U107" s="3">
        <f t="shared" si="81"/>
        <v>-4.0268029569317659E-2</v>
      </c>
      <c r="V107" s="3">
        <f t="shared" si="81"/>
        <v>-5.574122450132566E-2</v>
      </c>
      <c r="W107" s="3">
        <f t="shared" si="74"/>
        <v>-2.1780424037478485E-2</v>
      </c>
      <c r="X107" s="3">
        <f t="shared" si="74"/>
        <v>-1.0695939386896461E-2</v>
      </c>
      <c r="AC107" s="149">
        <v>1.1938073586</v>
      </c>
      <c r="AD107" s="150">
        <v>-5.51194271666667E-6</v>
      </c>
      <c r="AE107" s="150">
        <v>-4.9466105000000201E-6</v>
      </c>
      <c r="AF107" s="150">
        <v>7.5593480726647198E-6</v>
      </c>
      <c r="AG107" s="150">
        <v>2.40752977352555E-7</v>
      </c>
      <c r="AH107" s="150">
        <v>1.5953313204812101E-7</v>
      </c>
      <c r="AI107" s="149"/>
      <c r="AJ107" s="149">
        <v>0.2</v>
      </c>
      <c r="AK107" s="149">
        <v>10</v>
      </c>
      <c r="AL107" s="151">
        <f t="shared" ref="AL107:AL112" si="82">100*AC107/(AJ107*5)</f>
        <v>119.38073586</v>
      </c>
      <c r="AM107" s="148">
        <f t="shared" ref="AM107:AM112" si="83">1000000*AD107*AJ107/(AK107*AC107)</f>
        <v>-9.234224729743043E-2</v>
      </c>
      <c r="AN107" s="148">
        <f t="shared" ref="AN107:AN112" si="84">1000000*AE107*AJ107/(AC107*AK107)</f>
        <v>-8.2871167854100036E-2</v>
      </c>
      <c r="AO107" s="148"/>
      <c r="AP107" s="148">
        <f t="shared" ref="AP107:AP112" si="85">1000000*AJ107*AG107/(AK107*AC107)</f>
        <v>4.0333639362868474E-3</v>
      </c>
      <c r="AQ107" s="148">
        <f t="shared" ref="AQ107:AQ112" si="86">1000000*AJ107*AH107/(AK107*AC107)</f>
        <v>2.6726779810640217E-3</v>
      </c>
      <c r="AR107" s="150">
        <f t="shared" ref="AR107:AR112" si="87">AF107*100/AC107</f>
        <v>6.3321339227877661E-4</v>
      </c>
    </row>
    <row r="108" spans="1:44" x14ac:dyDescent="0.2">
      <c r="A108">
        <v>100</v>
      </c>
      <c r="D108">
        <v>0.40034832860000003</v>
      </c>
      <c r="E108" s="1">
        <v>-3.1084978833333401E-6</v>
      </c>
      <c r="F108" s="1">
        <v>-1.76789720000001E-6</v>
      </c>
      <c r="G108" s="1">
        <v>9.8346678506426703E-7</v>
      </c>
      <c r="H108" s="1">
        <v>3.7001733297505401E-8</v>
      </c>
      <c r="I108" s="1">
        <v>8.4344780256357395E-8</v>
      </c>
      <c r="K108">
        <v>0.2</v>
      </c>
      <c r="L108">
        <v>10</v>
      </c>
      <c r="M108" s="2">
        <f t="shared" si="75"/>
        <v>40.034832860000002</v>
      </c>
      <c r="N108" s="3">
        <f t="shared" si="76"/>
        <v>-0.15528966458801599</v>
      </c>
      <c r="O108" s="3">
        <f t="shared" si="77"/>
        <v>-8.8317950829582173E-2</v>
      </c>
      <c r="Q108" s="3">
        <f t="shared" si="78"/>
        <v>1.848476971386332E-3</v>
      </c>
      <c r="R108" s="3">
        <f t="shared" si="79"/>
        <v>4.2135697456915722E-3</v>
      </c>
      <c r="S108" s="1">
        <f t="shared" si="80"/>
        <v>2.4565277654671518E-4</v>
      </c>
      <c r="U108" s="3">
        <f t="shared" si="81"/>
        <v>-5.5214556486786762E-2</v>
      </c>
      <c r="V108" s="3">
        <f t="shared" si="81"/>
        <v>-4.7133244625356951E-2</v>
      </c>
      <c r="W108" s="3">
        <f t="shared" si="74"/>
        <v>-1.3449447797772851E-3</v>
      </c>
      <c r="X108" s="3">
        <f t="shared" si="74"/>
        <v>-1.4206042198852631E-2</v>
      </c>
      <c r="AC108" s="149">
        <v>0.99917739717999998</v>
      </c>
      <c r="AD108" s="150">
        <v>-5.36344363333334E-6</v>
      </c>
      <c r="AE108" s="150">
        <v>-4.4662255333333599E-6</v>
      </c>
      <c r="AF108" s="150">
        <v>5.30860120341891E-6</v>
      </c>
      <c r="AG108" s="150">
        <v>2.0930837157940601E-8</v>
      </c>
      <c r="AH108" s="150">
        <v>8.1530909609273305E-8</v>
      </c>
      <c r="AI108" s="149"/>
      <c r="AJ108" s="149">
        <v>0.2</v>
      </c>
      <c r="AK108" s="149">
        <v>10</v>
      </c>
      <c r="AL108" s="151">
        <f t="shared" si="82"/>
        <v>99.917739717999993</v>
      </c>
      <c r="AM108" s="148">
        <f t="shared" si="83"/>
        <v>-0.10735718498978665</v>
      </c>
      <c r="AN108" s="148">
        <f t="shared" si="84"/>
        <v>-8.9398049754497749E-2</v>
      </c>
      <c r="AO108" s="148"/>
      <c r="AP108" s="148">
        <f t="shared" si="85"/>
        <v>4.1896138197309419E-4</v>
      </c>
      <c r="AQ108" s="148">
        <f t="shared" si="86"/>
        <v>1.6319606476163243E-3</v>
      </c>
      <c r="AR108" s="150">
        <f t="shared" si="87"/>
        <v>5.3129716688963245E-4</v>
      </c>
    </row>
    <row r="109" spans="1:44" x14ac:dyDescent="0.2">
      <c r="A109">
        <v>101</v>
      </c>
      <c r="D109">
        <v>0.20053416339999999</v>
      </c>
      <c r="E109" s="1">
        <v>-1.78396865E-6</v>
      </c>
      <c r="F109" s="1">
        <v>-8.9668247999999905E-7</v>
      </c>
      <c r="G109" s="1">
        <v>4.6211135540603498E-7</v>
      </c>
      <c r="H109" s="1">
        <v>3.36260417436273E-8</v>
      </c>
      <c r="I109" s="1">
        <v>3.4668017093034498E-8</v>
      </c>
      <c r="K109">
        <v>0.2</v>
      </c>
      <c r="L109">
        <v>10</v>
      </c>
      <c r="M109" s="2">
        <f t="shared" si="75"/>
        <v>20.053416339999998</v>
      </c>
      <c r="N109" s="3">
        <f t="shared" si="76"/>
        <v>-0.17792166878234775</v>
      </c>
      <c r="O109" s="3">
        <f t="shared" si="77"/>
        <v>-8.9429398442340324E-2</v>
      </c>
      <c r="Q109" s="3">
        <f t="shared" si="78"/>
        <v>3.3536471964185329E-3</v>
      </c>
      <c r="R109" s="3">
        <f t="shared" si="79"/>
        <v>3.4575671801001955E-3</v>
      </c>
      <c r="S109" s="1">
        <f t="shared" si="80"/>
        <v>2.3044021406181756E-4</v>
      </c>
      <c r="U109" s="3">
        <f t="shared" si="81"/>
        <v>-6.5153290622354323E-2</v>
      </c>
      <c r="V109" s="3">
        <f t="shared" si="81"/>
        <v>-4.0849308906326008E-2</v>
      </c>
      <c r="W109" s="3">
        <f t="shared" si="74"/>
        <v>-3.3420019105313281E-3</v>
      </c>
      <c r="X109" s="3">
        <f t="shared" si="74"/>
        <v>-4.4886954369193766E-3</v>
      </c>
      <c r="AC109" s="149">
        <v>0.60021792933999996</v>
      </c>
      <c r="AD109" s="150">
        <v>-3.5637115166666701E-6</v>
      </c>
      <c r="AE109" s="150">
        <v>-2.6705180333333301E-6</v>
      </c>
      <c r="AF109" s="150">
        <v>1.43833430264806E-6</v>
      </c>
      <c r="AG109" s="150">
        <v>8.1994822364177703E-8</v>
      </c>
      <c r="AH109" s="150">
        <v>7.1146235881684006E-8</v>
      </c>
      <c r="AI109" s="149"/>
      <c r="AJ109" s="149">
        <v>0.2</v>
      </c>
      <c r="AK109" s="149">
        <v>10</v>
      </c>
      <c r="AL109" s="151">
        <f t="shared" si="82"/>
        <v>60.021792933999997</v>
      </c>
      <c r="AM109" s="148">
        <f t="shared" si="83"/>
        <v>-0.11874725303808667</v>
      </c>
      <c r="AN109" s="148">
        <f t="shared" si="84"/>
        <v>-8.8984947059806571E-2</v>
      </c>
      <c r="AO109" s="148"/>
      <c r="AP109" s="148">
        <f t="shared" si="85"/>
        <v>2.7321683793864429E-3</v>
      </c>
      <c r="AQ109" s="148">
        <f t="shared" si="86"/>
        <v>2.3706801281300096E-3</v>
      </c>
      <c r="AR109" s="150">
        <f t="shared" si="87"/>
        <v>2.3963534448723537E-4</v>
      </c>
    </row>
    <row r="110" spans="1:44" x14ac:dyDescent="0.2">
      <c r="A110">
        <v>102</v>
      </c>
      <c r="D110">
        <v>0.10063719734</v>
      </c>
      <c r="E110" s="1">
        <v>-9.7181226833333307E-7</v>
      </c>
      <c r="F110" s="1">
        <v>-4.6320038666666802E-7</v>
      </c>
      <c r="G110" s="1">
        <v>1.6463740110996401E-7</v>
      </c>
      <c r="H110" s="1">
        <v>7.4302443503245599E-8</v>
      </c>
      <c r="I110" s="1">
        <v>5.09113343531721E-8</v>
      </c>
      <c r="K110">
        <v>0.2</v>
      </c>
      <c r="L110">
        <v>10</v>
      </c>
      <c r="M110" s="2">
        <f t="shared" si="75"/>
        <v>10.063719733999999</v>
      </c>
      <c r="N110" s="3">
        <f t="shared" si="76"/>
        <v>-0.19313182282890731</v>
      </c>
      <c r="O110" s="3">
        <f t="shared" si="77"/>
        <v>-9.2053514785742349E-2</v>
      </c>
      <c r="Q110" s="3">
        <f t="shared" si="78"/>
        <v>1.4766397607877898E-2</v>
      </c>
      <c r="R110" s="3">
        <f t="shared" si="79"/>
        <v>1.0117796540213565E-2</v>
      </c>
      <c r="S110" s="1">
        <f t="shared" si="80"/>
        <v>1.6359497826011696E-4</v>
      </c>
      <c r="U110" s="3">
        <f t="shared" si="81"/>
        <v>-7.6133924452530186E-2</v>
      </c>
      <c r="V110" s="3">
        <f t="shared" si="81"/>
        <v>-4.3308370959293574E-2</v>
      </c>
      <c r="W110" s="148">
        <f>AVERAGE(W104:W109)</f>
        <v>-1.4429629471671153E-2</v>
      </c>
      <c r="X110" s="148">
        <f>AVERAGE(X104:X109)</f>
        <v>-9.3958943972617442E-4</v>
      </c>
      <c r="AC110" s="149">
        <v>0.39928711606</v>
      </c>
      <c r="AD110" s="150">
        <v>-2.7806153500000001E-6</v>
      </c>
      <c r="AE110" s="150">
        <v>-1.76802013333333E-6</v>
      </c>
      <c r="AF110" s="150">
        <v>2.33268481746364E-7</v>
      </c>
      <c r="AG110" s="150">
        <v>7.7005792992583901E-9</v>
      </c>
      <c r="AH110" s="150">
        <v>8.1874928557620504E-8</v>
      </c>
      <c r="AI110" s="149"/>
      <c r="AJ110" s="149">
        <v>0.2</v>
      </c>
      <c r="AK110" s="149">
        <v>10</v>
      </c>
      <c r="AL110" s="151">
        <f t="shared" si="82"/>
        <v>39.928711606</v>
      </c>
      <c r="AM110" s="148">
        <f t="shared" si="83"/>
        <v>-0.13927899189124665</v>
      </c>
      <c r="AN110" s="148">
        <f t="shared" si="84"/>
        <v>-8.8558837098447904E-2</v>
      </c>
      <c r="AO110" s="149"/>
      <c r="AP110" s="148">
        <f t="shared" si="85"/>
        <v>3.857163925169697E-4</v>
      </c>
      <c r="AQ110" s="148">
        <f t="shared" si="86"/>
        <v>4.1010553691553297E-3</v>
      </c>
      <c r="AR110" s="150">
        <f t="shared" si="87"/>
        <v>5.8421239344800512E-5</v>
      </c>
    </row>
    <row r="111" spans="1:44" x14ac:dyDescent="0.2">
      <c r="A111">
        <v>103</v>
      </c>
      <c r="U111" s="148">
        <f>AVERAGE(U105:U110)</f>
        <v>-4.7425315193567456E-2</v>
      </c>
      <c r="V111" s="148">
        <f>AVERAGE(V105:V110)</f>
        <v>-5.0693801103991833E-2</v>
      </c>
      <c r="AC111" s="149">
        <v>0.19944128357999999</v>
      </c>
      <c r="AD111" s="150">
        <v>-1.6001513500000001E-6</v>
      </c>
      <c r="AE111" s="150">
        <v>-8.9742102499999895E-7</v>
      </c>
      <c r="AF111" s="150">
        <v>2.2208664610507701E-7</v>
      </c>
      <c r="AG111" s="150">
        <v>5.3028569997793003E-8</v>
      </c>
      <c r="AH111" s="150">
        <v>2.49942202612465E-8</v>
      </c>
      <c r="AI111" s="149"/>
      <c r="AJ111" s="149">
        <v>0.2</v>
      </c>
      <c r="AK111" s="149">
        <v>10</v>
      </c>
      <c r="AL111" s="151">
        <f t="shared" si="82"/>
        <v>19.944128358</v>
      </c>
      <c r="AM111" s="148">
        <f t="shared" si="83"/>
        <v>-0.16046340268945836</v>
      </c>
      <c r="AN111" s="148">
        <f t="shared" si="84"/>
        <v>-8.9993506749571739E-2</v>
      </c>
      <c r="AO111" s="149"/>
      <c r="AP111" s="148">
        <f t="shared" si="85"/>
        <v>5.3177124661376489E-3</v>
      </c>
      <c r="AQ111" s="148">
        <f t="shared" si="86"/>
        <v>2.5064239271425271E-3</v>
      </c>
      <c r="AR111" s="150">
        <f t="shared" si="87"/>
        <v>1.1135440071312694E-4</v>
      </c>
    </row>
    <row r="112" spans="1:44" x14ac:dyDescent="0.2">
      <c r="A112">
        <v>104</v>
      </c>
      <c r="B112" s="4">
        <v>41318</v>
      </c>
      <c r="C112" t="s">
        <v>452</v>
      </c>
      <c r="D112">
        <v>1.1963523218000001</v>
      </c>
      <c r="E112" s="1">
        <v>-6.2447333666666698E-6</v>
      </c>
      <c r="F112" s="1">
        <v>-5.3345330500000201E-6</v>
      </c>
      <c r="G112" s="1">
        <v>2.59140595019293E-6</v>
      </c>
      <c r="H112" s="1">
        <v>9.2361283131329199E-8</v>
      </c>
      <c r="I112" s="1">
        <v>7.4150873293559507E-8</v>
      </c>
      <c r="K112">
        <v>0.2</v>
      </c>
      <c r="L112">
        <v>10</v>
      </c>
      <c r="M112" s="2">
        <f t="shared" ref="M112:M117" si="88">100*D112/(K112*5)</f>
        <v>119.63523218</v>
      </c>
      <c r="N112" s="3">
        <f t="shared" ref="N112:N117" si="89">1000000*E112*K112/(L112*D112)</f>
        <v>-0.10439622597582307</v>
      </c>
      <c r="O112" s="3">
        <f t="shared" ref="O112:O117" si="90">1000000*F112*K112/(D112*L112)</f>
        <v>-8.9179967352323475E-2</v>
      </c>
      <c r="P112" s="3"/>
      <c r="Q112" s="3">
        <f t="shared" ref="Q112:Q117" si="91">1000000*K112*H112/(L112*D112)</f>
        <v>1.5440482113557462E-3</v>
      </c>
      <c r="R112" s="3">
        <f t="shared" ref="R112:R117" si="92">1000000*K112*I112/(L112*D112)</f>
        <v>1.2396159884070616E-3</v>
      </c>
      <c r="S112" s="1">
        <f t="shared" ref="S112:S117" si="93">G112*100/D112</f>
        <v>2.1660892890599059E-4</v>
      </c>
      <c r="T112" s="3"/>
      <c r="U112" s="3">
        <f t="shared" ref="U112:V117" si="94">N112-X96</f>
        <v>-4.0113118879374146E-2</v>
      </c>
      <c r="V112" s="3">
        <f t="shared" si="94"/>
        <v>-5.4687262953726834E-2</v>
      </c>
      <c r="AC112" s="149">
        <v>9.9839262816000002E-2</v>
      </c>
      <c r="AD112" s="150">
        <v>-8.7079532166666497E-7</v>
      </c>
      <c r="AE112" s="150">
        <v>-4.6487124833333302E-7</v>
      </c>
      <c r="AF112" s="150">
        <v>5.3593357619562097E-8</v>
      </c>
      <c r="AG112" s="150">
        <v>4.9888184190930599E-8</v>
      </c>
      <c r="AH112" s="150">
        <v>6.2518835217103004E-8</v>
      </c>
      <c r="AI112" s="149"/>
      <c r="AJ112" s="149">
        <v>0.2</v>
      </c>
      <c r="AK112" s="149">
        <v>10</v>
      </c>
      <c r="AL112" s="151">
        <f t="shared" si="82"/>
        <v>9.9839262816000005</v>
      </c>
      <c r="AM112" s="148">
        <f t="shared" si="83"/>
        <v>-0.17443945339851077</v>
      </c>
      <c r="AN112" s="148">
        <f t="shared" si="84"/>
        <v>-9.3123934456542073E-2</v>
      </c>
      <c r="AO112" s="149"/>
      <c r="AP112" s="148">
        <f t="shared" si="85"/>
        <v>9.9937004308360416E-3</v>
      </c>
      <c r="AQ112" s="148">
        <f t="shared" si="86"/>
        <v>1.2523897603755923E-2</v>
      </c>
      <c r="AR112" s="150">
        <f t="shared" si="87"/>
        <v>5.3679640762505066E-5</v>
      </c>
    </row>
    <row r="113" spans="1:40" x14ac:dyDescent="0.2">
      <c r="A113">
        <v>105</v>
      </c>
      <c r="C113" t="s">
        <v>453</v>
      </c>
      <c r="D113">
        <v>1.0109338616000001</v>
      </c>
      <c r="E113" s="1">
        <v>-5.4315057333333201E-6</v>
      </c>
      <c r="F113" s="1">
        <v>-4.4821574999999996E-6</v>
      </c>
      <c r="G113" s="1">
        <v>9.86341990804034E-7</v>
      </c>
      <c r="H113" s="1">
        <v>2.6828795024417699E-8</v>
      </c>
      <c r="I113" s="1">
        <v>1.0133628632470999E-7</v>
      </c>
      <c r="K113">
        <v>0.2</v>
      </c>
      <c r="L113">
        <v>10</v>
      </c>
      <c r="M113" s="2">
        <f t="shared" si="88"/>
        <v>101.09338616000001</v>
      </c>
      <c r="N113" s="3">
        <f t="shared" si="89"/>
        <v>-0.10745521422611966</v>
      </c>
      <c r="O113" s="3">
        <f t="shared" si="90"/>
        <v>-8.8673605074541889E-2</v>
      </c>
      <c r="P113" s="3"/>
      <c r="Q113" s="3">
        <f t="shared" si="91"/>
        <v>5.3077250735188348E-4</v>
      </c>
      <c r="R113" s="3">
        <f t="shared" si="92"/>
        <v>2.004805461048175E-3</v>
      </c>
      <c r="S113" s="1">
        <f t="shared" si="93"/>
        <v>9.7567410517138616E-5</v>
      </c>
      <c r="T113" s="3"/>
      <c r="U113" s="3">
        <f t="shared" si="94"/>
        <v>-3.1473371596264482E-2</v>
      </c>
      <c r="V113" s="3">
        <f t="shared" si="94"/>
        <v>-5.3849351758624063E-2</v>
      </c>
    </row>
    <row r="114" spans="1:40" x14ac:dyDescent="0.2">
      <c r="A114">
        <v>106</v>
      </c>
      <c r="D114">
        <v>0.60110570409999997</v>
      </c>
      <c r="E114" s="1">
        <v>-4.0627396499999997E-6</v>
      </c>
      <c r="F114" s="1">
        <v>-2.7981263666666701E-6</v>
      </c>
      <c r="G114" s="1">
        <v>1.72483384897024E-6</v>
      </c>
      <c r="H114" s="1">
        <v>6.5477274429460103E-8</v>
      </c>
      <c r="I114" s="1">
        <v>3.4151352493455202E-8</v>
      </c>
      <c r="K114">
        <v>0.2</v>
      </c>
      <c r="L114">
        <v>10</v>
      </c>
      <c r="M114" s="2">
        <f t="shared" si="88"/>
        <v>60.110570409999994</v>
      </c>
      <c r="N114" s="3">
        <f t="shared" si="89"/>
        <v>-0.13517554807046459</v>
      </c>
      <c r="O114" s="3">
        <f t="shared" si="90"/>
        <v>-9.3099311737729715E-2</v>
      </c>
      <c r="P114" s="3"/>
      <c r="Q114" s="3">
        <f t="shared" si="91"/>
        <v>2.1785610744617821E-3</v>
      </c>
      <c r="R114" s="3">
        <f t="shared" si="92"/>
        <v>1.1362844258677599E-3</v>
      </c>
      <c r="S114" s="1">
        <f t="shared" si="93"/>
        <v>2.8694351712278817E-4</v>
      </c>
      <c r="T114" s="3"/>
      <c r="U114" s="3">
        <f t="shared" si="94"/>
        <v>-4.1935374074844822E-2</v>
      </c>
      <c r="V114" s="3">
        <f t="shared" si="94"/>
        <v>-5.704030023617717E-2</v>
      </c>
    </row>
    <row r="115" spans="1:40" x14ac:dyDescent="0.2">
      <c r="A115">
        <v>107</v>
      </c>
      <c r="C115" t="s">
        <v>77</v>
      </c>
      <c r="D115">
        <v>0.40002324321999999</v>
      </c>
      <c r="E115" s="1">
        <v>-3.0801727499999998E-6</v>
      </c>
      <c r="F115" s="1">
        <v>-1.87014888333333E-6</v>
      </c>
      <c r="G115" s="1">
        <v>1.0795634356833401E-6</v>
      </c>
      <c r="H115" s="1">
        <v>6.2655813869138799E-8</v>
      </c>
      <c r="I115" s="1">
        <v>1.18454225539881E-7</v>
      </c>
      <c r="K115">
        <v>0.2</v>
      </c>
      <c r="L115">
        <v>10</v>
      </c>
      <c r="M115" s="2">
        <f t="shared" si="88"/>
        <v>40.002324322</v>
      </c>
      <c r="N115" s="3">
        <f t="shared" si="89"/>
        <v>-0.15399968887837867</v>
      </c>
      <c r="O115" s="3">
        <f t="shared" si="90"/>
        <v>-9.3502010947139294E-2</v>
      </c>
      <c r="P115" s="3"/>
      <c r="Q115" s="3">
        <f t="shared" si="91"/>
        <v>3.1326086636760805E-3</v>
      </c>
      <c r="R115" s="3">
        <f t="shared" si="92"/>
        <v>5.9223671397881728E-3</v>
      </c>
      <c r="S115" s="1">
        <f t="shared" si="93"/>
        <v>2.6987517700055613E-4</v>
      </c>
      <c r="T115" s="3"/>
      <c r="U115" s="3">
        <f t="shared" si="94"/>
        <v>-5.3924580777149442E-2</v>
      </c>
      <c r="V115" s="3">
        <f t="shared" si="94"/>
        <v>-5.2317304742914073E-2</v>
      </c>
      <c r="AC115" s="5" t="s">
        <v>451</v>
      </c>
    </row>
    <row r="116" spans="1:40" x14ac:dyDescent="0.2">
      <c r="A116">
        <v>108</v>
      </c>
      <c r="C116" t="s">
        <v>78</v>
      </c>
      <c r="D116">
        <v>0.20007469580000001</v>
      </c>
      <c r="E116" s="1">
        <v>-1.76790641666667E-6</v>
      </c>
      <c r="F116" s="1">
        <v>-1.00233792666667E-6</v>
      </c>
      <c r="G116" s="1">
        <v>5.2617665828927897E-7</v>
      </c>
      <c r="H116" s="1">
        <v>4.7466765327539698E-8</v>
      </c>
      <c r="I116" s="1">
        <v>6.1840885932996995E-8</v>
      </c>
      <c r="K116">
        <v>0.2</v>
      </c>
      <c r="L116">
        <v>10</v>
      </c>
      <c r="M116" s="2">
        <f t="shared" si="88"/>
        <v>20.007469580000002</v>
      </c>
      <c r="N116" s="3">
        <f t="shared" si="89"/>
        <v>-0.17672463872532052</v>
      </c>
      <c r="O116" s="3">
        <f t="shared" si="90"/>
        <v>-0.10019637142606318</v>
      </c>
      <c r="P116" s="3"/>
      <c r="Q116" s="3">
        <f t="shared" si="91"/>
        <v>4.7449044105996024E-3</v>
      </c>
      <c r="R116" s="3">
        <f t="shared" si="92"/>
        <v>6.1817798283511863E-3</v>
      </c>
      <c r="S116" s="1">
        <f t="shared" si="93"/>
        <v>2.6299010786214521E-4</v>
      </c>
      <c r="T116" s="3"/>
      <c r="U116" s="3">
        <f t="shared" si="94"/>
        <v>-6.3956260565327092E-2</v>
      </c>
      <c r="V116" s="3">
        <f t="shared" si="94"/>
        <v>-5.1616281890048861E-2</v>
      </c>
    </row>
    <row r="117" spans="1:40" x14ac:dyDescent="0.2">
      <c r="A117">
        <v>109</v>
      </c>
      <c r="D117">
        <v>9.9579969219999995E-2</v>
      </c>
      <c r="E117" s="1">
        <v>-9.4275982333333303E-7</v>
      </c>
      <c r="F117" s="1">
        <v>-4.7803235666666604E-7</v>
      </c>
      <c r="G117" s="1">
        <v>1.7742524581259201E-7</v>
      </c>
      <c r="H117" s="1">
        <v>9.0645546481365896E-8</v>
      </c>
      <c r="I117" s="1">
        <v>3.7011785849818E-8</v>
      </c>
      <c r="K117">
        <v>0.2</v>
      </c>
      <c r="L117">
        <v>10</v>
      </c>
      <c r="M117" s="2">
        <f t="shared" si="88"/>
        <v>9.9579969219999995</v>
      </c>
      <c r="N117" s="3">
        <f t="shared" si="89"/>
        <v>-0.18934728153018668</v>
      </c>
      <c r="O117" s="3">
        <f t="shared" si="90"/>
        <v>-9.6009741800694673E-2</v>
      </c>
      <c r="P117" s="3"/>
      <c r="Q117" s="3">
        <f t="shared" si="91"/>
        <v>1.8205578328931705E-2</v>
      </c>
      <c r="R117" s="3">
        <f t="shared" si="92"/>
        <v>7.4335804961033107E-3</v>
      </c>
      <c r="S117" s="1">
        <f t="shared" si="93"/>
        <v>1.7817362990001534E-4</v>
      </c>
      <c r="T117" s="3"/>
      <c r="U117" s="3">
        <f t="shared" si="94"/>
        <v>-7.2349383153809552E-2</v>
      </c>
      <c r="V117" s="3">
        <f t="shared" si="94"/>
        <v>-4.7264597974245898E-2</v>
      </c>
      <c r="AH117" s="3"/>
      <c r="AI117" s="5" t="s">
        <v>15</v>
      </c>
      <c r="AJ117" s="5" t="s">
        <v>15</v>
      </c>
      <c r="AK117" s="5" t="s">
        <v>15</v>
      </c>
    </row>
    <row r="118" spans="1:40" x14ac:dyDescent="0.2">
      <c r="A118">
        <v>110</v>
      </c>
      <c r="E118" s="1"/>
      <c r="F118" s="1"/>
      <c r="G118" s="1"/>
      <c r="H118" s="1"/>
      <c r="I118" s="1"/>
      <c r="M118" s="2"/>
      <c r="N118" s="3"/>
      <c r="O118" s="3"/>
      <c r="Q118" s="3"/>
      <c r="R118" s="3"/>
      <c r="S118" s="1"/>
      <c r="U118" s="148">
        <f>AVERAGE(U112:U117)</f>
        <v>-5.0625348174461592E-2</v>
      </c>
      <c r="V118" s="148">
        <f>AVERAGE(V112:V117)</f>
        <v>-5.2795849925956151E-2</v>
      </c>
      <c r="AC118" s="5" t="s">
        <v>2</v>
      </c>
      <c r="AD118" s="5" t="s">
        <v>3</v>
      </c>
      <c r="AE118" s="5" t="s">
        <v>4</v>
      </c>
      <c r="AF118" s="5" t="s">
        <v>0</v>
      </c>
      <c r="AG118" s="5" t="s">
        <v>1</v>
      </c>
      <c r="AH118" s="3"/>
      <c r="AI118" s="5" t="s">
        <v>5</v>
      </c>
      <c r="AJ118" s="5" t="s">
        <v>6</v>
      </c>
      <c r="AK118" s="5" t="s">
        <v>14</v>
      </c>
    </row>
    <row r="119" spans="1:40" x14ac:dyDescent="0.2">
      <c r="A119">
        <v>111</v>
      </c>
      <c r="C119" t="s">
        <v>89</v>
      </c>
      <c r="D119">
        <v>0.99553253665999997</v>
      </c>
      <c r="E119" s="1">
        <v>-5.40291173333333E-6</v>
      </c>
      <c r="F119" s="1">
        <v>-4.4344546999999899E-6</v>
      </c>
      <c r="G119" s="1">
        <v>3.2083027119539099E-6</v>
      </c>
      <c r="H119" s="1">
        <v>5.2880770373821999E-8</v>
      </c>
      <c r="I119" s="1">
        <v>1.9775494479531999E-8</v>
      </c>
      <c r="K119">
        <v>0.2</v>
      </c>
      <c r="L119">
        <v>10</v>
      </c>
      <c r="M119" s="2">
        <f>100*D119/(K119*5)</f>
        <v>99.553253666000003</v>
      </c>
      <c r="N119" s="3">
        <f>1000000*E119*K119/(L119*D119)</f>
        <v>-0.10854314719758</v>
      </c>
      <c r="O119" s="3">
        <f>1000000*F119*K119/(D119*L119)</f>
        <v>-8.9087087296564588E-2</v>
      </c>
      <c r="Q119" s="3">
        <f>1000000*K119*H119/(L119*D119)</f>
        <v>1.0623614683903022E-3</v>
      </c>
      <c r="R119" s="3">
        <f>1000000*K119*I119/(L119*D119)</f>
        <v>3.9728474462278354E-4</v>
      </c>
      <c r="S119" s="1">
        <f>G119*100/D119</f>
        <v>3.2227000060869212E-4</v>
      </c>
      <c r="AC119">
        <v>1.1971831298</v>
      </c>
      <c r="AD119" s="1">
        <v>-1.133193905E-5</v>
      </c>
      <c r="AE119" s="1">
        <v>-1.0239753099999999E-5</v>
      </c>
      <c r="AF119" s="1">
        <v>7.8915862430549107E-6</v>
      </c>
      <c r="AG119" s="1">
        <v>1.4422482886647E-6</v>
      </c>
      <c r="AH119" s="1">
        <v>1.01453881856982E-6</v>
      </c>
      <c r="AJ119" s="149">
        <v>0.2</v>
      </c>
      <c r="AK119" s="149">
        <v>10</v>
      </c>
      <c r="AL119" s="151">
        <f t="shared" ref="AL119:AL124" si="95">100*AC119/(AJ119*5)</f>
        <v>119.71831297999999</v>
      </c>
      <c r="AM119" s="148">
        <f t="shared" ref="AM119:AM124" si="96">1000000*AD119*AJ119/(AK119*AC119)</f>
        <v>-0.18931003566502144</v>
      </c>
      <c r="AN119" s="148">
        <f t="shared" ref="AN119:AN124" si="97">1000000*AE119*AJ119/(AC119*AK119)</f>
        <v>-0.17106410615242534</v>
      </c>
    </row>
    <row r="120" spans="1:40" x14ac:dyDescent="0.2">
      <c r="A120">
        <v>112</v>
      </c>
      <c r="C120" t="s">
        <v>455</v>
      </c>
      <c r="D120">
        <v>0.98682859574000004</v>
      </c>
      <c r="E120" s="1">
        <v>-5.3711948666666701E-6</v>
      </c>
      <c r="F120" s="1">
        <v>-6.6480151833333297E-6</v>
      </c>
      <c r="G120" s="1">
        <v>1.73364704090761E-6</v>
      </c>
      <c r="H120" s="1">
        <v>7.5227399695116203E-9</v>
      </c>
      <c r="I120" s="1">
        <v>9.2574403832627496E-8</v>
      </c>
      <c r="K120">
        <v>0.2</v>
      </c>
      <c r="L120">
        <v>10</v>
      </c>
      <c r="M120" s="2">
        <f>100*D120/(K120*5)</f>
        <v>98.682859574000005</v>
      </c>
      <c r="N120" s="3">
        <f>1000000*E120*K120/(L120*D120)</f>
        <v>-0.10885770618835652</v>
      </c>
      <c r="O120" s="3">
        <f>1000000*F120*K120/(D120*L120)</f>
        <v>-0.13473495218991169</v>
      </c>
      <c r="Q120" s="3">
        <f>1000000*K120*H120/(L120*D120)</f>
        <v>1.5246295054655343E-4</v>
      </c>
      <c r="R120" s="3">
        <f>1000000*K120*I120/(L120*D120)</f>
        <v>1.8762002688665113E-3</v>
      </c>
      <c r="S120" s="1">
        <f>G120*100/D120</f>
        <v>1.7567863845773419E-4</v>
      </c>
      <c r="U120" s="3"/>
      <c r="V120" s="3"/>
      <c r="AC120">
        <v>1.0048599616</v>
      </c>
      <c r="AD120" s="1">
        <v>-7.4866327333333402E-6</v>
      </c>
      <c r="AE120" s="1">
        <v>-6.3026681499999904E-6</v>
      </c>
      <c r="AF120" s="1">
        <v>3.9040378727290899E-6</v>
      </c>
      <c r="AG120" s="1">
        <v>5.0817527594934802E-7</v>
      </c>
      <c r="AH120" s="1">
        <v>1.91798898529365E-7</v>
      </c>
      <c r="AJ120" s="149">
        <v>0.2</v>
      </c>
      <c r="AK120" s="149">
        <v>10</v>
      </c>
      <c r="AL120" s="151">
        <f t="shared" si="95"/>
        <v>100.48599616</v>
      </c>
      <c r="AM120" s="148">
        <f t="shared" si="96"/>
        <v>-0.14900847917977866</v>
      </c>
      <c r="AN120" s="148">
        <f t="shared" si="97"/>
        <v>-0.12544371137973284</v>
      </c>
    </row>
    <row r="121" spans="1:40" x14ac:dyDescent="0.2">
      <c r="A121">
        <v>113</v>
      </c>
      <c r="C121" t="s">
        <v>456</v>
      </c>
      <c r="E121" s="1"/>
      <c r="F121" s="1"/>
      <c r="G121" s="1"/>
      <c r="H121" s="1"/>
      <c r="I121" s="1"/>
      <c r="M121" s="2"/>
      <c r="N121" s="3"/>
      <c r="O121" s="3"/>
      <c r="Q121" s="3"/>
      <c r="R121" s="3"/>
      <c r="S121" s="1"/>
      <c r="U121" s="3"/>
      <c r="V121" s="3"/>
      <c r="AC121">
        <v>0.59674546177999999</v>
      </c>
      <c r="AD121" s="1">
        <v>-6.4550628000000101E-6</v>
      </c>
      <c r="AE121" s="1">
        <v>-4.2948269999999996E-6</v>
      </c>
      <c r="AF121" s="1">
        <v>6.3027723272019802E-6</v>
      </c>
      <c r="AG121" s="1">
        <v>1.6085984993308099E-7</v>
      </c>
      <c r="AH121" s="1">
        <v>1.41993483392725E-7</v>
      </c>
      <c r="AJ121" s="149">
        <v>0.2</v>
      </c>
      <c r="AK121" s="149">
        <v>10</v>
      </c>
      <c r="AL121" s="151">
        <f t="shared" si="95"/>
        <v>59.674546178</v>
      </c>
      <c r="AM121" s="148">
        <f t="shared" si="96"/>
        <v>-0.21634225020314526</v>
      </c>
      <c r="AN121" s="148">
        <f t="shared" si="97"/>
        <v>-0.14394167279259037</v>
      </c>
    </row>
    <row r="122" spans="1:40" x14ac:dyDescent="0.2">
      <c r="A122">
        <v>114</v>
      </c>
      <c r="E122" s="1"/>
      <c r="F122" s="1"/>
      <c r="G122" s="1"/>
      <c r="H122" s="1"/>
      <c r="I122" s="1"/>
      <c r="M122" s="2"/>
      <c r="N122" s="3"/>
      <c r="O122" s="3"/>
      <c r="Q122" s="3"/>
      <c r="R122" s="3"/>
      <c r="S122" s="1"/>
      <c r="U122" s="3"/>
      <c r="V122" s="3"/>
      <c r="AC122">
        <v>0.40561043106</v>
      </c>
      <c r="AD122" s="1">
        <v>-3.5501961500000001E-6</v>
      </c>
      <c r="AE122" s="1">
        <v>-2.24319993333333E-6</v>
      </c>
      <c r="AF122" s="1">
        <v>1.9595379649259798E-5</v>
      </c>
      <c r="AG122" s="1">
        <v>1.3689815504361001E-7</v>
      </c>
      <c r="AH122" s="1">
        <v>1.0749742953824E-7</v>
      </c>
      <c r="AJ122" s="149">
        <v>0.2</v>
      </c>
      <c r="AK122" s="149">
        <v>10</v>
      </c>
      <c r="AL122" s="151">
        <f t="shared" si="95"/>
        <v>40.561043106</v>
      </c>
      <c r="AM122" s="148">
        <f t="shared" si="96"/>
        <v>-0.17505447977371352</v>
      </c>
      <c r="AN122" s="148">
        <f t="shared" si="97"/>
        <v>-0.11060859196698046</v>
      </c>
    </row>
    <row r="123" spans="1:40" x14ac:dyDescent="0.2">
      <c r="A123">
        <v>115</v>
      </c>
      <c r="C123" t="s">
        <v>81</v>
      </c>
      <c r="D123">
        <v>0.99226059858000004</v>
      </c>
      <c r="E123" s="1">
        <v>-6.35317896666666E-3</v>
      </c>
      <c r="F123" s="1">
        <v>1.9841290666666601E-2</v>
      </c>
      <c r="G123" s="1">
        <v>6.8748795487000202E-6</v>
      </c>
      <c r="H123" s="1">
        <v>2.6658775739561401E-5</v>
      </c>
      <c r="I123" s="1">
        <v>6.3620621234173794E-5</v>
      </c>
      <c r="K123">
        <v>0.2</v>
      </c>
      <c r="L123">
        <v>10</v>
      </c>
      <c r="M123" s="2">
        <f>100*D123/(K123*5)</f>
        <v>99.226059857999999</v>
      </c>
      <c r="N123" s="3">
        <f>1000000*E123*K123/(L123*D123)</f>
        <v>-128.05464563963417</v>
      </c>
      <c r="O123" s="3">
        <f>1000000*F123*K123/(D123*L123)</f>
        <v>399.92096219603985</v>
      </c>
      <c r="Q123" s="3">
        <f>1000000*K123*H123/(L123*D123)</f>
        <v>0.53733415954865327</v>
      </c>
      <c r="R123" s="3">
        <f>1000000*K123*I123/(L123*D123)</f>
        <v>1.2823369450569682</v>
      </c>
      <c r="S123" s="1">
        <f>G123*100/D123</f>
        <v>6.9285020069712467E-4</v>
      </c>
      <c r="U123" s="3"/>
      <c r="V123" s="3"/>
      <c r="AC123">
        <v>0.20177830688000001</v>
      </c>
      <c r="AD123" s="1">
        <v>-1.9697850999999999E-6</v>
      </c>
      <c r="AE123" s="1">
        <v>-1.0685917333333401E-6</v>
      </c>
      <c r="AF123" s="1">
        <v>6.6286519592912695E-7</v>
      </c>
      <c r="AG123" s="1">
        <v>6.4113048037483499E-8</v>
      </c>
      <c r="AH123" s="1">
        <v>7.65574194205175E-8</v>
      </c>
      <c r="AJ123" s="149">
        <v>0.2</v>
      </c>
      <c r="AK123" s="149">
        <v>10</v>
      </c>
      <c r="AL123" s="151">
        <f t="shared" si="95"/>
        <v>20.177830688</v>
      </c>
      <c r="AM123" s="148">
        <f t="shared" si="96"/>
        <v>-0.19524250455441228</v>
      </c>
      <c r="AN123" s="148">
        <f t="shared" si="97"/>
        <v>-0.10591740508248437</v>
      </c>
    </row>
    <row r="124" spans="1:40" x14ac:dyDescent="0.2">
      <c r="A124">
        <v>116</v>
      </c>
      <c r="E124" s="1"/>
      <c r="F124" s="1"/>
      <c r="G124" s="1"/>
      <c r="H124" s="1"/>
      <c r="I124" s="1"/>
      <c r="M124" s="2"/>
      <c r="N124" s="3"/>
      <c r="O124" s="3"/>
      <c r="Q124" s="3"/>
      <c r="R124" s="3"/>
      <c r="S124" s="1"/>
      <c r="U124" s="3"/>
      <c r="V124" s="3"/>
      <c r="AC124">
        <v>9.9078592990000006E-2</v>
      </c>
      <c r="AD124" s="1">
        <v>-1.05066736166667E-6</v>
      </c>
      <c r="AE124" s="1">
        <v>-5.2970888500000003E-7</v>
      </c>
      <c r="AF124" s="1">
        <v>3.2980478565731397E-7</v>
      </c>
      <c r="AG124" s="1">
        <v>7.7278435278505705E-8</v>
      </c>
      <c r="AH124" s="1">
        <v>7.3078952751425705E-8</v>
      </c>
      <c r="AJ124" s="149">
        <v>0.2</v>
      </c>
      <c r="AK124" s="149">
        <v>10</v>
      </c>
      <c r="AL124" s="151">
        <f t="shared" si="95"/>
        <v>9.9078592990000001</v>
      </c>
      <c r="AM124" s="148">
        <f t="shared" si="96"/>
        <v>-0.21208766292688752</v>
      </c>
      <c r="AN124" s="148">
        <f t="shared" si="97"/>
        <v>-0.10692700996540465</v>
      </c>
    </row>
    <row r="125" spans="1:40" x14ac:dyDescent="0.2">
      <c r="A125">
        <v>117</v>
      </c>
      <c r="B125" s="4">
        <v>41318</v>
      </c>
      <c r="C125" s="5" t="s">
        <v>80</v>
      </c>
      <c r="H125" t="s">
        <v>50</v>
      </c>
      <c r="I125" t="s">
        <v>51</v>
      </c>
      <c r="J125" t="s">
        <v>53</v>
      </c>
      <c r="L125" t="s">
        <v>54</v>
      </c>
      <c r="M125" t="s">
        <v>58</v>
      </c>
      <c r="N125" t="s">
        <v>56</v>
      </c>
      <c r="P125" s="189"/>
      <c r="U125" s="3"/>
      <c r="V125" s="3"/>
    </row>
    <row r="126" spans="1:40" x14ac:dyDescent="0.2">
      <c r="A126">
        <v>118</v>
      </c>
      <c r="D126" t="s">
        <v>14</v>
      </c>
      <c r="E126" t="s">
        <v>171</v>
      </c>
      <c r="F126" t="s">
        <v>172</v>
      </c>
      <c r="G126" t="s">
        <v>32</v>
      </c>
      <c r="H126" t="s">
        <v>16</v>
      </c>
      <c r="I126" t="s">
        <v>52</v>
      </c>
      <c r="J126" t="s">
        <v>54</v>
      </c>
      <c r="K126" t="s">
        <v>55</v>
      </c>
      <c r="L126" t="s">
        <v>57</v>
      </c>
      <c r="M126" t="s">
        <v>57</v>
      </c>
      <c r="N126" t="s">
        <v>59</v>
      </c>
      <c r="P126" s="189"/>
      <c r="Q126" s="8"/>
      <c r="U126" s="3"/>
      <c r="V126" s="3"/>
    </row>
    <row r="127" spans="1:40" x14ac:dyDescent="0.2">
      <c r="A127">
        <v>119</v>
      </c>
      <c r="C127" t="s">
        <v>45</v>
      </c>
      <c r="D127">
        <v>1.0069349999999999</v>
      </c>
      <c r="E127" s="8">
        <v>0.44772000000000001</v>
      </c>
      <c r="F127">
        <f>E127/D127</f>
        <v>0.44463644624528897</v>
      </c>
      <c r="G127">
        <v>0.2</v>
      </c>
      <c r="H127">
        <f>0.317/G127</f>
        <v>1.585</v>
      </c>
      <c r="I127">
        <f>H127+1</f>
        <v>2.585</v>
      </c>
      <c r="J127">
        <f>F127-K127*I127/20</f>
        <v>0.315386446245289</v>
      </c>
      <c r="K127">
        <v>1</v>
      </c>
      <c r="L127">
        <f>J127</f>
        <v>0.315386446245289</v>
      </c>
      <c r="M127" s="15">
        <f>1/L127</f>
        <v>3.1707133007937154</v>
      </c>
      <c r="N127">
        <f>5*M127/SUM($M$127:$M$131)</f>
        <v>0.95991285779318214</v>
      </c>
      <c r="P127" s="190"/>
      <c r="Q127" s="2"/>
      <c r="S127" s="1"/>
      <c r="T127" s="1"/>
      <c r="U127" s="3"/>
      <c r="V127" s="3"/>
      <c r="W127" s="1"/>
    </row>
    <row r="128" spans="1:40" x14ac:dyDescent="0.2">
      <c r="A128">
        <v>120</v>
      </c>
      <c r="C128" t="s">
        <v>46</v>
      </c>
      <c r="D128">
        <v>1.004105</v>
      </c>
      <c r="E128">
        <v>0.91015000000000001</v>
      </c>
      <c r="F128">
        <f>E128/D128</f>
        <v>0.90642910850956826</v>
      </c>
      <c r="G128">
        <v>0.2</v>
      </c>
      <c r="H128">
        <f>0.317/G128</f>
        <v>1.585</v>
      </c>
      <c r="I128">
        <f>H128+1</f>
        <v>2.585</v>
      </c>
      <c r="J128">
        <f>F128-K128*I128/20</f>
        <v>0.6479291085095682</v>
      </c>
      <c r="K128">
        <v>2</v>
      </c>
      <c r="L128">
        <f>J128-J127</f>
        <v>0.3325426622642792</v>
      </c>
      <c r="M128" s="15">
        <f>1/L128</f>
        <v>3.0071329590946658</v>
      </c>
      <c r="N128">
        <f>5*M128/SUM($M$127:$M$131)</f>
        <v>0.91038997181045622</v>
      </c>
      <c r="O128" s="3"/>
      <c r="P128" s="190"/>
      <c r="Q128" s="2"/>
      <c r="S128" s="1"/>
      <c r="T128" s="1"/>
      <c r="U128" s="1"/>
      <c r="V128" s="1"/>
      <c r="W128" s="1"/>
    </row>
    <row r="129" spans="1:51" x14ac:dyDescent="0.2">
      <c r="A129">
        <v>121</v>
      </c>
      <c r="C129" t="s">
        <v>48</v>
      </c>
      <c r="D129">
        <v>1.00099</v>
      </c>
      <c r="E129">
        <v>1.3517399999999999</v>
      </c>
      <c r="F129">
        <f>E129/D129</f>
        <v>1.3504031009300792</v>
      </c>
      <c r="G129">
        <v>0.2</v>
      </c>
      <c r="H129">
        <f>0.317/G129</f>
        <v>1.585</v>
      </c>
      <c r="I129">
        <f>H129+1</f>
        <v>2.585</v>
      </c>
      <c r="J129">
        <f>F129-K129*I129/20</f>
        <v>0.96265310093007916</v>
      </c>
      <c r="K129">
        <v>3</v>
      </c>
      <c r="L129">
        <f>J129-J128</f>
        <v>0.31472399242051097</v>
      </c>
      <c r="M129" s="15">
        <f>1/L129</f>
        <v>3.1773872475024842</v>
      </c>
      <c r="N129">
        <f>5*M129/SUM($M$127:$M$131)</f>
        <v>0.96193335181147455</v>
      </c>
      <c r="O129" s="3"/>
      <c r="P129" s="190"/>
      <c r="Q129" s="2"/>
      <c r="S129" s="1"/>
      <c r="T129" s="1"/>
      <c r="U129" s="1"/>
      <c r="V129" s="1"/>
      <c r="W129" s="1"/>
    </row>
    <row r="130" spans="1:51" x14ac:dyDescent="0.2">
      <c r="A130">
        <v>122</v>
      </c>
      <c r="C130" t="s">
        <v>49</v>
      </c>
      <c r="D130">
        <v>0.99802500000000005</v>
      </c>
      <c r="E130">
        <v>1.75434</v>
      </c>
      <c r="F130">
        <f>E130/D130</f>
        <v>1.7578116780641766</v>
      </c>
      <c r="G130">
        <v>0.2</v>
      </c>
      <c r="H130">
        <f>0.317/G130</f>
        <v>1.585</v>
      </c>
      <c r="I130">
        <f>H130+1</f>
        <v>2.585</v>
      </c>
      <c r="J130">
        <f>F130-K130*I130/20</f>
        <v>1.2408116780641767</v>
      </c>
      <c r="K130">
        <v>4</v>
      </c>
      <c r="L130">
        <f>J130-J129</f>
        <v>0.27815857713409753</v>
      </c>
      <c r="M130" s="15">
        <f>1/L130</f>
        <v>3.5950715965803557</v>
      </c>
      <c r="N130">
        <f>5*M130/SUM($M$127:$M$131)</f>
        <v>1.0883845756034389</v>
      </c>
      <c r="O130" s="3"/>
      <c r="P130" s="190"/>
      <c r="Q130" s="2"/>
      <c r="S130" s="1"/>
      <c r="T130" s="1"/>
      <c r="U130" s="1"/>
      <c r="V130" s="1"/>
      <c r="W130" s="1"/>
    </row>
    <row r="131" spans="1:51" x14ac:dyDescent="0.2">
      <c r="A131">
        <v>123</v>
      </c>
      <c r="C131" t="s">
        <v>79</v>
      </c>
      <c r="D131">
        <v>0.99509999999999998</v>
      </c>
      <c r="E131">
        <v>2.1569199999999999</v>
      </c>
      <c r="F131">
        <f>E131/D131</f>
        <v>2.1675409506582253</v>
      </c>
      <c r="G131">
        <v>0.2</v>
      </c>
      <c r="H131">
        <f>0.317/G131</f>
        <v>1.585</v>
      </c>
      <c r="I131">
        <f>H131+1</f>
        <v>2.585</v>
      </c>
      <c r="J131">
        <f>F131-K131*I131/20</f>
        <v>1.5212909506582253</v>
      </c>
      <c r="K131">
        <v>5</v>
      </c>
      <c r="L131">
        <f>J131-J130</f>
        <v>0.28047927259404859</v>
      </c>
      <c r="M131" s="15">
        <f>1/L131</f>
        <v>3.5653258465460622</v>
      </c>
      <c r="N131">
        <f>5*M131/SUM($M$127:$M$131)</f>
        <v>1.0793792429814475</v>
      </c>
      <c r="O131" s="3"/>
      <c r="P131" s="190"/>
      <c r="Q131" s="2"/>
      <c r="S131" s="1"/>
      <c r="T131" s="1"/>
      <c r="U131" s="1"/>
      <c r="V131" s="1"/>
      <c r="W131" s="1"/>
    </row>
    <row r="132" spans="1:51" x14ac:dyDescent="0.2">
      <c r="A132">
        <v>124</v>
      </c>
      <c r="M132" s="15"/>
    </row>
    <row r="133" spans="1:51" x14ac:dyDescent="0.2">
      <c r="A133">
        <v>125</v>
      </c>
      <c r="C133" s="5" t="s">
        <v>88</v>
      </c>
      <c r="J133" s="5" t="s">
        <v>18</v>
      </c>
      <c r="K133" s="5" t="s">
        <v>2</v>
      </c>
      <c r="L133" s="5" t="s">
        <v>3</v>
      </c>
      <c r="M133" s="5" t="s">
        <v>180</v>
      </c>
      <c r="N133" s="13" t="s">
        <v>246</v>
      </c>
      <c r="O133" s="13"/>
      <c r="P133" s="13" t="s">
        <v>245</v>
      </c>
      <c r="Q133" s="13"/>
      <c r="S133" s="5" t="s">
        <v>318</v>
      </c>
      <c r="T133" s="5" t="s">
        <v>318</v>
      </c>
      <c r="U133" s="307" t="s">
        <v>109</v>
      </c>
      <c r="V133" s="307"/>
    </row>
    <row r="134" spans="1:51" x14ac:dyDescent="0.2">
      <c r="A134">
        <v>126</v>
      </c>
      <c r="N134" t="s">
        <v>247</v>
      </c>
      <c r="O134" t="s">
        <v>248</v>
      </c>
      <c r="P134" t="s">
        <v>107</v>
      </c>
      <c r="Q134" t="s">
        <v>108</v>
      </c>
      <c r="R134" t="s">
        <v>320</v>
      </c>
      <c r="S134" t="s">
        <v>98</v>
      </c>
      <c r="T134" t="s">
        <v>99</v>
      </c>
      <c r="U134" t="s">
        <v>98</v>
      </c>
      <c r="V134" t="s">
        <v>99</v>
      </c>
    </row>
    <row r="135" spans="1:51" x14ac:dyDescent="0.2">
      <c r="A135">
        <v>127</v>
      </c>
      <c r="C135" t="s">
        <v>82</v>
      </c>
      <c r="D135">
        <v>1.0018978346</v>
      </c>
      <c r="E135" s="1">
        <v>3.3815338333333302E-7</v>
      </c>
      <c r="F135" s="1">
        <v>4.7709583999999905E-7</v>
      </c>
      <c r="G135" s="1">
        <v>1.43931433785145E-6</v>
      </c>
      <c r="H135" s="1">
        <v>6.9007439597382501E-8</v>
      </c>
      <c r="I135" s="1">
        <v>8.01414519841702E-8</v>
      </c>
      <c r="J135">
        <v>4</v>
      </c>
      <c r="K135">
        <v>0.2</v>
      </c>
      <c r="L135">
        <v>10</v>
      </c>
      <c r="M135" s="2">
        <f>J135*D135/K135</f>
        <v>20.037956691999998</v>
      </c>
      <c r="N135" s="3">
        <f>1000000*E135/L135</f>
        <v>3.3815338333333299E-2</v>
      </c>
      <c r="O135" s="3">
        <f>1000000*F135/L135</f>
        <v>4.7709583999999902E-2</v>
      </c>
      <c r="P135" s="3">
        <f>J135*N135/M135</f>
        <v>6.7502567957607807E-3</v>
      </c>
      <c r="Q135" s="3">
        <f>O135*J135/M135</f>
        <v>9.523842122894215E-3</v>
      </c>
    </row>
    <row r="136" spans="1:51" x14ac:dyDescent="0.2">
      <c r="A136">
        <v>128</v>
      </c>
      <c r="C136" t="s">
        <v>83</v>
      </c>
      <c r="D136">
        <v>0.99817059141999998</v>
      </c>
      <c r="E136" s="1">
        <v>-1.13289503333333E-6</v>
      </c>
      <c r="F136" s="1">
        <v>2.3575239833333401E-7</v>
      </c>
      <c r="G136" s="1">
        <v>1.22088748498714E-6</v>
      </c>
      <c r="H136" s="1">
        <v>8.2992426734806405E-8</v>
      </c>
      <c r="I136" s="1">
        <v>6.6599875157313206E-8</v>
      </c>
      <c r="J136">
        <v>4</v>
      </c>
      <c r="K136">
        <v>0.2</v>
      </c>
      <c r="L136">
        <v>10</v>
      </c>
      <c r="M136" s="2">
        <f>J136*D136/K136</f>
        <v>19.963411828399998</v>
      </c>
      <c r="N136" s="3">
        <f t="shared" ref="N136:N143" si="98">1000000*E136/L136</f>
        <v>-0.11328950333333301</v>
      </c>
      <c r="O136" s="3">
        <f t="shared" ref="O136:O143" si="99">1000000*F136/L136</f>
        <v>2.35752398333334E-2</v>
      </c>
      <c r="P136" s="3">
        <f t="shared" ref="P136:P143" si="100">J136*N136/M136</f>
        <v>-2.2699427193535543E-2</v>
      </c>
      <c r="Q136" s="3">
        <f t="shared" ref="Q136:Q143" si="101">O136*J136/M136</f>
        <v>4.7236895248126288E-3</v>
      </c>
    </row>
    <row r="137" spans="1:51" x14ac:dyDescent="0.2">
      <c r="A137">
        <v>129</v>
      </c>
      <c r="C137" t="s">
        <v>84</v>
      </c>
      <c r="D137">
        <v>0.99929306606000001</v>
      </c>
      <c r="E137" s="1">
        <v>3.3083644000000002E-7</v>
      </c>
      <c r="F137" s="1">
        <v>5.3573319166666705E-7</v>
      </c>
      <c r="G137" s="1">
        <v>4.0816254206063102E-7</v>
      </c>
      <c r="H137" s="1">
        <v>3.1010986016567297E-8</v>
      </c>
      <c r="I137" s="1">
        <v>7.33014734000956E-8</v>
      </c>
      <c r="J137">
        <v>4</v>
      </c>
      <c r="K137">
        <v>0.2</v>
      </c>
      <c r="L137">
        <v>10</v>
      </c>
      <c r="M137" s="2">
        <f>J137*D137/K137</f>
        <v>19.985861321199998</v>
      </c>
      <c r="N137" s="3">
        <f t="shared" si="98"/>
        <v>3.3083644000000002E-2</v>
      </c>
      <c r="O137" s="3">
        <f t="shared" si="99"/>
        <v>5.3573319166666702E-2</v>
      </c>
      <c r="P137" s="3">
        <f t="shared" si="100"/>
        <v>6.6214096992470439E-3</v>
      </c>
      <c r="Q137" s="3">
        <f t="shared" si="101"/>
        <v>1.0722243751354126E-2</v>
      </c>
      <c r="W137" t="s">
        <v>457</v>
      </c>
      <c r="AB137" s="1"/>
      <c r="AC137" s="1"/>
      <c r="AD137" s="1"/>
      <c r="AE137" s="1"/>
      <c r="AF137" s="1"/>
    </row>
    <row r="138" spans="1:51" x14ac:dyDescent="0.2">
      <c r="A138">
        <v>130</v>
      </c>
      <c r="M138" s="2"/>
      <c r="N138" s="3"/>
      <c r="O138" s="3"/>
      <c r="P138" s="3"/>
      <c r="Q138" s="3"/>
      <c r="AB138" s="1"/>
      <c r="AD138" s="1"/>
      <c r="AE138" s="1"/>
    </row>
    <row r="139" spans="1:51" x14ac:dyDescent="0.2">
      <c r="A139">
        <v>131</v>
      </c>
      <c r="C139" t="s">
        <v>26</v>
      </c>
      <c r="D139">
        <v>1.0013311305999999</v>
      </c>
      <c r="E139" s="1">
        <v>2.9685841616666702E-7</v>
      </c>
      <c r="F139" s="1">
        <v>5.8599053833333305E-7</v>
      </c>
      <c r="G139" s="1">
        <v>1.7675003296359901E-6</v>
      </c>
      <c r="H139" s="1">
        <v>4.2695036214530699E-8</v>
      </c>
      <c r="I139" s="1">
        <v>3.8749301805433E-8</v>
      </c>
      <c r="J139">
        <v>4</v>
      </c>
      <c r="K139">
        <v>0.2</v>
      </c>
      <c r="L139">
        <v>10</v>
      </c>
      <c r="M139" s="2">
        <f>J139*D139/K139</f>
        <v>20.026622611999997</v>
      </c>
      <c r="N139" s="3">
        <f t="shared" si="98"/>
        <v>2.9685841616666701E-2</v>
      </c>
      <c r="O139" s="3">
        <f t="shared" si="99"/>
        <v>5.8599053833333303E-2</v>
      </c>
      <c r="P139" s="3">
        <f t="shared" si="100"/>
        <v>5.9292756830358166E-3</v>
      </c>
      <c r="Q139" s="3">
        <f t="shared" si="101"/>
        <v>1.1704230906757212E-2</v>
      </c>
      <c r="R139">
        <f>1-N128</f>
        <v>8.9610028189543778E-2</v>
      </c>
      <c r="S139" s="3">
        <f>P139*R139</f>
        <v>5.31322561100416E-4</v>
      </c>
      <c r="T139" s="3">
        <f>Q139*R139</f>
        <v>1.0488164614914433E-3</v>
      </c>
      <c r="AB139" s="1"/>
      <c r="AD139" s="1"/>
      <c r="AE139" s="1"/>
    </row>
    <row r="140" spans="1:51" x14ac:dyDescent="0.2">
      <c r="A140">
        <v>132</v>
      </c>
      <c r="C140" t="s">
        <v>85</v>
      </c>
      <c r="D140">
        <v>0.99735963139999995</v>
      </c>
      <c r="E140" s="1">
        <v>1.27363805486667E-7</v>
      </c>
      <c r="F140" s="1">
        <v>4.8943362666666504E-7</v>
      </c>
      <c r="G140" s="1">
        <v>4.9371820121232699E-6</v>
      </c>
      <c r="H140" s="1">
        <v>4.9443560580973501E-8</v>
      </c>
      <c r="I140" s="1">
        <v>7.3289041551407694E-8</v>
      </c>
      <c r="J140">
        <v>4</v>
      </c>
      <c r="K140">
        <v>0.2</v>
      </c>
      <c r="L140">
        <v>10</v>
      </c>
      <c r="M140" s="2">
        <f>J140*D140/K140</f>
        <v>19.947192627999996</v>
      </c>
      <c r="N140" s="3">
        <f t="shared" si="98"/>
        <v>1.2736380548666701E-2</v>
      </c>
      <c r="O140" s="3">
        <f t="shared" si="99"/>
        <v>4.8943362666666504E-2</v>
      </c>
      <c r="P140" s="3">
        <f t="shared" si="100"/>
        <v>2.554019663055455E-3</v>
      </c>
      <c r="Q140" s="3">
        <f t="shared" si="101"/>
        <v>9.8145866597717426E-3</v>
      </c>
      <c r="R140">
        <f>1-N129</f>
        <v>3.8066648188525454E-2</v>
      </c>
      <c r="S140" s="3">
        <f>P140*R140</f>
        <v>9.7222967980108326E-5</v>
      </c>
      <c r="T140" s="3">
        <f>Q140*R140</f>
        <v>3.7360841749332609E-4</v>
      </c>
      <c r="AB140" s="1"/>
      <c r="AD140" s="1"/>
      <c r="AE140" s="1"/>
    </row>
    <row r="141" spans="1:51" x14ac:dyDescent="0.2">
      <c r="A141">
        <v>133</v>
      </c>
      <c r="C141" t="s">
        <v>28</v>
      </c>
      <c r="D141">
        <v>1.0015937984000001</v>
      </c>
      <c r="E141" s="1">
        <v>-1.3100902333333299E-6</v>
      </c>
      <c r="F141" s="1">
        <v>-1.7864306051666699E-7</v>
      </c>
      <c r="G141" s="1">
        <v>2.2165043133331598E-6</v>
      </c>
      <c r="H141" s="1">
        <v>8.2076250746560103E-8</v>
      </c>
      <c r="I141" s="1">
        <v>5.2600605212757602E-8</v>
      </c>
      <c r="J141">
        <v>4</v>
      </c>
      <c r="K141">
        <v>0.2</v>
      </c>
      <c r="L141">
        <v>10</v>
      </c>
      <c r="M141" s="2">
        <f>J141*D141/K141</f>
        <v>20.031875968000001</v>
      </c>
      <c r="N141" s="3">
        <f t="shared" si="98"/>
        <v>-0.131009023333333</v>
      </c>
      <c r="O141" s="3">
        <f t="shared" si="99"/>
        <v>-1.7864306051666699E-2</v>
      </c>
      <c r="P141" s="3">
        <f t="shared" si="100"/>
        <v>-2.6160110724050785E-2</v>
      </c>
      <c r="Q141" s="3">
        <f t="shared" si="101"/>
        <v>-3.5671758511692272E-3</v>
      </c>
      <c r="R141">
        <f>1-N130</f>
        <v>-8.8384575603438931E-2</v>
      </c>
      <c r="S141" s="3">
        <f>P141*R141</f>
        <v>2.3121502840842E-3</v>
      </c>
      <c r="T141" s="3">
        <f>Q141*R141</f>
        <v>3.152833237084282E-4</v>
      </c>
      <c r="AB141" s="1"/>
      <c r="AD141" s="1"/>
      <c r="AE141" s="1"/>
    </row>
    <row r="142" spans="1:51" x14ac:dyDescent="0.2">
      <c r="A142">
        <v>134</v>
      </c>
      <c r="C142" t="s">
        <v>86</v>
      </c>
      <c r="D142">
        <v>1.0013404236000001</v>
      </c>
      <c r="E142" s="1">
        <v>-6.4751885000000003E-7</v>
      </c>
      <c r="F142" s="1">
        <v>-4.48348296666667E-7</v>
      </c>
      <c r="G142" s="1">
        <v>2.7175330249371401E-6</v>
      </c>
      <c r="H142" s="1">
        <v>4.4439166164478901E-8</v>
      </c>
      <c r="I142" s="1">
        <v>5.5261838083394599E-8</v>
      </c>
      <c r="J142">
        <v>4</v>
      </c>
      <c r="K142">
        <v>0.2</v>
      </c>
      <c r="L142">
        <v>10</v>
      </c>
      <c r="M142" s="2">
        <f>J142*D142/K142</f>
        <v>20.026808471999999</v>
      </c>
      <c r="N142" s="3">
        <f t="shared" si="98"/>
        <v>-6.4751884999999995E-2</v>
      </c>
      <c r="O142" s="3">
        <f t="shared" si="99"/>
        <v>-4.4834829666666701E-2</v>
      </c>
      <c r="P142" s="3">
        <f t="shared" si="100"/>
        <v>-1.2933041246293695E-2</v>
      </c>
      <c r="Q142" s="3">
        <f t="shared" si="101"/>
        <v>-8.9549624902742625E-3</v>
      </c>
      <c r="R142">
        <f>1-N131</f>
        <v>-7.9379242981447495E-2</v>
      </c>
      <c r="S142" s="3">
        <f>P142*R142</f>
        <v>1.0266150235786298E-3</v>
      </c>
      <c r="T142" s="3">
        <f>Q142*R142</f>
        <v>7.1083814340522887E-4</v>
      </c>
      <c r="U142" s="40">
        <f>SUM(S139:S142)</f>
        <v>3.9673108367433534E-3</v>
      </c>
      <c r="V142" s="40">
        <f>SUM(T139:T142)</f>
        <v>2.4485463460984262E-3</v>
      </c>
      <c r="AB142" s="1"/>
      <c r="AD142" s="1"/>
      <c r="AE142" s="1"/>
    </row>
    <row r="143" spans="1:51" x14ac:dyDescent="0.2">
      <c r="A143">
        <v>135</v>
      </c>
      <c r="C143" t="s">
        <v>87</v>
      </c>
      <c r="D143">
        <v>0.99859575761999997</v>
      </c>
      <c r="E143" s="1">
        <v>-6.3215312833333295E-7</v>
      </c>
      <c r="F143" s="1">
        <v>-4.2784238500000002E-7</v>
      </c>
      <c r="G143" s="1">
        <v>2.1439012232716301E-6</v>
      </c>
      <c r="H143" s="1">
        <v>7.3703101403142199E-8</v>
      </c>
      <c r="I143" s="1">
        <v>5.6432546874093698E-8</v>
      </c>
      <c r="J143">
        <v>4</v>
      </c>
      <c r="K143">
        <v>0.2</v>
      </c>
      <c r="L143">
        <v>10</v>
      </c>
      <c r="M143" s="2">
        <f>J143*D143/K143</f>
        <v>19.971915152399998</v>
      </c>
      <c r="N143" s="3">
        <f t="shared" si="98"/>
        <v>-6.3215312833333287E-2</v>
      </c>
      <c r="O143" s="3">
        <f t="shared" si="99"/>
        <v>-4.2784238500000002E-2</v>
      </c>
      <c r="P143" s="3">
        <f t="shared" si="100"/>
        <v>-1.2660841456806769E-2</v>
      </c>
      <c r="Q143" s="3">
        <f t="shared" si="101"/>
        <v>-8.5688804851263706E-3</v>
      </c>
      <c r="U143" s="156">
        <f>'Data(2000)'!U142</f>
        <v>-3.3986827359856458E-3</v>
      </c>
      <c r="V143" s="156">
        <f>'Data(2000)'!V142</f>
        <v>-7.297072886064429E-4</v>
      </c>
    </row>
    <row r="144" spans="1:51" x14ac:dyDescent="0.2">
      <c r="A144">
        <v>136</v>
      </c>
      <c r="X144" s="163">
        <v>41319</v>
      </c>
      <c r="Y144" s="158" t="s">
        <v>484</v>
      </c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  <c r="AP144" s="146"/>
      <c r="AQ144" s="146"/>
      <c r="AR144" s="146"/>
      <c r="AS144" s="146"/>
      <c r="AT144" s="146"/>
      <c r="AU144" s="146"/>
      <c r="AV144" s="146"/>
      <c r="AW144" s="146"/>
      <c r="AX144" s="146"/>
      <c r="AY144" s="146"/>
    </row>
    <row r="145" spans="1:51" x14ac:dyDescent="0.2">
      <c r="A145">
        <v>137</v>
      </c>
      <c r="B145" s="163">
        <v>41320</v>
      </c>
      <c r="C145" s="5" t="s">
        <v>91</v>
      </c>
      <c r="J145" s="5" t="s">
        <v>18</v>
      </c>
      <c r="K145" s="5" t="s">
        <v>2</v>
      </c>
      <c r="L145" s="5" t="s">
        <v>3</v>
      </c>
      <c r="M145" s="5" t="s">
        <v>180</v>
      </c>
      <c r="N145" s="13" t="s">
        <v>246</v>
      </c>
      <c r="O145" s="13"/>
      <c r="P145" s="13" t="s">
        <v>245</v>
      </c>
      <c r="Q145" s="13"/>
      <c r="S145" s="5" t="s">
        <v>318</v>
      </c>
      <c r="T145" s="5" t="s">
        <v>318</v>
      </c>
      <c r="U145" s="307" t="s">
        <v>109</v>
      </c>
      <c r="V145" s="307"/>
      <c r="X145" s="146"/>
      <c r="Y145" s="146"/>
      <c r="Z145" s="146"/>
      <c r="AA145" s="146"/>
      <c r="AB145" s="146"/>
      <c r="AC145" s="146"/>
      <c r="AD145" s="146"/>
      <c r="AE145" s="146"/>
      <c r="AF145" s="158" t="s">
        <v>91</v>
      </c>
      <c r="AG145" s="146"/>
      <c r="AH145" s="146"/>
      <c r="AI145" s="146"/>
      <c r="AJ145" s="146"/>
      <c r="AK145" s="146"/>
      <c r="AL145" s="146"/>
      <c r="AM145" s="158" t="s">
        <v>18</v>
      </c>
      <c r="AN145" s="158" t="s">
        <v>2</v>
      </c>
      <c r="AO145" s="158" t="s">
        <v>3</v>
      </c>
      <c r="AP145" s="158" t="s">
        <v>180</v>
      </c>
      <c r="AQ145" s="159" t="s">
        <v>246</v>
      </c>
      <c r="AR145" s="159"/>
      <c r="AS145" s="159" t="s">
        <v>245</v>
      </c>
      <c r="AT145" s="159"/>
      <c r="AU145" s="146"/>
      <c r="AV145" s="158" t="s">
        <v>318</v>
      </c>
      <c r="AW145" s="158" t="s">
        <v>318</v>
      </c>
      <c r="AX145" s="309" t="s">
        <v>109</v>
      </c>
      <c r="AY145" s="309"/>
    </row>
    <row r="146" spans="1:51" x14ac:dyDescent="0.2">
      <c r="A146">
        <v>138</v>
      </c>
      <c r="B146" s="146" t="s">
        <v>460</v>
      </c>
      <c r="C146" s="157" t="s">
        <v>464</v>
      </c>
      <c r="N146" t="s">
        <v>247</v>
      </c>
      <c r="O146" t="s">
        <v>248</v>
      </c>
      <c r="P146" t="s">
        <v>107</v>
      </c>
      <c r="Q146" t="s">
        <v>108</v>
      </c>
      <c r="R146" t="s">
        <v>320</v>
      </c>
      <c r="S146" t="s">
        <v>98</v>
      </c>
      <c r="T146" t="s">
        <v>99</v>
      </c>
      <c r="U146" t="s">
        <v>98</v>
      </c>
      <c r="V146" t="s">
        <v>99</v>
      </c>
      <c r="X146" s="141" t="s">
        <v>459</v>
      </c>
      <c r="Y146" s="146"/>
      <c r="Z146" s="146"/>
      <c r="AA146" s="146"/>
      <c r="AB146" s="146"/>
      <c r="AC146" s="146"/>
      <c r="AD146" s="146"/>
      <c r="AE146" s="146"/>
      <c r="AF146" s="141" t="s">
        <v>458</v>
      </c>
      <c r="AG146" s="146"/>
      <c r="AH146" s="146"/>
      <c r="AI146" s="146"/>
      <c r="AJ146" s="146"/>
      <c r="AK146" s="146"/>
      <c r="AL146" s="146"/>
      <c r="AM146" s="146"/>
      <c r="AN146" s="146"/>
      <c r="AO146" s="146"/>
      <c r="AP146" s="146"/>
      <c r="AQ146" s="146" t="s">
        <v>247</v>
      </c>
      <c r="AR146" s="146" t="s">
        <v>248</v>
      </c>
      <c r="AS146" s="146" t="s">
        <v>107</v>
      </c>
      <c r="AT146" s="146" t="s">
        <v>108</v>
      </c>
      <c r="AU146" s="146" t="s">
        <v>320</v>
      </c>
      <c r="AV146" s="146" t="s">
        <v>98</v>
      </c>
      <c r="AW146" s="146" t="s">
        <v>99</v>
      </c>
      <c r="AX146" s="146" t="s">
        <v>98</v>
      </c>
      <c r="AY146" s="146" t="s">
        <v>99</v>
      </c>
    </row>
    <row r="147" spans="1:51" x14ac:dyDescent="0.2">
      <c r="A147">
        <v>139</v>
      </c>
      <c r="B147" s="146" t="s">
        <v>461</v>
      </c>
      <c r="C147" t="s">
        <v>26</v>
      </c>
      <c r="D147">
        <v>1.011685355</v>
      </c>
      <c r="E147" s="1">
        <v>1.47276436666667E-6</v>
      </c>
      <c r="F147" s="1">
        <v>8.3777067833333297E-7</v>
      </c>
      <c r="G147" s="1">
        <v>1.2371379043499E-5</v>
      </c>
      <c r="H147" s="1">
        <v>5.0014543714125998E-8</v>
      </c>
      <c r="I147" s="1">
        <v>5.98958721992164E-8</v>
      </c>
      <c r="J147">
        <v>4</v>
      </c>
      <c r="K147">
        <v>0.2</v>
      </c>
      <c r="L147">
        <v>10</v>
      </c>
      <c r="M147" s="2">
        <f t="shared" ref="M147:M152" si="102">J147*D147/K147</f>
        <v>20.2337071</v>
      </c>
      <c r="N147" s="3">
        <f t="shared" ref="N147:N152" si="103">1000000*E147/L147</f>
        <v>0.14727643666666701</v>
      </c>
      <c r="O147" s="3">
        <f t="shared" ref="O147:O152" si="104">1000000*F147/L147</f>
        <v>8.3777067833333302E-2</v>
      </c>
      <c r="P147" s="3">
        <f t="shared" ref="P147:P152" si="105">J147*N147/M147</f>
        <v>2.9115067434512188E-2</v>
      </c>
      <c r="Q147" s="3">
        <f t="shared" ref="Q147:Q152" si="106">O147*J147/M147</f>
        <v>1.6561882094919385E-2</v>
      </c>
      <c r="X147" s="146">
        <v>1.014558904</v>
      </c>
      <c r="Y147" s="142">
        <v>2.1211680000000001E-6</v>
      </c>
      <c r="Z147" s="142">
        <v>1.39516286666667E-6</v>
      </c>
      <c r="AA147" s="142">
        <v>1.83147010546136E-6</v>
      </c>
      <c r="AB147" s="142">
        <v>8.7351185004364597E-8</v>
      </c>
      <c r="AC147" s="142">
        <v>9.1863616908738204E-9</v>
      </c>
      <c r="AD147" s="146"/>
      <c r="AE147" s="146"/>
      <c r="AF147" s="146" t="s">
        <v>26</v>
      </c>
      <c r="AG147" s="146">
        <v>1.0187927116</v>
      </c>
      <c r="AH147" s="142">
        <v>-1.9548705833333399E-6</v>
      </c>
      <c r="AI147" s="142">
        <v>-1.13458260833333E-6</v>
      </c>
      <c r="AJ147" s="142">
        <v>1.16299421973812E-6</v>
      </c>
      <c r="AK147" s="142">
        <v>6.7171138858091794E-8</v>
      </c>
      <c r="AL147" s="142">
        <v>6.2674007912091703E-8</v>
      </c>
      <c r="AM147" s="146">
        <v>4</v>
      </c>
      <c r="AN147" s="146">
        <v>0.2</v>
      </c>
      <c r="AO147" s="146">
        <v>10</v>
      </c>
      <c r="AP147" s="143">
        <f>AM147*AG147/AN147</f>
        <v>20.375854231999998</v>
      </c>
      <c r="AQ147" s="144">
        <f>1000000*AH147/AO147</f>
        <v>-0.19548705833333399</v>
      </c>
      <c r="AR147" s="144">
        <f>1000000*AI147/AO147</f>
        <v>-0.11345826083333302</v>
      </c>
      <c r="AS147" s="144">
        <f>AM147*AQ147/AP147</f>
        <v>-3.8376218460833757E-2</v>
      </c>
      <c r="AT147" s="144">
        <f>AR147*AM147/AP147</f>
        <v>-2.2273080586756137E-2</v>
      </c>
      <c r="AU147" s="146"/>
      <c r="AV147" s="146"/>
      <c r="AW147" s="146"/>
      <c r="AX147" s="146"/>
      <c r="AY147" s="146"/>
    </row>
    <row r="148" spans="1:51" x14ac:dyDescent="0.2">
      <c r="A148">
        <v>140</v>
      </c>
      <c r="B148" s="146" t="s">
        <v>462</v>
      </c>
      <c r="C148" t="s">
        <v>83</v>
      </c>
      <c r="D148">
        <v>1.0013689938000001</v>
      </c>
      <c r="E148" s="1">
        <v>2.3617208666666601E-6</v>
      </c>
      <c r="F148" s="1">
        <v>1.07076411666667E-6</v>
      </c>
      <c r="G148" s="1">
        <v>1.1239721754645599E-5</v>
      </c>
      <c r="H148" s="1">
        <v>1.0634892439316099E-7</v>
      </c>
      <c r="I148" s="1">
        <v>7.3185795629250005E-8</v>
      </c>
      <c r="J148">
        <v>4</v>
      </c>
      <c r="K148">
        <v>0.2</v>
      </c>
      <c r="L148">
        <v>10</v>
      </c>
      <c r="M148" s="2">
        <f t="shared" si="102"/>
        <v>20.027379876000001</v>
      </c>
      <c r="N148" s="3">
        <f t="shared" si="103"/>
        <v>0.23617208666666603</v>
      </c>
      <c r="O148" s="3">
        <f t="shared" si="104"/>
        <v>0.107076411666667</v>
      </c>
      <c r="P148" s="3">
        <f t="shared" si="105"/>
        <v>4.7169842111934986E-2</v>
      </c>
      <c r="Q148" s="3">
        <f t="shared" si="106"/>
        <v>2.1386005025047339E-2</v>
      </c>
      <c r="X148" s="146">
        <v>1.0103755733999999</v>
      </c>
      <c r="Y148" s="142">
        <v>3.1208275666666599E-6</v>
      </c>
      <c r="Z148" s="142">
        <v>1.67990835E-6</v>
      </c>
      <c r="AA148" s="142">
        <v>2.66618813473165E-6</v>
      </c>
      <c r="AB148" s="142">
        <v>6.6756668459005295E-8</v>
      </c>
      <c r="AC148" s="142">
        <v>5.4941039352298702E-8</v>
      </c>
      <c r="AD148" s="146"/>
      <c r="AE148" s="146"/>
      <c r="AF148" s="146" t="s">
        <v>83</v>
      </c>
      <c r="AG148" s="146">
        <v>1.0163614379999999</v>
      </c>
      <c r="AH148" s="142">
        <v>-2.91386141666667E-6</v>
      </c>
      <c r="AI148" s="142">
        <v>-1.3622729450000001E-6</v>
      </c>
      <c r="AJ148" s="142">
        <v>1.21765078338572E-6</v>
      </c>
      <c r="AK148" s="142">
        <v>8.7848663001549001E-8</v>
      </c>
      <c r="AL148" s="142">
        <v>9.2199479853207296E-8</v>
      </c>
      <c r="AM148" s="146">
        <v>4</v>
      </c>
      <c r="AN148" s="146">
        <v>0.2</v>
      </c>
      <c r="AO148" s="146">
        <v>10</v>
      </c>
      <c r="AP148" s="143">
        <f>AM148*AG148/AN148</f>
        <v>20.327228759999997</v>
      </c>
      <c r="AQ148" s="144">
        <f>1000000*AH148/AO148</f>
        <v>-0.29138614166666699</v>
      </c>
      <c r="AR148" s="144">
        <f>1000000*AI148/AO148</f>
        <v>-0.13622729450000001</v>
      </c>
      <c r="AS148" s="144">
        <f>AM148*AQ148/AP148</f>
        <v>-5.7339078554585428E-2</v>
      </c>
      <c r="AT148" s="144">
        <f>AR148*AM148/AP148</f>
        <v>-2.6806860120169185E-2</v>
      </c>
      <c r="AU148" s="146"/>
      <c r="AV148" s="146"/>
      <c r="AW148" s="146"/>
      <c r="AX148" s="146"/>
      <c r="AY148" s="146"/>
    </row>
    <row r="149" spans="1:51" x14ac:dyDescent="0.2">
      <c r="A149">
        <v>141</v>
      </c>
      <c r="B149" s="146" t="s">
        <v>463</v>
      </c>
      <c r="E149" s="1"/>
      <c r="F149" s="1"/>
      <c r="G149" s="1"/>
      <c r="H149" s="1"/>
      <c r="I149" s="1"/>
      <c r="M149" s="2"/>
      <c r="N149" s="3"/>
      <c r="O149" s="3"/>
      <c r="P149" s="3"/>
      <c r="Q149" s="3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2"/>
      <c r="AI149" s="142"/>
      <c r="AJ149" s="142"/>
      <c r="AK149" s="142"/>
      <c r="AL149" s="142"/>
      <c r="AM149" s="146"/>
      <c r="AN149" s="146"/>
      <c r="AO149" s="146"/>
      <c r="AP149" s="143"/>
      <c r="AQ149" s="144"/>
      <c r="AR149" s="144"/>
      <c r="AS149" s="144"/>
      <c r="AT149" s="144"/>
      <c r="AU149" s="146"/>
      <c r="AV149" s="146"/>
      <c r="AW149" s="146"/>
      <c r="AX149" s="146"/>
      <c r="AY149" s="146"/>
    </row>
    <row r="150" spans="1:51" x14ac:dyDescent="0.2">
      <c r="A150">
        <v>142</v>
      </c>
      <c r="B150" s="146"/>
      <c r="C150" t="s">
        <v>26</v>
      </c>
      <c r="D150">
        <v>1.003048202</v>
      </c>
      <c r="E150" s="1">
        <v>1.4625626333333399E-6</v>
      </c>
      <c r="F150" s="1">
        <v>8.7027061833333498E-7</v>
      </c>
      <c r="G150" s="1">
        <v>1.36947618427354E-5</v>
      </c>
      <c r="H150" s="1">
        <v>6.5985459181541596E-8</v>
      </c>
      <c r="I150" s="1">
        <v>7.0293074387068894E-8</v>
      </c>
      <c r="J150">
        <v>4</v>
      </c>
      <c r="K150">
        <v>0.2</v>
      </c>
      <c r="L150">
        <v>10</v>
      </c>
      <c r="M150" s="2">
        <f t="shared" si="102"/>
        <v>20.060964039999998</v>
      </c>
      <c r="N150" s="3">
        <f t="shared" si="103"/>
        <v>0.146256263333334</v>
      </c>
      <c r="O150" s="3">
        <f t="shared" si="104"/>
        <v>8.7027061833333502E-2</v>
      </c>
      <c r="P150" s="3">
        <f t="shared" si="105"/>
        <v>2.9162359902886105E-2</v>
      </c>
      <c r="Q150" s="3">
        <f t="shared" si="106"/>
        <v>1.7352518385419229E-2</v>
      </c>
      <c r="R150">
        <f>1-N158</f>
        <v>2.230831742801509E-2</v>
      </c>
      <c r="S150" s="3">
        <f>P150*R150</f>
        <v>6.5056318166360251E-4</v>
      </c>
      <c r="T150" s="3">
        <f>Q150*R150</f>
        <v>3.8710548831740003E-4</v>
      </c>
      <c r="X150" s="146">
        <v>1.00939062</v>
      </c>
      <c r="Y150" s="142">
        <v>2.1072331333333199E-6</v>
      </c>
      <c r="Z150" s="142">
        <v>1.37854679999999E-6</v>
      </c>
      <c r="AA150" s="142">
        <v>4.9714610804830697E-6</v>
      </c>
      <c r="AB150" s="142">
        <v>4.3815856679010397E-8</v>
      </c>
      <c r="AC150" s="142">
        <v>5.9257523104047301E-8</v>
      </c>
      <c r="AD150" s="146"/>
      <c r="AE150" s="146"/>
      <c r="AF150" s="146" t="s">
        <v>26</v>
      </c>
      <c r="AG150" s="146">
        <v>1.0165770573999999</v>
      </c>
      <c r="AH150" s="142">
        <v>-1.9553179666666699E-6</v>
      </c>
      <c r="AI150" s="142">
        <v>-1.12862257E-6</v>
      </c>
      <c r="AJ150" s="142">
        <v>9.2659273867664408E-6</v>
      </c>
      <c r="AK150" s="142">
        <v>2.9781250643073301E-8</v>
      </c>
      <c r="AL150" s="142">
        <v>4.6501540462710502E-8</v>
      </c>
      <c r="AM150" s="146">
        <v>4</v>
      </c>
      <c r="AN150" s="146">
        <v>0.2</v>
      </c>
      <c r="AO150" s="146">
        <v>10</v>
      </c>
      <c r="AP150" s="143">
        <f>AM150*AG150/AN150</f>
        <v>20.331541147999996</v>
      </c>
      <c r="AQ150" s="144">
        <f>1000000*AH150/AO150</f>
        <v>-0.19553179666666698</v>
      </c>
      <c r="AR150" s="144">
        <f>1000000*AI150/AO150</f>
        <v>-0.11286225700000001</v>
      </c>
      <c r="AS150" s="144">
        <f>AM150*AQ150/AP150</f>
        <v>-3.8468662113378717E-2</v>
      </c>
      <c r="AT150" s="144">
        <f>AR150*AM150/AP150</f>
        <v>-2.2204368311961872E-2</v>
      </c>
      <c r="AU150" s="146">
        <f>1-AQ158</f>
        <v>0.28149669790948506</v>
      </c>
      <c r="AV150" s="144">
        <f>AS150*AU150</f>
        <v>-1.0828801357911822E-2</v>
      </c>
      <c r="AW150" s="144">
        <f>AT150*AU150</f>
        <v>-6.2504563589832734E-3</v>
      </c>
      <c r="AX150" s="146"/>
      <c r="AY150" s="146"/>
    </row>
    <row r="151" spans="1:51" x14ac:dyDescent="0.2">
      <c r="A151">
        <v>143</v>
      </c>
      <c r="C151" t="s">
        <v>85</v>
      </c>
      <c r="D151">
        <v>1.0150417786000001</v>
      </c>
      <c r="E151" s="1">
        <v>1.4698600666666701E-6</v>
      </c>
      <c r="F151" s="1">
        <v>5.5131847833333301E-7</v>
      </c>
      <c r="G151" s="1">
        <v>5.2717347008347204E-6</v>
      </c>
      <c r="H151" s="1">
        <v>1.4985714426522601E-7</v>
      </c>
      <c r="I151" s="1">
        <v>8.2919495889665093E-8</v>
      </c>
      <c r="J151">
        <v>4</v>
      </c>
      <c r="K151">
        <v>0.2</v>
      </c>
      <c r="L151">
        <v>10</v>
      </c>
      <c r="M151" s="2">
        <f t="shared" si="102"/>
        <v>20.300835572</v>
      </c>
      <c r="N151" s="3">
        <f t="shared" si="103"/>
        <v>0.146986006666667</v>
      </c>
      <c r="O151" s="3">
        <f t="shared" si="104"/>
        <v>5.5131847833333303E-2</v>
      </c>
      <c r="P151" s="3">
        <f t="shared" si="105"/>
        <v>2.8961567841945968E-2</v>
      </c>
      <c r="Q151" s="3">
        <f t="shared" si="106"/>
        <v>1.0862971159546575E-2</v>
      </c>
      <c r="R151">
        <f>1-N159</f>
        <v>3.7692072222329953E-2</v>
      </c>
      <c r="S151" s="3">
        <f>P151*R151</f>
        <v>1.091621506770536E-3</v>
      </c>
      <c r="T151" s="3">
        <f>Q151*R151</f>
        <v>4.0944789349471686E-4</v>
      </c>
      <c r="X151" s="146">
        <v>1.0112623288</v>
      </c>
      <c r="Y151" s="142">
        <v>2.0864959333333301E-6</v>
      </c>
      <c r="Z151" s="142">
        <v>1.03603556166667E-6</v>
      </c>
      <c r="AA151" s="142">
        <v>2.1413680775004199E-6</v>
      </c>
      <c r="AB151" s="142">
        <v>3.7980287831920803E-8</v>
      </c>
      <c r="AC151" s="142">
        <v>4.44629378927318E-8</v>
      </c>
      <c r="AD151" s="146"/>
      <c r="AE151" s="146"/>
      <c r="AF151" s="146" t="s">
        <v>85</v>
      </c>
      <c r="AG151" s="146">
        <v>1.0056459468000001</v>
      </c>
      <c r="AH151" s="142">
        <v>-1.8232392000000001E-6</v>
      </c>
      <c r="AI151" s="142">
        <v>-7.0351799499999902E-7</v>
      </c>
      <c r="AJ151" s="142">
        <v>3.25702465102424E-6</v>
      </c>
      <c r="AK151" s="142">
        <v>8.7956206195810806E-8</v>
      </c>
      <c r="AL151" s="142">
        <v>7.9879483246043803E-8</v>
      </c>
      <c r="AM151" s="146">
        <v>4</v>
      </c>
      <c r="AN151" s="146">
        <v>0.2</v>
      </c>
      <c r="AO151" s="146">
        <v>10</v>
      </c>
      <c r="AP151" s="143">
        <f>AM151*AG151/AN151</f>
        <v>20.112918936</v>
      </c>
      <c r="AQ151" s="144">
        <f>1000000*AH151/AO151</f>
        <v>-0.18232392000000003</v>
      </c>
      <c r="AR151" s="144">
        <f>1000000*AI151/AO151</f>
        <v>-7.0351799499999895E-2</v>
      </c>
      <c r="AS151" s="144">
        <f>AM151*AQ151/AP151</f>
        <v>-3.6260061621122427E-2</v>
      </c>
      <c r="AT151" s="144">
        <f>AR151*AM151/AP151</f>
        <v>-1.399136539531865E-2</v>
      </c>
      <c r="AU151" s="146">
        <f>1-AQ159</f>
        <v>0.50962389241493389</v>
      </c>
      <c r="AV151" s="144">
        <f>AS151*AU151</f>
        <v>-1.8478993742561768E-2</v>
      </c>
      <c r="AW151" s="144">
        <f>AT151*AU151</f>
        <v>-7.1303340929619007E-3</v>
      </c>
      <c r="AX151" s="146"/>
      <c r="AY151" s="146"/>
    </row>
    <row r="152" spans="1:51" x14ac:dyDescent="0.2">
      <c r="A152">
        <v>144</v>
      </c>
      <c r="C152" t="s">
        <v>28</v>
      </c>
      <c r="D152">
        <v>1.0508021031999999</v>
      </c>
      <c r="E152" s="1">
        <v>6.4280052500000001E-7</v>
      </c>
      <c r="F152" s="1">
        <v>3.9621259666666598E-7</v>
      </c>
      <c r="G152" s="1">
        <v>3.9442732625482796E-6</v>
      </c>
      <c r="H152" s="1">
        <v>4.7939186471848997E-8</v>
      </c>
      <c r="I152" s="1">
        <v>5.5319842752885597E-8</v>
      </c>
      <c r="J152">
        <v>4</v>
      </c>
      <c r="K152">
        <v>0.2</v>
      </c>
      <c r="L152">
        <v>10</v>
      </c>
      <c r="M152" s="2">
        <f t="shared" si="102"/>
        <v>21.016042063999997</v>
      </c>
      <c r="N152" s="3">
        <f t="shared" si="103"/>
        <v>6.428005249999999E-2</v>
      </c>
      <c r="O152" s="3">
        <f t="shared" si="104"/>
        <v>3.9621259666666596E-2</v>
      </c>
      <c r="P152" s="3">
        <f t="shared" si="105"/>
        <v>1.2234473513946808E-2</v>
      </c>
      <c r="Q152" s="3">
        <f t="shared" si="106"/>
        <v>7.5411458629571198E-3</v>
      </c>
      <c r="R152">
        <f>1-N160</f>
        <v>-1.3829471051927777E-2</v>
      </c>
      <c r="S152" s="3">
        <f>P152*R152</f>
        <v>-1.6919629729670449E-4</v>
      </c>
      <c r="T152" s="3">
        <f>Q152*R152</f>
        <v>-1.042900584101304E-4</v>
      </c>
      <c r="U152" s="40">
        <f>SUM(S150:S152)</f>
        <v>1.5729883911374341E-3</v>
      </c>
      <c r="V152" s="40">
        <f>SUM(T150:T152)</f>
        <v>6.9226332340198643E-4</v>
      </c>
      <c r="X152" s="146">
        <v>1.0574941222000001</v>
      </c>
      <c r="Y152" s="142">
        <v>9.6300624333333205E-7</v>
      </c>
      <c r="Z152" s="142">
        <v>6.6774955999999997E-7</v>
      </c>
      <c r="AA152" s="142">
        <v>1.7392401168829701E-6</v>
      </c>
      <c r="AB152" s="142">
        <v>2.5785457134027902E-8</v>
      </c>
      <c r="AC152" s="142">
        <v>3.84990085658025E-8</v>
      </c>
      <c r="AD152" s="146"/>
      <c r="AE152" s="146"/>
      <c r="AF152" s="146" t="s">
        <v>28</v>
      </c>
      <c r="AG152" s="146">
        <v>1.0572890492</v>
      </c>
      <c r="AH152" s="142">
        <v>-8.1461024666666703E-7</v>
      </c>
      <c r="AI152" s="142">
        <v>-4.7919614333333403E-7</v>
      </c>
      <c r="AJ152" s="142">
        <v>5.4540581477704602E-6</v>
      </c>
      <c r="AK152" s="142">
        <v>3.8499557009518402E-8</v>
      </c>
      <c r="AL152" s="142">
        <v>4.8103208078215801E-8</v>
      </c>
      <c r="AM152" s="146">
        <v>4</v>
      </c>
      <c r="AN152" s="146">
        <v>0.2</v>
      </c>
      <c r="AO152" s="146">
        <v>10</v>
      </c>
      <c r="AP152" s="143">
        <f>AM152*AG152/AN152</f>
        <v>21.145780983999998</v>
      </c>
      <c r="AQ152" s="144">
        <f>1000000*AH152/AO152</f>
        <v>-8.1461024666666701E-2</v>
      </c>
      <c r="AR152" s="144">
        <f>1000000*AI152/AO152</f>
        <v>-4.7919614333333402E-2</v>
      </c>
      <c r="AS152" s="144">
        <f>AM152*AQ152/AP152</f>
        <v>-1.5409414242643365E-2</v>
      </c>
      <c r="AT152" s="144">
        <f>AR152*AM152/AP152</f>
        <v>-9.064619437719872E-3</v>
      </c>
      <c r="AU152" s="146">
        <f>1-AQ160</f>
        <v>-5.6924933614754369E-2</v>
      </c>
      <c r="AV152" s="144">
        <f>AS152*AU152</f>
        <v>8.7717988280472403E-4</v>
      </c>
      <c r="AW152" s="144">
        <f>AT152*AU152</f>
        <v>5.1600285973521574E-4</v>
      </c>
      <c r="AX152" s="160">
        <f>SUM(AV150:AV152)</f>
        <v>-2.8430615217668868E-2</v>
      </c>
      <c r="AY152" s="160">
        <f>SUM(AW150:AW152)</f>
        <v>-1.2864787592209959E-2</v>
      </c>
    </row>
    <row r="153" spans="1:51" x14ac:dyDescent="0.2">
      <c r="A153">
        <v>145</v>
      </c>
      <c r="G153" s="1"/>
      <c r="H153" s="1"/>
      <c r="I153" s="1"/>
      <c r="M153" s="2"/>
      <c r="N153" s="3"/>
      <c r="O153" s="3"/>
      <c r="U153" s="156">
        <f>'Data(2000)'!U152</f>
        <v>4.887680790284509E-3</v>
      </c>
      <c r="V153" s="156">
        <f>'Data(2000)'!V152</f>
        <v>-3.4943969746398093E-3</v>
      </c>
      <c r="AF153" s="146"/>
      <c r="AG153" s="146"/>
      <c r="AH153" s="146"/>
      <c r="AI153" s="146"/>
      <c r="AJ153" s="142"/>
      <c r="AK153" s="142"/>
      <c r="AL153" s="142"/>
      <c r="AM153" s="146"/>
      <c r="AN153" s="146"/>
      <c r="AO153" s="146"/>
      <c r="AP153" s="143"/>
      <c r="AQ153" s="144"/>
      <c r="AR153" s="144"/>
      <c r="AS153" s="146"/>
      <c r="AT153" s="146"/>
      <c r="AU153" s="146"/>
      <c r="AV153" s="146"/>
      <c r="AW153" s="146"/>
      <c r="AX153" s="161"/>
      <c r="AY153" s="161"/>
    </row>
    <row r="154" spans="1:51" x14ac:dyDescent="0.2">
      <c r="A154">
        <v>146</v>
      </c>
      <c r="G154" s="1"/>
      <c r="H154" s="1"/>
      <c r="I154" s="1"/>
      <c r="M154" s="2"/>
      <c r="N154" s="3"/>
      <c r="O154" s="3"/>
      <c r="AF154" s="146"/>
      <c r="AG154" s="146"/>
      <c r="AH154" s="146"/>
      <c r="AI154" s="146"/>
      <c r="AJ154" s="142"/>
      <c r="AK154" s="142"/>
      <c r="AL154" s="142"/>
      <c r="AM154" s="146"/>
      <c r="AN154" s="146"/>
      <c r="AO154" s="146"/>
      <c r="AP154" s="143"/>
      <c r="AQ154" s="144"/>
      <c r="AR154" s="144"/>
      <c r="AS154" s="146"/>
      <c r="AT154" s="146"/>
      <c r="AU154" s="146"/>
      <c r="AV154" s="146"/>
      <c r="AW154" s="146"/>
      <c r="AX154" s="146"/>
      <c r="AY154" s="146"/>
    </row>
    <row r="155" spans="1:51" x14ac:dyDescent="0.2">
      <c r="A155">
        <v>147</v>
      </c>
      <c r="C155" s="5" t="s">
        <v>92</v>
      </c>
      <c r="H155" t="s">
        <v>50</v>
      </c>
      <c r="I155" t="s">
        <v>51</v>
      </c>
      <c r="J155" t="s">
        <v>53</v>
      </c>
      <c r="L155" t="s">
        <v>54</v>
      </c>
      <c r="M155" t="s">
        <v>58</v>
      </c>
      <c r="N155" t="s">
        <v>56</v>
      </c>
      <c r="AF155" s="158" t="s">
        <v>92</v>
      </c>
      <c r="AG155" s="146"/>
      <c r="AH155" s="146"/>
      <c r="AI155" s="146"/>
      <c r="AJ155" s="146"/>
      <c r="AK155" s="146" t="s">
        <v>50</v>
      </c>
      <c r="AL155" s="146" t="s">
        <v>51</v>
      </c>
      <c r="AM155" s="146" t="s">
        <v>53</v>
      </c>
      <c r="AN155" s="146"/>
      <c r="AO155" s="146" t="s">
        <v>54</v>
      </c>
      <c r="AP155" s="146" t="s">
        <v>58</v>
      </c>
      <c r="AQ155" s="146" t="s">
        <v>56</v>
      </c>
      <c r="AR155" s="146"/>
      <c r="AS155" s="146"/>
      <c r="AT155" s="146"/>
      <c r="AU155" s="146"/>
      <c r="AV155" s="146"/>
      <c r="AW155" s="146"/>
      <c r="AX155" s="146"/>
      <c r="AY155" s="146"/>
    </row>
    <row r="156" spans="1:51" x14ac:dyDescent="0.2">
      <c r="A156">
        <v>148</v>
      </c>
      <c r="F156" t="s">
        <v>172</v>
      </c>
      <c r="G156" t="s">
        <v>32</v>
      </c>
      <c r="H156" t="s">
        <v>16</v>
      </c>
      <c r="I156" t="s">
        <v>52</v>
      </c>
      <c r="J156" t="s">
        <v>54</v>
      </c>
      <c r="K156" t="s">
        <v>55</v>
      </c>
      <c r="L156" t="s">
        <v>57</v>
      </c>
      <c r="M156" t="s">
        <v>57</v>
      </c>
      <c r="N156" t="s">
        <v>59</v>
      </c>
      <c r="V156">
        <v>1.1960680354</v>
      </c>
      <c r="W156" s="1">
        <v>-9.8374567666666606E-7</v>
      </c>
      <c r="X156" s="1">
        <v>-1.56161221666667E-6</v>
      </c>
      <c r="Y156" s="1">
        <v>3.8106708815205699E-6</v>
      </c>
      <c r="Z156" s="1">
        <v>4.0688636322263999E-8</v>
      </c>
      <c r="AA156" s="1">
        <v>2.1216666520758099E-8</v>
      </c>
      <c r="AF156" s="146"/>
      <c r="AG156" s="146"/>
      <c r="AH156" s="146"/>
      <c r="AI156" s="146" t="s">
        <v>172</v>
      </c>
      <c r="AJ156" s="146" t="s">
        <v>32</v>
      </c>
      <c r="AK156" s="146" t="s">
        <v>16</v>
      </c>
      <c r="AL156" s="146" t="s">
        <v>52</v>
      </c>
      <c r="AM156" s="146" t="s">
        <v>54</v>
      </c>
      <c r="AN156" s="146" t="s">
        <v>55</v>
      </c>
      <c r="AO156" s="146" t="s">
        <v>57</v>
      </c>
      <c r="AP156" s="146" t="s">
        <v>57</v>
      </c>
      <c r="AQ156" s="146" t="s">
        <v>59</v>
      </c>
      <c r="AR156" s="146"/>
      <c r="AS156" s="146"/>
      <c r="AT156" s="146"/>
      <c r="AU156" s="146"/>
      <c r="AV156" s="146"/>
      <c r="AW156" s="146"/>
      <c r="AX156" s="146"/>
      <c r="AY156" s="146"/>
    </row>
    <row r="157" spans="1:51" x14ac:dyDescent="0.2">
      <c r="A157">
        <v>149</v>
      </c>
      <c r="C157" t="s">
        <v>45</v>
      </c>
      <c r="D157">
        <v>1.00532</v>
      </c>
      <c r="E157">
        <v>0.35792000000000002</v>
      </c>
      <c r="F157">
        <f>E157/D157</f>
        <v>0.35602594198862053</v>
      </c>
      <c r="G157">
        <v>0.2</v>
      </c>
      <c r="H157">
        <f>0.268/G157</f>
        <v>1.34</v>
      </c>
      <c r="I157">
        <f>H157+1</f>
        <v>2.34</v>
      </c>
      <c r="J157">
        <f>F157-K157*I157/20</f>
        <v>0.23902594198862054</v>
      </c>
      <c r="K157">
        <v>1</v>
      </c>
      <c r="L157">
        <f>J157</f>
        <v>0.23902594198862054</v>
      </c>
      <c r="M157" s="15">
        <f>1/L157</f>
        <v>4.1836463091843292</v>
      </c>
      <c r="N157">
        <f>4*M157/SUM($M$157:$M$160)</f>
        <v>1.0461709185984169</v>
      </c>
      <c r="V157">
        <v>1.00027461</v>
      </c>
      <c r="W157" s="1">
        <v>-8.7450099166666697E-7</v>
      </c>
      <c r="X157" s="1">
        <v>-1.35873898333333E-6</v>
      </c>
      <c r="Y157" s="1">
        <v>5.1117408576711802E-7</v>
      </c>
      <c r="Z157" s="1">
        <v>4.0751274713947303E-8</v>
      </c>
      <c r="AA157" s="1">
        <v>9.5421023114055099E-8</v>
      </c>
      <c r="AF157" s="146" t="s">
        <v>45</v>
      </c>
      <c r="AG157" s="146">
        <v>1.05061</v>
      </c>
      <c r="AH157" s="146">
        <v>0.38938</v>
      </c>
      <c r="AI157" s="146">
        <f>AH157/AG157</f>
        <v>0.37062278105100843</v>
      </c>
      <c r="AJ157" s="146">
        <v>0.2</v>
      </c>
      <c r="AK157" s="146">
        <f>0.268/AJ157</f>
        <v>1.34</v>
      </c>
      <c r="AL157" s="146">
        <f>AK157+1</f>
        <v>2.34</v>
      </c>
      <c r="AM157" s="146">
        <f>AI157-AN157*AL157/20</f>
        <v>0.25362278105100844</v>
      </c>
      <c r="AN157" s="146">
        <v>1</v>
      </c>
      <c r="AO157" s="146">
        <f>AM157</f>
        <v>0.25362278105100844</v>
      </c>
      <c r="AP157" s="162">
        <f>1/AO157</f>
        <v>3.9428634756547392</v>
      </c>
      <c r="AQ157" s="146">
        <f>4*AP157/SUM($M$157:$M$160)</f>
        <v>0.98596028425693683</v>
      </c>
      <c r="AR157" s="146"/>
      <c r="AS157" s="146"/>
      <c r="AT157" s="146"/>
      <c r="AU157" s="146"/>
      <c r="AV157" s="146"/>
      <c r="AW157" s="146"/>
      <c r="AX157" s="146"/>
      <c r="AY157" s="146"/>
    </row>
    <row r="158" spans="1:51" x14ac:dyDescent="0.2">
      <c r="A158">
        <v>150</v>
      </c>
      <c r="C158" t="s">
        <v>46</v>
      </c>
      <c r="D158">
        <v>1.001765</v>
      </c>
      <c r="E158">
        <v>0.73007999999999995</v>
      </c>
      <c r="F158">
        <f>E158/D158</f>
        <v>0.72879367915628912</v>
      </c>
      <c r="G158">
        <v>0.2</v>
      </c>
      <c r="H158">
        <f>0.268/G158</f>
        <v>1.34</v>
      </c>
      <c r="I158">
        <f>H158+1</f>
        <v>2.34</v>
      </c>
      <c r="J158">
        <f>F158-K158*I158/20</f>
        <v>0.49479367915628913</v>
      </c>
      <c r="K158">
        <v>2</v>
      </c>
      <c r="L158">
        <f>J158-J157</f>
        <v>0.2557677371676686</v>
      </c>
      <c r="M158" s="15">
        <f>1/L158</f>
        <v>3.9097972679190955</v>
      </c>
      <c r="N158">
        <f>4*M158/SUM($M$157:$M$160)</f>
        <v>0.97769168257198491</v>
      </c>
      <c r="O158" s="3"/>
      <c r="V158">
        <v>0.60096920089999994</v>
      </c>
      <c r="W158" s="1">
        <v>-6.0035448000000005E-7</v>
      </c>
      <c r="X158" s="1">
        <v>-9.31724183333334E-7</v>
      </c>
      <c r="Y158" s="1">
        <v>1.6333634804858401E-6</v>
      </c>
      <c r="Z158" s="1">
        <v>6.7839499944228204E-8</v>
      </c>
      <c r="AA158" s="1">
        <v>9.8502742105975901E-8</v>
      </c>
      <c r="AF158" s="146" t="s">
        <v>46</v>
      </c>
      <c r="AG158" s="146">
        <v>1.050805</v>
      </c>
      <c r="AH158" s="146">
        <v>0.87810999999999995</v>
      </c>
      <c r="AI158" s="146">
        <f>AH158/AG158</f>
        <v>0.83565456959188422</v>
      </c>
      <c r="AJ158" s="146">
        <v>0.2</v>
      </c>
      <c r="AK158" s="146">
        <f>0.268/AJ158</f>
        <v>1.34</v>
      </c>
      <c r="AL158" s="146">
        <f>AK158+1</f>
        <v>2.34</v>
      </c>
      <c r="AM158" s="146">
        <f>AI158-AN158*AL158/20</f>
        <v>0.60165456959188424</v>
      </c>
      <c r="AN158" s="146">
        <v>2</v>
      </c>
      <c r="AO158" s="146">
        <f>AM158-AM157</f>
        <v>0.3480317885408758</v>
      </c>
      <c r="AP158" s="162">
        <f>1/AO158</f>
        <v>2.8733007527631389</v>
      </c>
      <c r="AQ158" s="146">
        <f>4*AP158/SUM($M$157:$M$160)</f>
        <v>0.71850330209051494</v>
      </c>
      <c r="AR158" s="144"/>
      <c r="AS158" s="146"/>
      <c r="AT158" s="146"/>
      <c r="AU158" s="146"/>
      <c r="AV158" s="146"/>
      <c r="AW158" s="146"/>
      <c r="AX158" s="146"/>
      <c r="AY158" s="146"/>
    </row>
    <row r="159" spans="1:51" x14ac:dyDescent="0.2">
      <c r="A159">
        <v>151</v>
      </c>
      <c r="C159" t="s">
        <v>48</v>
      </c>
      <c r="D159">
        <v>1.002885</v>
      </c>
      <c r="E159">
        <v>1.10884</v>
      </c>
      <c r="F159">
        <f>E159/D159</f>
        <v>1.1056501991753791</v>
      </c>
      <c r="G159">
        <v>0.2</v>
      </c>
      <c r="H159">
        <f>0.268/G159</f>
        <v>1.34</v>
      </c>
      <c r="I159">
        <f>H159+1</f>
        <v>2.34</v>
      </c>
      <c r="J159">
        <f>F159-K159*I159/20</f>
        <v>0.75465019917537912</v>
      </c>
      <c r="K159">
        <v>3</v>
      </c>
      <c r="L159">
        <f>J159-J158</f>
        <v>0.25985652001908999</v>
      </c>
      <c r="M159" s="15">
        <f>1/L159</f>
        <v>3.8482775030102627</v>
      </c>
      <c r="N159">
        <f>4*M159/SUM($M$157:$M$160)</f>
        <v>0.96230792777767005</v>
      </c>
      <c r="O159" s="3"/>
      <c r="V159">
        <v>0.40018177713999997</v>
      </c>
      <c r="W159" s="1">
        <v>-4.7924224333333301E-7</v>
      </c>
      <c r="X159" s="1">
        <v>-7.3506155999999996E-7</v>
      </c>
      <c r="Y159" s="1">
        <v>1.10218046899321E-6</v>
      </c>
      <c r="Z159" s="1">
        <v>3.9562851413467702E-8</v>
      </c>
      <c r="AA159" s="1">
        <v>4.1964673611380901E-8</v>
      </c>
      <c r="AF159" s="146" t="s">
        <v>48</v>
      </c>
      <c r="AG159" s="146">
        <v>1.050025</v>
      </c>
      <c r="AH159" s="146">
        <v>1.53576</v>
      </c>
      <c r="AI159" s="146">
        <f>AH159/AG159</f>
        <v>1.4625937477679103</v>
      </c>
      <c r="AJ159" s="146">
        <v>0.2</v>
      </c>
      <c r="AK159" s="146">
        <f>0.268/AJ159</f>
        <v>1.34</v>
      </c>
      <c r="AL159" s="146">
        <f>AK159+1</f>
        <v>2.34</v>
      </c>
      <c r="AM159" s="146">
        <f>AI159-AN159*AL159/20</f>
        <v>1.1115937477679103</v>
      </c>
      <c r="AN159" s="146">
        <v>3</v>
      </c>
      <c r="AO159" s="146">
        <f>AM159-AM158</f>
        <v>0.50993917817602608</v>
      </c>
      <c r="AP159" s="162">
        <f>1/AO159</f>
        <v>1.9610181817699242</v>
      </c>
      <c r="AQ159" s="146">
        <f>4*AP159/SUM($M$157:$M$160)</f>
        <v>0.49037610758506606</v>
      </c>
      <c r="AR159" s="144"/>
      <c r="AS159" s="146"/>
      <c r="AT159" s="146"/>
      <c r="AU159" s="146"/>
      <c r="AV159" s="146"/>
      <c r="AW159" s="146"/>
      <c r="AX159" s="146"/>
      <c r="AY159" s="146"/>
    </row>
    <row r="160" spans="1:51" x14ac:dyDescent="0.2">
      <c r="A160">
        <v>152</v>
      </c>
      <c r="C160" t="s">
        <v>49</v>
      </c>
      <c r="D160">
        <v>1.0013399999999999</v>
      </c>
      <c r="E160">
        <v>1.4712700000000001</v>
      </c>
      <c r="F160">
        <f>E160/D160</f>
        <v>1.4693011364771209</v>
      </c>
      <c r="G160">
        <v>0.2</v>
      </c>
      <c r="H160">
        <f>0.268/G160</f>
        <v>1.34</v>
      </c>
      <c r="I160">
        <f>H160+1</f>
        <v>2.34</v>
      </c>
      <c r="J160">
        <f>F160-K160*I160/20</f>
        <v>1.0013011364771209</v>
      </c>
      <c r="K160">
        <v>4</v>
      </c>
      <c r="L160">
        <f>J160-J159</f>
        <v>0.24665093730174181</v>
      </c>
      <c r="M160" s="15">
        <f>1/L160</f>
        <v>4.0543125882252147</v>
      </c>
      <c r="N160">
        <f>4*M160/SUM($M$157:$M$160)</f>
        <v>1.0138294710519278</v>
      </c>
      <c r="O160" s="3"/>
      <c r="V160">
        <v>0.20035957535999999</v>
      </c>
      <c r="W160" s="1">
        <v>-3.3444060510000001E-7</v>
      </c>
      <c r="X160" s="1">
        <v>-4.3099882666666597E-7</v>
      </c>
      <c r="Y160" s="1">
        <v>5.3225840029920904E-7</v>
      </c>
      <c r="Z160" s="1">
        <v>8.8900146479028494E-8</v>
      </c>
      <c r="AA160" s="1">
        <v>9.8837399294379596E-8</v>
      </c>
      <c r="AF160" s="146" t="s">
        <v>49</v>
      </c>
      <c r="AG160" s="146">
        <v>1.04623</v>
      </c>
      <c r="AH160" s="146">
        <v>1.90015</v>
      </c>
      <c r="AI160" s="146">
        <f>AH160/AG160</f>
        <v>1.8161876451640653</v>
      </c>
      <c r="AJ160" s="146">
        <v>0.2</v>
      </c>
      <c r="AK160" s="146">
        <f>0.268/AJ160</f>
        <v>1.34</v>
      </c>
      <c r="AL160" s="146">
        <f>AK160+1</f>
        <v>2.34</v>
      </c>
      <c r="AM160" s="146">
        <f>AI160-AN160*AL160/20</f>
        <v>1.3481876451640653</v>
      </c>
      <c r="AN160" s="146">
        <v>4</v>
      </c>
      <c r="AO160" s="146">
        <f>AM160-AM159</f>
        <v>0.236593897396155</v>
      </c>
      <c r="AP160" s="162">
        <f>1/AO160</f>
        <v>4.2266517057521176</v>
      </c>
      <c r="AQ160" s="146">
        <f>4*AP160/SUM($M$157:$M$160)</f>
        <v>1.0569249336147544</v>
      </c>
      <c r="AR160" s="144"/>
      <c r="AS160" s="146"/>
      <c r="AT160" s="146"/>
      <c r="AU160" s="146"/>
      <c r="AV160" s="146"/>
      <c r="AW160" s="146"/>
      <c r="AX160" s="146"/>
      <c r="AY160" s="146"/>
    </row>
    <row r="161" spans="1:78" x14ac:dyDescent="0.2">
      <c r="A161">
        <v>153</v>
      </c>
      <c r="V161">
        <v>9.9591476558000006E-2</v>
      </c>
      <c r="W161" s="1">
        <v>-1.7361880033833299E-7</v>
      </c>
      <c r="X161" s="1">
        <v>-2.1578986433333299E-7</v>
      </c>
      <c r="Y161" s="1">
        <v>2.18084235820564E-7</v>
      </c>
      <c r="Z161" s="1">
        <v>9.5829898930532005E-8</v>
      </c>
      <c r="AA161" s="1">
        <v>7.4107877340477898E-8</v>
      </c>
      <c r="AF161" s="146"/>
      <c r="AG161" s="146"/>
      <c r="AH161" s="146"/>
      <c r="AI161" s="146"/>
      <c r="AJ161" s="146"/>
      <c r="AK161" s="146"/>
      <c r="AL161" s="146"/>
      <c r="AM161" s="146"/>
      <c r="AN161" s="146"/>
      <c r="AO161" s="146"/>
      <c r="AP161" s="146"/>
      <c r="AQ161" s="146"/>
      <c r="AR161" s="146"/>
      <c r="AS161" s="146"/>
      <c r="AT161" s="146"/>
      <c r="AU161" s="146"/>
      <c r="AV161" s="146"/>
      <c r="AW161" s="146"/>
      <c r="AX161" s="146"/>
      <c r="AY161" s="146"/>
    </row>
    <row r="162" spans="1:78" x14ac:dyDescent="0.2">
      <c r="A162">
        <v>154</v>
      </c>
    </row>
    <row r="163" spans="1:78" x14ac:dyDescent="0.2">
      <c r="A163">
        <v>155</v>
      </c>
      <c r="B163" s="4"/>
      <c r="C163" s="5" t="s">
        <v>93</v>
      </c>
      <c r="U163" t="s">
        <v>465</v>
      </c>
      <c r="AO163" s="164">
        <v>41320</v>
      </c>
      <c r="AP163" s="165" t="s">
        <v>93</v>
      </c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 t="s">
        <v>466</v>
      </c>
      <c r="BI163" s="37"/>
      <c r="BJ163" s="37"/>
      <c r="BK163" s="37"/>
      <c r="BL163" s="37"/>
      <c r="BM163" s="37"/>
      <c r="BN163" s="37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</row>
    <row r="164" spans="1:78" x14ac:dyDescent="0.2">
      <c r="A164">
        <v>156</v>
      </c>
      <c r="B164" s="164">
        <v>41323</v>
      </c>
      <c r="C164" t="s">
        <v>466</v>
      </c>
      <c r="D164">
        <v>1.1960680354</v>
      </c>
      <c r="E164" s="1">
        <v>-9.8374567666666606E-7</v>
      </c>
      <c r="F164" s="1">
        <v>-1.56161221666667E-6</v>
      </c>
      <c r="G164" s="1">
        <v>3.8106708815205699E-6</v>
      </c>
      <c r="H164" s="1">
        <v>4.0688636322263999E-8</v>
      </c>
      <c r="I164" s="1">
        <v>2.1216666520758099E-8</v>
      </c>
      <c r="K164">
        <v>0.2</v>
      </c>
      <c r="L164">
        <v>10</v>
      </c>
      <c r="M164" s="2">
        <f t="shared" ref="M164:M169" si="107">100*D164/(K164*5)</f>
        <v>119.60680354</v>
      </c>
      <c r="N164" s="3">
        <f t="shared" ref="N164:N169" si="108">1000000*E164*K164/(L164*D164)</f>
        <v>-1.644966084789103E-2</v>
      </c>
      <c r="O164" s="3">
        <f t="shared" ref="O164:O169" si="109">1000000*F164*K164/(D164*L164)</f>
        <v>-2.6112431240492465E-2</v>
      </c>
      <c r="Q164" s="3">
        <f t="shared" ref="Q164:Q169" si="110">1000000*K164*H164/(L164*D164)</f>
        <v>6.8037327506468366E-4</v>
      </c>
      <c r="R164" s="3">
        <f t="shared" ref="R164:R169" si="111">1000000*K164*I164/(L164*D164)</f>
        <v>3.5477357295419452E-4</v>
      </c>
      <c r="S164" s="1">
        <f t="shared" ref="S164:S169" si="112">G164*100/D164</f>
        <v>3.1859984287985508E-4</v>
      </c>
      <c r="V164">
        <v>1.1991577294</v>
      </c>
      <c r="W164" s="1">
        <v>-1.34837146833333E-6</v>
      </c>
      <c r="X164" s="1">
        <v>-1.7611851666666801E-6</v>
      </c>
      <c r="Y164" s="1">
        <v>2.9291713011674502E-6</v>
      </c>
      <c r="Z164" s="1">
        <v>1.03238537682458E-7</v>
      </c>
      <c r="AA164" s="1">
        <v>5.3333067090742001E-8</v>
      </c>
      <c r="AC164">
        <v>0.2</v>
      </c>
      <c r="AD164">
        <v>10</v>
      </c>
      <c r="AE164" s="2">
        <f t="shared" ref="AE164:AE170" si="113">100*V164/(AC164*5)</f>
        <v>119.91577294</v>
      </c>
      <c r="AF164" s="3">
        <f t="shared" ref="AF164:AF170" si="114">1000000*W164*AC164/(AD164*V164)</f>
        <v>-2.2488642407500294E-2</v>
      </c>
      <c r="AG164" s="3">
        <f t="shared" ref="AG164:AG170" si="115">1000000*X164*AC164/(V164*AD164)</f>
        <v>-2.9373703283351912E-2</v>
      </c>
      <c r="AI164" s="3">
        <f t="shared" ref="AI164:AI169" si="116">1000000*AC164*Z164/(AD164*V164)</f>
        <v>1.7218508483302448E-3</v>
      </c>
      <c r="AJ164" s="3">
        <f t="shared" ref="AJ164:AJ169" si="117">1000000*AC164*AA164/(AD164*V164)</f>
        <v>8.8950879076478569E-4</v>
      </c>
      <c r="AK164" s="1">
        <f t="shared" ref="AK164:AK169" si="118">Y164*100/V164</f>
        <v>2.442690589696707E-4</v>
      </c>
      <c r="AO164" s="37"/>
      <c r="AP164" s="37" t="s">
        <v>465</v>
      </c>
      <c r="AQ164" s="37">
        <v>1.1960108389999999</v>
      </c>
      <c r="AR164" s="166">
        <v>1.6013815666666701E-6</v>
      </c>
      <c r="AS164" s="166">
        <v>2.3856645499999998E-6</v>
      </c>
      <c r="AT164" s="166">
        <v>1.00353706793041E-5</v>
      </c>
      <c r="AU164" s="166">
        <v>1.2730344790779299E-7</v>
      </c>
      <c r="AV164" s="166">
        <v>4.85498493111033E-8</v>
      </c>
      <c r="AW164" s="37"/>
      <c r="AX164" s="37">
        <v>0.2</v>
      </c>
      <c r="AY164" s="37">
        <v>10</v>
      </c>
      <c r="AZ164" s="167">
        <f t="shared" ref="AZ164:AZ169" si="119">100*AQ164/(AX164*5)</f>
        <v>119.60108389999999</v>
      </c>
      <c r="BA164" s="168">
        <f t="shared" ref="BA164:BA169" si="120">1000000*AR164*AX164/(AY164*AQ164)</f>
        <v>2.6778713276638961E-2</v>
      </c>
      <c r="BB164" s="168">
        <f t="shared" ref="BB164:BB169" si="121">1000000*AS164*AX164/(AQ164*AY164)</f>
        <v>3.9893694475121734E-2</v>
      </c>
      <c r="BC164" s="37"/>
      <c r="BD164" s="168">
        <f t="shared" ref="BD164:BD169" si="122">1000000*AX164*AU164/(AY164*AQ164)</f>
        <v>2.1288009064237756E-3</v>
      </c>
      <c r="BE164" s="168">
        <f t="shared" ref="BE164:BE169" si="123">1000000*AX164*AV164/(AY164*AQ164)</f>
        <v>8.1186303213934849E-4</v>
      </c>
      <c r="BF164" s="166">
        <f t="shared" ref="BF164:BF169" si="124">AT164*100/AQ164</f>
        <v>8.3907021174614137E-4</v>
      </c>
      <c r="BG164" s="37"/>
      <c r="BH164" s="37"/>
      <c r="BI164" s="37">
        <v>1.1950184883999999</v>
      </c>
      <c r="BJ164" s="166">
        <v>1.75684656666667E-6</v>
      </c>
      <c r="BK164" s="166">
        <v>2.44478540000001E-6</v>
      </c>
      <c r="BL164" s="166">
        <v>5.8917537432913697E-6</v>
      </c>
      <c r="BM164" s="166">
        <v>7.0240138827778098E-8</v>
      </c>
      <c r="BN164" s="166">
        <v>2.5098683355374099E-8</v>
      </c>
      <c r="BO164" s="37"/>
      <c r="BP164" s="37">
        <v>0.2</v>
      </c>
      <c r="BQ164" s="37">
        <v>10</v>
      </c>
      <c r="BR164" s="167">
        <f t="shared" ref="BR164:BR169" si="125">100*BI164/(BP164*5)</f>
        <v>119.50184883999999</v>
      </c>
      <c r="BS164" s="168">
        <f t="shared" ref="BS164:BS169" si="126">1000000*BJ164*BP164/(BQ164*BI164)</f>
        <v>2.9402834913774378E-2</v>
      </c>
      <c r="BT164" s="168">
        <f t="shared" ref="BT164:BT169" si="127">1000000*BK164*BP164/(BI164*BQ164)</f>
        <v>4.0916277425520217E-2</v>
      </c>
      <c r="BU164" s="37"/>
      <c r="BV164" s="168">
        <f t="shared" ref="BV164:BV169" si="128">1000000*BP164*BM164/(BQ164*BI164)</f>
        <v>1.1755489895695593E-3</v>
      </c>
      <c r="BW164" s="168">
        <f t="shared" ref="BW164:BW169" si="129">1000000*BP164*BN164/(BQ164*BI164)</f>
        <v>4.2005514724677631E-4</v>
      </c>
      <c r="BX164" s="166">
        <f t="shared" ref="BX164:BX169" si="130">BL164*100/BI164</f>
        <v>4.9302615821281463E-4</v>
      </c>
      <c r="BY164" s="37"/>
      <c r="BZ164" s="37"/>
    </row>
    <row r="165" spans="1:78" x14ac:dyDescent="0.2">
      <c r="A165">
        <v>157</v>
      </c>
      <c r="B165" s="37" t="s">
        <v>473</v>
      </c>
      <c r="C165" s="37"/>
      <c r="D165">
        <v>1.00027461</v>
      </c>
      <c r="E165" s="1">
        <v>-8.7450099166666697E-7</v>
      </c>
      <c r="F165" s="1">
        <v>-1.35873898333333E-6</v>
      </c>
      <c r="G165" s="1">
        <v>5.1117408576711802E-7</v>
      </c>
      <c r="H165" s="1">
        <v>4.0751274713947303E-8</v>
      </c>
      <c r="I165" s="1">
        <v>9.5421023114055099E-8</v>
      </c>
      <c r="K165">
        <v>0.2</v>
      </c>
      <c r="L165">
        <v>10</v>
      </c>
      <c r="M165" s="2">
        <f t="shared" si="107"/>
        <v>100.02746099999999</v>
      </c>
      <c r="N165" s="3">
        <f t="shared" si="108"/>
        <v>-1.7485218217558617E-2</v>
      </c>
      <c r="O165" s="3">
        <f t="shared" si="109"/>
        <v>-2.7167319249127596E-2</v>
      </c>
      <c r="Q165" s="3">
        <f t="shared" si="110"/>
        <v>8.1480174157269277E-4</v>
      </c>
      <c r="R165" s="3">
        <f t="shared" si="111"/>
        <v>1.9078965348136767E-3</v>
      </c>
      <c r="S165" s="1">
        <f t="shared" si="112"/>
        <v>5.1103375078881394E-5</v>
      </c>
      <c r="V165">
        <v>1.0004231102000001</v>
      </c>
      <c r="W165" s="1">
        <v>-1.1257589699999999E-6</v>
      </c>
      <c r="X165" s="1">
        <v>-1.5378601833333299E-6</v>
      </c>
      <c r="Y165" s="1">
        <v>2.9324517287811198E-7</v>
      </c>
      <c r="Z165" s="1">
        <v>3.6945529035402501E-8</v>
      </c>
      <c r="AA165" s="1">
        <v>2.7164588090620101E-8</v>
      </c>
      <c r="AC165">
        <v>0.2</v>
      </c>
      <c r="AD165">
        <v>10</v>
      </c>
      <c r="AE165" s="2">
        <f t="shared" si="113"/>
        <v>100.04231102000001</v>
      </c>
      <c r="AF165" s="3">
        <f t="shared" si="114"/>
        <v>-2.2505657026954191E-2</v>
      </c>
      <c r="AG165" s="3">
        <f t="shared" si="115"/>
        <v>-3.0744195483966539E-2</v>
      </c>
      <c r="AI165" s="3">
        <f t="shared" si="116"/>
        <v>7.3859807232994686E-4</v>
      </c>
      <c r="AJ165" s="3">
        <f t="shared" si="117"/>
        <v>5.4306198674657731E-4</v>
      </c>
      <c r="AK165" s="1">
        <f t="shared" si="118"/>
        <v>2.9312115032957179E-5</v>
      </c>
      <c r="AO165" s="37"/>
      <c r="AP165" s="37"/>
      <c r="AQ165" s="37">
        <v>1.0032501011999999</v>
      </c>
      <c r="AR165" s="166">
        <v>1.4800359500000099E-6</v>
      </c>
      <c r="AS165" s="166">
        <v>2.0641170166666702E-6</v>
      </c>
      <c r="AT165" s="166">
        <v>1.6363368505711299E-6</v>
      </c>
      <c r="AU165" s="166">
        <v>1.3908709175943499E-7</v>
      </c>
      <c r="AV165" s="166">
        <v>3.4074938438678402E-8</v>
      </c>
      <c r="AW165" s="37"/>
      <c r="AX165" s="37">
        <v>0.2</v>
      </c>
      <c r="AY165" s="37">
        <v>10</v>
      </c>
      <c r="AZ165" s="167">
        <f t="shared" si="119"/>
        <v>100.32501011999999</v>
      </c>
      <c r="BA165" s="168">
        <f t="shared" si="120"/>
        <v>2.9504825331783585E-2</v>
      </c>
      <c r="BB165" s="168">
        <f t="shared" si="121"/>
        <v>4.1148603208666597E-2</v>
      </c>
      <c r="BC165" s="37"/>
      <c r="BD165" s="168">
        <f t="shared" si="122"/>
        <v>2.7727301814985355E-3</v>
      </c>
      <c r="BE165" s="168">
        <f t="shared" si="123"/>
        <v>6.7929100426545577E-4</v>
      </c>
      <c r="BF165" s="166">
        <f t="shared" si="124"/>
        <v>1.631035819098236E-4</v>
      </c>
      <c r="BG165" s="37"/>
      <c r="BH165" s="37"/>
      <c r="BI165" s="37">
        <v>1.0022642204000001</v>
      </c>
      <c r="BJ165" s="166">
        <v>1.4552741666666699E-6</v>
      </c>
      <c r="BK165" s="166">
        <v>2.1014634999999901E-6</v>
      </c>
      <c r="BL165" s="166">
        <v>9.92251447338418E-7</v>
      </c>
      <c r="BM165" s="166">
        <v>9.6111068486615599E-8</v>
      </c>
      <c r="BN165" s="166">
        <v>3.4036198633464897E-8</v>
      </c>
      <c r="BO165" s="37"/>
      <c r="BP165" s="37">
        <v>0.2</v>
      </c>
      <c r="BQ165" s="37">
        <v>10</v>
      </c>
      <c r="BR165" s="167">
        <f t="shared" si="125"/>
        <v>100.22642204</v>
      </c>
      <c r="BS165" s="168">
        <f t="shared" si="126"/>
        <v>2.9039730982033364E-2</v>
      </c>
      <c r="BT165" s="168">
        <f t="shared" si="127"/>
        <v>4.1934321453903717E-2</v>
      </c>
      <c r="BU165" s="37"/>
      <c r="BV165" s="168">
        <f t="shared" si="128"/>
        <v>1.9178788692717781E-3</v>
      </c>
      <c r="BW165" s="168">
        <f t="shared" si="129"/>
        <v>6.7918614554316175E-4</v>
      </c>
      <c r="BX165" s="166">
        <f t="shared" si="130"/>
        <v>9.9000984684698615E-5</v>
      </c>
      <c r="BY165" s="37"/>
      <c r="BZ165" s="37"/>
    </row>
    <row r="166" spans="1:78" x14ac:dyDescent="0.2">
      <c r="A166">
        <v>158</v>
      </c>
      <c r="B166" s="37" t="s">
        <v>474</v>
      </c>
      <c r="C166" s="37"/>
      <c r="D166">
        <v>0.60096920089999994</v>
      </c>
      <c r="E166" s="1">
        <v>-6.0035448000000005E-7</v>
      </c>
      <c r="F166" s="1">
        <v>-9.31724183333334E-7</v>
      </c>
      <c r="G166" s="1">
        <v>1.6333634804858401E-6</v>
      </c>
      <c r="H166" s="1">
        <v>6.7839499944228204E-8</v>
      </c>
      <c r="I166" s="1">
        <v>9.8502742105975901E-8</v>
      </c>
      <c r="K166">
        <v>0.2</v>
      </c>
      <c r="L166">
        <v>10</v>
      </c>
      <c r="M166" s="2">
        <f t="shared" si="107"/>
        <v>60.096920089999998</v>
      </c>
      <c r="N166" s="3">
        <f t="shared" si="108"/>
        <v>-1.9979542349289139E-2</v>
      </c>
      <c r="O166" s="3">
        <f t="shared" si="109"/>
        <v>-3.1007385467940844E-2</v>
      </c>
      <c r="Q166" s="3">
        <f t="shared" si="110"/>
        <v>2.2576697721824368E-3</v>
      </c>
      <c r="R166" s="3">
        <f t="shared" si="111"/>
        <v>3.2781294601606902E-3</v>
      </c>
      <c r="S166" s="1">
        <f t="shared" si="112"/>
        <v>2.7178821777218301E-4</v>
      </c>
      <c r="V166">
        <v>0.60121778743999998</v>
      </c>
      <c r="W166" s="1">
        <v>-7.7658371333333299E-7</v>
      </c>
      <c r="X166" s="1">
        <v>-1.04475811666667E-6</v>
      </c>
      <c r="Y166" s="1">
        <v>1.9636708924274101E-6</v>
      </c>
      <c r="Z166" s="1">
        <v>8.7814862492278805E-8</v>
      </c>
      <c r="AA166" s="1">
        <v>8.2026014022522494E-8</v>
      </c>
      <c r="AC166">
        <v>0.2</v>
      </c>
      <c r="AD166">
        <v>10</v>
      </c>
      <c r="AE166" s="2">
        <f t="shared" si="113"/>
        <v>60.121778743999997</v>
      </c>
      <c r="AF166" s="3">
        <f t="shared" si="114"/>
        <v>-2.5833690538001063E-2</v>
      </c>
      <c r="AG166" s="3">
        <f t="shared" si="115"/>
        <v>-3.4754730764546257E-2</v>
      </c>
      <c r="AI166" s="3">
        <f t="shared" si="116"/>
        <v>2.9212330149510925E-3</v>
      </c>
      <c r="AJ166" s="3">
        <f t="shared" si="117"/>
        <v>2.7286622497245555E-3</v>
      </c>
      <c r="AK166" s="1">
        <f t="shared" si="118"/>
        <v>3.2661556817684465E-4</v>
      </c>
      <c r="AO166" s="37" t="s">
        <v>470</v>
      </c>
      <c r="AP166" s="37"/>
      <c r="AQ166" s="37">
        <v>0.60053987176000001</v>
      </c>
      <c r="AR166" s="166">
        <v>1.0262879466666699E-6</v>
      </c>
      <c r="AS166" s="166">
        <v>1.32408751666667E-6</v>
      </c>
      <c r="AT166" s="166">
        <v>1.9025261578343401E-6</v>
      </c>
      <c r="AU166" s="166">
        <v>5.6196941559784402E-8</v>
      </c>
      <c r="AV166" s="166">
        <v>4.1902243062470898E-8</v>
      </c>
      <c r="AW166" s="37"/>
      <c r="AX166" s="37">
        <v>0.2</v>
      </c>
      <c r="AY166" s="37">
        <v>10</v>
      </c>
      <c r="AZ166" s="167">
        <f t="shared" si="119"/>
        <v>60.053987176</v>
      </c>
      <c r="BA166" s="168">
        <f t="shared" si="120"/>
        <v>3.4178844567270168E-2</v>
      </c>
      <c r="BB166" s="168">
        <f t="shared" si="121"/>
        <v>4.4096573064704978E-2</v>
      </c>
      <c r="BC166" s="37"/>
      <c r="BD166" s="168">
        <f t="shared" si="122"/>
        <v>1.871547392684793E-3</v>
      </c>
      <c r="BE166" s="168">
        <f t="shared" si="123"/>
        <v>1.3954857964607126E-3</v>
      </c>
      <c r="BF166" s="166">
        <f t="shared" si="124"/>
        <v>3.1680263830919563E-4</v>
      </c>
      <c r="BG166" s="37"/>
      <c r="BH166" s="37"/>
      <c r="BI166" s="37">
        <v>0.60217285665999998</v>
      </c>
      <c r="BJ166" s="166">
        <v>1.04631348666667E-6</v>
      </c>
      <c r="BK166" s="166">
        <v>1.31916258333333E-6</v>
      </c>
      <c r="BL166" s="166">
        <v>1.8658008028340599E-6</v>
      </c>
      <c r="BM166" s="166">
        <v>4.7301062039660598E-8</v>
      </c>
      <c r="BN166" s="166">
        <v>3.0144153957714399E-8</v>
      </c>
      <c r="BO166" s="37"/>
      <c r="BP166" s="37">
        <v>0.2</v>
      </c>
      <c r="BQ166" s="37">
        <v>10</v>
      </c>
      <c r="BR166" s="167">
        <f t="shared" si="125"/>
        <v>60.217285665999995</v>
      </c>
      <c r="BS166" s="168">
        <f t="shared" si="126"/>
        <v>3.47512670189132E-2</v>
      </c>
      <c r="BT166" s="168">
        <f t="shared" si="127"/>
        <v>4.3813418979067605E-2</v>
      </c>
      <c r="BU166" s="37"/>
      <c r="BV166" s="168">
        <f t="shared" si="128"/>
        <v>1.571012758762317E-3</v>
      </c>
      <c r="BW166" s="168">
        <f t="shared" si="129"/>
        <v>1.0011794329259993E-3</v>
      </c>
      <c r="BX166" s="166">
        <f t="shared" si="130"/>
        <v>3.0984472019925867E-4</v>
      </c>
      <c r="BY166" s="37"/>
      <c r="BZ166" s="37"/>
    </row>
    <row r="167" spans="1:78" x14ac:dyDescent="0.2">
      <c r="A167">
        <v>159</v>
      </c>
      <c r="B167" s="37" t="s">
        <v>475</v>
      </c>
      <c r="C167" s="37"/>
      <c r="D167">
        <v>0.40018177713999997</v>
      </c>
      <c r="E167" s="1">
        <v>-4.7924224333333301E-7</v>
      </c>
      <c r="F167" s="1">
        <v>-7.3506155999999996E-7</v>
      </c>
      <c r="G167" s="1">
        <v>1.10218046899321E-6</v>
      </c>
      <c r="H167" s="1">
        <v>3.9562851413467702E-8</v>
      </c>
      <c r="I167" s="1">
        <v>4.1964673611380901E-8</v>
      </c>
      <c r="K167">
        <v>0.2</v>
      </c>
      <c r="L167">
        <v>10</v>
      </c>
      <c r="M167" s="2">
        <f t="shared" si="107"/>
        <v>40.018177713999997</v>
      </c>
      <c r="N167" s="3">
        <f t="shared" si="108"/>
        <v>-2.3951227702488538E-2</v>
      </c>
      <c r="O167" s="3">
        <f t="shared" si="109"/>
        <v>-3.6736383413223002E-2</v>
      </c>
      <c r="Q167" s="3">
        <f t="shared" si="110"/>
        <v>1.9772440262629449E-3</v>
      </c>
      <c r="R167" s="3">
        <f t="shared" si="111"/>
        <v>2.0972805864021113E-3</v>
      </c>
      <c r="S167" s="1">
        <f t="shared" si="112"/>
        <v>2.7541995461917852E-4</v>
      </c>
      <c r="V167">
        <v>0.40008248112</v>
      </c>
      <c r="W167" s="1">
        <v>-5.7668999166666599E-7</v>
      </c>
      <c r="X167" s="1">
        <v>-8.4846792833333301E-7</v>
      </c>
      <c r="Y167" s="1">
        <v>1.0706860766891399E-6</v>
      </c>
      <c r="Z167" s="1">
        <v>1.05472994089316E-7</v>
      </c>
      <c r="AA167" s="1">
        <v>1.06587655787337E-7</v>
      </c>
      <c r="AC167">
        <v>0.2</v>
      </c>
      <c r="AD167">
        <v>10</v>
      </c>
      <c r="AE167" s="2">
        <f t="shared" si="113"/>
        <v>40.008248111999997</v>
      </c>
      <c r="AF167" s="3">
        <f t="shared" si="114"/>
        <v>-2.8828555054561094E-2</v>
      </c>
      <c r="AG167" s="3">
        <f t="shared" si="115"/>
        <v>-4.2414650396993762E-2</v>
      </c>
      <c r="AI167" s="3">
        <f t="shared" si="116"/>
        <v>5.2725624873177397E-3</v>
      </c>
      <c r="AJ167" s="3">
        <f t="shared" si="117"/>
        <v>5.3282840822698905E-3</v>
      </c>
      <c r="AK167" s="1">
        <f t="shared" si="118"/>
        <v>2.6761633593448957E-4</v>
      </c>
      <c r="AO167" s="37" t="s">
        <v>471</v>
      </c>
      <c r="AP167" s="37"/>
      <c r="AQ167" s="37">
        <v>0.40111520981999998</v>
      </c>
      <c r="AR167" s="166">
        <v>7.8479331666666701E-7</v>
      </c>
      <c r="AS167" s="166">
        <v>1.0057166033333301E-6</v>
      </c>
      <c r="AT167" s="166">
        <v>9.9661241360590294E-7</v>
      </c>
      <c r="AU167" s="166">
        <v>1.18770689389104E-7</v>
      </c>
      <c r="AV167" s="166">
        <v>5.8752197387382798E-8</v>
      </c>
      <c r="AW167" s="37"/>
      <c r="AX167" s="37">
        <v>0.2</v>
      </c>
      <c r="AY167" s="37">
        <v>10</v>
      </c>
      <c r="AZ167" s="167">
        <f t="shared" si="119"/>
        <v>40.111520982000002</v>
      </c>
      <c r="BA167" s="168">
        <f t="shared" si="120"/>
        <v>3.9130568846733195E-2</v>
      </c>
      <c r="BB167" s="168">
        <f t="shared" si="121"/>
        <v>5.0146021826728747E-2</v>
      </c>
      <c r="BC167" s="37"/>
      <c r="BD167" s="168">
        <f t="shared" si="122"/>
        <v>5.922023721932769E-3</v>
      </c>
      <c r="BE167" s="168">
        <f t="shared" si="123"/>
        <v>2.9294425117286269E-3</v>
      </c>
      <c r="BF167" s="166">
        <f t="shared" si="124"/>
        <v>2.4846038973519148E-4</v>
      </c>
      <c r="BG167" s="37"/>
      <c r="BH167" s="37"/>
      <c r="BI167" s="37">
        <v>0.40123176148</v>
      </c>
      <c r="BJ167" s="166">
        <v>8.0982336500000001E-7</v>
      </c>
      <c r="BK167" s="166">
        <v>1.0408132883333301E-6</v>
      </c>
      <c r="BL167" s="166">
        <v>1.10091952505663E-6</v>
      </c>
      <c r="BM167" s="166">
        <v>7.9615462322811996E-8</v>
      </c>
      <c r="BN167" s="166">
        <v>6.0278736962922501E-8</v>
      </c>
      <c r="BO167" s="37"/>
      <c r="BP167" s="37">
        <v>0.2</v>
      </c>
      <c r="BQ167" s="37">
        <v>10</v>
      </c>
      <c r="BR167" s="167">
        <f t="shared" si="125"/>
        <v>40.123176147999999</v>
      </c>
      <c r="BS167" s="168">
        <f t="shared" si="126"/>
        <v>4.0366862384615426E-2</v>
      </c>
      <c r="BT167" s="168">
        <f t="shared" si="127"/>
        <v>5.1880902174550859E-2</v>
      </c>
      <c r="BU167" s="37"/>
      <c r="BV167" s="168">
        <f t="shared" si="128"/>
        <v>3.96855234137692E-3</v>
      </c>
      <c r="BW167" s="168">
        <f t="shared" si="129"/>
        <v>3.004684212464929E-3</v>
      </c>
      <c r="BX167" s="166">
        <f t="shared" si="130"/>
        <v>2.7438493926695455E-4</v>
      </c>
      <c r="BY167" s="37"/>
      <c r="BZ167" s="37"/>
    </row>
    <row r="168" spans="1:78" x14ac:dyDescent="0.2">
      <c r="A168">
        <v>160</v>
      </c>
      <c r="B168" s="37" t="s">
        <v>476</v>
      </c>
      <c r="C168" s="37"/>
      <c r="D168">
        <v>0.20035957535999999</v>
      </c>
      <c r="E168" s="1">
        <v>-3.3444060510000001E-7</v>
      </c>
      <c r="F168" s="1">
        <v>-4.3099882666666597E-7</v>
      </c>
      <c r="G168" s="1">
        <v>5.3225840029920904E-7</v>
      </c>
      <c r="H168" s="1">
        <v>8.8900146479028494E-8</v>
      </c>
      <c r="I168" s="1">
        <v>9.8837399294379596E-8</v>
      </c>
      <c r="K168">
        <v>0.2</v>
      </c>
      <c r="L168">
        <v>10</v>
      </c>
      <c r="M168" s="2">
        <f t="shared" si="107"/>
        <v>20.035957535999998</v>
      </c>
      <c r="N168" s="3">
        <f t="shared" si="108"/>
        <v>-3.3384040118780184E-2</v>
      </c>
      <c r="O168" s="3">
        <f t="shared" si="109"/>
        <v>-4.3022533451896217E-2</v>
      </c>
      <c r="Q168" s="3">
        <f t="shared" si="110"/>
        <v>8.8740601809816581E-3</v>
      </c>
      <c r="R168" s="3">
        <f t="shared" si="111"/>
        <v>9.8660020732017975E-3</v>
      </c>
      <c r="S168" s="1">
        <f t="shared" si="112"/>
        <v>2.6565159131669314E-4</v>
      </c>
      <c r="V168">
        <v>0.19988589134000001</v>
      </c>
      <c r="W168" s="1">
        <v>-3.4880249166666701E-7</v>
      </c>
      <c r="X168" s="1">
        <v>-4.9376501499999998E-7</v>
      </c>
      <c r="Y168" s="1">
        <v>4.78949788885056E-7</v>
      </c>
      <c r="Z168" s="1">
        <v>5.1332577745910297E-8</v>
      </c>
      <c r="AA168" s="1">
        <v>6.0127633836432594E-8</v>
      </c>
      <c r="AC168">
        <v>0.2</v>
      </c>
      <c r="AD168">
        <v>10</v>
      </c>
      <c r="AE168" s="2">
        <f t="shared" si="113"/>
        <v>19.988589134000001</v>
      </c>
      <c r="AF168" s="3">
        <f t="shared" si="114"/>
        <v>-3.4900161219819592E-2</v>
      </c>
      <c r="AG168" s="3">
        <f t="shared" si="115"/>
        <v>-4.9404689014305697E-2</v>
      </c>
      <c r="AI168" s="3">
        <f t="shared" si="116"/>
        <v>5.1361881923517151E-3</v>
      </c>
      <c r="AJ168" s="3">
        <f t="shared" si="117"/>
        <v>6.0161958838963036E-3</v>
      </c>
      <c r="AK168" s="1">
        <f t="shared" si="118"/>
        <v>2.3961160323735732E-4</v>
      </c>
      <c r="AO168" s="37"/>
      <c r="AP168" s="37"/>
      <c r="AQ168" s="37">
        <v>0.20074821298000001</v>
      </c>
      <c r="AR168" s="166">
        <v>5.06674987333334E-7</v>
      </c>
      <c r="AS168" s="166">
        <v>5.7568611166666603E-7</v>
      </c>
      <c r="AT168" s="166">
        <v>4.5048253434313202E-7</v>
      </c>
      <c r="AU168" s="166">
        <v>9.7451705892123906E-8</v>
      </c>
      <c r="AV168" s="166">
        <v>9.3306183069357894E-8</v>
      </c>
      <c r="AW168" s="37"/>
      <c r="AX168" s="37">
        <v>0.2</v>
      </c>
      <c r="AY168" s="37">
        <v>10</v>
      </c>
      <c r="AZ168" s="167">
        <f t="shared" si="119"/>
        <v>20.074821298</v>
      </c>
      <c r="BA168" s="168">
        <f t="shared" si="120"/>
        <v>5.0478654809625899E-2</v>
      </c>
      <c r="BB168" s="168">
        <f t="shared" si="121"/>
        <v>5.735404595845843E-2</v>
      </c>
      <c r="BC168" s="37"/>
      <c r="BD168" s="168">
        <f t="shared" si="122"/>
        <v>9.7088491544213892E-3</v>
      </c>
      <c r="BE168" s="168">
        <f t="shared" si="123"/>
        <v>9.2958419588675227E-3</v>
      </c>
      <c r="BF168" s="166">
        <f t="shared" si="124"/>
        <v>2.2440176560277144E-4</v>
      </c>
      <c r="BG168" s="37"/>
      <c r="BH168" s="37"/>
      <c r="BI168" s="37">
        <v>0.20026257587999999</v>
      </c>
      <c r="BJ168" s="166">
        <v>4.75089858333333E-7</v>
      </c>
      <c r="BK168" s="166">
        <v>5.6517503666666795E-7</v>
      </c>
      <c r="BL168" s="166">
        <v>4.8604592161544103E-7</v>
      </c>
      <c r="BM168" s="166">
        <v>7.3998287114983896E-8</v>
      </c>
      <c r="BN168" s="166">
        <v>5.2772757786683799E-8</v>
      </c>
      <c r="BO168" s="37"/>
      <c r="BP168" s="37">
        <v>0.2</v>
      </c>
      <c r="BQ168" s="37">
        <v>10</v>
      </c>
      <c r="BR168" s="167">
        <f t="shared" si="125"/>
        <v>20.026257588</v>
      </c>
      <c r="BS168" s="168">
        <f t="shared" si="126"/>
        <v>4.7446694046122048E-2</v>
      </c>
      <c r="BT168" s="168">
        <f t="shared" si="127"/>
        <v>5.6443400289161207E-2</v>
      </c>
      <c r="BU168" s="37"/>
      <c r="BV168" s="168">
        <f t="shared" si="128"/>
        <v>7.390126366827985E-3</v>
      </c>
      <c r="BW168" s="168">
        <f t="shared" si="129"/>
        <v>5.270356436272541E-3</v>
      </c>
      <c r="BX168" s="166">
        <f t="shared" si="130"/>
        <v>2.4270431930661186E-4</v>
      </c>
      <c r="BY168" s="37"/>
      <c r="BZ168" s="37"/>
    </row>
    <row r="169" spans="1:78" x14ac:dyDescent="0.2">
      <c r="A169">
        <v>161</v>
      </c>
      <c r="B169" s="37" t="s">
        <v>477</v>
      </c>
      <c r="C169" s="37"/>
      <c r="D169">
        <v>9.9591476558000006E-2</v>
      </c>
      <c r="E169" s="1">
        <v>-1.7361880033833299E-7</v>
      </c>
      <c r="F169" s="1">
        <v>-2.1578986433333299E-7</v>
      </c>
      <c r="G169" s="1">
        <v>2.18084235820564E-7</v>
      </c>
      <c r="H169" s="1">
        <v>9.5829898930532005E-8</v>
      </c>
      <c r="I169" s="1">
        <v>7.4107877340477898E-8</v>
      </c>
      <c r="K169">
        <v>0.2</v>
      </c>
      <c r="L169">
        <v>10</v>
      </c>
      <c r="M169" s="2">
        <f t="shared" si="107"/>
        <v>9.9591476558000007</v>
      </c>
      <c r="N169" s="3">
        <f t="shared" si="108"/>
        <v>-3.4866196654333374E-2</v>
      </c>
      <c r="O169" s="3">
        <f t="shared" si="109"/>
        <v>-4.3335006526921308E-2</v>
      </c>
      <c r="Q169" s="3">
        <f t="shared" si="110"/>
        <v>1.9244598482225067E-2</v>
      </c>
      <c r="R169" s="3">
        <f t="shared" si="111"/>
        <v>1.4882373452374514E-2</v>
      </c>
      <c r="S169" s="1">
        <f t="shared" si="112"/>
        <v>2.1897881561536674E-4</v>
      </c>
      <c r="V169">
        <v>9.9990869738000004E-2</v>
      </c>
      <c r="W169" s="1">
        <v>-2.0032119633333299E-7</v>
      </c>
      <c r="X169" s="1">
        <v>-2.33236808666667E-7</v>
      </c>
      <c r="Y169" s="1">
        <v>2.4426546273230499E-7</v>
      </c>
      <c r="Z169" s="1">
        <v>8.8398557493223306E-8</v>
      </c>
      <c r="AA169" s="1">
        <v>5.8342881198513203E-8</v>
      </c>
      <c r="AC169">
        <v>0.2</v>
      </c>
      <c r="AD169">
        <v>10</v>
      </c>
      <c r="AE169" s="2">
        <f t="shared" si="113"/>
        <v>9.9990869738000008</v>
      </c>
      <c r="AF169" s="3">
        <f t="shared" si="114"/>
        <v>-4.00678975706927E-2</v>
      </c>
      <c r="AG169" s="3">
        <f t="shared" si="115"/>
        <v>-4.6651621148571513E-2</v>
      </c>
      <c r="AI169" s="3">
        <f t="shared" si="116"/>
        <v>1.768132585001984E-2</v>
      </c>
      <c r="AJ169" s="3">
        <f t="shared" si="117"/>
        <v>1.1669641708565095E-2</v>
      </c>
      <c r="AK169" s="1">
        <f t="shared" si="118"/>
        <v>2.4428776684545193E-4</v>
      </c>
      <c r="AO169" s="37" t="s">
        <v>468</v>
      </c>
      <c r="AP169" s="37"/>
      <c r="AQ169" s="37">
        <v>9.9638795106000003E-2</v>
      </c>
      <c r="AR169" s="166">
        <v>2.6573001833333298E-7</v>
      </c>
      <c r="AS169" s="166">
        <v>3.1053756000000002E-7</v>
      </c>
      <c r="AT169" s="166">
        <v>3.2376469066571501E-8</v>
      </c>
      <c r="AU169" s="166">
        <v>3.32866225785675E-8</v>
      </c>
      <c r="AV169" s="166">
        <v>7.1189039080275998E-8</v>
      </c>
      <c r="AW169" s="37"/>
      <c r="AX169" s="37">
        <v>0.2</v>
      </c>
      <c r="AY169" s="37">
        <v>10</v>
      </c>
      <c r="AZ169" s="167">
        <f t="shared" si="119"/>
        <v>9.9638795106</v>
      </c>
      <c r="BA169" s="168">
        <f t="shared" si="120"/>
        <v>5.3338665536980467E-2</v>
      </c>
      <c r="BB169" s="168">
        <f t="shared" si="121"/>
        <v>6.2332660620722465E-2</v>
      </c>
      <c r="BC169" s="37"/>
      <c r="BD169" s="168">
        <f t="shared" si="122"/>
        <v>6.6814582699752179E-3</v>
      </c>
      <c r="BE169" s="168">
        <f t="shared" si="123"/>
        <v>1.4289421907308706E-2</v>
      </c>
      <c r="BF169" s="166">
        <f t="shared" si="124"/>
        <v>3.2493838401124813E-5</v>
      </c>
      <c r="BG169" s="37"/>
      <c r="BH169" s="37"/>
      <c r="BI169" s="37">
        <v>9.9542125322000005E-2</v>
      </c>
      <c r="BJ169" s="166">
        <v>2.9785379166666699E-7</v>
      </c>
      <c r="BK169" s="166">
        <v>3.13709130166666E-7</v>
      </c>
      <c r="BL169" s="166">
        <v>1.66113659984621E-6</v>
      </c>
      <c r="BM169" s="166">
        <v>7.1672798862806201E-8</v>
      </c>
      <c r="BN169" s="166">
        <v>7.1919400660295301E-8</v>
      </c>
      <c r="BO169" s="37"/>
      <c r="BP169" s="37">
        <v>0.2</v>
      </c>
      <c r="BQ169" s="37">
        <v>10</v>
      </c>
      <c r="BR169" s="167">
        <f t="shared" si="125"/>
        <v>9.9542125321999997</v>
      </c>
      <c r="BS169" s="168">
        <f t="shared" si="126"/>
        <v>5.9844772392224119E-2</v>
      </c>
      <c r="BT169" s="168">
        <f t="shared" si="127"/>
        <v>6.3030426395232403E-2</v>
      </c>
      <c r="BU169" s="37"/>
      <c r="BV169" s="168">
        <f t="shared" si="128"/>
        <v>1.4400495997239001E-2</v>
      </c>
      <c r="BW169" s="168">
        <f t="shared" si="129"/>
        <v>1.4450043220927742E-2</v>
      </c>
      <c r="BX169" s="166">
        <f t="shared" si="130"/>
        <v>1.6687775094943436E-3</v>
      </c>
      <c r="BY169" s="37"/>
      <c r="BZ169" s="37"/>
    </row>
    <row r="170" spans="1:78" x14ac:dyDescent="0.2">
      <c r="A170">
        <v>162</v>
      </c>
      <c r="E170" s="1"/>
      <c r="F170" s="1"/>
      <c r="G170" s="1"/>
      <c r="H170" s="1"/>
      <c r="I170" s="1"/>
      <c r="M170" s="2"/>
      <c r="N170" s="3"/>
      <c r="O170" s="3"/>
      <c r="U170" s="169" t="s">
        <v>472</v>
      </c>
      <c r="V170">
        <v>0.10052241306</v>
      </c>
      <c r="W170" s="1">
        <v>-1.99535101833333E-7</v>
      </c>
      <c r="X170" s="1">
        <v>-2.4651546833333402E-7</v>
      </c>
      <c r="Y170" s="1">
        <v>1.4171250693369601E-7</v>
      </c>
      <c r="Z170" s="1">
        <v>6.0657535121618202E-8</v>
      </c>
      <c r="AA170" s="1">
        <v>1.04086722992267E-7</v>
      </c>
      <c r="AC170">
        <v>0.2</v>
      </c>
      <c r="AD170">
        <v>10</v>
      </c>
      <c r="AE170" s="2">
        <f t="shared" si="113"/>
        <v>10.052241305999999</v>
      </c>
      <c r="AF170" s="3">
        <f t="shared" si="114"/>
        <v>-3.9699624344320929E-2</v>
      </c>
      <c r="AG170" s="3">
        <f t="shared" si="115"/>
        <v>-4.9046866430910968E-2</v>
      </c>
      <c r="AO170" s="37" t="s">
        <v>469</v>
      </c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</row>
    <row r="171" spans="1:78" x14ac:dyDescent="0.2">
      <c r="A171">
        <v>163</v>
      </c>
      <c r="C171" s="5" t="s">
        <v>95</v>
      </c>
      <c r="U171" t="s">
        <v>465</v>
      </c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</row>
    <row r="172" spans="1:78" x14ac:dyDescent="0.2">
      <c r="A172">
        <v>164</v>
      </c>
      <c r="B172" s="170">
        <v>41323</v>
      </c>
      <c r="C172" t="s">
        <v>466</v>
      </c>
      <c r="D172">
        <v>1.1977587588</v>
      </c>
      <c r="E172" s="1">
        <v>-1.94300883333334E-5</v>
      </c>
      <c r="F172" s="1">
        <v>-2.7810269333333298E-6</v>
      </c>
      <c r="G172" s="1">
        <v>1.6389647102162299E-6</v>
      </c>
      <c r="H172" s="1">
        <v>2.2105454015292899E-8</v>
      </c>
      <c r="I172" s="1">
        <v>1.5601320411925299E-8</v>
      </c>
      <c r="K172">
        <v>0.2</v>
      </c>
      <c r="L172">
        <v>10</v>
      </c>
      <c r="M172" s="2">
        <f t="shared" ref="M172:M177" si="131">100*D172/(K172*5)</f>
        <v>119.77587588</v>
      </c>
      <c r="N172" s="3">
        <f t="shared" ref="N172:N177" si="132">1000000*E172*K172/(L172*D172)</f>
        <v>-0.32444076389472365</v>
      </c>
      <c r="O172" s="3">
        <f t="shared" ref="O172:O177" si="133">1000000*F172*K172/(D172*L172)</f>
        <v>-4.6437179655769087E-2</v>
      </c>
      <c r="Q172" s="3">
        <f t="shared" ref="Q172:Q177" si="134">1000000*K172*H172/(L172*D172)</f>
        <v>3.6911362747937181E-4</v>
      </c>
      <c r="R172" s="3">
        <f t="shared" ref="R172:R177" si="135">1000000*K172*I172/(L172*D172)</f>
        <v>2.6050855896150263E-4</v>
      </c>
      <c r="S172" s="1">
        <f t="shared" ref="S172:S177" si="136">G172*100/D172</f>
        <v>1.3683596117955015E-4</v>
      </c>
      <c r="V172">
        <v>1.1978976407999999</v>
      </c>
      <c r="W172" s="1">
        <v>-1.7835624333333301E-5</v>
      </c>
      <c r="X172" s="1">
        <v>-2.50401335E-6</v>
      </c>
      <c r="Y172" s="1">
        <v>5.5703179809467298E-6</v>
      </c>
      <c r="Z172" s="1">
        <v>1.7011496291593199E-7</v>
      </c>
      <c r="AA172" s="1">
        <v>1.5145184197936999E-7</v>
      </c>
      <c r="AC172">
        <v>0.2</v>
      </c>
      <c r="AD172">
        <v>10</v>
      </c>
      <c r="AE172" s="2">
        <f t="shared" ref="AE172:AE177" si="137">100*V172/(AC172*5)</f>
        <v>119.78976408</v>
      </c>
      <c r="AF172" s="3">
        <f t="shared" ref="AF172:AF177" si="138">1000000*W172*AC172/(AD172*V172)</f>
        <v>-0.29778210968713514</v>
      </c>
      <c r="AG172" s="3">
        <f t="shared" ref="AG172:AG177" si="139">1000000*X172*AC172/(V172*AD172)</f>
        <v>-4.1806799925371389E-2</v>
      </c>
      <c r="AI172" s="3">
        <f t="shared" ref="AI172:AI177" si="140">1000000*AC172*Z172/(AD172*V172)</f>
        <v>2.8402253601956004E-3</v>
      </c>
      <c r="AJ172" s="3">
        <f t="shared" ref="AJ172:AJ177" si="141">1000000*AC172*AA172/(AD172*V172)</f>
        <v>2.528627435616701E-3</v>
      </c>
      <c r="AK172" s="1">
        <f t="shared" ref="AK172:AK177" si="142">Y172*100/V172</f>
        <v>4.650078430095803E-4</v>
      </c>
      <c r="AO172" s="37"/>
      <c r="AP172" s="165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</row>
    <row r="173" spans="1:78" x14ac:dyDescent="0.2">
      <c r="A173">
        <v>165</v>
      </c>
      <c r="D173">
        <v>1.0000905104</v>
      </c>
      <c r="E173" s="1">
        <v>-1.5989592333333301E-5</v>
      </c>
      <c r="F173" s="1">
        <v>-2.0864608666666801E-6</v>
      </c>
      <c r="G173" s="1">
        <v>5.2944218655493797E-7</v>
      </c>
      <c r="H173" s="1">
        <v>4.5519410964505601E-8</v>
      </c>
      <c r="I173" s="1">
        <v>2.34408764536558E-8</v>
      </c>
      <c r="K173">
        <v>0.2</v>
      </c>
      <c r="L173">
        <v>10</v>
      </c>
      <c r="M173" s="2">
        <f t="shared" si="131"/>
        <v>100.00905104</v>
      </c>
      <c r="N173" s="3">
        <f t="shared" si="132"/>
        <v>-0.31976290479824759</v>
      </c>
      <c r="O173" s="3">
        <f t="shared" si="133"/>
        <v>-4.1725440747001415E-2</v>
      </c>
      <c r="Q173" s="3">
        <f t="shared" si="134"/>
        <v>9.1030582714557494E-4</v>
      </c>
      <c r="R173" s="3">
        <f t="shared" si="135"/>
        <v>4.6877510005130036E-4</v>
      </c>
      <c r="S173" s="1">
        <f t="shared" si="136"/>
        <v>5.2939427086772404E-5</v>
      </c>
      <c r="V173">
        <v>1.0008820968000001</v>
      </c>
      <c r="W173" s="1">
        <v>-1.46106828333335E-5</v>
      </c>
      <c r="X173" s="1">
        <v>-2.1045117833333498E-6</v>
      </c>
      <c r="Y173" s="1">
        <v>1.8194544405880899E-6</v>
      </c>
      <c r="Z173" s="1">
        <v>1.2314726031045801E-7</v>
      </c>
      <c r="AA173" s="1">
        <v>3.4892339894591701E-8</v>
      </c>
      <c r="AC173">
        <v>0.2</v>
      </c>
      <c r="AD173">
        <v>10</v>
      </c>
      <c r="AE173" s="2">
        <f t="shared" si="137"/>
        <v>100.08820968000001</v>
      </c>
      <c r="AF173" s="3">
        <f t="shared" si="138"/>
        <v>-0.29195612310473895</v>
      </c>
      <c r="AG173" s="3">
        <f t="shared" si="139"/>
        <v>-4.2053140725802816E-2</v>
      </c>
      <c r="AI173" s="3">
        <f t="shared" si="140"/>
        <v>2.4607745648399936E-3</v>
      </c>
      <c r="AJ173" s="3">
        <f t="shared" si="141"/>
        <v>6.9723177197691477E-4</v>
      </c>
      <c r="AK173" s="1">
        <f t="shared" si="142"/>
        <v>1.8178509201085849E-4</v>
      </c>
      <c r="AO173" s="37"/>
      <c r="AP173" s="37"/>
      <c r="AQ173" s="37"/>
      <c r="AR173" s="166"/>
      <c r="AS173" s="166"/>
      <c r="AT173" s="166"/>
      <c r="AU173" s="166"/>
      <c r="AV173" s="166"/>
      <c r="AW173" s="37"/>
      <c r="AX173" s="37"/>
      <c r="AY173" s="37"/>
      <c r="AZ173" s="167"/>
      <c r="BA173" s="168"/>
      <c r="BB173" s="168"/>
      <c r="BC173" s="37"/>
      <c r="BD173" s="168"/>
      <c r="BE173" s="168"/>
      <c r="BF173" s="166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</row>
    <row r="174" spans="1:78" x14ac:dyDescent="0.2">
      <c r="A174">
        <v>166</v>
      </c>
      <c r="D174">
        <v>0.60042712304000001</v>
      </c>
      <c r="E174" s="1">
        <v>-9.8039174999999193E-6</v>
      </c>
      <c r="F174" s="1">
        <v>-1.46305713333333E-6</v>
      </c>
      <c r="G174" s="1">
        <v>1.4031995914410199E-7</v>
      </c>
      <c r="H174" s="1">
        <v>3.2941069403051697E-8</v>
      </c>
      <c r="I174" s="1">
        <v>4.5481358512203203E-8</v>
      </c>
      <c r="K174">
        <v>0.2</v>
      </c>
      <c r="L174">
        <v>10</v>
      </c>
      <c r="M174" s="2">
        <f t="shared" si="131"/>
        <v>60.042712303999998</v>
      </c>
      <c r="N174" s="3">
        <f t="shared" si="132"/>
        <v>-0.32656477776560366</v>
      </c>
      <c r="O174" s="3">
        <f t="shared" si="133"/>
        <v>-4.8733878840308886E-2</v>
      </c>
      <c r="Q174" s="3">
        <f t="shared" si="134"/>
        <v>1.0972545422754723E-3</v>
      </c>
      <c r="R174" s="3">
        <f t="shared" si="135"/>
        <v>1.5149668216828127E-3</v>
      </c>
      <c r="S174" s="1">
        <f t="shared" si="136"/>
        <v>2.3370023398285755E-5</v>
      </c>
      <c r="V174">
        <v>0.60009553851999997</v>
      </c>
      <c r="W174" s="1">
        <v>-8.8240038499999601E-6</v>
      </c>
      <c r="X174" s="1">
        <v>-1.4036516E-6</v>
      </c>
      <c r="Y174" s="1">
        <v>1.0703587981412E-6</v>
      </c>
      <c r="Z174" s="1">
        <v>2.5566189052682501E-8</v>
      </c>
      <c r="AA174" s="1">
        <v>8.5206433323859604E-8</v>
      </c>
      <c r="AC174">
        <v>0.2</v>
      </c>
      <c r="AD174">
        <v>10</v>
      </c>
      <c r="AE174" s="2">
        <f t="shared" si="137"/>
        <v>60.009553851999996</v>
      </c>
      <c r="AF174" s="3">
        <f t="shared" si="138"/>
        <v>-0.29408663399705892</v>
      </c>
      <c r="AG174" s="3">
        <f t="shared" si="139"/>
        <v>-4.6780937697413628E-2</v>
      </c>
      <c r="AI174" s="3">
        <f t="shared" si="140"/>
        <v>8.5207062581187424E-4</v>
      </c>
      <c r="AJ174" s="3">
        <f t="shared" si="141"/>
        <v>2.83976226632186E-3</v>
      </c>
      <c r="AK174" s="1">
        <f t="shared" si="142"/>
        <v>1.7836473185269764E-4</v>
      </c>
      <c r="AO174" s="37"/>
      <c r="AP174" s="37"/>
      <c r="AQ174" s="37"/>
      <c r="AR174" s="166"/>
      <c r="AS174" s="166"/>
      <c r="AT174" s="166"/>
      <c r="AU174" s="166"/>
      <c r="AV174" s="166"/>
      <c r="AW174" s="37"/>
      <c r="AX174" s="37"/>
      <c r="AY174" s="37"/>
      <c r="AZ174" s="167"/>
      <c r="BA174" s="168"/>
      <c r="BB174" s="168"/>
      <c r="BC174" s="37"/>
      <c r="BD174" s="168"/>
      <c r="BE174" s="168"/>
      <c r="BF174" s="166"/>
      <c r="BG174" s="37"/>
      <c r="BH174" s="37"/>
      <c r="BI174" s="37"/>
      <c r="BJ174" s="37"/>
      <c r="BK174" s="37"/>
      <c r="BL174" s="37"/>
      <c r="BM174" s="37"/>
      <c r="BN174" s="37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</row>
    <row r="175" spans="1:78" x14ac:dyDescent="0.2">
      <c r="A175">
        <v>167</v>
      </c>
      <c r="D175">
        <v>0.40053547521999999</v>
      </c>
      <c r="E175" s="1">
        <v>-6.6504547166666697E-6</v>
      </c>
      <c r="F175" s="1">
        <v>-9.9130596999999703E-7</v>
      </c>
      <c r="G175" s="1">
        <v>1.68015564401571E-6</v>
      </c>
      <c r="H175" s="1">
        <v>1.26620795155929E-7</v>
      </c>
      <c r="I175" s="1">
        <v>5.74542075554882E-8</v>
      </c>
      <c r="K175">
        <v>0.2</v>
      </c>
      <c r="L175">
        <v>10</v>
      </c>
      <c r="M175" s="2">
        <f t="shared" si="131"/>
        <v>40.053547522000002</v>
      </c>
      <c r="N175" s="3">
        <f t="shared" si="132"/>
        <v>-0.33207818673308831</v>
      </c>
      <c r="O175" s="3">
        <f t="shared" si="133"/>
        <v>-4.9499034733715301E-2</v>
      </c>
      <c r="Q175" s="3">
        <f t="shared" si="134"/>
        <v>6.322575801126263E-3</v>
      </c>
      <c r="R175" s="3">
        <f t="shared" si="135"/>
        <v>2.868869855981203E-3</v>
      </c>
      <c r="S175" s="1">
        <f t="shared" si="136"/>
        <v>4.1947736167261088E-4</v>
      </c>
      <c r="V175">
        <v>0.3998781139</v>
      </c>
      <c r="W175" s="1">
        <v>-5.9680408666666701E-6</v>
      </c>
      <c r="X175" s="1">
        <v>-1.00583882666666E-6</v>
      </c>
      <c r="Y175" s="1">
        <v>8.5451879047409896E-7</v>
      </c>
      <c r="Z175" s="1">
        <v>4.4018650413760897E-8</v>
      </c>
      <c r="AA175" s="1">
        <v>6.5971195361309297E-8</v>
      </c>
      <c r="AC175">
        <v>0.2</v>
      </c>
      <c r="AD175">
        <v>10</v>
      </c>
      <c r="AE175" s="2">
        <f t="shared" si="137"/>
        <v>39.987811389999997</v>
      </c>
      <c r="AF175" s="3">
        <f t="shared" si="138"/>
        <v>-0.29849299870205626</v>
      </c>
      <c r="AG175" s="3">
        <f t="shared" si="139"/>
        <v>-5.030727072590907E-2</v>
      </c>
      <c r="AI175" s="3">
        <f t="shared" si="140"/>
        <v>2.2016033828132398E-3</v>
      </c>
      <c r="AJ175" s="3">
        <f t="shared" si="141"/>
        <v>3.2995651958990244E-3</v>
      </c>
      <c r="AK175" s="1">
        <f t="shared" si="142"/>
        <v>2.1369481368710113E-4</v>
      </c>
      <c r="AO175" s="37"/>
      <c r="AP175" s="37"/>
      <c r="AQ175" s="37"/>
      <c r="AR175" s="166"/>
      <c r="AS175" s="166"/>
      <c r="AT175" s="166"/>
      <c r="AU175" s="166"/>
      <c r="AV175" s="166"/>
      <c r="AW175" s="37"/>
      <c r="AX175" s="37"/>
      <c r="AY175" s="37"/>
      <c r="AZ175" s="167"/>
      <c r="BA175" s="168"/>
      <c r="BB175" s="168"/>
      <c r="BC175" s="37"/>
      <c r="BD175" s="168"/>
      <c r="BE175" s="168"/>
      <c r="BF175" s="166"/>
      <c r="BG175" s="37"/>
      <c r="BH175" s="37"/>
      <c r="BI175" s="37"/>
      <c r="BJ175" s="37"/>
      <c r="BK175" s="37"/>
      <c r="BL175" s="37"/>
      <c r="BM175" s="37"/>
      <c r="BN175" s="37"/>
      <c r="BO175" s="37"/>
      <c r="BP175" s="37"/>
      <c r="BQ175" s="37"/>
      <c r="BR175" s="37"/>
      <c r="BS175" s="37"/>
      <c r="BT175" s="37"/>
      <c r="BU175" s="37"/>
      <c r="BV175" s="37"/>
      <c r="BW175" s="37"/>
      <c r="BX175" s="37"/>
      <c r="BY175" s="37"/>
      <c r="BZ175" s="37"/>
    </row>
    <row r="176" spans="1:78" x14ac:dyDescent="0.2">
      <c r="A176">
        <v>168</v>
      </c>
      <c r="D176">
        <v>0.20082145286</v>
      </c>
      <c r="E176" s="1">
        <v>-3.4033486333333301E-6</v>
      </c>
      <c r="F176" s="1">
        <v>-5.7950651999999996E-7</v>
      </c>
      <c r="G176" s="1">
        <v>6.6452787598458395E-7</v>
      </c>
      <c r="H176" s="1">
        <v>1.12864891695627E-7</v>
      </c>
      <c r="I176" s="1">
        <v>1.1417392608697E-7</v>
      </c>
      <c r="K176">
        <v>0.2</v>
      </c>
      <c r="L176">
        <v>10</v>
      </c>
      <c r="M176" s="2">
        <f t="shared" si="131"/>
        <v>20.082145285999999</v>
      </c>
      <c r="N176" s="3">
        <f t="shared" si="132"/>
        <v>-0.33894273593428581</v>
      </c>
      <c r="O176" s="3">
        <f t="shared" si="133"/>
        <v>-5.7713606962498692E-2</v>
      </c>
      <c r="Q176" s="3">
        <f t="shared" si="134"/>
        <v>1.1240322195488671E-2</v>
      </c>
      <c r="R176" s="3">
        <f t="shared" si="135"/>
        <v>1.1370690178859014E-2</v>
      </c>
      <c r="S176" s="1">
        <f t="shared" si="136"/>
        <v>3.3090482442025291E-4</v>
      </c>
      <c r="V176">
        <v>0.19967327402000001</v>
      </c>
      <c r="W176" s="1">
        <v>-3.0868734500000001E-6</v>
      </c>
      <c r="X176" s="1">
        <v>-4.3192605666666598E-7</v>
      </c>
      <c r="Y176" s="1">
        <v>3.8552986387437E-7</v>
      </c>
      <c r="Z176" s="1">
        <v>9.5434770993582399E-8</v>
      </c>
      <c r="AA176" s="1">
        <v>5.6545520471918201E-8</v>
      </c>
      <c r="AC176">
        <v>0.2</v>
      </c>
      <c r="AD176">
        <v>10</v>
      </c>
      <c r="AE176" s="2">
        <f t="shared" si="137"/>
        <v>19.967327402000002</v>
      </c>
      <c r="AF176" s="3">
        <f t="shared" si="138"/>
        <v>-0.30919245103286158</v>
      </c>
      <c r="AG176" s="3">
        <f t="shared" si="139"/>
        <v>-4.3263281857481115E-2</v>
      </c>
      <c r="AI176" s="3">
        <f t="shared" si="140"/>
        <v>9.5590931196954578E-3</v>
      </c>
      <c r="AJ176" s="3">
        <f t="shared" si="141"/>
        <v>5.6638046077467927E-3</v>
      </c>
      <c r="AK176" s="1">
        <f t="shared" si="142"/>
        <v>1.930803537762164E-4</v>
      </c>
      <c r="AO176" s="37"/>
      <c r="AP176" s="37"/>
      <c r="AQ176" s="37"/>
      <c r="AR176" s="166"/>
      <c r="AS176" s="166"/>
      <c r="AT176" s="166"/>
      <c r="AU176" s="166"/>
      <c r="AV176" s="166"/>
      <c r="AW176" s="37"/>
      <c r="AX176" s="37"/>
      <c r="AY176" s="37"/>
      <c r="AZ176" s="167"/>
      <c r="BA176" s="168"/>
      <c r="BB176" s="168"/>
      <c r="BC176" s="37"/>
      <c r="BD176" s="168"/>
      <c r="BE176" s="168"/>
      <c r="BF176" s="166"/>
      <c r="BG176" s="37"/>
      <c r="BH176" s="37"/>
      <c r="BI176" s="37"/>
      <c r="BJ176" s="37"/>
      <c r="BK176" s="37"/>
      <c r="BL176" s="37"/>
      <c r="BM176" s="37"/>
      <c r="BN176" s="37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</row>
    <row r="177" spans="1:78" x14ac:dyDescent="0.2">
      <c r="A177">
        <v>169</v>
      </c>
      <c r="D177">
        <v>0.10008493005999999</v>
      </c>
      <c r="E177" s="1">
        <v>-1.7255858E-6</v>
      </c>
      <c r="F177" s="1">
        <v>-2.9264812499999999E-7</v>
      </c>
      <c r="G177" s="1">
        <v>3.3175617892881203E-7</v>
      </c>
      <c r="H177" s="1">
        <v>6.9694781689114496E-8</v>
      </c>
      <c r="I177" s="1">
        <v>7.4358759966279103E-8</v>
      </c>
      <c r="K177">
        <v>0.2</v>
      </c>
      <c r="L177">
        <v>10</v>
      </c>
      <c r="M177" s="2">
        <f t="shared" si="131"/>
        <v>10.008493006</v>
      </c>
      <c r="N177" s="3">
        <f t="shared" si="132"/>
        <v>-0.34482430051467838</v>
      </c>
      <c r="O177" s="3">
        <f t="shared" si="133"/>
        <v>-5.8479957936636448E-2</v>
      </c>
      <c r="Q177" s="3">
        <f t="shared" si="134"/>
        <v>1.3927128019639544E-2</v>
      </c>
      <c r="R177" s="3">
        <f t="shared" si="135"/>
        <v>1.4859132123427916E-2</v>
      </c>
      <c r="S177" s="1">
        <f t="shared" si="136"/>
        <v>3.3147465730347939E-4</v>
      </c>
      <c r="V177">
        <v>9.9207608050000007E-2</v>
      </c>
      <c r="W177" s="1">
        <v>-1.5515172E-6</v>
      </c>
      <c r="X177" s="1">
        <v>-2.3796436833333299E-7</v>
      </c>
      <c r="Y177" s="1">
        <v>1.5100642247147399E-7</v>
      </c>
      <c r="Z177" s="1">
        <v>1.4646066553629099E-8</v>
      </c>
      <c r="AA177" s="1">
        <v>2.7246692704974901E-8</v>
      </c>
      <c r="AC177">
        <v>0.2</v>
      </c>
      <c r="AD177">
        <v>10</v>
      </c>
      <c r="AE177" s="2">
        <f t="shared" si="137"/>
        <v>9.9207608050000005</v>
      </c>
      <c r="AF177" s="3">
        <f t="shared" si="138"/>
        <v>-0.31278189858544819</v>
      </c>
      <c r="AG177" s="3">
        <f t="shared" si="139"/>
        <v>-4.7973007919594322E-2</v>
      </c>
      <c r="AI177" s="3">
        <f t="shared" si="140"/>
        <v>2.9526095511238563E-3</v>
      </c>
      <c r="AJ177" s="3">
        <f t="shared" si="141"/>
        <v>5.4928635495863866E-3</v>
      </c>
      <c r="AK177" s="1">
        <f t="shared" si="142"/>
        <v>1.5221254240437661E-4</v>
      </c>
      <c r="AO177" s="37"/>
      <c r="AP177" s="37"/>
      <c r="AQ177" s="37"/>
      <c r="AR177" s="166"/>
      <c r="AS177" s="166"/>
      <c r="AT177" s="166"/>
      <c r="AU177" s="166"/>
      <c r="AV177" s="166"/>
      <c r="AW177" s="37"/>
      <c r="AX177" s="37"/>
      <c r="AY177" s="37"/>
      <c r="AZ177" s="167"/>
      <c r="BA177" s="168"/>
      <c r="BB177" s="168"/>
      <c r="BC177" s="37"/>
      <c r="BD177" s="168"/>
      <c r="BE177" s="168"/>
      <c r="BF177" s="166"/>
      <c r="BG177" s="37"/>
      <c r="BH177" s="37"/>
      <c r="BI177" s="37"/>
      <c r="BJ177" s="37"/>
      <c r="BK177" s="37"/>
      <c r="BL177" s="37"/>
      <c r="BM177" s="37"/>
      <c r="BN177" s="37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</row>
    <row r="178" spans="1:78" x14ac:dyDescent="0.2">
      <c r="A178">
        <v>170</v>
      </c>
      <c r="U178" s="3"/>
      <c r="V178" s="3"/>
      <c r="AO178" s="37"/>
      <c r="AP178" s="165" t="s">
        <v>467</v>
      </c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  <c r="BK178" s="37"/>
      <c r="BL178" s="37"/>
      <c r="BM178" s="37"/>
      <c r="BN178" s="37"/>
      <c r="BO178" s="37"/>
      <c r="BP178" s="37"/>
      <c r="BQ178" s="37"/>
      <c r="BR178" s="37"/>
      <c r="BS178" s="37"/>
      <c r="BT178" s="37"/>
      <c r="BU178" s="37"/>
      <c r="BV178" s="37"/>
      <c r="BW178" s="37"/>
      <c r="BX178" s="37"/>
      <c r="BY178" s="37"/>
      <c r="BZ178" s="37"/>
    </row>
    <row r="179" spans="1:78" x14ac:dyDescent="0.2">
      <c r="A179">
        <v>171</v>
      </c>
      <c r="C179" t="s">
        <v>467</v>
      </c>
      <c r="D179">
        <v>0.40004505672000001</v>
      </c>
      <c r="E179">
        <v>2.2605576833333199E-3</v>
      </c>
      <c r="F179">
        <v>-1.10333791666668E-2</v>
      </c>
      <c r="G179" s="1">
        <v>2.1872560295618001E-7</v>
      </c>
      <c r="H179" s="1">
        <v>6.7774458659873604E-6</v>
      </c>
      <c r="I179" s="1">
        <v>4.2161334766650698E-5</v>
      </c>
      <c r="K179">
        <v>0.2</v>
      </c>
      <c r="L179">
        <v>10</v>
      </c>
      <c r="M179" s="2">
        <f>100*D179/(K179*5)</f>
        <v>40.004505672000001</v>
      </c>
      <c r="N179" s="3">
        <f>1000000*E179*K179/(L179*D179)</f>
        <v>113.01515393629934</v>
      </c>
      <c r="O179" s="3">
        <f>1000000*F179*K179/(D179*L179)</f>
        <v>-551.60682434775322</v>
      </c>
      <c r="Q179" s="3">
        <f>1000000*K179*H179/(L179*D179)</f>
        <v>0.33883412641346738</v>
      </c>
      <c r="R179" s="3">
        <f>1000000*K179*I179/(L179*D179)</f>
        <v>2.1078293086451168</v>
      </c>
      <c r="S179" s="1">
        <f>G179*100/D179</f>
        <v>5.4675242021368279E-5</v>
      </c>
      <c r="AO179" s="37"/>
      <c r="AP179" s="37"/>
      <c r="AQ179" s="37">
        <v>0.39685590065999998</v>
      </c>
      <c r="AR179" s="37">
        <v>-2.3689744666666999E-3</v>
      </c>
      <c r="AS179" s="37">
        <v>1.12675208333333E-2</v>
      </c>
      <c r="AT179" s="166">
        <v>2.2888012704256901E-6</v>
      </c>
      <c r="AU179" s="166">
        <v>1.0930670506220299E-5</v>
      </c>
      <c r="AV179" s="166">
        <v>3.7908950341208997E-5</v>
      </c>
      <c r="AW179" s="37"/>
      <c r="AX179" s="37">
        <v>0.2</v>
      </c>
      <c r="AY179" s="37">
        <v>10</v>
      </c>
      <c r="AZ179" s="167">
        <f>100*AQ179/(AX179*5)</f>
        <v>39.685590065999996</v>
      </c>
      <c r="BA179" s="168">
        <f>1000000*AR179*AX179/(AY179*AQ179)</f>
        <v>-119.38713587107686</v>
      </c>
      <c r="BB179" s="168">
        <f>1000000*AS179*AX179/(AQ179*AY179)</f>
        <v>567.83940037653974</v>
      </c>
      <c r="BC179" s="37"/>
      <c r="BD179" s="168">
        <f>1000000*AX179*AU179/(AY179*AQ179)</f>
        <v>0.55086344882572269</v>
      </c>
      <c r="BE179" s="168">
        <f>1000000*AX179*AV179/(AY179*AQ179)</f>
        <v>1.9104642404542143</v>
      </c>
      <c r="BF179" s="166">
        <f>AT179*100/AQ179</f>
        <v>5.7673358683069814E-4</v>
      </c>
      <c r="BG179" s="37"/>
      <c r="BH179" s="37"/>
      <c r="BI179" s="37"/>
      <c r="BJ179" s="37"/>
      <c r="BK179" s="37"/>
      <c r="BL179" s="37"/>
      <c r="BM179" s="37"/>
      <c r="BN179" s="37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</row>
    <row r="180" spans="1:78" x14ac:dyDescent="0.2">
      <c r="A180">
        <v>172</v>
      </c>
      <c r="BO180" s="2">
        <f>BR164</f>
        <v>119.50184883999999</v>
      </c>
      <c r="BP180" s="3">
        <f>BA164+N164</f>
        <v>1.0329052428747931E-2</v>
      </c>
      <c r="BQ180" s="3">
        <f>BB164+O164</f>
        <v>1.3781263234629269E-2</v>
      </c>
      <c r="BR180" s="3">
        <f>BS164+AF164</f>
        <v>6.9141925062740847E-3</v>
      </c>
      <c r="BS180" s="3">
        <f>BT164+AG164</f>
        <v>1.1542574142168305E-2</v>
      </c>
    </row>
    <row r="181" spans="1:78" x14ac:dyDescent="0.2">
      <c r="A181">
        <v>173</v>
      </c>
      <c r="G181" s="264" t="s">
        <v>693</v>
      </c>
      <c r="H181" s="265">
        <v>0.26800000000000002</v>
      </c>
      <c r="I181" s="264" t="s">
        <v>694</v>
      </c>
      <c r="P181" s="173" t="s">
        <v>481</v>
      </c>
      <c r="Q181" s="64" t="s">
        <v>482</v>
      </c>
      <c r="R181" s="266" t="s">
        <v>697</v>
      </c>
      <c r="S181" s="266"/>
      <c r="U181" s="3"/>
      <c r="V181" s="3"/>
      <c r="BO181" s="2"/>
      <c r="BP181" s="3"/>
      <c r="BQ181" s="3"/>
      <c r="BR181" s="3"/>
      <c r="BS181" s="3"/>
    </row>
    <row r="182" spans="1:78" x14ac:dyDescent="0.2">
      <c r="A182">
        <v>174</v>
      </c>
      <c r="B182" s="170">
        <v>41323</v>
      </c>
      <c r="C182" s="5" t="s">
        <v>132</v>
      </c>
      <c r="D182" s="7"/>
      <c r="E182" s="24" t="s">
        <v>189</v>
      </c>
      <c r="F182" s="10"/>
      <c r="G182" s="10"/>
      <c r="H182" s="10"/>
      <c r="I182" s="10"/>
      <c r="J182" s="7"/>
      <c r="K182" s="7"/>
      <c r="L182" t="s">
        <v>227</v>
      </c>
      <c r="M182" t="s">
        <v>228</v>
      </c>
      <c r="N182" s="25" t="s">
        <v>317</v>
      </c>
      <c r="O182" s="7"/>
      <c r="P182" s="173">
        <v>2000</v>
      </c>
      <c r="Q182" s="64" t="s">
        <v>483</v>
      </c>
      <c r="R182" s="266" t="s">
        <v>597</v>
      </c>
      <c r="S182" s="266">
        <v>100</v>
      </c>
      <c r="U182" s="3"/>
      <c r="V182" s="3"/>
      <c r="BO182" s="2"/>
      <c r="BP182" s="3"/>
      <c r="BQ182" s="3"/>
      <c r="BR182" s="3"/>
      <c r="BS182" s="3"/>
    </row>
    <row r="183" spans="1:78" x14ac:dyDescent="0.2">
      <c r="A183">
        <v>175</v>
      </c>
      <c r="C183" t="s">
        <v>183</v>
      </c>
      <c r="D183">
        <v>0.500861</v>
      </c>
      <c r="E183" s="1">
        <v>7.5539999999999996E-2</v>
      </c>
      <c r="F183">
        <f>E183/D183</f>
        <v>0.1508202874649853</v>
      </c>
      <c r="G183">
        <v>0.2</v>
      </c>
      <c r="H183">
        <f>H$181/G183</f>
        <v>1.34</v>
      </c>
      <c r="I183">
        <f>H183+1</f>
        <v>2.34</v>
      </c>
      <c r="J183">
        <f>F183-I183/100</f>
        <v>0.12742028746498529</v>
      </c>
      <c r="K183">
        <v>1</v>
      </c>
      <c r="L183" s="266">
        <f>1/$S$182*($S$183*E183/D183-1/($S$185*$S$182)*($S$183+$S$184))</f>
        <v>2.9228057492997056E-4</v>
      </c>
      <c r="M183" s="15">
        <f>1/L183</f>
        <v>3421.3700319961276</v>
      </c>
      <c r="N183">
        <f>5*M183/(SUM($M$183:$M$187))</f>
        <v>1.0627623037139364</v>
      </c>
      <c r="P183" s="174">
        <f>P190</f>
        <v>2.2110651258655158E-3</v>
      </c>
      <c r="Q183" s="171">
        <f>(L183/P183-1)*100</f>
        <v>-86.781005610788682</v>
      </c>
      <c r="R183" s="266" t="s">
        <v>695</v>
      </c>
      <c r="S183" s="266">
        <v>0.2</v>
      </c>
      <c r="T183" s="1"/>
      <c r="U183" s="3"/>
      <c r="V183" s="3"/>
      <c r="BO183" s="2"/>
      <c r="BP183" s="3"/>
      <c r="BQ183" s="3"/>
      <c r="BR183" s="3"/>
      <c r="BS183" s="3"/>
    </row>
    <row r="184" spans="1:78" x14ac:dyDescent="0.2">
      <c r="A184">
        <v>176</v>
      </c>
      <c r="C184" t="s">
        <v>184</v>
      </c>
      <c r="D184">
        <v>0.50062950000000006</v>
      </c>
      <c r="E184">
        <v>7.5111999999999998E-2</v>
      </c>
      <c r="F184">
        <f>E184/D184</f>
        <v>0.15003510580179552</v>
      </c>
      <c r="G184">
        <v>0.2</v>
      </c>
      <c r="H184">
        <f>H$181/G184</f>
        <v>1.34</v>
      </c>
      <c r="I184">
        <f>H184+1</f>
        <v>2.34</v>
      </c>
      <c r="J184">
        <f>F184-I184/100</f>
        <v>0.12663510580179552</v>
      </c>
      <c r="K184">
        <v>2</v>
      </c>
      <c r="L184" s="266">
        <f>1/$S$182*($S$183*E184/D184-1/($S$185*$S$182)*($S$183+$S$184))</f>
        <v>2.9071021160359105E-4</v>
      </c>
      <c r="M184" s="15">
        <f>1/L184</f>
        <v>3439.851646365928</v>
      </c>
      <c r="N184">
        <f>5*M184/(SUM($M$183:$M$187))</f>
        <v>1.0685031510588061</v>
      </c>
      <c r="O184" s="3"/>
      <c r="P184" s="174">
        <f>P191</f>
        <v>2.260803795235205E-3</v>
      </c>
      <c r="Q184" s="171">
        <f>(L184/P184-1)*100</f>
        <v>-87.141289650332226</v>
      </c>
      <c r="R184" s="266" t="s">
        <v>696</v>
      </c>
      <c r="S184" s="266">
        <f>H181</f>
        <v>0.26800000000000002</v>
      </c>
      <c r="U184" s="3"/>
      <c r="V184" s="3"/>
      <c r="BO184" s="2"/>
      <c r="BP184" s="3"/>
      <c r="BQ184" s="3"/>
      <c r="BR184" s="3"/>
      <c r="BS184" s="3"/>
    </row>
    <row r="185" spans="1:78" x14ac:dyDescent="0.2">
      <c r="A185">
        <v>177</v>
      </c>
      <c r="C185" t="s">
        <v>185</v>
      </c>
      <c r="D185">
        <v>0.50116499999999997</v>
      </c>
      <c r="E185" s="1">
        <v>8.1626000000000004E-2</v>
      </c>
      <c r="F185">
        <f>E185/D185</f>
        <v>0.16287250705855358</v>
      </c>
      <c r="G185">
        <v>0.2</v>
      </c>
      <c r="H185">
        <f>H$181/G185</f>
        <v>1.34</v>
      </c>
      <c r="I185">
        <f>H185+1</f>
        <v>2.34</v>
      </c>
      <c r="J185">
        <f>F185-I185/100</f>
        <v>0.13947250705855357</v>
      </c>
      <c r="K185">
        <v>3</v>
      </c>
      <c r="L185" s="266">
        <f>1/$S$182*($S$183*E185/D185-1/($S$185*$S$182)*($S$183+$S$184))</f>
        <v>3.163850141171072E-4</v>
      </c>
      <c r="M185" s="15">
        <f>1/L185</f>
        <v>3160.7059607123447</v>
      </c>
      <c r="N185">
        <f>5*M185/(SUM($M$183:$M$187))</f>
        <v>0.98179358466211764</v>
      </c>
      <c r="O185" s="3"/>
      <c r="P185" s="174">
        <f>P192</f>
        <v>2.4018909029750761E-3</v>
      </c>
      <c r="Q185" s="171">
        <f>(L185/P185-1)*100</f>
        <v>-86.827669244876176</v>
      </c>
      <c r="R185" s="266" t="s">
        <v>698</v>
      </c>
      <c r="S185" s="266">
        <v>5</v>
      </c>
      <c r="T185" s="1"/>
      <c r="U185" s="3"/>
      <c r="V185" s="3"/>
      <c r="BO185" s="2"/>
      <c r="BP185" s="3"/>
      <c r="BQ185" s="3"/>
      <c r="BR185" s="3"/>
      <c r="BS185" s="3"/>
    </row>
    <row r="186" spans="1:78" x14ac:dyDescent="0.2">
      <c r="A186">
        <v>178</v>
      </c>
      <c r="C186" t="s">
        <v>186</v>
      </c>
      <c r="D186">
        <v>0.50107400000000002</v>
      </c>
      <c r="E186" s="1">
        <v>9.8595000000000002E-2</v>
      </c>
      <c r="F186">
        <f>E186/D186</f>
        <v>0.19676734374563437</v>
      </c>
      <c r="G186">
        <v>0.2</v>
      </c>
      <c r="H186">
        <f>H$181/G186</f>
        <v>1.34</v>
      </c>
      <c r="I186">
        <f>H186+1</f>
        <v>2.34</v>
      </c>
      <c r="J186">
        <f>F186-I186/100</f>
        <v>0.17336734374563437</v>
      </c>
      <c r="K186">
        <v>4</v>
      </c>
      <c r="L186" s="266">
        <f>1/$S$182*($S$183*E186/D186-1/($S$185*$S$182)*($S$183+$S$184))</f>
        <v>3.8417468749126876E-4</v>
      </c>
      <c r="M186" s="15">
        <f>1/L186</f>
        <v>2602.9825299792228</v>
      </c>
      <c r="N186">
        <f>5*M186/(SUM($M$183:$M$187))</f>
        <v>0.80855086828298395</v>
      </c>
      <c r="O186" s="3"/>
      <c r="P186" s="174">
        <f>P193</f>
        <v>2.5708779459864876E-3</v>
      </c>
      <c r="Q186" s="171">
        <f>(L186/P186-1)*100</f>
        <v>-85.056673418081914</v>
      </c>
      <c r="T186" s="1"/>
      <c r="U186" s="3"/>
      <c r="V186" s="3"/>
      <c r="BO186" s="2"/>
      <c r="BP186" s="3"/>
      <c r="BQ186" s="3"/>
      <c r="BR186" s="3"/>
      <c r="BS186" s="3"/>
    </row>
    <row r="187" spans="1:78" x14ac:dyDescent="0.2">
      <c r="A187">
        <v>179</v>
      </c>
      <c r="C187" t="s">
        <v>187</v>
      </c>
      <c r="D187">
        <v>0.49979000000000001</v>
      </c>
      <c r="E187" s="1">
        <v>7.4319999999999997E-2</v>
      </c>
      <c r="F187">
        <f>E187/D187</f>
        <v>0.14870245503111307</v>
      </c>
      <c r="G187">
        <v>0.2</v>
      </c>
      <c r="H187">
        <f>H$181/G187</f>
        <v>1.34</v>
      </c>
      <c r="I187">
        <f>H187+1</f>
        <v>2.34</v>
      </c>
      <c r="J187">
        <f>F187-I187/100</f>
        <v>0.12530245503111306</v>
      </c>
      <c r="K187">
        <v>5</v>
      </c>
      <c r="L187" s="266">
        <f>1/$S$182*($S$183*E187/D187-1/($S$185*$S$182)*($S$183+$S$184))</f>
        <v>2.8804491006222615E-4</v>
      </c>
      <c r="M187" s="15">
        <f>1/L187</f>
        <v>3471.6808562386009</v>
      </c>
      <c r="N187">
        <f>5*M187/(SUM($M$183:$M$187))</f>
        <v>1.0783900922821559</v>
      </c>
      <c r="O187" s="3"/>
      <c r="P187" s="174">
        <f>P194</f>
        <v>2.1272443473513924E-3</v>
      </c>
      <c r="Q187" s="171">
        <f>(L187/P187-1)*100</f>
        <v>-86.459246657730333</v>
      </c>
      <c r="T187" s="1"/>
      <c r="U187" s="3"/>
      <c r="V187" s="3"/>
      <c r="BO187" s="2"/>
      <c r="BP187" s="3"/>
      <c r="BQ187" s="3"/>
      <c r="BR187" s="3"/>
      <c r="BS187" s="3"/>
    </row>
    <row r="188" spans="1:78" x14ac:dyDescent="0.2">
      <c r="A188">
        <v>180</v>
      </c>
      <c r="E188" s="1"/>
      <c r="L188" s="21"/>
      <c r="M188" s="15"/>
      <c r="O188" s="3"/>
      <c r="P188" s="174"/>
      <c r="Q188" s="171"/>
      <c r="T188" s="26"/>
      <c r="U188" s="26"/>
      <c r="V188" s="21"/>
      <c r="BO188" s="2"/>
      <c r="BP188" s="3"/>
      <c r="BQ188" s="3"/>
      <c r="BR188" s="3"/>
      <c r="BS188" s="3"/>
    </row>
    <row r="189" spans="1:78" x14ac:dyDescent="0.2">
      <c r="A189">
        <v>181</v>
      </c>
      <c r="B189" s="170">
        <v>41324</v>
      </c>
      <c r="C189" s="5" t="s">
        <v>132</v>
      </c>
      <c r="D189" s="7"/>
      <c r="E189" s="24" t="s">
        <v>189</v>
      </c>
      <c r="F189" s="10"/>
      <c r="G189" s="10"/>
      <c r="H189" s="10"/>
      <c r="I189" s="10"/>
      <c r="J189" s="7"/>
      <c r="K189" s="7"/>
      <c r="L189" t="s">
        <v>227</v>
      </c>
      <c r="M189" t="s">
        <v>228</v>
      </c>
      <c r="N189" s="25" t="s">
        <v>317</v>
      </c>
      <c r="O189" s="25" t="s">
        <v>692</v>
      </c>
      <c r="P189" s="174"/>
      <c r="Q189" s="172"/>
      <c r="U189" s="3"/>
      <c r="V189" s="3"/>
      <c r="BO189" s="2"/>
      <c r="BP189" s="3"/>
      <c r="BQ189" s="3"/>
      <c r="BR189" s="3"/>
      <c r="BS189" s="3"/>
    </row>
    <row r="190" spans="1:78" x14ac:dyDescent="0.2">
      <c r="A190">
        <v>182</v>
      </c>
      <c r="B190" s="33" t="s">
        <v>478</v>
      </c>
      <c r="C190" t="s">
        <v>183</v>
      </c>
      <c r="D190">
        <v>0.50169299999999994</v>
      </c>
      <c r="E190" s="1">
        <v>6.7930000000000004E-2</v>
      </c>
      <c r="F190">
        <f>E190/D190</f>
        <v>0.13540153041800465</v>
      </c>
      <c r="G190">
        <v>0.2</v>
      </c>
      <c r="H190">
        <f>H$181/G190</f>
        <v>1.34</v>
      </c>
      <c r="I190">
        <f>H190+1</f>
        <v>2.34</v>
      </c>
      <c r="J190">
        <f>F190-I190/100</f>
        <v>0.11200153041800465</v>
      </c>
      <c r="K190">
        <v>1</v>
      </c>
      <c r="L190" s="266">
        <f>1/$S$182*($S$183*E190/D190-1/($S$185*$S$182)*($S$183+$S$184))</f>
        <v>2.6144306083600934E-4</v>
      </c>
      <c r="M190" s="15">
        <f>1/L190</f>
        <v>3824.9246195417363</v>
      </c>
      <c r="N190">
        <f>5*M190/(SUM($M$190:$M$194))</f>
        <v>1.0836421720192633</v>
      </c>
      <c r="O190">
        <f>1-N190</f>
        <v>-8.3642172019263272E-2</v>
      </c>
      <c r="P190" s="174">
        <f>'Data(2000)'!L267</f>
        <v>2.2110651258655158E-3</v>
      </c>
      <c r="Q190" s="171">
        <f>(L190/P190-1)*100</f>
        <v>-88.175696058085663</v>
      </c>
      <c r="U190" s="3"/>
      <c r="V190" s="3"/>
      <c r="BO190" s="2"/>
      <c r="BP190" s="3"/>
      <c r="BQ190" s="3"/>
      <c r="BR190" s="3"/>
      <c r="BS190" s="3"/>
    </row>
    <row r="191" spans="1:78" x14ac:dyDescent="0.2">
      <c r="A191">
        <v>183</v>
      </c>
      <c r="B191" s="33" t="s">
        <v>480</v>
      </c>
      <c r="C191" t="s">
        <v>184</v>
      </c>
      <c r="D191">
        <v>0.50152350000000001</v>
      </c>
      <c r="E191">
        <v>7.1811E-2</v>
      </c>
      <c r="F191">
        <f>E191/D191</f>
        <v>0.14318571313208653</v>
      </c>
      <c r="G191">
        <v>0.2</v>
      </c>
      <c r="H191">
        <f>H$181/G191</f>
        <v>1.34</v>
      </c>
      <c r="I191">
        <f>H191+1</f>
        <v>2.34</v>
      </c>
      <c r="J191">
        <f>F191-I191/100</f>
        <v>0.11978571313208652</v>
      </c>
      <c r="K191">
        <v>2</v>
      </c>
      <c r="L191" s="266">
        <f>1/$S$182*($S$183*E191/D191-1/($S$185*$S$182)*($S$183+$S$184))</f>
        <v>2.7701142626417307E-4</v>
      </c>
      <c r="M191" s="15">
        <f>1/L191</f>
        <v>3609.9593922394592</v>
      </c>
      <c r="N191">
        <f>5*M191/(SUM($M$190:$M$194))</f>
        <v>1.0227402173422155</v>
      </c>
      <c r="O191">
        <f>1-N191</f>
        <v>-2.2740217342215541E-2</v>
      </c>
      <c r="P191" s="174">
        <f>'Data(2000)'!L268</f>
        <v>2.260803795235205E-3</v>
      </c>
      <c r="Q191" s="171">
        <f>(L191/P191-1)*100</f>
        <v>-87.747215090137715</v>
      </c>
      <c r="U191" s="3"/>
      <c r="V191" s="3"/>
      <c r="BO191" s="2"/>
      <c r="BP191" s="3"/>
      <c r="BQ191" s="3"/>
      <c r="BR191" s="3"/>
      <c r="BS191" s="3"/>
    </row>
    <row r="192" spans="1:78" x14ac:dyDescent="0.2">
      <c r="A192">
        <v>184</v>
      </c>
      <c r="B192" s="33" t="s">
        <v>479</v>
      </c>
      <c r="C192" t="s">
        <v>185</v>
      </c>
      <c r="D192">
        <v>0.50126300000000001</v>
      </c>
      <c r="E192" s="1">
        <v>7.5062000000000004E-2</v>
      </c>
      <c r="F192">
        <f>E192/D192</f>
        <v>0.14974574225506371</v>
      </c>
      <c r="G192">
        <v>0.2</v>
      </c>
      <c r="H192">
        <f>H$181/G192</f>
        <v>1.34</v>
      </c>
      <c r="I192">
        <f>H192+1</f>
        <v>2.34</v>
      </c>
      <c r="J192">
        <f>F192-I192/100</f>
        <v>0.1263457422550637</v>
      </c>
      <c r="K192">
        <v>3</v>
      </c>
      <c r="L192" s="266">
        <f>1/$S$182*($S$183*E192/D192-1/($S$185*$S$182)*($S$183+$S$184))</f>
        <v>2.901314845101275E-4</v>
      </c>
      <c r="M192" s="15">
        <f>1/L192</f>
        <v>3446.7131400387311</v>
      </c>
      <c r="N192">
        <f>5*M192/(SUM($M$190:$M$194))</f>
        <v>0.97649080306487079</v>
      </c>
      <c r="O192">
        <f>1-N192</f>
        <v>2.3509196935129206E-2</v>
      </c>
      <c r="P192" s="174">
        <f>'Data(2000)'!L269</f>
        <v>2.4018909029750761E-3</v>
      </c>
      <c r="Q192" s="171">
        <f>(L192/P192-1)*100</f>
        <v>-87.920705134826932</v>
      </c>
      <c r="U192" s="3"/>
      <c r="V192" s="3"/>
      <c r="BO192" s="2"/>
      <c r="BP192" s="3"/>
      <c r="BQ192" s="3"/>
      <c r="BR192" s="3"/>
      <c r="BS192" s="3"/>
    </row>
    <row r="193" spans="1:71" x14ac:dyDescent="0.2">
      <c r="A193">
        <v>185</v>
      </c>
      <c r="C193" t="s">
        <v>186</v>
      </c>
      <c r="D193">
        <v>0.50156900000000004</v>
      </c>
      <c r="E193" s="1">
        <v>8.4796999999999997E-2</v>
      </c>
      <c r="F193">
        <f>E193/D193</f>
        <v>0.16906347880351455</v>
      </c>
      <c r="G193">
        <v>0.2</v>
      </c>
      <c r="H193">
        <f>H$181/G193</f>
        <v>1.34</v>
      </c>
      <c r="I193">
        <f>H193+1</f>
        <v>2.34</v>
      </c>
      <c r="J193">
        <f>F193-I193/100</f>
        <v>0.14566347880351455</v>
      </c>
      <c r="K193">
        <v>4</v>
      </c>
      <c r="L193" s="266">
        <f>1/$S$182*($S$183*E193/D193-1/($S$185*$S$182)*($S$183+$S$184))</f>
        <v>3.2876695760702908E-4</v>
      </c>
      <c r="M193" s="15">
        <f>1/L193</f>
        <v>3041.668199501019</v>
      </c>
      <c r="N193">
        <f>5*M193/(SUM($M$190:$M$194))</f>
        <v>0.86173722677549358</v>
      </c>
      <c r="O193">
        <f>1-N193</f>
        <v>0.13826277322450642</v>
      </c>
      <c r="P193" s="174">
        <f>'Data(2000)'!L270</f>
        <v>2.5708779459864876E-3</v>
      </c>
      <c r="Q193" s="171">
        <f>(L193/P193-1)*100</f>
        <v>-87.211879968075422</v>
      </c>
      <c r="U193" s="3"/>
      <c r="V193" s="3"/>
      <c r="BO193" s="2"/>
      <c r="BP193" s="3"/>
      <c r="BQ193" s="3"/>
      <c r="BR193" s="3"/>
      <c r="BS193" s="3"/>
    </row>
    <row r="194" spans="1:71" x14ac:dyDescent="0.2">
      <c r="A194">
        <v>186</v>
      </c>
      <c r="C194" t="s">
        <v>187</v>
      </c>
      <c r="D194">
        <v>0.50091100000000011</v>
      </c>
      <c r="E194" s="1">
        <v>6.9577E-2</v>
      </c>
      <c r="F194">
        <f>E194/D194</f>
        <v>0.13890092251917005</v>
      </c>
      <c r="G194">
        <v>0.2</v>
      </c>
      <c r="H194">
        <f>H$181/G194</f>
        <v>1.34</v>
      </c>
      <c r="I194">
        <f>H194+1</f>
        <v>2.34</v>
      </c>
      <c r="J194">
        <f>F194-I194/100</f>
        <v>0.11550092251917005</v>
      </c>
      <c r="K194">
        <v>5</v>
      </c>
      <c r="L194" s="266">
        <f>1/$S$182*($S$183*E194/D194-1/($S$185*$S$182)*($S$183+$S$184))</f>
        <v>2.6844184503834015E-4</v>
      </c>
      <c r="M194" s="15">
        <f>1/L194</f>
        <v>3725.2016348538182</v>
      </c>
      <c r="N194">
        <f>5*M194/(SUM($M$190:$M$194))</f>
        <v>1.0553895807981566</v>
      </c>
      <c r="O194">
        <f>1-N194</f>
        <v>-5.538958079815659E-2</v>
      </c>
      <c r="P194" s="174">
        <f>'Data(2000)'!L271</f>
        <v>2.1272443473513924E-3</v>
      </c>
      <c r="Q194" s="171">
        <f>(L194/P194-1)*100</f>
        <v>-87.380770555457161</v>
      </c>
      <c r="BO194" s="2"/>
      <c r="BP194" s="3"/>
      <c r="BQ194" s="3"/>
      <c r="BR194" s="3"/>
      <c r="BS194" s="3"/>
    </row>
    <row r="195" spans="1:71" x14ac:dyDescent="0.2">
      <c r="A195">
        <v>187</v>
      </c>
      <c r="E195" s="1"/>
      <c r="F195" s="1"/>
      <c r="G195" s="1"/>
      <c r="H195" s="1"/>
      <c r="I195" s="1"/>
      <c r="L195" s="18"/>
      <c r="M195" s="18"/>
      <c r="N195" s="3"/>
      <c r="U195" s="3"/>
      <c r="V195" s="3"/>
      <c r="BO195" s="2"/>
      <c r="BP195" s="3"/>
      <c r="BQ195" s="3"/>
      <c r="BR195" s="3"/>
      <c r="BS195" s="3"/>
    </row>
    <row r="196" spans="1:71" x14ac:dyDescent="0.2">
      <c r="A196">
        <v>188</v>
      </c>
      <c r="E196" s="1"/>
      <c r="F196" s="1"/>
      <c r="G196" s="1"/>
      <c r="H196" s="1"/>
      <c r="I196" s="1"/>
      <c r="L196" s="18"/>
      <c r="M196" t="s">
        <v>232</v>
      </c>
      <c r="N196" s="18" t="s">
        <v>244</v>
      </c>
      <c r="O196" s="3"/>
      <c r="P196" t="s">
        <v>245</v>
      </c>
      <c r="R196" t="s">
        <v>318</v>
      </c>
      <c r="S196" t="s">
        <v>318</v>
      </c>
      <c r="T196" s="310" t="s">
        <v>319</v>
      </c>
      <c r="U196" s="310"/>
      <c r="BO196" s="2"/>
      <c r="BP196" s="3"/>
      <c r="BQ196" s="3"/>
      <c r="BR196" s="3"/>
      <c r="BS196" s="3"/>
    </row>
    <row r="197" spans="1:71" x14ac:dyDescent="0.2">
      <c r="A197">
        <v>189</v>
      </c>
      <c r="B197" s="170">
        <v>41324</v>
      </c>
      <c r="C197" s="5" t="s">
        <v>119</v>
      </c>
      <c r="J197" t="s">
        <v>18</v>
      </c>
      <c r="K197" t="s">
        <v>2</v>
      </c>
      <c r="L197" t="s">
        <v>229</v>
      </c>
      <c r="M197" t="s">
        <v>59</v>
      </c>
      <c r="N197" s="2" t="s">
        <v>98</v>
      </c>
      <c r="O197" s="25" t="s">
        <v>99</v>
      </c>
      <c r="P197" t="s">
        <v>107</v>
      </c>
      <c r="Q197" t="s">
        <v>108</v>
      </c>
      <c r="T197" t="s">
        <v>98</v>
      </c>
      <c r="U197" t="s">
        <v>99</v>
      </c>
      <c r="BO197" s="2"/>
      <c r="BP197" s="3"/>
      <c r="BQ197" s="3"/>
      <c r="BR197" s="3"/>
      <c r="BS197" s="3"/>
    </row>
    <row r="198" spans="1:71" x14ac:dyDescent="0.2">
      <c r="A198">
        <v>190</v>
      </c>
      <c r="C198" t="s">
        <v>26</v>
      </c>
      <c r="D198">
        <v>1.0047759216000001</v>
      </c>
      <c r="E198" s="1">
        <v>-3.7006530833333299E-7</v>
      </c>
      <c r="F198" s="1">
        <v>8.2526931000000002E-7</v>
      </c>
      <c r="G198" s="1">
        <v>2.62435693897442E-6</v>
      </c>
      <c r="H198" s="1">
        <v>9.5783384549287097E-8</v>
      </c>
      <c r="I198" s="1">
        <v>5.7684786153808102E-8</v>
      </c>
      <c r="J198">
        <v>20</v>
      </c>
      <c r="K198">
        <v>0.2</v>
      </c>
      <c r="L198">
        <v>10</v>
      </c>
      <c r="M198">
        <f>J198*0.5*(D198+D199)/K198</f>
        <v>100.44025016999998</v>
      </c>
      <c r="N198" s="6">
        <f>0.5*10^6*(E198-E199)/L198</f>
        <v>-4.31004075E-2</v>
      </c>
      <c r="O198" s="6">
        <f>0.5*10^6*(F198-F199)/L198</f>
        <v>9.5394496333333495E-2</v>
      </c>
      <c r="P198" s="26">
        <f>J198*N198/M198</f>
        <v>-8.5822979188224791E-3</v>
      </c>
      <c r="Q198" s="26">
        <f>J198*O198/M198</f>
        <v>1.899527254698663E-2</v>
      </c>
      <c r="R198" s="3">
        <f>P198*(1-$N191)</f>
        <v>1.9516331996966729E-4</v>
      </c>
      <c r="S198" s="3">
        <f>Q198*(1-$N191)</f>
        <v>-4.3195662619309612E-4</v>
      </c>
      <c r="BO198" s="2"/>
      <c r="BP198" s="3"/>
      <c r="BQ198" s="3"/>
      <c r="BR198" s="3"/>
      <c r="BS198" s="3"/>
    </row>
    <row r="199" spans="1:71" x14ac:dyDescent="0.2">
      <c r="A199">
        <v>191</v>
      </c>
      <c r="C199" t="s">
        <v>230</v>
      </c>
      <c r="D199">
        <v>1.0040290817999999</v>
      </c>
      <c r="E199" s="1">
        <v>4.91942841666667E-7</v>
      </c>
      <c r="F199" s="1">
        <v>-1.08262061666667E-6</v>
      </c>
      <c r="G199" s="1">
        <v>4.4566171204600203E-6</v>
      </c>
      <c r="H199" s="1">
        <v>9.1803162642307304E-8</v>
      </c>
      <c r="I199" s="1">
        <v>7.6509359932362099E-8</v>
      </c>
      <c r="N199" s="6"/>
      <c r="O199" s="6"/>
      <c r="P199" s="2"/>
      <c r="BO199" s="2"/>
      <c r="BP199" s="3"/>
      <c r="BQ199" s="3"/>
      <c r="BR199" s="3"/>
      <c r="BS199" s="3"/>
    </row>
    <row r="200" spans="1:71" x14ac:dyDescent="0.2">
      <c r="A200">
        <v>192</v>
      </c>
      <c r="C200" t="s">
        <v>85</v>
      </c>
      <c r="D200">
        <v>1.0023540230000001</v>
      </c>
      <c r="E200" s="1">
        <v>2.37451935E-7</v>
      </c>
      <c r="F200" s="1">
        <v>-9.6895934999999903E-7</v>
      </c>
      <c r="G200" s="1">
        <v>8.2035169621312897E-7</v>
      </c>
      <c r="H200" s="1">
        <v>4.33923418682849E-8</v>
      </c>
      <c r="I200" s="1">
        <v>2.0131845842780999E-8</v>
      </c>
      <c r="J200">
        <v>20</v>
      </c>
      <c r="K200">
        <v>0.2</v>
      </c>
      <c r="L200">
        <v>10</v>
      </c>
      <c r="M200">
        <f>J200*0.5*(D200+D201)/K200</f>
        <v>100.18509829000003</v>
      </c>
      <c r="N200" s="6">
        <f>0.5*10^6*(E200-E201)/L200</f>
        <v>9.6535971250000005E-2</v>
      </c>
      <c r="O200" s="6">
        <f>0.5*10^6*(F200-F201)/L200</f>
        <v>-7.910336116666665E-2</v>
      </c>
      <c r="P200" s="26">
        <f>J200*N200/M200</f>
        <v>1.9271522990487646E-2</v>
      </c>
      <c r="Q200" s="26">
        <f>J200*O200/M200</f>
        <v>-1.5791442543219493E-2</v>
      </c>
      <c r="R200" s="3">
        <f>P200*(1-$N192)</f>
        <v>4.5305802922324421E-4</v>
      </c>
      <c r="S200" s="3">
        <f>Q200*(1-$N192)</f>
        <v>-3.7124413263832465E-4</v>
      </c>
      <c r="BO200" s="2"/>
      <c r="BP200" s="3"/>
      <c r="BQ200" s="3"/>
      <c r="BR200" s="3"/>
      <c r="BS200" s="3"/>
    </row>
    <row r="201" spans="1:71" x14ac:dyDescent="0.2">
      <c r="A201">
        <v>193</v>
      </c>
      <c r="C201" t="s">
        <v>231</v>
      </c>
      <c r="D201">
        <v>1.0013479428000001</v>
      </c>
      <c r="E201" s="1">
        <v>-1.69326749E-6</v>
      </c>
      <c r="F201" s="1">
        <v>6.1310787333333402E-7</v>
      </c>
      <c r="G201" s="1">
        <v>3.1634235656222599E-6</v>
      </c>
      <c r="H201" s="1">
        <v>8.8169871724755797E-8</v>
      </c>
      <c r="I201" s="1">
        <v>2.8832736005750301E-8</v>
      </c>
      <c r="N201" s="6"/>
      <c r="O201" s="6"/>
      <c r="P201" s="26"/>
      <c r="Q201" s="26"/>
      <c r="BO201" s="2"/>
      <c r="BP201" s="3"/>
      <c r="BQ201" s="3"/>
      <c r="BR201" s="3"/>
      <c r="BS201" s="3"/>
    </row>
    <row r="202" spans="1:71" x14ac:dyDescent="0.2">
      <c r="A202">
        <v>194</v>
      </c>
      <c r="C202" t="s">
        <v>28</v>
      </c>
      <c r="D202">
        <v>1.0009566714</v>
      </c>
      <c r="E202" s="1">
        <v>-1.05866580333333E-6</v>
      </c>
      <c r="F202" s="1">
        <v>-1.1270505E-6</v>
      </c>
      <c r="G202" s="1">
        <v>2.1940165952213101E-6</v>
      </c>
      <c r="H202" s="1">
        <v>5.2933843902031699E-8</v>
      </c>
      <c r="I202" s="1">
        <v>2.3926296601926001E-8</v>
      </c>
      <c r="J202">
        <v>20</v>
      </c>
      <c r="K202">
        <v>0.2</v>
      </c>
      <c r="L202">
        <v>10</v>
      </c>
      <c r="M202">
        <f>J202*0.5*(D202+D203)/K202</f>
        <v>99.966279771999993</v>
      </c>
      <c r="N202" s="6">
        <f>0.5*10^6*(E202-E203)/L202</f>
        <v>-2.7643592416666501E-2</v>
      </c>
      <c r="O202" s="6">
        <f>0.5*10^6*(F202-F203)/L202</f>
        <v>-0.11068874625000003</v>
      </c>
      <c r="P202" s="26">
        <f>J202*N202/M202</f>
        <v>-5.5305834086684337E-3</v>
      </c>
      <c r="Q202" s="26">
        <f>J202*O202/M202</f>
        <v>-2.2145216667551398E-2</v>
      </c>
      <c r="R202" s="3">
        <f>P202*(1-$N193)</f>
        <v>-7.6467379963194139E-4</v>
      </c>
      <c r="S202" s="3">
        <f>Q202*(1-$N193)</f>
        <v>-3.0618590701132187E-3</v>
      </c>
      <c r="BO202" s="2"/>
      <c r="BP202" s="3"/>
      <c r="BQ202" s="3"/>
      <c r="BR202" s="3"/>
      <c r="BS202" s="3"/>
    </row>
    <row r="203" spans="1:71" x14ac:dyDescent="0.2">
      <c r="A203">
        <v>195</v>
      </c>
      <c r="C203" t="s">
        <v>233</v>
      </c>
      <c r="D203">
        <v>0.99836892403999999</v>
      </c>
      <c r="E203" s="1">
        <v>-5.0579395499999998E-7</v>
      </c>
      <c r="F203" s="1">
        <v>1.0867244250000001E-6</v>
      </c>
      <c r="G203" s="1">
        <v>4.5449558339381397E-6</v>
      </c>
      <c r="H203" s="1">
        <v>5.6447369153778803E-8</v>
      </c>
      <c r="I203" s="1">
        <v>3.4051252934770101E-8</v>
      </c>
      <c r="N203" s="6"/>
      <c r="O203" s="6"/>
      <c r="P203" s="26"/>
      <c r="Q203" s="26"/>
      <c r="BO203" s="2"/>
      <c r="BP203" s="3"/>
      <c r="BQ203" s="3"/>
      <c r="BR203" s="3"/>
      <c r="BS203" s="3"/>
    </row>
    <row r="204" spans="1:71" x14ac:dyDescent="0.2">
      <c r="A204">
        <v>196</v>
      </c>
      <c r="C204" t="s">
        <v>86</v>
      </c>
      <c r="D204">
        <v>1.0064976083999999</v>
      </c>
      <c r="E204" s="1">
        <v>-1.7321911333333299E-6</v>
      </c>
      <c r="F204" s="1">
        <v>9.8664448749999897E-9</v>
      </c>
      <c r="G204" s="1">
        <v>2.7798490150772101E-6</v>
      </c>
      <c r="H204" s="1">
        <v>5.5889092523039597E-8</v>
      </c>
      <c r="I204" s="1">
        <v>2.16994766368591E-8</v>
      </c>
      <c r="J204">
        <v>20</v>
      </c>
      <c r="K204">
        <v>0.2</v>
      </c>
      <c r="L204">
        <v>10</v>
      </c>
      <c r="M204">
        <f>J204*0.5*(D204+D205)/K204</f>
        <v>100.39234090000001</v>
      </c>
      <c r="N204" s="6">
        <f>0.5*10^6*(E204-E205)/L204</f>
        <v>5.0094618333333507E-2</v>
      </c>
      <c r="O204" s="6">
        <f>0.5*10^6*(F204-F205)/L204</f>
        <v>1.7867638247916651E-2</v>
      </c>
      <c r="P204" s="26">
        <f>J204*N204/M204</f>
        <v>9.9797689513450721E-3</v>
      </c>
      <c r="Q204" s="26">
        <f>J204*O204/M204</f>
        <v>3.5595620318714274E-3</v>
      </c>
      <c r="R204" s="3">
        <f>P204*(1-$N194)</f>
        <v>-5.5277521867746235E-4</v>
      </c>
      <c r="S204" s="3">
        <f>Q204*(1-$N194)</f>
        <v>-1.9716264877039287E-4</v>
      </c>
      <c r="T204" s="40">
        <f>SUM(R198:R204)</f>
        <v>-6.6922766911649224E-4</v>
      </c>
      <c r="U204" s="40">
        <f>SUM(S198:S204)</f>
        <v>-4.0622224777150323E-3</v>
      </c>
      <c r="BO204" s="2"/>
      <c r="BP204" s="3"/>
      <c r="BQ204" s="3"/>
      <c r="BR204" s="3"/>
      <c r="BS204" s="3"/>
    </row>
    <row r="205" spans="1:71" x14ac:dyDescent="0.2">
      <c r="A205">
        <v>197</v>
      </c>
      <c r="C205" t="s">
        <v>234</v>
      </c>
      <c r="D205">
        <v>1.0013492096000001</v>
      </c>
      <c r="E205" s="1">
        <v>-2.7340835000000001E-6</v>
      </c>
      <c r="F205" s="1">
        <v>-3.47486320083333E-7</v>
      </c>
      <c r="G205" s="1">
        <v>7.9226286037187395E-6</v>
      </c>
      <c r="H205" s="1">
        <v>5.8788756042999799E-8</v>
      </c>
      <c r="I205" s="1">
        <v>8.7845857999968798E-8</v>
      </c>
      <c r="M205" s="6"/>
      <c r="N205" s="6"/>
      <c r="O205" s="6"/>
      <c r="P205" s="26"/>
      <c r="Q205" s="26"/>
      <c r="T205" s="156">
        <f>'Data(2000)'!T282</f>
        <v>-3.0375124699831037E-4</v>
      </c>
      <c r="U205" s="156">
        <f>'Data(2000)'!U282</f>
        <v>-1.5001332926332491E-3</v>
      </c>
      <c r="BO205" s="2"/>
      <c r="BP205" s="3"/>
      <c r="BQ205" s="3"/>
      <c r="BR205" s="3"/>
      <c r="BS205" s="3"/>
    </row>
    <row r="206" spans="1:71" x14ac:dyDescent="0.2">
      <c r="A206">
        <v>198</v>
      </c>
      <c r="C206" t="s">
        <v>29</v>
      </c>
      <c r="D206">
        <v>1.0085811978000001</v>
      </c>
      <c r="E206" s="1">
        <v>3.5286682833333303E-7</v>
      </c>
      <c r="F206" s="1">
        <v>-4.1159463833333302E-7</v>
      </c>
      <c r="G206" s="1">
        <v>2.7937468886099E-6</v>
      </c>
      <c r="H206" s="1">
        <v>1.32155127920835E-7</v>
      </c>
      <c r="I206" s="1">
        <v>9.0253377291845307E-8</v>
      </c>
      <c r="J206">
        <v>20</v>
      </c>
      <c r="K206">
        <v>0.2</v>
      </c>
      <c r="L206">
        <v>10</v>
      </c>
      <c r="M206">
        <f>J206*0.5*(D206+D207)/K206</f>
        <v>100.71571074000001</v>
      </c>
      <c r="N206" s="6">
        <f>0.5*10^6*(E206-E207)/L206</f>
        <v>-5.2160781666666985E-3</v>
      </c>
      <c r="O206" s="6">
        <f>0.5*10^6*(F206-F207)/L206</f>
        <v>-4.1479956249999998E-2</v>
      </c>
      <c r="P206" s="26">
        <f>J206*N206/M206</f>
        <v>-1.0358022851334741E-3</v>
      </c>
      <c r="Q206" s="26">
        <f>J206*O206/M206</f>
        <v>-8.2370378851977701E-3</v>
      </c>
      <c r="BO206" s="2"/>
      <c r="BP206" s="3"/>
      <c r="BQ206" s="3"/>
      <c r="BR206" s="3"/>
      <c r="BS206" s="3"/>
    </row>
    <row r="207" spans="1:71" x14ac:dyDescent="0.2">
      <c r="A207">
        <v>199</v>
      </c>
      <c r="C207" t="s">
        <v>235</v>
      </c>
      <c r="D207">
        <v>1.0057330170000001</v>
      </c>
      <c r="E207" s="1">
        <v>4.5718839166666699E-7</v>
      </c>
      <c r="F207" s="1">
        <v>4.18004486666667E-7</v>
      </c>
      <c r="G207" s="1">
        <v>6.9556739788376499E-6</v>
      </c>
      <c r="H207" s="1">
        <v>4.3130423517106E-8</v>
      </c>
      <c r="I207" s="1">
        <v>3.2881942357366202E-8</v>
      </c>
      <c r="M207" s="6"/>
      <c r="N207" s="6"/>
      <c r="O207" s="6"/>
      <c r="P207" s="26"/>
      <c r="Q207" s="26"/>
      <c r="BO207" s="2"/>
      <c r="BP207" s="3"/>
      <c r="BQ207" s="3"/>
      <c r="BR207" s="3"/>
      <c r="BS207" s="3"/>
    </row>
    <row r="208" spans="1:71" x14ac:dyDescent="0.2">
      <c r="A208">
        <v>200</v>
      </c>
      <c r="C208" t="s">
        <v>30</v>
      </c>
      <c r="D208">
        <v>1.0022646799999999</v>
      </c>
      <c r="E208" s="1">
        <v>-1.5550671516666701E-6</v>
      </c>
      <c r="F208" s="1">
        <v>-1.0697562516666699E-6</v>
      </c>
      <c r="G208" s="1">
        <v>4.4148378727331602E-6</v>
      </c>
      <c r="H208" s="1">
        <v>8.7347796843167999E-8</v>
      </c>
      <c r="I208" s="1">
        <v>3.9840774522696402E-8</v>
      </c>
      <c r="J208">
        <v>20</v>
      </c>
      <c r="K208">
        <v>0.2</v>
      </c>
      <c r="L208">
        <v>10</v>
      </c>
      <c r="M208">
        <f>J208*0.5*(D208+D209)/K208</f>
        <v>100.22354222</v>
      </c>
      <c r="N208" s="6">
        <f>0.5*10^6*(E208-E209)/L208</f>
        <v>-6.0816515166666862E-2</v>
      </c>
      <c r="O208" s="6">
        <f>0.5*10^6*(F208-F209)/L208</f>
        <v>-9.7270695833333448E-2</v>
      </c>
      <c r="P208" s="26">
        <f>J208*N208/M208</f>
        <v>-1.2136173561530874E-2</v>
      </c>
      <c r="Q208" s="26">
        <f>J208*O208/M208</f>
        <v>-1.9410747949781145E-2</v>
      </c>
      <c r="BO208" s="2"/>
      <c r="BP208" s="3"/>
      <c r="BQ208" s="3"/>
      <c r="BR208" s="3"/>
      <c r="BS208" s="3"/>
    </row>
    <row r="209" spans="1:71" x14ac:dyDescent="0.2">
      <c r="A209">
        <v>201</v>
      </c>
      <c r="C209" t="s">
        <v>237</v>
      </c>
      <c r="D209">
        <v>1.0022061644</v>
      </c>
      <c r="E209" s="1">
        <v>-3.3873684833333301E-7</v>
      </c>
      <c r="F209" s="1">
        <v>8.7565766499999904E-7</v>
      </c>
      <c r="G209" s="1">
        <v>5.6907750070780501E-6</v>
      </c>
      <c r="H209" s="1">
        <v>8.5788006176108296E-8</v>
      </c>
      <c r="I209" s="1">
        <v>2.4099045701910601E-8</v>
      </c>
      <c r="L209" s="18"/>
      <c r="M209" s="18"/>
      <c r="N209" s="6"/>
      <c r="O209" s="6"/>
      <c r="P209" s="26"/>
      <c r="Q209" s="26"/>
      <c r="BO209" s="2"/>
      <c r="BP209" s="3"/>
      <c r="BQ209" s="3"/>
      <c r="BR209" s="3"/>
      <c r="BS209" s="3"/>
    </row>
    <row r="210" spans="1:71" x14ac:dyDescent="0.2">
      <c r="A210">
        <v>202</v>
      </c>
      <c r="C210" t="s">
        <v>236</v>
      </c>
      <c r="D210">
        <v>1.0018331864000001</v>
      </c>
      <c r="E210" s="1">
        <v>4.13070297E-7</v>
      </c>
      <c r="F210" s="1">
        <v>1.0921553333333301E-6</v>
      </c>
      <c r="G210" s="1">
        <v>2.8559040816847202E-6</v>
      </c>
      <c r="H210" s="1">
        <v>6.6976491580010706E-8</v>
      </c>
      <c r="I210" s="1">
        <v>9.82982988436539E-11</v>
      </c>
      <c r="J210">
        <v>20</v>
      </c>
      <c r="K210">
        <v>0.2</v>
      </c>
      <c r="L210">
        <v>10</v>
      </c>
      <c r="M210">
        <f>J210*0.5*(D210+D211)/K210</f>
        <v>100.02766844000001</v>
      </c>
      <c r="N210" s="6">
        <f>0.5*10^6*(E210-E211)/L210</f>
        <v>-2.6099672400000051E-2</v>
      </c>
      <c r="O210" s="6">
        <f>0.5*10^6*(F210-F211)/L210</f>
        <v>0.1111432916666665</v>
      </c>
      <c r="P210" s="26">
        <f>J210*N210/M210</f>
        <v>-5.2184906050580437E-3</v>
      </c>
      <c r="Q210" s="26">
        <f>J210*O210/M210</f>
        <v>2.2222509711567258E-2</v>
      </c>
      <c r="BO210" s="2"/>
      <c r="BP210" s="3"/>
      <c r="BQ210" s="3"/>
      <c r="BR210" s="3"/>
      <c r="BS210" s="3"/>
    </row>
    <row r="211" spans="1:71" x14ac:dyDescent="0.2">
      <c r="A211">
        <v>203</v>
      </c>
      <c r="C211" t="s">
        <v>238</v>
      </c>
      <c r="D211">
        <v>0.99872018240000004</v>
      </c>
      <c r="E211" s="1">
        <v>9.35063745000001E-7</v>
      </c>
      <c r="F211" s="1">
        <v>-1.1307105E-6</v>
      </c>
      <c r="G211" s="1">
        <v>5.2781314175000097E-6</v>
      </c>
      <c r="H211" s="1">
        <v>9.0526105636735204E-8</v>
      </c>
      <c r="I211" s="1">
        <v>9.6454487407705999E-8</v>
      </c>
      <c r="N211" s="6"/>
      <c r="O211" s="6"/>
      <c r="P211" s="26"/>
      <c r="Q211" s="26"/>
      <c r="BO211" s="2"/>
      <c r="BP211" s="3"/>
      <c r="BQ211" s="3"/>
      <c r="BR211" s="3"/>
      <c r="BS211" s="3"/>
    </row>
    <row r="212" spans="1:71" x14ac:dyDescent="0.2">
      <c r="A212">
        <v>204</v>
      </c>
      <c r="C212" t="s">
        <v>31</v>
      </c>
      <c r="D212">
        <v>1.0027039648</v>
      </c>
      <c r="E212" s="1">
        <v>-1.8556212250000001E-6</v>
      </c>
      <c r="F212" s="1">
        <v>-6.9513231000000002E-7</v>
      </c>
      <c r="G212" s="1">
        <v>3.2238685950103201E-6</v>
      </c>
      <c r="H212" s="1">
        <v>1.2002362670619401E-7</v>
      </c>
      <c r="I212" s="1">
        <v>3.1612049347317401E-8</v>
      </c>
      <c r="J212">
        <v>20</v>
      </c>
      <c r="K212">
        <v>0.2</v>
      </c>
      <c r="L212">
        <v>10</v>
      </c>
      <c r="M212">
        <f>J212*0.5*(D212+D213)/K212</f>
        <v>100.38494428999999</v>
      </c>
      <c r="N212" s="6">
        <f>0.5*10^6*(E212-E213)/L212</f>
        <v>3.2381031249999997E-2</v>
      </c>
      <c r="O212" s="6">
        <f>0.5*10^6*(F212-F213)/L212</f>
        <v>-4.7989675885000048E-2</v>
      </c>
      <c r="P212" s="26">
        <f>J212*N212/M212</f>
        <v>6.4513720616221305E-3</v>
      </c>
      <c r="Q212" s="26">
        <f>J212*O212/M212</f>
        <v>-9.561130152418806E-3</v>
      </c>
      <c r="R212" s="6"/>
      <c r="S212" s="6"/>
      <c r="BO212" s="2"/>
      <c r="BP212" s="3"/>
      <c r="BQ212" s="3"/>
      <c r="BR212" s="3"/>
      <c r="BS212" s="3"/>
    </row>
    <row r="213" spans="1:71" x14ac:dyDescent="0.2">
      <c r="A213">
        <v>205</v>
      </c>
      <c r="C213" t="s">
        <v>239</v>
      </c>
      <c r="D213">
        <v>1.004994921</v>
      </c>
      <c r="E213" s="1">
        <v>-2.50324185E-6</v>
      </c>
      <c r="F213" s="1">
        <v>2.6466120770000102E-7</v>
      </c>
      <c r="G213" s="1">
        <v>1.08816651657659E-5</v>
      </c>
      <c r="H213" s="1">
        <v>1.3691387163618899E-7</v>
      </c>
      <c r="I213" s="1">
        <v>1.63773378468649E-7</v>
      </c>
      <c r="L213" s="18"/>
      <c r="M213" s="18"/>
      <c r="N213" s="6"/>
      <c r="O213" s="6"/>
      <c r="P213" s="26"/>
      <c r="Q213" s="26"/>
      <c r="BO213" s="2"/>
      <c r="BP213" s="3"/>
      <c r="BQ213" s="3"/>
      <c r="BR213" s="3"/>
      <c r="BS213" s="3"/>
    </row>
    <row r="214" spans="1:71" x14ac:dyDescent="0.2">
      <c r="A214">
        <v>206</v>
      </c>
      <c r="C214" t="s">
        <v>240</v>
      </c>
      <c r="D214">
        <v>1.0060139960000001</v>
      </c>
      <c r="E214" s="1">
        <v>7.4171158399999994E-8</v>
      </c>
      <c r="F214" s="1">
        <v>1.2320428666666701E-6</v>
      </c>
      <c r="G214" s="1">
        <v>3.3850170951883099E-6</v>
      </c>
      <c r="H214" s="1">
        <v>1.2938618981515101E-7</v>
      </c>
      <c r="I214" s="1">
        <v>5.96320138805397E-8</v>
      </c>
      <c r="J214">
        <v>20</v>
      </c>
      <c r="K214">
        <v>0.2</v>
      </c>
      <c r="L214">
        <v>10</v>
      </c>
      <c r="M214">
        <f>J214*0.5*(D214+D215)/K214</f>
        <v>100.43674593999999</v>
      </c>
      <c r="N214" s="6">
        <f>0.5*10^6*(E214-E215)/L214</f>
        <v>3.5240544836666651E-2</v>
      </c>
      <c r="O214" s="6">
        <f>0.5*10^6*(F214-F215)/L214</f>
        <v>0.13094771333333349</v>
      </c>
      <c r="P214" s="26">
        <f>J214*N214/M214</f>
        <v>7.017460493536706E-3</v>
      </c>
      <c r="Q214" s="26">
        <f>J214*O214/M214</f>
        <v>2.6075658287766604E-2</v>
      </c>
      <c r="R214" s="6"/>
      <c r="S214" s="6"/>
      <c r="BO214" s="2"/>
      <c r="BP214" s="3"/>
      <c r="BQ214" s="3"/>
      <c r="BR214" s="3"/>
      <c r="BS214" s="3"/>
    </row>
    <row r="215" spans="1:71" x14ac:dyDescent="0.2">
      <c r="A215">
        <v>207</v>
      </c>
      <c r="C215" t="s">
        <v>242</v>
      </c>
      <c r="D215">
        <v>1.0027209228</v>
      </c>
      <c r="E215" s="1">
        <v>-6.3063973833333297E-7</v>
      </c>
      <c r="F215" s="1">
        <v>-1.3869114000000001E-6</v>
      </c>
      <c r="G215" s="1">
        <v>5.3386539332576902E-6</v>
      </c>
      <c r="H215" s="1">
        <v>1.079617798186E-7</v>
      </c>
      <c r="I215" s="1">
        <v>8.3580069586235695E-8</v>
      </c>
      <c r="L215" s="18"/>
      <c r="M215" s="18"/>
      <c r="N215" s="6"/>
      <c r="O215" s="6"/>
      <c r="P215" s="26"/>
      <c r="Q215" s="26"/>
      <c r="BO215" s="2"/>
      <c r="BP215" s="3"/>
      <c r="BQ215" s="3"/>
      <c r="BR215" s="3"/>
      <c r="BS215" s="3"/>
    </row>
    <row r="216" spans="1:71" x14ac:dyDescent="0.2">
      <c r="A216">
        <v>208</v>
      </c>
      <c r="C216" t="s">
        <v>241</v>
      </c>
      <c r="D216">
        <v>1.0026240174000001</v>
      </c>
      <c r="E216" s="1">
        <v>-1.3664006233333299E-6</v>
      </c>
      <c r="F216" s="1">
        <v>1.1572996499999999E-6</v>
      </c>
      <c r="G216" s="1">
        <v>3.5777380335883299E-6</v>
      </c>
      <c r="H216" s="1">
        <v>4.8143814339311702E-8</v>
      </c>
      <c r="I216" s="1">
        <v>3.6469488430433203E-8</v>
      </c>
      <c r="J216">
        <v>20</v>
      </c>
      <c r="K216">
        <v>0.2</v>
      </c>
      <c r="L216">
        <v>10</v>
      </c>
      <c r="M216">
        <f>J216*0.5*(D216+D217)/K216</f>
        <v>100.17347633999999</v>
      </c>
      <c r="N216" s="6">
        <f>0.5*10^6*(E216-E217)/L216</f>
        <v>0.14342466550000002</v>
      </c>
      <c r="O216" s="6">
        <f>0.5*10^6*(F216-F217)/L216</f>
        <v>0.15492671749999998</v>
      </c>
      <c r="P216" s="26">
        <f>J216*N216/M216</f>
        <v>2.8635257702987294E-2</v>
      </c>
      <c r="Q216" s="26">
        <f>J216*O216/M216</f>
        <v>3.0931684346096038E-2</v>
      </c>
      <c r="R216" s="6"/>
      <c r="S216" s="6"/>
      <c r="BO216" s="2"/>
      <c r="BP216" s="3"/>
      <c r="BQ216" s="3"/>
      <c r="BR216" s="3"/>
      <c r="BS216" s="3"/>
    </row>
    <row r="217" spans="1:71" x14ac:dyDescent="0.2">
      <c r="A217">
        <v>209</v>
      </c>
      <c r="C217" t="s">
        <v>243</v>
      </c>
      <c r="D217">
        <v>1.0008455093999999</v>
      </c>
      <c r="E217" s="1">
        <v>-4.2348939333333301E-6</v>
      </c>
      <c r="F217" s="1">
        <v>-1.9412346999999998E-6</v>
      </c>
      <c r="G217" s="1">
        <v>4.7735124278820302E-6</v>
      </c>
      <c r="H217" s="1">
        <v>1.26655601342889E-7</v>
      </c>
      <c r="I217" s="1">
        <v>5.8906880146351902E-8</v>
      </c>
      <c r="L217" s="18"/>
      <c r="M217" s="18"/>
      <c r="N217" s="3"/>
      <c r="P217" s="2"/>
      <c r="R217" s="20"/>
      <c r="BO217" s="2"/>
      <c r="BP217" s="3"/>
      <c r="BQ217" s="3"/>
      <c r="BR217" s="3"/>
      <c r="BS217" s="3"/>
    </row>
    <row r="218" spans="1:71" x14ac:dyDescent="0.2">
      <c r="A218">
        <v>210</v>
      </c>
      <c r="E218" s="1"/>
      <c r="F218" s="1"/>
      <c r="G218" s="1"/>
      <c r="H218" s="1"/>
      <c r="I218" s="1"/>
      <c r="L218" s="18"/>
      <c r="M218" s="18"/>
      <c r="N218" s="3"/>
      <c r="P218" s="2"/>
      <c r="R218" s="20"/>
      <c r="BO218" s="2"/>
      <c r="BP218" s="3"/>
      <c r="BQ218" s="3"/>
      <c r="BR218" s="3"/>
      <c r="BS218" s="3"/>
    </row>
    <row r="219" spans="1:71" x14ac:dyDescent="0.2">
      <c r="A219">
        <v>211</v>
      </c>
      <c r="E219" s="1"/>
      <c r="F219" s="1"/>
      <c r="G219" s="1"/>
      <c r="H219" s="1"/>
      <c r="I219" s="1"/>
      <c r="L219" s="18"/>
      <c r="M219" s="18"/>
      <c r="N219" s="3"/>
      <c r="P219" s="2"/>
      <c r="R219" s="20"/>
      <c r="BO219" s="2"/>
      <c r="BP219" s="3"/>
      <c r="BQ219" s="3"/>
      <c r="BR219" s="3"/>
      <c r="BS219" s="3"/>
    </row>
    <row r="220" spans="1:71" x14ac:dyDescent="0.2">
      <c r="A220">
        <v>212</v>
      </c>
      <c r="E220" s="1"/>
      <c r="H220" t="s">
        <v>50</v>
      </c>
      <c r="I220" t="s">
        <v>51</v>
      </c>
      <c r="J220" t="s">
        <v>53</v>
      </c>
      <c r="L220" t="s">
        <v>54</v>
      </c>
      <c r="M220" t="s">
        <v>58</v>
      </c>
      <c r="N220" t="s">
        <v>56</v>
      </c>
      <c r="Q220">
        <v>1.005099</v>
      </c>
      <c r="R220">
        <v>1.0039389999999999</v>
      </c>
      <c r="T220">
        <f>(Q220+R220)/2</f>
        <v>1.0045189999999999</v>
      </c>
      <c r="BO220" s="2"/>
      <c r="BP220" s="3"/>
      <c r="BQ220" s="3"/>
      <c r="BR220" s="3"/>
      <c r="BS220" s="3"/>
    </row>
    <row r="221" spans="1:71" x14ac:dyDescent="0.2">
      <c r="A221">
        <v>213</v>
      </c>
      <c r="B221" s="170">
        <v>41325</v>
      </c>
      <c r="C221" s="5" t="s">
        <v>115</v>
      </c>
      <c r="F221" t="s">
        <v>172</v>
      </c>
      <c r="G221" t="s">
        <v>32</v>
      </c>
      <c r="H221" t="s">
        <v>16</v>
      </c>
      <c r="I221" t="s">
        <v>52</v>
      </c>
      <c r="J221" t="s">
        <v>54</v>
      </c>
      <c r="K221" t="s">
        <v>55</v>
      </c>
      <c r="L221" t="s">
        <v>57</v>
      </c>
      <c r="M221" t="s">
        <v>57</v>
      </c>
      <c r="N221" t="s">
        <v>59</v>
      </c>
      <c r="Q221">
        <v>1.0030650000000001</v>
      </c>
      <c r="R221">
        <v>1.0019819999999999</v>
      </c>
      <c r="T221">
        <f>(Q221+R221)/2</f>
        <v>1.0025235000000001</v>
      </c>
      <c r="BO221" s="2"/>
      <c r="BP221" s="3"/>
      <c r="BQ221" s="3"/>
      <c r="BR221" s="3"/>
      <c r="BS221" s="3"/>
    </row>
    <row r="222" spans="1:71" x14ac:dyDescent="0.2">
      <c r="A222">
        <v>214</v>
      </c>
      <c r="C222" t="s">
        <v>45</v>
      </c>
      <c r="D222">
        <v>1.0045189999999999</v>
      </c>
      <c r="E222">
        <v>0.212535</v>
      </c>
      <c r="F222">
        <f>E222/D222</f>
        <v>0.21157887506358766</v>
      </c>
      <c r="G222">
        <v>0.2</v>
      </c>
      <c r="H222">
        <f>0.317/G222</f>
        <v>1.585</v>
      </c>
      <c r="I222">
        <f>H222+1</f>
        <v>2.585</v>
      </c>
      <c r="J222">
        <f>F222-K222*I222/20</f>
        <v>8.2328875063587659E-2</v>
      </c>
      <c r="K222">
        <v>1</v>
      </c>
      <c r="L222">
        <f>J222</f>
        <v>8.2328875063587659E-2</v>
      </c>
      <c r="M222" s="15">
        <f>1/L222</f>
        <v>12.146406703937572</v>
      </c>
      <c r="N222">
        <f>2*M222/SUM(M222:M223)</f>
        <v>1.0118017008768956</v>
      </c>
      <c r="BO222" s="2"/>
      <c r="BP222" s="3"/>
      <c r="BQ222" s="3"/>
      <c r="BR222" s="3"/>
      <c r="BS222" s="3"/>
    </row>
    <row r="223" spans="1:71" x14ac:dyDescent="0.2">
      <c r="A223">
        <v>215</v>
      </c>
      <c r="C223" t="s">
        <v>46</v>
      </c>
      <c r="D223">
        <v>1.0025235000000001</v>
      </c>
      <c r="E223">
        <v>0.42619699999999999</v>
      </c>
      <c r="F223">
        <f>E223/D223</f>
        <v>0.42512419908361243</v>
      </c>
      <c r="G223">
        <v>0.2</v>
      </c>
      <c r="H223">
        <f>0.317/G223</f>
        <v>1.585</v>
      </c>
      <c r="I223">
        <f>H223+1</f>
        <v>2.585</v>
      </c>
      <c r="J223">
        <f>F223-K223*I223/20</f>
        <v>0.16662419908361242</v>
      </c>
      <c r="K223">
        <v>2</v>
      </c>
      <c r="L223">
        <f>J223-J222</f>
        <v>8.4295324020024764E-2</v>
      </c>
      <c r="M223" s="15">
        <f>1/L223</f>
        <v>11.863054227805627</v>
      </c>
      <c r="N223">
        <f>2*M223/SUM(M222:M223)</f>
        <v>0.98819829912310442</v>
      </c>
      <c r="BO223" s="2"/>
      <c r="BP223" s="3"/>
      <c r="BQ223" s="3"/>
      <c r="BR223" s="3"/>
      <c r="BS223" s="3"/>
    </row>
    <row r="224" spans="1:71" x14ac:dyDescent="0.2">
      <c r="A224">
        <v>216</v>
      </c>
      <c r="J224" s="5" t="s">
        <v>18</v>
      </c>
      <c r="K224" s="5" t="s">
        <v>2</v>
      </c>
      <c r="L224" s="5" t="s">
        <v>3</v>
      </c>
      <c r="M224" s="5" t="s">
        <v>180</v>
      </c>
      <c r="N224" s="13" t="s">
        <v>246</v>
      </c>
      <c r="O224" s="13"/>
      <c r="P224" s="13" t="s">
        <v>245</v>
      </c>
      <c r="Q224" s="13"/>
      <c r="S224" s="5" t="s">
        <v>318</v>
      </c>
      <c r="T224" s="5" t="s">
        <v>318</v>
      </c>
      <c r="U224" s="307" t="s">
        <v>109</v>
      </c>
      <c r="V224" s="307"/>
      <c r="BO224" s="2"/>
      <c r="BP224" s="3"/>
      <c r="BQ224" s="3"/>
      <c r="BR224" s="3"/>
      <c r="BS224" s="3"/>
    </row>
    <row r="225" spans="1:72" x14ac:dyDescent="0.2">
      <c r="A225">
        <v>217</v>
      </c>
      <c r="C225" s="5" t="s">
        <v>116</v>
      </c>
      <c r="N225" t="s">
        <v>247</v>
      </c>
      <c r="O225" t="s">
        <v>248</v>
      </c>
      <c r="P225" t="s">
        <v>107</v>
      </c>
      <c r="Q225" t="s">
        <v>108</v>
      </c>
      <c r="R225" t="s">
        <v>320</v>
      </c>
      <c r="S225" t="s">
        <v>98</v>
      </c>
      <c r="T225" t="s">
        <v>99</v>
      </c>
      <c r="U225" t="s">
        <v>98</v>
      </c>
      <c r="V225" t="s">
        <v>99</v>
      </c>
      <c r="BO225" s="2"/>
      <c r="BP225" s="3"/>
      <c r="BQ225" s="3"/>
      <c r="BR225" s="3"/>
      <c r="BS225" s="3"/>
    </row>
    <row r="226" spans="1:72" x14ac:dyDescent="0.2">
      <c r="A226">
        <v>218</v>
      </c>
      <c r="C226" t="s">
        <v>26</v>
      </c>
      <c r="D226">
        <v>1.0338426115999999</v>
      </c>
      <c r="E226" s="1">
        <v>-9.9954221666666698E-7</v>
      </c>
      <c r="F226" s="1">
        <v>-3.9976357833333299E-6</v>
      </c>
      <c r="G226" s="1">
        <v>2.9351545693854501E-6</v>
      </c>
      <c r="H226" s="1">
        <v>6.2973586660041198E-8</v>
      </c>
      <c r="I226" s="1">
        <v>3.93700501403422E-8</v>
      </c>
      <c r="J226">
        <v>4</v>
      </c>
      <c r="K226">
        <v>0.2</v>
      </c>
      <c r="L226">
        <v>10</v>
      </c>
      <c r="M226" s="2">
        <f>J226*D226/K226</f>
        <v>20.676852231999998</v>
      </c>
      <c r="N226" s="3">
        <f>10^6*E226/L226</f>
        <v>-9.9954221666666704E-2</v>
      </c>
      <c r="O226" s="3">
        <f>F226*10^6/L226</f>
        <v>-0.39976357833333298</v>
      </c>
      <c r="P226" s="3">
        <f>J226*N226/M226</f>
        <v>-1.9336448419740627E-2</v>
      </c>
      <c r="Q226" s="3">
        <f>J226*O226/M226</f>
        <v>-7.7335481019620414E-2</v>
      </c>
      <c r="R226" s="3">
        <f>1-N223</f>
        <v>1.1801700876895582E-2</v>
      </c>
      <c r="S226" s="3">
        <f>P226*R226</f>
        <v>-2.2820298027129916E-4</v>
      </c>
      <c r="T226" s="3">
        <f>Q226*R226</f>
        <v>-9.1269021416439593E-4</v>
      </c>
      <c r="U226" s="176">
        <f>S226</f>
        <v>-2.2820298027129916E-4</v>
      </c>
      <c r="V226" s="176">
        <f>T226</f>
        <v>-9.1269021416439593E-4</v>
      </c>
      <c r="BO226" s="2"/>
      <c r="BP226" s="3"/>
      <c r="BQ226" s="3"/>
      <c r="BR226" s="3"/>
      <c r="BS226" s="3"/>
    </row>
    <row r="227" spans="1:72" x14ac:dyDescent="0.2">
      <c r="A227">
        <v>219</v>
      </c>
      <c r="C227" t="s">
        <v>117</v>
      </c>
      <c r="D227">
        <v>1.0287421511999999</v>
      </c>
      <c r="E227" s="1">
        <v>-4.37677528333333E-7</v>
      </c>
      <c r="F227" s="1">
        <v>-2.5896893666666701E-6</v>
      </c>
      <c r="G227" s="1">
        <v>1.9686697574696999E-6</v>
      </c>
      <c r="H227" s="1">
        <v>9.7208001983046E-8</v>
      </c>
      <c r="I227" s="1">
        <v>1.0358376237422E-7</v>
      </c>
      <c r="J227">
        <v>4</v>
      </c>
      <c r="K227">
        <v>0.2</v>
      </c>
      <c r="L227">
        <v>10</v>
      </c>
      <c r="M227" s="2">
        <f>J227*D227/K227</f>
        <v>20.574843023999996</v>
      </c>
      <c r="N227" s="3">
        <f>10^6*E227/L227</f>
        <v>-4.3767752833333298E-2</v>
      </c>
      <c r="O227" s="3">
        <f>F227*10^6/L227</f>
        <v>-0.25896893666666704</v>
      </c>
      <c r="P227" s="3"/>
      <c r="Q227" s="3"/>
      <c r="R227" s="3"/>
      <c r="S227" s="3"/>
      <c r="U227" s="175">
        <f>'Data(2000)'!U208</f>
        <v>-4.8472644477676169E-4</v>
      </c>
      <c r="V227" s="175">
        <f>'Data(2000)'!V208</f>
        <v>-1.8268241332727636E-4</v>
      </c>
      <c r="BO227" s="2"/>
      <c r="BP227" s="3"/>
      <c r="BQ227" s="3"/>
      <c r="BR227" s="3"/>
      <c r="BS227" s="3"/>
    </row>
    <row r="228" spans="1:72" x14ac:dyDescent="0.2">
      <c r="A228">
        <v>220</v>
      </c>
      <c r="C228" t="s">
        <v>118</v>
      </c>
      <c r="D228">
        <v>1.0260011056</v>
      </c>
      <c r="E228" s="1">
        <v>-1.4980915783333101E-6</v>
      </c>
      <c r="F228" s="1">
        <v>-5.41018216666666E-6</v>
      </c>
      <c r="G228" s="1">
        <v>1.63343528683066E-6</v>
      </c>
      <c r="H228" s="1">
        <v>7.6819661262317802E-8</v>
      </c>
      <c r="I228" s="1">
        <v>2.27474121232627E-8</v>
      </c>
      <c r="J228">
        <v>4</v>
      </c>
      <c r="K228">
        <v>0.2</v>
      </c>
      <c r="L228">
        <v>10</v>
      </c>
      <c r="M228" s="2">
        <f>J228*D228/K228</f>
        <v>20.520022111999999</v>
      </c>
      <c r="N228" s="3">
        <f>10^6*E228/L228</f>
        <v>-0.14980915783333099</v>
      </c>
      <c r="O228" s="3">
        <f>F228*10^6/L228</f>
        <v>-0.54101821666666594</v>
      </c>
      <c r="P228" s="3"/>
      <c r="Q228" s="3"/>
      <c r="R228" s="3"/>
      <c r="S228" s="3"/>
      <c r="BO228" s="2"/>
      <c r="BP228" s="3"/>
      <c r="BQ228" s="3"/>
      <c r="BR228" s="3"/>
      <c r="BS228" s="3"/>
    </row>
    <row r="229" spans="1:72" x14ac:dyDescent="0.2">
      <c r="A229">
        <v>221</v>
      </c>
      <c r="BO229" s="2"/>
      <c r="BP229" s="3"/>
      <c r="BQ229" s="3"/>
      <c r="BR229" s="3"/>
      <c r="BS229" s="3"/>
    </row>
    <row r="230" spans="1:72" x14ac:dyDescent="0.2">
      <c r="A230">
        <v>222</v>
      </c>
      <c r="BO230" s="2">
        <f>BR165</f>
        <v>100.22642204</v>
      </c>
      <c r="BP230" s="3">
        <f t="shared" ref="BP230:BQ233" si="143">BA165+N165</f>
        <v>1.2019607114224968E-2</v>
      </c>
      <c r="BQ230" s="3">
        <f t="shared" si="143"/>
        <v>1.3981283959539001E-2</v>
      </c>
      <c r="BR230" s="3">
        <f t="shared" ref="BR230:BS233" si="144">BS165+AF165</f>
        <v>6.5340739550791734E-3</v>
      </c>
      <c r="BS230" s="3">
        <f t="shared" si="144"/>
        <v>1.1190125969937178E-2</v>
      </c>
    </row>
    <row r="231" spans="1:72" x14ac:dyDescent="0.2">
      <c r="A231">
        <v>223</v>
      </c>
      <c r="B231" s="4">
        <v>41325</v>
      </c>
      <c r="C231" s="5" t="s">
        <v>113</v>
      </c>
      <c r="BO231" s="2">
        <f>BR166</f>
        <v>60.217285665999995</v>
      </c>
      <c r="BP231" s="3">
        <f t="shared" si="143"/>
        <v>1.419930221798103E-2</v>
      </c>
      <c r="BQ231" s="3">
        <f t="shared" si="143"/>
        <v>1.3089187596764133E-2</v>
      </c>
      <c r="BR231" s="3">
        <f t="shared" si="144"/>
        <v>8.9175764809121365E-3</v>
      </c>
      <c r="BS231" s="3">
        <f t="shared" si="144"/>
        <v>9.0586882145213474E-3</v>
      </c>
    </row>
    <row r="232" spans="1:72" x14ac:dyDescent="0.2">
      <c r="A232">
        <v>224</v>
      </c>
      <c r="D232">
        <v>1.1945690899999999</v>
      </c>
      <c r="E232" s="1">
        <v>-9.7388594666665804E-6</v>
      </c>
      <c r="F232" s="1">
        <v>-9.8710531999999499E-7</v>
      </c>
      <c r="G232" s="1">
        <v>4.9624946402912603E-6</v>
      </c>
      <c r="H232" s="1">
        <v>2.02482238988416E-8</v>
      </c>
      <c r="I232" s="1">
        <v>1.4142093521015799E-7</v>
      </c>
      <c r="K232">
        <v>0.2</v>
      </c>
      <c r="L232">
        <v>10</v>
      </c>
      <c r="M232" s="2">
        <f t="shared" ref="M232:M237" si="145">100*D232/(K232*5)</f>
        <v>119.456909</v>
      </c>
      <c r="N232" s="202">
        <f t="shared" ref="N232:N237" si="146">1000000*E232*K232/(L232*D232)</f>
        <v>-0.16305225956694697</v>
      </c>
      <c r="O232" s="202">
        <f t="shared" ref="O232:O237" si="147">1000000*F232*K232/(D232*L232)</f>
        <v>-1.6526550507011614E-2</v>
      </c>
      <c r="Q232" s="202">
        <f t="shared" ref="Q232:Q237" si="148">1000000*K232*H232/(L232*D232)</f>
        <v>3.3900465144032151E-4</v>
      </c>
      <c r="R232" s="202">
        <f t="shared" ref="R232:R237" si="149">1000000*K232*I232/(L232*D232)</f>
        <v>2.3677313668003584E-3</v>
      </c>
      <c r="S232" s="1">
        <f t="shared" ref="S232:S237" si="150">G232*100/D232</f>
        <v>4.1542131650930804E-4</v>
      </c>
      <c r="BO232" s="2">
        <f>BR167</f>
        <v>40.123176147999999</v>
      </c>
      <c r="BP232" s="3">
        <f t="shared" si="143"/>
        <v>1.5179341144244657E-2</v>
      </c>
      <c r="BQ232" s="3">
        <f t="shared" si="143"/>
        <v>1.3409638413505745E-2</v>
      </c>
      <c r="BR232" s="3">
        <f t="shared" si="144"/>
        <v>1.1538307330054332E-2</v>
      </c>
      <c r="BS232" s="3">
        <f t="shared" si="144"/>
        <v>9.466251777557097E-3</v>
      </c>
    </row>
    <row r="233" spans="1:72" x14ac:dyDescent="0.2">
      <c r="A233">
        <v>225</v>
      </c>
      <c r="D233">
        <v>1.0003476134</v>
      </c>
      <c r="E233" s="1">
        <v>-9.8098731166666202E-6</v>
      </c>
      <c r="F233" s="1">
        <v>-1.4768541799999901E-6</v>
      </c>
      <c r="G233" s="1">
        <v>1.56004494328328E-6</v>
      </c>
      <c r="H233" s="1">
        <v>2.0301944122856899E-8</v>
      </c>
      <c r="I233" s="1">
        <v>7.1839561143603601E-9</v>
      </c>
      <c r="K233">
        <v>0.2</v>
      </c>
      <c r="L233">
        <v>10</v>
      </c>
      <c r="M233" s="2">
        <f t="shared" si="145"/>
        <v>100.03476134</v>
      </c>
      <c r="N233" s="202">
        <f t="shared" si="146"/>
        <v>-0.1961292851656764</v>
      </c>
      <c r="O233" s="202">
        <f t="shared" si="147"/>
        <v>-2.9526819681819021E-2</v>
      </c>
      <c r="Q233" s="202">
        <f t="shared" si="148"/>
        <v>4.0589778694736476E-4</v>
      </c>
      <c r="R233" s="202">
        <f t="shared" si="149"/>
        <v>1.4362919485444461E-4</v>
      </c>
      <c r="S233" s="1">
        <f t="shared" si="150"/>
        <v>1.5595028391990364E-4</v>
      </c>
      <c r="U233" s="156">
        <f>'Data(2000)'!N184</f>
        <v>-0.39127201623610341</v>
      </c>
      <c r="V233" s="156">
        <f>'Data(2000)'!O184</f>
        <v>-0.2179797055963322</v>
      </c>
      <c r="BO233" s="2">
        <f>BR168</f>
        <v>20.026257588</v>
      </c>
      <c r="BP233" s="3">
        <f t="shared" si="143"/>
        <v>1.7094614690845715E-2</v>
      </c>
      <c r="BQ233" s="3">
        <f t="shared" si="143"/>
        <v>1.4331512506562213E-2</v>
      </c>
      <c r="BR233" s="3">
        <f t="shared" si="144"/>
        <v>1.2546532826302456E-2</v>
      </c>
      <c r="BS233" s="3">
        <f t="shared" si="144"/>
        <v>7.0387112748555095E-3</v>
      </c>
    </row>
    <row r="234" spans="1:72" x14ac:dyDescent="0.2">
      <c r="A234">
        <v>226</v>
      </c>
      <c r="D234">
        <v>0.60274286322000004</v>
      </c>
      <c r="E234" s="1">
        <v>-7.3509166333333599E-6</v>
      </c>
      <c r="F234" s="1">
        <v>-1.45608215E-6</v>
      </c>
      <c r="G234" s="1">
        <v>1.5995352999302001E-6</v>
      </c>
      <c r="H234" s="1">
        <v>3.7328049652741001E-8</v>
      </c>
      <c r="I234" s="1">
        <v>6.6657203316662904E-8</v>
      </c>
      <c r="K234">
        <v>0.2</v>
      </c>
      <c r="L234">
        <v>10</v>
      </c>
      <c r="M234" s="2">
        <f t="shared" si="145"/>
        <v>60.274286322000002</v>
      </c>
      <c r="N234" s="202">
        <f t="shared" si="146"/>
        <v>-0.24391550964412792</v>
      </c>
      <c r="O234" s="202">
        <f t="shared" si="147"/>
        <v>-4.8315201683890613E-2</v>
      </c>
      <c r="Q234" s="202">
        <f t="shared" si="148"/>
        <v>1.238606109853393E-3</v>
      </c>
      <c r="R234" s="202">
        <f t="shared" si="149"/>
        <v>2.2117956888137603E-3</v>
      </c>
      <c r="S234" s="1">
        <f t="shared" si="150"/>
        <v>2.6537606623578932E-4</v>
      </c>
      <c r="U234" s="156">
        <f>'Data(2000)'!N185</f>
        <v>-0.39305746946924852</v>
      </c>
      <c r="V234" s="156">
        <f>'Data(2000)'!O185</f>
        <v>-0.22759312952291275</v>
      </c>
      <c r="BS234" s="3"/>
      <c r="BT234" s="3"/>
    </row>
    <row r="235" spans="1:72" x14ac:dyDescent="0.2">
      <c r="A235">
        <v>227</v>
      </c>
      <c r="D235">
        <v>0.40023779871999998</v>
      </c>
      <c r="E235" s="1">
        <v>-5.4164725500000096E-6</v>
      </c>
      <c r="F235" s="1">
        <v>-1.0128301200000001E-6</v>
      </c>
      <c r="G235" s="1">
        <v>9.4587122414203803E-7</v>
      </c>
      <c r="H235" s="1">
        <v>7.9604378689422004E-8</v>
      </c>
      <c r="I235" s="1">
        <v>8.7522824935351199E-8</v>
      </c>
      <c r="K235">
        <v>0.2</v>
      </c>
      <c r="L235">
        <v>10</v>
      </c>
      <c r="M235" s="2">
        <f t="shared" si="145"/>
        <v>40.023779871999999</v>
      </c>
      <c r="N235" s="202">
        <f t="shared" si="146"/>
        <v>-0.27066271937945013</v>
      </c>
      <c r="O235" s="202">
        <f t="shared" si="147"/>
        <v>-5.0611417674149256E-2</v>
      </c>
      <c r="Q235" s="202">
        <f t="shared" si="148"/>
        <v>3.9778541129300961E-3</v>
      </c>
      <c r="R235" s="202">
        <f t="shared" si="149"/>
        <v>4.3735411905251242E-3</v>
      </c>
      <c r="S235" s="1">
        <f t="shared" si="150"/>
        <v>2.3632731020583955E-4</v>
      </c>
      <c r="U235" s="156">
        <f>'Data(2000)'!N186</f>
        <v>-0.41209034721585625</v>
      </c>
      <c r="V235" s="156">
        <f>'Data(2000)'!O186</f>
        <v>-0.22208362846348925</v>
      </c>
      <c r="BS235" s="3"/>
      <c r="BT235" s="3"/>
    </row>
    <row r="236" spans="1:72" x14ac:dyDescent="0.2">
      <c r="A236">
        <v>228</v>
      </c>
      <c r="D236">
        <v>0.20036435395999999</v>
      </c>
      <c r="E236" s="1">
        <v>-2.9495687000000001E-6</v>
      </c>
      <c r="F236" s="1">
        <v>-6.9823860833333395E-7</v>
      </c>
      <c r="G236" s="1">
        <v>3.4313295288303602E-7</v>
      </c>
      <c r="H236" s="1">
        <v>1.27728978443937E-7</v>
      </c>
      <c r="I236" s="1">
        <v>1.09546038735517E-7</v>
      </c>
      <c r="K236">
        <v>0.2</v>
      </c>
      <c r="L236">
        <v>10</v>
      </c>
      <c r="M236" s="2">
        <f t="shared" si="145"/>
        <v>20.036435395999998</v>
      </c>
      <c r="N236" s="202">
        <f t="shared" si="146"/>
        <v>-0.29442050361800787</v>
      </c>
      <c r="O236" s="202">
        <f t="shared" si="147"/>
        <v>-6.9696889145534124E-2</v>
      </c>
      <c r="Q236" s="202">
        <f t="shared" si="148"/>
        <v>1.2749670879026351E-2</v>
      </c>
      <c r="R236" s="202">
        <f t="shared" si="149"/>
        <v>1.0934683397565453E-2</v>
      </c>
      <c r="S236" s="1">
        <f t="shared" si="150"/>
        <v>1.712544901831879E-4</v>
      </c>
      <c r="U236" s="156">
        <f>'Data(2000)'!N187</f>
        <v>-0.42058764231426737</v>
      </c>
      <c r="V236" s="156">
        <f>'Data(2000)'!O187</f>
        <v>-0.22166601487218321</v>
      </c>
    </row>
    <row r="237" spans="1:72" x14ac:dyDescent="0.2">
      <c r="A237">
        <v>229</v>
      </c>
      <c r="D237">
        <v>9.9997140218000005E-2</v>
      </c>
      <c r="E237" s="1">
        <v>-1.54244628333333E-6</v>
      </c>
      <c r="F237" s="1">
        <v>-2.91402113333334E-7</v>
      </c>
      <c r="G237" s="1">
        <v>1.73033345731934E-7</v>
      </c>
      <c r="H237" s="1">
        <v>4.5097437047137099E-8</v>
      </c>
      <c r="I237" s="1">
        <v>2.0924347063163602E-8</v>
      </c>
      <c r="K237">
        <v>0.2</v>
      </c>
      <c r="L237">
        <v>10</v>
      </c>
      <c r="M237" s="2">
        <f t="shared" si="145"/>
        <v>9.9997140218000009</v>
      </c>
      <c r="N237" s="202">
        <f t="shared" si="146"/>
        <v>-0.30849807903920073</v>
      </c>
      <c r="O237" s="202">
        <f t="shared" si="147"/>
        <v>-5.8282089407368898E-2</v>
      </c>
      <c r="Q237" s="202">
        <f t="shared" si="148"/>
        <v>9.0197453544815127E-3</v>
      </c>
      <c r="R237" s="202">
        <f t="shared" si="149"/>
        <v>4.1849890941975379E-3</v>
      </c>
      <c r="S237" s="1">
        <f t="shared" si="150"/>
        <v>1.7303829424992605E-4</v>
      </c>
      <c r="U237" s="156">
        <f>'Data(2000)'!N188</f>
        <v>-0.42787997091279656</v>
      </c>
      <c r="V237" s="156">
        <f>'Data(2000)'!O188</f>
        <v>-0.22670435295128313</v>
      </c>
    </row>
    <row r="238" spans="1:72" x14ac:dyDescent="0.2">
      <c r="A238">
        <v>230</v>
      </c>
      <c r="E238" s="1"/>
      <c r="F238" s="1"/>
      <c r="G238" s="1"/>
      <c r="H238" s="1"/>
      <c r="I238" s="1"/>
      <c r="N238" s="200"/>
      <c r="O238" s="200"/>
      <c r="Q238" s="200"/>
      <c r="R238" s="200"/>
    </row>
    <row r="239" spans="1:72" x14ac:dyDescent="0.2">
      <c r="A239">
        <v>231</v>
      </c>
      <c r="C239" t="s">
        <v>111</v>
      </c>
      <c r="D239">
        <v>0.20065994241999999</v>
      </c>
      <c r="E239">
        <v>-9.91648240000002E-4</v>
      </c>
      <c r="F239">
        <v>6.0660612204766701E-3</v>
      </c>
      <c r="G239" s="1">
        <v>8.5315959673213797E-8</v>
      </c>
      <c r="H239" s="1">
        <v>2.4787443622855299E-4</v>
      </c>
      <c r="I239" s="1">
        <v>1.7427844451910901E-6</v>
      </c>
      <c r="K239">
        <v>0.2</v>
      </c>
      <c r="L239">
        <v>10</v>
      </c>
      <c r="M239" s="2">
        <f>100*D239/(K239*5)</f>
        <v>20.065994241999999</v>
      </c>
      <c r="N239" s="202">
        <f>1000000*E239*K239/(L239*D239)</f>
        <v>-98.838684795831313</v>
      </c>
      <c r="O239" s="202">
        <f>1000000*F239*K239/(D239*L239)</f>
        <v>604.61107955267312</v>
      </c>
      <c r="Q239" s="202">
        <f>1000000*K239*H239/(L239*D239)</f>
        <v>24.705921195744057</v>
      </c>
      <c r="R239" s="202">
        <f>1000000*K239*I239/(L239*D239)</f>
        <v>0.17370526714726944</v>
      </c>
      <c r="S239" s="1">
        <f>G239*100/D239</f>
        <v>4.2517683721168189E-5</v>
      </c>
    </row>
    <row r="240" spans="1:72" x14ac:dyDescent="0.2">
      <c r="A240">
        <v>232</v>
      </c>
      <c r="C240" t="s">
        <v>112</v>
      </c>
      <c r="D240">
        <v>0.20064166895999999</v>
      </c>
      <c r="E240">
        <v>1.145418E-3</v>
      </c>
      <c r="F240">
        <v>-6.6427523666666502E-3</v>
      </c>
      <c r="G240" s="1">
        <v>7.6265647744164905E-8</v>
      </c>
      <c r="H240" s="1">
        <v>5.1980615697559099E-4</v>
      </c>
      <c r="I240" s="1">
        <v>3.3827799218983401E-7</v>
      </c>
      <c r="K240">
        <v>0.2</v>
      </c>
      <c r="L240">
        <v>10</v>
      </c>
      <c r="M240" s="2">
        <f>100*D240/(K240*5)</f>
        <v>20.064166896</v>
      </c>
      <c r="N240" s="202">
        <f>1000000*E240*K240/(L240*D240)</f>
        <v>114.17548567424957</v>
      </c>
      <c r="O240" s="202">
        <f>1000000*F240*K240/(D240*L240)</f>
        <v>-662.15082849923385</v>
      </c>
      <c r="Q240" s="202">
        <f>1000000*K240*H240/(L240*D240)</f>
        <v>51.814377309552761</v>
      </c>
      <c r="R240" s="202">
        <f>1000000*K240*I240/(L240*D240)</f>
        <v>3.3719615067324148E-2</v>
      </c>
      <c r="S240" s="1">
        <f>G240*100/D240</f>
        <v>3.8010871888914193E-5</v>
      </c>
    </row>
    <row r="241" spans="1:27" x14ac:dyDescent="0.2">
      <c r="A241">
        <v>233</v>
      </c>
      <c r="N241" s="200"/>
      <c r="O241" s="200"/>
      <c r="Q241" s="200"/>
      <c r="R241" s="200"/>
    </row>
    <row r="242" spans="1:27" x14ac:dyDescent="0.2">
      <c r="A242">
        <v>234</v>
      </c>
      <c r="C242" s="5" t="s">
        <v>114</v>
      </c>
      <c r="N242" s="200"/>
      <c r="O242" s="200"/>
      <c r="Q242" s="200"/>
      <c r="R242" s="200"/>
    </row>
    <row r="243" spans="1:27" x14ac:dyDescent="0.2">
      <c r="A243">
        <v>235</v>
      </c>
      <c r="N243" s="200"/>
      <c r="O243" s="200"/>
      <c r="Q243" s="200"/>
      <c r="R243" s="200"/>
    </row>
    <row r="244" spans="1:27" x14ac:dyDescent="0.2">
      <c r="A244">
        <v>236</v>
      </c>
      <c r="D244">
        <v>1.1977071829999999</v>
      </c>
      <c r="E244" s="1">
        <v>-3.6446552333333398E-7</v>
      </c>
      <c r="F244" s="1">
        <v>-1.5570041283333299E-6</v>
      </c>
      <c r="G244" s="1">
        <v>5.7868421810900301E-6</v>
      </c>
      <c r="H244" s="1">
        <v>1.4580283268250299E-7</v>
      </c>
      <c r="I244" s="1">
        <v>4.7565758628129299E-8</v>
      </c>
      <c r="K244">
        <v>0.2</v>
      </c>
      <c r="L244">
        <v>10</v>
      </c>
      <c r="M244" s="2">
        <f t="shared" ref="M244:M249" si="151">100*D244/(K244*5)</f>
        <v>119.77071829999998</v>
      </c>
      <c r="N244" s="202">
        <f t="shared" ref="N244:N249" si="152">1000000*E244*K244/(L244*D244)</f>
        <v>-6.0860538954175085E-3</v>
      </c>
      <c r="O244" s="202">
        <f t="shared" ref="O244:O249" si="153">1000000*F244*K244/(D244*L244)</f>
        <v>-2.5999746021951181E-2</v>
      </c>
      <c r="P244" s="3"/>
      <c r="Q244" s="202">
        <f t="shared" ref="Q244:Q249" si="154">1000000*K244*H244/(L244*D244)</f>
        <v>2.4346991443651212E-3</v>
      </c>
      <c r="R244" s="202">
        <f t="shared" ref="R244:R249" si="155">1000000*K244*I244/(L244*D244)</f>
        <v>7.9428025987098548E-4</v>
      </c>
      <c r="S244" s="1">
        <f t="shared" ref="S244:S249" si="156">G244*100/D244</f>
        <v>4.831600130004422E-4</v>
      </c>
      <c r="U244" s="156">
        <f>'Data(2000)'!N195</f>
        <v>-1.3593463755907611E-2</v>
      </c>
      <c r="V244" s="156">
        <f>'Data(2000)'!O195</f>
        <v>-8.3434949690124535E-3</v>
      </c>
    </row>
    <row r="245" spans="1:27" x14ac:dyDescent="0.2">
      <c r="A245">
        <v>237</v>
      </c>
      <c r="D245">
        <v>1.0038054448</v>
      </c>
      <c r="E245" s="1">
        <v>-3.7041208333333301E-7</v>
      </c>
      <c r="F245" s="1">
        <v>-1.3687059666666699E-6</v>
      </c>
      <c r="G245" s="1">
        <v>1.6386429451885901E-6</v>
      </c>
      <c r="H245" s="1">
        <v>3.7572735545856797E-8</v>
      </c>
      <c r="I245" s="1">
        <v>5.1282531680970301E-8</v>
      </c>
      <c r="K245">
        <v>0.2</v>
      </c>
      <c r="L245">
        <v>10</v>
      </c>
      <c r="M245" s="2">
        <f t="shared" si="151"/>
        <v>100.38054448</v>
      </c>
      <c r="N245" s="202">
        <f t="shared" si="152"/>
        <v>-7.3801568870177749E-3</v>
      </c>
      <c r="O245" s="202">
        <f t="shared" si="153"/>
        <v>-2.7270343546290949E-2</v>
      </c>
      <c r="P245" s="3"/>
      <c r="Q245" s="202">
        <f t="shared" si="154"/>
        <v>7.4860593236456994E-4</v>
      </c>
      <c r="R245" s="202">
        <f t="shared" si="155"/>
        <v>1.0217623733090615E-3</v>
      </c>
      <c r="S245" s="1">
        <f t="shared" si="156"/>
        <v>1.6324308198139694E-4</v>
      </c>
      <c r="U245" s="156">
        <f>'Data(2000)'!N196</f>
        <v>-1.5580298697686972E-2</v>
      </c>
      <c r="V245" s="156">
        <f>'Data(2000)'!O196</f>
        <v>-9.6116065015132545E-3</v>
      </c>
    </row>
    <row r="246" spans="1:27" x14ac:dyDescent="0.2">
      <c r="A246">
        <v>238</v>
      </c>
      <c r="D246">
        <v>0.59952154721999995</v>
      </c>
      <c r="E246" s="1">
        <v>-4.32393126666667E-7</v>
      </c>
      <c r="F246" s="1">
        <v>-1.00443594666667E-6</v>
      </c>
      <c r="G246" s="1">
        <v>7.7979947093332995E-7</v>
      </c>
      <c r="H246" s="1">
        <v>6.2602786853812095E-8</v>
      </c>
      <c r="I246" s="1">
        <v>2.9075532682376699E-8</v>
      </c>
      <c r="K246">
        <v>0.2</v>
      </c>
      <c r="L246">
        <v>10</v>
      </c>
      <c r="M246" s="2">
        <f t="shared" si="151"/>
        <v>59.952154721999996</v>
      </c>
      <c r="N246" s="202">
        <f t="shared" si="152"/>
        <v>-1.4424606710857595E-2</v>
      </c>
      <c r="O246" s="202">
        <f t="shared" si="153"/>
        <v>-3.3507918149873701E-2</v>
      </c>
      <c r="P246" s="3"/>
      <c r="Q246" s="202">
        <f t="shared" si="154"/>
        <v>2.0884249163054492E-3</v>
      </c>
      <c r="R246" s="202">
        <f t="shared" si="155"/>
        <v>9.6995788782574513E-4</v>
      </c>
      <c r="S246" s="1">
        <f t="shared" si="156"/>
        <v>1.3007029931606033E-4</v>
      </c>
      <c r="U246" s="156">
        <f>'Data(2000)'!N197</f>
        <v>-2.6873438167178541E-2</v>
      </c>
      <c r="V246" s="156">
        <f>'Data(2000)'!O197</f>
        <v>-1.2962900746270122E-2</v>
      </c>
    </row>
    <row r="247" spans="1:27" x14ac:dyDescent="0.2">
      <c r="A247">
        <v>239</v>
      </c>
      <c r="D247">
        <v>0.40033884660000002</v>
      </c>
      <c r="E247" s="1">
        <v>-4.0620174166666701E-7</v>
      </c>
      <c r="F247" s="1">
        <v>-7.5277115000000103E-7</v>
      </c>
      <c r="G247" s="1">
        <v>6.1005257127926697E-7</v>
      </c>
      <c r="H247" s="1">
        <v>4.1195034556171498E-8</v>
      </c>
      <c r="I247" s="1">
        <v>4.56977698540633E-8</v>
      </c>
      <c r="K247">
        <v>0.2</v>
      </c>
      <c r="L247">
        <v>10</v>
      </c>
      <c r="M247" s="2">
        <f t="shared" si="151"/>
        <v>40.033884660000005</v>
      </c>
      <c r="N247" s="202">
        <f t="shared" si="152"/>
        <v>-2.02928966357604E-2</v>
      </c>
      <c r="O247" s="202">
        <f t="shared" si="153"/>
        <v>-3.760670024371305E-2</v>
      </c>
      <c r="P247" s="3"/>
      <c r="Q247" s="202">
        <f t="shared" si="154"/>
        <v>2.0580083549739383E-3</v>
      </c>
      <c r="R247" s="202">
        <f t="shared" si="155"/>
        <v>2.2829545642230609E-3</v>
      </c>
      <c r="S247" s="1">
        <f t="shared" si="156"/>
        <v>1.5238405577183548E-4</v>
      </c>
      <c r="U247" s="156">
        <f>'Data(2000)'!N198</f>
        <v>-3.803094804830566E-2</v>
      </c>
      <c r="V247" s="156">
        <f>'Data(2000)'!O198</f>
        <v>-1.5760238489795748E-2</v>
      </c>
    </row>
    <row r="248" spans="1:27" x14ac:dyDescent="0.2">
      <c r="A248">
        <v>240</v>
      </c>
      <c r="D248">
        <v>0.20043455675999999</v>
      </c>
      <c r="E248" s="1">
        <v>-2.8135855666666599E-7</v>
      </c>
      <c r="F248" s="1">
        <v>-4.28105878333333E-7</v>
      </c>
      <c r="G248" s="1">
        <v>7.5001621056737195E-7</v>
      </c>
      <c r="H248" s="1">
        <v>4.8918233100963502E-8</v>
      </c>
      <c r="I248" s="1">
        <v>2.1973358005247799E-8</v>
      </c>
      <c r="K248">
        <v>0.2</v>
      </c>
      <c r="L248">
        <v>10</v>
      </c>
      <c r="M248" s="2">
        <f t="shared" si="151"/>
        <v>20.043455676000001</v>
      </c>
      <c r="N248" s="202">
        <f t="shared" si="152"/>
        <v>-2.807485507636932E-2</v>
      </c>
      <c r="O248" s="202">
        <f t="shared" si="153"/>
        <v>-4.2717771351768082E-2</v>
      </c>
      <c r="P248" s="3"/>
      <c r="Q248" s="202">
        <f t="shared" si="154"/>
        <v>4.8812174798318958E-3</v>
      </c>
      <c r="R248" s="202">
        <f t="shared" si="155"/>
        <v>2.1925718160026334E-3</v>
      </c>
      <c r="S248" s="1">
        <f t="shared" si="156"/>
        <v>3.741950603185857E-4</v>
      </c>
      <c r="U248" s="156">
        <f>'Data(2000)'!N199</f>
        <v>-5.2240745369428243E-2</v>
      </c>
      <c r="V248" s="156">
        <f>'Data(2000)'!O199</f>
        <v>-2.0691681595822995E-2</v>
      </c>
    </row>
    <row r="249" spans="1:27" x14ac:dyDescent="0.2">
      <c r="A249">
        <v>241</v>
      </c>
      <c r="D249">
        <v>9.9031507685999998E-2</v>
      </c>
      <c r="E249" s="1">
        <v>-1.9195853166666699E-7</v>
      </c>
      <c r="F249" s="1">
        <v>-2.4563415499999999E-7</v>
      </c>
      <c r="G249" s="1">
        <v>1.3298394388140901E-7</v>
      </c>
      <c r="H249" s="1">
        <v>3.3103690786944599E-8</v>
      </c>
      <c r="I249" s="1">
        <v>3.3839522448447701E-8</v>
      </c>
      <c r="K249">
        <v>0.2</v>
      </c>
      <c r="L249">
        <v>10</v>
      </c>
      <c r="M249" s="2">
        <f t="shared" si="151"/>
        <v>9.9031507685999998</v>
      </c>
      <c r="N249" s="202">
        <f t="shared" si="152"/>
        <v>-3.8767163330545563E-2</v>
      </c>
      <c r="O249" s="202">
        <f t="shared" si="153"/>
        <v>-4.960727363231391E-2</v>
      </c>
      <c r="P249" s="3"/>
      <c r="Q249" s="202">
        <f t="shared" si="154"/>
        <v>6.6854865810801831E-3</v>
      </c>
      <c r="R249" s="202">
        <f t="shared" si="155"/>
        <v>6.8340921468635924E-3</v>
      </c>
      <c r="S249" s="1">
        <f t="shared" si="156"/>
        <v>1.3428447873687057E-4</v>
      </c>
      <c r="U249" s="156">
        <f>'Data(2000)'!N200</f>
        <v>-6.3602452607827986E-2</v>
      </c>
      <c r="V249" s="156">
        <f>'Data(2000)'!O200</f>
        <v>-1.640366532115552E-2</v>
      </c>
    </row>
    <row r="250" spans="1:27" x14ac:dyDescent="0.2">
      <c r="A250">
        <v>242</v>
      </c>
      <c r="B250" s="191"/>
      <c r="C250" s="191"/>
      <c r="D250" s="191"/>
      <c r="E250" s="191"/>
      <c r="F250" s="191"/>
      <c r="G250" s="191"/>
      <c r="H250" s="191"/>
      <c r="I250" s="191"/>
      <c r="J250" s="191"/>
      <c r="K250" s="191"/>
      <c r="L250" s="191"/>
      <c r="M250" s="191"/>
      <c r="N250" s="203" t="s">
        <v>496</v>
      </c>
      <c r="O250" s="204"/>
      <c r="P250" s="191"/>
      <c r="Q250" s="191"/>
      <c r="R250" s="191"/>
      <c r="S250" s="191"/>
      <c r="T250" s="191"/>
      <c r="U250" s="191"/>
      <c r="V250" s="191"/>
      <c r="W250" s="191"/>
      <c r="X250" s="191"/>
    </row>
    <row r="251" spans="1:27" x14ac:dyDescent="0.2">
      <c r="A251">
        <v>243</v>
      </c>
      <c r="N251" s="200" t="s">
        <v>497</v>
      </c>
    </row>
    <row r="252" spans="1:27" x14ac:dyDescent="0.2">
      <c r="A252">
        <v>244</v>
      </c>
      <c r="B252" s="192">
        <v>41326</v>
      </c>
      <c r="C252" s="194" t="s">
        <v>486</v>
      </c>
      <c r="D252" s="193"/>
      <c r="E252" s="193"/>
      <c r="F252" s="193"/>
      <c r="G252" s="193"/>
      <c r="H252" s="193"/>
      <c r="I252" s="193"/>
      <c r="J252" s="193"/>
    </row>
    <row r="253" spans="1:27" x14ac:dyDescent="0.2">
      <c r="A253">
        <v>245</v>
      </c>
      <c r="C253" s="5" t="s">
        <v>71</v>
      </c>
      <c r="D253" s="8"/>
      <c r="E253" s="8"/>
      <c r="F253" s="8"/>
      <c r="G253" s="8" t="s">
        <v>72</v>
      </c>
      <c r="H253" s="8"/>
      <c r="I253" s="8"/>
      <c r="J253" s="8"/>
      <c r="K253" s="8"/>
      <c r="L253" s="8"/>
      <c r="M253" s="8"/>
      <c r="N253" s="8"/>
      <c r="O253" s="8"/>
      <c r="P253" s="25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</row>
    <row r="254" spans="1:27" x14ac:dyDescent="0.2">
      <c r="A254">
        <v>246</v>
      </c>
      <c r="C254" s="8"/>
      <c r="D254" s="195" t="s">
        <v>2</v>
      </c>
      <c r="E254" s="196" t="s">
        <v>5</v>
      </c>
      <c r="F254" s="196" t="s">
        <v>6</v>
      </c>
      <c r="G254" s="196" t="s">
        <v>8</v>
      </c>
      <c r="H254" s="196" t="s">
        <v>10</v>
      </c>
      <c r="I254" s="196" t="s">
        <v>11</v>
      </c>
      <c r="J254" s="180"/>
      <c r="K254" s="179"/>
      <c r="L254" s="179"/>
      <c r="M254" s="179"/>
      <c r="N254" s="179"/>
      <c r="O254" s="179"/>
      <c r="P254" s="181"/>
      <c r="Q254" s="5" t="s">
        <v>15</v>
      </c>
      <c r="R254" s="5" t="s">
        <v>15</v>
      </c>
      <c r="S254" s="5" t="s">
        <v>15</v>
      </c>
      <c r="T254" s="8"/>
      <c r="U254" s="8"/>
      <c r="V254" s="8"/>
      <c r="W254" s="8"/>
      <c r="X254" s="8"/>
      <c r="Y254" s="8"/>
      <c r="Z254" s="8"/>
      <c r="AA254" s="8"/>
    </row>
    <row r="255" spans="1:27" x14ac:dyDescent="0.2">
      <c r="A255">
        <v>247</v>
      </c>
      <c r="C255" s="8"/>
      <c r="D255" s="195" t="s">
        <v>7</v>
      </c>
      <c r="E255" s="196" t="s">
        <v>12</v>
      </c>
      <c r="F255" s="196" t="s">
        <v>12</v>
      </c>
      <c r="G255" s="196" t="s">
        <v>9</v>
      </c>
      <c r="H255" s="196" t="s">
        <v>12</v>
      </c>
      <c r="I255" s="196" t="s">
        <v>12</v>
      </c>
      <c r="J255" s="180"/>
      <c r="K255" s="5" t="s">
        <v>2</v>
      </c>
      <c r="L255" s="5" t="s">
        <v>3</v>
      </c>
      <c r="M255" s="5" t="s">
        <v>4</v>
      </c>
      <c r="N255" s="5" t="s">
        <v>0</v>
      </c>
      <c r="O255" s="5" t="s">
        <v>1</v>
      </c>
      <c r="P255" s="25"/>
      <c r="Q255" s="178" t="s">
        <v>5</v>
      </c>
      <c r="R255" s="178" t="s">
        <v>6</v>
      </c>
      <c r="S255" s="178" t="s">
        <v>14</v>
      </c>
      <c r="T255" s="179"/>
      <c r="U255" s="179"/>
      <c r="V255" s="179"/>
      <c r="W255" s="179"/>
      <c r="X255" s="179"/>
      <c r="Y255" s="179"/>
      <c r="Z255" s="179"/>
      <c r="AA255" s="179"/>
    </row>
    <row r="256" spans="1:27" x14ac:dyDescent="0.2">
      <c r="A256">
        <v>248</v>
      </c>
      <c r="B256" s="180"/>
      <c r="C256" s="179"/>
      <c r="D256" s="180">
        <v>1.1954913232</v>
      </c>
      <c r="E256" s="180">
        <v>-4.7680543616666701E-6</v>
      </c>
      <c r="F256" s="180">
        <v>-4.3578559149999904E-6</v>
      </c>
      <c r="G256" s="180">
        <v>4.8012394371471996E-6</v>
      </c>
      <c r="H256" s="180">
        <v>4.0482834950446699E-7</v>
      </c>
      <c r="I256" s="180">
        <v>4.1663828653851499E-7</v>
      </c>
      <c r="J256" s="179"/>
      <c r="K256" s="179">
        <v>0.2</v>
      </c>
      <c r="L256" s="179">
        <v>10</v>
      </c>
      <c r="M256" s="184">
        <f>100*D256/(K256*5)</f>
        <v>119.54913232</v>
      </c>
      <c r="N256" s="148">
        <f>1000000*E256*K256/(L256*D256)</f>
        <v>-7.9767276752856831E-2</v>
      </c>
      <c r="O256" s="148">
        <f>1000000*F256*K256/(D256*L256)</f>
        <v>-7.2904852263339134E-2</v>
      </c>
      <c r="P256" s="181"/>
      <c r="Q256" s="148">
        <f>1000000*K256*H256/(L256*D256)</f>
        <v>6.7725853236785243E-3</v>
      </c>
      <c r="R256" s="148">
        <f>1000000*K256*I256/(L256*D256)</f>
        <v>6.9701599409904445E-3</v>
      </c>
      <c r="S256" s="180">
        <f>G256*100/D256</f>
        <v>4.0161223623903921E-4</v>
      </c>
      <c r="T256" s="179"/>
      <c r="U256" s="179" t="s">
        <v>445</v>
      </c>
      <c r="V256" s="179"/>
      <c r="W256" s="179"/>
      <c r="X256" s="198" t="s">
        <v>442</v>
      </c>
      <c r="Y256" s="179"/>
      <c r="Z256" s="179"/>
      <c r="AA256" s="179"/>
    </row>
    <row r="257" spans="1:40" x14ac:dyDescent="0.2">
      <c r="A257">
        <v>249</v>
      </c>
      <c r="B257" s="180"/>
      <c r="C257" s="179" t="s">
        <v>487</v>
      </c>
      <c r="D257" s="180">
        <v>1.1975484936</v>
      </c>
      <c r="E257" s="180">
        <v>-4.8270848333333298E-6</v>
      </c>
      <c r="F257" s="180">
        <v>-4.4139355166666504E-6</v>
      </c>
      <c r="G257" s="180">
        <v>3.5998995351682599E-6</v>
      </c>
      <c r="H257" s="180">
        <v>5.1844805152546802E-8</v>
      </c>
      <c r="I257" s="180">
        <v>1.1269370053366899E-8</v>
      </c>
      <c r="J257" s="179"/>
      <c r="K257" s="179">
        <v>0.2</v>
      </c>
      <c r="L257" s="179">
        <v>10</v>
      </c>
      <c r="M257" s="2">
        <f t="shared" ref="M257:M262" si="157">100*D257/(K257*5)</f>
        <v>119.75484936000001</v>
      </c>
      <c r="N257" s="148">
        <f t="shared" ref="N257:N262" si="158">1000000*E257*K257/(L257*D257)</f>
        <v>-8.061610630601572E-2</v>
      </c>
      <c r="O257" s="148">
        <f t="shared" ref="O257:O262" si="159">1000000*F257*K257/(D257*L257)</f>
        <v>-7.3716188367416113E-2</v>
      </c>
      <c r="P257" s="3"/>
      <c r="Q257" s="148">
        <f t="shared" ref="Q257:Q262" si="160">1000000*K257*H257/(L257*D257)</f>
        <v>8.6584894773979442E-4</v>
      </c>
      <c r="R257" s="148">
        <f t="shared" ref="R257:R262" si="161">1000000*K257*I257/(L257*D257)</f>
        <v>1.8820732711189976E-4</v>
      </c>
      <c r="S257" s="1">
        <f t="shared" ref="S257:S262" si="162">G257*100/D257</f>
        <v>3.0060574201437579E-4</v>
      </c>
      <c r="T257" s="179"/>
      <c r="U257" s="181">
        <f t="shared" ref="U257:U262" si="163">N257-X257</f>
        <v>-1.6332999209566795E-2</v>
      </c>
      <c r="V257" s="181">
        <f t="shared" ref="V257:V262" si="164">O257-Y257</f>
        <v>-3.9223483968819473E-2</v>
      </c>
      <c r="W257" s="179"/>
      <c r="X257" s="197">
        <f>'Data(2000)'!N112</f>
        <v>-6.4283107096448924E-2</v>
      </c>
      <c r="Y257" s="197">
        <f>'Data(2000)'!O112</f>
        <v>-3.4492704398596641E-2</v>
      </c>
      <c r="Z257" s="179"/>
      <c r="AA257" s="179"/>
    </row>
    <row r="258" spans="1:40" x14ac:dyDescent="0.2">
      <c r="A258">
        <v>250</v>
      </c>
      <c r="B258" s="180"/>
      <c r="C258" s="24" t="s">
        <v>517</v>
      </c>
      <c r="D258" s="180">
        <v>1.0006818752</v>
      </c>
      <c r="E258" s="180">
        <v>-4.1756720666666698E-6</v>
      </c>
      <c r="F258" s="180">
        <v>-3.8680595499999901E-6</v>
      </c>
      <c r="G258" s="180">
        <v>2.6472900554264499E-7</v>
      </c>
      <c r="H258" s="180">
        <v>8.8256071929332798E-8</v>
      </c>
      <c r="I258" s="180">
        <v>6.9514716700596594E-8</v>
      </c>
      <c r="J258" s="179"/>
      <c r="K258" s="179">
        <v>0.2</v>
      </c>
      <c r="L258" s="179">
        <v>10</v>
      </c>
      <c r="M258" s="2">
        <f t="shared" si="157"/>
        <v>100.06818752</v>
      </c>
      <c r="N258" s="148">
        <f>1000000*E258*K258/(L258*D258)</f>
        <v>-8.3456534392253381E-2</v>
      </c>
      <c r="O258" s="148">
        <f t="shared" si="159"/>
        <v>-7.7308476267283363E-2</v>
      </c>
      <c r="P258" s="3"/>
      <c r="Q258" s="148">
        <f t="shared" si="160"/>
        <v>1.7639186661933617E-3</v>
      </c>
      <c r="R258" s="148">
        <f t="shared" si="161"/>
        <v>1.3893469727670072E-3</v>
      </c>
      <c r="S258" s="1">
        <f t="shared" si="162"/>
        <v>2.6454861640192621E-5</v>
      </c>
      <c r="T258" s="179"/>
      <c r="U258" s="181">
        <f t="shared" si="163"/>
        <v>-7.4746917623982057E-3</v>
      </c>
      <c r="V258" s="181">
        <f t="shared" si="164"/>
        <v>-4.2484222951365537E-2</v>
      </c>
      <c r="W258" s="179"/>
      <c r="X258" s="197">
        <f>'Data(2000)'!N113</f>
        <v>-7.5981842629855176E-2</v>
      </c>
      <c r="Y258" s="197">
        <f>'Data(2000)'!O113</f>
        <v>-3.4824253315917826E-2</v>
      </c>
      <c r="Z258" s="179"/>
      <c r="AA258" s="179"/>
    </row>
    <row r="259" spans="1:40" x14ac:dyDescent="0.2">
      <c r="A259">
        <v>251</v>
      </c>
      <c r="B259" s="180"/>
      <c r="C259" s="8" t="s">
        <v>518</v>
      </c>
      <c r="D259" s="180">
        <v>0.60076338941999996</v>
      </c>
      <c r="E259" s="180">
        <v>-3.12613573333334E-6</v>
      </c>
      <c r="F259" s="180">
        <v>-2.4352394833333301E-6</v>
      </c>
      <c r="G259" s="180">
        <v>2.0198134505840902E-6</v>
      </c>
      <c r="H259" s="180">
        <v>1.2203462110590701E-7</v>
      </c>
      <c r="I259" s="180">
        <v>1.58041216098522E-7</v>
      </c>
      <c r="J259" s="179"/>
      <c r="K259" s="179">
        <v>0.2</v>
      </c>
      <c r="L259" s="179">
        <v>10</v>
      </c>
      <c r="M259" s="2">
        <f t="shared" si="157"/>
        <v>60.076338941999992</v>
      </c>
      <c r="N259" s="148">
        <f t="shared" si="158"/>
        <v>-0.10407211186258974</v>
      </c>
      <c r="O259" s="148">
        <f t="shared" si="159"/>
        <v>-8.1071500901025412E-2</v>
      </c>
      <c r="P259" s="3"/>
      <c r="Q259" s="148">
        <f t="shared" si="160"/>
        <v>4.0626517279531271E-3</v>
      </c>
      <c r="R259" s="148">
        <f t="shared" si="161"/>
        <v>5.2613464429349154E-3</v>
      </c>
      <c r="S259" s="1">
        <f t="shared" si="162"/>
        <v>3.3620781261889073E-4</v>
      </c>
      <c r="T259" s="179"/>
      <c r="U259" s="181">
        <f t="shared" si="163"/>
        <v>-1.0831937866969982E-2</v>
      </c>
      <c r="V259" s="181">
        <f t="shared" si="164"/>
        <v>-4.5012489399472867E-2</v>
      </c>
      <c r="W259" s="179"/>
      <c r="X259" s="197">
        <f>'Data(2000)'!N114</f>
        <v>-9.3240173995619763E-2</v>
      </c>
      <c r="Y259" s="197">
        <f>'Data(2000)'!O114</f>
        <v>-3.6059011501552544E-2</v>
      </c>
      <c r="Z259" s="179"/>
      <c r="AA259" s="179"/>
    </row>
    <row r="260" spans="1:40" x14ac:dyDescent="0.2">
      <c r="A260">
        <v>252</v>
      </c>
      <c r="B260" s="180"/>
      <c r="C260" s="179"/>
      <c r="D260" s="180">
        <v>0.39951808981999998</v>
      </c>
      <c r="E260" s="180">
        <v>-2.4111442499999999E-6</v>
      </c>
      <c r="F260" s="180">
        <v>-1.65768603333333E-6</v>
      </c>
      <c r="G260" s="180">
        <v>8.8372753599915005E-7</v>
      </c>
      <c r="H260" s="180">
        <v>7.3642217324286999E-8</v>
      </c>
      <c r="I260" s="180">
        <v>9.9533486510481702E-8</v>
      </c>
      <c r="J260" s="179"/>
      <c r="K260" s="179">
        <v>0.2</v>
      </c>
      <c r="L260" s="179">
        <v>10</v>
      </c>
      <c r="M260" s="2">
        <f t="shared" si="157"/>
        <v>39.951808981999996</v>
      </c>
      <c r="N260" s="148">
        <f t="shared" si="158"/>
        <v>-0.12070263206786577</v>
      </c>
      <c r="O260" s="148">
        <f t="shared" si="159"/>
        <v>-8.2984279088848714E-2</v>
      </c>
      <c r="P260" s="3"/>
      <c r="Q260" s="148">
        <f t="shared" si="160"/>
        <v>3.6865523339614471E-3</v>
      </c>
      <c r="R260" s="148">
        <f t="shared" si="161"/>
        <v>4.9826773328499755E-3</v>
      </c>
      <c r="S260" s="1">
        <f t="shared" si="162"/>
        <v>2.211983783756343E-4</v>
      </c>
      <c r="T260" s="179"/>
      <c r="U260" s="181">
        <f t="shared" si="163"/>
        <v>-2.0627523966636543E-2</v>
      </c>
      <c r="V260" s="181">
        <f t="shared" si="164"/>
        <v>-4.1799572884623493E-2</v>
      </c>
      <c r="W260" s="179"/>
      <c r="X260" s="197">
        <f>'Data(2000)'!N115</f>
        <v>-0.10007510810122923</v>
      </c>
      <c r="Y260" s="197">
        <f>'Data(2000)'!O115</f>
        <v>-4.1184706204225222E-2</v>
      </c>
      <c r="Z260" s="179"/>
      <c r="AA260" s="179"/>
    </row>
    <row r="261" spans="1:40" x14ac:dyDescent="0.2">
      <c r="A261">
        <v>253</v>
      </c>
      <c r="B261" s="180"/>
      <c r="C261" s="179"/>
      <c r="D261" s="180">
        <v>0.20069301798</v>
      </c>
      <c r="E261" s="180">
        <v>-1.33717748333333E-6</v>
      </c>
      <c r="F261" s="180">
        <v>-8.77836933333333E-7</v>
      </c>
      <c r="G261" s="180">
        <v>5.6530020040333602E-8</v>
      </c>
      <c r="H261" s="180">
        <v>1.09124203105909E-7</v>
      </c>
      <c r="I261" s="180">
        <v>9.3741363452278694E-8</v>
      </c>
      <c r="J261" s="179"/>
      <c r="K261" s="179">
        <v>0.2</v>
      </c>
      <c r="L261" s="179">
        <v>10</v>
      </c>
      <c r="M261" s="2">
        <f t="shared" si="157"/>
        <v>20.069301798000001</v>
      </c>
      <c r="N261" s="148">
        <f t="shared" si="158"/>
        <v>-0.13325600429872314</v>
      </c>
      <c r="O261" s="148">
        <f t="shared" si="159"/>
        <v>-8.7480565310031233E-2</v>
      </c>
      <c r="P261" s="3"/>
      <c r="Q261" s="148">
        <f t="shared" si="160"/>
        <v>1.0874738364518865E-2</v>
      </c>
      <c r="R261" s="148">
        <f t="shared" si="161"/>
        <v>9.3417662852247757E-3</v>
      </c>
      <c r="S261" s="1">
        <f t="shared" si="162"/>
        <v>2.816740742120241E-5</v>
      </c>
      <c r="T261" s="179"/>
      <c r="U261" s="181">
        <f t="shared" si="163"/>
        <v>-2.0487626138729717E-2</v>
      </c>
      <c r="V261" s="181">
        <f t="shared" si="164"/>
        <v>-3.8900475774016917E-2</v>
      </c>
      <c r="W261" s="179"/>
      <c r="X261" s="197">
        <f>'Data(2000)'!N116</f>
        <v>-0.11276837815999342</v>
      </c>
      <c r="Y261" s="197">
        <f>'Data(2000)'!O116</f>
        <v>-4.8580089536014316E-2</v>
      </c>
      <c r="Z261" s="179"/>
      <c r="AA261" s="179"/>
    </row>
    <row r="262" spans="1:40" x14ac:dyDescent="0.2">
      <c r="A262">
        <v>254</v>
      </c>
      <c r="B262" s="180"/>
      <c r="C262" s="179"/>
      <c r="D262" s="180">
        <v>9.9962054760000002E-2</v>
      </c>
      <c r="E262" s="180">
        <v>-7.4503823666666603E-7</v>
      </c>
      <c r="F262" s="180">
        <v>-4.24202685E-7</v>
      </c>
      <c r="G262" s="180">
        <v>1.4187829103256701E-7</v>
      </c>
      <c r="H262" s="180">
        <v>6.3812187677177502E-8</v>
      </c>
      <c r="I262" s="180">
        <v>6.0994536379682805E-8</v>
      </c>
      <c r="J262" s="179"/>
      <c r="K262" s="179">
        <v>0.2</v>
      </c>
      <c r="L262" s="179">
        <v>10</v>
      </c>
      <c r="M262" s="2">
        <f t="shared" si="157"/>
        <v>9.9962054760000001</v>
      </c>
      <c r="N262" s="148">
        <f t="shared" si="158"/>
        <v>-0.14906421010561191</v>
      </c>
      <c r="O262" s="148">
        <f t="shared" si="159"/>
        <v>-8.4872742165709364E-2</v>
      </c>
      <c r="P262" s="3"/>
      <c r="Q262" s="148">
        <f t="shared" si="160"/>
        <v>1.2767282111274102E-2</v>
      </c>
      <c r="R262" s="148">
        <f t="shared" si="161"/>
        <v>1.220353793769551E-2</v>
      </c>
      <c r="S262" s="1">
        <f t="shared" si="162"/>
        <v>1.4193214752658312E-4</v>
      </c>
      <c r="T262" s="179"/>
      <c r="U262" s="181">
        <f t="shared" si="163"/>
        <v>-3.2066311729234784E-2</v>
      </c>
      <c r="V262" s="181">
        <f t="shared" si="164"/>
        <v>-3.6127598339260589E-2</v>
      </c>
      <c r="W262" s="179"/>
      <c r="X262" s="197">
        <f>'Data(2000)'!N117</f>
        <v>-0.11699789837637713</v>
      </c>
      <c r="Y262" s="197">
        <f>'Data(2000)'!O117</f>
        <v>-4.8745143826448775E-2</v>
      </c>
      <c r="Z262" s="179"/>
      <c r="AA262" s="179"/>
    </row>
    <row r="263" spans="1:40" x14ac:dyDescent="0.2">
      <c r="A263">
        <v>255</v>
      </c>
      <c r="C263" s="5" t="s">
        <v>74</v>
      </c>
      <c r="D263" s="8"/>
      <c r="E263" s="24"/>
      <c r="F263" s="24"/>
      <c r="G263" s="24"/>
      <c r="H263" s="24"/>
      <c r="I263" s="24"/>
      <c r="J263" s="8"/>
      <c r="K263" s="8"/>
      <c r="L263" s="8"/>
      <c r="M263" s="8"/>
      <c r="N263" s="201" t="s">
        <v>496</v>
      </c>
      <c r="O263" s="149"/>
      <c r="P263" s="8"/>
      <c r="Q263" s="8"/>
      <c r="R263" s="8"/>
      <c r="S263" s="8"/>
      <c r="T263" s="8"/>
      <c r="U263" s="148">
        <f>AVERAGE(U257:U262)</f>
        <v>-1.7970181778922671E-2</v>
      </c>
      <c r="V263" s="148">
        <f>AVERAGE(V257:V262)</f>
        <v>-4.0591307219593142E-2</v>
      </c>
      <c r="W263" s="149" t="s">
        <v>488</v>
      </c>
      <c r="X263" s="8"/>
      <c r="Y263" s="8"/>
      <c r="Z263" s="8"/>
      <c r="AA263" s="179"/>
    </row>
    <row r="264" spans="1:40" x14ac:dyDescent="0.2">
      <c r="A264">
        <v>256</v>
      </c>
      <c r="C264" s="8" t="s">
        <v>73</v>
      </c>
      <c r="D264" s="8">
        <v>1.013536781</v>
      </c>
      <c r="E264" s="24">
        <v>-1.2305485666666699E-7</v>
      </c>
      <c r="F264" s="24">
        <v>4.2425951433333301E-8</v>
      </c>
      <c r="G264" s="24">
        <v>3.0555380983847001E-6</v>
      </c>
      <c r="H264" s="24">
        <v>2.9331896001110901E-8</v>
      </c>
      <c r="I264" s="24">
        <v>2.71520409624402E-8</v>
      </c>
      <c r="J264" s="8"/>
      <c r="K264" s="8">
        <v>0.2</v>
      </c>
      <c r="L264" s="8">
        <v>10</v>
      </c>
      <c r="M264" s="135">
        <f>100*D264/(K264*5)</f>
        <v>101.3536781</v>
      </c>
      <c r="N264" s="148">
        <f>1000000*E264*K264/(L264*D264)</f>
        <v>-2.4282267594720273E-3</v>
      </c>
      <c r="O264" s="148">
        <f>1000000*F264*K264/(D264*L264)</f>
        <v>8.3718622212158877E-4</v>
      </c>
      <c r="P264" s="8"/>
      <c r="Q264" s="148">
        <f>1000000*K264*H264/(L264*D264)</f>
        <v>5.7880279336623112E-4</v>
      </c>
      <c r="R264" s="148">
        <f>1000000*K264*I264/(L264*D264)</f>
        <v>5.3578797477188346E-4</v>
      </c>
      <c r="S264" s="24">
        <f>G264*100/D264</f>
        <v>3.0147283805230746E-4</v>
      </c>
      <c r="T264" s="8"/>
      <c r="U264" s="8"/>
      <c r="V264" s="8"/>
      <c r="W264" s="8"/>
      <c r="X264" s="8"/>
      <c r="Y264" s="8"/>
      <c r="Z264" s="8"/>
      <c r="AA264" s="179"/>
    </row>
    <row r="265" spans="1:40" x14ac:dyDescent="0.2">
      <c r="A265">
        <v>257</v>
      </c>
      <c r="C265" s="8"/>
      <c r="D265" s="8"/>
      <c r="E265" s="8"/>
      <c r="F265" s="8"/>
      <c r="G265" s="264" t="s">
        <v>693</v>
      </c>
      <c r="H265" s="265">
        <v>0.317</v>
      </c>
      <c r="I265" s="264" t="s">
        <v>694</v>
      </c>
      <c r="J265" s="8"/>
      <c r="K265" s="8"/>
      <c r="L265" s="8"/>
      <c r="M265" s="8"/>
      <c r="N265" s="200" t="s">
        <v>497</v>
      </c>
      <c r="O265" s="8"/>
      <c r="P265" s="8"/>
      <c r="Q265" s="8"/>
      <c r="R265" s="8"/>
      <c r="S265" s="8"/>
      <c r="T265" s="8"/>
      <c r="U265" s="8"/>
      <c r="V265" s="8"/>
      <c r="AC265" s="25"/>
      <c r="AD265" s="25" t="s">
        <v>490</v>
      </c>
      <c r="AF265" s="8"/>
      <c r="AG265" s="8"/>
      <c r="AH265" s="8"/>
      <c r="AJ265" t="s">
        <v>491</v>
      </c>
    </row>
    <row r="266" spans="1:40" x14ac:dyDescent="0.2">
      <c r="A266">
        <v>258</v>
      </c>
      <c r="C266" s="5" t="s">
        <v>80</v>
      </c>
      <c r="H266" t="s">
        <v>50</v>
      </c>
      <c r="I266" t="s">
        <v>51</v>
      </c>
      <c r="J266" t="s">
        <v>53</v>
      </c>
      <c r="L266" t="s">
        <v>54</v>
      </c>
      <c r="M266" t="s">
        <v>58</v>
      </c>
      <c r="N266" t="s">
        <v>56</v>
      </c>
      <c r="P266" s="189"/>
      <c r="U266" s="3"/>
      <c r="V266" s="3"/>
      <c r="AD266" s="20">
        <v>1</v>
      </c>
      <c r="AE266">
        <v>2</v>
      </c>
      <c r="AF266" s="20">
        <v>3</v>
      </c>
      <c r="AG266" t="s">
        <v>489</v>
      </c>
      <c r="AH266">
        <v>2000</v>
      </c>
      <c r="AJ266" s="20">
        <v>1</v>
      </c>
      <c r="AK266">
        <v>2</v>
      </c>
      <c r="AL266" s="20">
        <v>3</v>
      </c>
      <c r="AM266" t="s">
        <v>489</v>
      </c>
      <c r="AN266">
        <v>2000</v>
      </c>
    </row>
    <row r="267" spans="1:40" x14ac:dyDescent="0.2">
      <c r="A267">
        <v>259</v>
      </c>
      <c r="B267" s="177"/>
      <c r="D267" t="s">
        <v>14</v>
      </c>
      <c r="E267" t="s">
        <v>171</v>
      </c>
      <c r="F267" t="s">
        <v>172</v>
      </c>
      <c r="G267" t="s">
        <v>32</v>
      </c>
      <c r="H267" t="s">
        <v>16</v>
      </c>
      <c r="I267" t="s">
        <v>52</v>
      </c>
      <c r="J267" t="s">
        <v>54</v>
      </c>
      <c r="K267" t="s">
        <v>55</v>
      </c>
      <c r="L267" t="s">
        <v>57</v>
      </c>
      <c r="M267" t="s">
        <v>57</v>
      </c>
      <c r="N267" t="s">
        <v>59</v>
      </c>
      <c r="P267" s="189"/>
      <c r="Q267" s="8"/>
      <c r="U267" s="3"/>
      <c r="V267" s="3"/>
      <c r="AC267">
        <v>120</v>
      </c>
      <c r="AD267" s="3">
        <f t="shared" ref="AD267:AD272" si="165">N96</f>
        <v>-0.10670696924214715</v>
      </c>
      <c r="AE267" s="3">
        <f t="shared" ref="AE267:AE272" si="166">N105</f>
        <v>-8.8762200769639435E-2</v>
      </c>
      <c r="AF267" s="3">
        <f t="shared" ref="AF267:AF272" si="167">N112</f>
        <v>-0.10439622597582307</v>
      </c>
      <c r="AG267" s="3">
        <f t="shared" ref="AG267:AG272" si="168">N257</f>
        <v>-8.061610630601572E-2</v>
      </c>
      <c r="AH267" s="3">
        <f t="shared" ref="AH267:AH272" si="169">X257</f>
        <v>-6.4283107096448924E-2</v>
      </c>
      <c r="AJ267" s="3">
        <f t="shared" ref="AJ267:AJ272" si="170">O96</f>
        <v>-8.1439284944698015E-2</v>
      </c>
      <c r="AK267" s="3">
        <f t="shared" ref="AK267:AK272" si="171">O105</f>
        <v>-8.8702033366159269E-2</v>
      </c>
      <c r="AL267" s="3">
        <f t="shared" ref="AL267:AL272" si="172">O112</f>
        <v>-8.9179967352323475E-2</v>
      </c>
      <c r="AM267" s="181">
        <f t="shared" ref="AM267:AM272" si="173">O257</f>
        <v>-7.3716188367416113E-2</v>
      </c>
      <c r="AN267" s="181">
        <f t="shared" ref="AN267:AN272" si="174">Y257</f>
        <v>-3.4492704398596641E-2</v>
      </c>
    </row>
    <row r="268" spans="1:40" x14ac:dyDescent="0.2">
      <c r="A268">
        <v>260</v>
      </c>
      <c r="B268" s="179"/>
      <c r="C268" t="s">
        <v>45</v>
      </c>
      <c r="D268">
        <v>1.002365</v>
      </c>
      <c r="E268" s="8">
        <v>0.43540000000000001</v>
      </c>
      <c r="F268">
        <f>E268/D268</f>
        <v>0.43437270854429277</v>
      </c>
      <c r="G268">
        <v>0.2</v>
      </c>
      <c r="H268">
        <f>H$265/G268</f>
        <v>1.585</v>
      </c>
      <c r="I268">
        <f>H268+1</f>
        <v>2.585</v>
      </c>
      <c r="J268">
        <f>F268-K268*I268/20</f>
        <v>0.3051227085442928</v>
      </c>
      <c r="K268">
        <v>1</v>
      </c>
      <c r="L268">
        <f>J268</f>
        <v>0.3051227085442928</v>
      </c>
      <c r="M268" s="15">
        <f>1/L268</f>
        <v>3.2773699629597912</v>
      </c>
      <c r="N268">
        <f>5*M268/SUM($M$127:$M$131)</f>
        <v>0.99220246952089386</v>
      </c>
      <c r="P268" s="190"/>
      <c r="Q268" s="2"/>
      <c r="S268" s="1"/>
      <c r="T268" s="1"/>
      <c r="U268" s="3"/>
      <c r="V268" s="3"/>
      <c r="AC268">
        <v>100</v>
      </c>
      <c r="AD268" s="3">
        <f t="shared" si="165"/>
        <v>-0.11417693310428569</v>
      </c>
      <c r="AE268" s="3">
        <f t="shared" si="166"/>
        <v>-9.9284838987080445E-2</v>
      </c>
      <c r="AF268" s="3">
        <f t="shared" si="167"/>
        <v>-0.10745521422611966</v>
      </c>
      <c r="AG268" s="3">
        <f t="shared" si="168"/>
        <v>-8.3456534392253381E-2</v>
      </c>
      <c r="AH268" s="3">
        <f t="shared" si="169"/>
        <v>-7.5981842629855176E-2</v>
      </c>
      <c r="AJ268" s="3">
        <f t="shared" si="170"/>
        <v>-7.9358248507449797E-2</v>
      </c>
      <c r="AK268" s="3">
        <f t="shared" si="171"/>
        <v>-9.7745581980004034E-2</v>
      </c>
      <c r="AL268" s="3">
        <f t="shared" si="172"/>
        <v>-8.8673605074541889E-2</v>
      </c>
      <c r="AM268" s="181">
        <f t="shared" si="173"/>
        <v>-7.7308476267283363E-2</v>
      </c>
      <c r="AN268" s="181">
        <f t="shared" si="174"/>
        <v>-3.4824253315917826E-2</v>
      </c>
    </row>
    <row r="269" spans="1:40" x14ac:dyDescent="0.2">
      <c r="A269">
        <v>261</v>
      </c>
      <c r="B269" s="179"/>
      <c r="C269" t="s">
        <v>46</v>
      </c>
      <c r="D269">
        <v>1.0018899999999999</v>
      </c>
      <c r="E269">
        <v>0.86750000000000005</v>
      </c>
      <c r="F269">
        <f>E269/D269</f>
        <v>0.86586351795107253</v>
      </c>
      <c r="G269">
        <v>0.2</v>
      </c>
      <c r="H269">
        <f>H$265/G269</f>
        <v>1.585</v>
      </c>
      <c r="I269">
        <f>H269+1</f>
        <v>2.585</v>
      </c>
      <c r="J269">
        <f>F269-K269*I269/20</f>
        <v>0.60736351795107257</v>
      </c>
      <c r="K269">
        <v>2</v>
      </c>
      <c r="L269">
        <f>J269-J268</f>
        <v>0.30224080940677978</v>
      </c>
      <c r="M269" s="15">
        <f>1/L269</f>
        <v>3.3086200436094</v>
      </c>
      <c r="N269">
        <f>5*M269/SUM($M$127:$M$131)</f>
        <v>1.0016632284659315</v>
      </c>
      <c r="O269" s="3"/>
      <c r="P269" s="190"/>
      <c r="Q269" s="2"/>
      <c r="S269" s="1"/>
      <c r="T269" s="1"/>
      <c r="U269" s="1"/>
      <c r="V269" s="1"/>
      <c r="AC269">
        <v>60</v>
      </c>
      <c r="AD269" s="3">
        <f t="shared" si="165"/>
        <v>-0.16078174707746429</v>
      </c>
      <c r="AE269" s="3">
        <f t="shared" si="166"/>
        <v>-0.13350820356493742</v>
      </c>
      <c r="AF269" s="3">
        <f t="shared" si="167"/>
        <v>-0.13517554807046459</v>
      </c>
      <c r="AG269" s="3">
        <f t="shared" si="168"/>
        <v>-0.10407211186258974</v>
      </c>
      <c r="AH269" s="3">
        <f t="shared" si="169"/>
        <v>-9.3240173995619763E-2</v>
      </c>
      <c r="AJ269" s="3">
        <f t="shared" si="170"/>
        <v>-9.3697177512582275E-2</v>
      </c>
      <c r="AK269" s="3">
        <f t="shared" si="171"/>
        <v>-9.1800236002878205E-2</v>
      </c>
      <c r="AL269" s="3">
        <f t="shared" si="172"/>
        <v>-9.3099311737729715E-2</v>
      </c>
      <c r="AM269" s="181">
        <f t="shared" si="173"/>
        <v>-8.1071500901025412E-2</v>
      </c>
      <c r="AN269" s="181">
        <f t="shared" si="174"/>
        <v>-3.6059011501552544E-2</v>
      </c>
    </row>
    <row r="270" spans="1:40" x14ac:dyDescent="0.2">
      <c r="A270">
        <v>262</v>
      </c>
      <c r="B270" s="179"/>
      <c r="C270" t="s">
        <v>48</v>
      </c>
      <c r="D270">
        <v>1.00203</v>
      </c>
      <c r="E270">
        <v>1.3086</v>
      </c>
      <c r="F270">
        <f>E270/D270</f>
        <v>1.3059489236849195</v>
      </c>
      <c r="G270">
        <v>0.2</v>
      </c>
      <c r="H270">
        <f>H$265/G270</f>
        <v>1.585</v>
      </c>
      <c r="I270">
        <f>H270+1</f>
        <v>2.585</v>
      </c>
      <c r="J270">
        <f>F270-K270*I270/20</f>
        <v>0.91819892368491951</v>
      </c>
      <c r="K270">
        <v>3</v>
      </c>
      <c r="L270">
        <f>J270-J269</f>
        <v>0.31083540573384694</v>
      </c>
      <c r="M270" s="15">
        <f>1/L270</f>
        <v>3.2171367275201939</v>
      </c>
      <c r="N270">
        <f>5*M270/SUM($M$127:$M$131)</f>
        <v>0.97396724871096441</v>
      </c>
      <c r="O270" s="3"/>
      <c r="P270" s="190"/>
      <c r="Q270" s="2"/>
      <c r="S270" s="1"/>
      <c r="T270" s="1"/>
      <c r="U270" s="1"/>
      <c r="V270" s="1"/>
      <c r="AC270">
        <v>40</v>
      </c>
      <c r="AD270" s="3">
        <f t="shared" si="165"/>
        <v>-0.17707008862549448</v>
      </c>
      <c r="AE270" s="3">
        <f t="shared" si="166"/>
        <v>-0.15528966458801599</v>
      </c>
      <c r="AF270" s="3">
        <f t="shared" si="167"/>
        <v>-0.15399968887837867</v>
      </c>
      <c r="AG270" s="3">
        <f t="shared" si="168"/>
        <v>-0.12070263206786577</v>
      </c>
      <c r="AH270" s="3">
        <f t="shared" si="169"/>
        <v>-0.10007510810122923</v>
      </c>
      <c r="AJ270" s="3">
        <f t="shared" si="170"/>
        <v>-9.9013890216478634E-2</v>
      </c>
      <c r="AK270" s="3">
        <f t="shared" si="171"/>
        <v>-8.8317950829582173E-2</v>
      </c>
      <c r="AL270" s="3">
        <f t="shared" si="172"/>
        <v>-9.3502010947139294E-2</v>
      </c>
      <c r="AM270" s="181">
        <f t="shared" si="173"/>
        <v>-8.2984279088848714E-2</v>
      </c>
      <c r="AN270" s="181">
        <f t="shared" si="174"/>
        <v>-4.1184706204225222E-2</v>
      </c>
    </row>
    <row r="271" spans="1:40" x14ac:dyDescent="0.2">
      <c r="A271">
        <v>263</v>
      </c>
      <c r="B271" s="179"/>
      <c r="C271" t="s">
        <v>49</v>
      </c>
      <c r="D271">
        <v>1.0017849999999999</v>
      </c>
      <c r="E271">
        <v>1.70821</v>
      </c>
      <c r="F271">
        <f>E271/D271</f>
        <v>1.7051662781934249</v>
      </c>
      <c r="G271">
        <v>0.2</v>
      </c>
      <c r="H271">
        <f>H$265/G271</f>
        <v>1.585</v>
      </c>
      <c r="I271">
        <f>H271+1</f>
        <v>2.585</v>
      </c>
      <c r="J271">
        <f>F271-K271*I271/20</f>
        <v>1.188166278193425</v>
      </c>
      <c r="K271">
        <v>4</v>
      </c>
      <c r="L271">
        <f>J271-J270</f>
        <v>0.26996735450850551</v>
      </c>
      <c r="M271" s="15">
        <f>1/L271</f>
        <v>3.7041515698095058</v>
      </c>
      <c r="N271">
        <f>5*M271/SUM($M$127:$M$131)</f>
        <v>1.1214078290159082</v>
      </c>
      <c r="O271" s="3"/>
      <c r="P271" s="190"/>
      <c r="Q271" s="2"/>
      <c r="S271" s="1"/>
      <c r="T271" s="1"/>
      <c r="U271" s="1"/>
      <c r="V271" s="1"/>
      <c r="AC271">
        <v>20</v>
      </c>
      <c r="AD271" s="3">
        <f t="shared" si="165"/>
        <v>-0.17926661356212503</v>
      </c>
      <c r="AE271" s="3">
        <f t="shared" si="166"/>
        <v>-0.17792166878234775</v>
      </c>
      <c r="AF271" s="3">
        <f t="shared" si="167"/>
        <v>-0.17672463872532052</v>
      </c>
      <c r="AG271" s="3">
        <f t="shared" si="168"/>
        <v>-0.13325600429872314</v>
      </c>
      <c r="AH271" s="3">
        <f t="shared" si="169"/>
        <v>-0.11276837815999342</v>
      </c>
      <c r="AJ271" s="3">
        <f t="shared" si="170"/>
        <v>-0.10363544064119296</v>
      </c>
      <c r="AK271" s="3">
        <f t="shared" si="171"/>
        <v>-8.9429398442340324E-2</v>
      </c>
      <c r="AL271" s="3">
        <f t="shared" si="172"/>
        <v>-0.10019637142606318</v>
      </c>
      <c r="AM271" s="181">
        <f t="shared" si="173"/>
        <v>-8.7480565310031233E-2</v>
      </c>
      <c r="AN271" s="181">
        <f t="shared" si="174"/>
        <v>-4.8580089536014316E-2</v>
      </c>
    </row>
    <row r="272" spans="1:40" x14ac:dyDescent="0.2">
      <c r="A272">
        <v>264</v>
      </c>
      <c r="B272" s="179"/>
      <c r="C272" t="s">
        <v>79</v>
      </c>
      <c r="D272">
        <v>1.0020549999999999</v>
      </c>
      <c r="E272">
        <v>2.11334</v>
      </c>
      <c r="F272">
        <f>E272/D272</f>
        <v>2.1090059926850326</v>
      </c>
      <c r="G272">
        <v>0.2</v>
      </c>
      <c r="H272">
        <f>H$265/G272</f>
        <v>1.585</v>
      </c>
      <c r="I272">
        <f>H272+1</f>
        <v>2.585</v>
      </c>
      <c r="J272">
        <f>F272-K272*I272/20</f>
        <v>1.4627559926850326</v>
      </c>
      <c r="K272">
        <v>5</v>
      </c>
      <c r="L272">
        <f>J272-J271</f>
        <v>0.27458971449160763</v>
      </c>
      <c r="M272" s="15">
        <f>1/L272</f>
        <v>3.6417970055850848</v>
      </c>
      <c r="N272">
        <f>5*M272/SUM($M$127:$M$131)</f>
        <v>1.102530389694564</v>
      </c>
      <c r="O272" s="3"/>
      <c r="P272" s="190"/>
      <c r="Q272" s="2"/>
      <c r="S272" s="1"/>
      <c r="T272" s="1"/>
      <c r="U272" s="1"/>
      <c r="V272" s="1"/>
      <c r="AC272">
        <v>10</v>
      </c>
      <c r="AD272" s="3">
        <f t="shared" si="165"/>
        <v>-0.19647382473943864</v>
      </c>
      <c r="AE272" s="3">
        <f t="shared" si="166"/>
        <v>-0.19313182282890731</v>
      </c>
      <c r="AF272" s="3">
        <f t="shared" si="167"/>
        <v>-0.18934728153018668</v>
      </c>
      <c r="AG272" s="3">
        <f t="shared" si="168"/>
        <v>-0.14906421010561191</v>
      </c>
      <c r="AH272" s="3">
        <f t="shared" si="169"/>
        <v>-0.11699789837637713</v>
      </c>
      <c r="AJ272" s="3">
        <f t="shared" si="170"/>
        <v>-9.6542210222661726E-2</v>
      </c>
      <c r="AK272" s="3">
        <f t="shared" si="171"/>
        <v>-9.2053514785742349E-2</v>
      </c>
      <c r="AL272" s="3">
        <f t="shared" si="172"/>
        <v>-9.6009741800694673E-2</v>
      </c>
      <c r="AM272" s="181">
        <f t="shared" si="173"/>
        <v>-8.4872742165709364E-2</v>
      </c>
      <c r="AN272" s="181">
        <f t="shared" si="174"/>
        <v>-4.8745143826448775E-2</v>
      </c>
    </row>
    <row r="273" spans="1:33" x14ac:dyDescent="0.2">
      <c r="A273">
        <v>265</v>
      </c>
      <c r="B273" s="179"/>
      <c r="M273" s="15"/>
      <c r="X273" s="3"/>
      <c r="Y273" s="3"/>
      <c r="AA273" s="179"/>
      <c r="AB273" s="179"/>
      <c r="AC273" s="179"/>
      <c r="AD273" s="179"/>
      <c r="AE273" s="179"/>
      <c r="AF273" s="179"/>
      <c r="AG273" s="179"/>
    </row>
    <row r="274" spans="1:33" x14ac:dyDescent="0.2">
      <c r="A274">
        <v>266</v>
      </c>
      <c r="B274" s="179"/>
      <c r="C274" s="5" t="s">
        <v>88</v>
      </c>
      <c r="J274" s="5" t="s">
        <v>18</v>
      </c>
      <c r="K274" s="5" t="s">
        <v>2</v>
      </c>
      <c r="L274" s="5" t="s">
        <v>3</v>
      </c>
      <c r="M274" s="5" t="s">
        <v>180</v>
      </c>
      <c r="N274" s="13" t="s">
        <v>246</v>
      </c>
      <c r="O274" s="13"/>
      <c r="P274" s="13" t="s">
        <v>245</v>
      </c>
      <c r="Q274" s="13"/>
      <c r="S274" s="5" t="s">
        <v>318</v>
      </c>
      <c r="T274" s="5" t="s">
        <v>318</v>
      </c>
      <c r="U274" s="307" t="s">
        <v>109</v>
      </c>
      <c r="V274" s="307"/>
      <c r="AA274" s="179"/>
      <c r="AB274" s="179"/>
      <c r="AC274" s="179"/>
      <c r="AD274" s="179"/>
      <c r="AE274" s="179"/>
      <c r="AF274" s="179"/>
      <c r="AG274" s="179"/>
    </row>
    <row r="275" spans="1:33" x14ac:dyDescent="0.2">
      <c r="A275">
        <v>267</v>
      </c>
      <c r="B275" s="179"/>
      <c r="N275" t="s">
        <v>247</v>
      </c>
      <c r="O275" t="s">
        <v>248</v>
      </c>
      <c r="P275" t="s">
        <v>107</v>
      </c>
      <c r="Q275" t="s">
        <v>108</v>
      </c>
      <c r="R275" t="s">
        <v>320</v>
      </c>
      <c r="S275" t="s">
        <v>98</v>
      </c>
      <c r="T275" t="s">
        <v>99</v>
      </c>
      <c r="U275" t="s">
        <v>98</v>
      </c>
      <c r="V275" t="s">
        <v>99</v>
      </c>
      <c r="AA275" s="179"/>
      <c r="AB275" s="179"/>
      <c r="AC275" s="179"/>
      <c r="AD275" s="179"/>
      <c r="AE275" s="179"/>
      <c r="AF275" s="179"/>
      <c r="AG275" s="179"/>
    </row>
    <row r="276" spans="1:33" x14ac:dyDescent="0.2">
      <c r="A276">
        <v>268</v>
      </c>
      <c r="B276" s="179"/>
      <c r="C276" t="s">
        <v>82</v>
      </c>
      <c r="D276" s="179">
        <v>1.004450928</v>
      </c>
      <c r="E276" s="180">
        <v>2.681448695E-7</v>
      </c>
      <c r="F276" s="180">
        <v>4.8245795666666701E-7</v>
      </c>
      <c r="G276" s="180">
        <v>1.91545986686197E-6</v>
      </c>
      <c r="H276" s="180">
        <v>5.4364384795124703E-8</v>
      </c>
      <c r="I276" s="180">
        <v>7.4874106913392394E-8</v>
      </c>
      <c r="J276">
        <v>4</v>
      </c>
      <c r="K276">
        <v>0.2</v>
      </c>
      <c r="L276">
        <v>10</v>
      </c>
      <c r="M276" s="2">
        <f>J276*D276/K276</f>
        <v>20.08901856</v>
      </c>
      <c r="N276" s="3">
        <f>1000000*E276/L276</f>
        <v>2.6814486950000001E-2</v>
      </c>
      <c r="O276" s="3">
        <f>1000000*F276/L276</f>
        <v>4.8245795666666702E-2</v>
      </c>
      <c r="P276" s="3">
        <f>J276*N276/M276</f>
        <v>5.3391332921343074E-3</v>
      </c>
      <c r="Q276" s="3">
        <f>O276*J276/M276</f>
        <v>9.6064017308900729E-3</v>
      </c>
      <c r="AA276" s="179"/>
      <c r="AB276" s="179"/>
      <c r="AC276" s="179"/>
      <c r="AD276" s="179"/>
      <c r="AE276" s="179"/>
      <c r="AF276" s="179"/>
      <c r="AG276" s="179"/>
    </row>
    <row r="277" spans="1:33" x14ac:dyDescent="0.2">
      <c r="A277">
        <v>269</v>
      </c>
      <c r="B277" s="179"/>
      <c r="C277" t="s">
        <v>83</v>
      </c>
      <c r="D277" s="179">
        <v>0.99958252382000001</v>
      </c>
      <c r="E277" s="1">
        <v>-1.1264067566666701E-6</v>
      </c>
      <c r="F277" s="1">
        <v>2.0001609333333301E-7</v>
      </c>
      <c r="G277" s="1">
        <v>1.1523758563598499E-6</v>
      </c>
      <c r="H277" s="180">
        <v>1.36870419992162E-7</v>
      </c>
      <c r="I277" s="180">
        <v>4.55594838965276E-8</v>
      </c>
      <c r="J277">
        <v>4</v>
      </c>
      <c r="K277">
        <v>0.2</v>
      </c>
      <c r="L277">
        <v>10</v>
      </c>
      <c r="M277" s="2">
        <f>J277*D277/K277</f>
        <v>19.9916504764</v>
      </c>
      <c r="N277" s="3">
        <f>1000000*E277/L277</f>
        <v>-0.112640675666667</v>
      </c>
      <c r="O277" s="3">
        <f>1000000*F277/L277</f>
        <v>2.0001609333333302E-2</v>
      </c>
      <c r="P277" s="3">
        <f>J277*N277/M277</f>
        <v>-2.2537544021117916E-2</v>
      </c>
      <c r="Q277" s="3">
        <f>O277*J277/M277</f>
        <v>4.0019926032510535E-3</v>
      </c>
      <c r="AA277" s="179"/>
      <c r="AB277" s="179"/>
      <c r="AC277" s="179"/>
      <c r="AD277" s="179"/>
      <c r="AE277" s="179"/>
      <c r="AF277" s="179"/>
      <c r="AG277" s="179"/>
    </row>
    <row r="278" spans="1:33" x14ac:dyDescent="0.2">
      <c r="A278">
        <v>270</v>
      </c>
      <c r="B278" s="179"/>
      <c r="C278" t="s">
        <v>84</v>
      </c>
      <c r="D278" s="179">
        <v>0.99761699477999999</v>
      </c>
      <c r="E278" s="1">
        <v>2.57124411666667E-7</v>
      </c>
      <c r="F278" s="1">
        <v>4.72687871666666E-7</v>
      </c>
      <c r="G278" s="1">
        <v>9.8854691945386904E-7</v>
      </c>
      <c r="H278" s="180">
        <v>1.4006186567803599E-7</v>
      </c>
      <c r="I278" s="180">
        <v>3.5221960661144298E-8</v>
      </c>
      <c r="J278">
        <v>4</v>
      </c>
      <c r="K278">
        <v>0.2</v>
      </c>
      <c r="L278">
        <v>10</v>
      </c>
      <c r="M278" s="2">
        <f>J278*D278/K278</f>
        <v>19.952339895599998</v>
      </c>
      <c r="N278" s="3">
        <f>1000000*E278/L278</f>
        <v>2.57124411666667E-2</v>
      </c>
      <c r="O278" s="3">
        <f>1000000*F278/L278</f>
        <v>4.7268787166666597E-2</v>
      </c>
      <c r="P278" s="3">
        <f>J278*N278/M278</f>
        <v>5.154772082112926E-3</v>
      </c>
      <c r="Q278" s="3">
        <f>O278*J278/M278</f>
        <v>9.4763396000667726E-3</v>
      </c>
      <c r="W278" t="s">
        <v>457</v>
      </c>
      <c r="AA278" s="179"/>
      <c r="AB278" s="179"/>
      <c r="AC278" s="179"/>
      <c r="AD278" s="179"/>
      <c r="AE278" s="179"/>
      <c r="AF278" s="179"/>
      <c r="AG278" s="179"/>
    </row>
    <row r="279" spans="1:33" x14ac:dyDescent="0.2">
      <c r="A279">
        <v>271</v>
      </c>
      <c r="B279" s="179"/>
      <c r="M279" s="2"/>
      <c r="N279" s="3"/>
      <c r="O279" s="3"/>
      <c r="P279" s="3"/>
      <c r="Q279" s="3"/>
      <c r="AA279" s="179"/>
      <c r="AB279" s="179"/>
      <c r="AC279" s="179"/>
      <c r="AD279" s="179"/>
      <c r="AE279" s="179"/>
      <c r="AF279" s="179"/>
      <c r="AG279" s="179"/>
    </row>
    <row r="280" spans="1:33" x14ac:dyDescent="0.2">
      <c r="A280">
        <v>272</v>
      </c>
      <c r="B280" s="179"/>
      <c r="C280" t="s">
        <v>26</v>
      </c>
      <c r="D280" s="179">
        <v>1.0015660548</v>
      </c>
      <c r="E280" s="180">
        <v>2.7139843833333299E-7</v>
      </c>
      <c r="F280" s="180">
        <v>4.7221590666666702E-7</v>
      </c>
      <c r="G280" s="180">
        <v>8.5620036910527901E-7</v>
      </c>
      <c r="H280" s="180">
        <v>2.90947629473564E-8</v>
      </c>
      <c r="I280" s="180">
        <v>4.0049127196165202E-8</v>
      </c>
      <c r="J280">
        <v>4</v>
      </c>
      <c r="K280">
        <v>0.2</v>
      </c>
      <c r="L280">
        <v>10</v>
      </c>
      <c r="M280" s="2">
        <f>J280*D280/K280</f>
        <v>20.031321095999999</v>
      </c>
      <c r="N280" s="3">
        <f>1000000*E280/L280</f>
        <v>2.7139843833333299E-2</v>
      </c>
      <c r="O280" s="3">
        <f>1000000*F280/L280</f>
        <v>4.7221590666666702E-2</v>
      </c>
      <c r="P280" s="3">
        <f>J280*N280/M280</f>
        <v>5.4194815615536771E-3</v>
      </c>
      <c r="Q280" s="3">
        <f>O280*J280/M280</f>
        <v>9.4295509398221872E-3</v>
      </c>
      <c r="R280">
        <f>1-N269</f>
        <v>-1.6632284659314767E-3</v>
      </c>
      <c r="S280" s="3">
        <f>P280*R280</f>
        <v>-9.0138360037668454E-6</v>
      </c>
      <c r="T280" s="3">
        <f>Q280*R280</f>
        <v>-1.5683497544063172E-5</v>
      </c>
      <c r="AA280" s="179"/>
      <c r="AB280" s="179"/>
      <c r="AC280" s="179"/>
      <c r="AD280" s="179"/>
      <c r="AE280" s="179"/>
      <c r="AF280" s="179"/>
      <c r="AG280" s="179"/>
    </row>
    <row r="281" spans="1:33" x14ac:dyDescent="0.2">
      <c r="A281">
        <v>273</v>
      </c>
      <c r="B281" s="179"/>
      <c r="C281" t="s">
        <v>85</v>
      </c>
      <c r="D281" s="179">
        <v>1.0010860692000001</v>
      </c>
      <c r="E281" s="180">
        <v>1.6790924451666701E-8</v>
      </c>
      <c r="F281" s="180">
        <v>3.4232516666666698E-7</v>
      </c>
      <c r="G281" s="180">
        <v>8.3959761983379806E-6</v>
      </c>
      <c r="H281" s="180">
        <v>4.2702115047683E-8</v>
      </c>
      <c r="I281" s="180">
        <v>3.57302252879205E-8</v>
      </c>
      <c r="J281">
        <v>4</v>
      </c>
      <c r="K281">
        <v>0.2</v>
      </c>
      <c r="L281">
        <v>10</v>
      </c>
      <c r="M281" s="2">
        <f>J281*D281/K281</f>
        <v>20.021721383999999</v>
      </c>
      <c r="N281" s="3">
        <f>1000000*E281/L281</f>
        <v>1.6790924451666699E-3</v>
      </c>
      <c r="O281" s="3">
        <f>1000000*F281/L281</f>
        <v>3.4232516666666699E-2</v>
      </c>
      <c r="P281" s="3">
        <f>J281*N281/M281</f>
        <v>3.3545416259932306E-4</v>
      </c>
      <c r="Q281" s="3">
        <f>O281*J281/M281</f>
        <v>6.8390756239417065E-3</v>
      </c>
      <c r="R281">
        <f>1-N270</f>
        <v>2.6032751289035594E-2</v>
      </c>
      <c r="S281" s="3">
        <f>P281*R281</f>
        <v>8.7327947838198837E-6</v>
      </c>
      <c r="T281" s="3">
        <f>Q281*R281</f>
        <v>1.7803995476498035E-4</v>
      </c>
      <c r="AA281" s="179"/>
      <c r="AB281" s="179"/>
      <c r="AC281" s="179"/>
      <c r="AD281" s="179"/>
      <c r="AE281" s="179"/>
      <c r="AF281" s="179"/>
      <c r="AG281" s="179"/>
    </row>
    <row r="282" spans="1:33" x14ac:dyDescent="0.2">
      <c r="A282">
        <v>274</v>
      </c>
      <c r="B282" s="179"/>
      <c r="C282" t="s">
        <v>28</v>
      </c>
      <c r="D282" s="179">
        <v>1.0031506753999999</v>
      </c>
      <c r="E282" s="1">
        <v>-1.3840552744999999E-6</v>
      </c>
      <c r="F282" s="1">
        <v>-2.3310204E-7</v>
      </c>
      <c r="G282" s="1">
        <v>1.62486815669027E-6</v>
      </c>
      <c r="H282" s="180">
        <v>1.51724848064302E-7</v>
      </c>
      <c r="I282" s="180">
        <v>6.2747435444181803E-8</v>
      </c>
      <c r="J282">
        <v>4</v>
      </c>
      <c r="K282">
        <v>0.2</v>
      </c>
      <c r="L282">
        <v>10</v>
      </c>
      <c r="M282" s="2">
        <f>J282*D282/K282</f>
        <v>20.063013507999997</v>
      </c>
      <c r="N282" s="3">
        <f>1000000*E282/L282</f>
        <v>-0.13840552744999998</v>
      </c>
      <c r="O282" s="3">
        <f>1000000*F282/L282</f>
        <v>-2.3310204000000001E-2</v>
      </c>
      <c r="P282" s="3">
        <f>J282*N282/M282</f>
        <v>-2.7594165232418682E-2</v>
      </c>
      <c r="Q282" s="3">
        <f>O282*J282/M282</f>
        <v>-4.647398356324728E-3</v>
      </c>
      <c r="R282">
        <f>1-N271</f>
        <v>-0.12140782901590819</v>
      </c>
      <c r="S282" s="3">
        <f>P282*R282</f>
        <v>3.3501476943742056E-3</v>
      </c>
      <c r="T282" s="3">
        <f>Q282*R282</f>
        <v>5.6423054501348528E-4</v>
      </c>
      <c r="X282" s="34" t="s">
        <v>493</v>
      </c>
      <c r="Y282" s="34"/>
      <c r="AA282" s="179"/>
      <c r="AB282" s="179"/>
      <c r="AC282" s="179"/>
      <c r="AD282" s="179"/>
      <c r="AE282" s="179"/>
      <c r="AF282" s="179"/>
      <c r="AG282" s="179"/>
    </row>
    <row r="283" spans="1:33" x14ac:dyDescent="0.2">
      <c r="A283">
        <v>275</v>
      </c>
      <c r="B283" s="179"/>
      <c r="C283" t="s">
        <v>86</v>
      </c>
      <c r="D283" s="179">
        <v>1.0115676672</v>
      </c>
      <c r="E283" s="1">
        <v>-6.6087073666666695E-7</v>
      </c>
      <c r="F283" s="1">
        <v>-4.3336406499999999E-7</v>
      </c>
      <c r="G283" s="1">
        <v>2.0809236407745702E-6</v>
      </c>
      <c r="H283" s="180">
        <v>4.4714736769331997E-8</v>
      </c>
      <c r="I283" s="180">
        <v>2.88663377254102E-8</v>
      </c>
      <c r="J283">
        <v>4</v>
      </c>
      <c r="K283">
        <v>0.2</v>
      </c>
      <c r="L283">
        <v>10</v>
      </c>
      <c r="M283" s="2">
        <f>J283*D283/K283</f>
        <v>20.231353343999999</v>
      </c>
      <c r="N283" s="3">
        <f>1000000*E283/L283</f>
        <v>-6.608707366666669E-2</v>
      </c>
      <c r="O283" s="3">
        <f>1000000*F283/L283</f>
        <v>-4.3336406499999994E-2</v>
      </c>
      <c r="P283" s="3">
        <f>J283*N283/M283</f>
        <v>-1.3066268487919242E-2</v>
      </c>
      <c r="Q283" s="3">
        <f>O283*J283/M283</f>
        <v>-8.5681675888187175E-3</v>
      </c>
      <c r="R283">
        <f>1-N272</f>
        <v>-0.10253038969456396</v>
      </c>
      <c r="S283" s="3">
        <f>P283*R283</f>
        <v>1.3396895999201609E-3</v>
      </c>
      <c r="T283" s="3">
        <f>Q283*R283</f>
        <v>8.7849756184991555E-4</v>
      </c>
      <c r="U283" s="40">
        <f>SUM(S280:S283)</f>
        <v>4.6895562530744192E-3</v>
      </c>
      <c r="V283" s="40">
        <f>SUM(T280:T283)</f>
        <v>1.605084564084318E-3</v>
      </c>
      <c r="X283" s="199">
        <f>U142</f>
        <v>3.9673108367433534E-3</v>
      </c>
      <c r="Y283" s="199">
        <f>V142</f>
        <v>2.4485463460984262E-3</v>
      </c>
      <c r="AA283" s="179"/>
      <c r="AB283" s="179"/>
      <c r="AC283" s="179"/>
      <c r="AD283" s="179"/>
      <c r="AE283" s="179"/>
      <c r="AF283" s="179"/>
      <c r="AG283" s="179"/>
    </row>
    <row r="284" spans="1:33" x14ac:dyDescent="0.2">
      <c r="A284">
        <v>276</v>
      </c>
      <c r="B284" s="183"/>
      <c r="C284" t="s">
        <v>87</v>
      </c>
      <c r="D284">
        <v>1.0102005972000001</v>
      </c>
      <c r="E284" s="1">
        <v>-6.61214161666666E-7</v>
      </c>
      <c r="F284" s="1">
        <v>-4.3845546166666599E-7</v>
      </c>
      <c r="G284" s="1">
        <v>1.9909917917905101E-6</v>
      </c>
      <c r="H284" s="1">
        <v>2.0429634641590199E-8</v>
      </c>
      <c r="I284" s="1">
        <v>3.2475699367966398E-8</v>
      </c>
      <c r="J284">
        <v>4</v>
      </c>
      <c r="K284">
        <v>0.2</v>
      </c>
      <c r="L284">
        <v>10</v>
      </c>
      <c r="M284" s="2">
        <f>J284*D284/K284</f>
        <v>20.204011944000001</v>
      </c>
      <c r="N284" s="3">
        <f>1000000*E284/L284</f>
        <v>-6.6121416166666599E-2</v>
      </c>
      <c r="O284" s="3">
        <f>1000000*F284/L284</f>
        <v>-4.3845546166666596E-2</v>
      </c>
      <c r="P284" s="3">
        <f>J284*N284/M284</f>
        <v>-1.3090749767904928E-2</v>
      </c>
      <c r="Q284" s="3">
        <f>O284*J284/M284</f>
        <v>-8.6805623137017479E-3</v>
      </c>
      <c r="U284" s="156">
        <f>'Data(2000)'!U142</f>
        <v>-3.3986827359856458E-3</v>
      </c>
      <c r="V284" s="156">
        <f>'Data(2000)'!V142</f>
        <v>-7.297072886064429E-4</v>
      </c>
      <c r="AA284" s="179"/>
      <c r="AB284" s="179"/>
      <c r="AC284" s="179"/>
      <c r="AD284" s="179"/>
      <c r="AE284" s="179"/>
      <c r="AF284" s="179"/>
      <c r="AG284" s="179"/>
    </row>
    <row r="285" spans="1:33" x14ac:dyDescent="0.2">
      <c r="A285">
        <v>277</v>
      </c>
      <c r="B285" s="179"/>
      <c r="C285" s="179"/>
      <c r="D285" s="179"/>
      <c r="E285" s="180"/>
      <c r="F285" s="180"/>
      <c r="G285" s="264" t="s">
        <v>693</v>
      </c>
      <c r="H285" s="265">
        <v>0.317</v>
      </c>
      <c r="I285" s="264" t="s">
        <v>694</v>
      </c>
      <c r="J285" s="179"/>
      <c r="K285" s="179"/>
      <c r="L285" s="179"/>
      <c r="M285" s="179"/>
      <c r="N285" s="185"/>
      <c r="O285" s="185"/>
      <c r="P285" s="186"/>
      <c r="Q285" s="186"/>
      <c r="R285" s="181"/>
      <c r="S285" s="181"/>
      <c r="T285" s="179"/>
      <c r="U285" s="179"/>
      <c r="V285" s="179"/>
      <c r="W285" s="179"/>
      <c r="X285" s="179"/>
      <c r="Y285" s="179"/>
      <c r="Z285" s="179"/>
      <c r="AA285" s="179"/>
      <c r="AB285" s="179"/>
      <c r="AC285" s="179"/>
      <c r="AD285" s="179"/>
      <c r="AE285" s="179"/>
      <c r="AF285" s="179"/>
      <c r="AG285" s="179"/>
    </row>
    <row r="286" spans="1:33" x14ac:dyDescent="0.2">
      <c r="A286">
        <v>278</v>
      </c>
      <c r="B286" s="179"/>
      <c r="C286" s="5" t="s">
        <v>492</v>
      </c>
      <c r="D286" s="7"/>
      <c r="E286" s="24" t="s">
        <v>189</v>
      </c>
      <c r="F286" s="10"/>
      <c r="G286" s="10"/>
      <c r="H286" s="10"/>
      <c r="I286" s="10"/>
      <c r="J286" s="7"/>
      <c r="K286" s="7"/>
      <c r="L286" t="s">
        <v>227</v>
      </c>
      <c r="M286" t="s">
        <v>228</v>
      </c>
      <c r="N286" s="25" t="s">
        <v>317</v>
      </c>
      <c r="O286" s="185"/>
      <c r="P286" s="184"/>
      <c r="Q286" s="179"/>
      <c r="R286" s="266" t="s">
        <v>697</v>
      </c>
      <c r="S286" s="266"/>
      <c r="T286" s="179"/>
      <c r="U286" s="179"/>
      <c r="V286" s="179"/>
      <c r="W286" s="179"/>
      <c r="X286" s="179"/>
      <c r="Y286" s="179"/>
      <c r="Z286" s="179"/>
      <c r="AA286" s="179"/>
      <c r="AB286" s="179"/>
      <c r="AC286" s="179"/>
      <c r="AD286" s="179"/>
      <c r="AE286" s="179"/>
      <c r="AF286" s="179"/>
      <c r="AG286" s="179"/>
    </row>
    <row r="287" spans="1:33" x14ac:dyDescent="0.2">
      <c r="A287">
        <v>279</v>
      </c>
      <c r="B287" s="179"/>
      <c r="C287" t="s">
        <v>183</v>
      </c>
      <c r="D287">
        <v>1.0031950000000001</v>
      </c>
      <c r="E287" s="1">
        <v>0.44183</v>
      </c>
      <c r="F287">
        <f>E287/D287</f>
        <v>0.4404228489974531</v>
      </c>
      <c r="G287">
        <v>0.2</v>
      </c>
      <c r="H287">
        <f>H$285/G287</f>
        <v>1.585</v>
      </c>
      <c r="I287">
        <f>H287+1</f>
        <v>2.585</v>
      </c>
      <c r="J287">
        <f>F287-I287/100</f>
        <v>0.41457284899745311</v>
      </c>
      <c r="K287">
        <v>1</v>
      </c>
      <c r="L287" s="21">
        <f>G287*J287/(D287*20)</f>
        <v>4.1325250723683151E-3</v>
      </c>
      <c r="M287" s="15">
        <f>1/L287</f>
        <v>241.98280288397825</v>
      </c>
      <c r="N287">
        <f>5*M287/(SUM($M$190:$M$194))</f>
        <v>6.8556323638064354E-2</v>
      </c>
      <c r="O287" s="185"/>
      <c r="P287" s="266">
        <f>1/$S$287*($S$288*E287/D287-1/(5*$S$287)*($S$288+$S$289))</f>
        <v>4.1457284899745319E-3</v>
      </c>
      <c r="Q287" s="186"/>
      <c r="R287" s="266" t="s">
        <v>597</v>
      </c>
      <c r="S287" s="266">
        <v>20</v>
      </c>
      <c r="T287" s="179"/>
      <c r="U287" s="179"/>
      <c r="V287" s="179"/>
      <c r="W287" s="179"/>
      <c r="X287" s="179"/>
      <c r="Y287" s="179"/>
      <c r="Z287" s="179"/>
      <c r="AA287" s="179"/>
      <c r="AB287" s="179"/>
      <c r="AC287" s="179"/>
      <c r="AD287" s="179"/>
      <c r="AE287" s="179"/>
      <c r="AF287" s="179"/>
      <c r="AG287" s="179"/>
    </row>
    <row r="288" spans="1:33" x14ac:dyDescent="0.2">
      <c r="A288">
        <v>280</v>
      </c>
      <c r="B288" s="179"/>
      <c r="C288" t="s">
        <v>184</v>
      </c>
      <c r="D288">
        <v>1.00274</v>
      </c>
      <c r="E288">
        <v>0.43447999999999998</v>
      </c>
      <c r="F288">
        <f>E288/D288</f>
        <v>0.4332927777888585</v>
      </c>
      <c r="G288">
        <v>0.2</v>
      </c>
      <c r="H288">
        <f>H$285/G288</f>
        <v>1.585</v>
      </c>
      <c r="I288">
        <f>H288+1</f>
        <v>2.585</v>
      </c>
      <c r="J288">
        <f>F288-I288/100</f>
        <v>0.40744277778885851</v>
      </c>
      <c r="K288">
        <v>2</v>
      </c>
      <c r="L288" s="21">
        <f>G288*J288/(D288*20)</f>
        <v>4.063294351365843E-3</v>
      </c>
      <c r="M288" s="15">
        <f>1/L288</f>
        <v>246.10572445086541</v>
      </c>
      <c r="N288">
        <f>5*M288/(SUM($M$190:$M$194))</f>
        <v>6.9724391541672329E-2</v>
      </c>
      <c r="O288" s="185"/>
      <c r="P288" s="266">
        <f>1/$S$287*($S$288*E288/D288-1/(5*$S$287)*($S$288+$S$289))</f>
        <v>4.0744277778885863E-3</v>
      </c>
      <c r="Q288" s="186"/>
      <c r="R288" s="266" t="s">
        <v>695</v>
      </c>
      <c r="S288" s="266">
        <v>0.2</v>
      </c>
      <c r="T288" s="179"/>
      <c r="U288" s="179"/>
      <c r="V288" s="179"/>
      <c r="W288" s="179"/>
      <c r="X288" s="179"/>
      <c r="Y288" s="179"/>
      <c r="Z288" s="179"/>
      <c r="AA288" s="179"/>
      <c r="AB288" s="179"/>
      <c r="AC288" s="179"/>
      <c r="AD288" s="179"/>
      <c r="AE288" s="179"/>
      <c r="AF288" s="179"/>
      <c r="AG288" s="179"/>
    </row>
    <row r="289" spans="1:44" x14ac:dyDescent="0.2">
      <c r="A289">
        <v>281</v>
      </c>
      <c r="B289" s="179"/>
      <c r="C289" t="s">
        <v>185</v>
      </c>
      <c r="D289">
        <v>1.0017100000000001</v>
      </c>
      <c r="E289" s="1">
        <v>0.44124000000000002</v>
      </c>
      <c r="F289">
        <f>E289/D289</f>
        <v>0.44048676762735722</v>
      </c>
      <c r="G289">
        <v>0.2</v>
      </c>
      <c r="H289">
        <f>H$285/G289</f>
        <v>1.585</v>
      </c>
      <c r="I289">
        <f>H289+1</f>
        <v>2.585</v>
      </c>
      <c r="J289">
        <f>F289-I289/100</f>
        <v>0.41463676762735724</v>
      </c>
      <c r="K289">
        <v>3</v>
      </c>
      <c r="L289" s="21">
        <f>G289*J289/(D289*20)</f>
        <v>4.1392894912435458E-3</v>
      </c>
      <c r="M289" s="15">
        <f>1/L289</f>
        <v>241.58735505584923</v>
      </c>
      <c r="N289">
        <f>5*M289/(SUM($M$190:$M$194))</f>
        <v>6.84442890266619E-2</v>
      </c>
      <c r="O289" s="185"/>
      <c r="P289" s="266">
        <f>1/$S$287*($S$288*E289/D289-1/(5*$S$287)*($S$288+$S$289))</f>
        <v>4.1463676762735725E-3</v>
      </c>
      <c r="Q289" s="186"/>
      <c r="R289" s="266" t="s">
        <v>696</v>
      </c>
      <c r="S289" s="266">
        <f>H285</f>
        <v>0.317</v>
      </c>
      <c r="T289" s="179"/>
      <c r="U289" s="179"/>
      <c r="V289" s="179"/>
      <c r="W289" t="s">
        <v>490</v>
      </c>
      <c r="X289" s="179"/>
      <c r="Z289" s="179"/>
      <c r="AA289" s="179"/>
      <c r="AB289" s="179"/>
      <c r="AC289" s="179"/>
      <c r="AD289" s="179"/>
      <c r="AH289" s="179" t="s">
        <v>501</v>
      </c>
      <c r="AI289" s="179"/>
    </row>
    <row r="290" spans="1:44" x14ac:dyDescent="0.2">
      <c r="A290">
        <v>282</v>
      </c>
      <c r="B290" s="179"/>
      <c r="C290" t="s">
        <v>186</v>
      </c>
      <c r="D290">
        <v>1.0008300000000001</v>
      </c>
      <c r="E290" s="1">
        <v>0.39817999999999998</v>
      </c>
      <c r="F290">
        <f>E290/D290</f>
        <v>0.39784978467871662</v>
      </c>
      <c r="G290">
        <v>0.2</v>
      </c>
      <c r="H290">
        <f>H$285/G290</f>
        <v>1.585</v>
      </c>
      <c r="I290">
        <f>H290+1</f>
        <v>2.585</v>
      </c>
      <c r="J290">
        <f>F290-I290/100</f>
        <v>0.37199978467871664</v>
      </c>
      <c r="K290">
        <v>4</v>
      </c>
      <c r="L290" s="21">
        <f>G290*J290/(D290*20)</f>
        <v>3.7169128091555669E-3</v>
      </c>
      <c r="M290" s="15">
        <f>1/L290</f>
        <v>269.04047830683083</v>
      </c>
      <c r="N290">
        <f>5*M290/(SUM($M$190:$M$194))</f>
        <v>7.6222053314202426E-2</v>
      </c>
      <c r="O290" s="185"/>
      <c r="P290" s="266">
        <f>1/$S$287*($S$288*E290/D290-1/(5*$S$287)*($S$288+$S$289))</f>
        <v>3.7199978467871669E-3</v>
      </c>
      <c r="Q290" s="186"/>
      <c r="R290" s="266" t="s">
        <v>698</v>
      </c>
      <c r="S290" s="266">
        <v>5</v>
      </c>
      <c r="T290" s="179"/>
      <c r="U290" s="179"/>
      <c r="V290" s="179"/>
      <c r="W290" s="179"/>
      <c r="X290" s="179">
        <v>2000</v>
      </c>
      <c r="Y290" s="209">
        <v>41306</v>
      </c>
      <c r="Z290" s="209">
        <v>41312</v>
      </c>
      <c r="AA290" s="209" t="s">
        <v>502</v>
      </c>
      <c r="AB290" s="209" t="s">
        <v>503</v>
      </c>
      <c r="AC290" s="209" t="s">
        <v>508</v>
      </c>
      <c r="AD290" s="209" t="s">
        <v>509</v>
      </c>
      <c r="AE290" s="209" t="s">
        <v>511</v>
      </c>
      <c r="AF290" s="209" t="s">
        <v>512</v>
      </c>
      <c r="AG290" s="301" t="s">
        <v>720</v>
      </c>
      <c r="AH290" s="179"/>
      <c r="AI290" s="179">
        <v>2000</v>
      </c>
      <c r="AJ290" s="209">
        <v>41306</v>
      </c>
      <c r="AK290" s="209">
        <v>41312</v>
      </c>
      <c r="AL290" s="209" t="s">
        <v>502</v>
      </c>
      <c r="AM290" s="209" t="s">
        <v>503</v>
      </c>
      <c r="AN290" s="209" t="s">
        <v>508</v>
      </c>
      <c r="AO290" s="209" t="s">
        <v>509</v>
      </c>
      <c r="AP290" s="209" t="s">
        <v>511</v>
      </c>
      <c r="AQ290" s="209" t="s">
        <v>512</v>
      </c>
      <c r="AR290" s="301" t="s">
        <v>720</v>
      </c>
    </row>
    <row r="291" spans="1:44" x14ac:dyDescent="0.2">
      <c r="A291">
        <v>283</v>
      </c>
      <c r="B291" s="179"/>
      <c r="C291" t="s">
        <v>187</v>
      </c>
      <c r="D291">
        <v>1.00098</v>
      </c>
      <c r="E291" s="1">
        <v>0.40244999999999997</v>
      </c>
      <c r="F291">
        <f>E291/D291</f>
        <v>0.40205598513456808</v>
      </c>
      <c r="G291">
        <v>0.2</v>
      </c>
      <c r="H291">
        <f>H$285/G291</f>
        <v>1.585</v>
      </c>
      <c r="I291">
        <f>H291+1</f>
        <v>2.585</v>
      </c>
      <c r="J291">
        <f>F291-I291/100</f>
        <v>0.3762059851345681</v>
      </c>
      <c r="K291">
        <v>5</v>
      </c>
      <c r="L291" s="21">
        <f>G291*J291/(D291*20)</f>
        <v>3.7583766422362892E-3</v>
      </c>
      <c r="M291" s="15">
        <f>1/L291</f>
        <v>266.07232195998995</v>
      </c>
      <c r="N291">
        <f>5*M291/(SUM($M$190:$M$194))</f>
        <v>7.5381142783795999E-2</v>
      </c>
      <c r="O291" s="185"/>
      <c r="P291" s="266">
        <f>1/$S$287*($S$288*E291/D291-1/(5*$S$287)*($S$288+$S$289))</f>
        <v>3.7620598513456818E-3</v>
      </c>
      <c r="Q291" s="186"/>
      <c r="R291" s="181"/>
      <c r="S291" s="181"/>
      <c r="T291" s="187"/>
      <c r="U291" s="187"/>
      <c r="V291" s="179"/>
      <c r="W291" s="184">
        <v>10</v>
      </c>
      <c r="X291" s="3">
        <f>X14</f>
        <v>-0.41157445956753275</v>
      </c>
      <c r="Y291" s="181">
        <f>N39</f>
        <v>-0.46281010161896263</v>
      </c>
      <c r="Z291" s="181">
        <f>N46</f>
        <v>-0.46772800191927605</v>
      </c>
      <c r="AA291" s="181">
        <f t="shared" ref="AA291:AA296" si="175">N296</f>
        <v>-0.52516275951273439</v>
      </c>
      <c r="AB291" s="3">
        <f t="shared" ref="AB291:AB296" si="176">N305</f>
        <v>-0.5478992482089956</v>
      </c>
      <c r="AC291" s="3">
        <f t="shared" ref="AC291:AC296" si="177">N313</f>
        <v>-0.53850063708375973</v>
      </c>
      <c r="AD291" s="3">
        <f t="shared" ref="AD291:AD296" si="178">N321</f>
        <v>-0.53595115467592269</v>
      </c>
      <c r="AE291" s="3">
        <f t="shared" ref="AE291:AE296" si="179">N329</f>
        <v>-0.52378502957956974</v>
      </c>
      <c r="AF291" s="3">
        <f>N343</f>
        <v>-0.49867168670883572</v>
      </c>
      <c r="AG291" s="302">
        <f>_xlfn.STDEV.S(Y291:AF291)</f>
        <v>3.2583084249090517E-2</v>
      </c>
      <c r="AH291" s="184">
        <v>10</v>
      </c>
      <c r="AI291" s="3">
        <f>Y14</f>
        <v>-0.21128689207763918</v>
      </c>
      <c r="AJ291" s="181">
        <f>O39</f>
        <v>-0.16927114400276633</v>
      </c>
      <c r="AK291" s="181">
        <f>O46</f>
        <v>-0.16442898143945994</v>
      </c>
      <c r="AL291" s="181">
        <f t="shared" ref="AL291:AL296" si="180">O296</f>
        <v>-0.1816142828505441</v>
      </c>
      <c r="AM291" s="3">
        <f t="shared" ref="AM291:AM296" si="181">O305</f>
        <v>-0.21173687678622383</v>
      </c>
      <c r="AN291" s="3">
        <f t="shared" ref="AN291:AN296" si="182">O313</f>
        <v>-0.20899960975779591</v>
      </c>
      <c r="AO291" s="3">
        <f t="shared" ref="AO291:AO296" si="183">O321</f>
        <v>-0.20475326621473799</v>
      </c>
      <c r="AP291" s="3">
        <f t="shared" ref="AP291:AP296" si="184">O329</f>
        <v>-0.20557948335036805</v>
      </c>
      <c r="AQ291" s="3">
        <f>O343</f>
        <v>-0.17359436802561373</v>
      </c>
      <c r="AR291" s="302">
        <f>_xlfn.STDEV.S(AJ291:AQ291)</f>
        <v>1.9700919348275839E-2</v>
      </c>
    </row>
    <row r="292" spans="1:44" x14ac:dyDescent="0.2">
      <c r="A292">
        <v>284</v>
      </c>
      <c r="B292" s="179"/>
      <c r="E292" s="1"/>
      <c r="L292" s="21"/>
      <c r="M292" s="15"/>
      <c r="O292" s="185"/>
      <c r="P292" s="186"/>
      <c r="Q292" s="186"/>
      <c r="R292" s="181"/>
      <c r="S292" s="181"/>
      <c r="T292" s="187"/>
      <c r="U292" s="187"/>
      <c r="V292" s="179"/>
      <c r="W292" s="184">
        <v>20</v>
      </c>
      <c r="X292" s="3">
        <f>X13</f>
        <v>-0.37309207469497901</v>
      </c>
      <c r="Y292" s="181">
        <f>N38</f>
        <v>-0.42088844547353438</v>
      </c>
      <c r="Z292" s="181">
        <f>N45</f>
        <v>-0.43130035148648954</v>
      </c>
      <c r="AA292" s="181">
        <f t="shared" si="175"/>
        <v>-0.47838349644473915</v>
      </c>
      <c r="AB292" s="3">
        <f t="shared" si="176"/>
        <v>-0.46390183191142093</v>
      </c>
      <c r="AC292" s="3">
        <f t="shared" si="177"/>
        <v>-0.46400723608405547</v>
      </c>
      <c r="AD292" s="3">
        <f t="shared" si="178"/>
        <v>-0.45702689061404317</v>
      </c>
      <c r="AE292" s="3">
        <f t="shared" si="179"/>
        <v>-0.45434317571886634</v>
      </c>
      <c r="AF292" s="3">
        <f>N342</f>
        <v>-0.45387851906084892</v>
      </c>
      <c r="AG292" s="302">
        <f t="shared" ref="AG292:AG296" si="185">_xlfn.STDEV.S(Y292:AF292)</f>
        <v>1.8536220933192637E-2</v>
      </c>
      <c r="AH292" s="184">
        <v>20</v>
      </c>
      <c r="AI292" s="3">
        <f>Y13</f>
        <v>-0.1648337308856147</v>
      </c>
      <c r="AJ292" s="181">
        <f>O38</f>
        <v>-0.16523480351193134</v>
      </c>
      <c r="AK292" s="181">
        <f>O45</f>
        <v>-0.16943428415551065</v>
      </c>
      <c r="AL292" s="181">
        <f t="shared" si="180"/>
        <v>-0.17566496673842638</v>
      </c>
      <c r="AM292" s="3">
        <f t="shared" si="181"/>
        <v>-0.1741589754777349</v>
      </c>
      <c r="AN292" s="3">
        <f t="shared" si="182"/>
        <v>-0.17415688106899915</v>
      </c>
      <c r="AO292" s="3">
        <f t="shared" si="183"/>
        <v>-0.17380904941705139</v>
      </c>
      <c r="AP292" s="3">
        <f t="shared" si="184"/>
        <v>-0.17376065360639195</v>
      </c>
      <c r="AQ292" s="3">
        <f>O342</f>
        <v>-0.17691980180594055</v>
      </c>
      <c r="AR292" s="302">
        <f t="shared" ref="AR292:AR296" si="186">_xlfn.STDEV.S(AJ292:AQ292)</f>
        <v>3.7664245470650829E-3</v>
      </c>
    </row>
    <row r="293" spans="1:44" x14ac:dyDescent="0.2">
      <c r="A293">
        <v>285</v>
      </c>
      <c r="B293" s="179"/>
      <c r="E293" s="1"/>
      <c r="L293" s="21"/>
      <c r="M293" s="15"/>
      <c r="O293" s="185"/>
      <c r="P293" s="186"/>
      <c r="Q293" s="186"/>
      <c r="R293" s="181"/>
      <c r="S293" s="181"/>
      <c r="T293" s="187"/>
      <c r="U293" s="187"/>
      <c r="V293" s="179"/>
      <c r="W293" s="184">
        <v>40</v>
      </c>
      <c r="X293" s="3">
        <f>X12</f>
        <v>-0.31794850411741338</v>
      </c>
      <c r="Y293" s="181">
        <f>N37</f>
        <v>-0.34997076148241796</v>
      </c>
      <c r="Z293" s="181">
        <f>N44</f>
        <v>-0.36413177364592525</v>
      </c>
      <c r="AA293" s="181">
        <f t="shared" si="175"/>
        <v>-0.39392619534401485</v>
      </c>
      <c r="AB293" s="3">
        <f t="shared" si="176"/>
        <v>-0.39007776449727222</v>
      </c>
      <c r="AC293" s="3">
        <f t="shared" si="177"/>
        <v>-0.38968452681589166</v>
      </c>
      <c r="AD293" s="3">
        <f t="shared" si="178"/>
        <v>-0.390440503350029</v>
      </c>
      <c r="AE293" s="3">
        <f t="shared" si="179"/>
        <v>-0.38938505497157833</v>
      </c>
      <c r="AF293" s="3">
        <f>N341</f>
        <v>-0.39137336676605305</v>
      </c>
      <c r="AG293" s="302">
        <f t="shared" si="185"/>
        <v>1.6143135053884757E-2</v>
      </c>
      <c r="AH293" s="184">
        <v>40</v>
      </c>
      <c r="AI293" s="3">
        <f>Y12</f>
        <v>-0.19655464530470193</v>
      </c>
      <c r="AJ293" s="181">
        <f>O37</f>
        <v>-0.17258785393966597</v>
      </c>
      <c r="AK293" s="181">
        <f>O44</f>
        <v>-0.17167290820636519</v>
      </c>
      <c r="AL293" s="181">
        <f t="shared" si="180"/>
        <v>-0.19247199558464992</v>
      </c>
      <c r="AM293" s="3">
        <f t="shared" si="181"/>
        <v>-0.19067635864242949</v>
      </c>
      <c r="AN293" s="3">
        <f t="shared" si="182"/>
        <v>-0.19020144174431802</v>
      </c>
      <c r="AO293" s="3">
        <f t="shared" si="183"/>
        <v>-0.18568133920170948</v>
      </c>
      <c r="AP293" s="3">
        <f t="shared" si="184"/>
        <v>-0.19112277905904393</v>
      </c>
      <c r="AQ293" s="3">
        <f>O341</f>
        <v>-0.19004464772490792</v>
      </c>
      <c r="AR293" s="302">
        <f t="shared" si="186"/>
        <v>8.5163282490846592E-3</v>
      </c>
    </row>
    <row r="294" spans="1:44" x14ac:dyDescent="0.2">
      <c r="A294">
        <v>286</v>
      </c>
      <c r="B294" s="179"/>
      <c r="C294" s="5" t="s">
        <v>495</v>
      </c>
      <c r="D294" s="195" t="s">
        <v>2</v>
      </c>
      <c r="E294" s="196" t="s">
        <v>5</v>
      </c>
      <c r="F294" s="196" t="s">
        <v>6</v>
      </c>
      <c r="G294" s="196" t="s">
        <v>8</v>
      </c>
      <c r="H294" s="196" t="s">
        <v>10</v>
      </c>
      <c r="I294" s="196" t="s">
        <v>11</v>
      </c>
      <c r="J294" s="208" t="s">
        <v>498</v>
      </c>
      <c r="K294" s="179"/>
      <c r="L294" s="179"/>
      <c r="M294" s="179"/>
      <c r="N294" s="179"/>
      <c r="O294" s="179"/>
      <c r="P294" s="181"/>
      <c r="Q294" s="5" t="s">
        <v>15</v>
      </c>
      <c r="R294" s="5" t="s">
        <v>15</v>
      </c>
      <c r="S294" s="5" t="s">
        <v>15</v>
      </c>
      <c r="T294" s="8"/>
      <c r="U294" s="179"/>
      <c r="V294" s="179"/>
      <c r="W294" s="184">
        <v>60</v>
      </c>
      <c r="X294" s="3">
        <f>X11</f>
        <v>-0.27748743353949917</v>
      </c>
      <c r="Y294" s="181">
        <f>N36</f>
        <v>-0.29995264944492067</v>
      </c>
      <c r="Z294" s="181">
        <f>N43</f>
        <v>-0.30969241721252455</v>
      </c>
      <c r="AA294" s="181">
        <f t="shared" si="175"/>
        <v>-0.34509047363514567</v>
      </c>
      <c r="AB294" s="3">
        <f t="shared" si="176"/>
        <v>-0.32689211593629608</v>
      </c>
      <c r="AC294" s="3">
        <f t="shared" si="177"/>
        <v>-0.33553769874432038</v>
      </c>
      <c r="AD294" s="3">
        <f t="shared" si="178"/>
        <v>-0.32564248447518951</v>
      </c>
      <c r="AE294" s="3">
        <f t="shared" si="179"/>
        <v>-0.32272897810962464</v>
      </c>
      <c r="AF294" s="3">
        <f>N340</f>
        <v>-0.3238959479579045</v>
      </c>
      <c r="AG294" s="302">
        <f t="shared" si="185"/>
        <v>1.4003944041948992E-2</v>
      </c>
      <c r="AH294" s="184">
        <v>60</v>
      </c>
      <c r="AI294" s="3">
        <f>Y11</f>
        <v>-0.20757087129560509</v>
      </c>
      <c r="AJ294" s="181">
        <f>O36</f>
        <v>-0.17879456127469437</v>
      </c>
      <c r="AK294" s="181">
        <f>O43</f>
        <v>-0.17776394763348652</v>
      </c>
      <c r="AL294" s="181">
        <f t="shared" si="180"/>
        <v>-0.20455161373704836</v>
      </c>
      <c r="AM294" s="3">
        <f t="shared" si="181"/>
        <v>-0.19821437241866113</v>
      </c>
      <c r="AN294" s="3">
        <f t="shared" si="182"/>
        <v>-0.196835208058354</v>
      </c>
      <c r="AO294" s="3">
        <f t="shared" si="183"/>
        <v>-0.19169857135319679</v>
      </c>
      <c r="AP294" s="3">
        <f t="shared" si="184"/>
        <v>-0.19411024171420924</v>
      </c>
      <c r="AQ294" s="3">
        <f>O340</f>
        <v>-0.19816324647010167</v>
      </c>
      <c r="AR294" s="302">
        <f t="shared" si="186"/>
        <v>9.539280606130799E-3</v>
      </c>
    </row>
    <row r="295" spans="1:44" x14ac:dyDescent="0.2">
      <c r="A295">
        <v>287</v>
      </c>
      <c r="B295" s="179"/>
      <c r="C295" s="179" t="s">
        <v>504</v>
      </c>
      <c r="D295" s="195" t="s">
        <v>7</v>
      </c>
      <c r="E295" s="196" t="s">
        <v>12</v>
      </c>
      <c r="F295" s="196" t="s">
        <v>12</v>
      </c>
      <c r="G295" s="196" t="s">
        <v>9</v>
      </c>
      <c r="H295" s="196" t="s">
        <v>12</v>
      </c>
      <c r="I295" s="196" t="s">
        <v>12</v>
      </c>
      <c r="J295" s="208" t="s">
        <v>499</v>
      </c>
      <c r="K295" s="5" t="s">
        <v>2</v>
      </c>
      <c r="L295" s="5" t="s">
        <v>3</v>
      </c>
      <c r="M295" s="5" t="s">
        <v>4</v>
      </c>
      <c r="N295" s="5" t="s">
        <v>0</v>
      </c>
      <c r="O295" s="5" t="s">
        <v>1</v>
      </c>
      <c r="P295" s="25"/>
      <c r="Q295" s="178" t="s">
        <v>5</v>
      </c>
      <c r="R295" s="178" t="s">
        <v>6</v>
      </c>
      <c r="S295" s="178" t="s">
        <v>14</v>
      </c>
      <c r="T295" s="179"/>
      <c r="U295" s="179"/>
      <c r="V295" s="179"/>
      <c r="W295" s="184">
        <v>100</v>
      </c>
      <c r="X295" s="3">
        <f>X10</f>
        <v>-0.20688727365950044</v>
      </c>
      <c r="Y295" s="181">
        <f>N35</f>
        <v>-0.22241885743034626</v>
      </c>
      <c r="Z295" s="181">
        <f>N42</f>
        <v>-0.23519512791002395</v>
      </c>
      <c r="AA295" s="181">
        <f t="shared" si="175"/>
        <v>-0.2486592703721163</v>
      </c>
      <c r="AB295" s="3">
        <f t="shared" si="176"/>
        <v>-0.24749280661245143</v>
      </c>
      <c r="AC295" s="3">
        <f t="shared" si="177"/>
        <v>-0.24738893096899242</v>
      </c>
      <c r="AD295" s="3">
        <f t="shared" si="178"/>
        <v>-0.24865853816856542</v>
      </c>
      <c r="AE295" s="3">
        <f t="shared" si="179"/>
        <v>-0.24862634777645903</v>
      </c>
      <c r="AF295" s="3">
        <f>N339</f>
        <v>-0.24585802481877733</v>
      </c>
      <c r="AG295" s="302">
        <f t="shared" si="185"/>
        <v>9.4703060840831393E-3</v>
      </c>
      <c r="AH295" s="184">
        <v>100</v>
      </c>
      <c r="AI295" s="3">
        <f>Y10</f>
        <v>-0.20914552862274613</v>
      </c>
      <c r="AJ295" s="181">
        <f>O35</f>
        <v>-0.19076855573170312</v>
      </c>
      <c r="AK295" s="181">
        <f>O42</f>
        <v>-0.19115437154879153</v>
      </c>
      <c r="AL295" s="181">
        <f t="shared" si="180"/>
        <v>-0.20690735499001986</v>
      </c>
      <c r="AM295" s="3">
        <f t="shared" si="181"/>
        <v>-0.20554180605264377</v>
      </c>
      <c r="AN295" s="3">
        <f t="shared" si="182"/>
        <v>-0.20522631383788142</v>
      </c>
      <c r="AO295" s="3">
        <f t="shared" si="183"/>
        <v>-0.20627244935579914</v>
      </c>
      <c r="AP295" s="3">
        <f t="shared" si="184"/>
        <v>-0.20642728722255438</v>
      </c>
      <c r="AQ295" s="3">
        <f>O339</f>
        <v>-0.20759703640722754</v>
      </c>
      <c r="AR295" s="302">
        <f t="shared" si="186"/>
        <v>7.152358097273926E-3</v>
      </c>
    </row>
    <row r="296" spans="1:44" x14ac:dyDescent="0.2">
      <c r="A296">
        <v>288</v>
      </c>
      <c r="B296" s="4">
        <v>41327</v>
      </c>
      <c r="C296" s="8" t="s">
        <v>13</v>
      </c>
      <c r="D296" s="179">
        <v>0.10066181422000001</v>
      </c>
      <c r="E296" s="180">
        <v>-2.6431918066666701E-6</v>
      </c>
      <c r="F296" s="180">
        <v>-9.1408116000000002E-7</v>
      </c>
      <c r="G296" s="180">
        <v>3.2334634665656598E-8</v>
      </c>
      <c r="H296" s="180">
        <v>2.0503958642415701E-7</v>
      </c>
      <c r="I296" s="180">
        <v>7.2341554463998994E-8</v>
      </c>
      <c r="J296" s="146">
        <v>20.13</v>
      </c>
      <c r="K296">
        <v>0.2</v>
      </c>
      <c r="L296">
        <v>10</v>
      </c>
      <c r="M296" s="2">
        <f t="shared" ref="M296:M301" si="187">100*D296/(K296*5)</f>
        <v>10.066181422000001</v>
      </c>
      <c r="N296" s="148">
        <f t="shared" ref="N296:N301" si="188">1000000*E296*K296/(L296*D296)</f>
        <v>-0.52516275951273439</v>
      </c>
      <c r="O296" s="148">
        <f t="shared" ref="O296:O301" si="189">1000000*F296*K296/(D296*L296)</f>
        <v>-0.1816142828505441</v>
      </c>
      <c r="P296" s="181"/>
      <c r="Q296" s="148">
        <f t="shared" ref="Q296:Q301" si="190">1000000*K296*H296/(L296*D296)</f>
        <v>4.0738305386794564E-2</v>
      </c>
      <c r="R296" s="148">
        <f t="shared" ref="R296:R301" si="191">1000000*K296*I296/(L296*D296)</f>
        <v>1.4373187096726458E-2</v>
      </c>
      <c r="S296" s="180">
        <f t="shared" ref="S296:S301" si="192">G296*100/D296</f>
        <v>3.2122046394860415E-5</v>
      </c>
      <c r="T296" s="3">
        <f t="shared" ref="T296:T301" si="193">Comode_std*K296/(L296*D296)</f>
        <v>1.9868507392772881E-2</v>
      </c>
      <c r="U296" s="3">
        <f t="shared" ref="U296:U301" si="194">Comode_std*K296/(L296*D296)</f>
        <v>1.9868507392772881E-2</v>
      </c>
      <c r="V296" s="179"/>
      <c r="W296" s="184">
        <v>120</v>
      </c>
      <c r="X296" s="3">
        <f>X9</f>
        <v>-0.18636193565663087</v>
      </c>
      <c r="Y296" s="181">
        <f>N34</f>
        <v>-0.20360540525707888</v>
      </c>
      <c r="Z296" s="181">
        <f>N41</f>
        <v>-0.20844230523483276</v>
      </c>
      <c r="AA296" s="181">
        <f t="shared" si="175"/>
        <v>-0.2308645774857688</v>
      </c>
      <c r="AB296" s="3">
        <f t="shared" si="176"/>
        <v>-0.22465766408201082</v>
      </c>
      <c r="AC296" s="3">
        <f t="shared" si="177"/>
        <v>-0.22220632616838087</v>
      </c>
      <c r="AD296" s="3">
        <f t="shared" si="178"/>
        <v>-0.21977864326755653</v>
      </c>
      <c r="AE296" s="3">
        <f t="shared" si="179"/>
        <v>-0.21985740038458859</v>
      </c>
      <c r="AF296" s="3">
        <f>N338</f>
        <v>-0.22043070927351319</v>
      </c>
      <c r="AG296" s="302">
        <f t="shared" si="185"/>
        <v>8.7368116184125041E-3</v>
      </c>
      <c r="AH296" s="184">
        <v>120</v>
      </c>
      <c r="AI296" s="3">
        <f>Y9</f>
        <v>-0.23299220565878304</v>
      </c>
      <c r="AJ296" s="181">
        <f>O34</f>
        <v>-0.1849907161857931</v>
      </c>
      <c r="AK296" s="181">
        <f>O41</f>
        <v>-0.18539568268241569</v>
      </c>
      <c r="AL296" s="181">
        <f t="shared" si="180"/>
        <v>-0.20786154415849706</v>
      </c>
      <c r="AM296" s="3">
        <f t="shared" si="181"/>
        <v>-0.20778708275476254</v>
      </c>
      <c r="AN296" s="3">
        <f t="shared" si="182"/>
        <v>-0.20827695770255675</v>
      </c>
      <c r="AO296" s="3">
        <f t="shared" si="183"/>
        <v>-0.2076325994051734</v>
      </c>
      <c r="AP296" s="3">
        <f t="shared" si="184"/>
        <v>-0.20791789281248699</v>
      </c>
      <c r="AQ296" s="3">
        <f>O338</f>
        <v>-0.20864005635839958</v>
      </c>
      <c r="AR296" s="302">
        <f t="shared" si="186"/>
        <v>1.0571676855031338E-2</v>
      </c>
    </row>
    <row r="297" spans="1:44" x14ac:dyDescent="0.2">
      <c r="A297">
        <v>289</v>
      </c>
      <c r="D297" s="179">
        <v>0.20127206459999999</v>
      </c>
      <c r="E297" s="180">
        <v>-4.8142616999999697E-6</v>
      </c>
      <c r="F297" s="180">
        <v>-1.76782252666667E-6</v>
      </c>
      <c r="G297" s="180">
        <v>2.09403945043464E-8</v>
      </c>
      <c r="H297" s="180">
        <v>2.14743638349179E-7</v>
      </c>
      <c r="I297" s="180">
        <v>9.6244894648059004E-8</v>
      </c>
      <c r="J297" s="146">
        <v>20.13</v>
      </c>
      <c r="K297">
        <v>0.2</v>
      </c>
      <c r="L297">
        <v>10</v>
      </c>
      <c r="M297" s="2">
        <f t="shared" si="187"/>
        <v>20.12720646</v>
      </c>
      <c r="N297" s="148">
        <f t="shared" si="188"/>
        <v>-0.47838349644473915</v>
      </c>
      <c r="O297" s="148">
        <f t="shared" si="189"/>
        <v>-0.17566496673842638</v>
      </c>
      <c r="P297" s="3"/>
      <c r="Q297" s="148">
        <f t="shared" si="190"/>
        <v>2.1338643171962473E-2</v>
      </c>
      <c r="R297" s="148">
        <f t="shared" si="191"/>
        <v>9.5636614886752645E-3</v>
      </c>
      <c r="S297" s="1">
        <f t="shared" si="192"/>
        <v>1.040402429714352E-5</v>
      </c>
      <c r="T297" s="3">
        <f t="shared" si="193"/>
        <v>9.9367987503617052E-3</v>
      </c>
      <c r="U297" s="3">
        <f t="shared" si="194"/>
        <v>9.9367987503617052E-3</v>
      </c>
      <c r="V297" s="179"/>
      <c r="W297" s="179"/>
      <c r="X297" s="179"/>
      <c r="AB297" s="179"/>
      <c r="AC297" s="179"/>
      <c r="AD297" s="179"/>
      <c r="AE297" s="179"/>
      <c r="AF297" s="179"/>
      <c r="AG297" s="303">
        <f>AVERAGE(AG291:AG296)</f>
        <v>1.6578916996768757E-2</v>
      </c>
      <c r="AR297" s="303">
        <f>AVERAGE(AR291:AR296)</f>
        <v>9.8744979504769414E-3</v>
      </c>
    </row>
    <row r="298" spans="1:44" x14ac:dyDescent="0.2">
      <c r="A298">
        <v>290</v>
      </c>
      <c r="D298" s="179">
        <v>0.40103114965999997</v>
      </c>
      <c r="E298" s="180">
        <v>-7.8988337500000003E-6</v>
      </c>
      <c r="F298" s="180">
        <v>-3.8593632833333301E-6</v>
      </c>
      <c r="G298" s="180">
        <v>1.2028510955179799E-7</v>
      </c>
      <c r="H298" s="180">
        <v>3.1399202801627099E-7</v>
      </c>
      <c r="I298" s="180">
        <v>2.2032451453266201E-7</v>
      </c>
      <c r="J298" s="146">
        <v>20.14</v>
      </c>
      <c r="K298">
        <v>0.2</v>
      </c>
      <c r="L298">
        <v>10</v>
      </c>
      <c r="M298" s="2">
        <f t="shared" si="187"/>
        <v>40.103114966</v>
      </c>
      <c r="N298" s="148">
        <f t="shared" si="188"/>
        <v>-0.39392619534401485</v>
      </c>
      <c r="O298" s="148">
        <f t="shared" si="189"/>
        <v>-0.19247199558464992</v>
      </c>
      <c r="P298" s="3"/>
      <c r="Q298" s="148">
        <f t="shared" si="190"/>
        <v>1.5659233866619986E-2</v>
      </c>
      <c r="R298" s="148">
        <f t="shared" si="191"/>
        <v>1.0987900302480558E-2</v>
      </c>
      <c r="S298" s="1">
        <f t="shared" si="192"/>
        <v>2.9993956742207545E-5</v>
      </c>
      <c r="T298" s="3">
        <f t="shared" si="193"/>
        <v>4.9871437709904315E-3</v>
      </c>
      <c r="U298" s="3">
        <f t="shared" si="194"/>
        <v>4.9871437709904315E-3</v>
      </c>
      <c r="V298" s="179"/>
      <c r="W298" s="179"/>
      <c r="X298" s="179"/>
      <c r="Y298" s="184"/>
      <c r="AB298" s="179"/>
      <c r="AC298" s="179"/>
      <c r="AD298" s="179"/>
      <c r="AE298" s="179"/>
      <c r="AG298" s="179"/>
    </row>
    <row r="299" spans="1:44" x14ac:dyDescent="0.2">
      <c r="A299">
        <v>291</v>
      </c>
      <c r="D299" s="179">
        <v>0.60028010089999995</v>
      </c>
      <c r="E299" s="180">
        <v>-1.03575472166667E-5</v>
      </c>
      <c r="F299" s="180">
        <v>-6.1394131666666604E-6</v>
      </c>
      <c r="G299" s="180">
        <v>3.97567104648894E-7</v>
      </c>
      <c r="H299" s="180">
        <v>2.3575588972724399E-7</v>
      </c>
      <c r="I299" s="180">
        <v>2.4603292720481798E-7</v>
      </c>
      <c r="J299" s="146">
        <v>20.170000000000002</v>
      </c>
      <c r="K299">
        <v>0.2</v>
      </c>
      <c r="L299">
        <v>10</v>
      </c>
      <c r="M299" s="2">
        <f t="shared" si="187"/>
        <v>60.028010089999995</v>
      </c>
      <c r="N299" s="148">
        <f t="shared" si="188"/>
        <v>-0.34509047363514567</v>
      </c>
      <c r="O299" s="148">
        <f t="shared" si="189"/>
        <v>-0.20455161373704836</v>
      </c>
      <c r="P299" s="3"/>
      <c r="Q299" s="148">
        <f t="shared" si="190"/>
        <v>7.8548627340394982E-3</v>
      </c>
      <c r="R299" s="148">
        <f t="shared" si="191"/>
        <v>8.1972708019453187E-3</v>
      </c>
      <c r="S299" s="1">
        <f t="shared" si="192"/>
        <v>6.6230265513186532E-5</v>
      </c>
      <c r="T299" s="3">
        <f t="shared" si="193"/>
        <v>3.3317779433324549E-3</v>
      </c>
      <c r="U299" s="3">
        <f t="shared" si="194"/>
        <v>3.3317779433324549E-3</v>
      </c>
      <c r="V299" s="179"/>
      <c r="W299" s="179"/>
      <c r="X299" s="210">
        <v>0.6</v>
      </c>
      <c r="Y299" s="184"/>
      <c r="AB299" s="179"/>
      <c r="AC299" s="179"/>
      <c r="AD299" s="179"/>
      <c r="AE299" s="179"/>
      <c r="AG299" s="304">
        <f t="shared" ref="AG299:AH304" si="195">STDEV(E305,E313,E321,E329,E338)</f>
        <v>4.6814509286185169E-6</v>
      </c>
      <c r="AH299" s="304">
        <f t="shared" si="195"/>
        <v>5.1074544814167412E-6</v>
      </c>
    </row>
    <row r="300" spans="1:44" x14ac:dyDescent="0.2">
      <c r="A300">
        <v>292</v>
      </c>
      <c r="D300" s="179">
        <v>1.0021124608</v>
      </c>
      <c r="E300" s="180">
        <v>-1.24592276666667E-5</v>
      </c>
      <c r="F300" s="180">
        <v>-1.0367221933333399E-5</v>
      </c>
      <c r="G300" s="180">
        <v>1.75681624692454E-6</v>
      </c>
      <c r="H300" s="180">
        <v>2.09191611769106E-7</v>
      </c>
      <c r="I300" s="180">
        <v>4.5952620119161402E-7</v>
      </c>
      <c r="J300" s="146">
        <v>20.28</v>
      </c>
      <c r="K300">
        <v>0.2</v>
      </c>
      <c r="L300">
        <v>10</v>
      </c>
      <c r="M300" s="2">
        <f t="shared" si="187"/>
        <v>100.21124608000001</v>
      </c>
      <c r="N300" s="148">
        <f t="shared" si="188"/>
        <v>-0.2486592703721163</v>
      </c>
      <c r="O300" s="148">
        <f t="shared" si="189"/>
        <v>-0.20690735499001986</v>
      </c>
      <c r="P300" s="3"/>
      <c r="Q300" s="148">
        <f t="shared" si="190"/>
        <v>4.1750126847460902E-3</v>
      </c>
      <c r="R300" s="148">
        <f t="shared" si="191"/>
        <v>9.1711503282728962E-3</v>
      </c>
      <c r="S300" s="1">
        <f t="shared" si="192"/>
        <v>1.7531128647198436E-4</v>
      </c>
      <c r="T300" s="3">
        <f t="shared" si="193"/>
        <v>1.995783984567334E-3</v>
      </c>
      <c r="U300" s="3">
        <f t="shared" si="194"/>
        <v>1.995783984567334E-3</v>
      </c>
      <c r="V300" s="179"/>
      <c r="W300" s="179"/>
      <c r="X300" t="s">
        <v>490</v>
      </c>
      <c r="Y300" s="184" t="s">
        <v>491</v>
      </c>
      <c r="AB300" s="179"/>
      <c r="AC300" s="179"/>
      <c r="AD300" s="179"/>
      <c r="AE300" s="179"/>
      <c r="AG300" s="304">
        <f t="shared" si="195"/>
        <v>3.4512184670855692E-6</v>
      </c>
      <c r="AH300" s="304">
        <f t="shared" si="195"/>
        <v>3.8741323177887106E-6</v>
      </c>
    </row>
    <row r="301" spans="1:44" x14ac:dyDescent="0.2">
      <c r="A301">
        <v>293</v>
      </c>
      <c r="D301" s="179">
        <v>1.1980544598</v>
      </c>
      <c r="E301" s="180">
        <v>-1.3829416833333399E-5</v>
      </c>
      <c r="F301" s="180">
        <v>-1.2451472500000101E-5</v>
      </c>
      <c r="G301" s="180">
        <v>2.68781444789918E-6</v>
      </c>
      <c r="H301" s="180">
        <v>1.39119789749598E-7</v>
      </c>
      <c r="I301" s="180">
        <v>2.1850854772086899E-7</v>
      </c>
      <c r="J301" s="146">
        <v>20.46</v>
      </c>
      <c r="K301">
        <v>0.2</v>
      </c>
      <c r="L301">
        <v>10</v>
      </c>
      <c r="M301" s="2">
        <f t="shared" si="187"/>
        <v>119.80544598</v>
      </c>
      <c r="N301" s="148">
        <f t="shared" si="188"/>
        <v>-0.2308645774857688</v>
      </c>
      <c r="O301" s="148">
        <f t="shared" si="189"/>
        <v>-0.20786154415849706</v>
      </c>
      <c r="P301" s="3"/>
      <c r="Q301" s="148">
        <f t="shared" si="190"/>
        <v>2.3224284774637422E-3</v>
      </c>
      <c r="R301" s="148">
        <f t="shared" si="191"/>
        <v>3.6477231219914034E-3</v>
      </c>
      <c r="S301" s="1">
        <f t="shared" si="192"/>
        <v>2.2434826947248095E-4</v>
      </c>
      <c r="T301" s="3">
        <f t="shared" si="193"/>
        <v>1.669373193881249E-3</v>
      </c>
      <c r="U301" s="3">
        <f t="shared" si="194"/>
        <v>1.669373193881249E-3</v>
      </c>
      <c r="V301" s="179"/>
      <c r="W301" s="181">
        <f>J299</f>
        <v>20.170000000000002</v>
      </c>
      <c r="X301" s="181">
        <f>N299</f>
        <v>-0.34509047363514567</v>
      </c>
      <c r="Y301" s="181">
        <f>O299</f>
        <v>-0.20455161373704836</v>
      </c>
      <c r="AB301" s="179"/>
      <c r="AC301" s="179"/>
      <c r="AD301" s="179"/>
      <c r="AE301" s="179"/>
      <c r="AF301" s="179"/>
      <c r="AG301" s="304">
        <f t="shared" si="195"/>
        <v>8.5772437522713545E-7</v>
      </c>
      <c r="AH301" s="304">
        <f t="shared" si="195"/>
        <v>9.6547420458485458E-7</v>
      </c>
    </row>
    <row r="302" spans="1:44" x14ac:dyDescent="0.2">
      <c r="A302">
        <v>294</v>
      </c>
      <c r="D302" s="41" t="s">
        <v>500</v>
      </c>
      <c r="F302" s="1"/>
      <c r="G302" s="1"/>
      <c r="H302" s="1"/>
      <c r="I302" s="1"/>
      <c r="J302" s="1"/>
      <c r="L302" s="1"/>
      <c r="M302" s="1"/>
      <c r="N302" s="201" t="s">
        <v>496</v>
      </c>
      <c r="O302" s="149"/>
      <c r="P302" s="8"/>
      <c r="Q302" s="149"/>
      <c r="R302" s="149"/>
      <c r="S302" s="8"/>
      <c r="U302" s="26"/>
      <c r="V302" s="179"/>
      <c r="W302" s="181">
        <f>J308</f>
        <v>20.73</v>
      </c>
      <c r="X302" s="181">
        <f>N308</f>
        <v>-0.32689211593629608</v>
      </c>
      <c r="Y302" s="181">
        <f>O308</f>
        <v>-0.19821437241866113</v>
      </c>
      <c r="AB302" s="179"/>
      <c r="AC302" s="179"/>
      <c r="AD302" s="179"/>
      <c r="AE302" s="179"/>
      <c r="AF302" s="179"/>
      <c r="AG302" s="304">
        <f t="shared" si="195"/>
        <v>9.0933697540418115E-7</v>
      </c>
      <c r="AH302" s="304">
        <f t="shared" si="195"/>
        <v>9.2359558978138612E-7</v>
      </c>
    </row>
    <row r="303" spans="1:44" x14ac:dyDescent="0.2">
      <c r="A303">
        <v>295</v>
      </c>
      <c r="B303" s="179"/>
      <c r="C303" s="179"/>
      <c r="D303" s="179"/>
      <c r="E303" s="180"/>
      <c r="F303" s="180"/>
      <c r="G303" s="180"/>
      <c r="H303" s="180"/>
      <c r="I303" s="180"/>
      <c r="L303" s="179"/>
      <c r="M303" s="179"/>
      <c r="N303" s="200" t="s">
        <v>497</v>
      </c>
      <c r="O303" s="185"/>
      <c r="P303" s="186"/>
      <c r="Q303" s="186"/>
      <c r="R303" s="185"/>
      <c r="S303" s="185"/>
      <c r="T303" s="179"/>
      <c r="U303" s="179"/>
      <c r="V303" s="179"/>
      <c r="W303" s="181">
        <f>J316</f>
        <v>21.34</v>
      </c>
      <c r="X303" s="181">
        <f>N316</f>
        <v>-0.33553769874432038</v>
      </c>
      <c r="Y303" s="181">
        <f>O316</f>
        <v>-0.196835208058354</v>
      </c>
      <c r="AB303" s="179"/>
      <c r="AC303" s="179"/>
      <c r="AD303" s="179"/>
      <c r="AE303" s="179"/>
      <c r="AF303" s="179"/>
      <c r="AG303" s="304">
        <f t="shared" si="195"/>
        <v>3.5331877951294357E-6</v>
      </c>
      <c r="AH303" s="304">
        <f t="shared" si="195"/>
        <v>3.8273684555380823E-6</v>
      </c>
    </row>
    <row r="304" spans="1:44" x14ac:dyDescent="0.2">
      <c r="A304">
        <v>296</v>
      </c>
      <c r="B304" s="179"/>
      <c r="C304" s="179"/>
      <c r="D304" s="179"/>
      <c r="E304" s="180"/>
      <c r="F304" s="180"/>
      <c r="G304" s="180"/>
      <c r="H304" s="180"/>
      <c r="I304" s="180"/>
      <c r="L304" s="182"/>
      <c r="M304" s="182"/>
      <c r="N304" s="185"/>
      <c r="O304" s="185"/>
      <c r="P304" s="186"/>
      <c r="Q304" s="186"/>
      <c r="R304" s="179"/>
      <c r="S304" s="179"/>
      <c r="T304" s="179"/>
      <c r="U304" s="179"/>
      <c r="V304" s="179"/>
      <c r="W304" s="181">
        <f>J324</f>
        <v>21.82</v>
      </c>
      <c r="X304" s="181">
        <f>N324</f>
        <v>-0.32564248447518951</v>
      </c>
      <c r="Y304" s="181">
        <f>O324</f>
        <v>-0.19169857135319679</v>
      </c>
      <c r="AB304" s="179"/>
      <c r="AC304" s="179"/>
      <c r="AD304" s="179"/>
      <c r="AE304" s="179"/>
      <c r="AF304" s="179"/>
      <c r="AG304" s="304">
        <f t="shared" si="195"/>
        <v>4.8188281717775196E-6</v>
      </c>
      <c r="AH304" s="304">
        <f t="shared" si="195"/>
        <v>5.1788765403944756E-6</v>
      </c>
    </row>
    <row r="305" spans="1:34" x14ac:dyDescent="0.2">
      <c r="A305">
        <v>297</v>
      </c>
      <c r="C305" s="179" t="s">
        <v>505</v>
      </c>
      <c r="D305">
        <v>0.10177848120000001</v>
      </c>
      <c r="E305" s="1">
        <v>-2.7882176666666702E-6</v>
      </c>
      <c r="F305" s="1">
        <v>-1.07751288666667E-6</v>
      </c>
      <c r="G305" s="1">
        <v>1.13530238438999E-8</v>
      </c>
      <c r="H305" s="1">
        <v>1.11431965867589E-6</v>
      </c>
      <c r="I305" s="1">
        <v>1.23950405758194E-6</v>
      </c>
      <c r="J305" s="146">
        <v>20.76</v>
      </c>
      <c r="K305">
        <v>0.2</v>
      </c>
      <c r="L305">
        <v>10</v>
      </c>
      <c r="M305" s="2">
        <f t="shared" ref="M305:M310" si="196">100*D305/(K305*5)</f>
        <v>10.17784812</v>
      </c>
      <c r="N305" s="148">
        <f t="shared" ref="N305:N310" si="197">1000000*E305*K305/(L305*D305)</f>
        <v>-0.5478992482089956</v>
      </c>
      <c r="O305" s="148">
        <f t="shared" ref="O305:O310" si="198">1000000*F305*K305/(D305*L305)</f>
        <v>-0.21173687678622383</v>
      </c>
      <c r="P305" s="3"/>
      <c r="Q305" s="148">
        <f t="shared" ref="Q305:Q310" si="199">1000000*K305*H305/(L305*D305)</f>
        <v>0.21896959859052992</v>
      </c>
      <c r="R305" s="148">
        <f t="shared" ref="R305:R310" si="200">1000000*K305*I305/(L305*D305)</f>
        <v>0.24356898294566803</v>
      </c>
      <c r="S305" s="180">
        <f t="shared" ref="S305:S310" si="201">G305*100/D305</f>
        <v>1.1154640656889562E-5</v>
      </c>
      <c r="T305" s="3">
        <f t="shared" ref="T305:T310" si="202">Comode_std*K305/(L305*D305)</f>
        <v>1.9650519210145181E-2</v>
      </c>
      <c r="U305" s="3">
        <f t="shared" ref="U305:U310" si="203">Comode_std*K305/(L305*D305)</f>
        <v>1.9650519210145181E-2</v>
      </c>
      <c r="V305" s="179"/>
      <c r="W305" s="181">
        <f>J332</f>
        <v>23.35</v>
      </c>
      <c r="X305" s="181">
        <f>N332</f>
        <v>-0.32272897810962464</v>
      </c>
      <c r="Y305" s="181">
        <f>O332</f>
        <v>-0.19411024171420924</v>
      </c>
      <c r="AB305" s="179"/>
      <c r="AC305" s="179"/>
      <c r="AD305" s="179"/>
      <c r="AE305" s="179"/>
      <c r="AF305" s="179"/>
      <c r="AG305" s="304">
        <f>AVERAGE(AG299:AG304)</f>
        <v>3.041957785540393E-6</v>
      </c>
      <c r="AH305" s="304">
        <f>AVERAGE(AH299:AH304)</f>
        <v>3.3128169315840419E-6</v>
      </c>
    </row>
    <row r="306" spans="1:34" x14ac:dyDescent="0.2">
      <c r="A306">
        <v>298</v>
      </c>
      <c r="D306">
        <v>0.20078480673999999</v>
      </c>
      <c r="E306" s="1">
        <v>-4.6572219833333302E-6</v>
      </c>
      <c r="F306" s="1">
        <v>-1.7484238116666699E-6</v>
      </c>
      <c r="G306" s="1">
        <v>2.25382588200263E-8</v>
      </c>
      <c r="H306" s="1">
        <v>2.14479739237144E-7</v>
      </c>
      <c r="I306" s="1">
        <v>9.7103152650739998E-8</v>
      </c>
      <c r="J306" s="146">
        <v>20.74</v>
      </c>
      <c r="K306">
        <v>0.2</v>
      </c>
      <c r="L306">
        <v>10</v>
      </c>
      <c r="M306" s="2">
        <f t="shared" si="196"/>
        <v>20.078480673999998</v>
      </c>
      <c r="N306" s="148">
        <f t="shared" si="197"/>
        <v>-0.46390183191142093</v>
      </c>
      <c r="O306" s="148">
        <f t="shared" si="198"/>
        <v>-0.1741589754777349</v>
      </c>
      <c r="P306" s="3"/>
      <c r="Q306" s="148">
        <f t="shared" si="199"/>
        <v>2.136414031713842E-2</v>
      </c>
      <c r="R306" s="148">
        <f t="shared" si="200"/>
        <v>9.6723605961362095E-3</v>
      </c>
      <c r="S306" s="1">
        <f t="shared" si="201"/>
        <v>1.1225081810702696E-5</v>
      </c>
      <c r="T306" s="3">
        <f t="shared" si="202"/>
        <v>9.9609130415422211E-3</v>
      </c>
      <c r="U306" s="3">
        <f t="shared" si="203"/>
        <v>9.9609130415422211E-3</v>
      </c>
      <c r="V306" s="179"/>
      <c r="W306" s="181">
        <f>J340</f>
        <v>23.93</v>
      </c>
      <c r="X306" s="181">
        <f>N340</f>
        <v>-0.3238959479579045</v>
      </c>
      <c r="Y306" s="181">
        <f>O340</f>
        <v>-0.19816324647010167</v>
      </c>
      <c r="Z306" s="3"/>
      <c r="AA306" s="3"/>
      <c r="AB306" s="179"/>
      <c r="AC306" s="179"/>
      <c r="AD306" s="179"/>
      <c r="AE306" s="179"/>
      <c r="AF306" s="179"/>
      <c r="AG306" s="179"/>
    </row>
    <row r="307" spans="1:34" x14ac:dyDescent="0.2">
      <c r="A307">
        <v>299</v>
      </c>
      <c r="D307">
        <v>0.40011531342000001</v>
      </c>
      <c r="E307" s="1">
        <v>-7.8038043499999505E-6</v>
      </c>
      <c r="F307" s="1">
        <v>-3.8146265499999998E-6</v>
      </c>
      <c r="G307" s="1">
        <v>1.0582528169652699E-7</v>
      </c>
      <c r="H307" s="1">
        <v>2.99465362828897E-7</v>
      </c>
      <c r="I307" s="1">
        <v>2.27463517899605E-7</v>
      </c>
      <c r="J307" s="146">
        <v>20.73</v>
      </c>
      <c r="K307">
        <v>0.2</v>
      </c>
      <c r="L307">
        <v>10</v>
      </c>
      <c r="M307" s="2">
        <f t="shared" si="196"/>
        <v>40.011531341999998</v>
      </c>
      <c r="N307" s="148">
        <f t="shared" si="197"/>
        <v>-0.39007776449727222</v>
      </c>
      <c r="O307" s="148">
        <f t="shared" si="198"/>
        <v>-0.19067635864242949</v>
      </c>
      <c r="P307" s="3"/>
      <c r="Q307" s="148">
        <f t="shared" si="199"/>
        <v>1.4968952838580761E-2</v>
      </c>
      <c r="R307" s="148">
        <f t="shared" si="200"/>
        <v>1.1369898140381203E-2</v>
      </c>
      <c r="S307" s="1">
        <f t="shared" si="201"/>
        <v>2.6448695700242411E-5</v>
      </c>
      <c r="T307" s="3">
        <f t="shared" si="202"/>
        <v>4.9985589976672693E-3</v>
      </c>
      <c r="U307" s="3">
        <f t="shared" si="203"/>
        <v>4.9985589976672693E-3</v>
      </c>
      <c r="V307" s="179"/>
      <c r="W307" s="179"/>
      <c r="X307" s="181"/>
      <c r="AB307" s="179"/>
      <c r="AC307" s="179"/>
      <c r="AD307" s="179"/>
      <c r="AE307" s="179"/>
      <c r="AF307" s="179"/>
      <c r="AG307" s="179"/>
    </row>
    <row r="308" spans="1:34" x14ac:dyDescent="0.2">
      <c r="A308">
        <v>300</v>
      </c>
      <c r="C308" s="179"/>
      <c r="D308">
        <v>0.60032931794</v>
      </c>
      <c r="E308" s="1">
        <v>-9.8121460500000004E-6</v>
      </c>
      <c r="F308" s="1">
        <v>-5.9496949499999997E-6</v>
      </c>
      <c r="G308" s="1">
        <v>3.6621538668309898E-7</v>
      </c>
      <c r="H308" s="1">
        <v>2.0943382219585301E-7</v>
      </c>
      <c r="I308" s="1">
        <v>2.75343716883699E-7</v>
      </c>
      <c r="J308" s="146">
        <v>20.73</v>
      </c>
      <c r="K308">
        <v>0.2</v>
      </c>
      <c r="L308">
        <v>10</v>
      </c>
      <c r="M308" s="2">
        <f t="shared" si="196"/>
        <v>60.032931794</v>
      </c>
      <c r="N308" s="148">
        <f t="shared" si="197"/>
        <v>-0.32689211593629608</v>
      </c>
      <c r="O308" s="148">
        <f t="shared" si="198"/>
        <v>-0.19821437241866113</v>
      </c>
      <c r="P308" s="3"/>
      <c r="Q308" s="148">
        <f t="shared" si="199"/>
        <v>6.9772978242846669E-3</v>
      </c>
      <c r="R308" s="148">
        <f t="shared" si="200"/>
        <v>9.1730891247666264E-3</v>
      </c>
      <c r="S308" s="1">
        <f t="shared" si="201"/>
        <v>6.1002415797340823E-5</v>
      </c>
      <c r="T308" s="3">
        <f t="shared" si="202"/>
        <v>3.3315047928408697E-3</v>
      </c>
      <c r="U308" s="3">
        <f t="shared" si="203"/>
        <v>3.3315047928408697E-3</v>
      </c>
      <c r="V308" s="179"/>
      <c r="W308" s="179"/>
      <c r="X308" s="179"/>
      <c r="AB308" s="179"/>
      <c r="AC308" s="179"/>
      <c r="AD308" s="179"/>
      <c r="AE308" s="179"/>
      <c r="AF308" s="179"/>
      <c r="AG308" s="179"/>
    </row>
    <row r="309" spans="1:34" x14ac:dyDescent="0.2">
      <c r="A309">
        <v>301</v>
      </c>
      <c r="D309">
        <v>1.0059666302000001</v>
      </c>
      <c r="E309" s="1">
        <v>-1.24484752333334E-5</v>
      </c>
      <c r="F309" s="1">
        <v>-1.03384099E-5</v>
      </c>
      <c r="G309" s="1">
        <v>1.8515305518772499E-6</v>
      </c>
      <c r="H309" s="1">
        <v>2.6627054144162299E-7</v>
      </c>
      <c r="I309" s="1">
        <v>4.5808099121188199E-7</v>
      </c>
      <c r="J309" s="146">
        <v>20.79</v>
      </c>
      <c r="K309">
        <v>0.2</v>
      </c>
      <c r="L309">
        <v>10</v>
      </c>
      <c r="M309" s="2">
        <f t="shared" si="196"/>
        <v>100.59666302000001</v>
      </c>
      <c r="N309" s="148">
        <f t="shared" si="197"/>
        <v>-0.24749280661245143</v>
      </c>
      <c r="O309" s="148">
        <f t="shared" si="198"/>
        <v>-0.20554180605264377</v>
      </c>
      <c r="P309" s="3"/>
      <c r="Q309" s="148">
        <f t="shared" si="199"/>
        <v>5.2938245354855308E-3</v>
      </c>
      <c r="R309" s="148">
        <f t="shared" si="200"/>
        <v>9.1072800520392832E-3</v>
      </c>
      <c r="S309" s="1">
        <f t="shared" si="201"/>
        <v>1.8405486785472595E-4</v>
      </c>
      <c r="T309" s="3">
        <f t="shared" si="202"/>
        <v>1.9881375186395329E-3</v>
      </c>
      <c r="U309" s="3">
        <f t="shared" si="203"/>
        <v>1.9881375186395329E-3</v>
      </c>
      <c r="Y309" s="184"/>
    </row>
    <row r="310" spans="1:34" x14ac:dyDescent="0.2">
      <c r="A310">
        <v>302</v>
      </c>
      <c r="D310">
        <v>1.1984204698000001</v>
      </c>
      <c r="E310" s="1">
        <v>-1.34617171666667E-5</v>
      </c>
      <c r="F310" s="1">
        <v>-1.24508146666667E-5</v>
      </c>
      <c r="G310" s="1">
        <v>2.5744220777981598E-6</v>
      </c>
      <c r="H310" s="1">
        <v>2.10642334749306E-7</v>
      </c>
      <c r="I310" s="1">
        <v>2.24578757643931E-7</v>
      </c>
      <c r="J310" s="146">
        <v>21.01</v>
      </c>
      <c r="K310">
        <v>0.2</v>
      </c>
      <c r="L310">
        <v>10</v>
      </c>
      <c r="M310" s="2">
        <f t="shared" si="196"/>
        <v>119.84204698000001</v>
      </c>
      <c r="N310" s="148">
        <f t="shared" si="197"/>
        <v>-0.22465766408201082</v>
      </c>
      <c r="O310" s="148">
        <f t="shared" si="198"/>
        <v>-0.20778708275476254</v>
      </c>
      <c r="P310" s="3"/>
      <c r="Q310" s="148">
        <f t="shared" si="199"/>
        <v>3.5153327243226964E-3</v>
      </c>
      <c r="R310" s="148">
        <f t="shared" si="200"/>
        <v>3.7479125783191954E-3</v>
      </c>
      <c r="S310" s="1">
        <f t="shared" si="201"/>
        <v>2.1481793265996159E-4</v>
      </c>
      <c r="T310" s="3">
        <f t="shared" si="202"/>
        <v>1.6688633500508989E-3</v>
      </c>
      <c r="U310" s="3">
        <f t="shared" si="203"/>
        <v>1.6688633500508989E-3</v>
      </c>
      <c r="Y310" s="184"/>
    </row>
    <row r="311" spans="1:34" x14ac:dyDescent="0.2">
      <c r="A311">
        <v>303</v>
      </c>
      <c r="D311" s="41" t="s">
        <v>500</v>
      </c>
      <c r="F311" s="1"/>
      <c r="G311" s="1"/>
      <c r="H311" s="1"/>
      <c r="I311" s="1"/>
      <c r="J311" s="1"/>
      <c r="L311" s="1"/>
      <c r="M311" s="1"/>
      <c r="N311" s="201" t="s">
        <v>496</v>
      </c>
      <c r="O311" s="149"/>
      <c r="P311" s="8"/>
      <c r="Q311" s="149"/>
      <c r="R311" s="149"/>
      <c r="S311" s="8"/>
      <c r="U311" s="26"/>
    </row>
    <row r="312" spans="1:34" x14ac:dyDescent="0.2">
      <c r="A312">
        <v>304</v>
      </c>
      <c r="E312" s="1"/>
      <c r="F312" s="1"/>
      <c r="G312" s="1"/>
      <c r="H312" s="1"/>
      <c r="I312" s="1"/>
      <c r="L312" s="18"/>
      <c r="M312" s="18"/>
      <c r="N312" s="3"/>
      <c r="P312" s="2"/>
      <c r="R312" s="20"/>
    </row>
    <row r="313" spans="1:34" x14ac:dyDescent="0.2">
      <c r="A313">
        <v>305</v>
      </c>
      <c r="C313" s="179" t="s">
        <v>506</v>
      </c>
      <c r="D313">
        <v>0.10010017622</v>
      </c>
      <c r="E313" s="1">
        <v>-2.6952004333333302E-6</v>
      </c>
      <c r="F313" s="1">
        <v>-1.0460448883333299E-6</v>
      </c>
      <c r="G313" s="1">
        <v>2.3929673306587299E-8</v>
      </c>
      <c r="H313" s="1">
        <v>1.08762465581505E-6</v>
      </c>
      <c r="I313" s="1">
        <v>1.2434596606014201E-6</v>
      </c>
      <c r="J313" s="146">
        <v>21.43</v>
      </c>
      <c r="K313">
        <v>0.2</v>
      </c>
      <c r="L313">
        <v>10</v>
      </c>
      <c r="M313" s="2">
        <f t="shared" ref="M313:M318" si="204">100*D313/(K313*5)</f>
        <v>10.010017621999999</v>
      </c>
      <c r="N313" s="148">
        <f t="shared" ref="N313:N318" si="205">1000000*E313*K313/(L313*D313)</f>
        <v>-0.53850063708375973</v>
      </c>
      <c r="O313" s="148">
        <f t="shared" ref="O313:O318" si="206">1000000*F313*K313/(D313*L313)</f>
        <v>-0.20899960975779591</v>
      </c>
      <c r="P313" s="3"/>
      <c r="Q313" s="148">
        <f t="shared" ref="Q313:Q318" si="207">1000000*K313*H313/(L313*D313)</f>
        <v>0.21730724098320672</v>
      </c>
      <c r="R313" s="148">
        <f t="shared" ref="R313:R318" si="208">1000000*K313*I313/(L313*D313)</f>
        <v>0.24844305126267638</v>
      </c>
      <c r="S313" s="180">
        <f t="shared" ref="S313:S318" si="209">G313*100/D313</f>
        <v>2.3905725454463441E-5</v>
      </c>
      <c r="T313" s="3">
        <f t="shared" ref="T313:T318" si="210">Comode_std*K313/(L313*D313)</f>
        <v>1.9979984806464311E-2</v>
      </c>
      <c r="U313" s="3">
        <f t="shared" ref="U313:U318" si="211">Comode_std*K313/(L313*D313)</f>
        <v>1.9979984806464311E-2</v>
      </c>
    </row>
    <row r="314" spans="1:34" x14ac:dyDescent="0.2">
      <c r="A314">
        <v>306</v>
      </c>
      <c r="D314">
        <v>0.20022459876000001</v>
      </c>
      <c r="E314" s="1">
        <v>-4.6452831333333303E-6</v>
      </c>
      <c r="F314" s="1">
        <v>-1.74352458166667E-6</v>
      </c>
      <c r="G314" s="1">
        <v>2.11407447229416E-8</v>
      </c>
      <c r="H314" s="1">
        <v>2.16061120950027E-7</v>
      </c>
      <c r="I314" s="1">
        <v>9.3210820021318002E-8</v>
      </c>
      <c r="J314" s="146">
        <v>21.39</v>
      </c>
      <c r="K314">
        <v>0.2</v>
      </c>
      <c r="L314">
        <v>10</v>
      </c>
      <c r="M314" s="2">
        <f t="shared" si="204"/>
        <v>20.022459876000003</v>
      </c>
      <c r="N314" s="148">
        <f t="shared" si="205"/>
        <v>-0.46400723608405547</v>
      </c>
      <c r="O314" s="148">
        <f t="shared" si="206"/>
        <v>-0.17415688106899915</v>
      </c>
      <c r="P314" s="3"/>
      <c r="Q314" s="148">
        <f t="shared" si="207"/>
        <v>2.1581875782306796E-2</v>
      </c>
      <c r="R314" s="148">
        <f t="shared" si="208"/>
        <v>9.310626226605204E-3</v>
      </c>
      <c r="S314" s="1">
        <f t="shared" si="209"/>
        <v>1.0558515214347881E-5</v>
      </c>
      <c r="T314" s="3">
        <f t="shared" si="210"/>
        <v>9.9887826590043909E-3</v>
      </c>
      <c r="U314" s="3">
        <f t="shared" si="211"/>
        <v>9.9887826590043909E-3</v>
      </c>
    </row>
    <row r="315" spans="1:34" x14ac:dyDescent="0.2">
      <c r="A315">
        <v>307</v>
      </c>
      <c r="D315">
        <v>0.40043943393999998</v>
      </c>
      <c r="E315" s="1">
        <v>-7.8022525666666208E-6</v>
      </c>
      <c r="F315" s="1">
        <v>-3.80820788333333E-6</v>
      </c>
      <c r="G315" s="1">
        <v>4.6267465085503998E-8</v>
      </c>
      <c r="H315" s="1">
        <v>3.1486664819054703E-7</v>
      </c>
      <c r="I315" s="1">
        <v>2.3049651614725E-7</v>
      </c>
      <c r="J315" s="146">
        <v>21.36</v>
      </c>
      <c r="K315">
        <v>0.2</v>
      </c>
      <c r="L315">
        <v>10</v>
      </c>
      <c r="M315" s="2">
        <f t="shared" si="204"/>
        <v>40.043943393999996</v>
      </c>
      <c r="N315" s="148">
        <f t="shared" si="205"/>
        <v>-0.38968452681589166</v>
      </c>
      <c r="O315" s="148">
        <f t="shared" si="206"/>
        <v>-0.19020144174431802</v>
      </c>
      <c r="P315" s="3"/>
      <c r="Q315" s="148">
        <f t="shared" si="207"/>
        <v>1.5726056002652585E-2</v>
      </c>
      <c r="R315" s="148">
        <f t="shared" si="208"/>
        <v>1.1512178702249716E-2</v>
      </c>
      <c r="S315" s="1">
        <f t="shared" si="209"/>
        <v>1.1554173031928846E-5</v>
      </c>
      <c r="T315" s="3">
        <f t="shared" si="210"/>
        <v>4.9945131035712912E-3</v>
      </c>
      <c r="U315" s="3">
        <f t="shared" si="211"/>
        <v>4.9945131035712912E-3</v>
      </c>
    </row>
    <row r="316" spans="1:34" x14ac:dyDescent="0.2">
      <c r="A316">
        <v>308</v>
      </c>
      <c r="D316">
        <v>0.60020276435999997</v>
      </c>
      <c r="E316" s="1">
        <v>-1.0069532716666699E-5</v>
      </c>
      <c r="F316" s="1">
        <v>-5.9070517999999901E-6</v>
      </c>
      <c r="G316" s="1">
        <v>2.9189364863561898E-7</v>
      </c>
      <c r="H316" s="1">
        <v>2.47389596983758E-7</v>
      </c>
      <c r="I316" s="1">
        <v>2.3849083913173701E-7</v>
      </c>
      <c r="J316" s="146">
        <v>21.34</v>
      </c>
      <c r="K316">
        <v>0.2</v>
      </c>
      <c r="L316">
        <v>10</v>
      </c>
      <c r="M316" s="2">
        <f t="shared" si="204"/>
        <v>60.020276435999996</v>
      </c>
      <c r="N316" s="148">
        <f t="shared" si="205"/>
        <v>-0.33553769874432038</v>
      </c>
      <c r="O316" s="148">
        <f t="shared" si="206"/>
        <v>-0.196835208058354</v>
      </c>
      <c r="P316" s="3"/>
      <c r="Q316" s="148">
        <f t="shared" si="207"/>
        <v>8.2435340746073067E-3</v>
      </c>
      <c r="R316" s="148">
        <f t="shared" si="208"/>
        <v>7.9470090207278965E-3</v>
      </c>
      <c r="S316" s="1">
        <f t="shared" si="209"/>
        <v>4.8632506540829922E-5</v>
      </c>
      <c r="T316" s="3">
        <f t="shared" si="210"/>
        <v>3.3322072452175609E-3</v>
      </c>
      <c r="U316" s="3">
        <f t="shared" si="211"/>
        <v>3.3322072452175609E-3</v>
      </c>
    </row>
    <row r="317" spans="1:34" x14ac:dyDescent="0.2">
      <c r="A317">
        <v>309</v>
      </c>
      <c r="D317">
        <v>1.00651954</v>
      </c>
      <c r="E317" s="1">
        <v>-1.24500896500001E-5</v>
      </c>
      <c r="F317" s="1">
        <v>-1.0328214750000001E-5</v>
      </c>
      <c r="G317" s="1">
        <v>1.8203370044695499E-6</v>
      </c>
      <c r="H317" s="1">
        <v>2.5022548489654003E-7</v>
      </c>
      <c r="I317" s="1">
        <v>4.9153161957287803E-7</v>
      </c>
      <c r="J317" s="146">
        <v>21.39</v>
      </c>
      <c r="K317">
        <v>0.2</v>
      </c>
      <c r="L317">
        <v>10</v>
      </c>
      <c r="M317" s="2">
        <f t="shared" si="204"/>
        <v>100.651954</v>
      </c>
      <c r="N317" s="148">
        <f t="shared" si="205"/>
        <v>-0.24738893096899242</v>
      </c>
      <c r="O317" s="148">
        <f t="shared" si="206"/>
        <v>-0.20522631383788142</v>
      </c>
      <c r="P317" s="3"/>
      <c r="Q317" s="148">
        <f t="shared" si="207"/>
        <v>4.9720939326531113E-3</v>
      </c>
      <c r="R317" s="148">
        <f t="shared" si="208"/>
        <v>9.7669563289924412E-3</v>
      </c>
      <c r="S317" s="1">
        <f t="shared" si="209"/>
        <v>1.808546115726228E-4</v>
      </c>
      <c r="T317" s="3">
        <f t="shared" si="210"/>
        <v>1.987045378175172E-3</v>
      </c>
      <c r="U317" s="3">
        <f t="shared" si="211"/>
        <v>1.987045378175172E-3</v>
      </c>
    </row>
    <row r="318" spans="1:34" x14ac:dyDescent="0.2">
      <c r="A318">
        <v>310</v>
      </c>
      <c r="D318">
        <v>1.1963332514</v>
      </c>
      <c r="E318" s="1">
        <v>-1.32916408333334E-5</v>
      </c>
      <c r="F318" s="1">
        <v>-1.24584325E-5</v>
      </c>
      <c r="G318" s="1">
        <v>2.5532675379018602E-6</v>
      </c>
      <c r="H318" s="1">
        <v>1.4931612755930101E-7</v>
      </c>
      <c r="I318" s="1">
        <v>2.27836309135345E-7</v>
      </c>
      <c r="J318" s="146">
        <v>21.49</v>
      </c>
      <c r="K318">
        <v>0.2</v>
      </c>
      <c r="L318">
        <v>10</v>
      </c>
      <c r="M318" s="2">
        <f t="shared" si="204"/>
        <v>119.63332514</v>
      </c>
      <c r="N318" s="148">
        <f t="shared" si="205"/>
        <v>-0.22220632616838087</v>
      </c>
      <c r="O318" s="148">
        <f t="shared" si="206"/>
        <v>-0.20827695770255675</v>
      </c>
      <c r="P318" s="3"/>
      <c r="Q318" s="148">
        <f t="shared" si="207"/>
        <v>2.4962296648457262E-3</v>
      </c>
      <c r="R318" s="148">
        <f t="shared" si="208"/>
        <v>3.8089104163697074E-3</v>
      </c>
      <c r="S318" s="1">
        <f t="shared" si="209"/>
        <v>2.1342443962950273E-4</v>
      </c>
      <c r="T318" s="3">
        <f t="shared" si="210"/>
        <v>1.6717749821460828E-3</v>
      </c>
      <c r="U318" s="3">
        <f t="shared" si="211"/>
        <v>1.6717749821460828E-3</v>
      </c>
    </row>
    <row r="319" spans="1:34" x14ac:dyDescent="0.2">
      <c r="A319">
        <v>311</v>
      </c>
      <c r="D319" s="41" t="s">
        <v>500</v>
      </c>
      <c r="F319" s="1"/>
      <c r="G319" s="1"/>
      <c r="H319" s="1"/>
      <c r="I319" s="1"/>
      <c r="J319" s="1"/>
      <c r="L319" s="1"/>
      <c r="M319" s="1"/>
      <c r="N319" s="201" t="s">
        <v>496</v>
      </c>
      <c r="O319" s="149"/>
      <c r="P319" s="8"/>
      <c r="Q319" s="149"/>
      <c r="R319" s="149"/>
      <c r="S319" s="8"/>
      <c r="U319" s="26"/>
    </row>
    <row r="320" spans="1:34" x14ac:dyDescent="0.2">
      <c r="A320">
        <v>312</v>
      </c>
      <c r="C320" s="179" t="s">
        <v>507</v>
      </c>
      <c r="E320" s="1"/>
      <c r="F320" s="1"/>
      <c r="G320" s="1"/>
      <c r="H320" s="1"/>
      <c r="I320" s="1"/>
      <c r="L320" s="18"/>
      <c r="M320" s="18"/>
      <c r="N320" s="3"/>
      <c r="P320" s="2"/>
      <c r="R320" s="20"/>
    </row>
    <row r="321" spans="1:22" x14ac:dyDescent="0.2">
      <c r="A321">
        <v>313</v>
      </c>
      <c r="D321">
        <v>0.10121758209999999</v>
      </c>
      <c r="E321" s="1">
        <v>-2.7123840000000001E-6</v>
      </c>
      <c r="F321" s="1">
        <v>-1.0362315266666699E-6</v>
      </c>
      <c r="G321" s="1">
        <v>3.3449901303315302E-8</v>
      </c>
      <c r="H321" s="1">
        <v>1.0841283544331799E-6</v>
      </c>
      <c r="I321" s="1">
        <v>1.24412587951023E-6</v>
      </c>
      <c r="J321" s="146">
        <v>21.94</v>
      </c>
      <c r="K321">
        <v>0.2</v>
      </c>
      <c r="L321">
        <v>10</v>
      </c>
      <c r="M321" s="2">
        <f t="shared" ref="M321:M326" si="212">100*D321/(K321*5)</f>
        <v>10.121758209999999</v>
      </c>
      <c r="N321" s="148">
        <f t="shared" ref="N321:N326" si="213">1000000*E321*K321/(L321*D321)</f>
        <v>-0.53595115467592269</v>
      </c>
      <c r="O321" s="148">
        <f t="shared" ref="O321:O326" si="214">1000000*F321*K321/(D321*L321)</f>
        <v>-0.20475326621473799</v>
      </c>
      <c r="P321" s="3"/>
      <c r="Q321" s="148">
        <f t="shared" ref="Q321:Q326" si="215">1000000*K321*H321/(L321*D321)</f>
        <v>0.21421739819117452</v>
      </c>
      <c r="R321" s="148">
        <f t="shared" ref="R321:R326" si="216">1000000*K321*I321/(L321*D321)</f>
        <v>0.24583196984118236</v>
      </c>
      <c r="S321" s="180">
        <f t="shared" ref="S321:S326" si="217">G321*100/D321</f>
        <v>3.3047520607899703E-5</v>
      </c>
      <c r="T321" s="3">
        <f t="shared" ref="T321:T326" si="218">Comode_std*K321/(L321*D321)</f>
        <v>1.975941292515819E-2</v>
      </c>
      <c r="U321" s="3">
        <f t="shared" ref="U321:U326" si="219">Comode_std*K321/(L321*D321)</f>
        <v>1.975941292515819E-2</v>
      </c>
    </row>
    <row r="322" spans="1:22" x14ac:dyDescent="0.2">
      <c r="A322">
        <v>314</v>
      </c>
      <c r="D322">
        <v>0.19976587783999999</v>
      </c>
      <c r="E322" s="1">
        <v>-4.5649188999999996E-6</v>
      </c>
      <c r="F322" s="1">
        <v>-1.73605586666666E-6</v>
      </c>
      <c r="G322" s="1">
        <v>6.00757917787042E-8</v>
      </c>
      <c r="H322" s="1">
        <v>2.10042032089111E-7</v>
      </c>
      <c r="I322" s="1">
        <v>9.4164935749330396E-8</v>
      </c>
      <c r="J322" s="146">
        <v>21.9</v>
      </c>
      <c r="K322">
        <v>0.2</v>
      </c>
      <c r="L322">
        <v>10</v>
      </c>
      <c r="M322" s="2">
        <f t="shared" si="212"/>
        <v>19.976587783999999</v>
      </c>
      <c r="N322" s="148">
        <f t="shared" si="213"/>
        <v>-0.45702689061404317</v>
      </c>
      <c r="O322" s="148">
        <f t="shared" si="214"/>
        <v>-0.17380904941705139</v>
      </c>
      <c r="P322" s="3"/>
      <c r="Q322" s="148">
        <f t="shared" si="215"/>
        <v>2.1028819772447981E-2</v>
      </c>
      <c r="R322" s="148">
        <f t="shared" si="216"/>
        <v>9.4275295428332007E-3</v>
      </c>
      <c r="S322" s="1">
        <f t="shared" si="217"/>
        <v>3.0073099784749604E-5</v>
      </c>
      <c r="T322" s="3">
        <f t="shared" si="218"/>
        <v>1.0011719827356479E-2</v>
      </c>
      <c r="U322" s="3">
        <f t="shared" si="219"/>
        <v>1.0011719827356479E-2</v>
      </c>
    </row>
    <row r="323" spans="1:22" x14ac:dyDescent="0.2">
      <c r="A323">
        <v>315</v>
      </c>
      <c r="D323">
        <v>0.39960189493999998</v>
      </c>
      <c r="E323" s="1">
        <v>-7.8010382499999492E-6</v>
      </c>
      <c r="F323" s="1">
        <v>-3.7099307500000002E-6</v>
      </c>
      <c r="G323" s="1">
        <v>1.2436825874837601E-8</v>
      </c>
      <c r="H323" s="1">
        <v>3.2727968595546102E-7</v>
      </c>
      <c r="I323" s="1">
        <v>2.2459313131216701E-7</v>
      </c>
      <c r="J323" s="146">
        <v>21.85</v>
      </c>
      <c r="K323">
        <v>0.2</v>
      </c>
      <c r="L323">
        <v>10</v>
      </c>
      <c r="M323" s="2">
        <f t="shared" si="212"/>
        <v>39.960189493999998</v>
      </c>
      <c r="N323" s="148">
        <f t="shared" si="213"/>
        <v>-0.390440503350029</v>
      </c>
      <c r="O323" s="148">
        <f t="shared" si="214"/>
        <v>-0.18568133920170948</v>
      </c>
      <c r="P323" s="3"/>
      <c r="Q323" s="148">
        <f t="shared" si="215"/>
        <v>1.6380286985606108E-2</v>
      </c>
      <c r="R323" s="148">
        <f t="shared" si="216"/>
        <v>1.1240844157953234E-2</v>
      </c>
      <c r="S323" s="1">
        <f t="shared" si="217"/>
        <v>3.1123040286645749E-6</v>
      </c>
      <c r="T323" s="3">
        <f t="shared" si="218"/>
        <v>5.0049812709228999E-3</v>
      </c>
      <c r="U323" s="3">
        <f t="shared" si="219"/>
        <v>5.0049812709228999E-3</v>
      </c>
    </row>
    <row r="324" spans="1:22" x14ac:dyDescent="0.2">
      <c r="A324">
        <v>316</v>
      </c>
      <c r="D324">
        <v>0.60036370043999998</v>
      </c>
      <c r="E324" s="1">
        <v>-9.7751963500000005E-6</v>
      </c>
      <c r="F324" s="1">
        <v>-5.7544431833333303E-6</v>
      </c>
      <c r="G324" s="1">
        <v>2.18505851401442E-7</v>
      </c>
      <c r="H324" s="1">
        <v>1.9866765801838699E-7</v>
      </c>
      <c r="I324" s="1">
        <v>2.4880003125810302E-7</v>
      </c>
      <c r="J324" s="146">
        <v>21.82</v>
      </c>
      <c r="K324">
        <v>0.2</v>
      </c>
      <c r="L324">
        <v>10</v>
      </c>
      <c r="M324" s="2">
        <f t="shared" si="212"/>
        <v>60.036370043999995</v>
      </c>
      <c r="N324" s="148">
        <f t="shared" si="213"/>
        <v>-0.32564248447518951</v>
      </c>
      <c r="O324" s="148">
        <f t="shared" si="214"/>
        <v>-0.19169857135319679</v>
      </c>
      <c r="P324" s="3"/>
      <c r="Q324" s="148">
        <f t="shared" si="215"/>
        <v>6.6182435038222871E-3</v>
      </c>
      <c r="R324" s="148">
        <f t="shared" si="216"/>
        <v>8.2883102717822617E-3</v>
      </c>
      <c r="S324" s="1">
        <f t="shared" si="217"/>
        <v>3.6395580086088058E-5</v>
      </c>
      <c r="T324" s="3">
        <f t="shared" si="218"/>
        <v>3.3313139993877416E-3</v>
      </c>
      <c r="U324" s="3">
        <f t="shared" si="219"/>
        <v>3.3313139993877416E-3</v>
      </c>
    </row>
    <row r="325" spans="1:22" x14ac:dyDescent="0.2">
      <c r="A325">
        <v>317</v>
      </c>
      <c r="D325">
        <v>1.0012925589999999</v>
      </c>
      <c r="E325" s="1">
        <v>-1.2448997200000101E-5</v>
      </c>
      <c r="F325" s="1">
        <v>-1.03269534333333E-5</v>
      </c>
      <c r="G325" s="1">
        <v>1.47854558064335E-6</v>
      </c>
      <c r="H325" s="1">
        <v>2.6090922326515102E-7</v>
      </c>
      <c r="I325" s="1">
        <v>5.0297333603702703E-7</v>
      </c>
      <c r="J325" s="146">
        <v>21.88</v>
      </c>
      <c r="K325">
        <v>0.2</v>
      </c>
      <c r="L325">
        <v>10</v>
      </c>
      <c r="M325" s="2">
        <f t="shared" si="212"/>
        <v>100.12925589999999</v>
      </c>
      <c r="N325" s="148">
        <f t="shared" si="213"/>
        <v>-0.24865853816856542</v>
      </c>
      <c r="O325" s="148">
        <f t="shared" si="214"/>
        <v>-0.20627244935579914</v>
      </c>
      <c r="P325" s="3"/>
      <c r="Q325" s="148">
        <f t="shared" si="215"/>
        <v>5.2114483608212067E-3</v>
      </c>
      <c r="R325" s="148">
        <f t="shared" si="216"/>
        <v>1.0046481051239434E-2</v>
      </c>
      <c r="S325" s="1">
        <f t="shared" si="217"/>
        <v>1.4766369402764633E-4</v>
      </c>
      <c r="T325" s="3">
        <f t="shared" si="218"/>
        <v>1.9974182191041336E-3</v>
      </c>
      <c r="U325" s="3">
        <f t="shared" si="219"/>
        <v>1.9974182191041336E-3</v>
      </c>
    </row>
    <row r="326" spans="1:22" x14ac:dyDescent="0.2">
      <c r="A326">
        <v>318</v>
      </c>
      <c r="C326" s="1"/>
      <c r="D326">
        <v>1.1985930149999999</v>
      </c>
      <c r="E326" s="1">
        <v>-1.31712573333335E-5</v>
      </c>
      <c r="F326" s="1">
        <v>-1.2443349166666699E-5</v>
      </c>
      <c r="G326" s="1">
        <v>2.35647249640619E-6</v>
      </c>
      <c r="H326" s="1">
        <v>7.1852211375541505E-8</v>
      </c>
      <c r="I326" s="1">
        <v>2.2544880054232199E-7</v>
      </c>
      <c r="J326" s="146">
        <v>22.04</v>
      </c>
      <c r="K326">
        <v>0.2</v>
      </c>
      <c r="L326">
        <v>10</v>
      </c>
      <c r="M326" s="2">
        <f t="shared" si="212"/>
        <v>119.85930149999999</v>
      </c>
      <c r="N326" s="148">
        <f t="shared" si="213"/>
        <v>-0.21977864326755653</v>
      </c>
      <c r="O326" s="148">
        <f t="shared" si="214"/>
        <v>-0.2076325994051734</v>
      </c>
      <c r="P326" s="3"/>
      <c r="Q326" s="148">
        <f t="shared" si="215"/>
        <v>1.198942601472469E-3</v>
      </c>
      <c r="R326" s="148">
        <f t="shared" si="216"/>
        <v>3.7618907789533878E-3</v>
      </c>
      <c r="S326" s="1">
        <f t="shared" si="217"/>
        <v>1.9660322285510652E-4</v>
      </c>
      <c r="T326" s="3">
        <f t="shared" si="218"/>
        <v>1.6686231064011335E-3</v>
      </c>
      <c r="U326" s="3">
        <f t="shared" si="219"/>
        <v>1.6686231064011335E-3</v>
      </c>
      <c r="V326" s="1"/>
    </row>
    <row r="327" spans="1:22" x14ac:dyDescent="0.2">
      <c r="A327">
        <v>319</v>
      </c>
      <c r="C327" s="1"/>
      <c r="D327" s="41" t="s">
        <v>500</v>
      </c>
      <c r="F327" s="1"/>
      <c r="G327" s="1"/>
      <c r="H327" s="1"/>
      <c r="I327" s="1"/>
      <c r="J327" s="1"/>
      <c r="L327" s="1"/>
      <c r="M327" s="1"/>
      <c r="N327" s="201" t="s">
        <v>496</v>
      </c>
      <c r="O327" s="149"/>
      <c r="P327" s="8"/>
      <c r="Q327" s="149"/>
      <c r="R327" s="149"/>
      <c r="S327" s="8"/>
      <c r="U327" s="26"/>
      <c r="V327" s="1"/>
    </row>
    <row r="328" spans="1:22" x14ac:dyDescent="0.2">
      <c r="A328">
        <v>320</v>
      </c>
      <c r="C328" s="179" t="s">
        <v>510</v>
      </c>
      <c r="E328" s="1"/>
      <c r="F328" s="1"/>
      <c r="G328" s="1"/>
      <c r="H328" s="1"/>
      <c r="I328" s="1"/>
      <c r="L328" s="18"/>
      <c r="M328" s="18"/>
      <c r="N328" s="3"/>
      <c r="P328" s="2"/>
      <c r="R328" s="20"/>
      <c r="V328" s="1"/>
    </row>
    <row r="329" spans="1:22" x14ac:dyDescent="0.2">
      <c r="A329">
        <v>321</v>
      </c>
      <c r="D329">
        <v>0.1002852316</v>
      </c>
      <c r="E329" s="1">
        <v>-2.6263951499999999E-6</v>
      </c>
      <c r="F329" s="1">
        <v>-1.030829305E-6</v>
      </c>
      <c r="G329" s="1">
        <v>1.03929963794876E-7</v>
      </c>
      <c r="H329" s="1">
        <v>1.0609318937575499E-6</v>
      </c>
      <c r="I329" s="1">
        <v>1.2433135656703899E-6</v>
      </c>
      <c r="J329" s="146">
        <v>23.45</v>
      </c>
      <c r="K329">
        <v>0.2</v>
      </c>
      <c r="L329">
        <v>10</v>
      </c>
      <c r="M329" s="2">
        <f t="shared" ref="M329:M334" si="220">100*D329/(K329*5)</f>
        <v>10.028523159999999</v>
      </c>
      <c r="N329" s="148">
        <f t="shared" ref="N329:N334" si="221">1000000*E329*K329/(L329*D329)</f>
        <v>-0.52378502957956974</v>
      </c>
      <c r="O329" s="148">
        <f t="shared" ref="O329:O334" si="222">1000000*F329*K329/(D329*L329)</f>
        <v>-0.20557948335036805</v>
      </c>
      <c r="P329" s="3"/>
      <c r="Q329" s="148">
        <f t="shared" ref="Q329:Q334" si="223">1000000*K329*H329/(L329*D329)</f>
        <v>0.21158287752462046</v>
      </c>
      <c r="R329" s="148">
        <f t="shared" ref="R329:R334" si="224">1000000*K329*I329/(L329*D329)</f>
        <v>0.24795546579171282</v>
      </c>
      <c r="S329" s="180">
        <f t="shared" ref="S329:S334" si="225">G329*100/D329</f>
        <v>1.0363436583505483E-4</v>
      </c>
      <c r="T329" s="3">
        <f t="shared" ref="T329:T334" si="226">Comode_std*K329/(L329*D329)</f>
        <v>1.9943115931339191E-2</v>
      </c>
      <c r="U329" s="3">
        <f t="shared" ref="U329:U334" si="227">Comode_std*K329/(L329*D329)</f>
        <v>1.9943115931339191E-2</v>
      </c>
      <c r="V329" s="1"/>
    </row>
    <row r="330" spans="1:22" x14ac:dyDescent="0.2">
      <c r="A330">
        <v>322</v>
      </c>
      <c r="D330">
        <v>0.20081079869999999</v>
      </c>
      <c r="E330" s="1">
        <v>-4.5618507999999997E-6</v>
      </c>
      <c r="F330" s="1">
        <v>-1.74465078166668E-6</v>
      </c>
      <c r="G330" s="1">
        <v>1.5464217589391999E-7</v>
      </c>
      <c r="H330" s="1">
        <v>2.0079818933370199E-7</v>
      </c>
      <c r="I330" s="1">
        <v>1.0306968709372E-7</v>
      </c>
      <c r="J330" s="146">
        <v>23.46</v>
      </c>
      <c r="K330">
        <v>0.2</v>
      </c>
      <c r="L330">
        <v>10</v>
      </c>
      <c r="M330" s="2">
        <f t="shared" si="220"/>
        <v>20.08107987</v>
      </c>
      <c r="N330" s="148">
        <f t="shared" si="221"/>
        <v>-0.45434317571886634</v>
      </c>
      <c r="O330" s="148">
        <f t="shared" si="222"/>
        <v>-0.17376065360639195</v>
      </c>
      <c r="P330" s="3"/>
      <c r="Q330" s="148">
        <f t="shared" si="223"/>
        <v>1.9998744154559454E-2</v>
      </c>
      <c r="R330" s="148">
        <f t="shared" si="224"/>
        <v>1.0265353034893338E-2</v>
      </c>
      <c r="S330" s="1">
        <f t="shared" si="225"/>
        <v>7.7008894389662123E-5</v>
      </c>
      <c r="T330" s="3">
        <f t="shared" si="226"/>
        <v>9.959623750054835E-3</v>
      </c>
      <c r="U330" s="3">
        <f t="shared" si="227"/>
        <v>9.959623750054835E-3</v>
      </c>
      <c r="V330" s="1"/>
    </row>
    <row r="331" spans="1:22" x14ac:dyDescent="0.2">
      <c r="A331">
        <v>323</v>
      </c>
      <c r="D331">
        <v>0.40062925890000001</v>
      </c>
      <c r="E331" s="1">
        <v>-7.7999522999999594E-6</v>
      </c>
      <c r="F331" s="1">
        <v>-3.82846886666666E-6</v>
      </c>
      <c r="G331" s="1">
        <v>1.1556645860633701E-7</v>
      </c>
      <c r="H331" s="1">
        <v>3.2821328282390201E-7</v>
      </c>
      <c r="I331" s="1">
        <v>2.29296148065586E-7</v>
      </c>
      <c r="J331" s="146">
        <v>23.41</v>
      </c>
      <c r="K331">
        <v>0.2</v>
      </c>
      <c r="L331">
        <v>10</v>
      </c>
      <c r="M331" s="2">
        <f t="shared" si="220"/>
        <v>40.062925890000002</v>
      </c>
      <c r="N331" s="148">
        <f t="shared" si="221"/>
        <v>-0.38938505497157833</v>
      </c>
      <c r="O331" s="148">
        <f t="shared" si="222"/>
        <v>-0.19112277905904393</v>
      </c>
      <c r="P331" s="3"/>
      <c r="Q331" s="148">
        <f t="shared" si="223"/>
        <v>1.6384888299225613E-2</v>
      </c>
      <c r="R331" s="148">
        <f t="shared" si="224"/>
        <v>1.1446799901492966E-2</v>
      </c>
      <c r="S331" s="1">
        <f t="shared" si="225"/>
        <v>2.8846235275887139E-5</v>
      </c>
      <c r="T331" s="3">
        <f t="shared" si="226"/>
        <v>4.9921466182758631E-3</v>
      </c>
      <c r="U331" s="3">
        <f t="shared" si="227"/>
        <v>4.9921466182758631E-3</v>
      </c>
      <c r="V331" s="1"/>
    </row>
    <row r="332" spans="1:22" x14ac:dyDescent="0.2">
      <c r="A332">
        <v>324</v>
      </c>
      <c r="D332">
        <v>0.60031290280000005</v>
      </c>
      <c r="E332" s="1">
        <v>-9.6869184833333199E-6</v>
      </c>
      <c r="F332" s="1">
        <v>-5.8263441333333298E-6</v>
      </c>
      <c r="G332" s="1">
        <v>8.4222783295165696E-8</v>
      </c>
      <c r="H332" s="1">
        <v>1.8696709280833299E-7</v>
      </c>
      <c r="I332" s="1">
        <v>2.2877312661000101E-7</v>
      </c>
      <c r="J332" s="146">
        <v>23.35</v>
      </c>
      <c r="K332">
        <v>0.2</v>
      </c>
      <c r="L332">
        <v>10</v>
      </c>
      <c r="M332" s="2">
        <f t="shared" si="220"/>
        <v>60.031290280000007</v>
      </c>
      <c r="N332" s="148">
        <f t="shared" si="221"/>
        <v>-0.32272897810962464</v>
      </c>
      <c r="O332" s="148">
        <f t="shared" si="222"/>
        <v>-0.19411024171420924</v>
      </c>
      <c r="P332" s="3"/>
      <c r="Q332" s="148">
        <f t="shared" si="223"/>
        <v>6.2289879806439168E-3</v>
      </c>
      <c r="R332" s="148">
        <f t="shared" si="224"/>
        <v>7.6217960847734427E-3</v>
      </c>
      <c r="S332" s="1">
        <f t="shared" si="225"/>
        <v>1.402981393575432E-5</v>
      </c>
      <c r="T332" s="3">
        <f t="shared" si="226"/>
        <v>3.3315958905289758E-3</v>
      </c>
      <c r="U332" s="3">
        <f t="shared" si="227"/>
        <v>3.3315958905289758E-3</v>
      </c>
      <c r="V332" s="1"/>
    </row>
    <row r="333" spans="1:22" x14ac:dyDescent="0.2">
      <c r="A333">
        <v>325</v>
      </c>
      <c r="B333" s="1"/>
      <c r="D333">
        <v>1.0006231997999999</v>
      </c>
      <c r="E333" s="1">
        <v>-1.2439064583333401E-5</v>
      </c>
      <c r="F333" s="1">
        <v>-1.0327796633333299E-5</v>
      </c>
      <c r="G333" s="1">
        <v>1.3298142002161399E-6</v>
      </c>
      <c r="H333" s="1">
        <v>2.7492861222293101E-7</v>
      </c>
      <c r="I333" s="1">
        <v>4.9511206948024098E-7</v>
      </c>
      <c r="J333" s="146">
        <v>23.33</v>
      </c>
      <c r="K333">
        <v>0.2</v>
      </c>
      <c r="L333">
        <v>10</v>
      </c>
      <c r="M333" s="2">
        <f t="shared" si="220"/>
        <v>100.06231998</v>
      </c>
      <c r="N333" s="148">
        <f t="shared" si="221"/>
        <v>-0.24862634777645903</v>
      </c>
      <c r="O333" s="148">
        <f t="shared" si="222"/>
        <v>-0.20642728722255438</v>
      </c>
      <c r="P333" s="3"/>
      <c r="Q333" s="148">
        <f t="shared" si="223"/>
        <v>5.4951476695299997E-3</v>
      </c>
      <c r="R333" s="148">
        <f t="shared" si="224"/>
        <v>9.8960741581686652E-3</v>
      </c>
      <c r="S333" s="1">
        <f t="shared" si="225"/>
        <v>1.3289859764214313E-4</v>
      </c>
      <c r="T333" s="3">
        <f t="shared" si="226"/>
        <v>1.9987543766722092E-3</v>
      </c>
      <c r="U333" s="3">
        <f t="shared" si="227"/>
        <v>1.9987543766722092E-3</v>
      </c>
      <c r="V333" s="1"/>
    </row>
    <row r="334" spans="1:22" x14ac:dyDescent="0.2">
      <c r="A334">
        <v>326</v>
      </c>
      <c r="B334" s="1"/>
      <c r="C334" s="1"/>
      <c r="D334">
        <v>1.1976655302000001</v>
      </c>
      <c r="E334" s="1">
        <v>-1.31657815000001E-5</v>
      </c>
      <c r="F334" s="1">
        <v>-1.2450804666666701E-5</v>
      </c>
      <c r="G334" s="1">
        <v>2.27315744314718E-6</v>
      </c>
      <c r="H334" s="1">
        <v>6.9788511287674296E-8</v>
      </c>
      <c r="I334" s="1">
        <v>2.24826031955572E-7</v>
      </c>
      <c r="J334" s="146">
        <v>23.42</v>
      </c>
      <c r="K334">
        <v>0.2</v>
      </c>
      <c r="L334">
        <v>10</v>
      </c>
      <c r="M334" s="2">
        <f t="shared" si="220"/>
        <v>119.76655302</v>
      </c>
      <c r="N334" s="148">
        <f t="shared" si="221"/>
        <v>-0.21985740038458859</v>
      </c>
      <c r="O334" s="148">
        <f t="shared" si="222"/>
        <v>-0.20791789281248699</v>
      </c>
      <c r="P334" s="3"/>
      <c r="Q334" s="148">
        <f t="shared" si="223"/>
        <v>1.1654090316187058E-3</v>
      </c>
      <c r="R334" s="148">
        <f t="shared" si="224"/>
        <v>3.7544043188423052E-3</v>
      </c>
      <c r="S334" s="1">
        <f t="shared" si="225"/>
        <v>1.8979902032978955E-4</v>
      </c>
      <c r="T334" s="3">
        <f t="shared" si="226"/>
        <v>1.6699153057081113E-3</v>
      </c>
      <c r="U334" s="3">
        <f t="shared" si="227"/>
        <v>1.6699153057081113E-3</v>
      </c>
      <c r="V334" s="1"/>
    </row>
    <row r="335" spans="1:22" x14ac:dyDescent="0.2">
      <c r="A335">
        <v>327</v>
      </c>
      <c r="B335" s="1"/>
      <c r="C335" s="1"/>
      <c r="D335" s="41" t="s">
        <v>500</v>
      </c>
      <c r="F335" s="1"/>
      <c r="G335" s="1"/>
      <c r="H335" s="1"/>
      <c r="I335" s="1"/>
      <c r="J335" s="1"/>
      <c r="L335" s="1"/>
      <c r="M335" s="1"/>
      <c r="N335" s="201" t="s">
        <v>496</v>
      </c>
      <c r="O335" s="149"/>
      <c r="P335" s="8"/>
      <c r="Q335" s="149"/>
      <c r="R335" s="149"/>
      <c r="S335" s="8"/>
      <c r="U335" s="26"/>
      <c r="V335" s="1"/>
    </row>
    <row r="336" spans="1:22" x14ac:dyDescent="0.2">
      <c r="A336">
        <v>328</v>
      </c>
      <c r="B336" s="1"/>
      <c r="C336" s="1"/>
      <c r="E336" s="1"/>
      <c r="F336" s="1"/>
      <c r="G336" s="1"/>
      <c r="H336" s="1"/>
      <c r="I336" s="1"/>
      <c r="L336" s="18"/>
      <c r="M336" s="18"/>
      <c r="N336" s="3"/>
      <c r="O336" s="20"/>
      <c r="P336" s="2"/>
      <c r="R336" s="20"/>
      <c r="S336" s="20"/>
      <c r="T336" s="20"/>
      <c r="U336" s="20"/>
      <c r="V336" s="1"/>
    </row>
    <row r="337" spans="1:22" x14ac:dyDescent="0.2">
      <c r="A337">
        <v>329</v>
      </c>
      <c r="B337" s="1"/>
      <c r="C337" s="1"/>
      <c r="E337" s="1"/>
      <c r="F337" s="1"/>
      <c r="G337" s="1"/>
      <c r="H337" s="1"/>
      <c r="I337" s="1"/>
      <c r="L337" s="18"/>
      <c r="M337" s="18"/>
      <c r="N337" s="3"/>
      <c r="O337" s="20"/>
      <c r="P337" s="2"/>
      <c r="R337" s="20"/>
      <c r="S337" s="20"/>
      <c r="T337" s="20"/>
      <c r="U337" s="20"/>
      <c r="V337" s="1"/>
    </row>
    <row r="338" spans="1:22" x14ac:dyDescent="0.2">
      <c r="A338">
        <v>330</v>
      </c>
      <c r="B338" s="1"/>
      <c r="C338" s="1" t="s">
        <v>513</v>
      </c>
      <c r="D338">
        <v>1.1951874168000001</v>
      </c>
      <c r="E338" s="1">
        <v>-1.31728005000001E-5</v>
      </c>
      <c r="F338" s="1">
        <v>-1.2468198500000099E-5</v>
      </c>
      <c r="G338" s="1">
        <v>1.69414983228045E-6</v>
      </c>
      <c r="H338" s="1">
        <v>2.83460314682762E-10</v>
      </c>
      <c r="I338" s="1">
        <v>1.7660968671527299E-8</v>
      </c>
      <c r="J338" s="146">
        <v>23.53</v>
      </c>
      <c r="K338">
        <v>0.2</v>
      </c>
      <c r="L338">
        <v>10</v>
      </c>
      <c r="M338" s="2">
        <f t="shared" ref="M338:M343" si="228">100*D338/(K338*5)</f>
        <v>119.51874168000001</v>
      </c>
      <c r="N338" s="148">
        <f t="shared" ref="N338:N343" si="229">1000000*E338*K338/(L338*D338)</f>
        <v>-0.22043070927351319</v>
      </c>
      <c r="O338" s="148">
        <f t="shared" ref="O338:O343" si="230">1000000*F338*K338/(D338*L338)</f>
        <v>-0.20864005635839958</v>
      </c>
      <c r="P338" s="3"/>
      <c r="Q338" s="148">
        <f t="shared" ref="Q338:Q343" si="231">1000000*K338*H338/(L338*D338)</f>
        <v>4.7433617639934643E-6</v>
      </c>
      <c r="R338" s="148">
        <f t="shared" ref="R338:R343" si="232">1000000*K338*I338/(L338*D338)</f>
        <v>2.9553471569861156E-4</v>
      </c>
      <c r="S338" s="180">
        <f t="shared" ref="S338:S343" si="233">G338*100/D338</f>
        <v>1.4174762957397711E-4</v>
      </c>
      <c r="T338" s="3">
        <f t="shared" ref="T338:T343" si="234">Comode_std*K338/(L338*D338)</f>
        <v>1.6733777246039029E-3</v>
      </c>
      <c r="U338" s="3">
        <f t="shared" ref="U338:U343" si="235">Comode_std*K338/(L338*D338)</f>
        <v>1.6733777246039029E-3</v>
      </c>
      <c r="V338" s="1"/>
    </row>
    <row r="339" spans="1:22" x14ac:dyDescent="0.2">
      <c r="A339">
        <v>331</v>
      </c>
      <c r="D339">
        <v>1.0025173140000001</v>
      </c>
      <c r="E339" s="1">
        <v>-1.2323846333333301E-5</v>
      </c>
      <c r="F339" s="1">
        <v>-1.04059811666667E-5</v>
      </c>
      <c r="G339" s="1">
        <v>1.6676929921288199E-7</v>
      </c>
      <c r="H339" s="1">
        <v>1.22885896342456E-7</v>
      </c>
      <c r="I339" s="1">
        <v>2.2440376934290499E-7</v>
      </c>
      <c r="J339" s="146">
        <v>23.75</v>
      </c>
      <c r="K339">
        <v>0.2</v>
      </c>
      <c r="L339">
        <v>10</v>
      </c>
      <c r="M339" s="2">
        <f t="shared" si="228"/>
        <v>100.25173140000001</v>
      </c>
      <c r="N339" s="148">
        <f t="shared" si="229"/>
        <v>-0.24585802481877733</v>
      </c>
      <c r="O339" s="148">
        <f t="shared" si="230"/>
        <v>-0.20759703640722754</v>
      </c>
      <c r="P339" s="3"/>
      <c r="Q339" s="148">
        <f t="shared" si="231"/>
        <v>2.4515466142354522E-3</v>
      </c>
      <c r="R339" s="148">
        <f t="shared" si="232"/>
        <v>4.4768058607894522E-3</v>
      </c>
      <c r="S339" s="1">
        <f t="shared" si="233"/>
        <v>1.6635054266292898E-5</v>
      </c>
      <c r="T339" s="3">
        <f t="shared" si="234"/>
        <v>1.9949780139158772E-3</v>
      </c>
      <c r="U339" s="3">
        <f t="shared" si="235"/>
        <v>1.9949780139158772E-3</v>
      </c>
    </row>
    <row r="340" spans="1:22" x14ac:dyDescent="0.2">
      <c r="A340">
        <v>332</v>
      </c>
      <c r="D340">
        <v>0.60017355951999996</v>
      </c>
      <c r="E340" s="1">
        <v>-9.7196892000000094E-6</v>
      </c>
      <c r="F340" s="1">
        <v>-5.9466170499999998E-6</v>
      </c>
      <c r="G340" s="1">
        <v>5.3882867993118905E-7</v>
      </c>
      <c r="H340" s="1">
        <v>2.7465599807218101E-7</v>
      </c>
      <c r="I340" s="1">
        <v>4.98417403524193E-7</v>
      </c>
      <c r="J340" s="146">
        <v>23.93</v>
      </c>
      <c r="K340">
        <v>0.2</v>
      </c>
      <c r="L340">
        <v>10</v>
      </c>
      <c r="M340" s="2">
        <f t="shared" si="228"/>
        <v>60.017355951999996</v>
      </c>
      <c r="N340" s="148">
        <f t="shared" si="229"/>
        <v>-0.3238959479579045</v>
      </c>
      <c r="O340" s="148">
        <f t="shared" si="230"/>
        <v>-0.19816324647010167</v>
      </c>
      <c r="P340" s="3"/>
      <c r="Q340" s="148">
        <f t="shared" si="231"/>
        <v>9.1525524147329073E-3</v>
      </c>
      <c r="R340" s="148">
        <f t="shared" si="232"/>
        <v>1.6609109002496264E-2</v>
      </c>
      <c r="S340" s="1">
        <f t="shared" si="233"/>
        <v>8.9778810043236054E-5</v>
      </c>
      <c r="T340" s="3">
        <f t="shared" si="234"/>
        <v>3.3323693926129265E-3</v>
      </c>
      <c r="U340" s="3">
        <f t="shared" si="235"/>
        <v>3.3323693926129265E-3</v>
      </c>
    </row>
    <row r="341" spans="1:22" x14ac:dyDescent="0.2">
      <c r="A341">
        <v>333</v>
      </c>
      <c r="D341">
        <v>0.40001035148000003</v>
      </c>
      <c r="E341" s="1">
        <v>-7.8276698999999908E-6</v>
      </c>
      <c r="F341" s="1">
        <v>-3.8009913166666602E-6</v>
      </c>
      <c r="G341" s="1">
        <v>3.4344407874662802E-7</v>
      </c>
      <c r="H341" s="1">
        <v>1.91585508318496E-7</v>
      </c>
      <c r="I341" s="1">
        <v>2.2449267614727699E-7</v>
      </c>
      <c r="J341" s="146">
        <v>24.06</v>
      </c>
      <c r="K341">
        <v>0.2</v>
      </c>
      <c r="L341">
        <v>10</v>
      </c>
      <c r="M341" s="2">
        <f t="shared" si="228"/>
        <v>40.001035148</v>
      </c>
      <c r="N341" s="148">
        <f t="shared" si="229"/>
        <v>-0.39137336676605305</v>
      </c>
      <c r="O341" s="148">
        <f t="shared" si="230"/>
        <v>-0.19004464772490792</v>
      </c>
      <c r="P341" s="3"/>
      <c r="Q341" s="148">
        <f t="shared" si="231"/>
        <v>9.5790275231452358E-3</v>
      </c>
      <c r="R341" s="148">
        <f t="shared" si="232"/>
        <v>1.122434333594996E-2</v>
      </c>
      <c r="S341" s="1">
        <f t="shared" si="233"/>
        <v>8.585879777258709E-5</v>
      </c>
      <c r="T341" s="3">
        <f t="shared" si="234"/>
        <v>4.9998706098484495E-3</v>
      </c>
      <c r="U341" s="3">
        <f t="shared" si="235"/>
        <v>4.9998706098484495E-3</v>
      </c>
    </row>
    <row r="342" spans="1:22" x14ac:dyDescent="0.2">
      <c r="A342">
        <v>334</v>
      </c>
      <c r="D342">
        <v>0.2003273817</v>
      </c>
      <c r="E342" s="1">
        <v>-4.5462147666666702E-6</v>
      </c>
      <c r="F342" s="1">
        <v>-1.77209403333335E-6</v>
      </c>
      <c r="G342" s="1">
        <v>1.5625320085674299E-7</v>
      </c>
      <c r="H342" s="1">
        <v>3.2273430792466498E-7</v>
      </c>
      <c r="I342" s="1">
        <v>2.2432144116215699E-7</v>
      </c>
      <c r="J342" s="146">
        <v>24.06</v>
      </c>
      <c r="K342">
        <v>0.2</v>
      </c>
      <c r="L342">
        <v>10</v>
      </c>
      <c r="M342" s="2">
        <f t="shared" si="228"/>
        <v>20.032738170000002</v>
      </c>
      <c r="N342" s="148">
        <f t="shared" si="229"/>
        <v>-0.45387851906084892</v>
      </c>
      <c r="O342" s="148">
        <f t="shared" si="230"/>
        <v>-0.17691980180594055</v>
      </c>
      <c r="P342" s="3"/>
      <c r="Q342" s="148">
        <f t="shared" si="231"/>
        <v>3.2220688473628162E-2</v>
      </c>
      <c r="R342" s="148">
        <f t="shared" si="232"/>
        <v>2.2395484756855578E-2</v>
      </c>
      <c r="S342" s="1">
        <f t="shared" si="233"/>
        <v>7.7998923327785385E-5</v>
      </c>
      <c r="T342" s="3">
        <f t="shared" si="234"/>
        <v>9.9836576659055893E-3</v>
      </c>
      <c r="U342" s="3">
        <f t="shared" si="235"/>
        <v>9.9836576659055893E-3</v>
      </c>
    </row>
    <row r="343" spans="1:22" x14ac:dyDescent="0.2">
      <c r="A343">
        <v>335</v>
      </c>
      <c r="D343">
        <v>0.10029546559999999</v>
      </c>
      <c r="E343" s="1">
        <v>-2.5007254499999998E-6</v>
      </c>
      <c r="F343" s="1">
        <v>-8.7053639833333401E-7</v>
      </c>
      <c r="G343" s="1">
        <v>9.4917924254610804E-8</v>
      </c>
      <c r="H343" s="1">
        <v>2.0777707023104699E-7</v>
      </c>
      <c r="I343" s="1">
        <v>1.10611990611851E-7</v>
      </c>
      <c r="J343" s="146">
        <v>24.01</v>
      </c>
      <c r="K343">
        <v>0.2</v>
      </c>
      <c r="L343">
        <v>10</v>
      </c>
      <c r="M343" s="2">
        <f t="shared" si="228"/>
        <v>10.02954656</v>
      </c>
      <c r="N343" s="148">
        <f t="shared" si="229"/>
        <v>-0.49867168670883572</v>
      </c>
      <c r="O343" s="148">
        <f t="shared" si="230"/>
        <v>-0.17359436802561373</v>
      </c>
      <c r="P343" s="3"/>
      <c r="Q343" s="148">
        <f t="shared" si="231"/>
        <v>4.1432993802472957E-2</v>
      </c>
      <c r="R343" s="148">
        <f t="shared" si="232"/>
        <v>2.2057226605437085E-2</v>
      </c>
      <c r="S343" s="1">
        <f t="shared" si="233"/>
        <v>9.46383006318192E-5</v>
      </c>
      <c r="T343" s="3">
        <f t="shared" si="234"/>
        <v>1.9941080965478867E-2</v>
      </c>
      <c r="U343" s="3">
        <f t="shared" si="235"/>
        <v>1.9941080965478867E-2</v>
      </c>
    </row>
    <row r="344" spans="1:22" x14ac:dyDescent="0.2">
      <c r="A344">
        <v>336</v>
      </c>
      <c r="E344" s="1"/>
      <c r="F344" s="1"/>
      <c r="G344" s="1"/>
      <c r="H344" s="1"/>
      <c r="I344" s="1"/>
      <c r="J344" s="1"/>
      <c r="L344" s="1"/>
      <c r="M344" s="1"/>
      <c r="N344" s="201" t="s">
        <v>496</v>
      </c>
      <c r="O344" s="149"/>
      <c r="P344" s="8"/>
      <c r="Q344" s="149"/>
      <c r="R344" s="149"/>
      <c r="S344" s="8"/>
      <c r="U344" s="26"/>
    </row>
    <row r="345" spans="1:22" x14ac:dyDescent="0.2">
      <c r="A345">
        <v>337</v>
      </c>
      <c r="L345" s="18"/>
      <c r="M345" s="18"/>
      <c r="N345" s="3"/>
      <c r="O345" s="20"/>
    </row>
    <row r="346" spans="1:22" x14ac:dyDescent="0.2">
      <c r="A346">
        <v>338</v>
      </c>
      <c r="L346" s="18"/>
      <c r="M346" s="18"/>
      <c r="N346" s="3"/>
      <c r="O346" s="20"/>
    </row>
    <row r="347" spans="1:22" x14ac:dyDescent="0.2">
      <c r="A347">
        <v>339</v>
      </c>
      <c r="B347" s="17">
        <v>41330</v>
      </c>
      <c r="C347" s="5" t="s">
        <v>128</v>
      </c>
    </row>
    <row r="348" spans="1:22" x14ac:dyDescent="0.2">
      <c r="A348">
        <v>340</v>
      </c>
      <c r="D348">
        <v>1.1986681388</v>
      </c>
      <c r="E348" s="1">
        <v>-1.48286945333333E-5</v>
      </c>
      <c r="F348" s="1">
        <v>-1.40180794166666E-6</v>
      </c>
      <c r="G348" s="1">
        <v>8.3824646989308099E-6</v>
      </c>
      <c r="H348" s="1">
        <v>1.25005331501825E-6</v>
      </c>
      <c r="I348" s="1">
        <v>1.01502513224624E-7</v>
      </c>
      <c r="K348">
        <v>0.2</v>
      </c>
      <c r="L348">
        <v>10</v>
      </c>
      <c r="M348" s="2">
        <f t="shared" ref="M348:M353" si="236">100*D348/(K348*5)</f>
        <v>119.86681388</v>
      </c>
      <c r="N348" s="202">
        <f t="shared" ref="N348:N353" si="237">1000000*E348*K348/(L348*D348)</f>
        <v>-0.24741951593338368</v>
      </c>
      <c r="O348" s="202">
        <f t="shared" ref="O348:O353" si="238">1000000*F348*K348/(D348*L348)</f>
        <v>-2.3389425251096198E-2</v>
      </c>
      <c r="P348" s="3"/>
      <c r="Q348" s="202">
        <f t="shared" ref="Q348:Q353" si="239">1000000*K348*H348/(L348*D348)</f>
        <v>2.085737118648523E-2</v>
      </c>
      <c r="R348" s="202">
        <f t="shared" ref="R348:R353" si="240">1000000*K348*I348/(L348*D348)</f>
        <v>1.6935882407993141E-3</v>
      </c>
      <c r="S348" s="1">
        <f t="shared" ref="S348:S353" si="241">G348*100/D348</f>
        <v>6.9931488354421341E-4</v>
      </c>
    </row>
    <row r="349" spans="1:22" x14ac:dyDescent="0.2">
      <c r="A349">
        <v>341</v>
      </c>
      <c r="D349">
        <v>1.0001620973800001</v>
      </c>
      <c r="E349" s="1">
        <v>-1.25289208333334E-5</v>
      </c>
      <c r="F349" s="1">
        <v>-1.3855155133333301E-6</v>
      </c>
      <c r="G349" s="1">
        <v>2.5083290245112801E-6</v>
      </c>
      <c r="H349" s="1">
        <v>2.6230982835056903E-7</v>
      </c>
      <c r="I349" s="1">
        <v>9.5310664538846704E-8</v>
      </c>
      <c r="K349">
        <v>0.2</v>
      </c>
      <c r="L349">
        <v>10</v>
      </c>
      <c r="M349" s="2">
        <f t="shared" si="236"/>
        <v>100.016209738</v>
      </c>
      <c r="N349" s="202">
        <f t="shared" si="237"/>
        <v>-0.25053780514486307</v>
      </c>
      <c r="O349" s="202">
        <f t="shared" si="238"/>
        <v>-2.770581922595932E-2</v>
      </c>
      <c r="P349" s="3"/>
      <c r="Q349" s="202">
        <f t="shared" si="239"/>
        <v>5.2453463101173169E-3</v>
      </c>
      <c r="R349" s="202">
        <f t="shared" si="240"/>
        <v>1.9059043486754829E-3</v>
      </c>
      <c r="S349" s="1">
        <f t="shared" si="241"/>
        <v>2.5079224968452984E-4</v>
      </c>
      <c r="U349" s="156">
        <f>'Data(2000)'!N252</f>
        <v>-0.4176859427558402</v>
      </c>
      <c r="V349" s="156">
        <f>'Data(2000)'!O252</f>
        <v>-0.26157386951412548</v>
      </c>
    </row>
    <row r="350" spans="1:22" x14ac:dyDescent="0.2">
      <c r="A350">
        <v>342</v>
      </c>
      <c r="D350">
        <v>0.60212391058000003</v>
      </c>
      <c r="E350" s="1">
        <v>-7.9344375000000007E-6</v>
      </c>
      <c r="F350" s="1">
        <v>-9.50516281499995E-7</v>
      </c>
      <c r="G350" s="1">
        <v>6.8883615013765802E-7</v>
      </c>
      <c r="H350" s="1">
        <v>4.8301340892437596E-7</v>
      </c>
      <c r="I350" s="1">
        <v>1.7028638313337501E-7</v>
      </c>
      <c r="K350">
        <v>0.2</v>
      </c>
      <c r="L350">
        <v>10</v>
      </c>
      <c r="M350" s="2">
        <f t="shared" si="236"/>
        <v>60.212391058000001</v>
      </c>
      <c r="N350" s="202">
        <f t="shared" si="237"/>
        <v>-0.2635483281956732</v>
      </c>
      <c r="O350" s="202">
        <f t="shared" si="238"/>
        <v>-3.1572115466545869E-2</v>
      </c>
      <c r="P350" s="3"/>
      <c r="Q350" s="202">
        <f t="shared" si="239"/>
        <v>1.6043654817132571E-2</v>
      </c>
      <c r="R350" s="202">
        <f t="shared" si="240"/>
        <v>5.6561906989989969E-3</v>
      </c>
      <c r="S350" s="1">
        <f t="shared" si="241"/>
        <v>1.1440106231193041E-4</v>
      </c>
      <c r="U350" s="156">
        <f>'Data(2000)'!N253</f>
        <v>-0.43965667918635465</v>
      </c>
      <c r="V350" s="156">
        <f>'Data(2000)'!O253</f>
        <v>-0.25632724707537013</v>
      </c>
    </row>
    <row r="351" spans="1:22" x14ac:dyDescent="0.2">
      <c r="A351">
        <v>343</v>
      </c>
      <c r="D351">
        <v>0.40058401848000003</v>
      </c>
      <c r="E351" s="1">
        <v>-5.4342710333333397E-6</v>
      </c>
      <c r="F351" s="1">
        <v>-6.3178415999999996E-7</v>
      </c>
      <c r="G351" s="1">
        <v>6.6098832722290001E-7</v>
      </c>
      <c r="H351" s="1">
        <v>2.5950798525530099E-7</v>
      </c>
      <c r="I351" s="1">
        <v>1.17948385340966E-7</v>
      </c>
      <c r="K351">
        <v>0.2</v>
      </c>
      <c r="L351">
        <v>10</v>
      </c>
      <c r="M351" s="2">
        <f t="shared" si="236"/>
        <v>40.058401848000003</v>
      </c>
      <c r="N351" s="202">
        <f t="shared" si="237"/>
        <v>-0.27131741570487328</v>
      </c>
      <c r="O351" s="202">
        <f t="shared" si="238"/>
        <v>-3.1543153538540036E-2</v>
      </c>
      <c r="P351" s="3"/>
      <c r="Q351" s="202">
        <f t="shared" si="239"/>
        <v>1.2956482200163332E-2</v>
      </c>
      <c r="R351" s="202">
        <f t="shared" si="240"/>
        <v>5.8888213158635946E-3</v>
      </c>
      <c r="S351" s="1">
        <f t="shared" si="241"/>
        <v>1.6500616518127549E-4</v>
      </c>
      <c r="U351" s="156">
        <f>'Data(2000)'!N254</f>
        <v>-0.44113215091974706</v>
      </c>
      <c r="V351" s="156">
        <f>'Data(2000)'!O254</f>
        <v>-0.26777569682882096</v>
      </c>
    </row>
    <row r="352" spans="1:22" x14ac:dyDescent="0.2">
      <c r="A352">
        <v>344</v>
      </c>
      <c r="D352">
        <v>0.20093239292000001</v>
      </c>
      <c r="E352" s="1">
        <v>-2.8182406833333399E-6</v>
      </c>
      <c r="F352" s="1">
        <v>-4.0631901833333302E-7</v>
      </c>
      <c r="G352" s="1">
        <v>4.0825594392850601E-7</v>
      </c>
      <c r="H352" s="1">
        <v>2.60751612496195E-7</v>
      </c>
      <c r="I352" s="1">
        <v>1.2632074147715401E-7</v>
      </c>
      <c r="K352">
        <v>0.2</v>
      </c>
      <c r="L352">
        <v>10</v>
      </c>
      <c r="M352" s="2">
        <f t="shared" si="236"/>
        <v>20.093239292</v>
      </c>
      <c r="N352" s="202">
        <f t="shared" si="237"/>
        <v>-0.28051631122070048</v>
      </c>
      <c r="O352" s="202">
        <f t="shared" si="238"/>
        <v>-4.0443356337781379E-2</v>
      </c>
      <c r="P352" s="3"/>
      <c r="Q352" s="202">
        <f t="shared" si="239"/>
        <v>2.5954163856497903E-2</v>
      </c>
      <c r="R352" s="202">
        <f t="shared" si="240"/>
        <v>1.2573457135649384E-2</v>
      </c>
      <c r="S352" s="1">
        <f t="shared" si="241"/>
        <v>2.0318075049802976E-4</v>
      </c>
      <c r="U352" s="156">
        <f>'Data(2000)'!N255</f>
        <v>-0.4528278632905568</v>
      </c>
      <c r="V352" s="156">
        <f>'Data(2000)'!O255</f>
        <v>-0.27015970762495123</v>
      </c>
    </row>
    <row r="353" spans="1:22" x14ac:dyDescent="0.2">
      <c r="A353">
        <v>345</v>
      </c>
      <c r="D353">
        <v>0.100474513</v>
      </c>
      <c r="E353" s="1">
        <v>-1.48916876666667E-6</v>
      </c>
      <c r="F353" s="1">
        <v>-1.6678915053333301E-7</v>
      </c>
      <c r="G353" s="1">
        <v>1.85683774598632E-7</v>
      </c>
      <c r="H353" s="1">
        <v>1.4290256955753301E-7</v>
      </c>
      <c r="I353" s="1">
        <v>2.0688175039477199E-7</v>
      </c>
      <c r="K353">
        <v>0.2</v>
      </c>
      <c r="L353">
        <v>10</v>
      </c>
      <c r="M353" s="2">
        <f t="shared" si="236"/>
        <v>10.047451300000001</v>
      </c>
      <c r="N353" s="202">
        <f t="shared" si="237"/>
        <v>-0.29642716788618223</v>
      </c>
      <c r="O353" s="202">
        <f t="shared" si="238"/>
        <v>-3.3200290412620959E-2</v>
      </c>
      <c r="P353" s="3"/>
      <c r="Q353" s="202">
        <f t="shared" si="239"/>
        <v>2.8445536144580865E-2</v>
      </c>
      <c r="R353" s="202">
        <f t="shared" si="240"/>
        <v>4.11809411596296E-2</v>
      </c>
      <c r="S353" s="1">
        <f t="shared" si="241"/>
        <v>1.8480684210794035E-4</v>
      </c>
      <c r="U353" s="156">
        <f>'Data(2000)'!N256</f>
        <v>-0.4776442726691007</v>
      </c>
      <c r="V353" s="156">
        <f>'Data(2000)'!O256</f>
        <v>-0.27476613892876045</v>
      </c>
    </row>
    <row r="354" spans="1:22" x14ac:dyDescent="0.2">
      <c r="E354" s="1"/>
      <c r="F354" s="1"/>
      <c r="G354" s="1"/>
      <c r="H354" s="1"/>
      <c r="I354" s="1"/>
      <c r="K354" s="191"/>
      <c r="L354" s="191"/>
      <c r="M354" s="191"/>
      <c r="N354" s="203" t="s">
        <v>496</v>
      </c>
      <c r="O354" s="204"/>
      <c r="P354" s="191"/>
      <c r="Q354" s="191"/>
      <c r="R354" s="191"/>
      <c r="S354" s="191"/>
      <c r="T354" s="191"/>
    </row>
    <row r="355" spans="1:22" x14ac:dyDescent="0.2">
      <c r="E355" s="1"/>
      <c r="F355" s="1"/>
      <c r="G355" s="1"/>
      <c r="H355" s="1"/>
      <c r="I355" s="1"/>
      <c r="N355" s="200" t="s">
        <v>497</v>
      </c>
    </row>
    <row r="356" spans="1:22" x14ac:dyDescent="0.2">
      <c r="E356" s="1"/>
      <c r="F356" s="1"/>
      <c r="G356" s="1"/>
      <c r="H356" s="1"/>
      <c r="I356" s="1"/>
      <c r="L356" s="18"/>
      <c r="M356" s="18"/>
      <c r="N356" s="3"/>
      <c r="O356" s="20"/>
    </row>
    <row r="358" spans="1:22" x14ac:dyDescent="0.2">
      <c r="E358" s="1"/>
      <c r="F358" s="1"/>
      <c r="G358" s="1"/>
      <c r="H358" s="1"/>
      <c r="I358" s="1"/>
      <c r="L358" s="18"/>
      <c r="M358" s="18"/>
      <c r="N358" s="3"/>
      <c r="O358" s="2"/>
    </row>
    <row r="359" spans="1:22" x14ac:dyDescent="0.2">
      <c r="E359" s="1"/>
      <c r="F359" s="1"/>
      <c r="G359" s="1"/>
      <c r="H359" s="1"/>
      <c r="I359" s="1"/>
      <c r="L359" s="18"/>
      <c r="M359" s="18"/>
      <c r="N359" s="3"/>
      <c r="O359" s="2"/>
    </row>
    <row r="360" spans="1:22" x14ac:dyDescent="0.2">
      <c r="E360" s="1"/>
      <c r="F360" s="1"/>
      <c r="G360" s="1"/>
      <c r="H360" s="1"/>
      <c r="I360" s="1"/>
      <c r="L360" s="18"/>
      <c r="M360" s="18"/>
      <c r="N360" s="3"/>
      <c r="O360" s="2"/>
    </row>
    <row r="361" spans="1:22" x14ac:dyDescent="0.2">
      <c r="E361" s="1"/>
      <c r="F361" s="1"/>
      <c r="G361" s="1"/>
      <c r="H361" s="1"/>
      <c r="I361" s="1"/>
      <c r="L361" s="18"/>
      <c r="M361" s="18"/>
      <c r="N361" s="3"/>
      <c r="O361" s="2"/>
    </row>
    <row r="362" spans="1:22" x14ac:dyDescent="0.2">
      <c r="E362" s="1"/>
      <c r="F362" s="1"/>
      <c r="G362" s="1"/>
      <c r="H362" s="1"/>
      <c r="I362" s="1"/>
      <c r="L362" s="18"/>
      <c r="M362" s="18"/>
      <c r="N362" s="3"/>
      <c r="O362" s="2"/>
    </row>
    <row r="363" spans="1:22" x14ac:dyDescent="0.2">
      <c r="E363" s="1"/>
      <c r="F363" s="1"/>
      <c r="G363" s="1"/>
      <c r="H363" s="1"/>
      <c r="I363" s="1"/>
      <c r="L363" s="18"/>
      <c r="M363" s="18"/>
      <c r="N363" s="3"/>
      <c r="O363" s="2"/>
    </row>
    <row r="364" spans="1:22" x14ac:dyDescent="0.2">
      <c r="E364" s="1"/>
      <c r="F364" s="1"/>
      <c r="G364" s="1"/>
      <c r="H364" s="1"/>
      <c r="I364" s="1"/>
      <c r="L364" s="18"/>
      <c r="M364" s="18"/>
      <c r="N364" s="3"/>
      <c r="O364" s="2"/>
    </row>
  </sheetData>
  <mergeCells count="10">
    <mergeCell ref="U145:V145"/>
    <mergeCell ref="U274:V274"/>
    <mergeCell ref="AX145:AY145"/>
    <mergeCell ref="T196:U196"/>
    <mergeCell ref="U224:V224"/>
    <mergeCell ref="N74:O74"/>
    <mergeCell ref="P74:Q74"/>
    <mergeCell ref="U74:V74"/>
    <mergeCell ref="U133:V133"/>
    <mergeCell ref="Y32:AD32"/>
  </mergeCells>
  <phoneticPr fontId="0" type="noConversion"/>
  <pageMargins left="0.75" right="0.75" top="1" bottom="1" header="0.5" footer="0.5"/>
  <pageSetup paperSize="9" scale="1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F301-B933-4BE2-88AE-D8A67A08944A}">
  <dimension ref="A1"/>
  <sheetViews>
    <sheetView topLeftCell="A4" workbookViewId="0">
      <selection activeCell="I22" sqref="I22"/>
    </sheetView>
  </sheetViews>
  <sheetFormatPr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L353"/>
  <sheetViews>
    <sheetView zoomScale="75" workbookViewId="0">
      <selection activeCell="H44" sqref="H44"/>
    </sheetView>
  </sheetViews>
  <sheetFormatPr defaultRowHeight="12.75" x14ac:dyDescent="0.2"/>
  <cols>
    <col min="2" max="2" width="9.42578125" bestFit="1" customWidth="1"/>
    <col min="3" max="3" width="25.5703125" customWidth="1"/>
    <col min="6" max="6" width="10.140625" customWidth="1"/>
    <col min="7" max="7" width="10.42578125" customWidth="1"/>
    <col min="12" max="12" width="14.42578125" bestFit="1" customWidth="1"/>
    <col min="13" max="13" width="12.140625" customWidth="1"/>
    <col min="14" max="14" width="9.42578125" customWidth="1"/>
    <col min="15" max="16" width="12.42578125" bestFit="1" customWidth="1"/>
    <col min="17" max="17" width="10.5703125" customWidth="1"/>
    <col min="19" max="19" width="9.42578125" customWidth="1"/>
    <col min="20" max="20" width="9.85546875" customWidth="1"/>
    <col min="21" max="21" width="9.42578125" customWidth="1"/>
    <col min="22" max="22" width="11.42578125" customWidth="1"/>
    <col min="23" max="23" width="12.42578125" bestFit="1" customWidth="1"/>
    <col min="24" max="24" width="10.42578125" bestFit="1" customWidth="1"/>
    <col min="25" max="25" width="11.42578125" customWidth="1"/>
    <col min="26" max="26" width="12.42578125" bestFit="1" customWidth="1"/>
    <col min="29" max="30" width="9.42578125" bestFit="1" customWidth="1"/>
    <col min="31" max="31" width="10.42578125" bestFit="1" customWidth="1"/>
  </cols>
  <sheetData>
    <row r="1" spans="1:38" x14ac:dyDescent="0.2">
      <c r="E1" s="1"/>
      <c r="F1" s="1"/>
      <c r="G1" s="1"/>
      <c r="H1" s="1"/>
      <c r="I1" s="1"/>
      <c r="J1" s="1"/>
    </row>
    <row r="2" spans="1:38" x14ac:dyDescent="0.2">
      <c r="E2" s="1"/>
      <c r="F2" s="1"/>
      <c r="G2" s="1"/>
      <c r="H2" s="1"/>
      <c r="I2" s="1"/>
      <c r="J2" s="1"/>
    </row>
    <row r="3" spans="1:38" x14ac:dyDescent="0.2">
      <c r="B3" s="5" t="s">
        <v>96</v>
      </c>
      <c r="C3" s="5"/>
      <c r="E3" s="1"/>
      <c r="F3" s="1"/>
      <c r="G3" s="1"/>
      <c r="H3" s="1"/>
      <c r="I3" s="1"/>
    </row>
    <row r="4" spans="1:38" x14ac:dyDescent="0.2">
      <c r="E4" s="1"/>
      <c r="F4" s="1"/>
      <c r="G4" s="1"/>
      <c r="H4" s="1"/>
      <c r="I4" s="1"/>
    </row>
    <row r="5" spans="1:38" x14ac:dyDescent="0.2">
      <c r="E5" s="1"/>
      <c r="F5" s="1"/>
      <c r="G5" s="1"/>
      <c r="H5" s="1"/>
      <c r="I5" s="1"/>
      <c r="J5" s="1"/>
    </row>
    <row r="6" spans="1:38" x14ac:dyDescent="0.2">
      <c r="E6" s="1"/>
      <c r="F6" s="1"/>
      <c r="G6" s="1"/>
      <c r="H6" s="1"/>
      <c r="I6" s="1"/>
      <c r="J6" s="1"/>
    </row>
    <row r="7" spans="1:38" x14ac:dyDescent="0.2">
      <c r="A7" s="5" t="s">
        <v>35</v>
      </c>
      <c r="B7" s="5" t="s">
        <v>34</v>
      </c>
      <c r="C7" s="5" t="s">
        <v>42</v>
      </c>
      <c r="D7" s="13" t="s">
        <v>2</v>
      </c>
      <c r="E7" s="14" t="s">
        <v>5</v>
      </c>
      <c r="F7" s="14" t="s">
        <v>6</v>
      </c>
      <c r="G7" s="14" t="s">
        <v>8</v>
      </c>
      <c r="H7" s="14" t="s">
        <v>10</v>
      </c>
      <c r="I7" s="14" t="s">
        <v>11</v>
      </c>
      <c r="J7" s="1"/>
      <c r="Q7" s="5" t="s">
        <v>15</v>
      </c>
      <c r="R7" s="5" t="s">
        <v>15</v>
      </c>
      <c r="S7" s="5" t="s">
        <v>15</v>
      </c>
      <c r="T7" s="5" t="s">
        <v>358</v>
      </c>
      <c r="U7" s="5" t="s">
        <v>358</v>
      </c>
    </row>
    <row r="8" spans="1:38" x14ac:dyDescent="0.2">
      <c r="D8" s="13" t="s">
        <v>7</v>
      </c>
      <c r="E8" s="14" t="s">
        <v>12</v>
      </c>
      <c r="F8" s="14" t="s">
        <v>12</v>
      </c>
      <c r="G8" s="14" t="s">
        <v>9</v>
      </c>
      <c r="H8" s="14" t="s">
        <v>12</v>
      </c>
      <c r="I8" s="14" t="s">
        <v>12</v>
      </c>
      <c r="J8" s="1"/>
      <c r="K8" s="5" t="s">
        <v>2</v>
      </c>
      <c r="L8" s="5" t="s">
        <v>3</v>
      </c>
      <c r="M8" s="5" t="s">
        <v>4</v>
      </c>
      <c r="N8" s="5" t="s">
        <v>0</v>
      </c>
      <c r="O8" s="5" t="s">
        <v>1</v>
      </c>
      <c r="Q8" s="5" t="s">
        <v>5</v>
      </c>
      <c r="R8" s="5" t="s">
        <v>6</v>
      </c>
      <c r="S8" s="5" t="s">
        <v>14</v>
      </c>
      <c r="T8" s="5" t="s">
        <v>5</v>
      </c>
      <c r="U8" s="5" t="s">
        <v>6</v>
      </c>
      <c r="AG8" s="3"/>
      <c r="AL8" s="3"/>
    </row>
    <row r="9" spans="1:38" x14ac:dyDescent="0.2">
      <c r="A9">
        <v>1</v>
      </c>
      <c r="B9" s="4">
        <v>41257</v>
      </c>
      <c r="C9" s="5" t="s">
        <v>13</v>
      </c>
      <c r="D9" s="1">
        <v>1.1998800000000001</v>
      </c>
      <c r="E9" s="1">
        <v>4.6529446E-6</v>
      </c>
      <c r="F9" s="1">
        <v>1.6551193333333301E-6</v>
      </c>
      <c r="G9" s="1">
        <v>4.89897948556636E+35</v>
      </c>
      <c r="H9" s="1">
        <v>2.7240988476712798E-7</v>
      </c>
      <c r="I9" s="1">
        <v>3.9759883109597903E-8</v>
      </c>
      <c r="J9" s="1"/>
      <c r="K9">
        <v>0.2</v>
      </c>
      <c r="L9">
        <v>1</v>
      </c>
      <c r="M9" s="2">
        <f t="shared" ref="M9:M14" si="0">100*D9/(K9*5)</f>
        <v>119.988</v>
      </c>
      <c r="N9" s="3">
        <f t="shared" ref="N9:N14" si="1">1000000*E9*K9/(L9*D9)</f>
        <v>0.7755683234990165</v>
      </c>
      <c r="O9" s="3">
        <f t="shared" ref="O9:O14" si="2">1000000*F9*K9/(D9*L9)</f>
        <v>0.27588081030325201</v>
      </c>
      <c r="P9" s="3"/>
      <c r="Q9" s="3">
        <f t="shared" ref="Q9:Q14" si="3">1000000*K9*H9/(L9*D9)</f>
        <v>4.5406188079995996E-2</v>
      </c>
      <c r="R9" s="3">
        <f t="shared" ref="R9:R14" si="4">1000000*K9*I9/(L9*D9)</f>
        <v>6.6273099159245763E-3</v>
      </c>
      <c r="S9" s="1">
        <f t="shared" ref="S9:S14" si="5">G9*100/D9</f>
        <v>4.0828911937580093E+37</v>
      </c>
      <c r="T9" s="3">
        <f t="shared" ref="T9:T14" si="6">Comode_std*K9/(L9*D9)</f>
        <v>1.6668333500016671E-2</v>
      </c>
      <c r="U9" s="3">
        <f t="shared" ref="U9:U14" si="7">Comode_std*K9/(L9*D9)</f>
        <v>1.6668333500016671E-2</v>
      </c>
      <c r="Z9" s="2"/>
      <c r="AA9" s="3"/>
      <c r="AB9" s="3"/>
      <c r="AC9" s="18"/>
      <c r="AD9" s="21"/>
      <c r="AE9" s="18"/>
      <c r="AG9" s="3"/>
      <c r="AH9" s="18"/>
      <c r="AI9" s="21"/>
      <c r="AJ9" s="18"/>
      <c r="AL9" s="3"/>
    </row>
    <row r="10" spans="1:38" x14ac:dyDescent="0.2">
      <c r="A10">
        <v>2</v>
      </c>
      <c r="D10">
        <v>1.0017152144000001</v>
      </c>
      <c r="E10" s="1">
        <v>4.4586217000000003E-6</v>
      </c>
      <c r="F10" s="1">
        <v>1.5140614E-6</v>
      </c>
      <c r="G10" s="1">
        <v>1.1517353075361899E-5</v>
      </c>
      <c r="H10" s="1">
        <v>1.83201787417066E-6</v>
      </c>
      <c r="I10" s="1">
        <v>2.9988558218211598E-7</v>
      </c>
      <c r="J10" s="1"/>
      <c r="K10">
        <v>0.2</v>
      </c>
      <c r="L10">
        <v>1</v>
      </c>
      <c r="M10" s="2">
        <f t="shared" si="0"/>
        <v>100.17152144000001</v>
      </c>
      <c r="N10" s="36">
        <f t="shared" si="1"/>
        <v>0.89019746049691229</v>
      </c>
      <c r="O10" s="3">
        <f t="shared" si="2"/>
        <v>0.30229378135319251</v>
      </c>
      <c r="P10" s="25" t="s">
        <v>420</v>
      </c>
      <c r="Q10" s="36">
        <f t="shared" si="3"/>
        <v>0.36577619024544583</v>
      </c>
      <c r="R10" s="3">
        <f t="shared" si="4"/>
        <v>5.9874418970812818E-2</v>
      </c>
      <c r="S10" s="1">
        <f t="shared" si="5"/>
        <v>1.1497632171096131E-3</v>
      </c>
      <c r="T10" s="3">
        <f t="shared" si="6"/>
        <v>1.996575445045971E-2</v>
      </c>
      <c r="U10" s="3">
        <f t="shared" si="7"/>
        <v>1.996575445045971E-2</v>
      </c>
      <c r="Z10" s="2"/>
      <c r="AA10" s="3"/>
      <c r="AB10" s="3"/>
      <c r="AC10" s="18"/>
      <c r="AD10" s="21"/>
      <c r="AE10" s="18"/>
      <c r="AG10" s="3"/>
      <c r="AH10" s="18"/>
      <c r="AI10" s="21"/>
      <c r="AJ10" s="18"/>
      <c r="AL10" s="3"/>
    </row>
    <row r="11" spans="1:38" x14ac:dyDescent="0.2">
      <c r="A11">
        <v>3</v>
      </c>
      <c r="D11">
        <v>0.60003907268000001</v>
      </c>
      <c r="E11" s="1">
        <v>1.2409972666666701E-6</v>
      </c>
      <c r="F11" s="1">
        <v>6.1406711500000001E-7</v>
      </c>
      <c r="G11" s="1">
        <v>2.4836750288175101E-7</v>
      </c>
      <c r="H11" s="1">
        <v>2.34532469577716E-8</v>
      </c>
      <c r="I11" s="1">
        <v>2.6849829084094901E-8</v>
      </c>
      <c r="J11" s="1"/>
      <c r="K11">
        <v>0.2</v>
      </c>
      <c r="L11">
        <v>1</v>
      </c>
      <c r="M11" s="2">
        <f t="shared" si="0"/>
        <v>60.003907267999999</v>
      </c>
      <c r="N11" s="3">
        <f t="shared" si="1"/>
        <v>0.41363881892687748</v>
      </c>
      <c r="O11" s="3">
        <f t="shared" si="2"/>
        <v>0.20467570961915713</v>
      </c>
      <c r="P11" s="3"/>
      <c r="Q11" s="3">
        <f t="shared" si="3"/>
        <v>7.8172399184008416E-3</v>
      </c>
      <c r="R11" s="3">
        <f t="shared" si="4"/>
        <v>8.9493602355504871E-3</v>
      </c>
      <c r="S11" s="1">
        <f t="shared" si="5"/>
        <v>4.1391888326946511E-5</v>
      </c>
      <c r="T11" s="3">
        <f t="shared" si="6"/>
        <v>3.3331162770238426E-2</v>
      </c>
      <c r="U11" s="3">
        <f t="shared" si="7"/>
        <v>3.3331162770238426E-2</v>
      </c>
      <c r="Z11" s="2"/>
      <c r="AA11" s="3"/>
      <c r="AB11" s="3"/>
      <c r="AC11" s="18"/>
      <c r="AD11" s="21"/>
      <c r="AE11" s="18"/>
      <c r="AG11" s="3"/>
      <c r="AH11" s="18"/>
      <c r="AI11" s="21"/>
      <c r="AJ11" s="18"/>
      <c r="AL11" s="3"/>
    </row>
    <row r="12" spans="1:38" x14ac:dyDescent="0.2">
      <c r="A12">
        <v>4</v>
      </c>
      <c r="D12">
        <v>0.39996599642000003</v>
      </c>
      <c r="E12" s="1">
        <v>9.5780039166666702E-7</v>
      </c>
      <c r="F12" s="1">
        <v>3.7826645166666702E-7</v>
      </c>
      <c r="G12" s="1">
        <v>1.15783319452209E-7</v>
      </c>
      <c r="H12" s="1">
        <v>2.8243880446831899E-8</v>
      </c>
      <c r="I12" s="1">
        <v>2.70140598349143E-8</v>
      </c>
      <c r="J12" s="1"/>
      <c r="K12">
        <v>0.2</v>
      </c>
      <c r="L12">
        <v>1</v>
      </c>
      <c r="M12" s="2">
        <f t="shared" si="0"/>
        <v>39.996599642</v>
      </c>
      <c r="N12" s="3">
        <f t="shared" si="1"/>
        <v>0.4789409100972129</v>
      </c>
      <c r="O12" s="3">
        <f t="shared" si="2"/>
        <v>0.18914930521716322</v>
      </c>
      <c r="P12" s="3"/>
      <c r="Q12" s="3">
        <f t="shared" si="3"/>
        <v>1.4123140816787486E-2</v>
      </c>
      <c r="R12" s="3">
        <f t="shared" si="4"/>
        <v>1.3508178233505192E-2</v>
      </c>
      <c r="S12" s="1">
        <f t="shared" si="5"/>
        <v>2.8948290726851232E-5</v>
      </c>
      <c r="T12" s="3">
        <f t="shared" si="6"/>
        <v>5.0004250808856801E-2</v>
      </c>
      <c r="U12" s="3">
        <f t="shared" si="7"/>
        <v>5.0004250808856801E-2</v>
      </c>
      <c r="Z12" s="2"/>
      <c r="AA12" s="3"/>
      <c r="AB12" s="3"/>
      <c r="AC12" s="18"/>
      <c r="AD12" s="21"/>
      <c r="AE12" s="18"/>
      <c r="AG12" s="3"/>
      <c r="AH12" s="18"/>
      <c r="AI12" s="21"/>
      <c r="AJ12" s="18"/>
      <c r="AL12" s="3"/>
    </row>
    <row r="13" spans="1:38" x14ac:dyDescent="0.2">
      <c r="A13">
        <v>5</v>
      </c>
      <c r="D13">
        <v>0.20000281278000001</v>
      </c>
      <c r="E13" s="1">
        <v>5.5430435000000004E-7</v>
      </c>
      <c r="F13" s="1">
        <v>1.8504352800000001E-7</v>
      </c>
      <c r="G13" s="1">
        <v>2.2282689203980402E-8</v>
      </c>
      <c r="H13" s="1">
        <v>2.1313428349771301E-8</v>
      </c>
      <c r="I13" s="1">
        <v>2.5559462641198401E-8</v>
      </c>
      <c r="J13" s="1"/>
      <c r="K13">
        <v>0.2</v>
      </c>
      <c r="L13">
        <v>1</v>
      </c>
      <c r="M13" s="2">
        <f t="shared" si="0"/>
        <v>20.000281278000003</v>
      </c>
      <c r="N13" s="3">
        <f t="shared" si="1"/>
        <v>0.55429655442868819</v>
      </c>
      <c r="O13" s="3">
        <f t="shared" si="2"/>
        <v>0.18504092560292643</v>
      </c>
      <c r="P13" s="3"/>
      <c r="Q13" s="3">
        <f t="shared" si="3"/>
        <v>2.1313128604061923E-2</v>
      </c>
      <c r="R13" s="3">
        <f t="shared" si="4"/>
        <v>2.555910318052718E-2</v>
      </c>
      <c r="S13" s="1">
        <f t="shared" si="5"/>
        <v>1.1141187913437503E-5</v>
      </c>
      <c r="T13" s="3">
        <f t="shared" si="6"/>
        <v>9.9998593629779059E-2</v>
      </c>
      <c r="U13" s="3">
        <f t="shared" si="7"/>
        <v>9.9998593629779059E-2</v>
      </c>
      <c r="Z13" s="2"/>
      <c r="AA13" s="3"/>
      <c r="AB13" s="3"/>
      <c r="AC13" s="18"/>
      <c r="AD13" s="21"/>
      <c r="AE13" s="18"/>
      <c r="AG13" s="3"/>
      <c r="AH13" s="18"/>
      <c r="AI13" s="21"/>
      <c r="AJ13" s="18"/>
      <c r="AL13" s="3"/>
    </row>
    <row r="14" spans="1:38" x14ac:dyDescent="0.2">
      <c r="A14">
        <v>6</v>
      </c>
      <c r="D14">
        <v>0.1000304385</v>
      </c>
      <c r="E14" s="1">
        <v>3.0299144333333302E-7</v>
      </c>
      <c r="F14" s="1">
        <v>7.5544124500000006E-8</v>
      </c>
      <c r="G14" s="1">
        <v>3.22423654901384E-8</v>
      </c>
      <c r="H14" s="1">
        <v>2.09035813662824E-8</v>
      </c>
      <c r="I14" s="1">
        <v>2.4102866952591299E-8</v>
      </c>
      <c r="J14" s="1"/>
      <c r="K14">
        <v>0.2</v>
      </c>
      <c r="L14">
        <v>1</v>
      </c>
      <c r="M14" s="2">
        <f t="shared" si="0"/>
        <v>10.003043849999999</v>
      </c>
      <c r="N14" s="3">
        <f t="shared" si="1"/>
        <v>0.60579849069307645</v>
      </c>
      <c r="O14" s="3">
        <f t="shared" si="2"/>
        <v>0.15104227399742931</v>
      </c>
      <c r="P14" s="3"/>
      <c r="Q14" s="3">
        <f t="shared" si="3"/>
        <v>4.1794441131600961E-2</v>
      </c>
      <c r="R14" s="3">
        <f t="shared" si="4"/>
        <v>4.8191065267781066E-2</v>
      </c>
      <c r="S14" s="1">
        <f t="shared" si="5"/>
        <v>3.2232554384072204E-5</v>
      </c>
      <c r="T14" s="3">
        <f t="shared" si="6"/>
        <v>0.19993914152440714</v>
      </c>
      <c r="U14" s="3">
        <f t="shared" si="7"/>
        <v>0.19993914152440714</v>
      </c>
      <c r="Z14" s="2"/>
      <c r="AA14" s="3"/>
      <c r="AB14" s="3"/>
      <c r="AC14" s="18"/>
      <c r="AD14" s="21"/>
      <c r="AE14" s="18"/>
      <c r="AG14" s="3"/>
      <c r="AH14" s="18"/>
      <c r="AI14" s="21"/>
      <c r="AJ14" s="18"/>
      <c r="AL14" s="3"/>
    </row>
    <row r="15" spans="1:38" x14ac:dyDescent="0.2">
      <c r="A15">
        <v>7</v>
      </c>
      <c r="F15" s="1"/>
      <c r="G15" s="1"/>
      <c r="H15" s="1"/>
      <c r="I15" s="1"/>
      <c r="J15" s="1"/>
      <c r="L15" s="1"/>
      <c r="M15" s="1"/>
      <c r="U15" s="26"/>
      <c r="V15" s="26"/>
      <c r="AG15" s="21"/>
      <c r="AL15" s="21"/>
    </row>
    <row r="16" spans="1:38" x14ac:dyDescent="0.2">
      <c r="A16">
        <v>8</v>
      </c>
      <c r="F16" s="1"/>
      <c r="G16" s="1"/>
      <c r="H16" s="1"/>
      <c r="I16" s="1"/>
      <c r="J16" s="1"/>
      <c r="L16" s="1"/>
      <c r="M16" s="1"/>
    </row>
    <row r="17" spans="1:30" x14ac:dyDescent="0.2">
      <c r="A17">
        <v>9</v>
      </c>
      <c r="B17" s="4">
        <v>41260</v>
      </c>
      <c r="C17" s="4" t="s">
        <v>64</v>
      </c>
      <c r="D17">
        <v>1.1963085711999999</v>
      </c>
      <c r="E17" s="1">
        <v>1.2927532E-6</v>
      </c>
      <c r="F17" s="1">
        <v>1.89352868333333E-6</v>
      </c>
      <c r="G17" s="1">
        <v>1.87797555324205E-6</v>
      </c>
      <c r="H17" s="1">
        <v>4.7043880655121701E-8</v>
      </c>
      <c r="I17" s="1">
        <v>1.7713199432936901E-7</v>
      </c>
      <c r="K17">
        <v>0.2</v>
      </c>
      <c r="L17">
        <v>1</v>
      </c>
      <c r="M17" s="2">
        <f t="shared" ref="M17:M23" si="8">100*D17/(K17*5)</f>
        <v>119.63085711999999</v>
      </c>
      <c r="N17" s="3">
        <f t="shared" ref="N17:N23" si="9">1000000*E17*K17/(L17*D17)</f>
        <v>0.2161237043889534</v>
      </c>
      <c r="O17" s="3">
        <f t="shared" ref="O17:O23" si="10">1000000*F17*K17/(D17*L17)</f>
        <v>0.31656191870864198</v>
      </c>
      <c r="Q17" s="3">
        <f t="shared" ref="Q17:Q23" si="11">1000000*K17*H17/(L17*D17)</f>
        <v>7.8648405248710473E-3</v>
      </c>
      <c r="R17" s="3">
        <f t="shared" ref="R17:R23" si="12">1000000*K17*I17/(L17*D17)</f>
        <v>2.9613094580053113E-2</v>
      </c>
      <c r="S17" s="1">
        <f t="shared" ref="S17:S23" si="13">G17*100/D17</f>
        <v>1.5698086584452705E-4</v>
      </c>
      <c r="T17" s="3">
        <f t="shared" ref="T17:T23" si="14">Comode_std*K17/(L17*D17)</f>
        <v>1.6718094713589062E-2</v>
      </c>
      <c r="U17" s="3">
        <f t="shared" ref="U17:U23" si="15">Comode_std*K17/(L17*D17)</f>
        <v>1.6718094713589062E-2</v>
      </c>
      <c r="X17" s="3"/>
    </row>
    <row r="18" spans="1:30" x14ac:dyDescent="0.2">
      <c r="A18">
        <v>10</v>
      </c>
      <c r="D18">
        <v>1.0003313188</v>
      </c>
      <c r="E18" s="1">
        <v>1.0094798003333299E-6</v>
      </c>
      <c r="F18" s="1">
        <v>1.32936227766667E-6</v>
      </c>
      <c r="G18" s="1">
        <v>6.7934271881320704E-8</v>
      </c>
      <c r="H18" s="1">
        <v>4.4286909964948698E-7</v>
      </c>
      <c r="I18" s="1">
        <v>7.7215063300010795E-7</v>
      </c>
      <c r="J18" s="1"/>
      <c r="K18">
        <v>0.2</v>
      </c>
      <c r="L18">
        <v>1</v>
      </c>
      <c r="M18" s="2">
        <f t="shared" si="8"/>
        <v>100.03313188</v>
      </c>
      <c r="N18" s="3">
        <f t="shared" si="9"/>
        <v>0.20182909029466448</v>
      </c>
      <c r="O18" s="3">
        <f t="shared" si="10"/>
        <v>0.26578439616613747</v>
      </c>
      <c r="Q18" s="3">
        <f t="shared" si="11"/>
        <v>8.8544483477884878E-2</v>
      </c>
      <c r="R18" s="3">
        <f t="shared" si="12"/>
        <v>0.15437897794230451</v>
      </c>
      <c r="S18" s="1">
        <f t="shared" si="13"/>
        <v>6.7911771434703083E-6</v>
      </c>
      <c r="T18" s="3">
        <f t="shared" si="14"/>
        <v>1.9993375818715797E-2</v>
      </c>
      <c r="U18" s="3">
        <f t="shared" si="15"/>
        <v>1.9993375818715797E-2</v>
      </c>
      <c r="X18" s="3"/>
    </row>
    <row r="19" spans="1:30" x14ac:dyDescent="0.2">
      <c r="A19">
        <v>11</v>
      </c>
      <c r="D19">
        <v>0.60031350423999996</v>
      </c>
      <c r="E19" s="1">
        <v>6.2855305000000101E-7</v>
      </c>
      <c r="F19" s="1">
        <v>1.22761543333333E-6</v>
      </c>
      <c r="G19" s="1">
        <v>5.6476257467513497E-7</v>
      </c>
      <c r="H19" s="1">
        <v>4.6668138110108601E-8</v>
      </c>
      <c r="I19" s="1">
        <v>3.0051275416287299E-8</v>
      </c>
      <c r="J19" s="1"/>
      <c r="K19">
        <v>0.2</v>
      </c>
      <c r="L19">
        <v>1</v>
      </c>
      <c r="M19" s="2">
        <f t="shared" si="8"/>
        <v>60.031350423999996</v>
      </c>
      <c r="N19" s="3">
        <f t="shared" si="9"/>
        <v>0.20940826603451226</v>
      </c>
      <c r="O19" s="3">
        <f t="shared" si="10"/>
        <v>0.40899144352499534</v>
      </c>
      <c r="Q19" s="3">
        <f t="shared" si="11"/>
        <v>1.5547922137514032E-2</v>
      </c>
      <c r="R19" s="3">
        <f t="shared" si="12"/>
        <v>1.001186053754775E-2</v>
      </c>
      <c r="S19" s="1">
        <f t="shared" si="13"/>
        <v>9.4077939391039905E-5</v>
      </c>
      <c r="T19" s="3">
        <f t="shared" si="14"/>
        <v>3.3315925526813041E-2</v>
      </c>
      <c r="U19" s="3">
        <f t="shared" si="15"/>
        <v>3.3315925526813041E-2</v>
      </c>
      <c r="X19" s="3"/>
    </row>
    <row r="20" spans="1:30" x14ac:dyDescent="0.2">
      <c r="A20">
        <v>12</v>
      </c>
      <c r="D20">
        <v>0.40026137004000001</v>
      </c>
      <c r="E20" s="1">
        <v>3.7841197166666698E-7</v>
      </c>
      <c r="F20" s="1">
        <v>9.5565904166666595E-7</v>
      </c>
      <c r="G20" s="1">
        <v>3.45376124847375E-7</v>
      </c>
      <c r="H20" s="1">
        <v>2.7246409466463601E-8</v>
      </c>
      <c r="I20" s="1">
        <v>2.6181151727084099E-8</v>
      </c>
      <c r="J20" s="1"/>
      <c r="K20">
        <v>0.2</v>
      </c>
      <c r="L20">
        <v>1</v>
      </c>
      <c r="M20" s="2">
        <f>100*D20/(K20*5)</f>
        <v>40.026137003999999</v>
      </c>
      <c r="N20" s="3">
        <f>1000000*E20*K20/(L20*D20)</f>
        <v>0.18908243462458069</v>
      </c>
      <c r="O20" s="3">
        <f>1000000*F20*K20/(D20*L20)</f>
        <v>0.47751749891385348</v>
      </c>
      <c r="Q20" s="3">
        <f>1000000*K20*H20/(L20*D20)</f>
        <v>1.3614308802141331E-2</v>
      </c>
      <c r="R20" s="3">
        <f>1000000*K20*I20/(L20*D20)</f>
        <v>1.3082027738258974E-2</v>
      </c>
      <c r="S20" s="1">
        <f t="shared" si="13"/>
        <v>8.6287648696365554E-5</v>
      </c>
      <c r="T20" s="3">
        <f t="shared" si="14"/>
        <v>4.9967350079277724E-2</v>
      </c>
      <c r="U20" s="3">
        <f t="shared" si="15"/>
        <v>4.9967350079277724E-2</v>
      </c>
      <c r="X20" s="3"/>
    </row>
    <row r="21" spans="1:30" x14ac:dyDescent="0.2">
      <c r="A21">
        <v>13</v>
      </c>
      <c r="D21">
        <v>0.20011362004</v>
      </c>
      <c r="E21" s="1">
        <v>1.6708679083333301E-7</v>
      </c>
      <c r="F21" s="1">
        <v>5.4165626999999504E-7</v>
      </c>
      <c r="G21" s="1">
        <v>1.42065118278349E-7</v>
      </c>
      <c r="H21" s="1">
        <v>2.6711159116358701E-8</v>
      </c>
      <c r="I21" s="1">
        <v>1.0149183132175399E-8</v>
      </c>
      <c r="J21" s="1"/>
      <c r="K21">
        <v>0.2</v>
      </c>
      <c r="L21">
        <v>1</v>
      </c>
      <c r="M21" s="2">
        <f t="shared" si="8"/>
        <v>20.011362003999999</v>
      </c>
      <c r="N21" s="3">
        <f t="shared" si="9"/>
        <v>0.16699192268865518</v>
      </c>
      <c r="O21" s="3">
        <f t="shared" si="10"/>
        <v>0.54134872967839509</v>
      </c>
      <c r="Q21" s="3">
        <f t="shared" si="11"/>
        <v>2.6695993117329547E-2</v>
      </c>
      <c r="R21" s="3">
        <f t="shared" si="12"/>
        <v>1.0143420652873818E-2</v>
      </c>
      <c r="S21" s="1">
        <f t="shared" si="13"/>
        <v>7.0992228439999299E-5</v>
      </c>
      <c r="T21" s="3">
        <f t="shared" si="14"/>
        <v>9.9943222235459414E-2</v>
      </c>
      <c r="U21" s="3">
        <f t="shared" si="15"/>
        <v>9.9943222235459414E-2</v>
      </c>
      <c r="X21" s="3"/>
    </row>
    <row r="22" spans="1:30" x14ac:dyDescent="0.2">
      <c r="A22">
        <v>14</v>
      </c>
      <c r="D22">
        <v>0.10027123058</v>
      </c>
      <c r="E22" s="1">
        <v>8.5915458499999994E-8</v>
      </c>
      <c r="F22" s="1">
        <v>2.9915189833333402E-7</v>
      </c>
      <c r="G22" s="1">
        <v>7.03050228515834E-8</v>
      </c>
      <c r="H22" s="1">
        <v>2.1992988755791299E-8</v>
      </c>
      <c r="I22" s="1">
        <v>3.1472721810820999E-8</v>
      </c>
      <c r="J22" s="1"/>
      <c r="K22">
        <v>0.2</v>
      </c>
      <c r="L22">
        <v>1</v>
      </c>
      <c r="M22" s="2">
        <f t="shared" si="8"/>
        <v>10.027123057999999</v>
      </c>
      <c r="N22" s="3">
        <f t="shared" si="9"/>
        <v>0.17136611967966936</v>
      </c>
      <c r="O22" s="3">
        <f t="shared" si="10"/>
        <v>0.59668540338628806</v>
      </c>
      <c r="Q22" s="3">
        <f t="shared" si="11"/>
        <v>4.3866996801728689E-2</v>
      </c>
      <c r="R22" s="3">
        <f t="shared" si="12"/>
        <v>6.2775178141871765E-2</v>
      </c>
      <c r="S22" s="1">
        <f t="shared" si="13"/>
        <v>7.0114849937431972E-5</v>
      </c>
      <c r="T22" s="3">
        <f t="shared" si="14"/>
        <v>0.19945900618067397</v>
      </c>
      <c r="U22" s="3">
        <f t="shared" si="15"/>
        <v>0.19945900618067397</v>
      </c>
      <c r="X22" s="3"/>
    </row>
    <row r="23" spans="1:30" x14ac:dyDescent="0.2">
      <c r="A23">
        <v>15</v>
      </c>
      <c r="D23">
        <v>1.1955853063999999</v>
      </c>
      <c r="E23" s="1">
        <v>1.2465681841666701E-6</v>
      </c>
      <c r="F23" s="1">
        <v>1.6363296333333301E-6</v>
      </c>
      <c r="G23" s="1">
        <v>2.76002917915391E-6</v>
      </c>
      <c r="H23" s="1">
        <v>5.3960238884013801E-8</v>
      </c>
      <c r="I23" s="1">
        <v>2.5867384119753799E-8</v>
      </c>
      <c r="J23" s="1"/>
      <c r="K23">
        <v>0.2</v>
      </c>
      <c r="L23">
        <v>1</v>
      </c>
      <c r="M23" s="2">
        <f t="shared" si="8"/>
        <v>119.55853063999999</v>
      </c>
      <c r="N23" s="3">
        <f t="shared" si="9"/>
        <v>0.20852852197057917</v>
      </c>
      <c r="O23" s="3">
        <f t="shared" si="10"/>
        <v>0.27372862891071248</v>
      </c>
      <c r="Q23" s="3">
        <f t="shared" si="11"/>
        <v>9.0265811389891142E-3</v>
      </c>
      <c r="R23" s="3">
        <f t="shared" si="12"/>
        <v>4.3271498873873751E-3</v>
      </c>
      <c r="S23" s="1">
        <f t="shared" si="13"/>
        <v>2.3085171458526636E-4</v>
      </c>
      <c r="T23" s="3">
        <f t="shared" si="14"/>
        <v>1.6728208261626729E-2</v>
      </c>
      <c r="U23" s="3">
        <f t="shared" si="15"/>
        <v>1.6728208261626729E-2</v>
      </c>
      <c r="X23" s="3"/>
    </row>
    <row r="24" spans="1:30" x14ac:dyDescent="0.2">
      <c r="A24">
        <v>16</v>
      </c>
    </row>
    <row r="25" spans="1:30" x14ac:dyDescent="0.2">
      <c r="A25">
        <v>17</v>
      </c>
    </row>
    <row r="26" spans="1:30" x14ac:dyDescent="0.2">
      <c r="A26">
        <v>18</v>
      </c>
      <c r="B26" s="4">
        <v>41260</v>
      </c>
      <c r="C26" t="s">
        <v>421</v>
      </c>
      <c r="D26">
        <v>1.1994572024000001</v>
      </c>
      <c r="E26" s="1">
        <v>-1.6496618833333301E-6</v>
      </c>
      <c r="F26" s="1">
        <v>-1.5415309E-6</v>
      </c>
      <c r="G26" s="1">
        <v>1.9896400369366202E-6</v>
      </c>
      <c r="H26" s="1">
        <v>1.3520273412775201E-7</v>
      </c>
      <c r="I26" s="1">
        <v>3.7555136863772202E-8</v>
      </c>
      <c r="J26" s="7"/>
      <c r="K26" s="8">
        <v>0.2</v>
      </c>
      <c r="L26">
        <v>1</v>
      </c>
      <c r="M26" s="135">
        <f t="shared" ref="M26:M31" si="16">100*D26/(K26*5)</f>
        <v>119.94572024000001</v>
      </c>
      <c r="N26" s="25">
        <f t="shared" ref="N26:N31" si="17">1000000*E26*K26/(L26*D26)</f>
        <v>-0.27506806912868809</v>
      </c>
      <c r="O26" s="25">
        <f t="shared" ref="O26:O31" si="18">1000000*F26*K26/(D26*L26)</f>
        <v>-0.25703808304548809</v>
      </c>
      <c r="P26" s="8"/>
      <c r="Q26" s="25">
        <f t="shared" ref="Q26:Q31" si="19">1000000*K26*H26/(L26*D26)</f>
        <v>2.2543986372706614E-2</v>
      </c>
      <c r="R26" s="25">
        <f t="shared" ref="R26:R31" si="20">1000000*K26*I26/(L26*D26)</f>
        <v>6.262021986049679E-3</v>
      </c>
      <c r="S26" s="24">
        <f t="shared" ref="S26:S31" si="21">G26*100/D26</f>
        <v>1.6587836839493224E-4</v>
      </c>
    </row>
    <row r="27" spans="1:30" x14ac:dyDescent="0.2">
      <c r="A27">
        <v>19</v>
      </c>
      <c r="B27" s="7"/>
      <c r="C27" t="s">
        <v>422</v>
      </c>
      <c r="D27">
        <v>1.0004860311999999</v>
      </c>
      <c r="E27" s="1">
        <v>-1.50313563333333E-6</v>
      </c>
      <c r="F27" s="1">
        <v>-1.2959531000000001E-6</v>
      </c>
      <c r="G27" s="1">
        <v>4.1832986154015401E-7</v>
      </c>
      <c r="H27" s="1">
        <v>5.5705551664673002E-8</v>
      </c>
      <c r="I27" s="1">
        <v>6.3351976844110104E-8</v>
      </c>
      <c r="J27" s="7"/>
      <c r="K27" s="8">
        <v>0.2</v>
      </c>
      <c r="L27">
        <v>1</v>
      </c>
      <c r="M27" s="135">
        <f t="shared" si="16"/>
        <v>100.04860312</v>
      </c>
      <c r="N27" s="25">
        <f t="shared" si="17"/>
        <v>-0.30048108348508251</v>
      </c>
      <c r="O27" s="25">
        <f t="shared" si="18"/>
        <v>-0.25906470646983687</v>
      </c>
      <c r="P27" s="8"/>
      <c r="Q27" s="25">
        <f t="shared" si="19"/>
        <v>1.1135698036255203E-2</v>
      </c>
      <c r="R27" s="25">
        <f t="shared" si="20"/>
        <v>1.266424015298338E-2</v>
      </c>
      <c r="S27" s="24">
        <f t="shared" si="21"/>
        <v>4.1812663894807421E-5</v>
      </c>
    </row>
    <row r="28" spans="1:30" x14ac:dyDescent="0.2">
      <c r="A28">
        <v>20</v>
      </c>
      <c r="B28" s="7"/>
      <c r="D28">
        <v>0.60023071001999995</v>
      </c>
      <c r="E28" s="1">
        <v>-1.2208295166666699E-6</v>
      </c>
      <c r="F28" s="1">
        <v>-7.3145335166666605E-7</v>
      </c>
      <c r="G28" s="1">
        <v>4.5878942917266098E-7</v>
      </c>
      <c r="H28" s="1">
        <v>3.78257600972281E-8</v>
      </c>
      <c r="I28" s="1">
        <v>3.4803751080039302E-8</v>
      </c>
      <c r="J28" s="7"/>
      <c r="K28" s="8">
        <v>0.2</v>
      </c>
      <c r="L28">
        <v>1</v>
      </c>
      <c r="M28" s="135">
        <f t="shared" si="16"/>
        <v>60.023071001999995</v>
      </c>
      <c r="N28" s="25">
        <f t="shared" si="17"/>
        <v>-0.40678675592123281</v>
      </c>
      <c r="O28" s="25">
        <f t="shared" si="18"/>
        <v>-0.24372406791458362</v>
      </c>
      <c r="P28" s="8"/>
      <c r="Q28" s="25">
        <f t="shared" si="19"/>
        <v>1.260374035042883E-2</v>
      </c>
      <c r="R28" s="25">
        <f t="shared" si="20"/>
        <v>1.1596791200130237E-2</v>
      </c>
      <c r="S28" s="24">
        <f t="shared" si="21"/>
        <v>7.6435514130453931E-5</v>
      </c>
    </row>
    <row r="29" spans="1:30" x14ac:dyDescent="0.2">
      <c r="A29">
        <v>21</v>
      </c>
      <c r="B29" s="7"/>
      <c r="D29">
        <v>0.40019934984</v>
      </c>
      <c r="E29" s="1">
        <v>-9.4625139833333302E-7</v>
      </c>
      <c r="F29" s="1">
        <v>-4.5794677333333302E-7</v>
      </c>
      <c r="G29" s="1">
        <v>2.16136261013811E-7</v>
      </c>
      <c r="H29" s="1">
        <v>3.20046625243833E-8</v>
      </c>
      <c r="I29" s="1">
        <v>3.2618055786204602E-8</v>
      </c>
      <c r="J29" s="7"/>
      <c r="K29" s="8">
        <v>0.2</v>
      </c>
      <c r="L29">
        <v>1</v>
      </c>
      <c r="M29" s="135">
        <f t="shared" si="16"/>
        <v>40.019934984000002</v>
      </c>
      <c r="N29" s="25">
        <f t="shared" si="17"/>
        <v>-0.47289002279071429</v>
      </c>
      <c r="O29" s="25">
        <f t="shared" si="18"/>
        <v>-0.22885932899012479</v>
      </c>
      <c r="P29" s="8"/>
      <c r="Q29" s="25">
        <f t="shared" si="19"/>
        <v>1.5994360079384831E-2</v>
      </c>
      <c r="R29" s="25">
        <f t="shared" si="20"/>
        <v>1.6300903936623246E-2</v>
      </c>
      <c r="S29" s="24">
        <f t="shared" si="21"/>
        <v>5.400714946194251E-5</v>
      </c>
    </row>
    <row r="30" spans="1:30" x14ac:dyDescent="0.2">
      <c r="A30">
        <v>22</v>
      </c>
      <c r="B30" s="7"/>
      <c r="C30" s="7"/>
      <c r="D30">
        <v>0.20005551569999999</v>
      </c>
      <c r="E30" s="1">
        <v>-5.4138048166666601E-7</v>
      </c>
      <c r="F30" s="1">
        <v>-2.3018727333333299E-7</v>
      </c>
      <c r="G30" s="1">
        <v>1.16611604456844E-7</v>
      </c>
      <c r="H30" s="1">
        <v>2.0024439543958701E-8</v>
      </c>
      <c r="I30" s="1">
        <v>3.5663555834193299E-8</v>
      </c>
      <c r="J30" s="7"/>
      <c r="K30" s="8">
        <v>0.2</v>
      </c>
      <c r="L30">
        <v>1</v>
      </c>
      <c r="M30" s="135">
        <f t="shared" si="16"/>
        <v>20.005551569999998</v>
      </c>
      <c r="N30" s="25">
        <f t="shared" si="17"/>
        <v>-0.54123024778633089</v>
      </c>
      <c r="O30" s="25">
        <f t="shared" si="18"/>
        <v>-0.23012339602624915</v>
      </c>
      <c r="P30" s="8"/>
      <c r="Q30" s="25">
        <f t="shared" si="19"/>
        <v>2.0018882732518135E-2</v>
      </c>
      <c r="R30" s="25">
        <f t="shared" si="20"/>
        <v>3.5653659144968333E-2</v>
      </c>
      <c r="S30" s="24">
        <f t="shared" si="21"/>
        <v>5.8289622282503261E-5</v>
      </c>
    </row>
    <row r="31" spans="1:30" x14ac:dyDescent="0.2">
      <c r="A31">
        <v>23</v>
      </c>
      <c r="B31" s="7"/>
      <c r="C31" s="7"/>
      <c r="D31">
        <v>0.10018259484</v>
      </c>
      <c r="E31" s="1">
        <v>-3.1237882E-7</v>
      </c>
      <c r="F31" s="1">
        <v>-1.0960642685E-7</v>
      </c>
      <c r="G31" s="1">
        <v>5.7520267216352303E-8</v>
      </c>
      <c r="H31" s="1">
        <v>2.8679068118361201E-8</v>
      </c>
      <c r="I31" s="1">
        <v>4.8514305311236997E-8</v>
      </c>
      <c r="J31" s="7"/>
      <c r="K31" s="8">
        <v>0.2</v>
      </c>
      <c r="L31">
        <v>1</v>
      </c>
      <c r="M31" s="135">
        <f t="shared" si="16"/>
        <v>10.018259484</v>
      </c>
      <c r="N31" s="25">
        <f t="shared" si="17"/>
        <v>-0.62361894398701723</v>
      </c>
      <c r="O31" s="25">
        <f t="shared" si="18"/>
        <v>-0.21881331188326805</v>
      </c>
      <c r="P31" s="8"/>
      <c r="Q31" s="25">
        <f t="shared" si="19"/>
        <v>5.7253594128129894E-2</v>
      </c>
      <c r="R31" s="25">
        <f t="shared" si="20"/>
        <v>9.6851764298416132E-2</v>
      </c>
      <c r="S31" s="24">
        <f t="shared" si="21"/>
        <v>5.7415429604530605E-5</v>
      </c>
    </row>
    <row r="32" spans="1:30" x14ac:dyDescent="0.2">
      <c r="A32">
        <v>24</v>
      </c>
      <c r="D32">
        <v>1.199330564</v>
      </c>
      <c r="E32" s="1">
        <v>-1.6416425183333301E-6</v>
      </c>
      <c r="F32" s="1">
        <v>-1.5393293833333401E-6</v>
      </c>
      <c r="G32" s="1">
        <v>2.18988406434659E-6</v>
      </c>
      <c r="H32" s="1">
        <v>6.0646467755561197E-8</v>
      </c>
      <c r="I32" s="1">
        <v>6.9392981987516103E-8</v>
      </c>
      <c r="K32" s="8">
        <v>0.2</v>
      </c>
      <c r="L32">
        <v>1</v>
      </c>
      <c r="M32" s="135">
        <f>100*D32/(K32*5)</f>
        <v>119.9330564</v>
      </c>
      <c r="N32" s="25">
        <f>1000000*E32*K32/(L32*D32)</f>
        <v>-0.27375980694732471</v>
      </c>
      <c r="O32" s="25">
        <f>1000000*F32*K32/(D32*L32)</f>
        <v>-0.25669809967977103</v>
      </c>
      <c r="P32" s="8"/>
      <c r="Q32" s="25">
        <f>1000000*K32*H32/(L32*D32)</f>
        <v>1.011338651343854E-2</v>
      </c>
      <c r="R32" s="25">
        <f>1000000*K32*I32/(L32*D32)</f>
        <v>1.1571952565950967E-2</v>
      </c>
      <c r="S32" s="24">
        <f>G32*100/D32</f>
        <v>1.8259220018898724E-4</v>
      </c>
      <c r="W32" s="64" t="s">
        <v>259</v>
      </c>
      <c r="X32" s="64"/>
      <c r="Y32" s="308" t="s">
        <v>266</v>
      </c>
      <c r="Z32" s="308"/>
      <c r="AA32" s="308"/>
      <c r="AB32" s="308"/>
      <c r="AC32" s="308"/>
      <c r="AD32" s="308"/>
    </row>
    <row r="33" spans="1:30" x14ac:dyDescent="0.2">
      <c r="A33">
        <v>25</v>
      </c>
      <c r="D33" s="8"/>
      <c r="W33" s="33" t="s">
        <v>5</v>
      </c>
      <c r="X33" s="33" t="s">
        <v>6</v>
      </c>
      <c r="Y33" s="34" t="s">
        <v>260</v>
      </c>
      <c r="Z33" s="34" t="s">
        <v>261</v>
      </c>
      <c r="AA33" s="34" t="s">
        <v>262</v>
      </c>
      <c r="AB33" s="34" t="s">
        <v>263</v>
      </c>
      <c r="AC33" s="34" t="s">
        <v>264</v>
      </c>
      <c r="AD33" s="34" t="s">
        <v>265</v>
      </c>
    </row>
    <row r="34" spans="1:30" x14ac:dyDescent="0.2">
      <c r="A34">
        <v>26</v>
      </c>
      <c r="B34" s="4">
        <v>41260</v>
      </c>
      <c r="C34" s="4" t="s">
        <v>39</v>
      </c>
      <c r="D34">
        <v>1.1939274071999999</v>
      </c>
      <c r="E34" s="138">
        <v>-3.6552223000000002E-6</v>
      </c>
      <c r="F34" s="138">
        <v>-1.3908789E-6</v>
      </c>
      <c r="G34" s="1">
        <v>1.6512595394013E-5</v>
      </c>
      <c r="H34" s="1">
        <v>3.8082143955758302E-7</v>
      </c>
      <c r="I34" s="1">
        <v>4.72841330552861E-8</v>
      </c>
      <c r="K34">
        <v>0.2</v>
      </c>
      <c r="L34">
        <v>1</v>
      </c>
      <c r="M34" s="2">
        <f t="shared" ref="M34:M39" si="22">100*D34/(K34*5)</f>
        <v>119.39274071999999</v>
      </c>
      <c r="N34" s="3">
        <f t="shared" ref="N34:N39" si="23">1000000*E34*K34/(L34*D34)</f>
        <v>-0.61230226862322101</v>
      </c>
      <c r="O34" s="3">
        <f t="shared" ref="O34:O39" si="24">1000000*F34*K34/(D34*L34)</f>
        <v>-0.23299220565878304</v>
      </c>
      <c r="Q34" s="3">
        <f t="shared" ref="Q34:Q39" si="25">1000000*K34*H34/(L34*D34)</f>
        <v>6.379306434562651E-2</v>
      </c>
      <c r="R34" s="3">
        <f t="shared" ref="R34:R39" si="26">1000000*K34*I34/(L34*D34)</f>
        <v>7.9207718610257733E-3</v>
      </c>
      <c r="S34" s="1">
        <f t="shared" ref="S34:S39" si="27">G34*100/D34</f>
        <v>1.3830485249298665E-3</v>
      </c>
      <c r="T34" s="3" t="e">
        <f t="shared" ref="T34:T39" si="28">Noise_std*K34/(L34*D34)</f>
        <v>#NAME?</v>
      </c>
      <c r="U34" s="3" t="e">
        <f t="shared" ref="U34:U39" si="29">Noise_std*K34/(L34*D34)</f>
        <v>#NAME?</v>
      </c>
      <c r="W34" s="26">
        <f t="shared" ref="W34:X39" si="30">(N34+N17+N9)/3</f>
        <v>0.12646325308824963</v>
      </c>
      <c r="X34" s="26">
        <f t="shared" si="30"/>
        <v>0.11981684111770365</v>
      </c>
      <c r="Y34" s="3">
        <f t="shared" ref="Y34:Y39" si="31">N34-W34</f>
        <v>-0.73876552171147059</v>
      </c>
      <c r="Z34" s="3">
        <f t="shared" ref="Z34:Z39" si="32">W34-N17</f>
        <v>-8.966045130070377E-2</v>
      </c>
      <c r="AA34" s="3">
        <f t="shared" ref="AA34:AA39" si="33">W34-N9</f>
        <v>-0.64910507041076682</v>
      </c>
      <c r="AB34" s="3">
        <f t="shared" ref="AB34:AB39" si="34">Q34-Z34</f>
        <v>0.15345351564633028</v>
      </c>
      <c r="AC34" s="3">
        <f t="shared" ref="AC34:AC39" si="35">Z34-Q17</f>
        <v>-9.7525291825574817E-2</v>
      </c>
      <c r="AD34" s="3">
        <f t="shared" ref="AD34:AD39" si="36">Z34-Q9</f>
        <v>-0.13506663938069977</v>
      </c>
    </row>
    <row r="35" spans="1:30" x14ac:dyDescent="0.2">
      <c r="A35">
        <v>27</v>
      </c>
      <c r="C35" t="s">
        <v>40</v>
      </c>
      <c r="D35">
        <v>1.0027236396000001</v>
      </c>
      <c r="E35" s="138">
        <v>-2.0081381E-6</v>
      </c>
      <c r="F35" s="138">
        <v>-1.0485758283333299E-6</v>
      </c>
      <c r="G35" s="1">
        <v>2.2471029439489401E-6</v>
      </c>
      <c r="H35" s="1">
        <v>4.65186653368659E-8</v>
      </c>
      <c r="I35" s="1">
        <v>2.4261245686667899E-8</v>
      </c>
      <c r="K35">
        <v>0.2</v>
      </c>
      <c r="L35">
        <v>1</v>
      </c>
      <c r="M35" s="2">
        <f t="shared" si="22"/>
        <v>100.27236396000001</v>
      </c>
      <c r="N35" s="3">
        <f t="shared" si="23"/>
        <v>-0.40053670237615485</v>
      </c>
      <c r="O35" s="3">
        <f t="shared" si="24"/>
        <v>-0.20914552862274613</v>
      </c>
      <c r="Q35" s="3">
        <f t="shared" si="25"/>
        <v>9.2784618811665425E-3</v>
      </c>
      <c r="R35" s="3">
        <f t="shared" si="26"/>
        <v>4.839069256678946E-3</v>
      </c>
      <c r="S35" s="1">
        <f t="shared" si="27"/>
        <v>2.2409992695947008E-4</v>
      </c>
      <c r="T35" s="3" t="e">
        <f t="shared" si="28"/>
        <v>#NAME?</v>
      </c>
      <c r="U35" s="3" t="e">
        <f t="shared" si="29"/>
        <v>#NAME?</v>
      </c>
      <c r="W35" s="26">
        <f t="shared" si="30"/>
        <v>0.23049661613847397</v>
      </c>
      <c r="X35" s="26">
        <f t="shared" si="30"/>
        <v>0.11964421629886128</v>
      </c>
      <c r="Y35" s="3">
        <f t="shared" si="31"/>
        <v>-0.63103331851462885</v>
      </c>
      <c r="Z35" s="3">
        <f t="shared" si="32"/>
        <v>2.8667525843809494E-2</v>
      </c>
      <c r="AA35" s="3">
        <f t="shared" si="33"/>
        <v>-0.65970084435843834</v>
      </c>
      <c r="AB35" s="3">
        <f t="shared" si="34"/>
        <v>-1.938906396264295E-2</v>
      </c>
      <c r="AC35" s="3">
        <f t="shared" si="35"/>
        <v>-5.9876957634075384E-2</v>
      </c>
      <c r="AD35" s="3">
        <f t="shared" si="36"/>
        <v>-0.33710866440163634</v>
      </c>
    </row>
    <row r="36" spans="1:30" x14ac:dyDescent="0.2">
      <c r="A36">
        <v>28</v>
      </c>
      <c r="C36" t="s">
        <v>41</v>
      </c>
      <c r="D36">
        <v>0.60017207723999999</v>
      </c>
      <c r="E36" s="138">
        <v>-1.20386945E-6</v>
      </c>
      <c r="F36" s="138">
        <v>-6.2289120499999997E-7</v>
      </c>
      <c r="G36" s="1">
        <v>4.8980266581692398E-7</v>
      </c>
      <c r="H36" s="1">
        <v>3.6494271968773902E-8</v>
      </c>
      <c r="I36" s="1">
        <v>2.82978633898917E-8</v>
      </c>
      <c r="K36">
        <v>0.2</v>
      </c>
      <c r="L36">
        <v>1</v>
      </c>
      <c r="M36" s="2">
        <f t="shared" si="22"/>
        <v>60.017207724000002</v>
      </c>
      <c r="N36" s="3">
        <f t="shared" si="23"/>
        <v>-0.40117476159044646</v>
      </c>
      <c r="O36" s="3">
        <f t="shared" si="24"/>
        <v>-0.20757087129560509</v>
      </c>
      <c r="Q36" s="3">
        <f t="shared" si="25"/>
        <v>1.2161269526766197E-2</v>
      </c>
      <c r="R36" s="3">
        <f t="shared" si="26"/>
        <v>9.4299166732396324E-3</v>
      </c>
      <c r="S36" s="1">
        <f t="shared" si="27"/>
        <v>8.1610372156827138E-5</v>
      </c>
      <c r="T36" s="3" t="e">
        <f t="shared" si="28"/>
        <v>#NAME?</v>
      </c>
      <c r="U36" s="3" t="e">
        <f t="shared" si="29"/>
        <v>#NAME?</v>
      </c>
      <c r="W36" s="26">
        <f t="shared" si="30"/>
        <v>7.3957441123647757E-2</v>
      </c>
      <c r="X36" s="26">
        <f t="shared" si="30"/>
        <v>0.13536542728284914</v>
      </c>
      <c r="Y36" s="3">
        <f t="shared" si="31"/>
        <v>-0.47513220271409423</v>
      </c>
      <c r="Z36" s="3">
        <f t="shared" si="32"/>
        <v>-0.13545082491086452</v>
      </c>
      <c r="AA36" s="3">
        <f t="shared" si="33"/>
        <v>-0.33968137780322971</v>
      </c>
      <c r="AB36" s="3">
        <f t="shared" si="34"/>
        <v>0.14761209443763071</v>
      </c>
      <c r="AC36" s="3">
        <f t="shared" si="35"/>
        <v>-0.15099874704837854</v>
      </c>
      <c r="AD36" s="3">
        <f t="shared" si="36"/>
        <v>-0.14326806482926535</v>
      </c>
    </row>
    <row r="37" spans="1:30" x14ac:dyDescent="0.2">
      <c r="A37">
        <v>29</v>
      </c>
      <c r="C37" t="s">
        <v>65</v>
      </c>
      <c r="D37">
        <v>0.40022519884000002</v>
      </c>
      <c r="E37" s="138">
        <v>-9.3233609166666703E-7</v>
      </c>
      <c r="F37" s="138">
        <v>-3.9333060999999998E-7</v>
      </c>
      <c r="G37" s="1">
        <v>3.2038755741038201E-7</v>
      </c>
      <c r="H37" s="1">
        <v>2.6634200650227899E-8</v>
      </c>
      <c r="I37" s="1">
        <v>2.8526068512056899E-8</v>
      </c>
      <c r="K37">
        <v>0.2</v>
      </c>
      <c r="L37">
        <v>1</v>
      </c>
      <c r="M37" s="2">
        <f t="shared" si="22"/>
        <v>40.022519884000005</v>
      </c>
      <c r="N37" s="3">
        <f t="shared" si="23"/>
        <v>-0.4659057422515725</v>
      </c>
      <c r="O37" s="3">
        <f t="shared" si="24"/>
        <v>-0.19655464530470193</v>
      </c>
      <c r="Q37" s="3">
        <f t="shared" si="25"/>
        <v>1.3309607054939878E-2</v>
      </c>
      <c r="R37" s="3">
        <f t="shared" si="26"/>
        <v>1.4255008727454417E-2</v>
      </c>
      <c r="S37" s="1">
        <f t="shared" si="27"/>
        <v>8.0051820409855038E-5</v>
      </c>
      <c r="T37" s="3" t="e">
        <f t="shared" si="28"/>
        <v>#NAME?</v>
      </c>
      <c r="U37" s="3" t="e">
        <f t="shared" si="29"/>
        <v>#NAME?</v>
      </c>
      <c r="W37" s="26">
        <f t="shared" si="30"/>
        <v>6.7372534156740368E-2</v>
      </c>
      <c r="X37" s="26">
        <f t="shared" si="30"/>
        <v>0.1567040529421049</v>
      </c>
      <c r="Y37" s="3">
        <f t="shared" si="31"/>
        <v>-0.53327827640831282</v>
      </c>
      <c r="Z37" s="3">
        <f t="shared" si="32"/>
        <v>-0.12170990046784032</v>
      </c>
      <c r="AA37" s="3">
        <f t="shared" si="33"/>
        <v>-0.41156837594047252</v>
      </c>
      <c r="AB37" s="3">
        <f t="shared" si="34"/>
        <v>0.13501950752278019</v>
      </c>
      <c r="AC37" s="3">
        <f t="shared" si="35"/>
        <v>-0.13532420926998165</v>
      </c>
      <c r="AD37" s="3">
        <f t="shared" si="36"/>
        <v>-0.13583304128462781</v>
      </c>
    </row>
    <row r="38" spans="1:30" x14ac:dyDescent="0.2">
      <c r="A38">
        <v>30</v>
      </c>
      <c r="C38" t="s">
        <v>66</v>
      </c>
      <c r="D38">
        <v>0.20014342044</v>
      </c>
      <c r="E38" s="138">
        <v>-4.2741649633333398E-7</v>
      </c>
      <c r="F38" s="138">
        <v>-1.6495193351666699E-7</v>
      </c>
      <c r="G38" s="1">
        <v>1.5535895839589599E-7</v>
      </c>
      <c r="H38" s="1">
        <v>2.7202402233703198E-7</v>
      </c>
      <c r="I38" s="1">
        <v>1.15226543042469E-7</v>
      </c>
      <c r="K38">
        <v>0.2</v>
      </c>
      <c r="L38">
        <v>1</v>
      </c>
      <c r="M38" s="2">
        <f t="shared" si="22"/>
        <v>20.014342043999999</v>
      </c>
      <c r="N38" s="3">
        <f t="shared" si="23"/>
        <v>-0.42711021465875981</v>
      </c>
      <c r="O38" s="3">
        <f t="shared" si="24"/>
        <v>-0.1648337308856147</v>
      </c>
      <c r="Q38" s="3">
        <f t="shared" si="25"/>
        <v>0.27182909309634856</v>
      </c>
      <c r="R38" s="3">
        <f t="shared" si="26"/>
        <v>0.11514397304608093</v>
      </c>
      <c r="S38" s="1">
        <f t="shared" si="27"/>
        <v>7.7623814989446669E-5</v>
      </c>
      <c r="T38" s="3" t="e">
        <f t="shared" si="28"/>
        <v>#NAME?</v>
      </c>
      <c r="U38" s="3" t="e">
        <f t="shared" si="29"/>
        <v>#NAME?</v>
      </c>
      <c r="W38" s="26">
        <f t="shared" si="30"/>
        <v>9.8059420819527857E-2</v>
      </c>
      <c r="X38" s="26">
        <f t="shared" si="30"/>
        <v>0.18718530813190226</v>
      </c>
      <c r="Y38" s="3">
        <f t="shared" si="31"/>
        <v>-0.52516963547828766</v>
      </c>
      <c r="Z38" s="3">
        <f t="shared" si="32"/>
        <v>-6.8932501869127319E-2</v>
      </c>
      <c r="AA38" s="3">
        <f t="shared" si="33"/>
        <v>-0.45623713360916035</v>
      </c>
      <c r="AB38" s="3">
        <f t="shared" si="34"/>
        <v>0.34076159496547587</v>
      </c>
      <c r="AC38" s="3">
        <f t="shared" si="35"/>
        <v>-9.5628494986456869E-2</v>
      </c>
      <c r="AD38" s="3">
        <f t="shared" si="36"/>
        <v>-9.0245630473189245E-2</v>
      </c>
    </row>
    <row r="39" spans="1:30" x14ac:dyDescent="0.2">
      <c r="A39">
        <v>31</v>
      </c>
      <c r="D39">
        <v>0.1001493779</v>
      </c>
      <c r="E39" s="138">
        <v>-2.1668136500000199E-7</v>
      </c>
      <c r="F39" s="138">
        <v>-1.05801254E-7</v>
      </c>
      <c r="G39" s="1">
        <v>5.95129251507641E-8</v>
      </c>
      <c r="H39" s="1">
        <v>8.6917407135612302E-9</v>
      </c>
      <c r="I39" s="1">
        <v>2.5215673725648299E-8</v>
      </c>
      <c r="K39">
        <v>0.2</v>
      </c>
      <c r="L39">
        <v>1</v>
      </c>
      <c r="M39" s="2">
        <f t="shared" si="22"/>
        <v>10.014937790000001</v>
      </c>
      <c r="N39" s="3">
        <f t="shared" si="23"/>
        <v>-0.43271634740729026</v>
      </c>
      <c r="O39" s="3">
        <f t="shared" si="24"/>
        <v>-0.21128689207763918</v>
      </c>
      <c r="Q39" s="3">
        <f t="shared" si="25"/>
        <v>1.7357553078841903E-2</v>
      </c>
      <c r="R39" s="3">
        <f t="shared" si="26"/>
        <v>5.0356126526969268E-2</v>
      </c>
      <c r="S39" s="1">
        <f t="shared" si="27"/>
        <v>5.9424158590568838E-5</v>
      </c>
      <c r="T39" s="3" t="e">
        <f t="shared" si="28"/>
        <v>#NAME?</v>
      </c>
      <c r="U39" s="3" t="e">
        <f t="shared" si="29"/>
        <v>#NAME?</v>
      </c>
      <c r="W39" s="26">
        <f t="shared" si="30"/>
        <v>0.11481608765515185</v>
      </c>
      <c r="X39" s="26">
        <f t="shared" si="30"/>
        <v>0.17881359510202607</v>
      </c>
      <c r="Y39" s="3">
        <f t="shared" si="31"/>
        <v>-0.54753243506244209</v>
      </c>
      <c r="Z39" s="3">
        <f t="shared" si="32"/>
        <v>-5.6550032024517513E-2</v>
      </c>
      <c r="AA39" s="3">
        <f t="shared" si="33"/>
        <v>-0.49098240303792462</v>
      </c>
      <c r="AB39" s="35">
        <f t="shared" si="34"/>
        <v>7.3907585103359416E-2</v>
      </c>
      <c r="AC39" s="35">
        <f t="shared" si="35"/>
        <v>-0.1004170288262462</v>
      </c>
      <c r="AD39" s="35">
        <f t="shared" si="36"/>
        <v>-9.8344473156118467E-2</v>
      </c>
    </row>
    <row r="40" spans="1:30" ht="18" x14ac:dyDescent="0.25">
      <c r="A40">
        <v>32</v>
      </c>
      <c r="D40" s="137" t="s">
        <v>423</v>
      </c>
      <c r="E40" s="136"/>
      <c r="W40" s="26"/>
      <c r="X40" s="26"/>
      <c r="Y40">
        <f>SUMSQ(Y34:Y39)</f>
        <v>2.0297087887639798</v>
      </c>
      <c r="Z40">
        <f>SUMSQ(Z34:Z39)</f>
        <v>4.9970645342287831E-2</v>
      </c>
      <c r="AA40">
        <f>SUMSQ(AA34:AA39)</f>
        <v>1.5905306051575796</v>
      </c>
      <c r="AB40">
        <f>SUMSQ(AB34:AB38)</f>
        <v>0.18006197970493915</v>
      </c>
      <c r="AC40">
        <f>SUMSQ(AC34:AC38)</f>
        <v>6.3354504879277185E-2</v>
      </c>
      <c r="AD40">
        <f>SUMSQ(AD34:AD38)</f>
        <v>0.17900587601230847</v>
      </c>
    </row>
    <row r="41" spans="1:30" x14ac:dyDescent="0.2">
      <c r="A41">
        <v>33</v>
      </c>
      <c r="X41" s="37" t="s">
        <v>268</v>
      </c>
      <c r="Y41" s="38">
        <f>SQRT(Y40:AA40)</f>
        <v>1.4246784861027346</v>
      </c>
      <c r="AA41" s="37" t="s">
        <v>269</v>
      </c>
      <c r="AB41" s="38">
        <f>SQRT(AB40:AD40)</f>
        <v>0.42433710620795251</v>
      </c>
    </row>
    <row r="44" spans="1:30" x14ac:dyDescent="0.2">
      <c r="M44" s="15"/>
    </row>
    <row r="45" spans="1:30" x14ac:dyDescent="0.2">
      <c r="M45" s="15"/>
      <c r="O45" s="3"/>
      <c r="P45" s="3"/>
    </row>
    <row r="46" spans="1:30" x14ac:dyDescent="0.2">
      <c r="M46" s="15"/>
      <c r="O46" s="3"/>
      <c r="P46" s="3"/>
    </row>
    <row r="47" spans="1:30" x14ac:dyDescent="0.2">
      <c r="M47" s="15"/>
      <c r="O47" s="3"/>
      <c r="P47" s="3"/>
    </row>
    <row r="48" spans="1:30" x14ac:dyDescent="0.2">
      <c r="E48" s="1"/>
      <c r="F48" s="1"/>
      <c r="G48" s="1"/>
      <c r="H48" s="1"/>
      <c r="I48" s="1"/>
      <c r="M48" s="3"/>
      <c r="N48" s="3"/>
      <c r="O48" s="3"/>
    </row>
    <row r="49" spans="3:19" x14ac:dyDescent="0.2">
      <c r="C49" s="5"/>
      <c r="E49" s="1"/>
      <c r="F49" s="1"/>
      <c r="G49" s="1"/>
      <c r="H49" s="1"/>
      <c r="I49" s="1"/>
    </row>
    <row r="50" spans="3:19" x14ac:dyDescent="0.2">
      <c r="D50" s="7"/>
      <c r="E50" s="10"/>
      <c r="F50" s="10"/>
      <c r="G50" s="10"/>
      <c r="H50" s="10"/>
      <c r="I50" s="10"/>
      <c r="J50" s="7"/>
      <c r="K50" s="7"/>
      <c r="L50" s="7"/>
      <c r="M50" s="11"/>
      <c r="N50" s="12"/>
      <c r="O50" s="12"/>
      <c r="P50" s="7"/>
      <c r="Q50" s="12"/>
      <c r="R50" s="12"/>
      <c r="S50" s="10"/>
    </row>
    <row r="51" spans="3:19" x14ac:dyDescent="0.2">
      <c r="D51" s="7"/>
      <c r="E51" s="10"/>
      <c r="F51" s="10"/>
      <c r="G51" s="10"/>
      <c r="H51" s="10"/>
      <c r="I51" s="10"/>
      <c r="J51" s="7"/>
      <c r="K51" s="7"/>
      <c r="L51" s="7"/>
      <c r="M51" s="11"/>
      <c r="N51" s="12"/>
      <c r="O51" s="12"/>
      <c r="P51" s="7"/>
      <c r="Q51" s="12"/>
      <c r="R51" s="12"/>
      <c r="S51" s="10"/>
    </row>
    <row r="52" spans="3:19" x14ac:dyDescent="0.2">
      <c r="D52" s="7"/>
      <c r="E52" s="10"/>
      <c r="F52" s="10"/>
      <c r="G52" s="10"/>
      <c r="H52" s="10"/>
      <c r="I52" s="10"/>
      <c r="J52" s="7"/>
      <c r="K52" s="7"/>
      <c r="L52" s="7"/>
      <c r="M52" s="11"/>
      <c r="N52" s="12"/>
      <c r="O52" s="12"/>
      <c r="P52" s="7"/>
      <c r="Q52" s="12"/>
      <c r="R52" s="12"/>
      <c r="S52" s="10"/>
    </row>
    <row r="53" spans="3:19" x14ac:dyDescent="0.2">
      <c r="D53" s="7"/>
      <c r="E53" s="10"/>
      <c r="F53" s="10"/>
      <c r="G53" s="10"/>
      <c r="H53" s="10"/>
      <c r="I53" s="10"/>
      <c r="J53" s="7"/>
      <c r="K53" s="7"/>
      <c r="L53" s="7"/>
      <c r="M53" s="11"/>
      <c r="N53" s="12"/>
      <c r="O53" s="12"/>
      <c r="P53" s="7"/>
      <c r="Q53" s="12"/>
      <c r="R53" s="12"/>
      <c r="S53" s="10"/>
    </row>
    <row r="54" spans="3:19" x14ac:dyDescent="0.2">
      <c r="D54" s="7"/>
      <c r="E54" s="10"/>
      <c r="F54" s="10"/>
      <c r="G54" s="10"/>
      <c r="H54" s="10"/>
      <c r="I54" s="10"/>
      <c r="J54" s="7"/>
      <c r="K54" s="7"/>
      <c r="L54" s="7"/>
      <c r="M54" s="11"/>
      <c r="N54" s="12"/>
      <c r="O54" s="12"/>
      <c r="P54" s="7"/>
      <c r="Q54" s="12"/>
      <c r="R54" s="12"/>
      <c r="S54" s="10"/>
    </row>
    <row r="55" spans="3:19" x14ac:dyDescent="0.2">
      <c r="D55" s="7"/>
      <c r="E55" s="10"/>
      <c r="F55" s="10"/>
      <c r="G55" s="10"/>
      <c r="H55" s="10"/>
      <c r="I55" s="10"/>
      <c r="J55" s="7"/>
      <c r="K55" s="7"/>
      <c r="L55" s="7"/>
      <c r="M55" s="11"/>
      <c r="N55" s="12"/>
      <c r="O55" s="12"/>
      <c r="P55" s="7"/>
      <c r="Q55" s="12"/>
      <c r="R55" s="12"/>
      <c r="S55" s="10"/>
    </row>
    <row r="56" spans="3:19" x14ac:dyDescent="0.2">
      <c r="E56" s="1"/>
      <c r="F56" s="1"/>
      <c r="G56" s="1"/>
      <c r="H56" s="1"/>
      <c r="I56" s="1"/>
      <c r="M56" s="2"/>
      <c r="N56" s="3"/>
      <c r="O56" s="3"/>
      <c r="Q56" s="3"/>
      <c r="R56" s="3"/>
      <c r="S56" s="1"/>
    </row>
    <row r="57" spans="3:19" x14ac:dyDescent="0.2">
      <c r="E57" s="1"/>
      <c r="F57" s="1"/>
      <c r="G57" s="1"/>
      <c r="H57" s="1"/>
      <c r="I57" s="1"/>
      <c r="M57" s="2"/>
      <c r="N57" s="3"/>
      <c r="O57" s="3"/>
      <c r="Q57" s="3"/>
      <c r="R57" s="3"/>
      <c r="S57" s="1"/>
    </row>
    <row r="58" spans="3:19" x14ac:dyDescent="0.2">
      <c r="E58" s="1"/>
      <c r="F58" s="1"/>
      <c r="G58" s="1"/>
      <c r="H58" s="1"/>
      <c r="I58" s="1"/>
      <c r="M58" s="2"/>
      <c r="N58" s="3"/>
      <c r="O58" s="3"/>
      <c r="Q58" s="3"/>
      <c r="R58" s="3"/>
      <c r="S58" s="1"/>
    </row>
    <row r="59" spans="3:19" x14ac:dyDescent="0.2">
      <c r="E59" s="1"/>
      <c r="F59" s="1"/>
      <c r="G59" s="1"/>
      <c r="H59" s="1"/>
      <c r="I59" s="1"/>
      <c r="M59" s="2"/>
      <c r="N59" s="3"/>
      <c r="O59" s="3"/>
      <c r="Q59" s="3"/>
      <c r="R59" s="3"/>
      <c r="S59" s="1"/>
    </row>
    <row r="60" spans="3:19" x14ac:dyDescent="0.2">
      <c r="E60" s="1"/>
      <c r="F60" s="1"/>
      <c r="G60" s="1"/>
      <c r="H60" s="1"/>
      <c r="I60" s="1"/>
      <c r="M60" s="2"/>
      <c r="N60" s="3"/>
      <c r="O60" s="3"/>
      <c r="Q60" s="3"/>
      <c r="R60" s="3"/>
      <c r="S60" s="1"/>
    </row>
    <row r="61" spans="3:19" x14ac:dyDescent="0.2">
      <c r="E61" s="1"/>
      <c r="F61" s="1"/>
      <c r="G61" s="1"/>
      <c r="H61" s="1"/>
      <c r="I61" s="1"/>
      <c r="M61" s="2"/>
      <c r="N61" s="3"/>
      <c r="O61" s="3"/>
      <c r="Q61" s="3"/>
      <c r="R61" s="3"/>
      <c r="S61" s="1"/>
    </row>
    <row r="62" spans="3:19" x14ac:dyDescent="0.2">
      <c r="E62" s="1"/>
      <c r="F62" s="1"/>
      <c r="G62" s="1"/>
      <c r="H62" s="1"/>
      <c r="I62" s="1"/>
      <c r="M62" s="2"/>
      <c r="N62" s="3"/>
      <c r="O62" s="3"/>
      <c r="Q62" s="3"/>
      <c r="R62" s="3"/>
      <c r="S62" s="1"/>
    </row>
    <row r="64" spans="3:19" x14ac:dyDescent="0.2">
      <c r="E64" s="1"/>
      <c r="F64" s="1"/>
      <c r="G64" s="1"/>
      <c r="H64" s="1"/>
      <c r="I64" s="1"/>
      <c r="M64" s="2"/>
      <c r="N64" s="3"/>
      <c r="O64" s="3"/>
      <c r="Q64" s="3"/>
      <c r="R64" s="3"/>
      <c r="S64" s="1"/>
    </row>
    <row r="65" spans="3:22" x14ac:dyDescent="0.2">
      <c r="E65" s="1"/>
      <c r="F65" s="1"/>
      <c r="G65" s="1"/>
      <c r="H65" s="1"/>
      <c r="I65" s="1"/>
      <c r="M65" s="2"/>
      <c r="N65" s="3"/>
      <c r="O65" s="3"/>
      <c r="Q65" s="3"/>
      <c r="R65" s="3"/>
      <c r="S65" s="1"/>
    </row>
    <row r="66" spans="3:22" x14ac:dyDescent="0.2">
      <c r="E66" s="1"/>
      <c r="F66" s="1"/>
      <c r="G66" s="1"/>
      <c r="H66" s="1"/>
      <c r="I66" s="1"/>
      <c r="M66" s="2"/>
      <c r="N66" s="3"/>
      <c r="O66" s="3"/>
      <c r="Q66" s="3"/>
      <c r="R66" s="3"/>
      <c r="S66" s="1"/>
    </row>
    <row r="67" spans="3:22" x14ac:dyDescent="0.2">
      <c r="E67" s="1"/>
      <c r="F67" s="1"/>
      <c r="G67" s="1"/>
      <c r="H67" s="1"/>
      <c r="I67" s="1"/>
      <c r="M67" s="2"/>
      <c r="N67" s="3"/>
      <c r="O67" s="3"/>
      <c r="Q67" s="3"/>
      <c r="R67" s="3"/>
      <c r="S67" s="1"/>
    </row>
    <row r="68" spans="3:22" x14ac:dyDescent="0.2">
      <c r="E68" s="1"/>
      <c r="F68" s="1"/>
      <c r="G68" s="1"/>
      <c r="H68" s="1"/>
      <c r="I68" s="1"/>
      <c r="M68" s="2"/>
      <c r="N68" s="3"/>
      <c r="O68" s="3"/>
      <c r="Q68" s="3"/>
      <c r="R68" s="3"/>
      <c r="S68" s="1"/>
    </row>
    <row r="69" spans="3:22" x14ac:dyDescent="0.2">
      <c r="E69" s="1"/>
      <c r="F69" s="1"/>
      <c r="G69" s="1"/>
      <c r="H69" s="1"/>
      <c r="I69" s="1"/>
      <c r="M69" s="2"/>
      <c r="N69" s="3"/>
      <c r="O69" s="3"/>
      <c r="Q69" s="3"/>
      <c r="R69" s="3"/>
      <c r="S69" s="1"/>
    </row>
    <row r="72" spans="3:22" x14ac:dyDescent="0.2">
      <c r="C72" s="5"/>
    </row>
    <row r="73" spans="3:22" x14ac:dyDescent="0.2">
      <c r="C73" s="5"/>
    </row>
    <row r="74" spans="3:22" x14ac:dyDescent="0.2">
      <c r="C74" s="5"/>
      <c r="D74" s="13"/>
      <c r="E74" s="14"/>
      <c r="F74" s="14"/>
      <c r="G74" s="14"/>
      <c r="H74" s="14"/>
      <c r="I74" s="14"/>
      <c r="J74" s="5"/>
      <c r="K74" s="5"/>
      <c r="L74" s="5"/>
      <c r="M74" s="5"/>
      <c r="N74" s="307"/>
      <c r="O74" s="307"/>
      <c r="P74" s="307"/>
      <c r="Q74" s="307"/>
      <c r="S74" s="5"/>
      <c r="T74" s="5"/>
      <c r="U74" s="307"/>
      <c r="V74" s="307"/>
    </row>
    <row r="75" spans="3:22" x14ac:dyDescent="0.2">
      <c r="C75" s="5"/>
      <c r="D75" s="13"/>
      <c r="E75" s="14"/>
      <c r="F75" s="14"/>
      <c r="G75" s="14"/>
      <c r="H75" s="14"/>
      <c r="I75" s="14"/>
    </row>
    <row r="76" spans="3:22" x14ac:dyDescent="0.2">
      <c r="E76" s="1"/>
      <c r="F76" s="1"/>
      <c r="G76" s="1"/>
      <c r="H76" s="1"/>
      <c r="I76" s="1"/>
      <c r="M76" s="2"/>
      <c r="N76" s="3"/>
      <c r="O76" s="3"/>
      <c r="P76" s="3"/>
      <c r="Q76" s="26"/>
    </row>
    <row r="77" spans="3:22" x14ac:dyDescent="0.2">
      <c r="E77" s="1"/>
      <c r="F77" s="1"/>
      <c r="G77" s="1"/>
      <c r="H77" s="1"/>
      <c r="I77" s="1"/>
      <c r="M77" s="2"/>
      <c r="N77" s="3"/>
      <c r="O77" s="3"/>
      <c r="P77" s="3"/>
      <c r="Q77" s="26"/>
    </row>
    <row r="78" spans="3:22" x14ac:dyDescent="0.2">
      <c r="E78" s="1"/>
      <c r="F78" s="1"/>
      <c r="G78" s="1"/>
      <c r="H78" s="1"/>
      <c r="I78" s="1"/>
      <c r="M78" s="2"/>
      <c r="N78" s="3"/>
      <c r="O78" s="3"/>
      <c r="P78" s="3"/>
      <c r="Q78" s="26"/>
    </row>
    <row r="79" spans="3:22" x14ac:dyDescent="0.2">
      <c r="E79" s="1"/>
      <c r="F79" s="1"/>
      <c r="G79" s="1"/>
      <c r="H79" s="1"/>
      <c r="I79" s="1"/>
      <c r="M79" s="2"/>
      <c r="N79" s="3"/>
      <c r="O79" s="3"/>
      <c r="P79" s="3"/>
      <c r="Q79" s="26"/>
    </row>
    <row r="80" spans="3:22" x14ac:dyDescent="0.2">
      <c r="E80" s="1"/>
      <c r="F80" s="1"/>
      <c r="G80" s="1"/>
      <c r="H80" s="1"/>
      <c r="I80" s="1"/>
      <c r="M80" s="2"/>
      <c r="N80" s="3"/>
      <c r="O80" s="3"/>
      <c r="P80" s="3"/>
      <c r="Q80" s="26"/>
    </row>
    <row r="81" spans="3:26" x14ac:dyDescent="0.2">
      <c r="E81" s="1"/>
      <c r="F81" s="1"/>
      <c r="G81" s="1"/>
      <c r="H81" s="1"/>
      <c r="I81" s="1"/>
      <c r="M81" s="2"/>
      <c r="N81" s="3"/>
      <c r="O81" s="3"/>
      <c r="P81" s="3"/>
      <c r="Q81" s="26"/>
    </row>
    <row r="82" spans="3:26" x14ac:dyDescent="0.2">
      <c r="E82" s="1"/>
      <c r="F82" s="1"/>
      <c r="G82" s="1"/>
      <c r="H82" s="1"/>
      <c r="I82" s="1"/>
      <c r="M82" s="2"/>
      <c r="N82" s="3"/>
      <c r="O82" s="3"/>
      <c r="P82" s="3"/>
      <c r="Q82" s="26"/>
      <c r="R82" s="1"/>
    </row>
    <row r="83" spans="3:26" x14ac:dyDescent="0.2">
      <c r="C83" s="5"/>
      <c r="E83" s="1"/>
      <c r="F83" s="1"/>
      <c r="G83" s="1"/>
      <c r="H83" s="1"/>
      <c r="I83" s="1"/>
      <c r="M83" s="2"/>
      <c r="N83" s="3"/>
      <c r="O83" s="3"/>
      <c r="P83" s="3"/>
      <c r="Q83" s="26"/>
    </row>
    <row r="84" spans="3:26" x14ac:dyDescent="0.2">
      <c r="E84" s="1"/>
      <c r="F84" s="1"/>
      <c r="G84" s="1"/>
      <c r="H84" s="1"/>
      <c r="I84" s="1"/>
      <c r="M84" s="2"/>
      <c r="N84" s="3"/>
      <c r="O84" s="3"/>
      <c r="P84" s="3"/>
      <c r="Q84" s="26"/>
      <c r="R84" s="3"/>
      <c r="S84" s="3"/>
      <c r="T84" s="3"/>
      <c r="W84" s="3"/>
      <c r="X84" s="3"/>
      <c r="Y84" s="3"/>
      <c r="Z84" s="3"/>
    </row>
    <row r="85" spans="3:26" x14ac:dyDescent="0.2">
      <c r="E85" s="1"/>
      <c r="F85" s="1"/>
      <c r="G85" s="1"/>
      <c r="H85" s="1"/>
      <c r="I85" s="1"/>
      <c r="M85" s="2"/>
      <c r="N85" s="3"/>
      <c r="O85" s="3"/>
      <c r="P85" s="3"/>
      <c r="Q85" s="26"/>
      <c r="R85" s="3"/>
      <c r="S85" s="3"/>
      <c r="T85" s="3"/>
      <c r="Y85" s="3"/>
      <c r="Z85" s="3"/>
    </row>
    <row r="86" spans="3:26" x14ac:dyDescent="0.2">
      <c r="E86" s="1"/>
      <c r="F86" s="1"/>
      <c r="G86" s="1"/>
      <c r="H86" s="1"/>
      <c r="I86" s="1"/>
      <c r="M86" s="2"/>
      <c r="N86" s="3"/>
      <c r="O86" s="3"/>
      <c r="P86" s="3"/>
      <c r="Q86" s="26"/>
      <c r="R86" s="3"/>
      <c r="S86" s="3"/>
      <c r="T86" s="3"/>
      <c r="U86" s="40"/>
      <c r="V86" s="40"/>
      <c r="Z86" s="3"/>
    </row>
    <row r="87" spans="3:26" x14ac:dyDescent="0.2">
      <c r="E87" s="1"/>
      <c r="F87" s="1"/>
      <c r="G87" s="1"/>
      <c r="H87" s="1"/>
      <c r="I87" s="1"/>
      <c r="M87" s="2"/>
      <c r="N87" s="3"/>
      <c r="O87" s="3"/>
      <c r="P87" s="3"/>
      <c r="Q87" s="26"/>
      <c r="R87" s="3"/>
      <c r="V87" s="3"/>
      <c r="W87" s="3"/>
    </row>
    <row r="88" spans="3:26" x14ac:dyDescent="0.2">
      <c r="E88" s="1"/>
      <c r="F88" s="1"/>
      <c r="G88" s="1"/>
      <c r="H88" s="1"/>
      <c r="I88" s="1"/>
      <c r="M88" s="2"/>
      <c r="N88" s="3"/>
      <c r="O88" s="3"/>
      <c r="P88" s="3"/>
      <c r="Q88" s="26"/>
      <c r="V88" s="3"/>
      <c r="W88" s="3"/>
      <c r="Y88" s="3"/>
      <c r="Z88" s="3"/>
    </row>
    <row r="89" spans="3:26" x14ac:dyDescent="0.2">
      <c r="E89" s="1"/>
      <c r="F89" s="1"/>
      <c r="G89" s="1"/>
      <c r="H89" s="1"/>
      <c r="I89" s="1"/>
      <c r="M89" s="2"/>
      <c r="N89" s="3"/>
      <c r="O89" s="3"/>
      <c r="P89" s="3"/>
      <c r="Q89" s="26"/>
      <c r="V89" s="3"/>
      <c r="W89" s="3"/>
      <c r="X89" s="3"/>
      <c r="Y89" s="3"/>
      <c r="Z89" s="3"/>
    </row>
    <row r="92" spans="3:26" x14ac:dyDescent="0.2">
      <c r="C92" s="5"/>
    </row>
    <row r="93" spans="3:26" x14ac:dyDescent="0.2">
      <c r="D93" s="13"/>
      <c r="E93" s="14"/>
      <c r="F93" s="14"/>
      <c r="G93" s="14"/>
      <c r="H93" s="14"/>
      <c r="I93" s="14"/>
      <c r="J93" s="1"/>
      <c r="Q93" s="5"/>
      <c r="R93" s="5"/>
      <c r="S93" s="5"/>
    </row>
    <row r="94" spans="3:26" x14ac:dyDescent="0.2">
      <c r="D94" s="13"/>
      <c r="E94" s="14"/>
      <c r="F94" s="14"/>
      <c r="G94" s="14"/>
      <c r="H94" s="14"/>
      <c r="I94" s="14"/>
      <c r="J94" s="1"/>
      <c r="K94" s="5"/>
      <c r="L94" s="5"/>
      <c r="M94" s="5"/>
      <c r="N94" s="5"/>
      <c r="O94" s="5"/>
      <c r="Q94" s="5"/>
      <c r="R94" s="5"/>
      <c r="S94" s="5"/>
    </row>
    <row r="95" spans="3:26" x14ac:dyDescent="0.2">
      <c r="C95" s="7"/>
      <c r="D95" s="7"/>
      <c r="E95" s="10"/>
      <c r="F95" s="10"/>
      <c r="G95" s="10"/>
      <c r="H95" s="10"/>
      <c r="I95" s="10"/>
      <c r="J95" s="7"/>
      <c r="K95" s="7"/>
      <c r="L95" s="7"/>
      <c r="M95" s="11"/>
      <c r="N95" s="12"/>
      <c r="O95" s="12"/>
      <c r="P95" s="7"/>
      <c r="Q95" s="12"/>
      <c r="R95" s="12"/>
      <c r="S95" s="10"/>
    </row>
    <row r="96" spans="3:26" x14ac:dyDescent="0.2">
      <c r="C96" s="7"/>
      <c r="D96" s="7"/>
      <c r="E96" s="10"/>
      <c r="F96" s="10"/>
      <c r="G96" s="10"/>
      <c r="H96" s="10"/>
      <c r="I96" s="10"/>
      <c r="J96" s="7"/>
      <c r="K96" s="7"/>
      <c r="L96" s="7"/>
      <c r="M96" s="11"/>
      <c r="N96" s="12"/>
      <c r="O96" s="12"/>
      <c r="P96" s="7"/>
      <c r="Q96" s="12"/>
      <c r="R96" s="12"/>
      <c r="S96" s="10"/>
    </row>
    <row r="97" spans="3:21" x14ac:dyDescent="0.2">
      <c r="C97" s="7"/>
      <c r="D97" s="7"/>
      <c r="E97" s="10"/>
      <c r="F97" s="10"/>
      <c r="G97" s="10"/>
      <c r="H97" s="10"/>
      <c r="I97" s="10"/>
      <c r="J97" s="7"/>
      <c r="K97" s="7"/>
      <c r="L97" s="7"/>
      <c r="M97" s="11"/>
      <c r="N97" s="12"/>
      <c r="O97" s="12"/>
      <c r="P97" s="7"/>
      <c r="Q97" s="12"/>
      <c r="R97" s="12"/>
      <c r="S97" s="10"/>
    </row>
    <row r="98" spans="3:21" x14ac:dyDescent="0.2">
      <c r="C98" s="7"/>
      <c r="D98" s="7"/>
      <c r="E98" s="10"/>
      <c r="F98" s="10"/>
      <c r="G98" s="10"/>
      <c r="H98" s="10"/>
      <c r="I98" s="10"/>
      <c r="J98" s="7"/>
      <c r="K98" s="7"/>
      <c r="L98" s="7"/>
      <c r="M98" s="11"/>
      <c r="N98" s="12"/>
      <c r="O98" s="12"/>
      <c r="P98" s="7"/>
      <c r="Q98" s="12"/>
      <c r="R98" s="12"/>
      <c r="S98" s="10"/>
    </row>
    <row r="99" spans="3:21" x14ac:dyDescent="0.2">
      <c r="C99" s="7"/>
      <c r="D99" s="7"/>
      <c r="E99" s="10"/>
      <c r="F99" s="10"/>
      <c r="G99" s="10"/>
      <c r="H99" s="10"/>
      <c r="I99" s="10"/>
      <c r="J99" s="7"/>
      <c r="K99" s="7"/>
      <c r="L99" s="7"/>
      <c r="M99" s="11"/>
      <c r="N99" s="12"/>
      <c r="O99" s="12"/>
      <c r="P99" s="7"/>
      <c r="Q99" s="12"/>
      <c r="R99" s="12"/>
      <c r="S99" s="10"/>
    </row>
    <row r="100" spans="3:21" x14ac:dyDescent="0.2">
      <c r="C100" s="7"/>
      <c r="D100" s="7"/>
      <c r="E100" s="10"/>
      <c r="F100" s="10"/>
      <c r="G100" s="10"/>
      <c r="H100" s="10"/>
      <c r="I100" s="10"/>
      <c r="J100" s="7"/>
      <c r="K100" s="7"/>
      <c r="L100" s="7"/>
      <c r="M100" s="11"/>
      <c r="N100" s="12"/>
      <c r="O100" s="12"/>
      <c r="P100" s="7"/>
      <c r="Q100" s="12"/>
      <c r="R100" s="12"/>
      <c r="S100" s="10"/>
    </row>
    <row r="101" spans="3:21" x14ac:dyDescent="0.2">
      <c r="C101" s="7"/>
      <c r="D101" s="7"/>
      <c r="E101" s="10"/>
      <c r="F101" s="10"/>
      <c r="G101" s="10"/>
      <c r="H101" s="10"/>
      <c r="I101" s="10"/>
      <c r="J101" s="7"/>
      <c r="K101" s="7"/>
      <c r="L101" s="7"/>
      <c r="M101" s="11"/>
      <c r="N101" s="12"/>
      <c r="O101" s="12"/>
      <c r="P101" s="7"/>
      <c r="Q101" s="12"/>
      <c r="R101" s="12"/>
      <c r="S101" s="10"/>
    </row>
    <row r="102" spans="3:21" x14ac:dyDescent="0.2">
      <c r="C102" s="5"/>
    </row>
    <row r="103" spans="3:21" x14ac:dyDescent="0.2">
      <c r="E103" s="1"/>
      <c r="F103" s="1"/>
      <c r="G103" s="1"/>
      <c r="H103" s="1"/>
      <c r="I103" s="1"/>
      <c r="M103" s="2"/>
      <c r="N103" s="3"/>
      <c r="O103" s="3"/>
      <c r="Q103" s="3"/>
      <c r="R103" s="3"/>
      <c r="S103" s="1"/>
    </row>
    <row r="105" spans="3:21" x14ac:dyDescent="0.2">
      <c r="E105" s="1"/>
      <c r="F105" s="1"/>
      <c r="G105" s="1"/>
      <c r="H105" s="1"/>
      <c r="I105" s="1"/>
      <c r="M105" s="2"/>
      <c r="N105" s="3"/>
      <c r="O105" s="3"/>
      <c r="Q105" s="3"/>
      <c r="R105" s="3"/>
      <c r="S105" s="1"/>
    </row>
    <row r="106" spans="3:21" x14ac:dyDescent="0.2">
      <c r="E106" s="1"/>
      <c r="F106" s="1"/>
      <c r="G106" s="1"/>
      <c r="H106" s="1"/>
      <c r="I106" s="1"/>
      <c r="M106" s="2"/>
      <c r="N106" s="3"/>
      <c r="O106" s="3"/>
      <c r="Q106" s="3"/>
      <c r="R106" s="3"/>
      <c r="S106" s="1"/>
    </row>
    <row r="107" spans="3:21" x14ac:dyDescent="0.2">
      <c r="E107" s="1"/>
      <c r="F107" s="1"/>
      <c r="G107" s="1"/>
      <c r="H107" s="1"/>
      <c r="I107" s="1"/>
      <c r="M107" s="2"/>
      <c r="N107" s="3"/>
      <c r="O107" s="3"/>
      <c r="Q107" s="3"/>
      <c r="R107" s="3"/>
      <c r="S107" s="1"/>
    </row>
    <row r="108" spans="3:21" x14ac:dyDescent="0.2">
      <c r="E108" s="1"/>
      <c r="F108" s="1"/>
      <c r="G108" s="1"/>
      <c r="H108" s="1"/>
      <c r="I108" s="1"/>
      <c r="M108" s="2"/>
      <c r="N108" s="3"/>
      <c r="O108" s="3"/>
      <c r="Q108" s="3"/>
      <c r="R108" s="3"/>
      <c r="S108" s="1"/>
    </row>
    <row r="109" spans="3:21" x14ac:dyDescent="0.2">
      <c r="E109" s="1"/>
      <c r="F109" s="1"/>
      <c r="G109" s="1"/>
      <c r="H109" s="1"/>
      <c r="I109" s="1"/>
      <c r="M109" s="2"/>
      <c r="N109" s="3"/>
      <c r="O109" s="3"/>
      <c r="Q109" s="3"/>
      <c r="R109" s="3"/>
      <c r="S109" s="1"/>
    </row>
    <row r="110" spans="3:21" x14ac:dyDescent="0.2">
      <c r="E110" s="1"/>
      <c r="F110" s="1"/>
      <c r="G110" s="1"/>
      <c r="H110" s="1"/>
      <c r="I110" s="1"/>
      <c r="M110" s="2"/>
      <c r="N110" s="3"/>
      <c r="O110" s="3"/>
      <c r="Q110" s="3"/>
      <c r="R110" s="3"/>
      <c r="S110" s="1"/>
    </row>
    <row r="112" spans="3:21" x14ac:dyDescent="0.2">
      <c r="E112" s="1"/>
      <c r="F112" s="1"/>
      <c r="G112" s="1"/>
      <c r="H112" s="1"/>
      <c r="I112" s="1"/>
      <c r="M112" s="2"/>
      <c r="N112" s="3"/>
      <c r="O112" s="3"/>
      <c r="Q112" s="3"/>
      <c r="R112" s="3"/>
      <c r="S112" s="1"/>
      <c r="T112" s="3"/>
      <c r="U112" s="3"/>
    </row>
    <row r="113" spans="2:22" x14ac:dyDescent="0.2">
      <c r="E113" s="1"/>
      <c r="F113" s="1"/>
      <c r="G113" s="1"/>
      <c r="H113" s="1"/>
      <c r="I113" s="1"/>
      <c r="M113" s="2"/>
      <c r="N113" s="3"/>
      <c r="O113" s="3"/>
      <c r="Q113" s="3"/>
      <c r="R113" s="3"/>
      <c r="S113" s="1"/>
      <c r="T113" s="3"/>
      <c r="U113" s="3"/>
    </row>
    <row r="114" spans="2:22" x14ac:dyDescent="0.2">
      <c r="E114" s="1"/>
      <c r="F114" s="1"/>
      <c r="G114" s="1"/>
      <c r="H114" s="1"/>
      <c r="I114" s="1"/>
      <c r="M114" s="2"/>
      <c r="N114" s="3"/>
      <c r="O114" s="3"/>
      <c r="Q114" s="3"/>
      <c r="R114" s="3"/>
      <c r="S114" s="1"/>
      <c r="T114" s="3"/>
      <c r="U114" s="3"/>
    </row>
    <row r="115" spans="2:22" x14ac:dyDescent="0.2">
      <c r="E115" s="1"/>
      <c r="F115" s="1"/>
      <c r="G115" s="1"/>
      <c r="H115" s="1"/>
      <c r="I115" s="1"/>
      <c r="M115" s="2"/>
      <c r="N115" s="3"/>
      <c r="O115" s="3"/>
      <c r="Q115" s="3"/>
      <c r="R115" s="3"/>
      <c r="S115" s="1"/>
      <c r="T115" s="3"/>
      <c r="U115" s="3"/>
    </row>
    <row r="116" spans="2:22" x14ac:dyDescent="0.2">
      <c r="E116" s="1"/>
      <c r="F116" s="1"/>
      <c r="G116" s="1"/>
      <c r="H116" s="1"/>
      <c r="I116" s="1"/>
      <c r="M116" s="2"/>
      <c r="N116" s="3"/>
      <c r="O116" s="3"/>
      <c r="Q116" s="3"/>
      <c r="R116" s="3"/>
      <c r="S116" s="1"/>
      <c r="T116" s="3"/>
      <c r="U116" s="3"/>
    </row>
    <row r="117" spans="2:22" x14ac:dyDescent="0.2">
      <c r="E117" s="1"/>
      <c r="F117" s="1"/>
      <c r="G117" s="1"/>
      <c r="H117" s="1"/>
      <c r="I117" s="1"/>
      <c r="M117" s="2"/>
      <c r="N117" s="3"/>
      <c r="O117" s="3"/>
      <c r="Q117" s="3"/>
      <c r="R117" s="3"/>
      <c r="S117" s="1"/>
      <c r="T117" s="3"/>
      <c r="U117" s="3"/>
    </row>
    <row r="118" spans="2:22" x14ac:dyDescent="0.2">
      <c r="E118" s="1"/>
      <c r="F118" s="1"/>
      <c r="G118" s="1"/>
      <c r="H118" s="1"/>
      <c r="I118" s="1"/>
      <c r="M118" s="2"/>
      <c r="N118" s="3"/>
      <c r="O118" s="3"/>
      <c r="Q118" s="3"/>
      <c r="R118" s="3"/>
      <c r="S118" s="1"/>
    </row>
    <row r="119" spans="2:22" x14ac:dyDescent="0.2">
      <c r="E119" s="1"/>
      <c r="F119" s="1"/>
      <c r="G119" s="1"/>
      <c r="H119" s="1"/>
      <c r="I119" s="1"/>
      <c r="M119" s="2"/>
      <c r="N119" s="3"/>
      <c r="O119" s="3"/>
      <c r="Q119" s="3"/>
      <c r="R119" s="3"/>
      <c r="S119" s="1"/>
    </row>
    <row r="120" spans="2:22" x14ac:dyDescent="0.2">
      <c r="E120" s="1"/>
      <c r="F120" s="1"/>
      <c r="G120" s="1"/>
      <c r="H120" s="1"/>
      <c r="I120" s="1"/>
      <c r="M120" s="2"/>
      <c r="N120" s="3"/>
      <c r="O120" s="3"/>
      <c r="Q120" s="3"/>
      <c r="R120" s="3"/>
      <c r="S120" s="1"/>
      <c r="U120" s="3"/>
      <c r="V120" s="3"/>
    </row>
    <row r="121" spans="2:22" x14ac:dyDescent="0.2">
      <c r="E121" s="1"/>
      <c r="F121" s="1"/>
      <c r="G121" s="1"/>
      <c r="H121" s="1"/>
      <c r="I121" s="1"/>
      <c r="M121" s="2"/>
      <c r="N121" s="3"/>
      <c r="O121" s="3"/>
      <c r="Q121" s="3"/>
      <c r="R121" s="3"/>
      <c r="S121" s="1"/>
      <c r="U121" s="3"/>
      <c r="V121" s="3"/>
    </row>
    <row r="122" spans="2:22" x14ac:dyDescent="0.2">
      <c r="E122" s="1"/>
      <c r="F122" s="1"/>
      <c r="G122" s="1"/>
      <c r="H122" s="1"/>
      <c r="I122" s="1"/>
      <c r="M122" s="2"/>
      <c r="N122" s="3"/>
      <c r="O122" s="3"/>
      <c r="Q122" s="3"/>
      <c r="R122" s="3"/>
      <c r="S122" s="1"/>
      <c r="U122" s="3"/>
      <c r="V122" s="3"/>
    </row>
    <row r="123" spans="2:22" x14ac:dyDescent="0.2">
      <c r="E123" s="1"/>
      <c r="F123" s="1"/>
      <c r="G123" s="1"/>
      <c r="H123" s="1"/>
      <c r="I123" s="1"/>
      <c r="M123" s="2"/>
      <c r="N123" s="3"/>
      <c r="O123" s="3"/>
      <c r="Q123" s="3"/>
      <c r="R123" s="3"/>
      <c r="S123" s="1"/>
      <c r="U123" s="3"/>
      <c r="V123" s="3"/>
    </row>
    <row r="124" spans="2:22" x14ac:dyDescent="0.2">
      <c r="E124" s="1"/>
      <c r="F124" s="1"/>
      <c r="G124" s="1"/>
      <c r="H124" s="1"/>
      <c r="I124" s="1"/>
      <c r="M124" s="2"/>
      <c r="N124" s="3"/>
      <c r="O124" s="3"/>
      <c r="Q124" s="3"/>
      <c r="R124" s="3"/>
      <c r="S124" s="1"/>
      <c r="U124" s="3"/>
      <c r="V124" s="3"/>
    </row>
    <row r="125" spans="2:22" x14ac:dyDescent="0.2">
      <c r="B125" s="4"/>
      <c r="C125" s="5"/>
      <c r="U125" s="3"/>
      <c r="V125" s="3"/>
    </row>
    <row r="126" spans="2:22" x14ac:dyDescent="0.2">
      <c r="U126" s="3"/>
      <c r="V126" s="3"/>
    </row>
    <row r="127" spans="2:22" x14ac:dyDescent="0.2">
      <c r="E127" s="7"/>
      <c r="M127" s="15"/>
      <c r="U127" s="3"/>
      <c r="V127" s="3"/>
    </row>
    <row r="128" spans="2:22" x14ac:dyDescent="0.2">
      <c r="M128" s="15"/>
      <c r="O128" s="3"/>
    </row>
    <row r="129" spans="3:22" x14ac:dyDescent="0.2">
      <c r="M129" s="15"/>
      <c r="O129" s="3"/>
    </row>
    <row r="130" spans="3:22" x14ac:dyDescent="0.2">
      <c r="M130" s="15"/>
      <c r="O130" s="3"/>
    </row>
    <row r="131" spans="3:22" x14ac:dyDescent="0.2">
      <c r="M131" s="15"/>
      <c r="O131" s="3"/>
    </row>
    <row r="132" spans="3:22" x14ac:dyDescent="0.2">
      <c r="M132" s="15"/>
    </row>
    <row r="133" spans="3:22" x14ac:dyDescent="0.2">
      <c r="C133" s="5"/>
      <c r="J133" s="5"/>
      <c r="K133" s="5"/>
      <c r="L133" s="5"/>
      <c r="M133" s="5"/>
      <c r="N133" s="13"/>
      <c r="O133" s="13"/>
      <c r="P133" s="13"/>
      <c r="Q133" s="13"/>
      <c r="S133" s="5"/>
      <c r="T133" s="5"/>
      <c r="U133" s="307"/>
      <c r="V133" s="307"/>
    </row>
    <row r="135" spans="3:22" x14ac:dyDescent="0.2">
      <c r="E135" s="1"/>
      <c r="F135" s="1"/>
      <c r="G135" s="1"/>
      <c r="H135" s="1"/>
      <c r="I135" s="1"/>
      <c r="M135" s="2"/>
      <c r="N135" s="3"/>
      <c r="O135" s="3"/>
      <c r="P135" s="3"/>
      <c r="Q135" s="3"/>
    </row>
    <row r="136" spans="3:22" x14ac:dyDescent="0.2">
      <c r="E136" s="1"/>
      <c r="F136" s="1"/>
      <c r="G136" s="1"/>
      <c r="H136" s="1"/>
      <c r="I136" s="1"/>
      <c r="M136" s="2"/>
      <c r="N136" s="3"/>
      <c r="O136" s="3"/>
      <c r="P136" s="3"/>
      <c r="Q136" s="3"/>
    </row>
    <row r="137" spans="3:22" x14ac:dyDescent="0.2">
      <c r="E137" s="1"/>
      <c r="F137" s="1"/>
      <c r="G137" s="1"/>
      <c r="H137" s="1"/>
      <c r="I137" s="1"/>
      <c r="M137" s="2"/>
      <c r="N137" s="3"/>
      <c r="O137" s="3"/>
      <c r="P137" s="3"/>
      <c r="Q137" s="3"/>
    </row>
    <row r="138" spans="3:22" x14ac:dyDescent="0.2">
      <c r="M138" s="2"/>
      <c r="N138" s="3"/>
      <c r="O138" s="3"/>
      <c r="P138" s="3"/>
      <c r="Q138" s="3"/>
    </row>
    <row r="139" spans="3:22" x14ac:dyDescent="0.2">
      <c r="E139" s="1"/>
      <c r="F139" s="1"/>
      <c r="G139" s="1"/>
      <c r="H139" s="1"/>
      <c r="I139" s="1"/>
      <c r="M139" s="2"/>
      <c r="N139" s="3"/>
      <c r="O139" s="3"/>
      <c r="P139" s="3"/>
      <c r="Q139" s="3"/>
      <c r="S139" s="3"/>
      <c r="T139" s="3"/>
    </row>
    <row r="140" spans="3:22" x14ac:dyDescent="0.2">
      <c r="E140" s="1"/>
      <c r="F140" s="1"/>
      <c r="G140" s="1"/>
      <c r="H140" s="1"/>
      <c r="I140" s="1"/>
      <c r="M140" s="2"/>
      <c r="N140" s="3"/>
      <c r="O140" s="3"/>
      <c r="P140" s="3"/>
      <c r="Q140" s="3"/>
      <c r="S140" s="3"/>
      <c r="T140" s="3"/>
    </row>
    <row r="141" spans="3:22" x14ac:dyDescent="0.2">
      <c r="E141" s="1"/>
      <c r="F141" s="1"/>
      <c r="G141" s="1"/>
      <c r="H141" s="1"/>
      <c r="I141" s="1"/>
      <c r="M141" s="2"/>
      <c r="N141" s="3"/>
      <c r="O141" s="3"/>
      <c r="P141" s="3"/>
      <c r="Q141" s="3"/>
      <c r="S141" s="3"/>
      <c r="T141" s="3"/>
    </row>
    <row r="142" spans="3:22" x14ac:dyDescent="0.2">
      <c r="E142" s="1"/>
      <c r="F142" s="1"/>
      <c r="G142" s="1"/>
      <c r="H142" s="1"/>
      <c r="I142" s="1"/>
      <c r="M142" s="2"/>
      <c r="N142" s="3"/>
      <c r="O142" s="3"/>
      <c r="P142" s="3"/>
      <c r="Q142" s="3"/>
      <c r="S142" s="3"/>
      <c r="T142" s="3"/>
      <c r="U142" s="40"/>
      <c r="V142" s="40"/>
    </row>
    <row r="143" spans="3:22" x14ac:dyDescent="0.2">
      <c r="E143" s="1"/>
      <c r="F143" s="1"/>
      <c r="G143" s="1"/>
      <c r="H143" s="1"/>
      <c r="I143" s="1"/>
      <c r="M143" s="2"/>
      <c r="N143" s="3"/>
      <c r="O143" s="3"/>
      <c r="P143" s="3"/>
      <c r="Q143" s="3"/>
    </row>
    <row r="145" spans="3:22" x14ac:dyDescent="0.2">
      <c r="C145" s="5"/>
      <c r="J145" s="5"/>
      <c r="K145" s="5"/>
      <c r="L145" s="5"/>
      <c r="M145" s="5"/>
      <c r="N145" s="13"/>
      <c r="O145" s="13"/>
      <c r="P145" s="13"/>
      <c r="Q145" s="13"/>
      <c r="S145" s="5"/>
      <c r="T145" s="5"/>
      <c r="U145" s="307"/>
      <c r="V145" s="307"/>
    </row>
    <row r="147" spans="3:22" x14ac:dyDescent="0.2">
      <c r="E147" s="1"/>
      <c r="F147" s="1"/>
      <c r="G147" s="1"/>
      <c r="H147" s="1"/>
      <c r="I147" s="1"/>
      <c r="M147" s="2"/>
      <c r="N147" s="3"/>
      <c r="O147" s="3"/>
      <c r="P147" s="3"/>
      <c r="Q147" s="3"/>
    </row>
    <row r="148" spans="3:22" x14ac:dyDescent="0.2">
      <c r="E148" s="1"/>
      <c r="F148" s="1"/>
      <c r="G148" s="1"/>
      <c r="H148" s="1"/>
      <c r="I148" s="1"/>
      <c r="M148" s="2"/>
      <c r="N148" s="3"/>
      <c r="O148" s="3"/>
      <c r="P148" s="3"/>
      <c r="Q148" s="3"/>
    </row>
    <row r="149" spans="3:22" x14ac:dyDescent="0.2">
      <c r="M149" s="2"/>
      <c r="N149" s="3"/>
      <c r="O149" s="3"/>
      <c r="P149" s="3"/>
      <c r="Q149" s="3"/>
    </row>
    <row r="150" spans="3:22" x14ac:dyDescent="0.2">
      <c r="E150" s="1"/>
      <c r="F150" s="1"/>
      <c r="G150" s="1"/>
      <c r="H150" s="1"/>
      <c r="I150" s="1"/>
      <c r="M150" s="2"/>
      <c r="N150" s="3"/>
      <c r="O150" s="3"/>
      <c r="P150" s="3"/>
      <c r="Q150" s="3"/>
      <c r="S150" s="3"/>
      <c r="T150" s="3"/>
    </row>
    <row r="151" spans="3:22" x14ac:dyDescent="0.2">
      <c r="E151" s="1"/>
      <c r="F151" s="1"/>
      <c r="G151" s="1"/>
      <c r="H151" s="1"/>
      <c r="I151" s="1"/>
      <c r="M151" s="2"/>
      <c r="N151" s="3"/>
      <c r="O151" s="3"/>
      <c r="P151" s="3"/>
      <c r="Q151" s="3"/>
      <c r="S151" s="3"/>
      <c r="T151" s="3"/>
    </row>
    <row r="152" spans="3:22" x14ac:dyDescent="0.2">
      <c r="E152" s="1"/>
      <c r="F152" s="1"/>
      <c r="G152" s="1"/>
      <c r="H152" s="1"/>
      <c r="I152" s="1"/>
      <c r="M152" s="2"/>
      <c r="N152" s="3"/>
      <c r="O152" s="3"/>
      <c r="P152" s="3"/>
      <c r="Q152" s="3"/>
      <c r="S152" s="3"/>
      <c r="T152" s="3"/>
      <c r="U152" s="40"/>
      <c r="V152" s="40"/>
    </row>
    <row r="153" spans="3:22" x14ac:dyDescent="0.2">
      <c r="E153" s="1"/>
      <c r="F153" s="1"/>
      <c r="G153" s="1"/>
      <c r="H153" s="1"/>
      <c r="I153" s="1"/>
      <c r="M153" s="2"/>
      <c r="N153" s="3"/>
      <c r="O153" s="3"/>
    </row>
    <row r="154" spans="3:22" x14ac:dyDescent="0.2">
      <c r="E154" s="1"/>
      <c r="F154" s="1"/>
      <c r="G154" s="1"/>
      <c r="H154" s="1"/>
      <c r="I154" s="1"/>
      <c r="M154" s="2"/>
      <c r="N154" s="3"/>
      <c r="O154" s="3"/>
    </row>
    <row r="155" spans="3:22" x14ac:dyDescent="0.2">
      <c r="C155" s="5"/>
      <c r="E155" s="1"/>
    </row>
    <row r="157" spans="3:22" x14ac:dyDescent="0.2">
      <c r="M157" s="15"/>
    </row>
    <row r="158" spans="3:22" x14ac:dyDescent="0.2">
      <c r="M158" s="15"/>
      <c r="O158" s="3"/>
    </row>
    <row r="159" spans="3:22" x14ac:dyDescent="0.2">
      <c r="M159" s="15"/>
      <c r="O159" s="3"/>
    </row>
    <row r="160" spans="3:22" x14ac:dyDescent="0.2">
      <c r="M160" s="15"/>
      <c r="O160" s="3"/>
    </row>
    <row r="163" spans="2:19" x14ac:dyDescent="0.2">
      <c r="B163" s="4"/>
      <c r="C163" s="5"/>
    </row>
    <row r="164" spans="2:19" x14ac:dyDescent="0.2">
      <c r="E164" s="1"/>
      <c r="F164" s="1"/>
      <c r="G164" s="1"/>
      <c r="H164" s="1"/>
      <c r="I164" s="1"/>
      <c r="M164" s="2"/>
      <c r="N164" s="3"/>
      <c r="O164" s="3"/>
      <c r="Q164" s="3"/>
      <c r="R164" s="3"/>
      <c r="S164" s="1"/>
    </row>
    <row r="165" spans="2:19" x14ac:dyDescent="0.2">
      <c r="E165" s="1"/>
      <c r="F165" s="1"/>
      <c r="G165" s="1"/>
      <c r="H165" s="1"/>
      <c r="I165" s="1"/>
      <c r="M165" s="2"/>
      <c r="N165" s="3"/>
      <c r="O165" s="3"/>
      <c r="Q165" s="3"/>
      <c r="R165" s="3"/>
      <c r="S165" s="1"/>
    </row>
    <row r="166" spans="2:19" x14ac:dyDescent="0.2">
      <c r="E166" s="1"/>
      <c r="F166" s="1"/>
      <c r="G166" s="1"/>
      <c r="H166" s="1"/>
      <c r="I166" s="1"/>
      <c r="M166" s="2"/>
      <c r="N166" s="3"/>
      <c r="O166" s="3"/>
      <c r="Q166" s="3"/>
      <c r="R166" s="3"/>
      <c r="S166" s="1"/>
    </row>
    <row r="167" spans="2:19" x14ac:dyDescent="0.2">
      <c r="E167" s="1"/>
      <c r="F167" s="1"/>
      <c r="G167" s="1"/>
      <c r="H167" s="1"/>
      <c r="I167" s="1"/>
      <c r="M167" s="2"/>
      <c r="N167" s="3"/>
      <c r="O167" s="3"/>
      <c r="Q167" s="3"/>
      <c r="R167" s="3"/>
      <c r="S167" s="1"/>
    </row>
    <row r="168" spans="2:19" x14ac:dyDescent="0.2">
      <c r="E168" s="1"/>
      <c r="F168" s="1"/>
      <c r="G168" s="1"/>
      <c r="H168" s="1"/>
      <c r="I168" s="1"/>
      <c r="M168" s="2"/>
      <c r="N168" s="3"/>
      <c r="O168" s="3"/>
      <c r="Q168" s="3"/>
      <c r="R168" s="3"/>
      <c r="S168" s="1"/>
    </row>
    <row r="169" spans="2:19" x14ac:dyDescent="0.2">
      <c r="E169" s="1"/>
      <c r="F169" s="1"/>
      <c r="G169" s="1"/>
      <c r="H169" s="1"/>
      <c r="I169" s="1"/>
      <c r="M169" s="2"/>
      <c r="N169" s="3"/>
      <c r="O169" s="3"/>
      <c r="Q169" s="3"/>
      <c r="R169" s="3"/>
      <c r="S169" s="1"/>
    </row>
    <row r="172" spans="2:19" x14ac:dyDescent="0.2">
      <c r="C172" s="5"/>
    </row>
    <row r="173" spans="2:19" x14ac:dyDescent="0.2">
      <c r="E173" s="1"/>
      <c r="F173" s="1"/>
      <c r="G173" s="1"/>
      <c r="H173" s="1"/>
      <c r="I173" s="1"/>
      <c r="M173" s="2"/>
      <c r="N173" s="3"/>
      <c r="O173" s="3"/>
      <c r="Q173" s="3"/>
      <c r="R173" s="3"/>
      <c r="S173" s="1"/>
    </row>
    <row r="174" spans="2:19" x14ac:dyDescent="0.2">
      <c r="E174" s="1"/>
      <c r="F174" s="1"/>
      <c r="G174" s="1"/>
      <c r="H174" s="1"/>
      <c r="I174" s="1"/>
      <c r="M174" s="2"/>
      <c r="N174" s="3"/>
      <c r="O174" s="3"/>
      <c r="Q174" s="3"/>
      <c r="R174" s="3"/>
      <c r="S174" s="1"/>
    </row>
    <row r="175" spans="2:19" x14ac:dyDescent="0.2">
      <c r="E175" s="1"/>
      <c r="F175" s="1"/>
      <c r="G175" s="1"/>
      <c r="H175" s="1"/>
      <c r="I175" s="1"/>
      <c r="M175" s="2"/>
      <c r="N175" s="3"/>
      <c r="O175" s="3"/>
      <c r="Q175" s="3"/>
      <c r="R175" s="3"/>
      <c r="S175" s="1"/>
    </row>
    <row r="176" spans="2:19" x14ac:dyDescent="0.2">
      <c r="E176" s="1"/>
      <c r="F176" s="1"/>
      <c r="G176" s="1"/>
      <c r="H176" s="1"/>
      <c r="I176" s="1"/>
      <c r="M176" s="2"/>
      <c r="N176" s="3"/>
      <c r="O176" s="3"/>
      <c r="Q176" s="3"/>
      <c r="R176" s="3"/>
      <c r="S176" s="1"/>
    </row>
    <row r="177" spans="2:19" x14ac:dyDescent="0.2">
      <c r="E177" s="1"/>
      <c r="F177" s="1"/>
      <c r="G177" s="1"/>
      <c r="H177" s="1"/>
      <c r="I177" s="1"/>
      <c r="M177" s="2"/>
      <c r="N177" s="3"/>
      <c r="O177" s="3"/>
      <c r="Q177" s="3"/>
      <c r="R177" s="3"/>
      <c r="S177" s="1"/>
    </row>
    <row r="179" spans="2:19" x14ac:dyDescent="0.2">
      <c r="G179" s="1"/>
      <c r="H179" s="1"/>
      <c r="I179" s="1"/>
      <c r="M179" s="2"/>
      <c r="N179" s="3"/>
      <c r="O179" s="3"/>
      <c r="Q179" s="3"/>
      <c r="R179" s="3"/>
      <c r="S179" s="1"/>
    </row>
    <row r="182" spans="2:19" x14ac:dyDescent="0.2">
      <c r="B182" s="4"/>
      <c r="C182" s="5"/>
    </row>
    <row r="184" spans="2:19" x14ac:dyDescent="0.2">
      <c r="E184" s="1"/>
      <c r="F184" s="1"/>
      <c r="G184" s="1"/>
      <c r="H184" s="1"/>
      <c r="I184" s="1"/>
      <c r="M184" s="2"/>
      <c r="N184" s="3"/>
      <c r="O184" s="3"/>
      <c r="Q184" s="3"/>
      <c r="R184" s="3"/>
      <c r="S184" s="1"/>
    </row>
    <row r="185" spans="2:19" x14ac:dyDescent="0.2">
      <c r="E185" s="1"/>
      <c r="F185" s="1"/>
      <c r="G185" s="1"/>
      <c r="H185" s="1"/>
      <c r="I185" s="1"/>
      <c r="M185" s="2"/>
      <c r="N185" s="3"/>
      <c r="O185" s="3"/>
      <c r="Q185" s="3"/>
      <c r="R185" s="3"/>
      <c r="S185" s="1"/>
    </row>
    <row r="186" spans="2:19" x14ac:dyDescent="0.2">
      <c r="E186" s="1"/>
      <c r="F186" s="1"/>
      <c r="G186" s="1"/>
      <c r="H186" s="1"/>
      <c r="I186" s="1"/>
      <c r="M186" s="2"/>
      <c r="N186" s="3"/>
      <c r="O186" s="3"/>
      <c r="Q186" s="3"/>
      <c r="R186" s="3"/>
      <c r="S186" s="1"/>
    </row>
    <row r="187" spans="2:19" x14ac:dyDescent="0.2">
      <c r="E187" s="1"/>
      <c r="F187" s="1"/>
      <c r="G187" s="1"/>
      <c r="H187" s="1"/>
      <c r="I187" s="1"/>
      <c r="M187" s="2"/>
      <c r="N187" s="3"/>
      <c r="O187" s="3"/>
      <c r="Q187" s="3"/>
      <c r="R187" s="3"/>
      <c r="S187" s="1"/>
    </row>
    <row r="188" spans="2:19" x14ac:dyDescent="0.2">
      <c r="E188" s="1"/>
      <c r="F188" s="1"/>
      <c r="G188" s="1"/>
      <c r="H188" s="1"/>
      <c r="I188" s="1"/>
      <c r="M188" s="2"/>
      <c r="N188" s="3"/>
      <c r="O188" s="3"/>
      <c r="Q188" s="3"/>
      <c r="R188" s="3"/>
      <c r="S188" s="1"/>
    </row>
    <row r="190" spans="2:19" x14ac:dyDescent="0.2">
      <c r="G190" s="1"/>
      <c r="H190" s="1"/>
      <c r="I190" s="1"/>
      <c r="M190" s="2"/>
      <c r="N190" s="3"/>
      <c r="O190" s="3"/>
      <c r="Q190" s="3"/>
      <c r="R190" s="3"/>
      <c r="S190" s="1"/>
    </row>
    <row r="191" spans="2:19" x14ac:dyDescent="0.2">
      <c r="G191" s="1"/>
      <c r="H191" s="1"/>
      <c r="I191" s="1"/>
      <c r="M191" s="2"/>
      <c r="N191" s="3"/>
      <c r="O191" s="3"/>
      <c r="Q191" s="3"/>
      <c r="R191" s="3"/>
      <c r="S191" s="1"/>
    </row>
    <row r="193" spans="3:22" x14ac:dyDescent="0.2">
      <c r="C193" s="5"/>
    </row>
    <row r="195" spans="3:22" x14ac:dyDescent="0.2">
      <c r="E195" s="1"/>
      <c r="F195" s="1"/>
      <c r="G195" s="1"/>
      <c r="H195" s="1"/>
      <c r="I195" s="1"/>
      <c r="M195" s="2"/>
      <c r="N195" s="3"/>
      <c r="O195" s="3"/>
      <c r="Q195" s="3"/>
      <c r="R195" s="3"/>
      <c r="S195" s="1"/>
    </row>
    <row r="196" spans="3:22" x14ac:dyDescent="0.2">
      <c r="E196" s="1"/>
      <c r="F196" s="1"/>
      <c r="G196" s="1"/>
      <c r="H196" s="1"/>
      <c r="I196" s="1"/>
      <c r="M196" s="2"/>
      <c r="N196" s="3"/>
      <c r="O196" s="3"/>
      <c r="Q196" s="3"/>
      <c r="R196" s="3"/>
      <c r="S196" s="1"/>
    </row>
    <row r="197" spans="3:22" x14ac:dyDescent="0.2">
      <c r="E197" s="1"/>
      <c r="F197" s="1"/>
      <c r="G197" s="1"/>
      <c r="H197" s="1"/>
      <c r="I197" s="1"/>
      <c r="M197" s="2"/>
      <c r="N197" s="3"/>
      <c r="O197" s="3"/>
      <c r="Q197" s="3"/>
      <c r="R197" s="3"/>
      <c r="S197" s="1"/>
    </row>
    <row r="198" spans="3:22" x14ac:dyDescent="0.2">
      <c r="E198" s="1"/>
      <c r="F198" s="1"/>
      <c r="G198" s="1"/>
      <c r="H198" s="1"/>
      <c r="I198" s="1"/>
      <c r="M198" s="2"/>
      <c r="N198" s="3"/>
      <c r="O198" s="3"/>
      <c r="Q198" s="3"/>
      <c r="R198" s="3"/>
      <c r="S198" s="1"/>
    </row>
    <row r="199" spans="3:22" x14ac:dyDescent="0.2">
      <c r="E199" s="1"/>
      <c r="F199" s="1"/>
      <c r="G199" s="1"/>
      <c r="H199" s="1"/>
      <c r="I199" s="1"/>
      <c r="M199" s="2"/>
      <c r="N199" s="3"/>
      <c r="O199" s="3"/>
      <c r="Q199" s="3"/>
      <c r="R199" s="3"/>
      <c r="S199" s="1"/>
    </row>
    <row r="200" spans="3:22" x14ac:dyDescent="0.2">
      <c r="E200" s="1"/>
      <c r="F200" s="1"/>
      <c r="G200" s="1"/>
      <c r="H200" s="1"/>
      <c r="I200" s="1"/>
      <c r="M200" s="2"/>
      <c r="N200" s="3"/>
      <c r="O200" s="3"/>
      <c r="Q200" s="3"/>
      <c r="R200" s="3"/>
      <c r="S200" s="1"/>
    </row>
    <row r="201" spans="3:22" x14ac:dyDescent="0.2">
      <c r="E201" s="1"/>
      <c r="F201" s="1"/>
      <c r="G201" s="1"/>
      <c r="H201" s="1"/>
      <c r="I201" s="1"/>
      <c r="M201" s="2"/>
      <c r="N201" s="3"/>
      <c r="O201" s="3"/>
      <c r="Q201" s="3"/>
      <c r="R201" s="3"/>
      <c r="S201" s="1"/>
    </row>
    <row r="202" spans="3:22" x14ac:dyDescent="0.2">
      <c r="E202" s="1"/>
    </row>
    <row r="203" spans="3:22" x14ac:dyDescent="0.2">
      <c r="C203" s="5"/>
    </row>
    <row r="204" spans="3:22" x14ac:dyDescent="0.2">
      <c r="M204" s="15"/>
    </row>
    <row r="205" spans="3:22" x14ac:dyDescent="0.2">
      <c r="M205" s="15"/>
    </row>
    <row r="206" spans="3:22" x14ac:dyDescent="0.2">
      <c r="J206" s="5"/>
      <c r="K206" s="5"/>
      <c r="L206" s="5"/>
      <c r="M206" s="5"/>
      <c r="N206" s="13"/>
      <c r="O206" s="13"/>
      <c r="P206" s="13"/>
      <c r="Q206" s="13"/>
      <c r="S206" s="5"/>
      <c r="T206" s="5"/>
      <c r="U206" s="307"/>
      <c r="V206" s="307"/>
    </row>
    <row r="207" spans="3:22" x14ac:dyDescent="0.2">
      <c r="C207" s="5"/>
    </row>
    <row r="208" spans="3:22" x14ac:dyDescent="0.2">
      <c r="E208" s="1"/>
      <c r="F208" s="1"/>
      <c r="G208" s="1"/>
      <c r="H208" s="1"/>
      <c r="I208" s="1"/>
      <c r="M208" s="2"/>
      <c r="N208" s="3"/>
      <c r="O208" s="3"/>
      <c r="P208" s="3"/>
      <c r="Q208" s="3"/>
      <c r="R208" s="3"/>
      <c r="S208" s="3"/>
      <c r="T208" s="3"/>
      <c r="U208" s="40"/>
      <c r="V208" s="40"/>
    </row>
    <row r="209" spans="3:22" x14ac:dyDescent="0.2">
      <c r="E209" s="1"/>
      <c r="F209" s="1"/>
      <c r="G209" s="1"/>
      <c r="H209" s="1"/>
      <c r="I209" s="1"/>
      <c r="M209" s="2"/>
      <c r="N209" s="3"/>
      <c r="O209" s="3"/>
      <c r="P209" s="3"/>
      <c r="Q209" s="3"/>
      <c r="R209" s="3"/>
      <c r="S209" s="3"/>
    </row>
    <row r="210" spans="3:22" x14ac:dyDescent="0.2">
      <c r="E210" s="1"/>
      <c r="F210" s="1"/>
      <c r="G210" s="1"/>
      <c r="H210" s="1"/>
      <c r="I210" s="1"/>
      <c r="M210" s="2"/>
      <c r="N210" s="3"/>
      <c r="O210" s="3"/>
      <c r="P210" s="3"/>
      <c r="Q210" s="3"/>
      <c r="R210" s="3"/>
      <c r="S210" s="3"/>
    </row>
    <row r="213" spans="3:22" x14ac:dyDescent="0.2">
      <c r="C213" s="5"/>
      <c r="J213" s="5"/>
      <c r="K213" s="5"/>
      <c r="L213" s="5"/>
      <c r="M213" s="5"/>
      <c r="N213" s="13"/>
      <c r="O213" s="13"/>
      <c r="P213" s="13"/>
      <c r="Q213" s="13"/>
      <c r="S213" s="5"/>
      <c r="T213" s="5"/>
      <c r="U213" s="307"/>
      <c r="V213" s="307"/>
    </row>
    <row r="215" spans="3:22" x14ac:dyDescent="0.2">
      <c r="C215" s="7"/>
      <c r="D215" s="7"/>
      <c r="E215" s="10"/>
      <c r="F215" s="10"/>
      <c r="G215" s="10"/>
      <c r="H215" s="10"/>
      <c r="I215" s="10"/>
      <c r="M215" s="2"/>
      <c r="N215" s="3"/>
      <c r="O215" s="3"/>
      <c r="P215" s="3"/>
      <c r="Q215" s="3"/>
      <c r="R215" s="12"/>
      <c r="S215" s="10"/>
    </row>
    <row r="216" spans="3:22" x14ac:dyDescent="0.2">
      <c r="C216" s="7"/>
      <c r="D216" s="7"/>
      <c r="E216" s="10"/>
      <c r="F216" s="10"/>
      <c r="G216" s="10"/>
      <c r="H216" s="10"/>
      <c r="I216" s="10"/>
      <c r="M216" s="2"/>
      <c r="N216" s="3"/>
      <c r="O216" s="3"/>
      <c r="P216" s="3"/>
      <c r="Q216" s="3"/>
      <c r="R216" s="12"/>
      <c r="S216" s="10"/>
    </row>
    <row r="217" spans="3:22" x14ac:dyDescent="0.2">
      <c r="C217" s="7"/>
      <c r="D217" s="7"/>
      <c r="E217" s="10"/>
      <c r="F217" s="10"/>
      <c r="G217" s="10"/>
      <c r="H217" s="10"/>
      <c r="I217" s="10"/>
      <c r="M217" s="2"/>
      <c r="N217" s="3"/>
      <c r="O217" s="3"/>
      <c r="P217" s="3"/>
      <c r="Q217" s="3"/>
      <c r="R217" s="12"/>
      <c r="S217" s="10"/>
    </row>
    <row r="218" spans="3:22" x14ac:dyDescent="0.2">
      <c r="M218" s="2"/>
      <c r="N218" s="3"/>
      <c r="O218" s="3"/>
      <c r="P218" s="3"/>
      <c r="Q218" s="3"/>
      <c r="R218" s="3"/>
      <c r="S218" s="3"/>
      <c r="T218" s="3"/>
    </row>
    <row r="219" spans="3:22" x14ac:dyDescent="0.2">
      <c r="E219" s="1"/>
      <c r="F219" s="1"/>
      <c r="G219" s="1"/>
      <c r="H219" s="1"/>
      <c r="I219" s="1"/>
      <c r="M219" s="2"/>
      <c r="N219" s="3"/>
      <c r="O219" s="3"/>
      <c r="P219" s="3"/>
      <c r="Q219" s="3"/>
      <c r="R219" s="3"/>
      <c r="S219" s="3"/>
      <c r="T219" s="3"/>
    </row>
    <row r="220" spans="3:22" x14ac:dyDescent="0.2">
      <c r="E220" s="1"/>
      <c r="F220" s="1"/>
      <c r="G220" s="1"/>
      <c r="H220" s="1"/>
      <c r="I220" s="1"/>
      <c r="M220" s="2"/>
      <c r="N220" s="3"/>
      <c r="O220" s="3"/>
      <c r="P220" s="3"/>
      <c r="Q220" s="3"/>
      <c r="R220" s="3"/>
      <c r="S220" s="3"/>
      <c r="T220" s="3"/>
    </row>
    <row r="221" spans="3:22" x14ac:dyDescent="0.2">
      <c r="E221" s="1"/>
      <c r="F221" s="1"/>
      <c r="G221" s="1"/>
      <c r="H221" s="1"/>
      <c r="I221" s="1"/>
      <c r="M221" s="2"/>
      <c r="N221" s="3"/>
      <c r="O221" s="3"/>
      <c r="P221" s="3"/>
      <c r="Q221" s="3"/>
      <c r="R221" s="3"/>
      <c r="S221" s="3"/>
      <c r="T221" s="3"/>
    </row>
    <row r="222" spans="3:22" x14ac:dyDescent="0.2">
      <c r="E222" s="1"/>
      <c r="F222" s="1"/>
      <c r="G222" s="1"/>
      <c r="H222" s="1"/>
      <c r="I222" s="1"/>
      <c r="M222" s="2"/>
      <c r="N222" s="3"/>
      <c r="O222" s="3"/>
      <c r="P222" s="3"/>
      <c r="Q222" s="3"/>
      <c r="R222" s="3"/>
      <c r="S222" s="3"/>
      <c r="T222" s="3"/>
      <c r="U222" s="42"/>
      <c r="V222" s="42"/>
    </row>
    <row r="223" spans="3:22" x14ac:dyDescent="0.2">
      <c r="E223" s="1"/>
      <c r="F223" s="1"/>
      <c r="G223" s="1"/>
      <c r="H223" s="1"/>
      <c r="I223" s="1"/>
      <c r="M223" s="2"/>
      <c r="N223" s="3"/>
      <c r="O223" s="3"/>
      <c r="P223" s="3"/>
      <c r="Q223" s="3"/>
      <c r="R223" s="3"/>
      <c r="S223" s="3"/>
      <c r="T223" s="3"/>
      <c r="U223" s="7"/>
      <c r="V223" s="7"/>
    </row>
    <row r="224" spans="3:22" x14ac:dyDescent="0.2">
      <c r="E224" s="1"/>
      <c r="F224" s="1"/>
      <c r="G224" s="1"/>
      <c r="H224" s="1"/>
      <c r="I224" s="1"/>
      <c r="M224" s="2"/>
      <c r="N224" s="3"/>
      <c r="O224" s="3"/>
      <c r="P224" s="3"/>
      <c r="Q224" s="3"/>
      <c r="R224" s="3"/>
      <c r="S224" s="3"/>
      <c r="T224" s="3"/>
      <c r="U224" s="7"/>
    </row>
    <row r="227" spans="3:19" x14ac:dyDescent="0.2">
      <c r="C227" s="17"/>
    </row>
    <row r="228" spans="3:19" x14ac:dyDescent="0.2">
      <c r="C228" s="5"/>
    </row>
    <row r="230" spans="3:19" x14ac:dyDescent="0.2">
      <c r="E230" s="1"/>
      <c r="F230" s="1"/>
      <c r="G230" s="1"/>
      <c r="H230" s="1"/>
      <c r="I230" s="1"/>
      <c r="M230" s="2"/>
      <c r="N230" s="3"/>
      <c r="O230" s="3"/>
      <c r="Q230" s="3"/>
      <c r="R230" s="3"/>
      <c r="S230" s="1"/>
    </row>
    <row r="231" spans="3:19" x14ac:dyDescent="0.2">
      <c r="E231" s="1"/>
      <c r="F231" s="1"/>
      <c r="G231" s="1"/>
      <c r="H231" s="1"/>
      <c r="I231" s="1"/>
      <c r="M231" s="2"/>
      <c r="N231" s="3"/>
      <c r="O231" s="3"/>
      <c r="Q231" s="3"/>
      <c r="R231" s="3"/>
      <c r="S231" s="1"/>
    </row>
    <row r="232" spans="3:19" x14ac:dyDescent="0.2">
      <c r="E232" s="1"/>
      <c r="F232" s="1"/>
      <c r="G232" s="1"/>
      <c r="H232" s="1"/>
      <c r="I232" s="1"/>
      <c r="M232" s="2"/>
      <c r="N232" s="3"/>
      <c r="O232" s="3"/>
      <c r="Q232" s="3"/>
      <c r="R232" s="3"/>
      <c r="S232" s="1"/>
    </row>
    <row r="233" spans="3:19" x14ac:dyDescent="0.2">
      <c r="E233" s="1"/>
      <c r="F233" s="1"/>
      <c r="G233" s="1"/>
      <c r="H233" s="1"/>
      <c r="I233" s="1"/>
      <c r="M233" s="2"/>
      <c r="N233" s="3"/>
      <c r="O233" s="3"/>
      <c r="Q233" s="3"/>
      <c r="R233" s="3"/>
      <c r="S233" s="1"/>
    </row>
    <row r="234" spans="3:19" x14ac:dyDescent="0.2">
      <c r="E234" s="1"/>
      <c r="F234" s="1"/>
      <c r="G234" s="1"/>
      <c r="H234" s="1"/>
      <c r="I234" s="1"/>
      <c r="M234" s="2"/>
      <c r="N234" s="3"/>
      <c r="O234" s="3"/>
      <c r="Q234" s="3"/>
      <c r="R234" s="3"/>
      <c r="S234" s="1"/>
    </row>
    <row r="236" spans="3:19" x14ac:dyDescent="0.2">
      <c r="C236" s="5"/>
    </row>
    <row r="237" spans="3:19" x14ac:dyDescent="0.2">
      <c r="E237" s="1"/>
      <c r="F237" s="1"/>
      <c r="G237" s="1"/>
      <c r="H237" s="1"/>
      <c r="I237" s="1"/>
      <c r="M237" s="2"/>
      <c r="N237" s="3"/>
      <c r="O237" s="3"/>
      <c r="Q237" s="3"/>
      <c r="R237" s="3"/>
      <c r="S237" s="1"/>
    </row>
    <row r="238" spans="3:19" x14ac:dyDescent="0.2">
      <c r="E238" s="1"/>
      <c r="F238" s="1"/>
      <c r="G238" s="1"/>
      <c r="H238" s="1"/>
      <c r="I238" s="1"/>
      <c r="M238" s="2"/>
      <c r="N238" s="3"/>
      <c r="O238" s="3"/>
      <c r="Q238" s="3"/>
      <c r="R238" s="3"/>
      <c r="S238" s="1"/>
    </row>
    <row r="239" spans="3:19" x14ac:dyDescent="0.2">
      <c r="E239" s="1"/>
      <c r="F239" s="1"/>
      <c r="G239" s="1"/>
      <c r="H239" s="1"/>
      <c r="I239" s="1"/>
      <c r="M239" s="2"/>
      <c r="N239" s="3"/>
      <c r="O239" s="3"/>
      <c r="Q239" s="3"/>
      <c r="R239" s="3"/>
      <c r="S239" s="1"/>
    </row>
    <row r="240" spans="3:19" x14ac:dyDescent="0.2">
      <c r="E240" s="1"/>
      <c r="F240" s="1"/>
      <c r="G240" s="1"/>
      <c r="H240" s="1"/>
      <c r="I240" s="1"/>
      <c r="M240" s="2"/>
      <c r="N240" s="3"/>
      <c r="O240" s="3"/>
      <c r="Q240" s="3"/>
      <c r="R240" s="3"/>
      <c r="S240" s="1"/>
    </row>
    <row r="241" spans="3:19" x14ac:dyDescent="0.2">
      <c r="E241" s="1"/>
      <c r="F241" s="1"/>
      <c r="G241" s="1"/>
      <c r="H241" s="1"/>
      <c r="I241" s="1"/>
      <c r="M241" s="2"/>
      <c r="N241" s="3"/>
      <c r="O241" s="3"/>
      <c r="Q241" s="3"/>
      <c r="R241" s="3"/>
      <c r="S241" s="1"/>
    </row>
    <row r="243" spans="3:19" x14ac:dyDescent="0.2">
      <c r="C243" s="41"/>
      <c r="D243" s="7"/>
      <c r="E243" s="10"/>
      <c r="F243" s="7"/>
      <c r="G243" s="7"/>
      <c r="H243" s="7"/>
      <c r="I243" s="7"/>
      <c r="J243" s="7"/>
      <c r="K243" s="7"/>
      <c r="L243" s="7"/>
      <c r="M243" s="7"/>
      <c r="N243" s="7"/>
      <c r="O243" s="7"/>
    </row>
    <row r="244" spans="3:19" x14ac:dyDescent="0.2"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</row>
    <row r="245" spans="3:19" x14ac:dyDescent="0.2"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22"/>
      <c r="N245" s="7"/>
      <c r="O245" s="7"/>
    </row>
    <row r="246" spans="3:19" x14ac:dyDescent="0.2"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22"/>
      <c r="N246" s="7"/>
      <c r="O246" s="12"/>
    </row>
    <row r="247" spans="3:19" x14ac:dyDescent="0.2"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22"/>
      <c r="N247" s="7"/>
      <c r="O247" s="12"/>
    </row>
    <row r="248" spans="3:19" x14ac:dyDescent="0.2"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22"/>
      <c r="N248" s="7"/>
      <c r="O248" s="12"/>
    </row>
    <row r="249" spans="3:19" x14ac:dyDescent="0.2"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22"/>
      <c r="N249" s="7"/>
      <c r="O249" s="12"/>
    </row>
    <row r="250" spans="3:19" x14ac:dyDescent="0.2">
      <c r="N250" s="3"/>
      <c r="O250" s="3"/>
    </row>
    <row r="251" spans="3:19" x14ac:dyDescent="0.2">
      <c r="C251" s="5"/>
    </row>
    <row r="252" spans="3:19" x14ac:dyDescent="0.2">
      <c r="E252" s="1"/>
      <c r="F252" s="1"/>
      <c r="G252" s="1"/>
      <c r="H252" s="1"/>
      <c r="I252" s="1"/>
      <c r="M252" s="2"/>
      <c r="N252" s="3"/>
      <c r="O252" s="3"/>
      <c r="Q252" s="3"/>
      <c r="R252" s="3"/>
      <c r="S252" s="1"/>
    </row>
    <row r="253" spans="3:19" x14ac:dyDescent="0.2">
      <c r="E253" s="1"/>
      <c r="F253" s="1"/>
      <c r="G253" s="1"/>
      <c r="H253" s="1"/>
      <c r="I253" s="1"/>
      <c r="M253" s="2"/>
      <c r="N253" s="3"/>
      <c r="O253" s="3"/>
      <c r="Q253" s="3"/>
      <c r="R253" s="3"/>
      <c r="S253" s="1"/>
    </row>
    <row r="254" spans="3:19" x14ac:dyDescent="0.2">
      <c r="E254" s="1"/>
      <c r="F254" s="1"/>
      <c r="G254" s="1"/>
      <c r="H254" s="1"/>
      <c r="I254" s="1"/>
      <c r="M254" s="2"/>
      <c r="N254" s="3"/>
      <c r="O254" s="3"/>
      <c r="Q254" s="3"/>
      <c r="R254" s="3"/>
      <c r="S254" s="1"/>
    </row>
    <row r="255" spans="3:19" x14ac:dyDescent="0.2">
      <c r="E255" s="1"/>
      <c r="F255" s="1"/>
      <c r="G255" s="1"/>
      <c r="H255" s="1"/>
      <c r="I255" s="1"/>
      <c r="M255" s="2"/>
      <c r="N255" s="3"/>
      <c r="O255" s="3"/>
      <c r="Q255" s="3"/>
      <c r="R255" s="3"/>
      <c r="S255" s="1"/>
    </row>
    <row r="256" spans="3:19" x14ac:dyDescent="0.2">
      <c r="E256" s="1"/>
      <c r="F256" s="1"/>
      <c r="G256" s="1"/>
      <c r="H256" s="1"/>
      <c r="I256" s="1"/>
      <c r="M256" s="2"/>
      <c r="N256" s="3"/>
      <c r="O256" s="3"/>
      <c r="Q256" s="3"/>
      <c r="R256" s="3"/>
      <c r="S256" s="1"/>
    </row>
    <row r="258" spans="3:15" x14ac:dyDescent="0.2">
      <c r="C258" s="5"/>
      <c r="E258" s="1"/>
    </row>
    <row r="260" spans="3:15" x14ac:dyDescent="0.2"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22"/>
      <c r="N260" s="7"/>
      <c r="O260" s="7"/>
    </row>
    <row r="261" spans="3:15" x14ac:dyDescent="0.2"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22"/>
      <c r="N261" s="7"/>
      <c r="O261" s="12"/>
    </row>
    <row r="262" spans="3:15" x14ac:dyDescent="0.2"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22"/>
      <c r="N262" s="7"/>
      <c r="O262" s="12"/>
    </row>
    <row r="263" spans="3:15" x14ac:dyDescent="0.2"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22"/>
      <c r="N263" s="7"/>
      <c r="O263" s="12"/>
    </row>
    <row r="264" spans="3:15" x14ac:dyDescent="0.2"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22"/>
      <c r="N264" s="7"/>
      <c r="O264" s="12"/>
    </row>
    <row r="265" spans="3:15" x14ac:dyDescent="0.2">
      <c r="C265" s="7"/>
      <c r="D265" s="7"/>
      <c r="E265" s="10"/>
      <c r="F265" s="10"/>
      <c r="G265" s="10"/>
      <c r="H265" s="10"/>
      <c r="I265" s="10"/>
      <c r="J265" s="7"/>
      <c r="K265" s="7"/>
      <c r="L265" s="23"/>
      <c r="M265" s="23"/>
      <c r="N265" s="12"/>
      <c r="O265" s="7"/>
    </row>
    <row r="266" spans="3:15" x14ac:dyDescent="0.2">
      <c r="C266" s="5"/>
      <c r="D266" s="7"/>
      <c r="E266" s="24"/>
      <c r="F266" s="10"/>
      <c r="G266" s="10"/>
      <c r="H266" s="10"/>
      <c r="I266" s="10"/>
      <c r="J266" s="7"/>
      <c r="K266" s="7"/>
      <c r="N266" s="25"/>
      <c r="O266" s="7"/>
    </row>
    <row r="267" spans="3:15" x14ac:dyDescent="0.2">
      <c r="E267" s="1"/>
      <c r="M267" s="15"/>
    </row>
    <row r="268" spans="3:15" x14ac:dyDescent="0.2">
      <c r="M268" s="15"/>
      <c r="O268" s="3"/>
    </row>
    <row r="269" spans="3:15" x14ac:dyDescent="0.2">
      <c r="E269" s="1"/>
      <c r="M269" s="15"/>
      <c r="O269" s="3"/>
    </row>
    <row r="270" spans="3:15" x14ac:dyDescent="0.2">
      <c r="E270" s="1"/>
      <c r="M270" s="15"/>
      <c r="O270" s="3"/>
    </row>
    <row r="271" spans="3:15" x14ac:dyDescent="0.2">
      <c r="E271" s="1"/>
      <c r="M271" s="15"/>
      <c r="O271" s="3"/>
    </row>
    <row r="272" spans="3:15" x14ac:dyDescent="0.2">
      <c r="E272" s="1"/>
      <c r="F272" s="1"/>
      <c r="G272" s="1"/>
      <c r="H272" s="1"/>
      <c r="I272" s="1"/>
      <c r="L272" s="18"/>
      <c r="M272" s="18"/>
      <c r="N272" s="3"/>
    </row>
    <row r="273" spans="2:21" x14ac:dyDescent="0.2">
      <c r="E273" s="1"/>
      <c r="F273" s="1"/>
      <c r="G273" s="1"/>
      <c r="H273" s="1"/>
      <c r="I273" s="1"/>
      <c r="L273" s="18"/>
      <c r="M273" s="18"/>
      <c r="N273" s="3"/>
    </row>
    <row r="274" spans="2:21" x14ac:dyDescent="0.2">
      <c r="E274" s="1"/>
      <c r="F274" s="1"/>
      <c r="G274" s="1"/>
      <c r="H274" s="1"/>
      <c r="I274" s="1"/>
      <c r="L274" s="18"/>
      <c r="N274" s="18"/>
      <c r="O274" s="3"/>
      <c r="T274" s="310"/>
      <c r="U274" s="310"/>
    </row>
    <row r="275" spans="2:21" x14ac:dyDescent="0.2">
      <c r="B275" s="4"/>
      <c r="C275" s="5"/>
      <c r="N275" s="2"/>
      <c r="O275" s="25"/>
    </row>
    <row r="276" spans="2:21" x14ac:dyDescent="0.2">
      <c r="E276" s="1"/>
      <c r="F276" s="1"/>
      <c r="G276" s="1"/>
      <c r="H276" s="1"/>
      <c r="I276" s="1"/>
      <c r="N276" s="6"/>
      <c r="O276" s="6"/>
      <c r="P276" s="26"/>
      <c r="Q276" s="26"/>
      <c r="R276" s="3"/>
      <c r="S276" s="3"/>
    </row>
    <row r="277" spans="2:21" x14ac:dyDescent="0.2">
      <c r="E277" s="1"/>
      <c r="F277" s="1"/>
      <c r="G277" s="1"/>
      <c r="H277" s="1"/>
      <c r="I277" s="1"/>
      <c r="N277" s="6"/>
      <c r="O277" s="6"/>
      <c r="P277" s="2"/>
    </row>
    <row r="278" spans="2:21" x14ac:dyDescent="0.2">
      <c r="E278" s="1"/>
      <c r="F278" s="1"/>
      <c r="G278" s="1"/>
      <c r="H278" s="1"/>
      <c r="I278" s="1"/>
      <c r="N278" s="6"/>
      <c r="O278" s="6"/>
      <c r="P278" s="26"/>
      <c r="Q278" s="26"/>
      <c r="R278" s="3"/>
      <c r="S278" s="3"/>
    </row>
    <row r="279" spans="2:21" x14ac:dyDescent="0.2">
      <c r="E279" s="1"/>
      <c r="F279" s="1"/>
      <c r="G279" s="1"/>
      <c r="H279" s="1"/>
      <c r="I279" s="1"/>
      <c r="N279" s="6"/>
      <c r="O279" s="6"/>
      <c r="P279" s="26"/>
      <c r="Q279" s="26"/>
    </row>
    <row r="280" spans="2:21" x14ac:dyDescent="0.2">
      <c r="E280" s="1"/>
      <c r="F280" s="1"/>
      <c r="G280" s="1"/>
      <c r="H280" s="1"/>
      <c r="I280" s="1"/>
      <c r="N280" s="6"/>
      <c r="O280" s="6"/>
      <c r="P280" s="26"/>
      <c r="Q280" s="26"/>
      <c r="R280" s="3"/>
      <c r="S280" s="3"/>
    </row>
    <row r="281" spans="2:21" x14ac:dyDescent="0.2">
      <c r="E281" s="1"/>
      <c r="F281" s="1"/>
      <c r="G281" s="1"/>
      <c r="H281" s="1"/>
      <c r="I281" s="1"/>
      <c r="N281" s="6"/>
      <c r="O281" s="6"/>
      <c r="P281" s="26"/>
      <c r="Q281" s="26"/>
    </row>
    <row r="282" spans="2:21" x14ac:dyDescent="0.2">
      <c r="E282" s="1"/>
      <c r="F282" s="1"/>
      <c r="G282" s="1"/>
      <c r="H282" s="1"/>
      <c r="I282" s="1"/>
      <c r="N282" s="6"/>
      <c r="O282" s="6"/>
      <c r="P282" s="26"/>
      <c r="Q282" s="26"/>
      <c r="R282" s="3"/>
      <c r="S282" s="3"/>
      <c r="T282" s="40"/>
      <c r="U282" s="40"/>
    </row>
    <row r="283" spans="2:21" x14ac:dyDescent="0.2">
      <c r="E283" s="1"/>
      <c r="F283" s="1"/>
      <c r="G283" s="1"/>
      <c r="H283" s="1"/>
      <c r="I283" s="1"/>
      <c r="M283" s="6"/>
      <c r="N283" s="6"/>
      <c r="O283" s="6"/>
      <c r="P283" s="26"/>
      <c r="Q283" s="26"/>
    </row>
    <row r="284" spans="2:21" x14ac:dyDescent="0.2">
      <c r="E284" s="1"/>
      <c r="F284" s="1"/>
      <c r="G284" s="1"/>
      <c r="H284" s="1"/>
      <c r="I284" s="1"/>
      <c r="N284" s="6"/>
      <c r="O284" s="6"/>
      <c r="P284" s="26"/>
      <c r="Q284" s="26"/>
    </row>
    <row r="285" spans="2:21" x14ac:dyDescent="0.2">
      <c r="E285" s="1"/>
      <c r="F285" s="1"/>
      <c r="G285" s="1"/>
      <c r="H285" s="1"/>
      <c r="I285" s="1"/>
      <c r="M285" s="6"/>
      <c r="N285" s="6"/>
      <c r="O285" s="6"/>
      <c r="P285" s="26"/>
      <c r="Q285" s="26"/>
    </row>
    <row r="286" spans="2:21" x14ac:dyDescent="0.2">
      <c r="E286" s="1"/>
      <c r="F286" s="1"/>
      <c r="G286" s="1"/>
      <c r="H286" s="1"/>
      <c r="I286" s="1"/>
      <c r="N286" s="6"/>
      <c r="O286" s="6"/>
      <c r="P286" s="26"/>
      <c r="Q286" s="26"/>
    </row>
    <row r="287" spans="2:21" x14ac:dyDescent="0.2">
      <c r="E287" s="1"/>
      <c r="F287" s="1"/>
      <c r="G287" s="1"/>
      <c r="H287" s="1"/>
      <c r="I287" s="1"/>
      <c r="L287" s="18"/>
      <c r="M287" s="18"/>
      <c r="N287" s="6"/>
      <c r="O287" s="6"/>
      <c r="P287" s="26"/>
      <c r="Q287" s="26"/>
    </row>
    <row r="288" spans="2:21" x14ac:dyDescent="0.2">
      <c r="E288" s="1"/>
      <c r="F288" s="1"/>
      <c r="G288" s="1"/>
      <c r="H288" s="1"/>
      <c r="I288" s="1"/>
      <c r="N288" s="6"/>
      <c r="O288" s="6"/>
      <c r="P288" s="26"/>
      <c r="Q288" s="26"/>
    </row>
    <row r="289" spans="5:20" x14ac:dyDescent="0.2">
      <c r="E289" s="1"/>
      <c r="F289" s="1"/>
      <c r="G289" s="1"/>
      <c r="H289" s="1"/>
      <c r="I289" s="1"/>
      <c r="N289" s="6"/>
      <c r="O289" s="6"/>
      <c r="P289" s="26"/>
      <c r="Q289" s="26"/>
    </row>
    <row r="290" spans="5:20" x14ac:dyDescent="0.2">
      <c r="E290" s="1"/>
      <c r="F290" s="1"/>
      <c r="G290" s="1"/>
      <c r="H290" s="1"/>
      <c r="I290" s="1"/>
      <c r="N290" s="6"/>
      <c r="O290" s="6"/>
      <c r="P290" s="26"/>
      <c r="Q290" s="26"/>
      <c r="R290" s="6"/>
      <c r="S290" s="6"/>
    </row>
    <row r="291" spans="5:20" x14ac:dyDescent="0.2">
      <c r="E291" s="1"/>
      <c r="F291" s="1"/>
      <c r="G291" s="1"/>
      <c r="H291" s="1"/>
      <c r="I291" s="1"/>
      <c r="L291" s="18"/>
      <c r="M291" s="18"/>
      <c r="N291" s="6"/>
      <c r="O291" s="6"/>
      <c r="P291" s="26"/>
      <c r="Q291" s="26"/>
    </row>
    <row r="292" spans="5:20" x14ac:dyDescent="0.2">
      <c r="E292" s="1"/>
      <c r="F292" s="1"/>
      <c r="G292" s="1"/>
      <c r="H292" s="1"/>
      <c r="I292" s="1"/>
      <c r="N292" s="6"/>
      <c r="O292" s="6"/>
      <c r="P292" s="26"/>
      <c r="Q292" s="26"/>
      <c r="R292" s="6"/>
      <c r="S292" s="6"/>
    </row>
    <row r="293" spans="5:20" x14ac:dyDescent="0.2">
      <c r="E293" s="1"/>
      <c r="F293" s="1"/>
      <c r="G293" s="1"/>
      <c r="H293" s="1"/>
      <c r="I293" s="1"/>
      <c r="L293" s="18"/>
      <c r="M293" s="18"/>
      <c r="N293" s="6"/>
      <c r="O293" s="6"/>
      <c r="P293" s="26"/>
      <c r="Q293" s="26"/>
    </row>
    <row r="294" spans="5:20" x14ac:dyDescent="0.2">
      <c r="E294" s="1"/>
      <c r="F294" s="1"/>
      <c r="G294" s="1"/>
      <c r="H294" s="1"/>
      <c r="I294" s="1"/>
      <c r="N294" s="6"/>
      <c r="O294" s="6"/>
      <c r="P294" s="26"/>
      <c r="Q294" s="26"/>
      <c r="R294" s="6"/>
      <c r="S294" s="6"/>
    </row>
    <row r="295" spans="5:20" x14ac:dyDescent="0.2">
      <c r="E295" s="1"/>
      <c r="F295" s="1"/>
      <c r="G295" s="1"/>
      <c r="H295" s="1"/>
      <c r="I295" s="1"/>
      <c r="L295" s="18"/>
      <c r="M295" s="18"/>
      <c r="N295" s="3"/>
      <c r="P295" s="2"/>
      <c r="R295" s="20"/>
    </row>
    <row r="296" spans="5:20" x14ac:dyDescent="0.2">
      <c r="E296" s="1"/>
      <c r="F296" s="1"/>
      <c r="G296" s="1"/>
      <c r="H296" s="1"/>
      <c r="I296" s="1"/>
      <c r="L296" s="18"/>
      <c r="M296" s="18"/>
      <c r="N296" s="3"/>
      <c r="P296" s="2"/>
      <c r="R296" s="20"/>
    </row>
    <row r="298" spans="5:20" x14ac:dyDescent="0.2">
      <c r="E298" s="1"/>
      <c r="F298" s="1"/>
      <c r="G298" s="1"/>
      <c r="H298" s="1"/>
      <c r="I298" s="1"/>
      <c r="L298" s="18"/>
      <c r="M298" s="18"/>
      <c r="N298" s="3"/>
      <c r="P298" s="2"/>
      <c r="R298" s="20"/>
    </row>
    <row r="299" spans="5:20" x14ac:dyDescent="0.2">
      <c r="E299" s="1"/>
      <c r="F299" s="1"/>
      <c r="G299" s="1"/>
      <c r="H299" s="1"/>
      <c r="I299" s="1"/>
      <c r="L299" s="18"/>
      <c r="M299" s="18"/>
      <c r="N299" s="3"/>
      <c r="P299" s="2"/>
      <c r="R299" s="20"/>
    </row>
    <row r="300" spans="5:20" x14ac:dyDescent="0.2">
      <c r="E300" s="1"/>
      <c r="F300" s="1"/>
      <c r="G300" s="1"/>
      <c r="H300" s="1"/>
      <c r="I300" s="1"/>
      <c r="L300" s="18"/>
      <c r="M300" s="18"/>
      <c r="N300" s="3"/>
      <c r="P300" s="2"/>
      <c r="R300" s="20"/>
    </row>
    <row r="301" spans="5:20" x14ac:dyDescent="0.2">
      <c r="E301" s="1"/>
      <c r="F301" s="1"/>
      <c r="G301" s="1"/>
      <c r="H301" s="1"/>
      <c r="I301" s="1"/>
      <c r="L301" s="18"/>
      <c r="M301" s="18"/>
      <c r="N301" s="3"/>
      <c r="P301" s="2"/>
      <c r="R301" s="20"/>
    </row>
    <row r="303" spans="5:20" x14ac:dyDescent="0.2">
      <c r="E303" s="1"/>
      <c r="F303" s="1"/>
      <c r="G303" s="1"/>
      <c r="H303" s="1"/>
      <c r="I303" s="1"/>
      <c r="L303" s="18"/>
      <c r="M303" s="18"/>
      <c r="N303" s="3"/>
      <c r="P303" s="2"/>
      <c r="R303" s="20"/>
      <c r="T303" s="20"/>
    </row>
    <row r="304" spans="5:20" x14ac:dyDescent="0.2">
      <c r="E304" s="1"/>
      <c r="F304" s="1"/>
      <c r="G304" s="1"/>
      <c r="H304" s="1"/>
      <c r="I304" s="1"/>
      <c r="L304" s="18"/>
      <c r="M304" s="18"/>
      <c r="N304" s="3"/>
      <c r="P304" s="2"/>
      <c r="R304" s="20"/>
      <c r="T304" s="20"/>
    </row>
    <row r="305" spans="3:22" x14ac:dyDescent="0.2">
      <c r="E305" s="1"/>
      <c r="F305" s="1"/>
      <c r="G305" s="1"/>
      <c r="H305" s="1"/>
      <c r="I305" s="1"/>
      <c r="L305" s="18"/>
      <c r="M305" s="18"/>
      <c r="N305" s="3"/>
      <c r="P305" s="2"/>
      <c r="R305" s="20"/>
      <c r="T305" s="20"/>
    </row>
    <row r="306" spans="3:22" x14ac:dyDescent="0.2">
      <c r="E306" s="1"/>
      <c r="F306" s="1"/>
      <c r="G306" s="1"/>
      <c r="H306" s="1"/>
      <c r="I306" s="1"/>
      <c r="L306" s="18"/>
      <c r="M306" s="18"/>
      <c r="N306" s="3"/>
      <c r="P306" s="2"/>
      <c r="R306" s="20"/>
      <c r="T306" s="20"/>
    </row>
    <row r="308" spans="3:22" x14ac:dyDescent="0.2">
      <c r="E308" s="1"/>
      <c r="F308" s="1"/>
      <c r="G308" s="1"/>
      <c r="H308" s="1"/>
      <c r="I308" s="1"/>
      <c r="L308" s="18"/>
      <c r="M308" s="18"/>
      <c r="N308" s="3"/>
      <c r="P308" s="2"/>
      <c r="R308" s="20"/>
    </row>
    <row r="309" spans="3:22" x14ac:dyDescent="0.2">
      <c r="E309" s="1"/>
      <c r="F309" s="1"/>
      <c r="G309" s="1"/>
      <c r="H309" s="1"/>
      <c r="I309" s="1"/>
      <c r="L309" s="18"/>
      <c r="M309" s="18"/>
      <c r="N309" s="3"/>
      <c r="P309" s="2"/>
      <c r="R309" s="20"/>
    </row>
    <row r="310" spans="3:22" x14ac:dyDescent="0.2">
      <c r="E310" s="1"/>
      <c r="F310" s="1"/>
      <c r="G310" s="1"/>
      <c r="H310" s="1"/>
      <c r="I310" s="1"/>
      <c r="L310" s="18"/>
      <c r="M310" s="18"/>
      <c r="N310" s="3"/>
      <c r="P310" s="2"/>
      <c r="R310" s="20"/>
    </row>
    <row r="311" spans="3:22" x14ac:dyDescent="0.2">
      <c r="E311" s="1"/>
      <c r="F311" s="1"/>
      <c r="G311" s="1"/>
      <c r="H311" s="1"/>
      <c r="I311" s="1"/>
      <c r="L311" s="18"/>
      <c r="M311" s="18"/>
      <c r="N311" s="3"/>
      <c r="P311" s="2"/>
      <c r="R311" s="20"/>
    </row>
    <row r="312" spans="3:22" x14ac:dyDescent="0.2">
      <c r="E312" s="1"/>
      <c r="F312" s="1"/>
      <c r="G312" s="1"/>
      <c r="H312" s="1"/>
      <c r="I312" s="1"/>
      <c r="L312" s="18"/>
      <c r="M312" s="18"/>
      <c r="N312" s="3"/>
      <c r="P312" s="2"/>
      <c r="R312" s="20"/>
    </row>
    <row r="313" spans="3:22" x14ac:dyDescent="0.2">
      <c r="E313" s="1"/>
      <c r="F313" s="1"/>
      <c r="G313" s="1"/>
      <c r="H313" s="1"/>
      <c r="I313" s="1"/>
      <c r="L313" s="18"/>
      <c r="M313" s="18"/>
      <c r="N313" s="3"/>
      <c r="P313" s="2"/>
      <c r="R313" s="20"/>
    </row>
    <row r="314" spans="3:22" x14ac:dyDescent="0.2">
      <c r="E314" s="1"/>
      <c r="F314" s="1"/>
      <c r="G314" s="1"/>
      <c r="H314" s="1"/>
      <c r="I314" s="1"/>
    </row>
    <row r="315" spans="3:22" x14ac:dyDescent="0.2">
      <c r="C315" s="1"/>
      <c r="E315" s="1"/>
      <c r="F315" s="1"/>
      <c r="G315" s="1"/>
      <c r="H315" s="1"/>
      <c r="I315" s="1"/>
      <c r="L315" s="18"/>
      <c r="M315" s="18"/>
      <c r="N315" s="3"/>
      <c r="O315" s="20"/>
      <c r="P315" s="21"/>
      <c r="R315" s="20"/>
      <c r="S315" s="20"/>
      <c r="V315" s="1"/>
    </row>
    <row r="316" spans="3:22" x14ac:dyDescent="0.2">
      <c r="C316" s="1"/>
      <c r="E316" s="1"/>
      <c r="F316" s="1"/>
      <c r="G316" s="1"/>
      <c r="H316" s="1"/>
      <c r="I316" s="1"/>
      <c r="L316" s="18"/>
      <c r="M316" s="18"/>
      <c r="N316" s="3"/>
      <c r="O316" s="20"/>
      <c r="P316" s="2"/>
      <c r="R316" s="20"/>
      <c r="S316" s="20"/>
      <c r="V316" s="1"/>
    </row>
    <row r="317" spans="3:22" x14ac:dyDescent="0.2">
      <c r="C317" s="1"/>
      <c r="E317" s="1"/>
      <c r="F317" s="1"/>
      <c r="G317" s="1"/>
      <c r="H317" s="1"/>
      <c r="I317" s="1"/>
      <c r="L317" s="18"/>
      <c r="M317" s="18"/>
      <c r="N317" s="3"/>
      <c r="O317" s="20"/>
      <c r="P317" s="2"/>
      <c r="R317" s="20"/>
      <c r="S317" s="20"/>
      <c r="V317" s="1"/>
    </row>
    <row r="318" spans="3:22" x14ac:dyDescent="0.2">
      <c r="C318" s="1"/>
      <c r="E318" s="1"/>
      <c r="F318" s="1"/>
      <c r="G318" s="1"/>
      <c r="H318" s="1"/>
      <c r="I318" s="1"/>
      <c r="L318" s="18"/>
      <c r="M318" s="18"/>
      <c r="N318" s="3"/>
      <c r="O318" s="20"/>
      <c r="P318" s="2"/>
      <c r="R318" s="20"/>
      <c r="S318" s="20"/>
      <c r="V318" s="1"/>
    </row>
    <row r="319" spans="3:22" x14ac:dyDescent="0.2">
      <c r="C319" s="1"/>
      <c r="E319" s="1"/>
      <c r="F319" s="1"/>
      <c r="G319" s="1"/>
      <c r="H319" s="1"/>
      <c r="I319" s="1"/>
      <c r="L319" s="18"/>
      <c r="M319" s="18"/>
      <c r="N319" s="3"/>
      <c r="O319" s="20"/>
      <c r="P319" s="2"/>
      <c r="R319" s="20"/>
      <c r="S319" s="20"/>
      <c r="V319" s="1"/>
    </row>
    <row r="320" spans="3:22" x14ac:dyDescent="0.2">
      <c r="C320" s="1"/>
      <c r="E320" s="1"/>
      <c r="F320" s="1"/>
      <c r="G320" s="1"/>
      <c r="H320" s="1"/>
      <c r="I320" s="1"/>
      <c r="L320" s="18"/>
      <c r="M320" s="18"/>
      <c r="N320" s="3"/>
      <c r="O320" s="20"/>
      <c r="P320" s="2"/>
      <c r="R320" s="20"/>
      <c r="S320" s="20"/>
      <c r="V320" s="1"/>
    </row>
    <row r="321" spans="2:22" x14ac:dyDescent="0.2">
      <c r="C321" s="1"/>
      <c r="L321" s="18"/>
      <c r="M321" s="18"/>
      <c r="O321" s="20"/>
      <c r="V321" s="1"/>
    </row>
    <row r="322" spans="2:22" x14ac:dyDescent="0.2">
      <c r="B322" s="1"/>
      <c r="C322" s="1"/>
      <c r="E322" s="1"/>
      <c r="F322" s="1"/>
      <c r="G322" s="1"/>
      <c r="H322" s="1"/>
      <c r="I322" s="1"/>
      <c r="L322" s="18"/>
      <c r="M322" s="18"/>
      <c r="N322" s="3"/>
      <c r="O322" s="20"/>
      <c r="P322" s="2"/>
      <c r="R322" s="20"/>
      <c r="S322" s="20"/>
      <c r="T322" s="20"/>
      <c r="U322" s="20"/>
      <c r="V322" s="1"/>
    </row>
    <row r="323" spans="2:22" x14ac:dyDescent="0.2">
      <c r="B323" s="1"/>
      <c r="C323" s="1"/>
      <c r="E323" s="1"/>
      <c r="F323" s="1"/>
      <c r="G323" s="1"/>
      <c r="H323" s="1"/>
      <c r="I323" s="1"/>
      <c r="L323" s="18"/>
      <c r="M323" s="18"/>
      <c r="N323" s="3"/>
      <c r="O323" s="20"/>
      <c r="P323" s="2"/>
      <c r="R323" s="20"/>
      <c r="S323" s="20"/>
      <c r="T323" s="20"/>
      <c r="U323" s="20"/>
      <c r="V323" s="1"/>
    </row>
    <row r="324" spans="2:22" x14ac:dyDescent="0.2">
      <c r="B324" s="1"/>
      <c r="C324" s="1"/>
      <c r="E324" s="1"/>
      <c r="F324" s="1"/>
      <c r="G324" s="1"/>
      <c r="H324" s="1"/>
      <c r="I324" s="1"/>
      <c r="L324" s="18"/>
      <c r="M324" s="18"/>
      <c r="N324" s="3"/>
      <c r="O324" s="20"/>
      <c r="P324" s="2"/>
      <c r="R324" s="20"/>
      <c r="S324" s="20"/>
      <c r="T324" s="20"/>
      <c r="U324" s="20"/>
      <c r="V324" s="1"/>
    </row>
    <row r="325" spans="2:22" x14ac:dyDescent="0.2">
      <c r="B325" s="1"/>
      <c r="C325" s="1"/>
      <c r="E325" s="1"/>
      <c r="F325" s="1"/>
      <c r="G325" s="1"/>
      <c r="H325" s="1"/>
      <c r="I325" s="1"/>
      <c r="L325" s="18"/>
      <c r="M325" s="18"/>
      <c r="N325" s="3"/>
      <c r="O325" s="20"/>
      <c r="P325" s="2"/>
      <c r="R325" s="20"/>
      <c r="S325" s="20"/>
      <c r="T325" s="20"/>
      <c r="U325" s="20"/>
      <c r="V325" s="1"/>
    </row>
    <row r="326" spans="2:22" x14ac:dyDescent="0.2">
      <c r="B326" s="1"/>
      <c r="C326" s="1"/>
      <c r="E326" s="1"/>
      <c r="F326" s="1"/>
      <c r="G326" s="1"/>
      <c r="H326" s="1"/>
      <c r="I326" s="1"/>
      <c r="L326" s="18"/>
      <c r="M326" s="18"/>
      <c r="N326" s="3"/>
      <c r="O326" s="20"/>
      <c r="P326" s="2"/>
      <c r="R326" s="20"/>
      <c r="S326" s="20"/>
      <c r="T326" s="20"/>
      <c r="U326" s="20"/>
      <c r="V326" s="1"/>
    </row>
    <row r="327" spans="2:22" x14ac:dyDescent="0.2">
      <c r="B327" s="1"/>
      <c r="C327" s="1"/>
      <c r="E327" s="1"/>
      <c r="F327" s="1"/>
      <c r="G327" s="1"/>
      <c r="H327" s="1"/>
      <c r="I327" s="1"/>
      <c r="L327" s="18"/>
      <c r="M327" s="18"/>
      <c r="N327" s="3"/>
      <c r="O327" s="20"/>
      <c r="P327" s="2"/>
      <c r="R327" s="20"/>
      <c r="S327" s="20"/>
      <c r="T327" s="20"/>
      <c r="U327" s="20"/>
      <c r="V327" s="1"/>
    </row>
    <row r="329" spans="2:22" x14ac:dyDescent="0.2">
      <c r="E329" s="1"/>
      <c r="F329" s="1"/>
      <c r="G329" s="1"/>
      <c r="H329" s="1"/>
      <c r="I329" s="1"/>
      <c r="L329" s="18"/>
      <c r="M329" s="18"/>
      <c r="N329" s="3"/>
      <c r="O329" s="20"/>
    </row>
    <row r="330" spans="2:22" x14ac:dyDescent="0.2">
      <c r="E330" s="1"/>
      <c r="F330" s="1"/>
      <c r="G330" s="1"/>
      <c r="H330" s="1"/>
      <c r="I330" s="1"/>
      <c r="L330" s="18"/>
      <c r="M330" s="18"/>
      <c r="N330" s="3"/>
      <c r="O330" s="20"/>
    </row>
    <row r="331" spans="2:22" x14ac:dyDescent="0.2">
      <c r="E331" s="1"/>
      <c r="F331" s="1"/>
      <c r="G331" s="1"/>
      <c r="H331" s="1"/>
      <c r="I331" s="1"/>
      <c r="L331" s="18"/>
      <c r="M331" s="18"/>
      <c r="N331" s="3"/>
      <c r="O331" s="20"/>
    </row>
    <row r="333" spans="2:22" x14ac:dyDescent="0.2">
      <c r="E333" s="1"/>
      <c r="F333" s="1"/>
      <c r="G333" s="1"/>
      <c r="H333" s="1"/>
      <c r="I333" s="1"/>
      <c r="L333" s="18"/>
      <c r="M333" s="18"/>
      <c r="N333" s="3"/>
      <c r="O333" s="20"/>
    </row>
    <row r="334" spans="2:22" x14ac:dyDescent="0.2">
      <c r="E334" s="1"/>
      <c r="F334" s="1"/>
      <c r="G334" s="1"/>
      <c r="H334" s="1"/>
      <c r="I334" s="1"/>
      <c r="L334" s="18"/>
      <c r="M334" s="18"/>
      <c r="N334" s="3"/>
      <c r="O334" s="20"/>
    </row>
    <row r="335" spans="2:22" x14ac:dyDescent="0.2">
      <c r="E335" s="1"/>
      <c r="F335" s="1"/>
      <c r="G335" s="1"/>
      <c r="H335" s="1"/>
      <c r="I335" s="1"/>
      <c r="L335" s="18"/>
      <c r="M335" s="18"/>
      <c r="N335" s="3"/>
      <c r="O335" s="20"/>
    </row>
    <row r="337" spans="5:15" x14ac:dyDescent="0.2">
      <c r="E337" s="1"/>
      <c r="F337" s="1"/>
      <c r="G337" s="1"/>
      <c r="H337" s="1"/>
      <c r="I337" s="1"/>
      <c r="L337" s="18"/>
      <c r="M337" s="18"/>
      <c r="N337" s="3"/>
      <c r="O337" s="20"/>
    </row>
    <row r="338" spans="5:15" x14ac:dyDescent="0.2">
      <c r="E338" s="1"/>
      <c r="F338" s="1"/>
      <c r="G338" s="1"/>
      <c r="H338" s="1"/>
      <c r="I338" s="1"/>
      <c r="L338" s="18"/>
      <c r="M338" s="18"/>
      <c r="N338" s="3"/>
      <c r="O338" s="20"/>
    </row>
    <row r="339" spans="5:15" x14ac:dyDescent="0.2">
      <c r="E339" s="1"/>
      <c r="F339" s="1"/>
      <c r="G339" s="1"/>
      <c r="H339" s="1"/>
      <c r="I339" s="1"/>
      <c r="L339" s="18"/>
      <c r="M339" s="18"/>
      <c r="N339" s="3"/>
      <c r="O339" s="20"/>
    </row>
    <row r="340" spans="5:15" x14ac:dyDescent="0.2">
      <c r="E340" s="1"/>
      <c r="F340" s="1"/>
      <c r="G340" s="1"/>
      <c r="H340" s="1"/>
      <c r="I340" s="1"/>
      <c r="L340" s="18"/>
      <c r="M340" s="18"/>
      <c r="N340" s="3"/>
      <c r="O340" s="20"/>
    </row>
    <row r="341" spans="5:15" x14ac:dyDescent="0.2">
      <c r="E341" s="1"/>
      <c r="F341" s="1"/>
      <c r="G341" s="1"/>
      <c r="H341" s="1"/>
      <c r="I341" s="1"/>
      <c r="L341" s="18"/>
      <c r="M341" s="18"/>
      <c r="N341" s="3"/>
      <c r="O341" s="20"/>
    </row>
    <row r="343" spans="5:15" x14ac:dyDescent="0.2">
      <c r="E343" s="1"/>
      <c r="F343" s="1"/>
      <c r="G343" s="1"/>
      <c r="H343" s="1"/>
      <c r="I343" s="1"/>
      <c r="L343" s="18"/>
      <c r="M343" s="18"/>
      <c r="N343" s="3"/>
      <c r="O343" s="20"/>
    </row>
    <row r="344" spans="5:15" x14ac:dyDescent="0.2">
      <c r="E344" s="1"/>
      <c r="F344" s="1"/>
      <c r="G344" s="1"/>
      <c r="H344" s="1"/>
      <c r="I344" s="1"/>
      <c r="L344" s="18"/>
      <c r="M344" s="18"/>
      <c r="N344" s="3"/>
      <c r="O344" s="20"/>
    </row>
    <row r="345" spans="5:15" x14ac:dyDescent="0.2">
      <c r="E345" s="1"/>
      <c r="F345" s="1"/>
      <c r="G345" s="1"/>
      <c r="H345" s="1"/>
      <c r="I345" s="1"/>
      <c r="L345" s="18"/>
      <c r="M345" s="18"/>
      <c r="N345" s="3"/>
      <c r="O345" s="20"/>
    </row>
    <row r="347" spans="5:15" x14ac:dyDescent="0.2">
      <c r="E347" s="1"/>
      <c r="F347" s="1"/>
      <c r="G347" s="1"/>
      <c r="H347" s="1"/>
      <c r="I347" s="1"/>
      <c r="L347" s="18"/>
      <c r="M347" s="18"/>
      <c r="N347" s="3"/>
      <c r="O347" s="2"/>
    </row>
    <row r="348" spans="5:15" x14ac:dyDescent="0.2">
      <c r="E348" s="1"/>
      <c r="F348" s="1"/>
      <c r="G348" s="1"/>
      <c r="H348" s="1"/>
      <c r="I348" s="1"/>
      <c r="L348" s="18"/>
      <c r="M348" s="18"/>
      <c r="N348" s="3"/>
      <c r="O348" s="2"/>
    </row>
    <row r="349" spans="5:15" x14ac:dyDescent="0.2">
      <c r="E349" s="1"/>
      <c r="F349" s="1"/>
      <c r="G349" s="1"/>
      <c r="H349" s="1"/>
      <c r="I349" s="1"/>
      <c r="L349" s="18"/>
      <c r="M349" s="18"/>
      <c r="N349" s="3"/>
      <c r="O349" s="2"/>
    </row>
    <row r="350" spans="5:15" x14ac:dyDescent="0.2">
      <c r="E350" s="1"/>
      <c r="F350" s="1"/>
      <c r="G350" s="1"/>
      <c r="H350" s="1"/>
      <c r="I350" s="1"/>
      <c r="L350" s="18"/>
      <c r="M350" s="18"/>
      <c r="N350" s="3"/>
      <c r="O350" s="2"/>
    </row>
    <row r="351" spans="5:15" x14ac:dyDescent="0.2">
      <c r="E351" s="1"/>
      <c r="F351" s="1"/>
      <c r="G351" s="1"/>
      <c r="H351" s="1"/>
      <c r="I351" s="1"/>
      <c r="L351" s="18"/>
      <c r="M351" s="18"/>
      <c r="N351" s="3"/>
      <c r="O351" s="2"/>
    </row>
    <row r="352" spans="5:15" x14ac:dyDescent="0.2">
      <c r="E352" s="1"/>
      <c r="F352" s="1"/>
      <c r="G352" s="1"/>
      <c r="H352" s="1"/>
      <c r="I352" s="1"/>
      <c r="L352" s="18"/>
      <c r="M352" s="18"/>
      <c r="N352" s="3"/>
      <c r="O352" s="2"/>
    </row>
    <row r="353" spans="5:15" x14ac:dyDescent="0.2">
      <c r="E353" s="1"/>
      <c r="F353" s="1"/>
      <c r="G353" s="1"/>
      <c r="H353" s="1"/>
      <c r="I353" s="1"/>
      <c r="L353" s="18"/>
      <c r="M353" s="18"/>
      <c r="N353" s="3"/>
      <c r="O353" s="2"/>
    </row>
  </sheetData>
  <mergeCells count="9">
    <mergeCell ref="T274:U274"/>
    <mergeCell ref="Y32:AD32"/>
    <mergeCell ref="U145:V145"/>
    <mergeCell ref="N74:O74"/>
    <mergeCell ref="P74:Q74"/>
    <mergeCell ref="U74:V74"/>
    <mergeCell ref="U133:V133"/>
    <mergeCell ref="U206:V206"/>
    <mergeCell ref="U213:V213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2:AI95"/>
  <sheetViews>
    <sheetView topLeftCell="A43" zoomScaleNormal="100" workbookViewId="0">
      <selection activeCell="D57" sqref="D57"/>
    </sheetView>
  </sheetViews>
  <sheetFormatPr defaultRowHeight="12.75" x14ac:dyDescent="0.2"/>
  <cols>
    <col min="1" max="1" width="10.7109375" customWidth="1"/>
    <col min="2" max="2" width="11" bestFit="1" customWidth="1"/>
    <col min="8" max="8" width="8.42578125" customWidth="1"/>
  </cols>
  <sheetData>
    <row r="2" spans="1:35" x14ac:dyDescent="0.2">
      <c r="B2" s="5" t="s">
        <v>103</v>
      </c>
      <c r="J2" s="5" t="s">
        <v>682</v>
      </c>
    </row>
    <row r="3" spans="1:35" x14ac:dyDescent="0.2">
      <c r="A3" s="8" t="s">
        <v>558</v>
      </c>
      <c r="B3" s="8"/>
      <c r="D3" s="310" t="s">
        <v>100</v>
      </c>
      <c r="E3" s="310"/>
      <c r="H3" s="310" t="s">
        <v>310</v>
      </c>
      <c r="I3" s="310"/>
      <c r="J3" s="310" t="s">
        <v>101</v>
      </c>
      <c r="K3" s="310"/>
      <c r="L3" s="310" t="s">
        <v>102</v>
      </c>
      <c r="M3" s="310"/>
      <c r="P3" s="212" t="s">
        <v>515</v>
      </c>
      <c r="Q3" s="146"/>
      <c r="R3" t="s">
        <v>516</v>
      </c>
      <c r="T3" s="212" t="s">
        <v>514</v>
      </c>
      <c r="U3" s="146"/>
      <c r="V3" s="310" t="s">
        <v>127</v>
      </c>
      <c r="W3" s="310"/>
      <c r="X3" s="312" t="s">
        <v>126</v>
      </c>
      <c r="Y3" s="312"/>
      <c r="AB3" s="8" t="s">
        <v>589</v>
      </c>
      <c r="AG3" s="8" t="s">
        <v>590</v>
      </c>
    </row>
    <row r="4" spans="1:35" x14ac:dyDescent="0.2">
      <c r="C4" t="s">
        <v>97</v>
      </c>
      <c r="D4" t="s">
        <v>98</v>
      </c>
      <c r="E4" t="s">
        <v>99</v>
      </c>
      <c r="H4" s="16" t="s">
        <v>107</v>
      </c>
      <c r="I4" s="16" t="s">
        <v>108</v>
      </c>
      <c r="J4" t="s">
        <v>98</v>
      </c>
      <c r="K4" t="s">
        <v>99</v>
      </c>
      <c r="L4" t="s">
        <v>98</v>
      </c>
      <c r="M4" t="s">
        <v>99</v>
      </c>
      <c r="P4" s="146" t="s">
        <v>98</v>
      </c>
      <c r="Q4" s="146" t="s">
        <v>99</v>
      </c>
      <c r="R4" t="s">
        <v>98</v>
      </c>
      <c r="S4" t="s">
        <v>99</v>
      </c>
      <c r="T4" s="146" t="s">
        <v>98</v>
      </c>
      <c r="U4" s="146" t="s">
        <v>99</v>
      </c>
      <c r="V4" t="s">
        <v>98</v>
      </c>
      <c r="W4" t="s">
        <v>99</v>
      </c>
      <c r="X4" s="146" t="s">
        <v>98</v>
      </c>
      <c r="Y4" s="146" t="s">
        <v>99</v>
      </c>
      <c r="AB4" s="145">
        <v>41306</v>
      </c>
      <c r="AC4" s="145">
        <v>36526</v>
      </c>
      <c r="AD4" s="145">
        <v>36465</v>
      </c>
      <c r="AG4" s="145">
        <v>41306</v>
      </c>
      <c r="AH4" s="145">
        <v>36526</v>
      </c>
      <c r="AI4" s="145">
        <v>36465</v>
      </c>
    </row>
    <row r="5" spans="1:35" x14ac:dyDescent="0.2">
      <c r="A5">
        <v>145</v>
      </c>
      <c r="C5" s="2">
        <f>VLOOKUP($A5,'Data(2013)b'!$A$9:$AA$344,14,FALSE)</f>
        <v>119.92134297999999</v>
      </c>
      <c r="D5" s="6">
        <f>'Data(2013)'!C21-VLOOKUP($A5,'Data(2013)b'!$A$9:$AA$344,15,FALSE)</f>
        <v>0.20126165535041779</v>
      </c>
      <c r="E5" s="6">
        <f>-VLOOKUP($A5,'Data(2013)b'!$A$9:$AA$344,16,FALSE)</f>
        <v>0.18102636161788591</v>
      </c>
      <c r="H5" s="3">
        <f t="shared" ref="H5:I10" si="0">D5</f>
        <v>0.20126165535041779</v>
      </c>
      <c r="I5" s="3">
        <f t="shared" si="0"/>
        <v>0.18102636161788591</v>
      </c>
      <c r="J5" s="6">
        <v>0.16847539016577925</v>
      </c>
      <c r="K5" s="6">
        <v>0.16189281538593089</v>
      </c>
      <c r="L5" s="6">
        <f>D5-J5</f>
        <v>3.2786265184638536E-2</v>
      </c>
      <c r="M5" s="6">
        <f t="shared" ref="L5:M10" si="1">E5-K5</f>
        <v>1.9133546231955012E-2</v>
      </c>
      <c r="P5" s="144">
        <f t="shared" ref="P5:Q10" si="2">D5</f>
        <v>0.20126165535041779</v>
      </c>
      <c r="Q5" s="144">
        <f t="shared" si="2"/>
        <v>0.18102636161788591</v>
      </c>
      <c r="R5" s="6">
        <f t="shared" ref="R5:S10" si="3">P5-T5</f>
        <v>1.4899719693786923E-2</v>
      </c>
      <c r="S5" s="6">
        <f t="shared" si="3"/>
        <v>1.845883549598884E-2</v>
      </c>
      <c r="T5" s="144">
        <v>0.18636193565663087</v>
      </c>
      <c r="U5" s="144">
        <v>0.16256752612189707</v>
      </c>
      <c r="V5" s="6">
        <f t="shared" ref="V5:W10" si="4">T5-X5</f>
        <v>-1.3638064343369144E-2</v>
      </c>
      <c r="W5" s="6">
        <f t="shared" si="4"/>
        <v>-1.7432473878102928E-2</v>
      </c>
      <c r="X5" s="211">
        <v>0.2</v>
      </c>
      <c r="Y5" s="211">
        <v>0.18</v>
      </c>
      <c r="AA5">
        <v>120</v>
      </c>
      <c r="AB5" s="6">
        <f t="shared" ref="AB5:AB10" si="5">P5</f>
        <v>0.20126165535041779</v>
      </c>
      <c r="AC5" s="6">
        <f t="shared" ref="AC5:AC10" si="6">T5</f>
        <v>0.18636193565663087</v>
      </c>
      <c r="AD5" s="6">
        <f t="shared" ref="AD5:AD10" si="7">X5</f>
        <v>0.2</v>
      </c>
      <c r="AF5">
        <v>120</v>
      </c>
      <c r="AG5" s="6">
        <f t="shared" ref="AG5:AG11" si="8">Q5</f>
        <v>0.18102636161788591</v>
      </c>
      <c r="AH5" s="6">
        <f t="shared" ref="AH5:AH10" si="9">U5</f>
        <v>0.16256752612189707</v>
      </c>
      <c r="AI5" s="6">
        <f t="shared" ref="AI5:AI10" si="10">Y5</f>
        <v>0.18</v>
      </c>
    </row>
    <row r="6" spans="1:35" x14ac:dyDescent="0.2">
      <c r="A6">
        <v>146</v>
      </c>
      <c r="C6" s="2">
        <f>VLOOKUP($A6,'Data(2013)b'!$A$9:$AA$344,14,FALSE)</f>
        <v>100.12826708</v>
      </c>
      <c r="D6" s="6">
        <f>-VLOOKUP($A6,'Data(2013)b'!$A$9:$AA$344,15,FALSE)</f>
        <v>0.22128048997689495</v>
      </c>
      <c r="E6" s="6">
        <f>-VLOOKUP($A6,'Data(2013)b'!$A$9:$AA$344,16,FALSE)</f>
        <v>0.17953313928460707</v>
      </c>
      <c r="H6" s="3">
        <f t="shared" si="0"/>
        <v>0.22128048997689495</v>
      </c>
      <c r="I6" s="3">
        <f t="shared" si="0"/>
        <v>0.17953313928460707</v>
      </c>
      <c r="J6" s="6">
        <v>0.18882546589986227</v>
      </c>
      <c r="K6" s="6">
        <v>0.16175039000597591</v>
      </c>
      <c r="L6" s="6">
        <f t="shared" si="1"/>
        <v>3.2455024077032685E-2</v>
      </c>
      <c r="M6" s="6">
        <f t="shared" si="1"/>
        <v>1.778274927863116E-2</v>
      </c>
      <c r="P6" s="144">
        <f t="shared" si="2"/>
        <v>0.22128048997689495</v>
      </c>
      <c r="Q6" s="144">
        <f t="shared" si="2"/>
        <v>0.17953313928460707</v>
      </c>
      <c r="R6" s="6">
        <f t="shared" si="3"/>
        <v>1.4393216317394514E-2</v>
      </c>
      <c r="S6" s="6">
        <f t="shared" si="3"/>
        <v>1.438691808679407E-2</v>
      </c>
      <c r="T6" s="144">
        <v>0.20688727365950044</v>
      </c>
      <c r="U6" s="144">
        <v>0.165146221197813</v>
      </c>
      <c r="V6" s="6">
        <f t="shared" si="4"/>
        <v>-1.1112726340499562E-2</v>
      </c>
      <c r="W6" s="6">
        <f t="shared" si="4"/>
        <v>-1.1453778802187009E-2</v>
      </c>
      <c r="X6" s="211">
        <v>0.218</v>
      </c>
      <c r="Y6" s="211">
        <v>0.17660000000000001</v>
      </c>
      <c r="AA6">
        <v>100</v>
      </c>
      <c r="AB6" s="6">
        <f t="shared" si="5"/>
        <v>0.22128048997689495</v>
      </c>
      <c r="AC6" s="6">
        <f t="shared" si="6"/>
        <v>0.20688727365950044</v>
      </c>
      <c r="AD6" s="6">
        <f t="shared" si="7"/>
        <v>0.218</v>
      </c>
      <c r="AF6">
        <v>100</v>
      </c>
      <c r="AG6" s="6">
        <f t="shared" si="8"/>
        <v>0.17953313928460707</v>
      </c>
      <c r="AH6" s="6">
        <f t="shared" si="9"/>
        <v>0.165146221197813</v>
      </c>
      <c r="AI6" s="6">
        <f t="shared" si="10"/>
        <v>0.17660000000000001</v>
      </c>
    </row>
    <row r="7" spans="1:35" x14ac:dyDescent="0.2">
      <c r="A7">
        <v>147</v>
      </c>
      <c r="C7" s="2">
        <f>VLOOKUP($A7,'Data(2013)b'!$A$9:$AA$344,14,FALSE)</f>
        <v>60.003849412000001</v>
      </c>
      <c r="D7" s="6">
        <f>-VLOOKUP($A7,'Data(2013)b'!$A$9:$AA$344,15,FALSE)</f>
        <v>0.29400347632483392</v>
      </c>
      <c r="E7" s="6">
        <f>-VLOOKUP($A7,'Data(2013)b'!$A$9:$AA$344,16,FALSE)</f>
        <v>0.16541469617805926</v>
      </c>
      <c r="H7" s="3">
        <f t="shared" si="0"/>
        <v>0.29400347632483392</v>
      </c>
      <c r="I7" s="3">
        <f t="shared" si="0"/>
        <v>0.16541469617805926</v>
      </c>
      <c r="J7" s="6">
        <v>0.24850848094746525</v>
      </c>
      <c r="K7" s="6">
        <v>0.1555034939441389</v>
      </c>
      <c r="L7" s="6">
        <f t="shared" si="1"/>
        <v>4.5494995377368674E-2</v>
      </c>
      <c r="M7" s="6">
        <f t="shared" si="1"/>
        <v>9.9112022339203631E-3</v>
      </c>
      <c r="P7" s="144">
        <f t="shared" si="2"/>
        <v>0.29400347632483392</v>
      </c>
      <c r="Q7" s="144">
        <f t="shared" si="2"/>
        <v>0.16541469617805926</v>
      </c>
      <c r="R7" s="6">
        <f t="shared" si="3"/>
        <v>1.651604278533475E-2</v>
      </c>
      <c r="S7" s="6">
        <f t="shared" si="3"/>
        <v>1.6157723835392601E-2</v>
      </c>
      <c r="T7" s="144">
        <v>0.27748743353949917</v>
      </c>
      <c r="U7" s="144">
        <v>0.14925697234266666</v>
      </c>
      <c r="V7" s="6">
        <f t="shared" si="4"/>
        <v>8.2076687283244576E-4</v>
      </c>
      <c r="W7" s="6">
        <f t="shared" si="4"/>
        <v>-1.4076360990666698E-2</v>
      </c>
      <c r="X7" s="211">
        <v>0.27666666666666673</v>
      </c>
      <c r="Y7" s="211">
        <v>0.16333333333333336</v>
      </c>
      <c r="AA7">
        <v>60</v>
      </c>
      <c r="AB7" s="6">
        <f t="shared" si="5"/>
        <v>0.29400347632483392</v>
      </c>
      <c r="AC7" s="6">
        <f t="shared" si="6"/>
        <v>0.27748743353949917</v>
      </c>
      <c r="AD7" s="6">
        <f t="shared" si="7"/>
        <v>0.27666666666666673</v>
      </c>
      <c r="AF7">
        <v>60</v>
      </c>
      <c r="AG7" s="6">
        <f t="shared" si="8"/>
        <v>0.16541469617805926</v>
      </c>
      <c r="AH7" s="6">
        <f t="shared" si="9"/>
        <v>0.14925697234266666</v>
      </c>
      <c r="AI7" s="6">
        <f t="shared" si="10"/>
        <v>0.16333333333333336</v>
      </c>
    </row>
    <row r="8" spans="1:35" x14ac:dyDescent="0.2">
      <c r="A8">
        <v>148</v>
      </c>
      <c r="C8" s="2">
        <f>VLOOKUP($A8,'Data(2013)b'!$A$9:$AA$344,14,FALSE)</f>
        <v>40.068668876000004</v>
      </c>
      <c r="D8" s="6">
        <f>-VLOOKUP($A8,'Data(2013)b'!$A$9:$AA$344,15,FALSE)</f>
        <v>0.34251553607812396</v>
      </c>
      <c r="E8" s="6">
        <f>-VLOOKUP($A8,'Data(2013)b'!$A$9:$AA$344,16,FALSE)</f>
        <v>0.16849323098037422</v>
      </c>
      <c r="H8" s="3">
        <f t="shared" si="0"/>
        <v>0.34251553607812396</v>
      </c>
      <c r="I8" s="3">
        <f t="shared" si="0"/>
        <v>0.16849323098037422</v>
      </c>
      <c r="J8" s="6">
        <v>0.29047239714195427</v>
      </c>
      <c r="K8" s="6">
        <v>0.14783300079353601</v>
      </c>
      <c r="L8" s="6">
        <f t="shared" si="1"/>
        <v>5.2043138936169686E-2</v>
      </c>
      <c r="M8" s="6">
        <f t="shared" si="1"/>
        <v>2.0660230186838213E-2</v>
      </c>
      <c r="P8" s="144">
        <f t="shared" si="2"/>
        <v>0.34251553607812396</v>
      </c>
      <c r="Q8" s="144">
        <f t="shared" si="2"/>
        <v>0.16849323098037422</v>
      </c>
      <c r="R8" s="6">
        <f t="shared" si="3"/>
        <v>2.4567031960710584E-2</v>
      </c>
      <c r="S8" s="6">
        <f t="shared" si="3"/>
        <v>2.2713233749756589E-2</v>
      </c>
      <c r="T8" s="144">
        <v>0.31794850411741338</v>
      </c>
      <c r="U8" s="144">
        <v>0.14577999723061763</v>
      </c>
      <c r="V8" s="6">
        <f t="shared" si="4"/>
        <v>-6.9702661900098439E-3</v>
      </c>
      <c r="W8" s="6">
        <f t="shared" si="4"/>
        <v>-9.181262454461131E-3</v>
      </c>
      <c r="X8" s="211">
        <v>0.32491877030742322</v>
      </c>
      <c r="Y8" s="211">
        <v>0.15496125968507876</v>
      </c>
      <c r="AA8">
        <v>40</v>
      </c>
      <c r="AB8" s="6">
        <f t="shared" si="5"/>
        <v>0.34251553607812396</v>
      </c>
      <c r="AC8" s="6">
        <f t="shared" si="6"/>
        <v>0.31794850411741338</v>
      </c>
      <c r="AD8" s="6">
        <f t="shared" si="7"/>
        <v>0.32491877030742322</v>
      </c>
      <c r="AF8">
        <v>40</v>
      </c>
      <c r="AG8" s="6">
        <f t="shared" si="8"/>
        <v>0.16849323098037422</v>
      </c>
      <c r="AH8" s="6">
        <f t="shared" si="9"/>
        <v>0.14577999723061763</v>
      </c>
      <c r="AI8" s="6">
        <f t="shared" si="10"/>
        <v>0.15496125968507876</v>
      </c>
    </row>
    <row r="9" spans="1:35" x14ac:dyDescent="0.2">
      <c r="A9">
        <v>149</v>
      </c>
      <c r="C9" s="2">
        <f>VLOOKUP($A9,'Data(2013)b'!$A$9:$AA$344,14,FALSE)</f>
        <v>20.073238814</v>
      </c>
      <c r="D9" s="6">
        <f>-VLOOKUP($A9,'Data(2013)b'!$A$9:$AA$344,15,FALSE)</f>
        <v>0.41300674578822555</v>
      </c>
      <c r="E9" s="6">
        <f>-VLOOKUP($A9,'Data(2013)b'!$A$9:$AA$344,16,FALSE)</f>
        <v>0.16087079269678239</v>
      </c>
      <c r="H9" s="3">
        <f t="shared" si="0"/>
        <v>0.41300674578822555</v>
      </c>
      <c r="I9" s="3">
        <f t="shared" si="0"/>
        <v>0.16087079269678239</v>
      </c>
      <c r="J9" s="6">
        <v>0.34340181783454327</v>
      </c>
      <c r="K9" s="6">
        <v>0.13810779220680461</v>
      </c>
      <c r="L9" s="6">
        <f t="shared" si="1"/>
        <v>6.9604927953682283E-2</v>
      </c>
      <c r="M9" s="6">
        <f t="shared" si="1"/>
        <v>2.2763000489977786E-2</v>
      </c>
      <c r="P9" s="144">
        <f t="shared" si="2"/>
        <v>0.41300674578822555</v>
      </c>
      <c r="Q9" s="144">
        <f t="shared" si="2"/>
        <v>0.16087079269678239</v>
      </c>
      <c r="R9" s="6">
        <f t="shared" si="3"/>
        <v>3.9914671093246534E-2</v>
      </c>
      <c r="S9" s="6">
        <f t="shared" si="3"/>
        <v>2.4584045631887097E-2</v>
      </c>
      <c r="T9" s="144">
        <v>0.37309207469497901</v>
      </c>
      <c r="U9" s="144">
        <v>0.1362867470648953</v>
      </c>
      <c r="V9" s="6">
        <f t="shared" si="4"/>
        <v>-1.6790960394494125E-2</v>
      </c>
      <c r="W9" s="6">
        <f t="shared" si="4"/>
        <v>-1.3668266431055925E-2</v>
      </c>
      <c r="X9" s="211">
        <v>0.38988303508947314</v>
      </c>
      <c r="Y9" s="211">
        <v>0.14995501349595122</v>
      </c>
      <c r="AA9">
        <v>20</v>
      </c>
      <c r="AB9" s="6">
        <f t="shared" si="5"/>
        <v>0.41300674578822555</v>
      </c>
      <c r="AC9" s="6">
        <f t="shared" si="6"/>
        <v>0.37309207469497901</v>
      </c>
      <c r="AD9" s="6">
        <f t="shared" si="7"/>
        <v>0.38988303508947314</v>
      </c>
      <c r="AF9">
        <v>20</v>
      </c>
      <c r="AG9" s="6">
        <f t="shared" si="8"/>
        <v>0.16087079269678239</v>
      </c>
      <c r="AH9" s="6">
        <f t="shared" si="9"/>
        <v>0.1362867470648953</v>
      </c>
      <c r="AI9" s="6">
        <f t="shared" si="10"/>
        <v>0.14995501349595122</v>
      </c>
    </row>
    <row r="10" spans="1:35" x14ac:dyDescent="0.2">
      <c r="A10">
        <v>150</v>
      </c>
      <c r="C10" s="2">
        <f>VLOOKUP($A10,'Data(2013)b'!$A$9:$AA$344,14,FALSE)</f>
        <v>10.093327226</v>
      </c>
      <c r="D10" s="6">
        <f>-VLOOKUP($A10,'Data(2013)b'!$A$9:$AA$344,15,FALSE)</f>
        <v>0.46485664587527964</v>
      </c>
      <c r="E10" s="6">
        <f>-VLOOKUP($A10,'Data(2013)b'!$A$9:$AA$344,16,FALSE)</f>
        <v>0.13998090385502324</v>
      </c>
      <c r="H10" s="3">
        <f t="shared" si="0"/>
        <v>0.46485664587527964</v>
      </c>
      <c r="I10" s="3">
        <f t="shared" si="0"/>
        <v>0.13998090385502324</v>
      </c>
      <c r="J10" s="6">
        <v>0.37547321333031725</v>
      </c>
      <c r="K10" s="6">
        <v>0.13410573418919911</v>
      </c>
      <c r="L10" s="6">
        <f t="shared" si="1"/>
        <v>8.9383432544962393E-2</v>
      </c>
      <c r="M10" s="6">
        <f t="shared" si="1"/>
        <v>5.8751696658241315E-3</v>
      </c>
      <c r="P10" s="144">
        <f t="shared" si="2"/>
        <v>0.46485664587527964</v>
      </c>
      <c r="Q10" s="144">
        <f t="shared" si="2"/>
        <v>0.13998090385502324</v>
      </c>
      <c r="R10" s="6">
        <f t="shared" si="3"/>
        <v>5.3282186307746893E-2</v>
      </c>
      <c r="S10" s="6">
        <f t="shared" si="3"/>
        <v>5.5296489468124599E-3</v>
      </c>
      <c r="T10" s="144">
        <v>0.41157445956753275</v>
      </c>
      <c r="U10" s="144">
        <v>0.13445125490821078</v>
      </c>
      <c r="V10" s="6">
        <f t="shared" si="4"/>
        <v>-8.4255404324672378E-3</v>
      </c>
      <c r="W10" s="6">
        <f t="shared" si="4"/>
        <v>-5.5487450917892367E-3</v>
      </c>
      <c r="X10" s="211">
        <v>0.42</v>
      </c>
      <c r="Y10" s="211">
        <v>0.14000000000000001</v>
      </c>
      <c r="AA10">
        <v>10</v>
      </c>
      <c r="AB10" s="6">
        <f t="shared" si="5"/>
        <v>0.46485664587527964</v>
      </c>
      <c r="AC10" s="6">
        <f t="shared" si="6"/>
        <v>0.41157445956753275</v>
      </c>
      <c r="AD10" s="6">
        <f t="shared" si="7"/>
        <v>0.42</v>
      </c>
      <c r="AF10">
        <v>10</v>
      </c>
      <c r="AG10" s="6">
        <f t="shared" si="8"/>
        <v>0.13998090385502324</v>
      </c>
      <c r="AH10" s="6">
        <f t="shared" si="9"/>
        <v>0.13445125490821078</v>
      </c>
      <c r="AI10" s="6">
        <f t="shared" si="10"/>
        <v>0.14000000000000001</v>
      </c>
    </row>
    <row r="11" spans="1:35" x14ac:dyDescent="0.2">
      <c r="A11">
        <v>153</v>
      </c>
      <c r="C11" s="2">
        <f>VLOOKUP($A11,'Data(2013)b'!$A$9:$AA$344,14,FALSE)</f>
        <v>5.0062205082000002</v>
      </c>
      <c r="D11" s="6">
        <f>-VLOOKUP($A11,'Data(2013)b'!$A$9:$AA$344,15,FALSE)</f>
        <v>0.49025071827737993</v>
      </c>
      <c r="E11" s="6">
        <f>-VLOOKUP($A11,'Data(2013)b'!$A$9:$AA$344,16,FALSE)</f>
        <v>0.16344883463677234</v>
      </c>
      <c r="H11" s="3">
        <f>D11</f>
        <v>0.49025071827737993</v>
      </c>
      <c r="I11" s="3">
        <f>E11</f>
        <v>0.16344883463677234</v>
      </c>
      <c r="J11" s="6">
        <v>0.39651631488723743</v>
      </c>
      <c r="K11" s="6">
        <v>6.522756458111971E-2</v>
      </c>
      <c r="L11" s="6">
        <f>D11-J11</f>
        <v>9.3734403390142496E-2</v>
      </c>
      <c r="M11" s="6">
        <f>E11-K11</f>
        <v>9.8221270055652635E-2</v>
      </c>
      <c r="P11" s="144">
        <f>D11</f>
        <v>0.49025071827737993</v>
      </c>
      <c r="Q11" s="144">
        <f>E11</f>
        <v>0.16344883463677234</v>
      </c>
      <c r="R11" s="6"/>
      <c r="S11" s="6"/>
      <c r="T11" s="211"/>
      <c r="U11" s="211"/>
      <c r="V11" s="6"/>
      <c r="W11" s="6"/>
      <c r="X11" s="211"/>
      <c r="Y11" s="211"/>
      <c r="AA11">
        <v>5</v>
      </c>
      <c r="AB11" s="6">
        <f>P11</f>
        <v>0.49025071827737993</v>
      </c>
      <c r="AC11" s="6"/>
      <c r="AD11" s="6"/>
      <c r="AF11">
        <v>5</v>
      </c>
      <c r="AG11" s="6">
        <f t="shared" si="8"/>
        <v>0.16344883463677234</v>
      </c>
      <c r="AH11" s="6"/>
      <c r="AI11" s="6"/>
    </row>
    <row r="12" spans="1:35" x14ac:dyDescent="0.2">
      <c r="C12" s="2"/>
      <c r="D12" s="6"/>
      <c r="E12" s="6"/>
      <c r="H12" s="6"/>
      <c r="I12" s="6"/>
      <c r="J12" s="6"/>
      <c r="K12" s="6"/>
      <c r="L12" s="6"/>
      <c r="M12" s="6"/>
      <c r="P12" s="211"/>
      <c r="Q12" s="211"/>
      <c r="R12" s="6"/>
      <c r="S12" s="6"/>
      <c r="T12" s="211"/>
      <c r="U12" s="211"/>
      <c r="V12" s="6"/>
      <c r="W12" s="6"/>
      <c r="X12" s="211"/>
      <c r="Y12" s="211"/>
      <c r="AB12" s="6"/>
      <c r="AC12" s="6"/>
      <c r="AD12" s="6"/>
      <c r="AG12" s="6"/>
      <c r="AH12" s="6"/>
      <c r="AI12" s="6"/>
    </row>
    <row r="13" spans="1:35" x14ac:dyDescent="0.2">
      <c r="P13" s="146"/>
      <c r="Q13" s="146"/>
      <c r="T13" s="146"/>
      <c r="U13" s="146"/>
      <c r="X13" s="146"/>
      <c r="Y13" s="146"/>
    </row>
    <row r="14" spans="1:35" x14ac:dyDescent="0.2">
      <c r="B14" s="5" t="s">
        <v>553</v>
      </c>
      <c r="P14" s="146"/>
      <c r="Q14" s="146"/>
      <c r="T14" s="146"/>
      <c r="U14" s="146"/>
      <c r="X14" s="146"/>
      <c r="Y14" s="146"/>
    </row>
    <row r="15" spans="1:35" x14ac:dyDescent="0.2">
      <c r="B15" s="5"/>
      <c r="D15" s="310" t="s">
        <v>104</v>
      </c>
      <c r="E15" s="310"/>
      <c r="F15" s="310" t="s">
        <v>109</v>
      </c>
      <c r="G15" s="310"/>
      <c r="H15" s="311" t="s">
        <v>105</v>
      </c>
      <c r="I15" s="311"/>
      <c r="J15" s="310" t="s">
        <v>101</v>
      </c>
      <c r="K15" s="310"/>
      <c r="L15" s="310" t="s">
        <v>106</v>
      </c>
      <c r="M15" s="310"/>
      <c r="P15" s="146"/>
      <c r="Q15" s="146"/>
      <c r="T15" s="146"/>
      <c r="U15" s="146"/>
      <c r="X15" s="146"/>
      <c r="Y15" s="146"/>
      <c r="AB15" s="8" t="s">
        <v>589</v>
      </c>
      <c r="AG15" s="8" t="s">
        <v>590</v>
      </c>
    </row>
    <row r="16" spans="1:35" x14ac:dyDescent="0.2">
      <c r="C16" t="s">
        <v>4</v>
      </c>
      <c r="D16" t="s">
        <v>107</v>
      </c>
      <c r="E16" t="s">
        <v>108</v>
      </c>
      <c r="H16" s="16" t="s">
        <v>107</v>
      </c>
      <c r="I16" s="16" t="s">
        <v>108</v>
      </c>
      <c r="J16" t="s">
        <v>98</v>
      </c>
      <c r="K16" t="s">
        <v>99</v>
      </c>
      <c r="L16" t="s">
        <v>98</v>
      </c>
      <c r="M16" t="s">
        <v>99</v>
      </c>
      <c r="P16" s="146" t="s">
        <v>98</v>
      </c>
      <c r="Q16" s="146" t="s">
        <v>99</v>
      </c>
      <c r="T16" s="146"/>
      <c r="U16" s="146"/>
      <c r="X16" s="146"/>
      <c r="Y16" s="146"/>
      <c r="AB16" s="145">
        <v>41306</v>
      </c>
      <c r="AC16" s="145">
        <v>36526</v>
      </c>
      <c r="AD16" s="145">
        <v>36465</v>
      </c>
      <c r="AG16" s="145">
        <v>41306</v>
      </c>
      <c r="AH16" s="145">
        <v>36526</v>
      </c>
      <c r="AI16" s="145">
        <v>36465</v>
      </c>
    </row>
    <row r="17" spans="1:35" x14ac:dyDescent="0.2">
      <c r="A17">
        <v>159</v>
      </c>
      <c r="C17" s="2">
        <f>VLOOKUP($A17,'Data(2013)b'!$A$9:$AA$344,14,FALSE)</f>
        <v>119.92392908000001</v>
      </c>
      <c r="D17" s="6">
        <f>VLOOKUP($A17,'Data(2013)b'!$A$9:$AA$344,15,FALSE)</f>
        <v>-6.587062565912355E-2</v>
      </c>
      <c r="E17" s="6">
        <f>VLOOKUP($A17,'Data(2013)b'!$A$9:$AA$344,16,FALSE)</f>
        <v>-6.4229339207704531E-2</v>
      </c>
      <c r="F17" s="3">
        <f>'Data(2013)'!$U$86</f>
        <v>-2.0301791869235526E-4</v>
      </c>
      <c r="G17" s="3">
        <f>-0.033+'Data(2013)'!$V$86</f>
        <v>-3.2367958206133592E-2</v>
      </c>
      <c r="H17" s="6">
        <f t="shared" ref="H17:I23" si="11">D17+D5+F17</f>
        <v>0.1351880117726019</v>
      </c>
      <c r="I17" s="6">
        <f t="shared" si="11"/>
        <v>8.4429064204047777E-2</v>
      </c>
      <c r="J17" s="6">
        <v>0.13801648234592598</v>
      </c>
      <c r="K17" s="6">
        <v>7.6821738752115606E-2</v>
      </c>
      <c r="L17" s="6">
        <f t="shared" ref="L17:M22" si="12">H17-J17</f>
        <v>-2.8284705733240822E-3</v>
      </c>
      <c r="M17" s="6">
        <f t="shared" si="12"/>
        <v>7.6073254519321704E-3</v>
      </c>
      <c r="P17" s="144">
        <f t="shared" ref="P17:Q22" si="13">H17</f>
        <v>0.1351880117726019</v>
      </c>
      <c r="Q17" s="144">
        <f t="shared" si="13"/>
        <v>8.4429064204047777E-2</v>
      </c>
      <c r="R17" s="6">
        <f t="shared" ref="R17:S22" si="14">P17-T17</f>
        <v>-1.8072113083084679E-2</v>
      </c>
      <c r="S17" s="6">
        <f t="shared" si="14"/>
        <v>-5.6040166784286416E-2</v>
      </c>
      <c r="T17" s="144">
        <v>0.15326012485568657</v>
      </c>
      <c r="U17" s="144">
        <v>0.14046923098833419</v>
      </c>
      <c r="V17" s="6">
        <f t="shared" ref="V17:W22" si="15">T17-X17</f>
        <v>3.1268423610873286E-2</v>
      </c>
      <c r="W17" s="6">
        <f t="shared" si="15"/>
        <v>3.5178774556798909E-2</v>
      </c>
      <c r="X17" s="211">
        <v>0.12199170124481329</v>
      </c>
      <c r="Y17" s="211">
        <v>0.10529045643153528</v>
      </c>
      <c r="AA17">
        <v>120</v>
      </c>
      <c r="AB17" s="6">
        <f t="shared" ref="AB17:AB23" si="16">P17</f>
        <v>0.1351880117726019</v>
      </c>
      <c r="AC17" s="6">
        <f t="shared" ref="AC17:AC22" si="17">T17</f>
        <v>0.15326012485568657</v>
      </c>
      <c r="AD17" s="6">
        <f t="shared" ref="AD17:AD22" si="18">X17</f>
        <v>0.12199170124481329</v>
      </c>
      <c r="AF17">
        <v>120</v>
      </c>
      <c r="AG17" s="6">
        <f t="shared" ref="AG17:AG23" si="19">Q17</f>
        <v>8.4429064204047777E-2</v>
      </c>
      <c r="AH17" s="6">
        <f t="shared" ref="AH17:AH22" si="20">U17</f>
        <v>0.14046923098833419</v>
      </c>
      <c r="AI17" s="6">
        <f t="shared" ref="AI17:AI22" si="21">Y17</f>
        <v>0.10529045643153528</v>
      </c>
    </row>
    <row r="18" spans="1:35" x14ac:dyDescent="0.2">
      <c r="A18">
        <v>160</v>
      </c>
      <c r="C18" s="2">
        <f>VLOOKUP($A18,'Data(2013)b'!$A$9:$AA$344,14,FALSE)</f>
        <v>100.09320314000001</v>
      </c>
      <c r="D18" s="6">
        <f>VLOOKUP($A18,'Data(2013)b'!$A$9:$AA$344,15,FALSE)</f>
        <v>-7.0775500211452222E-2</v>
      </c>
      <c r="E18" s="6">
        <f>VLOOKUP($A18,'Data(2013)b'!$A$9:$AA$344,16,FALSE)</f>
        <v>-6.3293574401239824E-2</v>
      </c>
      <c r="F18" s="3">
        <f>'Data(2013)'!$U$86</f>
        <v>-2.0301791869235526E-4</v>
      </c>
      <c r="G18" s="3">
        <f>-0.033+'Data(2013)'!$V$86</f>
        <v>-3.2367958206133592E-2</v>
      </c>
      <c r="H18" s="6">
        <f t="shared" si="11"/>
        <v>0.1503019718467504</v>
      </c>
      <c r="I18" s="6">
        <f t="shared" si="11"/>
        <v>8.3871606677233645E-2</v>
      </c>
      <c r="J18" s="6">
        <v>0.154414565115462</v>
      </c>
      <c r="K18" s="6">
        <v>7.5102152695148403E-2</v>
      </c>
      <c r="L18" s="6">
        <f t="shared" si="12"/>
        <v>-4.1125932687116062E-3</v>
      </c>
      <c r="M18" s="6">
        <f t="shared" si="12"/>
        <v>8.769453982085243E-3</v>
      </c>
      <c r="P18" s="144">
        <f t="shared" si="13"/>
        <v>0.1503019718467504</v>
      </c>
      <c r="Q18" s="144">
        <f t="shared" si="13"/>
        <v>8.3871606677233645E-2</v>
      </c>
      <c r="R18" s="6">
        <f t="shared" si="14"/>
        <v>-1.668673302079407E-2</v>
      </c>
      <c r="S18" s="6">
        <f t="shared" si="14"/>
        <v>-5.5223055442607333E-2</v>
      </c>
      <c r="T18" s="144">
        <v>0.16698870486754447</v>
      </c>
      <c r="U18" s="144">
        <v>0.13909466211984098</v>
      </c>
      <c r="V18" s="6">
        <f t="shared" si="15"/>
        <v>2.7949224607674406E-2</v>
      </c>
      <c r="W18" s="6">
        <f t="shared" si="15"/>
        <v>3.6660079411195312E-2</v>
      </c>
      <c r="X18" s="211">
        <v>0.13903948025987006</v>
      </c>
      <c r="Y18" s="211">
        <v>0.10243458270864567</v>
      </c>
      <c r="AA18">
        <v>100</v>
      </c>
      <c r="AB18" s="6">
        <f t="shared" si="16"/>
        <v>0.1503019718467504</v>
      </c>
      <c r="AC18" s="6">
        <f t="shared" si="17"/>
        <v>0.16698870486754447</v>
      </c>
      <c r="AD18" s="6">
        <f t="shared" si="18"/>
        <v>0.13903948025987006</v>
      </c>
      <c r="AF18">
        <v>100</v>
      </c>
      <c r="AG18" s="6">
        <f t="shared" si="19"/>
        <v>8.3871606677233645E-2</v>
      </c>
      <c r="AH18" s="6">
        <f t="shared" si="20"/>
        <v>0.13909466211984098</v>
      </c>
      <c r="AI18" s="6">
        <f t="shared" si="21"/>
        <v>0.10243458270864567</v>
      </c>
    </row>
    <row r="19" spans="1:35" x14ac:dyDescent="0.2">
      <c r="A19">
        <v>161</v>
      </c>
      <c r="C19" s="2">
        <f>VLOOKUP($A19,'Data(2013)b'!$A$9:$AA$344,14,FALSE)</f>
        <v>60.035549210000006</v>
      </c>
      <c r="D19" s="6">
        <f>VLOOKUP($A19,'Data(2013)b'!$A$9:$AA$344,15,FALSE)</f>
        <v>-9.1250279410911378E-2</v>
      </c>
      <c r="E19" s="6">
        <f>VLOOKUP($A19,'Data(2013)b'!$A$9:$AA$344,16,FALSE)</f>
        <v>-6.9051841026707583E-2</v>
      </c>
      <c r="F19" s="3">
        <f>'Data(2013)'!$U$86</f>
        <v>-2.0301791869235526E-4</v>
      </c>
      <c r="G19" s="3">
        <f>-0.033+'Data(2013)'!$V$86</f>
        <v>-3.2367958206133592E-2</v>
      </c>
      <c r="H19" s="6">
        <f t="shared" si="11"/>
        <v>0.2025501789952302</v>
      </c>
      <c r="I19" s="6">
        <f t="shared" si="11"/>
        <v>6.3994896945218094E-2</v>
      </c>
      <c r="J19" s="6">
        <v>0.199430208460743</v>
      </c>
      <c r="K19" s="6">
        <v>6.6069437394748201E-2</v>
      </c>
      <c r="L19" s="6">
        <f t="shared" si="12"/>
        <v>3.1199705344872042E-3</v>
      </c>
      <c r="M19" s="6">
        <f t="shared" si="12"/>
        <v>-2.0745404495301073E-3</v>
      </c>
      <c r="P19" s="144">
        <f t="shared" si="13"/>
        <v>0.2025501789952302</v>
      </c>
      <c r="Q19" s="144">
        <f t="shared" si="13"/>
        <v>6.3994896945218094E-2</v>
      </c>
      <c r="R19" s="6">
        <f t="shared" si="14"/>
        <v>-2.5218117645676857E-2</v>
      </c>
      <c r="S19" s="6">
        <f t="shared" si="14"/>
        <v>-6.4431217051862277E-2</v>
      </c>
      <c r="T19" s="144">
        <v>0.22776829664090706</v>
      </c>
      <c r="U19" s="144">
        <v>0.12842611399708037</v>
      </c>
      <c r="V19" s="6">
        <f t="shared" si="15"/>
        <v>4.9702562685765977E-2</v>
      </c>
      <c r="W19" s="6">
        <f t="shared" si="15"/>
        <v>3.5815632096125427E-2</v>
      </c>
      <c r="X19" s="211">
        <v>0.17806573395514108</v>
      </c>
      <c r="Y19" s="211">
        <v>9.2610481900954944E-2</v>
      </c>
      <c r="AA19">
        <v>60</v>
      </c>
      <c r="AB19" s="6">
        <f t="shared" si="16"/>
        <v>0.2025501789952302</v>
      </c>
      <c r="AC19" s="6">
        <f t="shared" si="17"/>
        <v>0.22776829664090706</v>
      </c>
      <c r="AD19" s="6">
        <f t="shared" si="18"/>
        <v>0.17806573395514108</v>
      </c>
      <c r="AF19">
        <v>60</v>
      </c>
      <c r="AG19" s="6">
        <f t="shared" si="19"/>
        <v>6.3994896945218094E-2</v>
      </c>
      <c r="AH19" s="6">
        <f t="shared" si="20"/>
        <v>0.12842611399708037</v>
      </c>
      <c r="AI19" s="6">
        <f t="shared" si="21"/>
        <v>9.2610481900954944E-2</v>
      </c>
    </row>
    <row r="20" spans="1:35" x14ac:dyDescent="0.2">
      <c r="A20">
        <v>162</v>
      </c>
      <c r="C20" s="2">
        <f>VLOOKUP($A20,'Data(2013)b'!$A$9:$AA$344,14,FALSE)</f>
        <v>40.057213714</v>
      </c>
      <c r="D20" s="6">
        <f>VLOOKUP($A20,'Data(2013)b'!$A$9:$AA$344,15,FALSE)</f>
        <v>-0.1031199770780942</v>
      </c>
      <c r="E20" s="6">
        <f>VLOOKUP($A20,'Data(2013)b'!$A$9:$AA$344,16,FALSE)</f>
        <v>-6.9667866065897893E-2</v>
      </c>
      <c r="F20" s="3">
        <f>'Data(2013)'!$U$86</f>
        <v>-2.0301791869235526E-4</v>
      </c>
      <c r="G20" s="3">
        <f>-0.033+'Data(2013)'!$V$86</f>
        <v>-3.2367958206133592E-2</v>
      </c>
      <c r="H20" s="6">
        <f t="shared" si="11"/>
        <v>0.23919254108133742</v>
      </c>
      <c r="I20" s="6">
        <f t="shared" si="11"/>
        <v>6.6457406708342742E-2</v>
      </c>
      <c r="J20" s="6">
        <v>0.22977168644069401</v>
      </c>
      <c r="K20" s="6">
        <v>5.7494562474347699E-2</v>
      </c>
      <c r="L20" s="6">
        <f t="shared" si="12"/>
        <v>9.4208546406434057E-3</v>
      </c>
      <c r="M20" s="6">
        <f t="shared" si="12"/>
        <v>8.9628442339950432E-3</v>
      </c>
      <c r="P20" s="144">
        <f t="shared" si="13"/>
        <v>0.23919254108133742</v>
      </c>
      <c r="Q20" s="144">
        <f t="shared" si="13"/>
        <v>6.6457406708342742E-2</v>
      </c>
      <c r="R20" s="6">
        <f t="shared" si="14"/>
        <v>-4.9218240262108748E-2</v>
      </c>
      <c r="S20" s="6">
        <f t="shared" si="14"/>
        <v>-4.8724413840871228E-2</v>
      </c>
      <c r="T20" s="144">
        <v>0.28841078134344617</v>
      </c>
      <c r="U20" s="144">
        <v>0.11518182054921397</v>
      </c>
      <c r="V20" s="6">
        <f t="shared" si="15"/>
        <v>7.3464517909304639E-2</v>
      </c>
      <c r="W20" s="6">
        <f t="shared" si="15"/>
        <v>3.5203065238041745E-2</v>
      </c>
      <c r="X20" s="211">
        <v>0.21494626343414153</v>
      </c>
      <c r="Y20" s="211">
        <v>7.9978755311172225E-2</v>
      </c>
      <c r="AA20">
        <v>40</v>
      </c>
      <c r="AB20" s="6">
        <f t="shared" si="16"/>
        <v>0.23919254108133742</v>
      </c>
      <c r="AC20" s="6">
        <f t="shared" si="17"/>
        <v>0.28841078134344617</v>
      </c>
      <c r="AD20" s="6">
        <f t="shared" si="18"/>
        <v>0.21494626343414153</v>
      </c>
      <c r="AF20">
        <v>40</v>
      </c>
      <c r="AG20" s="6">
        <f t="shared" si="19"/>
        <v>6.6457406708342742E-2</v>
      </c>
      <c r="AH20" s="6">
        <f t="shared" si="20"/>
        <v>0.11518182054921397</v>
      </c>
      <c r="AI20" s="6">
        <f t="shared" si="21"/>
        <v>7.9978755311172225E-2</v>
      </c>
    </row>
    <row r="21" spans="1:35" x14ac:dyDescent="0.2">
      <c r="A21">
        <v>163</v>
      </c>
      <c r="C21" s="2">
        <f>VLOOKUP($A21,'Data(2013)b'!$A$9:$AA$344,14,FALSE)</f>
        <v>20.152266273999999</v>
      </c>
      <c r="D21" s="6">
        <f>VLOOKUP($A21,'Data(2013)b'!$A$9:$AA$344,15,FALSE)</f>
        <v>-0.11323531800213052</v>
      </c>
      <c r="E21" s="6">
        <f>VLOOKUP($A21,'Data(2013)b'!$A$9:$AA$344,16,FALSE)</f>
        <v>-6.8359050901254492E-2</v>
      </c>
      <c r="F21" s="3">
        <f>'Data(2013)'!$U$86</f>
        <v>-2.0301791869235526E-4</v>
      </c>
      <c r="G21" s="3">
        <f>-0.033+'Data(2013)'!$V$86</f>
        <v>-3.2367958206133592E-2</v>
      </c>
      <c r="H21" s="6">
        <f t="shared" si="11"/>
        <v>0.29956840986740263</v>
      </c>
      <c r="I21" s="6">
        <f t="shared" si="11"/>
        <v>6.014378358939431E-2</v>
      </c>
      <c r="J21" s="6">
        <v>0.267557767747794</v>
      </c>
      <c r="K21" s="6">
        <v>4.5611771029290302E-2</v>
      </c>
      <c r="L21" s="6">
        <f t="shared" si="12"/>
        <v>3.2010642119608634E-2</v>
      </c>
      <c r="M21" s="6">
        <f t="shared" si="12"/>
        <v>1.4532012560104009E-2</v>
      </c>
      <c r="P21" s="144">
        <f t="shared" si="13"/>
        <v>0.29956840986740263</v>
      </c>
      <c r="Q21" s="144">
        <f t="shared" si="13"/>
        <v>6.014378358939431E-2</v>
      </c>
      <c r="R21" s="6">
        <f t="shared" si="14"/>
        <v>-3.8654253712075204E-2</v>
      </c>
      <c r="S21" s="6">
        <f t="shared" si="14"/>
        <v>-3.4517807709063188E-2</v>
      </c>
      <c r="T21" s="144">
        <v>0.33822266357947783</v>
      </c>
      <c r="U21" s="144">
        <v>9.4661591298457498E-2</v>
      </c>
      <c r="V21" s="6">
        <f t="shared" si="15"/>
        <v>7.8080147452080584E-2</v>
      </c>
      <c r="W21" s="6">
        <f t="shared" si="15"/>
        <v>1.9566857243624045E-2</v>
      </c>
      <c r="X21" s="211">
        <v>0.26014251612739725</v>
      </c>
      <c r="Y21" s="211">
        <v>7.5094734054833454E-2</v>
      </c>
      <c r="AA21">
        <v>20</v>
      </c>
      <c r="AB21" s="6">
        <f t="shared" si="16"/>
        <v>0.29956840986740263</v>
      </c>
      <c r="AC21" s="6">
        <f t="shared" si="17"/>
        <v>0.33822266357947783</v>
      </c>
      <c r="AD21" s="6">
        <f t="shared" si="18"/>
        <v>0.26014251612739725</v>
      </c>
      <c r="AF21">
        <v>20</v>
      </c>
      <c r="AG21" s="6">
        <f t="shared" si="19"/>
        <v>6.014378358939431E-2</v>
      </c>
      <c r="AH21" s="6">
        <f t="shared" si="20"/>
        <v>9.4661591298457498E-2</v>
      </c>
      <c r="AI21" s="6">
        <f t="shared" si="21"/>
        <v>7.5094734054833454E-2</v>
      </c>
    </row>
    <row r="22" spans="1:35" x14ac:dyDescent="0.2">
      <c r="A22">
        <v>164</v>
      </c>
      <c r="C22" s="2">
        <f>VLOOKUP($A22,'Data(2013)b'!$A$9:$AA$344,14,FALSE)</f>
        <v>9.9747214224</v>
      </c>
      <c r="D22" s="6">
        <f>VLOOKUP($A22,'Data(2013)b'!$A$9:$AA$344,15,FALSE)</f>
        <v>-0.12533816505315395</v>
      </c>
      <c r="E22" s="6">
        <f>VLOOKUP($A22,'Data(2013)b'!$A$9:$AA$344,16,FALSE)</f>
        <v>-7.4075116558214582E-2</v>
      </c>
      <c r="F22" s="3">
        <f>'Data(2013)'!$U$86</f>
        <v>-2.0301791869235526E-4</v>
      </c>
      <c r="G22" s="3">
        <f>-0.033+'Data(2013)'!$V$86</f>
        <v>-3.2367958206133592E-2</v>
      </c>
      <c r="H22" s="6">
        <f t="shared" si="11"/>
        <v>0.33931546290343328</v>
      </c>
      <c r="I22" s="6">
        <f t="shared" si="11"/>
        <v>3.3537829090675063E-2</v>
      </c>
      <c r="J22" s="6">
        <v>0.290329874905981</v>
      </c>
      <c r="K22" s="6">
        <v>3.8464257330321598E-2</v>
      </c>
      <c r="L22" s="6">
        <f t="shared" si="12"/>
        <v>4.8985587997452285E-2</v>
      </c>
      <c r="M22" s="6">
        <f t="shared" si="12"/>
        <v>-4.9264282396465353E-3</v>
      </c>
      <c r="P22" s="144">
        <f t="shared" si="13"/>
        <v>0.33931546290343328</v>
      </c>
      <c r="Q22" s="144">
        <f t="shared" si="13"/>
        <v>3.3537829090675063E-2</v>
      </c>
      <c r="R22" s="6">
        <f t="shared" si="14"/>
        <v>-3.9470848107647616E-2</v>
      </c>
      <c r="S22" s="6">
        <f t="shared" si="14"/>
        <v>-5.7633274137021136E-2</v>
      </c>
      <c r="T22" s="144">
        <v>0.3787863110110809</v>
      </c>
      <c r="U22" s="144">
        <v>9.1171103227696199E-2</v>
      </c>
      <c r="V22" s="6">
        <f t="shared" si="15"/>
        <v>9.8702361380858972E-2</v>
      </c>
      <c r="W22" s="6">
        <f t="shared" si="15"/>
        <v>3.6123132010426572E-2</v>
      </c>
      <c r="X22" s="211">
        <v>0.28008394963022193</v>
      </c>
      <c r="Y22" s="211">
        <v>5.5047971217269627E-2</v>
      </c>
      <c r="AA22">
        <v>10</v>
      </c>
      <c r="AB22" s="6">
        <f t="shared" si="16"/>
        <v>0.33931546290343328</v>
      </c>
      <c r="AC22" s="6">
        <f t="shared" si="17"/>
        <v>0.3787863110110809</v>
      </c>
      <c r="AD22" s="6">
        <f t="shared" si="18"/>
        <v>0.28008394963022193</v>
      </c>
      <c r="AF22">
        <v>10</v>
      </c>
      <c r="AG22" s="6">
        <f t="shared" si="19"/>
        <v>3.3537829090675063E-2</v>
      </c>
      <c r="AH22" s="6">
        <f t="shared" si="20"/>
        <v>9.1171103227696199E-2</v>
      </c>
      <c r="AI22" s="6">
        <f t="shared" si="21"/>
        <v>5.5047971217269627E-2</v>
      </c>
    </row>
    <row r="23" spans="1:35" x14ac:dyDescent="0.2">
      <c r="A23">
        <v>165</v>
      </c>
      <c r="C23" s="2">
        <f>VLOOKUP($A23,'Data(2013)b'!$A$9:$AA$344,14,FALSE)</f>
        <v>4.9441033636</v>
      </c>
      <c r="D23" s="6">
        <f>VLOOKUP($A23,'Data(2013)b'!$A$9:$AA$344,15,FALSE)</f>
        <v>-0.1346599896963368</v>
      </c>
      <c r="E23" s="6">
        <f>VLOOKUP($A23,'Data(2013)b'!$A$9:$AA$344,16,FALSE)</f>
        <v>-7.3311998828454267E-2</v>
      </c>
      <c r="F23" s="3">
        <f>'Data(2013)'!$U$86</f>
        <v>-2.0301791869235526E-4</v>
      </c>
      <c r="G23" s="3">
        <f>-0.033+'Data(2013)'!$V$86</f>
        <v>-3.2367958206133592E-2</v>
      </c>
      <c r="H23" s="6">
        <f t="shared" si="11"/>
        <v>0.35538771066235075</v>
      </c>
      <c r="I23" s="6">
        <f t="shared" si="11"/>
        <v>5.7768877602184486E-2</v>
      </c>
      <c r="J23" s="6">
        <v>0.30181735811931037</v>
      </c>
      <c r="K23" s="6">
        <v>8.42987096555462E-2</v>
      </c>
      <c r="L23" s="6">
        <f>H23-J23</f>
        <v>5.3570352543040378E-2</v>
      </c>
      <c r="M23" s="6">
        <f>I23-K23</f>
        <v>-2.6529832053361714E-2</v>
      </c>
      <c r="P23" s="144">
        <f>H23</f>
        <v>0.35538771066235075</v>
      </c>
      <c r="Q23" s="144">
        <f>I23</f>
        <v>5.7768877602184486E-2</v>
      </c>
      <c r="R23" s="6"/>
      <c r="S23" s="6"/>
      <c r="T23" s="211"/>
      <c r="U23" s="211"/>
      <c r="V23" s="6"/>
      <c r="W23" s="6"/>
      <c r="X23" s="211"/>
      <c r="Y23" s="211"/>
      <c r="AA23">
        <v>5</v>
      </c>
      <c r="AB23" s="6">
        <f t="shared" si="16"/>
        <v>0.35538771066235075</v>
      </c>
      <c r="AC23" s="6"/>
      <c r="AD23" s="6"/>
      <c r="AF23">
        <v>5</v>
      </c>
      <c r="AG23" s="6">
        <f t="shared" si="19"/>
        <v>5.7768877602184486E-2</v>
      </c>
      <c r="AH23" s="6"/>
      <c r="AI23" s="6"/>
    </row>
    <row r="24" spans="1:35" x14ac:dyDescent="0.2">
      <c r="P24" s="146"/>
      <c r="Q24" s="146"/>
      <c r="T24" s="146"/>
      <c r="U24" s="146"/>
      <c r="X24" s="146"/>
      <c r="Y24" s="146"/>
    </row>
    <row r="25" spans="1:35" x14ac:dyDescent="0.2">
      <c r="B25" s="5" t="s">
        <v>552</v>
      </c>
      <c r="P25" s="146"/>
      <c r="Q25" s="146"/>
      <c r="T25" s="146"/>
      <c r="U25" s="146"/>
      <c r="X25" s="146"/>
      <c r="Y25" s="146"/>
    </row>
    <row r="26" spans="1:35" x14ac:dyDescent="0.2">
      <c r="D26" s="310" t="s">
        <v>104</v>
      </c>
      <c r="E26" s="310"/>
      <c r="F26" s="310" t="s">
        <v>109</v>
      </c>
      <c r="G26" s="310"/>
      <c r="H26" s="311" t="s">
        <v>110</v>
      </c>
      <c r="I26" s="311"/>
      <c r="J26" s="310" t="s">
        <v>101</v>
      </c>
      <c r="K26" s="310"/>
      <c r="L26" s="310" t="s">
        <v>106</v>
      </c>
      <c r="M26" s="310"/>
      <c r="P26" s="212" t="s">
        <v>515</v>
      </c>
      <c r="Q26" s="146"/>
      <c r="R26" t="s">
        <v>516</v>
      </c>
      <c r="T26" s="212" t="s">
        <v>514</v>
      </c>
      <c r="U26" s="146"/>
      <c r="V26" s="310" t="s">
        <v>127</v>
      </c>
      <c r="W26" s="310"/>
      <c r="X26" s="312" t="s">
        <v>126</v>
      </c>
      <c r="Y26" s="312"/>
      <c r="AB26" s="8" t="s">
        <v>589</v>
      </c>
      <c r="AG26" s="8" t="s">
        <v>590</v>
      </c>
    </row>
    <row r="27" spans="1:35" x14ac:dyDescent="0.2">
      <c r="C27" t="s">
        <v>4</v>
      </c>
      <c r="D27" t="s">
        <v>107</v>
      </c>
      <c r="E27" t="s">
        <v>108</v>
      </c>
      <c r="H27" s="16" t="s">
        <v>107</v>
      </c>
      <c r="I27" s="16" t="s">
        <v>108</v>
      </c>
      <c r="J27" t="s">
        <v>98</v>
      </c>
      <c r="K27" t="s">
        <v>99</v>
      </c>
      <c r="L27" t="s">
        <v>98</v>
      </c>
      <c r="M27" t="s">
        <v>99</v>
      </c>
      <c r="P27" s="146" t="s">
        <v>98</v>
      </c>
      <c r="Q27" s="146" t="s">
        <v>99</v>
      </c>
      <c r="R27" t="s">
        <v>98</v>
      </c>
      <c r="S27" t="s">
        <v>99</v>
      </c>
      <c r="T27" s="146" t="s">
        <v>98</v>
      </c>
      <c r="U27" s="146" t="s">
        <v>99</v>
      </c>
      <c r="V27" t="s">
        <v>98</v>
      </c>
      <c r="W27" t="s">
        <v>99</v>
      </c>
      <c r="X27" s="146" t="s">
        <v>98</v>
      </c>
      <c r="Y27" s="146" t="s">
        <v>99</v>
      </c>
      <c r="AB27" s="145">
        <v>41306</v>
      </c>
      <c r="AC27" s="145">
        <v>36526</v>
      </c>
      <c r="AD27" s="145">
        <v>36465</v>
      </c>
      <c r="AG27" s="145">
        <v>41306</v>
      </c>
      <c r="AH27" s="145">
        <v>36526</v>
      </c>
      <c r="AI27" s="145">
        <v>36465</v>
      </c>
    </row>
    <row r="28" spans="1:35" x14ac:dyDescent="0.2">
      <c r="A28">
        <v>174</v>
      </c>
      <c r="C28" s="2">
        <f>VLOOKUP($A28,'Data(2013)b'!$A$9:$AA$344,14,FALSE)</f>
        <v>119.84700020000001</v>
      </c>
      <c r="D28" s="6">
        <f>-VLOOKUP($A28,'Data(2013)b'!$A$9:$AA$344,15,FALSE)</f>
        <v>5.1837952302789467E-2</v>
      </c>
      <c r="E28" s="6">
        <f>-VLOOKUP($A28,'Data(2013)b'!$A$9:$AA$344,16,FALSE)</f>
        <v>4.0837503415458699E-2</v>
      </c>
      <c r="F28" s="3">
        <f>'Data(2013)'!$U$142</f>
        <v>3.9673108367433534E-3</v>
      </c>
      <c r="G28" s="3">
        <f>'Data(2013)'!$V$142</f>
        <v>2.4485463460984262E-3</v>
      </c>
      <c r="H28" s="6">
        <f t="shared" ref="H28:I34" si="22">D28+H17+F28</f>
        <v>0.19099327491213469</v>
      </c>
      <c r="I28" s="6">
        <f t="shared" si="22"/>
        <v>0.12771511396560489</v>
      </c>
      <c r="J28" s="6">
        <v>0.17019580338882098</v>
      </c>
      <c r="K28" s="6">
        <v>0.114002112224824</v>
      </c>
      <c r="L28" s="6">
        <f t="shared" ref="L28:L34" si="23">H28-J28</f>
        <v>2.079747152331371E-2</v>
      </c>
      <c r="M28" s="6">
        <f t="shared" ref="M28:M33" si="24">I28-K28</f>
        <v>1.3713001740780897E-2</v>
      </c>
      <c r="P28" s="144">
        <f>H28</f>
        <v>0.19099327491213469</v>
      </c>
      <c r="Q28" s="144">
        <f>I28</f>
        <v>0.12771511396560489</v>
      </c>
      <c r="R28" s="6">
        <f t="shared" ref="R28:S33" si="25">P28-T28</f>
        <v>2.9030667830583334E-2</v>
      </c>
      <c r="S28" s="6">
        <f t="shared" si="25"/>
        <v>-3.7846808112416419E-2</v>
      </c>
      <c r="T28" s="144">
        <v>0.16196260708155136</v>
      </c>
      <c r="U28" s="144">
        <v>0.16556192207802131</v>
      </c>
      <c r="V28" s="6">
        <f t="shared" ref="V28:W33" si="26">T28-X28</f>
        <v>-2.5083306006464579E-2</v>
      </c>
      <c r="W28" s="6">
        <f t="shared" si="26"/>
        <v>-4.7827461967166196E-3</v>
      </c>
      <c r="X28" s="211">
        <v>0.18704591308801594</v>
      </c>
      <c r="Y28" s="211">
        <v>0.17034466827473793</v>
      </c>
      <c r="AA28">
        <v>120</v>
      </c>
      <c r="AB28" s="6">
        <f t="shared" ref="AB28:AB34" si="27">P28</f>
        <v>0.19099327491213469</v>
      </c>
      <c r="AC28" s="6">
        <f t="shared" ref="AC28:AC33" si="28">T28</f>
        <v>0.16196260708155136</v>
      </c>
      <c r="AD28" s="6">
        <f t="shared" ref="AD28:AD33" si="29">X28</f>
        <v>0.18704591308801594</v>
      </c>
      <c r="AF28">
        <v>120</v>
      </c>
      <c r="AG28" s="6">
        <f t="shared" ref="AG28:AG34" si="30">Q28</f>
        <v>0.12771511396560489</v>
      </c>
      <c r="AH28" s="6">
        <f t="shared" ref="AH28:AH33" si="31">U28</f>
        <v>0.16556192207802131</v>
      </c>
      <c r="AI28" s="6">
        <f t="shared" ref="AI28:AI33" si="32">Y28</f>
        <v>0.17034466827473793</v>
      </c>
    </row>
    <row r="29" spans="1:35" x14ac:dyDescent="0.2">
      <c r="A29">
        <v>175</v>
      </c>
      <c r="C29" s="2">
        <f>VLOOKUP($A29,'Data(2013)b'!$A$9:$AA$344,14,FALSE)</f>
        <v>99.84864608800001</v>
      </c>
      <c r="D29" s="6">
        <f>-VLOOKUP($A29,'Data(2013)b'!$A$9:$AA$344,15,FALSE)</f>
        <v>5.5541717762625731E-2</v>
      </c>
      <c r="E29" s="6">
        <f>-VLOOKUP($A29,'Data(2013)b'!$A$9:$AA$344,16,FALSE)</f>
        <v>4.2004317577863E-2</v>
      </c>
      <c r="F29" s="3">
        <f>'Data(2013)'!$U$142</f>
        <v>3.9673108367433534E-3</v>
      </c>
      <c r="G29" s="3">
        <f>'Data(2013)'!$V$142</f>
        <v>2.4485463460984262E-3</v>
      </c>
      <c r="H29" s="6">
        <f t="shared" si="22"/>
        <v>0.20981100044611947</v>
      </c>
      <c r="I29" s="6">
        <f t="shared" si="22"/>
        <v>0.12832447060119506</v>
      </c>
      <c r="J29" s="6">
        <v>0.19054587912290399</v>
      </c>
      <c r="K29" s="6">
        <v>0.11385968684486901</v>
      </c>
      <c r="L29" s="6">
        <f t="shared" si="23"/>
        <v>1.9265121323215478E-2</v>
      </c>
      <c r="M29" s="6">
        <f t="shared" si="24"/>
        <v>1.4464783756326052E-2</v>
      </c>
      <c r="P29" s="144">
        <f t="shared" ref="P29:P42" si="33">H29</f>
        <v>0.20981100044611947</v>
      </c>
      <c r="Q29" s="144">
        <f t="shared" ref="Q29:Q42" si="34">I29</f>
        <v>0.12832447060119506</v>
      </c>
      <c r="R29" s="6">
        <f t="shared" si="25"/>
        <v>3.4609196502170092E-2</v>
      </c>
      <c r="S29" s="6">
        <f t="shared" si="25"/>
        <v>-3.7628847804056259E-2</v>
      </c>
      <c r="T29" s="144">
        <v>0.17520180394394938</v>
      </c>
      <c r="U29" s="144">
        <v>0.16595331840525132</v>
      </c>
      <c r="V29" s="6">
        <f t="shared" si="26"/>
        <v>-3.3767746245990632E-2</v>
      </c>
      <c r="W29" s="6">
        <f t="shared" si="26"/>
        <v>-6.4113342334642942E-3</v>
      </c>
      <c r="X29" s="211">
        <v>0.20896955018994001</v>
      </c>
      <c r="Y29" s="211">
        <v>0.17236465263871562</v>
      </c>
      <c r="AA29">
        <v>100</v>
      </c>
      <c r="AB29" s="6">
        <f t="shared" si="27"/>
        <v>0.20981100044611947</v>
      </c>
      <c r="AC29" s="6">
        <f t="shared" si="28"/>
        <v>0.17520180394394938</v>
      </c>
      <c r="AD29" s="6">
        <f t="shared" si="29"/>
        <v>0.20896955018994001</v>
      </c>
      <c r="AF29">
        <v>100</v>
      </c>
      <c r="AG29" s="6">
        <f t="shared" si="30"/>
        <v>0.12832447060119506</v>
      </c>
      <c r="AH29" s="6">
        <f t="shared" si="31"/>
        <v>0.16595331840525132</v>
      </c>
      <c r="AI29" s="6">
        <f t="shared" si="32"/>
        <v>0.17236465263871562</v>
      </c>
    </row>
    <row r="30" spans="1:35" x14ac:dyDescent="0.2">
      <c r="A30">
        <v>176</v>
      </c>
      <c r="C30" s="2">
        <f>VLOOKUP($A30,'Data(2013)b'!$A$9:$AA$344,14,FALSE)</f>
        <v>60.036926252000001</v>
      </c>
      <c r="D30" s="6">
        <f>-VLOOKUP($A30,'Data(2013)b'!$A$9:$AA$344,15,FALSE)</f>
        <v>6.9740787568392179E-2</v>
      </c>
      <c r="E30" s="6">
        <f>-VLOOKUP($A30,'Data(2013)b'!$A$9:$AA$344,16,FALSE)</f>
        <v>4.6379040597656213E-2</v>
      </c>
      <c r="F30" s="3">
        <f>'Data(2013)'!$U$142</f>
        <v>3.9673108367433534E-3</v>
      </c>
      <c r="G30" s="3">
        <f>'Data(2013)'!$V$142</f>
        <v>2.4485463460984262E-3</v>
      </c>
      <c r="H30" s="6">
        <f t="shared" si="22"/>
        <v>0.27625827740036574</v>
      </c>
      <c r="I30" s="6">
        <f t="shared" si="22"/>
        <v>0.11282248388897273</v>
      </c>
      <c r="J30" s="6">
        <v>0.25022889417050698</v>
      </c>
      <c r="K30" s="6">
        <v>0.107612790783032</v>
      </c>
      <c r="L30" s="6">
        <f t="shared" si="23"/>
        <v>2.602938322985876E-2</v>
      </c>
      <c r="M30" s="6">
        <f t="shared" si="24"/>
        <v>5.2096931059407298E-3</v>
      </c>
      <c r="P30" s="144">
        <f t="shared" si="33"/>
        <v>0.27625827740036574</v>
      </c>
      <c r="Q30" s="144">
        <f t="shared" si="34"/>
        <v>0.11282248388897273</v>
      </c>
      <c r="R30" s="6">
        <f t="shared" si="25"/>
        <v>3.7297711156626029E-2</v>
      </c>
      <c r="S30" s="6">
        <f t="shared" si="25"/>
        <v>-3.9754505377494587E-2</v>
      </c>
      <c r="T30" s="144">
        <v>0.23896056624373971</v>
      </c>
      <c r="U30" s="144">
        <v>0.15257698926646732</v>
      </c>
      <c r="V30" s="6">
        <f t="shared" si="26"/>
        <v>-3.2438501044734697E-2</v>
      </c>
      <c r="W30" s="6">
        <f t="shared" si="26"/>
        <v>-1.0033492634487634E-2</v>
      </c>
      <c r="X30" s="211">
        <v>0.2713990672884744</v>
      </c>
      <c r="Y30" s="211">
        <v>0.16261048190095495</v>
      </c>
      <c r="AA30">
        <v>60</v>
      </c>
      <c r="AB30" s="6">
        <f t="shared" si="27"/>
        <v>0.27625827740036574</v>
      </c>
      <c r="AC30" s="6">
        <f t="shared" si="28"/>
        <v>0.23896056624373971</v>
      </c>
      <c r="AD30" s="6">
        <f t="shared" si="29"/>
        <v>0.2713990672884744</v>
      </c>
      <c r="AF30">
        <v>60</v>
      </c>
      <c r="AG30" s="6">
        <f t="shared" si="30"/>
        <v>0.11282248388897273</v>
      </c>
      <c r="AH30" s="6">
        <f t="shared" si="31"/>
        <v>0.15257698926646732</v>
      </c>
      <c r="AI30" s="6">
        <f t="shared" si="32"/>
        <v>0.16261048190095495</v>
      </c>
    </row>
    <row r="31" spans="1:35" x14ac:dyDescent="0.2">
      <c r="A31">
        <v>177</v>
      </c>
      <c r="C31" s="2">
        <f>VLOOKUP($A31,'Data(2013)b'!$A$9:$AA$344,14,FALSE)</f>
        <v>40.078594610000003</v>
      </c>
      <c r="D31" s="6">
        <f>-VLOOKUP($A31,'Data(2013)b'!$A$9:$AA$344,15,FALSE)</f>
        <v>8.313689620166051E-2</v>
      </c>
      <c r="E31" s="6">
        <f>-VLOOKUP($A31,'Data(2013)b'!$A$9:$AA$344,16,FALSE)</f>
        <v>4.692228253759121E-2</v>
      </c>
      <c r="F31" s="3">
        <f>'Data(2013)'!$U$142</f>
        <v>3.9673108367433534E-3</v>
      </c>
      <c r="G31" s="3">
        <f>'Data(2013)'!$V$142</f>
        <v>2.4485463460984262E-3</v>
      </c>
      <c r="H31" s="6">
        <f t="shared" si="22"/>
        <v>0.32629674811974124</v>
      </c>
      <c r="I31" s="6">
        <f t="shared" si="22"/>
        <v>0.11582823559203237</v>
      </c>
      <c r="J31" s="6">
        <v>0.292192810364996</v>
      </c>
      <c r="K31" s="6">
        <v>9.9942297632429108E-2</v>
      </c>
      <c r="L31" s="6">
        <f t="shared" si="23"/>
        <v>3.4103937754745239E-2</v>
      </c>
      <c r="M31" s="6">
        <f t="shared" si="24"/>
        <v>1.5885937959603261E-2</v>
      </c>
      <c r="P31" s="144">
        <f t="shared" si="33"/>
        <v>0.32629674811974124</v>
      </c>
      <c r="Q31" s="144">
        <f t="shared" si="34"/>
        <v>0.11582823559203237</v>
      </c>
      <c r="R31" s="6">
        <f t="shared" si="25"/>
        <v>4.1200779681231758E-2</v>
      </c>
      <c r="S31" s="6">
        <f t="shared" si="25"/>
        <v>-3.0586371910468257E-2</v>
      </c>
      <c r="T31" s="144">
        <v>0.28509596843850948</v>
      </c>
      <c r="U31" s="144">
        <v>0.14641460750250063</v>
      </c>
      <c r="V31" s="6">
        <f t="shared" si="26"/>
        <v>-3.4771604013868362E-2</v>
      </c>
      <c r="W31" s="6">
        <f t="shared" si="26"/>
        <v>-3.5116871541624739E-3</v>
      </c>
      <c r="X31" s="211">
        <v>0.31986757245237785</v>
      </c>
      <c r="Y31" s="211">
        <v>0.1499262946566631</v>
      </c>
      <c r="AA31">
        <v>40</v>
      </c>
      <c r="AB31" s="6">
        <f t="shared" si="27"/>
        <v>0.32629674811974124</v>
      </c>
      <c r="AC31" s="6">
        <f t="shared" si="28"/>
        <v>0.28509596843850948</v>
      </c>
      <c r="AD31" s="6">
        <f t="shared" si="29"/>
        <v>0.31986757245237785</v>
      </c>
      <c r="AF31">
        <v>40</v>
      </c>
      <c r="AG31" s="6">
        <f t="shared" si="30"/>
        <v>0.11582823559203237</v>
      </c>
      <c r="AH31" s="6">
        <f t="shared" si="31"/>
        <v>0.14641460750250063</v>
      </c>
      <c r="AI31" s="6">
        <f t="shared" si="32"/>
        <v>0.1499262946566631</v>
      </c>
    </row>
    <row r="32" spans="1:35" x14ac:dyDescent="0.2">
      <c r="A32">
        <v>178</v>
      </c>
      <c r="C32" s="2">
        <f>VLOOKUP($A32,'Data(2013)b'!$A$9:$AA$344,14,FALSE)</f>
        <v>20.078383601999999</v>
      </c>
      <c r="D32" s="6">
        <f>-VLOOKUP($A32,'Data(2013)b'!$A$9:$AA$344,15,FALSE)</f>
        <v>9.8787072072994253E-2</v>
      </c>
      <c r="E32" s="6">
        <f>-VLOOKUP($A32,'Data(2013)b'!$A$9:$AA$344,16,FALSE)</f>
        <v>4.8045580915383593E-2</v>
      </c>
      <c r="F32" s="3">
        <f>'Data(2013)'!$U$142</f>
        <v>3.9673108367433534E-3</v>
      </c>
      <c r="G32" s="3">
        <f>'Data(2013)'!$V$142</f>
        <v>2.4485463460984262E-3</v>
      </c>
      <c r="H32" s="6">
        <f t="shared" si="22"/>
        <v>0.40232279277714023</v>
      </c>
      <c r="I32" s="6">
        <f t="shared" si="22"/>
        <v>0.11063791085087632</v>
      </c>
      <c r="J32" s="6">
        <v>0.34512223105758499</v>
      </c>
      <c r="K32" s="6">
        <v>9.021708904569771E-2</v>
      </c>
      <c r="L32" s="6">
        <f t="shared" si="23"/>
        <v>5.7200561719555232E-2</v>
      </c>
      <c r="M32" s="6">
        <f t="shared" si="24"/>
        <v>2.042082180517861E-2</v>
      </c>
      <c r="P32" s="144">
        <f t="shared" si="33"/>
        <v>0.40232279277714023</v>
      </c>
      <c r="Q32" s="144">
        <f t="shared" si="34"/>
        <v>0.11063791085087632</v>
      </c>
      <c r="R32" s="6">
        <f t="shared" si="25"/>
        <v>5.9127807477475647E-2</v>
      </c>
      <c r="S32" s="6">
        <f t="shared" si="25"/>
        <v>-2.5643567072875989E-2</v>
      </c>
      <c r="T32" s="144">
        <v>0.34319498529966458</v>
      </c>
      <c r="U32" s="144">
        <v>0.13628147792375231</v>
      </c>
      <c r="V32" s="6">
        <f t="shared" si="26"/>
        <v>-2.6920037701014365E-2</v>
      </c>
      <c r="W32" s="6">
        <f t="shared" si="26"/>
        <v>-8.7957605049876764E-3</v>
      </c>
      <c r="X32" s="211">
        <v>0.37011502300067894</v>
      </c>
      <c r="Y32" s="211">
        <v>0.14507723842873999</v>
      </c>
      <c r="AA32">
        <v>20</v>
      </c>
      <c r="AB32" s="6">
        <f t="shared" si="27"/>
        <v>0.40232279277714023</v>
      </c>
      <c r="AC32" s="6">
        <f t="shared" si="28"/>
        <v>0.34319498529966458</v>
      </c>
      <c r="AD32" s="6">
        <f t="shared" si="29"/>
        <v>0.37011502300067894</v>
      </c>
      <c r="AF32">
        <v>20</v>
      </c>
      <c r="AG32" s="6">
        <f t="shared" si="30"/>
        <v>0.11063791085087632</v>
      </c>
      <c r="AH32" s="6">
        <f t="shared" si="31"/>
        <v>0.13628147792375231</v>
      </c>
      <c r="AI32" s="6">
        <f t="shared" si="32"/>
        <v>0.14507723842873999</v>
      </c>
    </row>
    <row r="33" spans="1:35" x14ac:dyDescent="0.2">
      <c r="A33">
        <v>179</v>
      </c>
      <c r="C33" s="2">
        <f>VLOOKUP($A33,'Data(2013)b'!$A$9:$AA$344,14,FALSE)</f>
        <v>9.9260643214000002</v>
      </c>
      <c r="D33" s="6">
        <f>-VLOOKUP($A33,'Data(2013)b'!$A$9:$AA$344,15,FALSE)</f>
        <v>0.10793542549287961</v>
      </c>
      <c r="E33" s="6">
        <f>-VLOOKUP($A33,'Data(2013)b'!$A$9:$AA$344,16,FALSE)</f>
        <v>5.5140761360974434E-2</v>
      </c>
      <c r="F33" s="3">
        <f>'Data(2013)'!$U$142</f>
        <v>3.9673108367433534E-3</v>
      </c>
      <c r="G33" s="3">
        <f>'Data(2013)'!$V$142</f>
        <v>2.4485463460984262E-3</v>
      </c>
      <c r="H33" s="6">
        <f t="shared" si="22"/>
        <v>0.45121819923305623</v>
      </c>
      <c r="I33" s="6">
        <f t="shared" si="22"/>
        <v>9.1127136797747921E-2</v>
      </c>
      <c r="J33" s="6">
        <v>0.37719362655335897</v>
      </c>
      <c r="K33" s="6">
        <v>8.6215031028092207E-2</v>
      </c>
      <c r="L33" s="6">
        <f t="shared" si="23"/>
        <v>7.4024572679697254E-2</v>
      </c>
      <c r="M33" s="6">
        <f t="shared" si="24"/>
        <v>4.9121057696557141E-3</v>
      </c>
      <c r="P33" s="144">
        <f t="shared" si="33"/>
        <v>0.45121819923305623</v>
      </c>
      <c r="Q33" s="144">
        <f t="shared" si="34"/>
        <v>9.1127136797747921E-2</v>
      </c>
      <c r="R33" s="6">
        <f t="shared" si="25"/>
        <v>5.6086214491431197E-2</v>
      </c>
      <c r="S33" s="6">
        <f t="shared" si="25"/>
        <v>-4.3595497004595557E-2</v>
      </c>
      <c r="T33" s="144">
        <v>0.39513198474162503</v>
      </c>
      <c r="U33" s="144">
        <v>0.13472263380234348</v>
      </c>
      <c r="V33" s="6">
        <f t="shared" si="26"/>
        <v>-2.4812104748736741E-2</v>
      </c>
      <c r="W33" s="6">
        <f t="shared" si="26"/>
        <v>9.7445926550039086E-3</v>
      </c>
      <c r="X33" s="211">
        <v>0.41994408949036177</v>
      </c>
      <c r="Y33" s="211">
        <v>0.12497804114733957</v>
      </c>
      <c r="AA33">
        <v>10</v>
      </c>
      <c r="AB33" s="6">
        <f t="shared" si="27"/>
        <v>0.45121819923305623</v>
      </c>
      <c r="AC33" s="6">
        <f t="shared" si="28"/>
        <v>0.39513198474162503</v>
      </c>
      <c r="AD33" s="6">
        <f t="shared" si="29"/>
        <v>0.41994408949036177</v>
      </c>
      <c r="AF33">
        <v>10</v>
      </c>
      <c r="AG33" s="6">
        <f t="shared" si="30"/>
        <v>9.1127136797747921E-2</v>
      </c>
      <c r="AH33" s="6">
        <f t="shared" si="31"/>
        <v>0.13472263380234348</v>
      </c>
      <c r="AI33" s="6">
        <f t="shared" si="32"/>
        <v>0.12497804114733957</v>
      </c>
    </row>
    <row r="34" spans="1:35" x14ac:dyDescent="0.2">
      <c r="A34">
        <v>180</v>
      </c>
      <c r="C34" s="2">
        <f>VLOOKUP($A34,'Data(2013)b'!$A$9:$AA$344,14,FALSE)</f>
        <v>5.0156125952000004</v>
      </c>
      <c r="D34" s="6">
        <f>-VLOOKUP($A34,'Data(2013)b'!$A$9:$AA$344,15,FALSE)</f>
        <v>0.11924213217192296</v>
      </c>
      <c r="E34" s="6">
        <f>-VLOOKUP($A34,'Data(2013)b'!$A$9:$AA$344,16,FALSE)</f>
        <v>5.1533936382439673E-2</v>
      </c>
      <c r="F34" s="3">
        <f>'Data(2013)'!$U$142</f>
        <v>3.9673108367433534E-3</v>
      </c>
      <c r="G34" s="3">
        <f>'Data(2013)'!$V$142</f>
        <v>2.4485463460984262E-3</v>
      </c>
      <c r="H34" s="6">
        <f t="shared" si="22"/>
        <v>0.47859715367101707</v>
      </c>
      <c r="I34" s="6">
        <f t="shared" si="22"/>
        <v>0.11175136033072258</v>
      </c>
      <c r="J34" s="6">
        <v>0.39651631488723743</v>
      </c>
      <c r="K34" s="6">
        <v>6.522756458111971E-2</v>
      </c>
      <c r="L34" s="6">
        <f t="shared" si="23"/>
        <v>8.2080838783779642E-2</v>
      </c>
      <c r="M34" s="6">
        <f>I34-K34</f>
        <v>4.6523795749602873E-2</v>
      </c>
      <c r="P34" s="144">
        <f>H34</f>
        <v>0.47859715367101707</v>
      </c>
      <c r="Q34" s="144">
        <f>I34</f>
        <v>0.11175136033072258</v>
      </c>
      <c r="R34" s="6"/>
      <c r="S34" s="6"/>
      <c r="T34" s="211"/>
      <c r="U34" s="211"/>
      <c r="V34" s="6"/>
      <c r="W34" s="6"/>
      <c r="X34" s="211"/>
      <c r="Y34" s="211"/>
      <c r="AA34">
        <v>5</v>
      </c>
      <c r="AB34" s="6">
        <f t="shared" si="27"/>
        <v>0.47859715367101707</v>
      </c>
      <c r="AC34" s="6"/>
      <c r="AD34" s="6"/>
      <c r="AF34">
        <v>5</v>
      </c>
      <c r="AG34" s="6">
        <f t="shared" si="30"/>
        <v>0.11175136033072258</v>
      </c>
      <c r="AH34" s="6"/>
      <c r="AI34" s="6"/>
    </row>
    <row r="35" spans="1:35" x14ac:dyDescent="0.2">
      <c r="N35" s="213" t="s">
        <v>521</v>
      </c>
      <c r="P35" s="211"/>
      <c r="Q35" s="211"/>
      <c r="T35" s="146"/>
      <c r="U35" s="146"/>
      <c r="X35" s="146"/>
      <c r="Y35" s="146"/>
      <c r="AB35" s="8" t="s">
        <v>589</v>
      </c>
      <c r="AG35" s="8" t="s">
        <v>590</v>
      </c>
    </row>
    <row r="36" spans="1:35" x14ac:dyDescent="0.2">
      <c r="B36" s="5" t="s">
        <v>554</v>
      </c>
      <c r="N36" s="213" t="s">
        <v>519</v>
      </c>
      <c r="O36" s="213"/>
      <c r="P36" s="211"/>
      <c r="Q36" s="211"/>
      <c r="T36" s="146"/>
      <c r="U36" s="146"/>
      <c r="X36" s="146"/>
      <c r="Y36" s="146"/>
      <c r="AB36" s="145">
        <v>41306</v>
      </c>
      <c r="AC36" s="145">
        <v>36526</v>
      </c>
      <c r="AD36" s="145">
        <v>36465</v>
      </c>
      <c r="AG36" s="145">
        <v>41306</v>
      </c>
      <c r="AH36" s="145">
        <v>36526</v>
      </c>
      <c r="AI36" s="145">
        <v>36465</v>
      </c>
    </row>
    <row r="37" spans="1:35" x14ac:dyDescent="0.2">
      <c r="A37">
        <v>184</v>
      </c>
      <c r="C37" s="2">
        <f>VLOOKUP($A37,'Data(2013)b'!$A$9:$AA$344,14,FALSE)</f>
        <v>119.67498223999999</v>
      </c>
      <c r="D37" s="6">
        <f>-VLOOKUP($A37,'Data(2013)b'!$A$9:$AA$344,15,FALSE)</f>
        <v>0.26682126708791065</v>
      </c>
      <c r="E37" s="6">
        <f>-VLOOKUP($A37,'Data(2013)b'!$A$9:$AA$344,16,FALSE)</f>
        <v>4.6133003712739887E-2</v>
      </c>
      <c r="F37" s="3">
        <f>'Data(2013)'!$U$142</f>
        <v>3.9673108367433534E-3</v>
      </c>
      <c r="G37" s="3">
        <f>'Data(2013)'!$V$142</f>
        <v>2.4485463460984262E-3</v>
      </c>
      <c r="H37" s="6">
        <f>D37+H28+F37</f>
        <v>0.46178185283678869</v>
      </c>
      <c r="I37" s="6">
        <f t="shared" ref="H37:I43" si="35">E37+I28+G37</f>
        <v>0.17629666402444322</v>
      </c>
      <c r="J37" s="6">
        <v>0.17019580338882098</v>
      </c>
      <c r="K37" s="6">
        <v>0.114002112224824</v>
      </c>
      <c r="L37" s="6">
        <f>H37-J37</f>
        <v>0.29158604944796773</v>
      </c>
      <c r="M37" s="6">
        <f>I37-K37</f>
        <v>6.2294551799619222E-2</v>
      </c>
      <c r="N37" s="214">
        <f>J37+N17</f>
        <v>0.17019580338882098</v>
      </c>
      <c r="O37" s="214">
        <f>K37+O17</f>
        <v>0.114002112224824</v>
      </c>
      <c r="P37" s="144">
        <f>H37</f>
        <v>0.46178185283678869</v>
      </c>
      <c r="Q37" s="144">
        <f>I37</f>
        <v>0.17629666402444322</v>
      </c>
      <c r="T37" s="146"/>
      <c r="U37" s="146"/>
      <c r="X37" s="146"/>
      <c r="Y37" s="146"/>
      <c r="AA37">
        <v>120</v>
      </c>
      <c r="AB37" s="6">
        <f t="shared" ref="AB37:AB43" si="36">P37</f>
        <v>0.46178185283678869</v>
      </c>
      <c r="AC37" s="6"/>
      <c r="AD37" s="6"/>
      <c r="AF37">
        <v>120</v>
      </c>
      <c r="AG37" s="6">
        <f t="shared" ref="AG37:AG43" si="37">Q37</f>
        <v>0.17629666402444322</v>
      </c>
      <c r="AH37" s="6"/>
      <c r="AI37" s="6"/>
    </row>
    <row r="38" spans="1:35" x14ac:dyDescent="0.2">
      <c r="A38">
        <v>185</v>
      </c>
      <c r="C38" s="2">
        <f>VLOOKUP($A38,'Data(2013)b'!$A$9:$AA$344,14,FALSE)</f>
        <v>100.0441952</v>
      </c>
      <c r="D38" s="6">
        <f>-VLOOKUP($A38,'Data(2013)b'!$A$9:$AA$344,15,FALSE)</f>
        <v>0.27731943811968618</v>
      </c>
      <c r="E38" s="6">
        <f>-VLOOKUP($A38,'Data(2013)b'!$A$9:$AA$344,16,FALSE)</f>
        <v>4.1909877845666355E-2</v>
      </c>
      <c r="F38" s="3">
        <f>'Data(2013)'!$U$142</f>
        <v>3.9673108367433534E-3</v>
      </c>
      <c r="G38" s="3">
        <f>'Data(2013)'!$V$142</f>
        <v>2.4485463460984262E-3</v>
      </c>
      <c r="H38" s="6">
        <f t="shared" si="35"/>
        <v>0.49109774940254897</v>
      </c>
      <c r="I38" s="6">
        <f t="shared" si="35"/>
        <v>0.17268289479295984</v>
      </c>
      <c r="J38" s="6">
        <v>0.19054587912290399</v>
      </c>
      <c r="K38" s="6">
        <v>0.11385968684486901</v>
      </c>
      <c r="L38" s="6">
        <f t="shared" ref="L38:M42" si="38">H38-J38</f>
        <v>0.30055187027964497</v>
      </c>
      <c r="M38" s="6">
        <f t="shared" si="38"/>
        <v>5.882320794809083E-2</v>
      </c>
      <c r="N38" s="213" t="s">
        <v>522</v>
      </c>
      <c r="P38" s="144">
        <f>H38</f>
        <v>0.49109774940254897</v>
      </c>
      <c r="Q38" s="144">
        <f t="shared" si="34"/>
        <v>0.17268289479295984</v>
      </c>
      <c r="R38" s="6">
        <f t="shared" ref="R38:S42" si="39">P38-T38</f>
        <v>-1.3014402489031018E-2</v>
      </c>
      <c r="S38" s="6">
        <f t="shared" si="39"/>
        <v>-0.18834845668656092</v>
      </c>
      <c r="T38" s="144">
        <v>0.50411215189157998</v>
      </c>
      <c r="U38" s="144">
        <v>0.36103135147952076</v>
      </c>
      <c r="V38" s="6">
        <f t="shared" ref="V38:W42" si="40">T38-X38</f>
        <v>0.10168731405781806</v>
      </c>
      <c r="W38" s="6">
        <f t="shared" si="40"/>
        <v>0.22796640869573259</v>
      </c>
      <c r="X38" s="211">
        <v>0.40242483783376193</v>
      </c>
      <c r="Y38" s="211">
        <v>0.13306494278378816</v>
      </c>
      <c r="AA38">
        <v>100</v>
      </c>
      <c r="AB38" s="6">
        <f t="shared" si="36"/>
        <v>0.49109774940254897</v>
      </c>
      <c r="AC38" s="6">
        <f>T38</f>
        <v>0.50411215189157998</v>
      </c>
      <c r="AD38" s="6">
        <f>X38</f>
        <v>0.40242483783376193</v>
      </c>
      <c r="AF38">
        <v>100</v>
      </c>
      <c r="AG38" s="6">
        <f t="shared" si="37"/>
        <v>0.17268289479295984</v>
      </c>
      <c r="AH38" s="6">
        <f>U38</f>
        <v>0.36103135147952076</v>
      </c>
      <c r="AI38" s="6">
        <f>Y38</f>
        <v>0.13306494278378816</v>
      </c>
    </row>
    <row r="39" spans="1:35" x14ac:dyDescent="0.2">
      <c r="A39">
        <v>186</v>
      </c>
      <c r="C39" s="2">
        <f>VLOOKUP($A39,'Data(2013)b'!$A$9:$AA$344,14,FALSE)</f>
        <v>60.072354246000003</v>
      </c>
      <c r="D39" s="6">
        <f>-VLOOKUP($A39,'Data(2013)b'!$A$9:$AA$344,15,FALSE)</f>
        <v>0.29357571384301429</v>
      </c>
      <c r="E39" s="6">
        <f>-VLOOKUP($A39,'Data(2013)b'!$A$9:$AA$344,16,FALSE)</f>
        <v>4.9199749154109088E-2</v>
      </c>
      <c r="F39" s="3">
        <f>'Data(2013)'!$U$142</f>
        <v>3.9673108367433534E-3</v>
      </c>
      <c r="G39" s="3">
        <f>'Data(2013)'!$V$142</f>
        <v>2.4485463460984262E-3</v>
      </c>
      <c r="H39" s="6">
        <f t="shared" si="35"/>
        <v>0.57380130208012348</v>
      </c>
      <c r="I39" s="6">
        <f t="shared" si="35"/>
        <v>0.16447077938918025</v>
      </c>
      <c r="J39" s="6">
        <v>0.25022889417050698</v>
      </c>
      <c r="K39" s="6">
        <v>0.107612790783032</v>
      </c>
      <c r="L39" s="6">
        <f t="shared" si="38"/>
        <v>0.3235724079096165</v>
      </c>
      <c r="M39" s="6">
        <f t="shared" si="38"/>
        <v>5.6857988606148255E-2</v>
      </c>
      <c r="P39" s="144">
        <f t="shared" si="33"/>
        <v>0.57380130208012348</v>
      </c>
      <c r="Q39" s="144">
        <f t="shared" si="34"/>
        <v>0.16447077938918025</v>
      </c>
      <c r="R39" s="6">
        <f t="shared" si="39"/>
        <v>-4.0940257614507924E-4</v>
      </c>
      <c r="S39" s="6">
        <f t="shared" si="39"/>
        <v>-0.18159324688737549</v>
      </c>
      <c r="T39" s="144">
        <v>0.57421070465626856</v>
      </c>
      <c r="U39" s="144">
        <v>0.34606402627655575</v>
      </c>
      <c r="V39" s="6">
        <f t="shared" si="40"/>
        <v>0.10553425929876992</v>
      </c>
      <c r="W39" s="6">
        <f t="shared" si="40"/>
        <v>0.21832989213929901</v>
      </c>
      <c r="X39" s="211">
        <v>0.46867644535749864</v>
      </c>
      <c r="Y39" s="211">
        <v>0.12773413413725673</v>
      </c>
      <c r="AA39">
        <v>60</v>
      </c>
      <c r="AB39" s="6">
        <f t="shared" si="36"/>
        <v>0.57380130208012348</v>
      </c>
      <c r="AC39" s="6">
        <f>T39</f>
        <v>0.57421070465626856</v>
      </c>
      <c r="AD39" s="6">
        <f>X39</f>
        <v>0.46867644535749864</v>
      </c>
      <c r="AF39">
        <v>60</v>
      </c>
      <c r="AG39" s="6">
        <f t="shared" si="37"/>
        <v>0.16447077938918025</v>
      </c>
      <c r="AH39" s="6">
        <f>U39</f>
        <v>0.34606402627655575</v>
      </c>
      <c r="AI39" s="6">
        <f>Y39</f>
        <v>0.12773413413725673</v>
      </c>
    </row>
    <row r="40" spans="1:35" x14ac:dyDescent="0.2">
      <c r="A40">
        <v>187</v>
      </c>
      <c r="C40" s="2">
        <f>VLOOKUP($A40,'Data(2013)b'!$A$9:$AA$344,14,FALSE)</f>
        <v>40.045035716000001</v>
      </c>
      <c r="D40" s="6">
        <f>-VLOOKUP($A40,'Data(2013)b'!$A$9:$AA$344,15,FALSE)</f>
        <v>0.29758299042392045</v>
      </c>
      <c r="E40" s="6">
        <f>-VLOOKUP($A40,'Data(2013)b'!$A$9:$AA$344,16,FALSE)</f>
        <v>4.9258440271832613E-2</v>
      </c>
      <c r="F40" s="3">
        <f>'Data(2013)'!$U$142</f>
        <v>3.9673108367433534E-3</v>
      </c>
      <c r="G40" s="3">
        <f>'Data(2013)'!$V$142</f>
        <v>2.4485463460984262E-3</v>
      </c>
      <c r="H40" s="6">
        <f t="shared" si="35"/>
        <v>0.62784704938040503</v>
      </c>
      <c r="I40" s="6">
        <f t="shared" si="35"/>
        <v>0.16753522220996342</v>
      </c>
      <c r="J40" s="6">
        <v>0.292192810364996</v>
      </c>
      <c r="K40" s="6">
        <v>9.9942297632429108E-2</v>
      </c>
      <c r="L40" s="6">
        <f t="shared" si="38"/>
        <v>0.33565423901540903</v>
      </c>
      <c r="M40" s="6">
        <f t="shared" si="38"/>
        <v>6.7592924577534311E-2</v>
      </c>
      <c r="P40" s="144">
        <f t="shared" si="33"/>
        <v>0.62784704938040503</v>
      </c>
      <c r="Q40" s="144">
        <f t="shared" si="34"/>
        <v>0.16753522220996342</v>
      </c>
      <c r="R40" s="6">
        <f t="shared" si="39"/>
        <v>7.8400086210174136E-3</v>
      </c>
      <c r="S40" s="6">
        <f t="shared" si="39"/>
        <v>-0.17016417043914767</v>
      </c>
      <c r="T40" s="144">
        <v>0.62000704075938762</v>
      </c>
      <c r="U40" s="144">
        <v>0.33769939264911109</v>
      </c>
      <c r="V40" s="6">
        <f t="shared" si="40"/>
        <v>0.10837909849191729</v>
      </c>
      <c r="W40" s="6">
        <f t="shared" si="40"/>
        <v>0.22262317295496672</v>
      </c>
      <c r="X40" s="211">
        <v>0.51162794226747033</v>
      </c>
      <c r="Y40" s="211">
        <v>0.11507621969414436</v>
      </c>
      <c r="AA40">
        <v>40</v>
      </c>
      <c r="AB40" s="6">
        <f t="shared" si="36"/>
        <v>0.62784704938040503</v>
      </c>
      <c r="AC40" s="6">
        <f>T40</f>
        <v>0.62000704075938762</v>
      </c>
      <c r="AD40" s="6">
        <f>X40</f>
        <v>0.51162794226747033</v>
      </c>
      <c r="AF40">
        <v>40</v>
      </c>
      <c r="AG40" s="6">
        <f t="shared" si="37"/>
        <v>0.16753522220996342</v>
      </c>
      <c r="AH40" s="6">
        <f>U40</f>
        <v>0.33769939264911109</v>
      </c>
      <c r="AI40" s="6">
        <f>Y40</f>
        <v>0.11507621969414436</v>
      </c>
    </row>
    <row r="41" spans="1:35" x14ac:dyDescent="0.2">
      <c r="A41">
        <v>188</v>
      </c>
      <c r="C41" s="2">
        <f>VLOOKUP($A41,'Data(2013)b'!$A$9:$AA$344,14,FALSE)</f>
        <v>20.001910279999997</v>
      </c>
      <c r="D41" s="6">
        <f>-VLOOKUP($A41,'Data(2013)b'!$A$9:$AA$344,15,FALSE)</f>
        <v>0.31438194012337106</v>
      </c>
      <c r="E41" s="6">
        <f>-VLOOKUP($A41,'Data(2013)b'!$A$9:$AA$344,16,FALSE)</f>
        <v>4.8612153458774558E-2</v>
      </c>
      <c r="F41" s="3">
        <f>'Data(2013)'!$U$142</f>
        <v>3.9673108367433534E-3</v>
      </c>
      <c r="G41" s="3">
        <f>'Data(2013)'!$V$142</f>
        <v>2.4485463460984262E-3</v>
      </c>
      <c r="H41" s="6">
        <f t="shared" si="35"/>
        <v>0.72067204373725469</v>
      </c>
      <c r="I41" s="6">
        <f t="shared" si="35"/>
        <v>0.16169861065574931</v>
      </c>
      <c r="J41" s="6">
        <v>0.34512223105758499</v>
      </c>
      <c r="K41" s="6">
        <v>9.021708904569771E-2</v>
      </c>
      <c r="L41" s="6">
        <f t="shared" si="38"/>
        <v>0.37554981267966969</v>
      </c>
      <c r="M41" s="6">
        <f t="shared" si="38"/>
        <v>7.1481521610051599E-2</v>
      </c>
      <c r="P41" s="144">
        <f t="shared" si="33"/>
        <v>0.72067204373725469</v>
      </c>
      <c r="Q41" s="144">
        <f t="shared" si="34"/>
        <v>0.16169861065574931</v>
      </c>
      <c r="R41" s="6">
        <f t="shared" si="39"/>
        <v>4.6494656272880852E-2</v>
      </c>
      <c r="S41" s="6">
        <f t="shared" si="39"/>
        <v>-0.16374590151773666</v>
      </c>
      <c r="T41" s="144">
        <v>0.67417738746437383</v>
      </c>
      <c r="U41" s="144">
        <v>0.32544451217348597</v>
      </c>
      <c r="V41" s="6">
        <f t="shared" si="40"/>
        <v>0.11321029050067644</v>
      </c>
      <c r="W41" s="6">
        <f t="shared" si="40"/>
        <v>0.21516737369477096</v>
      </c>
      <c r="X41" s="211">
        <v>0.5609670969636974</v>
      </c>
      <c r="Y41" s="211">
        <v>0.11027713847871499</v>
      </c>
      <c r="AA41">
        <v>20</v>
      </c>
      <c r="AB41" s="6">
        <f t="shared" si="36"/>
        <v>0.72067204373725469</v>
      </c>
      <c r="AC41" s="6">
        <f>T41</f>
        <v>0.67417738746437383</v>
      </c>
      <c r="AD41" s="6">
        <f>X41</f>
        <v>0.5609670969636974</v>
      </c>
      <c r="AF41">
        <v>20</v>
      </c>
      <c r="AG41" s="6">
        <f t="shared" si="37"/>
        <v>0.16169861065574931</v>
      </c>
      <c r="AH41" s="6">
        <f>U41</f>
        <v>0.32544451217348597</v>
      </c>
      <c r="AI41" s="6">
        <f>Y41</f>
        <v>0.11027713847871499</v>
      </c>
    </row>
    <row r="42" spans="1:35" x14ac:dyDescent="0.2">
      <c r="A42">
        <v>189</v>
      </c>
      <c r="C42" s="2">
        <f>VLOOKUP($A42,'Data(2013)b'!$A$9:$AA$344,14,FALSE)</f>
        <v>10.000293669800001</v>
      </c>
      <c r="D42" s="6">
        <f>-VLOOKUP($A42,'Data(2013)b'!$A$9:$AA$344,15,FALSE)</f>
        <v>0.33182440331938423</v>
      </c>
      <c r="E42" s="6">
        <f>-VLOOKUP($A42,'Data(2013)b'!$A$9:$AA$344,16,FALSE)</f>
        <v>4.650165878671645E-2</v>
      </c>
      <c r="F42" s="3">
        <f>'Data(2013)'!$U$142</f>
        <v>3.9673108367433534E-3</v>
      </c>
      <c r="G42" s="3">
        <f>'Data(2013)'!$V$142</f>
        <v>2.4485463460984262E-3</v>
      </c>
      <c r="H42" s="6">
        <f t="shared" si="35"/>
        <v>0.7870099133891838</v>
      </c>
      <c r="I42" s="6">
        <f t="shared" si="35"/>
        <v>0.14007734193056279</v>
      </c>
      <c r="J42" s="6">
        <v>0.37719362655335897</v>
      </c>
      <c r="K42" s="6">
        <v>8.6215031028092207E-2</v>
      </c>
      <c r="L42" s="6">
        <f t="shared" si="38"/>
        <v>0.40981628683582483</v>
      </c>
      <c r="M42" s="6">
        <f t="shared" si="38"/>
        <v>5.3862310902470581E-2</v>
      </c>
      <c r="P42" s="144">
        <f t="shared" si="33"/>
        <v>0.7870099133891838</v>
      </c>
      <c r="Q42" s="144">
        <f t="shared" si="34"/>
        <v>0.14007734193056279</v>
      </c>
      <c r="R42" s="6">
        <f t="shared" si="39"/>
        <v>7.2181092706891881E-2</v>
      </c>
      <c r="S42" s="6">
        <f t="shared" si="39"/>
        <v>-0.18071958517948669</v>
      </c>
      <c r="T42" s="144">
        <v>0.71482882068229192</v>
      </c>
      <c r="U42" s="144">
        <v>0.32079692711004948</v>
      </c>
      <c r="V42" s="6">
        <f t="shared" si="40"/>
        <v>0.13488473119193012</v>
      </c>
      <c r="W42" s="6">
        <f t="shared" si="40"/>
        <v>0.25581888596270991</v>
      </c>
      <c r="X42" s="211">
        <v>0.5799440894903618</v>
      </c>
      <c r="Y42" s="211">
        <v>6.4978041147339571E-2</v>
      </c>
      <c r="AA42">
        <v>10</v>
      </c>
      <c r="AB42" s="6">
        <f t="shared" si="36"/>
        <v>0.7870099133891838</v>
      </c>
      <c r="AC42" s="6">
        <f>T42</f>
        <v>0.71482882068229192</v>
      </c>
      <c r="AD42" s="6">
        <f>X42</f>
        <v>0.5799440894903618</v>
      </c>
      <c r="AF42">
        <v>10</v>
      </c>
      <c r="AG42" s="6">
        <f t="shared" si="37"/>
        <v>0.14007734193056279</v>
      </c>
      <c r="AH42" s="6">
        <f>U42</f>
        <v>0.32079692711004948</v>
      </c>
      <c r="AI42" s="6">
        <f>Y42</f>
        <v>6.4978041147339571E-2</v>
      </c>
    </row>
    <row r="43" spans="1:35" x14ac:dyDescent="0.2">
      <c r="A43">
        <v>193</v>
      </c>
      <c r="C43" s="2">
        <f>VLOOKUP($A43,'Data(2013)b'!$A$9:$AA$344,14,FALSE)</f>
        <v>5.0087558111999995</v>
      </c>
      <c r="D43" s="6">
        <f>-VLOOKUP($A43,'Data(2013)b'!$A$9:$AA$344,15,FALSE)</f>
        <v>0.3406943800662478</v>
      </c>
      <c r="E43" s="6">
        <f>-VLOOKUP($A43,'Data(2013)b'!$A$9:$AA$344,16,FALSE)</f>
        <v>5.4122582656919924E-2</v>
      </c>
      <c r="F43" s="3">
        <f>'Data(2013)'!$U$142</f>
        <v>3.9673108367433534E-3</v>
      </c>
      <c r="G43" s="3">
        <f>'Data(2013)'!$V$142</f>
        <v>2.4485463460984262E-3</v>
      </c>
      <c r="H43" s="6">
        <f t="shared" si="35"/>
        <v>0.82325884457400822</v>
      </c>
      <c r="I43" s="6">
        <f t="shared" si="35"/>
        <v>0.16832248933374094</v>
      </c>
      <c r="J43" s="6">
        <v>0.30181735811931037</v>
      </c>
      <c r="K43" s="6">
        <v>8.42987096555462E-2</v>
      </c>
      <c r="L43" s="6">
        <f>H43-J43</f>
        <v>0.5214414864546979</v>
      </c>
      <c r="M43" s="6">
        <f>I43-K43</f>
        <v>8.4023779678194743E-2</v>
      </c>
      <c r="P43" s="144">
        <f>H43</f>
        <v>0.82325884457400822</v>
      </c>
      <c r="Q43" s="144">
        <f>I43</f>
        <v>0.16832248933374094</v>
      </c>
      <c r="R43" s="6"/>
      <c r="S43" s="6"/>
      <c r="T43" s="211"/>
      <c r="U43" s="211"/>
      <c r="V43" s="6"/>
      <c r="W43" s="6"/>
      <c r="X43" s="211"/>
      <c r="Y43" s="211"/>
      <c r="AA43">
        <v>5</v>
      </c>
      <c r="AB43" s="6">
        <f t="shared" si="36"/>
        <v>0.82325884457400822</v>
      </c>
      <c r="AC43" s="6"/>
      <c r="AD43" s="6"/>
      <c r="AF43">
        <v>5</v>
      </c>
      <c r="AG43" s="6">
        <f t="shared" si="37"/>
        <v>0.16832248933374094</v>
      </c>
      <c r="AH43" s="6"/>
      <c r="AI43" s="6"/>
    </row>
    <row r="44" spans="1:35" x14ac:dyDescent="0.2">
      <c r="P44" s="146"/>
      <c r="Q44" s="146"/>
      <c r="R44" s="6"/>
      <c r="S44" s="6"/>
      <c r="T44" s="146"/>
      <c r="U44" s="146"/>
      <c r="V44" s="6"/>
      <c r="W44" s="6"/>
      <c r="X44" s="146"/>
      <c r="Y44" s="146"/>
      <c r="AH44" s="6"/>
      <c r="AI44" s="6"/>
    </row>
    <row r="45" spans="1:35" x14ac:dyDescent="0.2">
      <c r="B45" s="5" t="s">
        <v>124</v>
      </c>
      <c r="AH45" s="6"/>
      <c r="AI45" s="6"/>
    </row>
    <row r="46" spans="1:35" x14ac:dyDescent="0.2">
      <c r="D46" s="310" t="s">
        <v>104</v>
      </c>
      <c r="E46" s="310"/>
      <c r="F46" s="310" t="s">
        <v>109</v>
      </c>
      <c r="G46" s="310"/>
      <c r="H46" s="311" t="s">
        <v>123</v>
      </c>
      <c r="I46" s="311"/>
      <c r="P46" s="212" t="s">
        <v>515</v>
      </c>
      <c r="Q46" s="146"/>
      <c r="R46" t="s">
        <v>516</v>
      </c>
      <c r="AB46" s="8" t="s">
        <v>589</v>
      </c>
      <c r="AG46" s="8" t="s">
        <v>590</v>
      </c>
    </row>
    <row r="47" spans="1:35" x14ac:dyDescent="0.2">
      <c r="C47" t="s">
        <v>4</v>
      </c>
      <c r="D47" t="s">
        <v>107</v>
      </c>
      <c r="E47" t="s">
        <v>108</v>
      </c>
      <c r="H47" s="16" t="s">
        <v>107</v>
      </c>
      <c r="I47" s="16" t="s">
        <v>108</v>
      </c>
      <c r="P47" s="146" t="s">
        <v>98</v>
      </c>
      <c r="Q47" s="146" t="s">
        <v>99</v>
      </c>
      <c r="R47" t="s">
        <v>98</v>
      </c>
      <c r="S47" t="s">
        <v>99</v>
      </c>
      <c r="AB47" s="145">
        <v>41306</v>
      </c>
      <c r="AC47" s="145">
        <v>36526</v>
      </c>
      <c r="AD47" s="145">
        <v>36465</v>
      </c>
      <c r="AG47" s="145">
        <v>41306</v>
      </c>
      <c r="AH47" s="145">
        <v>36526</v>
      </c>
      <c r="AI47" s="145">
        <v>36465</v>
      </c>
    </row>
    <row r="48" spans="1:35" x14ac:dyDescent="0.2">
      <c r="A48">
        <v>238</v>
      </c>
      <c r="C48" s="2">
        <f>VLOOKUP($A48,'Data(2013)b'!$A$9:$AA$344,14,FALSE)</f>
        <v>119.90899723999999</v>
      </c>
      <c r="D48" s="6">
        <f>VLOOKUP($A48,'Data(2013)b'!$A$9:$AA$344,15,FALSE)</f>
        <v>-4.0433210281093673E-2</v>
      </c>
      <c r="E48" s="6">
        <f>VLOOKUP($A48,'Data(2013)b'!$A$9:$AA$344,16,FALSE)</f>
        <v>-5.2522364834680701E-2</v>
      </c>
      <c r="F48" s="3">
        <f>'Data(2013)'!$U$152</f>
        <v>1.5729883911374341E-3</v>
      </c>
      <c r="G48" s="3">
        <f>'Data(2013)'!$V$152</f>
        <v>6.9226332340198643E-4</v>
      </c>
      <c r="H48" s="6">
        <f t="shared" ref="H48:I54" si="41">D48+H28+F48</f>
        <v>0.15213305302217844</v>
      </c>
      <c r="I48" s="6">
        <f t="shared" si="41"/>
        <v>7.5885012454326176E-2</v>
      </c>
      <c r="J48" s="6">
        <v>0.13801648234592598</v>
      </c>
      <c r="K48" s="6">
        <v>7.6821738752115606E-2</v>
      </c>
      <c r="L48" s="6">
        <f t="shared" ref="L48:M53" si="42">H48-J48</f>
        <v>1.4116570676252466E-2</v>
      </c>
      <c r="M48" s="6">
        <f t="shared" si="42"/>
        <v>-9.3672629778943084E-4</v>
      </c>
      <c r="N48" s="214">
        <f>J48+N28</f>
        <v>0.13801648234592598</v>
      </c>
      <c r="O48" s="214">
        <f>K48+O28</f>
        <v>7.6821738752115606E-2</v>
      </c>
      <c r="P48" s="144">
        <f t="shared" ref="P48:Q53" si="43">H48</f>
        <v>0.15213305302217844</v>
      </c>
      <c r="Q48" s="144">
        <f t="shared" si="43"/>
        <v>7.5885012454326176E-2</v>
      </c>
      <c r="R48" s="6">
        <f t="shared" ref="R48:S53" si="44">P48-T48</f>
        <v>6.2377401410235969E-2</v>
      </c>
      <c r="S48" s="6">
        <f t="shared" si="44"/>
        <v>2.0800261517790151E-2</v>
      </c>
      <c r="T48" s="144">
        <v>8.9755651611942475E-2</v>
      </c>
      <c r="U48" s="144">
        <v>5.5084750936536024E-2</v>
      </c>
      <c r="V48" s="6">
        <f t="shared" ref="V48:W53" si="45">T48-X48</f>
        <v>-5.0623594809406799E-2</v>
      </c>
      <c r="W48" s="6">
        <f t="shared" si="45"/>
        <v>-8.2426584004868575E-2</v>
      </c>
      <c r="X48" s="211">
        <v>0.14037924642134927</v>
      </c>
      <c r="Y48" s="211">
        <v>0.13751133494140461</v>
      </c>
      <c r="AA48">
        <v>120</v>
      </c>
      <c r="AB48" s="6">
        <f t="shared" ref="AB48:AB54" si="46">P48</f>
        <v>0.15213305302217844</v>
      </c>
      <c r="AC48" s="6"/>
      <c r="AD48" s="6"/>
      <c r="AF48">
        <v>120</v>
      </c>
      <c r="AG48" s="6">
        <f t="shared" ref="AG48:AG54" si="47">Q48</f>
        <v>7.5885012454326176E-2</v>
      </c>
      <c r="AH48" s="6"/>
      <c r="AI48" s="6"/>
    </row>
    <row r="49" spans="1:35" x14ac:dyDescent="0.2">
      <c r="A49">
        <v>239</v>
      </c>
      <c r="C49" s="2">
        <f>VLOOKUP($A49,'Data(2013)b'!$A$9:$AA$344,14,FALSE)</f>
        <v>100.16515392000001</v>
      </c>
      <c r="D49" s="6">
        <f>VLOOKUP($A49,'Data(2013)b'!$A$9:$AA$344,15,FALSE)</f>
        <v>-4.2570025267858538E-2</v>
      </c>
      <c r="E49" s="6">
        <f>VLOOKUP($A49,'Data(2013)b'!$A$9:$AA$344,16,FALSE)</f>
        <v>-5.5426009772161694E-2</v>
      </c>
      <c r="F49" s="3">
        <f>'Data(2013)'!$U$152</f>
        <v>1.5729883911374341E-3</v>
      </c>
      <c r="G49" s="3">
        <f>'Data(2013)'!$V$152</f>
        <v>6.9226332340198643E-4</v>
      </c>
      <c r="H49" s="6">
        <f t="shared" si="41"/>
        <v>0.16881396356939835</v>
      </c>
      <c r="I49" s="6">
        <f t="shared" si="41"/>
        <v>7.3590724152435352E-2</v>
      </c>
      <c r="J49" s="6">
        <v>0.154414565115462</v>
      </c>
      <c r="K49" s="6">
        <v>7.5102152695148403E-2</v>
      </c>
      <c r="L49" s="6">
        <f t="shared" si="42"/>
        <v>1.4399398453936341E-2</v>
      </c>
      <c r="M49" s="6">
        <f t="shared" si="42"/>
        <v>-1.5114285427130503E-3</v>
      </c>
      <c r="P49" s="144">
        <f t="shared" si="43"/>
        <v>0.16881396356939835</v>
      </c>
      <c r="Q49" s="144">
        <f t="shared" si="43"/>
        <v>7.3590724152435352E-2</v>
      </c>
      <c r="R49" s="6">
        <f t="shared" si="44"/>
        <v>5.9712376973935236E-2</v>
      </c>
      <c r="S49" s="6">
        <f t="shared" si="44"/>
        <v>2.1365630430425712E-2</v>
      </c>
      <c r="T49" s="144">
        <v>0.10910158659546311</v>
      </c>
      <c r="U49" s="144">
        <v>5.222509372200964E-2</v>
      </c>
      <c r="V49" s="6">
        <f t="shared" si="45"/>
        <v>-5.0443251238298806E-2</v>
      </c>
      <c r="W49" s="6">
        <f t="shared" si="45"/>
        <v>-8.0719849061778509E-2</v>
      </c>
      <c r="X49" s="211">
        <v>0.15954483783376192</v>
      </c>
      <c r="Y49" s="211">
        <v>0.13294494278378816</v>
      </c>
      <c r="AA49">
        <v>100</v>
      </c>
      <c r="AB49" s="6">
        <f t="shared" si="46"/>
        <v>0.16881396356939835</v>
      </c>
      <c r="AC49" s="6">
        <f>T49</f>
        <v>0.10910158659546311</v>
      </c>
      <c r="AD49" s="6">
        <f>X49</f>
        <v>0.15954483783376192</v>
      </c>
      <c r="AF49">
        <v>100</v>
      </c>
      <c r="AG49" s="6">
        <f t="shared" si="47"/>
        <v>7.3590724152435352E-2</v>
      </c>
      <c r="AH49" s="6">
        <f>U49</f>
        <v>5.222509372200964E-2</v>
      </c>
      <c r="AI49" s="6">
        <f>Y49</f>
        <v>0.13294494278378816</v>
      </c>
    </row>
    <row r="50" spans="1:35" x14ac:dyDescent="0.2">
      <c r="A50">
        <v>240</v>
      </c>
      <c r="C50" s="2">
        <f>VLOOKUP($A50,'Data(2013)b'!$A$9:$AA$344,14,FALSE)</f>
        <v>60.079884224000004</v>
      </c>
      <c r="D50" s="6">
        <f>VLOOKUP($A50,'Data(2013)b'!$A$9:$AA$344,15,FALSE)</f>
        <v>-5.8268505538634774E-2</v>
      </c>
      <c r="E50" s="6">
        <f>VLOOKUP($A50,'Data(2013)b'!$A$9:$AA$344,16,FALSE)</f>
        <v>-5.8006911048736912E-2</v>
      </c>
      <c r="F50" s="3">
        <f>'Data(2013)'!$U$152</f>
        <v>1.5729883911374341E-3</v>
      </c>
      <c r="G50" s="3">
        <f>'Data(2013)'!$V$152</f>
        <v>6.9226332340198643E-4</v>
      </c>
      <c r="H50" s="6">
        <f t="shared" si="41"/>
        <v>0.21956276025286839</v>
      </c>
      <c r="I50" s="6">
        <f t="shared" si="41"/>
        <v>5.5507836163637803E-2</v>
      </c>
      <c r="J50" s="6">
        <v>0.199430208460743</v>
      </c>
      <c r="K50" s="6">
        <v>6.6069437394748201E-2</v>
      </c>
      <c r="L50" s="6">
        <f t="shared" si="42"/>
        <v>2.0132551792125392E-2</v>
      </c>
      <c r="M50" s="6">
        <f t="shared" si="42"/>
        <v>-1.0561601231110399E-2</v>
      </c>
      <c r="P50" s="144">
        <f t="shared" si="43"/>
        <v>0.21956276025286839</v>
      </c>
      <c r="Q50" s="144">
        <f t="shared" si="43"/>
        <v>5.5507836163637803E-2</v>
      </c>
      <c r="R50" s="6">
        <f t="shared" si="44"/>
        <v>7.393104796384517E-2</v>
      </c>
      <c r="S50" s="6">
        <f t="shared" si="44"/>
        <v>2.4333599505511991E-2</v>
      </c>
      <c r="T50" s="144">
        <v>0.14563171228902322</v>
      </c>
      <c r="U50" s="144">
        <v>3.1174236658125812E-2</v>
      </c>
      <c r="V50" s="6">
        <f t="shared" si="45"/>
        <v>-4.5820652800916906E-2</v>
      </c>
      <c r="W50" s="6">
        <f t="shared" si="45"/>
        <v>-9.6459563030970377E-2</v>
      </c>
      <c r="X50" s="211">
        <v>0.19145236508994012</v>
      </c>
      <c r="Y50" s="211">
        <v>0.12763379968909619</v>
      </c>
      <c r="AA50">
        <v>60</v>
      </c>
      <c r="AB50" s="6">
        <f t="shared" si="46"/>
        <v>0.21956276025286839</v>
      </c>
      <c r="AC50" s="6">
        <f>T50</f>
        <v>0.14563171228902322</v>
      </c>
      <c r="AD50" s="6">
        <f>X50</f>
        <v>0.19145236508994012</v>
      </c>
      <c r="AF50">
        <v>60</v>
      </c>
      <c r="AG50" s="6">
        <f t="shared" si="47"/>
        <v>5.5507836163637803E-2</v>
      </c>
      <c r="AH50" s="6">
        <f>U50</f>
        <v>3.1174236658125812E-2</v>
      </c>
      <c r="AI50" s="6">
        <f>Y50</f>
        <v>0.12763379968909619</v>
      </c>
    </row>
    <row r="51" spans="1:35" x14ac:dyDescent="0.2">
      <c r="A51">
        <v>241</v>
      </c>
      <c r="C51" s="2">
        <f>VLOOKUP($A51,'Data(2013)b'!$A$9:$AA$344,14,FALSE)</f>
        <v>40.071349826000002</v>
      </c>
      <c r="D51" s="6">
        <f>VLOOKUP($A51,'Data(2013)b'!$A$9:$AA$344,15,FALSE)</f>
        <v>-7.5868063172342404E-2</v>
      </c>
      <c r="E51" s="6">
        <f>VLOOKUP($A51,'Data(2013)b'!$A$9:$AA$344,16,FALSE)</f>
        <v>-5.9104078357332841E-2</v>
      </c>
      <c r="F51" s="3">
        <f>'Data(2013)'!$U$152</f>
        <v>1.5729883911374341E-3</v>
      </c>
      <c r="G51" s="3">
        <f>'Data(2013)'!$V$152</f>
        <v>6.9226332340198643E-4</v>
      </c>
      <c r="H51" s="6">
        <f t="shared" si="41"/>
        <v>0.25200167333853629</v>
      </c>
      <c r="I51" s="6">
        <f t="shared" si="41"/>
        <v>5.7416420558101512E-2</v>
      </c>
      <c r="J51" s="6">
        <v>0.22977168644069401</v>
      </c>
      <c r="K51" s="6">
        <v>5.7494562474347699E-2</v>
      </c>
      <c r="L51" s="6">
        <f t="shared" si="42"/>
        <v>2.222998689784228E-2</v>
      </c>
      <c r="M51" s="6">
        <f t="shared" si="42"/>
        <v>-7.8141916246186882E-5</v>
      </c>
      <c r="P51" s="144">
        <f t="shared" si="43"/>
        <v>0.25200167333853629</v>
      </c>
      <c r="Q51" s="144">
        <f t="shared" si="43"/>
        <v>5.7416420558101512E-2</v>
      </c>
      <c r="R51" s="6">
        <f t="shared" si="44"/>
        <v>7.2845878283605114E-2</v>
      </c>
      <c r="S51" s="6">
        <f t="shared" si="44"/>
        <v>4.3289817543386802E-2</v>
      </c>
      <c r="T51" s="144">
        <v>0.17915579505493118</v>
      </c>
      <c r="U51" s="144">
        <v>1.4126603014714707E-2</v>
      </c>
      <c r="V51" s="6">
        <f t="shared" si="45"/>
        <v>-5.3211777397446675E-2</v>
      </c>
      <c r="W51" s="6">
        <f t="shared" si="45"/>
        <v>-0.10079969164194839</v>
      </c>
      <c r="X51" s="211">
        <v>0.23236757245237785</v>
      </c>
      <c r="Y51" s="211">
        <v>0.1149262946566631</v>
      </c>
      <c r="AA51">
        <v>40</v>
      </c>
      <c r="AB51" s="6">
        <f t="shared" si="46"/>
        <v>0.25200167333853629</v>
      </c>
      <c r="AC51" s="6">
        <f>T51</f>
        <v>0.17915579505493118</v>
      </c>
      <c r="AD51" s="6">
        <f>X51</f>
        <v>0.23236757245237785</v>
      </c>
      <c r="AF51">
        <v>40</v>
      </c>
      <c r="AG51" s="6">
        <f t="shared" si="47"/>
        <v>5.7416420558101512E-2</v>
      </c>
      <c r="AH51" s="6">
        <f>U51</f>
        <v>1.4126603014714707E-2</v>
      </c>
      <c r="AI51" s="6">
        <f>Y51</f>
        <v>0.1149262946566631</v>
      </c>
    </row>
    <row r="52" spans="1:35" x14ac:dyDescent="0.2">
      <c r="A52">
        <v>242</v>
      </c>
      <c r="C52" s="2">
        <f>VLOOKUP($A52,'Data(2013)b'!$A$9:$AA$344,14,FALSE)</f>
        <v>19.999084906</v>
      </c>
      <c r="D52" s="6">
        <f>VLOOKUP($A52,'Data(2013)b'!$A$9:$AA$344,15,FALSE)</f>
        <v>-9.10906181572399E-2</v>
      </c>
      <c r="E52" s="6">
        <f>VLOOKUP($A52,'Data(2013)b'!$A$9:$AA$344,16,FALSE)</f>
        <v>-6.5836935182551501E-2</v>
      </c>
      <c r="F52" s="3">
        <f>'Data(2013)'!$U$152</f>
        <v>1.5729883911374341E-3</v>
      </c>
      <c r="G52" s="3">
        <f>'Data(2013)'!$V$152</f>
        <v>6.9226332340198643E-4</v>
      </c>
      <c r="H52" s="6">
        <f t="shared" si="41"/>
        <v>0.31280516301103778</v>
      </c>
      <c r="I52" s="6">
        <f t="shared" si="41"/>
        <v>4.5493238991726803E-2</v>
      </c>
      <c r="J52" s="6">
        <v>0.267557767747794</v>
      </c>
      <c r="K52" s="6">
        <v>4.5611771029290302E-2</v>
      </c>
      <c r="L52" s="6">
        <f t="shared" si="42"/>
        <v>4.5247395263243784E-2</v>
      </c>
      <c r="M52" s="6">
        <f t="shared" si="42"/>
        <v>-1.185320375634985E-4</v>
      </c>
      <c r="P52" s="144">
        <f t="shared" si="43"/>
        <v>0.31280516301103778</v>
      </c>
      <c r="Q52" s="144">
        <f t="shared" si="43"/>
        <v>4.5493238991726803E-2</v>
      </c>
      <c r="R52" s="6">
        <f t="shared" si="44"/>
        <v>0.11751177524566683</v>
      </c>
      <c r="S52" s="6">
        <f t="shared" si="44"/>
        <v>6.2403435519603805E-2</v>
      </c>
      <c r="T52" s="144">
        <v>0.19529338776537095</v>
      </c>
      <c r="U52" s="144">
        <v>-1.6910196527877001E-2</v>
      </c>
      <c r="V52" s="6">
        <f t="shared" si="45"/>
        <v>-6.9821635235307961E-2</v>
      </c>
      <c r="W52" s="6">
        <f t="shared" si="45"/>
        <v>-0.12698743495661699</v>
      </c>
      <c r="X52" s="211">
        <v>0.26511502300067891</v>
      </c>
      <c r="Y52" s="211">
        <v>0.11007723842873998</v>
      </c>
      <c r="AA52">
        <v>20</v>
      </c>
      <c r="AB52" s="6">
        <f t="shared" si="46"/>
        <v>0.31280516301103778</v>
      </c>
      <c r="AC52" s="6">
        <f>T52</f>
        <v>0.19529338776537095</v>
      </c>
      <c r="AD52" s="6">
        <f>X52</f>
        <v>0.26511502300067891</v>
      </c>
      <c r="AF52">
        <v>20</v>
      </c>
      <c r="AG52" s="6">
        <f t="shared" si="47"/>
        <v>4.5493238991726803E-2</v>
      </c>
      <c r="AH52" s="6">
        <f>U52</f>
        <v>-1.6910196527877001E-2</v>
      </c>
      <c r="AI52" s="6">
        <f>Y52</f>
        <v>0.11007723842873998</v>
      </c>
    </row>
    <row r="53" spans="1:35" x14ac:dyDescent="0.2">
      <c r="A53">
        <v>243</v>
      </c>
      <c r="C53" s="2">
        <f>VLOOKUP($A53,'Data(2013)b'!$A$9:$AA$344,14,FALSE)</f>
        <v>9.999829483800001</v>
      </c>
      <c r="D53" s="6">
        <f>VLOOKUP($A53,'Data(2013)b'!$A$9:$AA$344,15,FALSE)</f>
        <v>-0.10588777922484058</v>
      </c>
      <c r="E53" s="6">
        <f>VLOOKUP($A53,'Data(2013)b'!$A$9:$AA$344,16,FALSE)</f>
        <v>-6.5782603033282927E-2</v>
      </c>
      <c r="F53" s="3">
        <f>'Data(2013)'!$U$152</f>
        <v>1.5729883911374341E-3</v>
      </c>
      <c r="G53" s="3">
        <f>'Data(2013)'!$V$152</f>
        <v>6.9226332340198643E-4</v>
      </c>
      <c r="H53" s="6">
        <f t="shared" si="41"/>
        <v>0.34690340839935313</v>
      </c>
      <c r="I53" s="6">
        <f t="shared" si="41"/>
        <v>2.6036797087866981E-2</v>
      </c>
      <c r="J53" s="6">
        <v>0.290329874905981</v>
      </c>
      <c r="K53" s="6">
        <v>3.8464257330321598E-2</v>
      </c>
      <c r="L53" s="6">
        <f t="shared" si="42"/>
        <v>5.657353349337213E-2</v>
      </c>
      <c r="M53" s="6">
        <f t="shared" si="42"/>
        <v>-1.2427460242454617E-2</v>
      </c>
      <c r="P53" s="144">
        <f t="shared" si="43"/>
        <v>0.34690340839935313</v>
      </c>
      <c r="Q53" s="144">
        <f t="shared" si="43"/>
        <v>2.6036797087866981E-2</v>
      </c>
      <c r="R53" s="6">
        <f t="shared" si="44"/>
        <v>0.13228335956481452</v>
      </c>
      <c r="S53" s="6">
        <f t="shared" si="44"/>
        <v>3.8110254571059918E-2</v>
      </c>
      <c r="T53" s="144">
        <v>0.21462004883453861</v>
      </c>
      <c r="U53" s="144">
        <v>-1.2073457483192933E-2</v>
      </c>
      <c r="V53" s="6">
        <f t="shared" si="45"/>
        <v>-6.5324040655823146E-2</v>
      </c>
      <c r="W53" s="6">
        <f t="shared" si="45"/>
        <v>-7.7051498630532511E-2</v>
      </c>
      <c r="X53" s="211">
        <v>0.27994408949036176</v>
      </c>
      <c r="Y53" s="211">
        <v>6.4978041147339571E-2</v>
      </c>
      <c r="AA53">
        <v>10</v>
      </c>
      <c r="AB53" s="6">
        <f t="shared" si="46"/>
        <v>0.34690340839935313</v>
      </c>
      <c r="AC53" s="6">
        <f>T53</f>
        <v>0.21462004883453861</v>
      </c>
      <c r="AD53" s="6">
        <f>X53</f>
        <v>0.27994408949036176</v>
      </c>
      <c r="AF53">
        <v>10</v>
      </c>
      <c r="AG53" s="6">
        <f t="shared" si="47"/>
        <v>2.6036797087866981E-2</v>
      </c>
      <c r="AH53" s="6">
        <f>U53</f>
        <v>-1.2073457483192933E-2</v>
      </c>
      <c r="AI53" s="6">
        <f>Y53</f>
        <v>6.4978041147339571E-2</v>
      </c>
    </row>
    <row r="54" spans="1:35" x14ac:dyDescent="0.2">
      <c r="A54">
        <v>244</v>
      </c>
      <c r="C54" s="2">
        <f>VLOOKUP($A54,'Data(2013)b'!$A$9:$AA$344,14,FALSE)</f>
        <v>4.9392275202000002</v>
      </c>
      <c r="D54" s="6">
        <f>VLOOKUP($A54,'Data(2013)b'!$A$9:$AA$344,15,FALSE)</f>
        <v>-0.11211081511606694</v>
      </c>
      <c r="E54" s="6">
        <f>VLOOKUP($A54,'Data(2013)b'!$A$9:$AA$344,16,FALSE)</f>
        <v>-6.5478277593814971E-2</v>
      </c>
      <c r="F54" s="3">
        <f>'Data(2013)'!$U$152</f>
        <v>1.5729883911374341E-3</v>
      </c>
      <c r="G54" s="3">
        <f>'Data(2013)'!$V$152</f>
        <v>6.9226332340198643E-4</v>
      </c>
      <c r="H54" s="6">
        <f t="shared" si="41"/>
        <v>0.36805932694608762</v>
      </c>
      <c r="I54" s="6">
        <f t="shared" si="41"/>
        <v>4.6965346060309596E-2</v>
      </c>
      <c r="J54" s="6">
        <v>0.30181735811931037</v>
      </c>
      <c r="K54" s="6">
        <v>8.42987096555462E-2</v>
      </c>
      <c r="L54" s="6">
        <f>H54-J54</f>
        <v>6.6241968826777242E-2</v>
      </c>
      <c r="M54" s="6">
        <f>I54-K54</f>
        <v>-3.7333363595236604E-2</v>
      </c>
      <c r="P54" s="144">
        <f>H54</f>
        <v>0.36805932694608762</v>
      </c>
      <c r="Q54" s="144">
        <f>I54</f>
        <v>4.6965346060309596E-2</v>
      </c>
      <c r="R54" s="6"/>
      <c r="S54" s="6"/>
      <c r="T54" s="144"/>
      <c r="U54" s="144"/>
      <c r="V54" s="6"/>
      <c r="W54" s="6"/>
      <c r="X54" s="211"/>
      <c r="Y54" s="211"/>
      <c r="AA54">
        <v>5</v>
      </c>
      <c r="AB54" s="6">
        <f t="shared" si="46"/>
        <v>0.36805932694608762</v>
      </c>
      <c r="AC54" s="6"/>
      <c r="AD54" s="6"/>
      <c r="AF54">
        <v>5</v>
      </c>
      <c r="AG54" s="6">
        <f t="shared" si="47"/>
        <v>4.6965346060309596E-2</v>
      </c>
      <c r="AH54" s="6"/>
      <c r="AI54" s="6"/>
    </row>
    <row r="55" spans="1:35" x14ac:dyDescent="0.2">
      <c r="F55" s="3"/>
      <c r="G55" s="3"/>
      <c r="P55" s="211"/>
      <c r="Q55" s="211"/>
      <c r="T55" s="146"/>
      <c r="U55" s="146"/>
      <c r="V55" s="310"/>
      <c r="W55" s="310"/>
      <c r="X55" s="312"/>
      <c r="Y55" s="312"/>
    </row>
    <row r="56" spans="1:35" x14ac:dyDescent="0.2">
      <c r="B56" s="5" t="s">
        <v>125</v>
      </c>
      <c r="F56" s="3"/>
      <c r="G56" s="3"/>
      <c r="P56" s="211"/>
      <c r="Q56" s="211"/>
      <c r="T56" s="146"/>
      <c r="U56" s="146"/>
      <c r="V56" s="310" t="s">
        <v>127</v>
      </c>
      <c r="W56" s="310"/>
      <c r="X56" s="312" t="s">
        <v>126</v>
      </c>
      <c r="Y56" s="312"/>
      <c r="AB56" s="8"/>
      <c r="AG56" s="8"/>
    </row>
    <row r="57" spans="1:35" x14ac:dyDescent="0.2">
      <c r="A57">
        <v>208</v>
      </c>
      <c r="C57" s="2">
        <f>VLOOKUP($A57,'Data(2013)b'!$A$9:$AA$344,14,FALSE)</f>
        <v>119.66667364000001</v>
      </c>
      <c r="D57" s="6">
        <f>VLOOKUP($A57,'Data(2013)b'!$A$9:$AA$344,15,FALSE)</f>
        <v>-0.25463768209743648</v>
      </c>
      <c r="E57" s="6">
        <f>VLOOKUP($A57,'Data(2013)b'!$A$9:$AA$344,16,FALSE)</f>
        <v>-4.8294297352878268E-2</v>
      </c>
      <c r="F57" s="3">
        <f>'Data(2013)'!$U$226</f>
        <v>-2.2820298027129916E-4</v>
      </c>
      <c r="G57" s="3">
        <f>'Data(2013)'!$V$226</f>
        <v>-9.1269021416439593E-4</v>
      </c>
      <c r="H57" s="6">
        <f t="shared" ref="H57:I62" si="48">D57+H48+F57</f>
        <v>-0.10273283205552934</v>
      </c>
      <c r="I57" s="6">
        <f t="shared" si="48"/>
        <v>2.6678024887283512E-2</v>
      </c>
      <c r="J57" s="6">
        <v>0.17019580338882098</v>
      </c>
      <c r="K57" s="6">
        <v>0.114002112224824</v>
      </c>
      <c r="L57" s="6">
        <f>H57-J57</f>
        <v>-0.27292863544435031</v>
      </c>
      <c r="M57" s="6">
        <f>I57-K57</f>
        <v>-8.732408733754049E-2</v>
      </c>
      <c r="N57" s="214">
        <f>J57+N48</f>
        <v>0.30821228573474696</v>
      </c>
      <c r="O57" s="214">
        <f>K57+O48</f>
        <v>0.1908238509769396</v>
      </c>
      <c r="P57" s="211">
        <f t="shared" ref="P57:Q62" si="49">H57</f>
        <v>-0.10273283205552934</v>
      </c>
      <c r="Q57" s="211">
        <f t="shared" si="49"/>
        <v>2.6678024887283512E-2</v>
      </c>
      <c r="T57" s="146"/>
      <c r="U57" s="146"/>
      <c r="V57" t="s">
        <v>98</v>
      </c>
      <c r="W57" t="s">
        <v>99</v>
      </c>
      <c r="X57" s="146" t="s">
        <v>98</v>
      </c>
      <c r="Y57" s="146" t="s">
        <v>99</v>
      </c>
      <c r="AB57" s="145"/>
      <c r="AC57" s="145"/>
      <c r="AD57" s="145"/>
      <c r="AG57" s="145"/>
      <c r="AH57" s="145"/>
      <c r="AI57" s="145"/>
    </row>
    <row r="58" spans="1:35" x14ac:dyDescent="0.2">
      <c r="A58">
        <v>209</v>
      </c>
      <c r="C58" s="2">
        <f>VLOOKUP($A58,'Data(2013)b'!$A$9:$AA$344,14,FALSE)</f>
        <v>100.02898456</v>
      </c>
      <c r="D58" s="6">
        <f>VLOOKUP($A58,'Data(2013)b'!$A$9:$AA$344,15,FALSE)</f>
        <v>-0.25108434030873261</v>
      </c>
      <c r="E58" s="6">
        <f>VLOOKUP($A58,'Data(2013)b'!$A$9:$AA$344,16,FALSE)</f>
        <v>-5.5706053445515248E-2</v>
      </c>
      <c r="F58" s="3">
        <f>'Data(2013)'!$U$226</f>
        <v>-2.2820298027129916E-4</v>
      </c>
      <c r="G58" s="3">
        <f>'Data(2013)'!$V$226</f>
        <v>-9.1269021416439593E-4</v>
      </c>
      <c r="H58" s="6">
        <f t="shared" si="48"/>
        <v>-8.2498579719605572E-2</v>
      </c>
      <c r="I58" s="6">
        <f t="shared" si="48"/>
        <v>1.6971980492755709E-2</v>
      </c>
      <c r="J58" s="6">
        <v>0.19054587912290399</v>
      </c>
      <c r="K58" s="6">
        <v>0.11385968684486901</v>
      </c>
      <c r="L58" s="6">
        <f t="shared" ref="L58:M62" si="50">H58-J58</f>
        <v>-0.27304445884250955</v>
      </c>
      <c r="M58" s="6">
        <f t="shared" si="50"/>
        <v>-9.6887706352113301E-2</v>
      </c>
      <c r="P58" s="211">
        <f t="shared" si="49"/>
        <v>-8.2498579719605572E-2</v>
      </c>
      <c r="Q58" s="211">
        <f t="shared" si="49"/>
        <v>1.6971980492755709E-2</v>
      </c>
      <c r="R58" s="6">
        <f t="shared" ref="R58:S62" si="51">P58-T58</f>
        <v>-0.56352624756765146</v>
      </c>
      <c r="S58" s="6">
        <f t="shared" si="51"/>
        <v>-0.25609247604011248</v>
      </c>
      <c r="T58" s="211">
        <v>0.4810276678480459</v>
      </c>
      <c r="U58" s="211">
        <v>0.2730644565328682</v>
      </c>
      <c r="V58" s="6">
        <f t="shared" ref="V58:W62" si="52">T58-X58</f>
        <v>7.8602830014283975E-2</v>
      </c>
      <c r="W58" s="6">
        <f t="shared" si="52"/>
        <v>0.13999951374908004</v>
      </c>
      <c r="X58" s="211">
        <v>0.40242483783376193</v>
      </c>
      <c r="Y58" s="211">
        <v>0.13306494278378816</v>
      </c>
      <c r="AB58" s="6"/>
      <c r="AC58" s="6"/>
      <c r="AD58" s="6"/>
      <c r="AG58" s="6"/>
      <c r="AH58" s="6"/>
      <c r="AI58" s="6"/>
    </row>
    <row r="59" spans="1:35" x14ac:dyDescent="0.2">
      <c r="A59">
        <v>210</v>
      </c>
      <c r="C59" s="2">
        <f>VLOOKUP($A59,'Data(2013)b'!$A$9:$AA$344,14,FALSE)</f>
        <v>60.015608854</v>
      </c>
      <c r="D59" s="6">
        <f>VLOOKUP($A59,'Data(2013)b'!$A$9:$AA$344,15,FALSE)</f>
        <v>-0.27385514591683724</v>
      </c>
      <c r="E59" s="6">
        <f>VLOOKUP($A59,'Data(2013)b'!$A$9:$AA$344,16,FALSE)</f>
        <v>-4.9636174603291651E-2</v>
      </c>
      <c r="F59" s="3">
        <f>'Data(2013)'!$U$226</f>
        <v>-2.2820298027129916E-4</v>
      </c>
      <c r="G59" s="3">
        <f>'Data(2013)'!$V$226</f>
        <v>-9.1269021416439593E-4</v>
      </c>
      <c r="H59" s="6">
        <f>D59+H50+F59</f>
        <v>-5.4520588644240149E-2</v>
      </c>
      <c r="I59" s="6">
        <f t="shared" si="48"/>
        <v>4.9589713461817555E-3</v>
      </c>
      <c r="J59" s="6">
        <v>0.25022889417050698</v>
      </c>
      <c r="K59" s="6">
        <v>0.107612790783032</v>
      </c>
      <c r="L59" s="6">
        <f t="shared" si="50"/>
        <v>-0.30474948281474712</v>
      </c>
      <c r="M59" s="6">
        <f t="shared" si="50"/>
        <v>-0.10265381943685024</v>
      </c>
      <c r="P59" s="211">
        <f t="shared" si="49"/>
        <v>-5.4520588644240149E-2</v>
      </c>
      <c r="Q59" s="211">
        <f t="shared" si="49"/>
        <v>4.9589713461817555E-3</v>
      </c>
      <c r="R59" s="6">
        <f t="shared" si="51"/>
        <v>-0.55667964470895182</v>
      </c>
      <c r="S59" s="6">
        <f t="shared" si="51"/>
        <v>-0.27485925189874066</v>
      </c>
      <c r="T59" s="211">
        <v>0.50215905606471167</v>
      </c>
      <c r="U59" s="211">
        <v>0.27981822324492239</v>
      </c>
      <c r="V59" s="6">
        <f t="shared" si="52"/>
        <v>3.3482610707213034E-2</v>
      </c>
      <c r="W59" s="6">
        <f t="shared" si="52"/>
        <v>0.15208408910766566</v>
      </c>
      <c r="X59" s="211">
        <v>0.46867644535749864</v>
      </c>
      <c r="Y59" s="211">
        <v>0.12773413413725673</v>
      </c>
      <c r="AB59" s="6"/>
      <c r="AC59" s="6"/>
      <c r="AD59" s="6"/>
      <c r="AG59" s="6"/>
      <c r="AH59" s="6"/>
      <c r="AI59" s="6"/>
    </row>
    <row r="60" spans="1:35" x14ac:dyDescent="0.2">
      <c r="A60">
        <v>211</v>
      </c>
      <c r="C60" s="2">
        <f>VLOOKUP($A60,'Data(2013)b'!$A$9:$AA$344,14,FALSE)</f>
        <v>39.986475329999998</v>
      </c>
      <c r="D60" s="6">
        <f>VLOOKUP($A60,'Data(2013)b'!$A$9:$AA$344,15,FALSE)</f>
        <v>-0.28508052350009416</v>
      </c>
      <c r="E60" s="6">
        <f>VLOOKUP($A60,'Data(2013)b'!$A$9:$AA$344,16,FALSE)</f>
        <v>-4.9515646869593609E-2</v>
      </c>
      <c r="F60" s="3">
        <f>'Data(2013)'!$U$226</f>
        <v>-2.2820298027129916E-4</v>
      </c>
      <c r="G60" s="3">
        <f>'Data(2013)'!$V$226</f>
        <v>-9.1269021416439593E-4</v>
      </c>
      <c r="H60" s="6">
        <f t="shared" si="48"/>
        <v>-3.330705314182917E-2</v>
      </c>
      <c r="I60" s="6">
        <f t="shared" si="48"/>
        <v>6.9880834743435071E-3</v>
      </c>
      <c r="J60" s="6">
        <v>0.292192810364996</v>
      </c>
      <c r="K60" s="6">
        <v>9.9942297632429108E-2</v>
      </c>
      <c r="L60" s="6">
        <f t="shared" si="50"/>
        <v>-0.32549986350682519</v>
      </c>
      <c r="M60" s="6">
        <f t="shared" si="50"/>
        <v>-9.2954214158085607E-2</v>
      </c>
      <c r="P60" s="211">
        <f>H60</f>
        <v>-3.330705314182917E-2</v>
      </c>
      <c r="Q60" s="211">
        <f t="shared" si="49"/>
        <v>6.9880834743435071E-3</v>
      </c>
      <c r="R60" s="6">
        <f t="shared" si="51"/>
        <v>-0.59102911264670865</v>
      </c>
      <c r="S60" s="6">
        <f t="shared" si="51"/>
        <v>-0.24626978164727156</v>
      </c>
      <c r="T60" s="211">
        <v>0.55772205950487952</v>
      </c>
      <c r="U60" s="211">
        <v>0.25325786512161508</v>
      </c>
      <c r="V60" s="6">
        <f t="shared" si="52"/>
        <v>4.6094117237409193E-2</v>
      </c>
      <c r="W60" s="6">
        <f t="shared" si="52"/>
        <v>0.13818164542747072</v>
      </c>
      <c r="X60" s="211">
        <v>0.51162794226747033</v>
      </c>
      <c r="Y60" s="211">
        <v>0.11507621969414436</v>
      </c>
      <c r="AB60" s="6"/>
      <c r="AC60" s="6"/>
      <c r="AD60" s="6"/>
      <c r="AG60" s="6"/>
      <c r="AH60" s="6"/>
      <c r="AI60" s="6"/>
    </row>
    <row r="61" spans="1:35" x14ac:dyDescent="0.2">
      <c r="A61">
        <v>212</v>
      </c>
      <c r="C61" s="2">
        <f>VLOOKUP($A61,'Data(2013)b'!$A$9:$AA$344,14,FALSE)</f>
        <v>20.004374869999999</v>
      </c>
      <c r="D61" s="6">
        <f>VLOOKUP($A61,'Data(2013)b'!$A$9:$AA$344,15,FALSE)</f>
        <v>-0.30005248946826996</v>
      </c>
      <c r="E61" s="6">
        <f>VLOOKUP($A61,'Data(2013)b'!$A$9:$AA$344,16,FALSE)</f>
        <v>-6.6366839285290705E-2</v>
      </c>
      <c r="F61" s="3">
        <f>'Data(2013)'!$U$226</f>
        <v>-2.2820298027129916E-4</v>
      </c>
      <c r="G61" s="3">
        <f>'Data(2013)'!$V$226</f>
        <v>-9.1269021416439593E-4</v>
      </c>
      <c r="H61" s="6">
        <f t="shared" si="48"/>
        <v>1.2524470562496524E-2</v>
      </c>
      <c r="I61" s="6">
        <f t="shared" si="48"/>
        <v>-2.1786290507728297E-2</v>
      </c>
      <c r="J61" s="6">
        <v>0.34512223105758499</v>
      </c>
      <c r="K61" s="6">
        <v>9.021708904569771E-2</v>
      </c>
      <c r="L61" s="6">
        <f t="shared" si="50"/>
        <v>-0.33259776049508849</v>
      </c>
      <c r="M61" s="6">
        <f t="shared" si="50"/>
        <v>-0.11200337955342601</v>
      </c>
      <c r="P61" s="211">
        <f t="shared" si="49"/>
        <v>1.2524470562496524E-2</v>
      </c>
      <c r="Q61" s="211">
        <f t="shared" si="49"/>
        <v>-2.1786290507728297E-2</v>
      </c>
      <c r="R61" s="6">
        <f t="shared" si="51"/>
        <v>-0.58721896680670205</v>
      </c>
      <c r="S61" s="6">
        <f t="shared" si="51"/>
        <v>-0.25757890839462622</v>
      </c>
      <c r="T61" s="211">
        <v>0.59974343736919855</v>
      </c>
      <c r="U61" s="211">
        <v>0.23579261788689793</v>
      </c>
      <c r="V61" s="6">
        <f t="shared" si="52"/>
        <v>3.8776340405501153E-2</v>
      </c>
      <c r="W61" s="6">
        <f t="shared" si="52"/>
        <v>0.12551547940818292</v>
      </c>
      <c r="X61" s="211">
        <v>0.5609670969636974</v>
      </c>
      <c r="Y61" s="211">
        <v>0.11027713847871499</v>
      </c>
      <c r="AB61" s="6"/>
      <c r="AC61" s="6"/>
      <c r="AD61" s="6"/>
      <c r="AG61" s="6"/>
      <c r="AH61" s="6"/>
      <c r="AI61" s="6"/>
    </row>
    <row r="62" spans="1:35" x14ac:dyDescent="0.2">
      <c r="A62">
        <v>213</v>
      </c>
      <c r="C62" s="2">
        <f>VLOOKUP($A62,'Data(2013)b'!$A$9:$AA$344,14,FALSE)</f>
        <v>10.014578373999999</v>
      </c>
      <c r="D62" s="6">
        <f>VLOOKUP($A62,'Data(2013)b'!$A$9:$AA$344,15,FALSE)</f>
        <v>-0.30747491956269957</v>
      </c>
      <c r="E62" s="6">
        <f>VLOOKUP($A62,'Data(2013)b'!$A$9:$AA$344,16,FALSE)</f>
        <v>-5.2032451146704677E-2</v>
      </c>
      <c r="F62" s="3">
        <f>'Data(2013)'!$U$226</f>
        <v>-2.2820298027129916E-4</v>
      </c>
      <c r="G62" s="3">
        <f>'Data(2013)'!$V$226</f>
        <v>-9.1269021416439593E-4</v>
      </c>
      <c r="H62" s="6">
        <f t="shared" si="48"/>
        <v>3.9200285856382265E-2</v>
      </c>
      <c r="I62" s="6">
        <f t="shared" si="48"/>
        <v>-2.690834427300209E-2</v>
      </c>
      <c r="J62" s="6">
        <v>0.37719362655335897</v>
      </c>
      <c r="K62" s="6">
        <v>8.6215031028092207E-2</v>
      </c>
      <c r="L62" s="6">
        <f t="shared" si="50"/>
        <v>-0.33799334069697673</v>
      </c>
      <c r="M62" s="6">
        <f t="shared" si="50"/>
        <v>-0.1131233753010943</v>
      </c>
      <c r="P62" s="211">
        <f t="shared" si="49"/>
        <v>3.9200285856382265E-2</v>
      </c>
      <c r="Q62" s="211">
        <f t="shared" si="49"/>
        <v>-2.690834427300209E-2</v>
      </c>
      <c r="R62" s="6">
        <f t="shared" si="51"/>
        <v>-0.58397307282178523</v>
      </c>
      <c r="S62" s="6">
        <f t="shared" si="51"/>
        <v>-0.23670250069640822</v>
      </c>
      <c r="T62" s="211">
        <v>0.62317335867816748</v>
      </c>
      <c r="U62" s="211">
        <v>0.20979415642340613</v>
      </c>
      <c r="V62" s="6">
        <f t="shared" si="52"/>
        <v>4.3229269187805675E-2</v>
      </c>
      <c r="W62" s="6">
        <f t="shared" si="52"/>
        <v>0.14481611527606655</v>
      </c>
      <c r="X62" s="211">
        <v>0.5799440894903618</v>
      </c>
      <c r="Y62" s="211">
        <v>6.4978041147339571E-2</v>
      </c>
      <c r="AB62" s="6"/>
      <c r="AC62" s="6"/>
      <c r="AD62" s="6"/>
      <c r="AG62" s="6"/>
      <c r="AH62" s="6"/>
      <c r="AI62" s="6"/>
    </row>
    <row r="63" spans="1:35" x14ac:dyDescent="0.2">
      <c r="A63">
        <v>214</v>
      </c>
      <c r="C63" s="2">
        <f>VLOOKUP($A63,'Data(2013)b'!$A$9:$AA$344,14,FALSE)</f>
        <v>5.0256175958</v>
      </c>
      <c r="D63" s="6">
        <f>VLOOKUP($A63,'Data(2013)b'!$A$9:$AA$344,15,FALSE)</f>
        <v>-0.31279703838066503</v>
      </c>
      <c r="E63" s="6">
        <f>VLOOKUP($A63,'Data(2013)b'!$A$9:$AA$344,16,FALSE)</f>
        <v>-6.3621096095176161E-2</v>
      </c>
      <c r="F63" s="3">
        <f>'Data(2013)'!$U$226</f>
        <v>-2.2820298027129916E-4</v>
      </c>
      <c r="G63" s="3">
        <f>'Data(2013)'!$V$226</f>
        <v>-9.1269021416439593E-4</v>
      </c>
      <c r="H63" s="6">
        <f>D63+H54+F63</f>
        <v>5.5034085585151292E-2</v>
      </c>
      <c r="I63" s="6">
        <f>E63+I54+G63</f>
        <v>-1.756844024903096E-2</v>
      </c>
      <c r="J63" s="6">
        <v>0.39651631488723743</v>
      </c>
      <c r="K63" s="6">
        <v>6.522756458111971E-2</v>
      </c>
      <c r="L63" s="6">
        <f>H63-J63</f>
        <v>-0.34148222930208616</v>
      </c>
      <c r="M63" s="6">
        <f>I63-K63</f>
        <v>-8.2796004830150677E-2</v>
      </c>
      <c r="P63" s="211"/>
      <c r="Q63" s="211"/>
      <c r="R63" s="6"/>
      <c r="S63" s="6"/>
      <c r="T63" s="211"/>
      <c r="U63" s="211"/>
      <c r="V63" s="6"/>
      <c r="W63" s="6"/>
      <c r="X63" s="211"/>
      <c r="Y63" s="211"/>
      <c r="AB63" s="6"/>
      <c r="AC63" s="6"/>
      <c r="AD63" s="6"/>
      <c r="AG63" s="6"/>
      <c r="AH63" s="6"/>
      <c r="AI63" s="6"/>
    </row>
    <row r="64" spans="1:35" x14ac:dyDescent="0.2">
      <c r="F64" s="3"/>
      <c r="G64" s="3"/>
      <c r="P64" s="146"/>
      <c r="Q64" s="146"/>
      <c r="AB64" s="6"/>
      <c r="AC64" s="6"/>
      <c r="AD64" s="6"/>
      <c r="AG64" s="6"/>
      <c r="AH64" s="6"/>
      <c r="AI64" s="6"/>
    </row>
    <row r="65" spans="1:25" x14ac:dyDescent="0.2">
      <c r="B65" s="139" t="s">
        <v>520</v>
      </c>
      <c r="F65" s="3"/>
      <c r="G65" s="3"/>
    </row>
    <row r="66" spans="1:25" x14ac:dyDescent="0.2">
      <c r="B66" s="5" t="s">
        <v>128</v>
      </c>
      <c r="F66" s="3"/>
      <c r="G66" s="3"/>
    </row>
    <row r="67" spans="1:25" x14ac:dyDescent="0.2">
      <c r="D67" s="310" t="s">
        <v>104</v>
      </c>
      <c r="E67" s="310"/>
      <c r="F67" s="313" t="s">
        <v>109</v>
      </c>
      <c r="G67" s="313"/>
      <c r="H67" s="311" t="s">
        <v>173</v>
      </c>
      <c r="I67" s="311"/>
      <c r="J67" s="310" t="s">
        <v>101</v>
      </c>
      <c r="K67" s="310"/>
      <c r="L67" s="310" t="s">
        <v>106</v>
      </c>
      <c r="M67" s="310"/>
      <c r="V67" s="310" t="s">
        <v>127</v>
      </c>
      <c r="W67" s="310"/>
      <c r="X67" s="310" t="s">
        <v>126</v>
      </c>
      <c r="Y67" s="310"/>
    </row>
    <row r="68" spans="1:25" x14ac:dyDescent="0.2">
      <c r="C68" t="s">
        <v>4</v>
      </c>
      <c r="D68" t="s">
        <v>107</v>
      </c>
      <c r="E68" t="s">
        <v>108</v>
      </c>
      <c r="F68" s="3"/>
      <c r="G68" s="3"/>
      <c r="H68" s="16" t="s">
        <v>107</v>
      </c>
      <c r="I68" s="16" t="s">
        <v>108</v>
      </c>
      <c r="J68" t="s">
        <v>98</v>
      </c>
      <c r="K68" t="s">
        <v>99</v>
      </c>
      <c r="L68" t="s">
        <v>98</v>
      </c>
      <c r="M68" t="s">
        <v>99</v>
      </c>
      <c r="V68" t="s">
        <v>98</v>
      </c>
      <c r="W68" t="s">
        <v>99</v>
      </c>
      <c r="X68" t="s">
        <v>98</v>
      </c>
      <c r="Y68" t="s">
        <v>99</v>
      </c>
    </row>
    <row r="69" spans="1:25" x14ac:dyDescent="0.2">
      <c r="A69">
        <v>224</v>
      </c>
      <c r="C69" s="2">
        <f>VLOOKUP($A69,'Data(2013)b'!$A$9:$AA$344,14,FALSE)</f>
        <v>119.93042089999999</v>
      </c>
      <c r="D69" s="6">
        <f>VLOOKUP($A69,'Data(2013)b'!$A$9:$AA$344,15,FALSE)</f>
        <v>-0.2516140923507757</v>
      </c>
      <c r="E69" s="6">
        <f>VLOOKUP($A69,'Data(2013)b'!$A$9:$AA$344,16,FALSE)</f>
        <v>-5.8021010747574556E-2</v>
      </c>
      <c r="F69" s="3">
        <f>'Data(2013)'!$U$226</f>
        <v>-2.2820298027129916E-4</v>
      </c>
      <c r="G69" s="3">
        <f>'Data(2013)'!$U$226</f>
        <v>-2.2820298027129916E-4</v>
      </c>
      <c r="H69" s="6">
        <f t="shared" ref="H69:I74" si="53">D69+H48+F69</f>
        <v>-9.9709242308868559E-2</v>
      </c>
      <c r="I69" s="6">
        <f t="shared" si="53"/>
        <v>1.7635798726480321E-2</v>
      </c>
      <c r="J69" s="6">
        <v>0.19054587912290399</v>
      </c>
      <c r="K69" s="6">
        <v>0.11385968684486901</v>
      </c>
      <c r="L69" s="6">
        <f>H69-J69</f>
        <v>-0.29025512143177257</v>
      </c>
      <c r="M69" s="6">
        <f>I69-K69</f>
        <v>-9.6223888118388695E-2</v>
      </c>
      <c r="N69" s="214">
        <f>J69+N20</f>
        <v>0.19054587912290399</v>
      </c>
      <c r="O69" s="214">
        <f>K69+O20</f>
        <v>0.11385968684486901</v>
      </c>
      <c r="P69" s="211">
        <f t="shared" ref="P69:P74" si="54">H69</f>
        <v>-9.9709242308868559E-2</v>
      </c>
      <c r="Q69" s="211">
        <f t="shared" ref="Q69:Q74" si="55">I69</f>
        <v>1.7635798726480321E-2</v>
      </c>
    </row>
    <row r="70" spans="1:25" x14ac:dyDescent="0.2">
      <c r="A70">
        <v>226</v>
      </c>
      <c r="C70" s="2">
        <f>VLOOKUP($A70,'Data(2013)b'!$A$9:$AA$344,14,FALSE)</f>
        <v>100.006408716</v>
      </c>
      <c r="D70" s="6">
        <f>VLOOKUP($A70,'Data(2013)b'!$A$9:$AA$344,15,FALSE)</f>
        <v>-0.24947024416054728</v>
      </c>
      <c r="E70" s="6">
        <f>VLOOKUP($A70,'Data(2013)b'!$A$9:$AA$344,16,FALSE)</f>
        <v>-5.587601906462665E-2</v>
      </c>
      <c r="F70" s="3">
        <f>'Data(2013)'!$U$226</f>
        <v>-2.2820298027129916E-4</v>
      </c>
      <c r="G70" s="3">
        <f>'Data(2013)'!$U$226</f>
        <v>-2.2820298027129916E-4</v>
      </c>
      <c r="H70" s="6">
        <f t="shared" si="53"/>
        <v>-8.0884483571420238E-2</v>
      </c>
      <c r="I70" s="6">
        <f t="shared" si="53"/>
        <v>1.7486502107537404E-2</v>
      </c>
      <c r="J70" s="6">
        <v>0.19054587912290399</v>
      </c>
      <c r="K70" s="6">
        <v>0.11385968684486901</v>
      </c>
      <c r="L70" s="6">
        <f t="shared" ref="L70:M74" si="56">H70-J70</f>
        <v>-0.27143036269432425</v>
      </c>
      <c r="M70" s="6">
        <f t="shared" si="56"/>
        <v>-9.6373184737331613E-2</v>
      </c>
      <c r="P70" s="211">
        <f t="shared" si="54"/>
        <v>-8.0884483571420238E-2</v>
      </c>
      <c r="Q70" s="211">
        <f t="shared" si="55"/>
        <v>1.7486502107537404E-2</v>
      </c>
      <c r="R70" s="6">
        <f t="shared" ref="R70:S74" si="57">P70-T70</f>
        <v>-0.62729209051988344</v>
      </c>
      <c r="S70" s="6">
        <f t="shared" si="57"/>
        <v>-0.34246186301797465</v>
      </c>
      <c r="T70" s="211">
        <v>0.54640760694846324</v>
      </c>
      <c r="U70" s="211">
        <v>0.35994836512551204</v>
      </c>
      <c r="V70" s="6">
        <f t="shared" ref="V70:W74" si="58">T70-X70</f>
        <v>0.14398276911470131</v>
      </c>
      <c r="W70" s="6">
        <f t="shared" si="58"/>
        <v>0.22688342234172387</v>
      </c>
      <c r="X70" s="211">
        <v>0.40242483783376193</v>
      </c>
      <c r="Y70" s="211">
        <v>0.13306494278378816</v>
      </c>
    </row>
    <row r="71" spans="1:25" x14ac:dyDescent="0.2">
      <c r="A71">
        <v>227</v>
      </c>
      <c r="C71" s="2">
        <f>VLOOKUP($A71,'Data(2013)b'!$A$9:$AA$344,14,FALSE)</f>
        <v>60.024769552000002</v>
      </c>
      <c r="D71" s="6">
        <f>VLOOKUP($A71,'Data(2013)b'!$A$9:$AA$344,15,FALSE)</f>
        <v>-0.26269139819587395</v>
      </c>
      <c r="E71" s="6">
        <f>VLOOKUP($A71,'Data(2013)b'!$A$9:$AA$344,16,FALSE)</f>
        <v>-6.3136217069803435E-2</v>
      </c>
      <c r="F71" s="3">
        <f>'Data(2013)'!$U$226</f>
        <v>-2.2820298027129916E-4</v>
      </c>
      <c r="G71" s="3">
        <f>'Data(2013)'!$U$226</f>
        <v>-2.2820298027129916E-4</v>
      </c>
      <c r="H71" s="6">
        <f t="shared" si="53"/>
        <v>-4.3356840923276858E-2</v>
      </c>
      <c r="I71" s="6">
        <f t="shared" si="53"/>
        <v>-7.8565838864369311E-3</v>
      </c>
      <c r="J71" s="6">
        <v>0.25022889417050698</v>
      </c>
      <c r="K71" s="6">
        <v>0.107612790783032</v>
      </c>
      <c r="L71" s="6">
        <f t="shared" si="56"/>
        <v>-0.29358573509378383</v>
      </c>
      <c r="M71" s="6">
        <f t="shared" si="56"/>
        <v>-0.11546937466946894</v>
      </c>
      <c r="P71" s="211">
        <f t="shared" si="54"/>
        <v>-4.3356840923276858E-2</v>
      </c>
      <c r="Q71" s="211">
        <f t="shared" si="55"/>
        <v>-7.8565838864369311E-3</v>
      </c>
      <c r="R71" s="6">
        <f t="shared" si="57"/>
        <v>-0.66421922551363877</v>
      </c>
      <c r="S71" s="6">
        <f t="shared" si="57"/>
        <v>-0.34405846959463082</v>
      </c>
      <c r="T71" s="211">
        <v>0.62086238459036192</v>
      </c>
      <c r="U71" s="211">
        <v>0.33620188570819387</v>
      </c>
      <c r="V71" s="6">
        <f t="shared" si="58"/>
        <v>0.15218593923286328</v>
      </c>
      <c r="W71" s="6">
        <f t="shared" si="58"/>
        <v>0.20846775157093714</v>
      </c>
      <c r="X71" s="211">
        <v>0.46867644535749864</v>
      </c>
      <c r="Y71" s="211">
        <v>0.12773413413725673</v>
      </c>
    </row>
    <row r="72" spans="1:25" x14ac:dyDescent="0.2">
      <c r="A72">
        <v>228</v>
      </c>
      <c r="C72" s="2">
        <f>VLOOKUP($A72,'Data(2013)b'!$A$9:$AA$344,14,FALSE)</f>
        <v>39.994777622000001</v>
      </c>
      <c r="D72" s="6">
        <f>VLOOKUP($A72,'Data(2013)b'!$A$9:$AA$344,15,FALSE)</f>
        <v>-0.27441519449686519</v>
      </c>
      <c r="E72" s="6">
        <f>VLOOKUP($A72,'Data(2013)b'!$A$9:$AA$344,16,FALSE)</f>
        <v>-5.38226453549751E-2</v>
      </c>
      <c r="F72" s="3">
        <f>'Data(2013)'!$U$226</f>
        <v>-2.2820298027129916E-4</v>
      </c>
      <c r="G72" s="3">
        <f>'Data(2013)'!$U$226</f>
        <v>-2.2820298027129916E-4</v>
      </c>
      <c r="H72" s="6">
        <f t="shared" si="53"/>
        <v>-2.2641724138600196E-2</v>
      </c>
      <c r="I72" s="6">
        <f t="shared" si="53"/>
        <v>3.3655722228551127E-3</v>
      </c>
      <c r="J72" s="6">
        <v>0.292192810364996</v>
      </c>
      <c r="K72" s="6">
        <v>9.9942297632429108E-2</v>
      </c>
      <c r="L72" s="6">
        <f t="shared" si="56"/>
        <v>-0.31483453450359622</v>
      </c>
      <c r="M72" s="6">
        <f t="shared" si="56"/>
        <v>-9.6576725409574002E-2</v>
      </c>
      <c r="P72" s="211">
        <f t="shared" si="54"/>
        <v>-2.2641724138600196E-2</v>
      </c>
      <c r="Q72" s="211">
        <f t="shared" si="55"/>
        <v>3.3655722228551127E-3</v>
      </c>
      <c r="R72" s="6">
        <f t="shared" si="57"/>
        <v>-0.67723643785482202</v>
      </c>
      <c r="S72" s="6">
        <f t="shared" si="57"/>
        <v>-0.33438193270793432</v>
      </c>
      <c r="T72" s="211">
        <v>0.6545947137162218</v>
      </c>
      <c r="U72" s="211">
        <v>0.33774750493078942</v>
      </c>
      <c r="V72" s="6">
        <f t="shared" si="58"/>
        <v>0.14296677144875147</v>
      </c>
      <c r="W72" s="6">
        <f t="shared" si="58"/>
        <v>0.22267128523664506</v>
      </c>
      <c r="X72" s="211">
        <v>0.51162794226747033</v>
      </c>
      <c r="Y72" s="211">
        <v>0.11507621969414436</v>
      </c>
    </row>
    <row r="73" spans="1:25" x14ac:dyDescent="0.2">
      <c r="A73">
        <v>229</v>
      </c>
      <c r="C73" s="2">
        <f>VLOOKUP($A73,'Data(2013)b'!$A$9:$AA$344,14,FALSE)</f>
        <v>20.065449086000001</v>
      </c>
      <c r="D73" s="6">
        <f>VLOOKUP($A73,'Data(2013)b'!$A$9:$AA$344,15,FALSE)</f>
        <v>-0.29890145265597973</v>
      </c>
      <c r="E73" s="6">
        <f>VLOOKUP($A73,'Data(2013)b'!$A$9:$AA$344,16,FALSE)</f>
        <v>-6.8575134406538049E-2</v>
      </c>
      <c r="F73" s="3">
        <f>'Data(2013)'!$U$226</f>
        <v>-2.2820298027129916E-4</v>
      </c>
      <c r="G73" s="3">
        <f>'Data(2013)'!$U$226</f>
        <v>-2.2820298027129916E-4</v>
      </c>
      <c r="H73" s="6">
        <f t="shared" si="53"/>
        <v>1.3675507374786754E-2</v>
      </c>
      <c r="I73" s="6">
        <f t="shared" si="53"/>
        <v>-2.3310098395082544E-2</v>
      </c>
      <c r="J73" s="6">
        <v>0.34512223105758499</v>
      </c>
      <c r="K73" s="6">
        <v>9.021708904569771E-2</v>
      </c>
      <c r="L73" s="6">
        <f t="shared" si="56"/>
        <v>-0.33144672368279826</v>
      </c>
      <c r="M73" s="6">
        <f t="shared" si="56"/>
        <v>-0.11352718744078025</v>
      </c>
      <c r="P73" s="211">
        <f t="shared" si="54"/>
        <v>1.3675507374786754E-2</v>
      </c>
      <c r="Q73" s="211">
        <f t="shared" si="55"/>
        <v>-2.3310098395082544E-2</v>
      </c>
      <c r="R73" s="6">
        <f t="shared" si="57"/>
        <v>-0.69694498663330173</v>
      </c>
      <c r="S73" s="6">
        <f t="shared" si="57"/>
        <v>-0.35156006515842769</v>
      </c>
      <c r="T73" s="211">
        <v>0.71062049400808847</v>
      </c>
      <c r="U73" s="211">
        <v>0.32824996676334517</v>
      </c>
      <c r="V73" s="6">
        <f t="shared" si="58"/>
        <v>0.14965339704439107</v>
      </c>
      <c r="W73" s="6">
        <f t="shared" si="58"/>
        <v>0.21797282828463016</v>
      </c>
      <c r="X73" s="211">
        <v>0.5609670969636974</v>
      </c>
      <c r="Y73" s="211">
        <v>0.11027713847871499</v>
      </c>
    </row>
    <row r="74" spans="1:25" x14ac:dyDescent="0.2">
      <c r="A74">
        <v>230</v>
      </c>
      <c r="C74" s="2">
        <f>VLOOKUP($A74,'Data(2013)b'!$A$9:$AA$344,14,FALSE)</f>
        <v>10.04010508</v>
      </c>
      <c r="D74" s="6">
        <f>VLOOKUP($A74,'Data(2013)b'!$A$9:$AA$344,15,FALSE)</f>
        <v>-0.30601702427600491</v>
      </c>
      <c r="E74" s="6">
        <f>VLOOKUP($A74,'Data(2013)b'!$A$9:$AA$344,16,FALSE)</f>
        <v>-6.0426611391601097E-2</v>
      </c>
      <c r="F74" s="3">
        <f>'Data(2013)'!$U$226</f>
        <v>-2.2820298027129916E-4</v>
      </c>
      <c r="G74" s="3">
        <f>'Data(2013)'!$U$226</f>
        <v>-2.2820298027129916E-4</v>
      </c>
      <c r="H74" s="6">
        <f>D74+H53+F74</f>
        <v>4.065818114307692E-2</v>
      </c>
      <c r="I74" s="6">
        <f t="shared" si="53"/>
        <v>-3.461801728400541E-2</v>
      </c>
      <c r="J74" s="6">
        <v>0.37719362655335897</v>
      </c>
      <c r="K74" s="6">
        <v>8.6215031028092207E-2</v>
      </c>
      <c r="L74" s="6">
        <f>H74-J74</f>
        <v>-0.33653544541028207</v>
      </c>
      <c r="M74" s="6">
        <f t="shared" si="56"/>
        <v>-0.12083304831209762</v>
      </c>
      <c r="P74" s="211">
        <f t="shared" si="54"/>
        <v>4.065818114307692E-2</v>
      </c>
      <c r="Q74" s="211">
        <f t="shared" si="55"/>
        <v>-3.461801728400541E-2</v>
      </c>
      <c r="R74" s="6">
        <f t="shared" si="57"/>
        <v>-0.73185911244902846</v>
      </c>
      <c r="S74" s="6">
        <f t="shared" si="57"/>
        <v>-0.36371781887400612</v>
      </c>
      <c r="T74" s="211">
        <v>0.77251729359210541</v>
      </c>
      <c r="U74" s="211">
        <v>0.32909980159000068</v>
      </c>
      <c r="V74" s="6">
        <f t="shared" si="58"/>
        <v>0.19257320410174361</v>
      </c>
      <c r="W74" s="6">
        <f t="shared" si="58"/>
        <v>0.26412176044266111</v>
      </c>
      <c r="X74" s="211">
        <v>0.5799440894903618</v>
      </c>
      <c r="Y74" s="211">
        <v>6.4978041147339571E-2</v>
      </c>
    </row>
    <row r="75" spans="1:25" x14ac:dyDescent="0.2">
      <c r="A75">
        <v>231</v>
      </c>
      <c r="C75" s="2">
        <f>VLOOKUP($A75,'Data(2013)b'!$A$9:$AA$344,14,FALSE)</f>
        <v>5.0360189100000001</v>
      </c>
      <c r="D75" s="6">
        <f>VLOOKUP($A75,'Data(2013)b'!$A$9:$AA$344,15,FALSE)</f>
        <v>-0.31398736268843758</v>
      </c>
      <c r="E75" s="6">
        <f>VLOOKUP($A75,'Data(2013)b'!$A$9:$AA$344,16,FALSE)</f>
        <v>-6.2644018943924115E-2</v>
      </c>
      <c r="F75" s="3">
        <f>'Data(2013)'!$U$226</f>
        <v>-2.2820298027129916E-4</v>
      </c>
      <c r="G75" s="3">
        <f>'Data(2013)'!$U$226</f>
        <v>-2.2820298027129916E-4</v>
      </c>
      <c r="H75" s="6">
        <f>D75+H54+F75</f>
        <v>5.3843761277378742E-2</v>
      </c>
      <c r="I75" s="6">
        <f>E75+I54+G75</f>
        <v>-1.5906875863885818E-2</v>
      </c>
      <c r="J75" s="6">
        <v>0.39651631488723743</v>
      </c>
      <c r="K75" s="6">
        <v>6.522756458111971E-2</v>
      </c>
      <c r="L75" s="6">
        <f>H75-J75</f>
        <v>-0.34267255360985871</v>
      </c>
      <c r="M75" s="6">
        <f>I75-K75</f>
        <v>-8.1134440445005535E-2</v>
      </c>
    </row>
    <row r="77" spans="1:25" x14ac:dyDescent="0.2">
      <c r="Q77" s="310"/>
      <c r="R77" s="310"/>
    </row>
    <row r="78" spans="1:25" x14ac:dyDescent="0.2">
      <c r="B78" s="5" t="s">
        <v>178</v>
      </c>
      <c r="H78" s="16"/>
      <c r="I78" s="16"/>
    </row>
    <row r="79" spans="1:25" x14ac:dyDescent="0.2">
      <c r="B79" t="s">
        <v>250</v>
      </c>
      <c r="C79" t="s">
        <v>253</v>
      </c>
      <c r="D79" t="s">
        <v>251</v>
      </c>
      <c r="E79" t="s">
        <v>254</v>
      </c>
      <c r="F79" t="s">
        <v>252</v>
      </c>
      <c r="G79" t="s">
        <v>255</v>
      </c>
      <c r="H79" s="6"/>
      <c r="I79" s="6"/>
      <c r="J79" s="6"/>
      <c r="K79" s="6"/>
      <c r="L79" s="6"/>
      <c r="M79" s="6"/>
      <c r="O79" s="6"/>
      <c r="P79" s="6"/>
      <c r="Q79" s="6"/>
      <c r="R79" s="6"/>
    </row>
    <row r="80" spans="1:25" x14ac:dyDescent="0.2">
      <c r="A80">
        <v>120</v>
      </c>
      <c r="B80" s="6">
        <f t="shared" ref="B80:C85" si="59">D5</f>
        <v>0.20126165535041779</v>
      </c>
      <c r="C80" s="6">
        <f t="shared" si="59"/>
        <v>0.18102636161788591</v>
      </c>
      <c r="D80" s="6">
        <f t="shared" ref="D80:E85" si="60">H28</f>
        <v>0.19099327491213469</v>
      </c>
      <c r="E80" s="6">
        <f t="shared" si="60"/>
        <v>0.12771511396560489</v>
      </c>
      <c r="F80" s="6">
        <f>H37</f>
        <v>0.46178185283678869</v>
      </c>
      <c r="G80" s="6">
        <f>I37</f>
        <v>0.17629666402444322</v>
      </c>
      <c r="H80" s="6"/>
      <c r="I80" s="6"/>
      <c r="J80" s="6"/>
      <c r="K80" s="6"/>
      <c r="L80" s="6"/>
      <c r="M80" s="6"/>
      <c r="O80" s="6"/>
      <c r="P80" s="6"/>
      <c r="Q80" s="6"/>
      <c r="R80" s="6"/>
    </row>
    <row r="81" spans="1:18" x14ac:dyDescent="0.2">
      <c r="A81" s="2">
        <v>100</v>
      </c>
      <c r="B81" s="6">
        <f t="shared" si="59"/>
        <v>0.22128048997689495</v>
      </c>
      <c r="C81" s="6">
        <f t="shared" si="59"/>
        <v>0.17953313928460707</v>
      </c>
      <c r="D81" s="6">
        <f t="shared" si="60"/>
        <v>0.20981100044611947</v>
      </c>
      <c r="E81" s="6">
        <f t="shared" si="60"/>
        <v>0.12832447060119506</v>
      </c>
      <c r="F81" s="6">
        <f t="shared" ref="F81:G86" si="61">H38</f>
        <v>0.49109774940254897</v>
      </c>
      <c r="G81" s="6">
        <f t="shared" si="61"/>
        <v>0.17268289479295984</v>
      </c>
      <c r="H81" s="6"/>
      <c r="I81" s="6"/>
      <c r="J81" s="6"/>
      <c r="K81" s="6"/>
      <c r="L81" s="6"/>
      <c r="M81" s="6"/>
      <c r="O81" s="6"/>
      <c r="P81" s="6"/>
      <c r="Q81" s="6"/>
      <c r="R81" s="6"/>
    </row>
    <row r="82" spans="1:18" x14ac:dyDescent="0.2">
      <c r="A82" s="2">
        <v>60</v>
      </c>
      <c r="B82" s="6">
        <f t="shared" si="59"/>
        <v>0.29400347632483392</v>
      </c>
      <c r="C82" s="6">
        <f t="shared" si="59"/>
        <v>0.16541469617805926</v>
      </c>
      <c r="D82" s="6">
        <f t="shared" si="60"/>
        <v>0.27625827740036574</v>
      </c>
      <c r="E82" s="6">
        <f t="shared" si="60"/>
        <v>0.11282248388897273</v>
      </c>
      <c r="F82" s="6">
        <f t="shared" si="61"/>
        <v>0.57380130208012348</v>
      </c>
      <c r="G82" s="6">
        <f t="shared" si="61"/>
        <v>0.16447077938918025</v>
      </c>
      <c r="H82" s="6"/>
      <c r="I82" s="6"/>
      <c r="J82" s="6"/>
      <c r="K82" s="6"/>
      <c r="L82" s="6"/>
      <c r="M82" s="6"/>
      <c r="O82" s="6"/>
      <c r="P82" s="6"/>
      <c r="Q82" s="6"/>
      <c r="R82" s="6"/>
    </row>
    <row r="83" spans="1:18" x14ac:dyDescent="0.2">
      <c r="A83" s="2">
        <v>40</v>
      </c>
      <c r="B83" s="6">
        <f t="shared" si="59"/>
        <v>0.34251553607812396</v>
      </c>
      <c r="C83" s="6">
        <f t="shared" si="59"/>
        <v>0.16849323098037422</v>
      </c>
      <c r="D83" s="6">
        <f t="shared" si="60"/>
        <v>0.32629674811974124</v>
      </c>
      <c r="E83" s="6">
        <f t="shared" si="60"/>
        <v>0.11582823559203237</v>
      </c>
      <c r="F83" s="6">
        <f t="shared" si="61"/>
        <v>0.62784704938040503</v>
      </c>
      <c r="G83" s="6">
        <f t="shared" si="61"/>
        <v>0.16753522220996342</v>
      </c>
      <c r="H83" s="6"/>
      <c r="I83" s="6"/>
      <c r="J83" s="6"/>
      <c r="K83" s="6"/>
      <c r="L83" s="6"/>
      <c r="M83" s="6"/>
      <c r="O83" s="6"/>
      <c r="P83" s="6"/>
      <c r="Q83" s="6"/>
      <c r="R83" s="6"/>
    </row>
    <row r="84" spans="1:18" x14ac:dyDescent="0.2">
      <c r="A84" s="2">
        <v>20</v>
      </c>
      <c r="B84" s="6">
        <f t="shared" si="59"/>
        <v>0.41300674578822555</v>
      </c>
      <c r="C84" s="6">
        <f t="shared" si="59"/>
        <v>0.16087079269678239</v>
      </c>
      <c r="D84" s="6">
        <f t="shared" si="60"/>
        <v>0.40232279277714023</v>
      </c>
      <c r="E84" s="6">
        <f t="shared" si="60"/>
        <v>0.11063791085087632</v>
      </c>
      <c r="F84" s="6">
        <f t="shared" si="61"/>
        <v>0.72067204373725469</v>
      </c>
      <c r="G84" s="6">
        <f t="shared" si="61"/>
        <v>0.16169861065574931</v>
      </c>
    </row>
    <row r="85" spans="1:18" x14ac:dyDescent="0.2">
      <c r="A85" s="2">
        <v>10</v>
      </c>
      <c r="B85" s="6">
        <f t="shared" si="59"/>
        <v>0.46485664587527964</v>
      </c>
      <c r="C85" s="6">
        <f t="shared" si="59"/>
        <v>0.13998090385502324</v>
      </c>
      <c r="D85" s="6">
        <f t="shared" si="60"/>
        <v>0.45121819923305623</v>
      </c>
      <c r="E85" s="6">
        <f t="shared" si="60"/>
        <v>9.1127136797747921E-2</v>
      </c>
      <c r="F85" s="6">
        <f t="shared" si="61"/>
        <v>0.7870099133891838</v>
      </c>
      <c r="G85" s="6">
        <f t="shared" si="61"/>
        <v>0.14007734193056279</v>
      </c>
    </row>
    <row r="86" spans="1:18" x14ac:dyDescent="0.2">
      <c r="A86" s="2">
        <v>5</v>
      </c>
      <c r="B86" s="6">
        <f>D11</f>
        <v>0.49025071827737993</v>
      </c>
      <c r="C86" s="6">
        <f>E11</f>
        <v>0.16344883463677234</v>
      </c>
      <c r="D86" s="6">
        <f>H34</f>
        <v>0.47859715367101707</v>
      </c>
      <c r="E86" s="6">
        <f>I34</f>
        <v>0.11175136033072258</v>
      </c>
      <c r="F86" s="6">
        <f t="shared" si="61"/>
        <v>0.82325884457400822</v>
      </c>
      <c r="G86" s="6">
        <f t="shared" si="61"/>
        <v>0.16832248933374094</v>
      </c>
    </row>
    <row r="88" spans="1:18" x14ac:dyDescent="0.2">
      <c r="B88" s="5" t="s">
        <v>179</v>
      </c>
    </row>
    <row r="89" spans="1:18" x14ac:dyDescent="0.2">
      <c r="B89" t="s">
        <v>174</v>
      </c>
      <c r="C89" t="s">
        <v>175</v>
      </c>
      <c r="D89" t="s">
        <v>176</v>
      </c>
      <c r="E89" t="s">
        <v>177</v>
      </c>
    </row>
    <row r="90" spans="1:18" x14ac:dyDescent="0.2">
      <c r="A90">
        <v>120</v>
      </c>
      <c r="B90" s="6">
        <f t="shared" ref="B90:C95" si="62">H17</f>
        <v>0.1351880117726019</v>
      </c>
      <c r="C90" s="6">
        <f t="shared" si="62"/>
        <v>8.4429064204047777E-2</v>
      </c>
      <c r="D90" s="6">
        <f t="shared" ref="D90:E95" si="63">H48</f>
        <v>0.15213305302217844</v>
      </c>
      <c r="E90" s="6">
        <f>I48</f>
        <v>7.5885012454326176E-2</v>
      </c>
    </row>
    <row r="91" spans="1:18" x14ac:dyDescent="0.2">
      <c r="A91" s="2">
        <v>100</v>
      </c>
      <c r="B91" s="6">
        <f t="shared" si="62"/>
        <v>0.1503019718467504</v>
      </c>
      <c r="C91" s="6">
        <f t="shared" si="62"/>
        <v>8.3871606677233645E-2</v>
      </c>
      <c r="D91" s="6">
        <f t="shared" si="63"/>
        <v>0.16881396356939835</v>
      </c>
      <c r="E91" s="6">
        <f t="shared" si="63"/>
        <v>7.3590724152435352E-2</v>
      </c>
    </row>
    <row r="92" spans="1:18" x14ac:dyDescent="0.2">
      <c r="A92" s="2">
        <v>60</v>
      </c>
      <c r="B92" s="6">
        <f t="shared" si="62"/>
        <v>0.2025501789952302</v>
      </c>
      <c r="C92" s="6">
        <f t="shared" si="62"/>
        <v>6.3994896945218094E-2</v>
      </c>
      <c r="D92" s="6">
        <f t="shared" si="63"/>
        <v>0.21956276025286839</v>
      </c>
      <c r="E92" s="6">
        <f t="shared" si="63"/>
        <v>5.5507836163637803E-2</v>
      </c>
    </row>
    <row r="93" spans="1:18" x14ac:dyDescent="0.2">
      <c r="A93" s="2">
        <v>40</v>
      </c>
      <c r="B93" s="6">
        <f t="shared" si="62"/>
        <v>0.23919254108133742</v>
      </c>
      <c r="C93" s="6">
        <f t="shared" si="62"/>
        <v>6.6457406708342742E-2</v>
      </c>
      <c r="D93" s="6">
        <f t="shared" si="63"/>
        <v>0.25200167333853629</v>
      </c>
      <c r="E93" s="6">
        <f t="shared" si="63"/>
        <v>5.7416420558101512E-2</v>
      </c>
    </row>
    <row r="94" spans="1:18" x14ac:dyDescent="0.2">
      <c r="A94" s="2">
        <v>20</v>
      </c>
      <c r="B94" s="6">
        <f t="shared" si="62"/>
        <v>0.29956840986740263</v>
      </c>
      <c r="C94" s="6">
        <f t="shared" si="62"/>
        <v>6.014378358939431E-2</v>
      </c>
      <c r="D94" s="6">
        <f t="shared" si="63"/>
        <v>0.31280516301103778</v>
      </c>
      <c r="E94" s="6">
        <f t="shared" si="63"/>
        <v>4.5493238991726803E-2</v>
      </c>
    </row>
    <row r="95" spans="1:18" x14ac:dyDescent="0.2">
      <c r="A95" s="2">
        <v>10</v>
      </c>
      <c r="B95" s="6">
        <f t="shared" si="62"/>
        <v>0.33931546290343328</v>
      </c>
      <c r="C95" s="6">
        <f t="shared" si="62"/>
        <v>3.3537829090675063E-2</v>
      </c>
      <c r="D95" s="6">
        <f t="shared" si="63"/>
        <v>0.34690340839935313</v>
      </c>
      <c r="E95" s="6">
        <f t="shared" si="63"/>
        <v>2.6036797087866981E-2</v>
      </c>
    </row>
  </sheetData>
  <mergeCells count="33">
    <mergeCell ref="D67:E67"/>
    <mergeCell ref="F67:G67"/>
    <mergeCell ref="H67:I67"/>
    <mergeCell ref="J67:K67"/>
    <mergeCell ref="D46:E46"/>
    <mergeCell ref="F46:G46"/>
    <mergeCell ref="H46:I46"/>
    <mergeCell ref="D26:E26"/>
    <mergeCell ref="D3:E3"/>
    <mergeCell ref="J26:K26"/>
    <mergeCell ref="H3:I3"/>
    <mergeCell ref="J3:K3"/>
    <mergeCell ref="F26:G26"/>
    <mergeCell ref="F15:G15"/>
    <mergeCell ref="D15:E15"/>
    <mergeCell ref="H26:I26"/>
    <mergeCell ref="X3:Y3"/>
    <mergeCell ref="J15:K15"/>
    <mergeCell ref="V3:W3"/>
    <mergeCell ref="X56:Y56"/>
    <mergeCell ref="X55:Y55"/>
    <mergeCell ref="X26:Y26"/>
    <mergeCell ref="V26:W26"/>
    <mergeCell ref="L3:M3"/>
    <mergeCell ref="L15:M15"/>
    <mergeCell ref="L26:M26"/>
    <mergeCell ref="Q77:R77"/>
    <mergeCell ref="L67:M67"/>
    <mergeCell ref="X67:Y67"/>
    <mergeCell ref="H15:I15"/>
    <mergeCell ref="V67:W67"/>
    <mergeCell ref="V55:W55"/>
    <mergeCell ref="V56:W56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2E947-1D2F-478E-8144-7EF159B923A3}">
  <sheetPr>
    <pageSetUpPr fitToPage="1"/>
  </sheetPr>
  <dimension ref="A1:AR93"/>
  <sheetViews>
    <sheetView tabSelected="1" topLeftCell="AB4" workbookViewId="0">
      <selection activeCell="AQ15" sqref="AP7:AQ15"/>
    </sheetView>
  </sheetViews>
  <sheetFormatPr defaultRowHeight="12.75" x14ac:dyDescent="0.2"/>
  <cols>
    <col min="42" max="42" width="20.140625" customWidth="1"/>
    <col min="43" max="44" width="12.42578125" bestFit="1" customWidth="1"/>
  </cols>
  <sheetData>
    <row r="1" spans="1:44" x14ac:dyDescent="0.2">
      <c r="A1" s="332"/>
      <c r="B1" s="332"/>
      <c r="C1" s="332"/>
      <c r="D1" s="332"/>
      <c r="E1" s="332"/>
      <c r="F1" s="332"/>
      <c r="G1" s="332"/>
      <c r="I1" s="177" t="s">
        <v>760</v>
      </c>
      <c r="P1" s="177" t="s">
        <v>761</v>
      </c>
    </row>
    <row r="2" spans="1:44" x14ac:dyDescent="0.2">
      <c r="A2" s="332"/>
      <c r="B2" s="332" t="s">
        <v>744</v>
      </c>
      <c r="C2" s="332" t="s">
        <v>745</v>
      </c>
      <c r="D2" s="332" t="s">
        <v>746</v>
      </c>
      <c r="E2" s="332" t="s">
        <v>747</v>
      </c>
      <c r="F2" s="332" t="s">
        <v>748</v>
      </c>
      <c r="G2" s="332"/>
      <c r="J2" t="s">
        <v>744</v>
      </c>
      <c r="K2" t="s">
        <v>745</v>
      </c>
      <c r="L2" t="s">
        <v>746</v>
      </c>
      <c r="M2" t="s">
        <v>747</v>
      </c>
      <c r="N2" t="s">
        <v>748</v>
      </c>
      <c r="P2" t="s">
        <v>744</v>
      </c>
      <c r="Q2" t="s">
        <v>745</v>
      </c>
      <c r="R2" t="s">
        <v>746</v>
      </c>
      <c r="S2" t="s">
        <v>747</v>
      </c>
      <c r="T2" t="s">
        <v>748</v>
      </c>
    </row>
    <row r="3" spans="1:44" x14ac:dyDescent="0.2">
      <c r="A3" s="332">
        <v>120</v>
      </c>
      <c r="B3" s="332">
        <v>-2.0126165535041781E-7</v>
      </c>
      <c r="C3" s="332">
        <v>-6.5870625659123543E-8</v>
      </c>
      <c r="D3" s="332">
        <v>-5.1837952302789472E-8</v>
      </c>
      <c r="E3" s="332">
        <v>-4.0433210281093657E-8</v>
      </c>
      <c r="F3" s="332">
        <v>-2.6682126708791068E-7</v>
      </c>
      <c r="G3" s="332"/>
      <c r="I3">
        <v>120</v>
      </c>
      <c r="J3">
        <f>summary!H5</f>
        <v>0.20126165535041779</v>
      </c>
      <c r="K3" s="6">
        <f>summary!H17</f>
        <v>0.1351880117726019</v>
      </c>
      <c r="P3" s="3">
        <f>-B3*1000000-J3</f>
        <v>0</v>
      </c>
      <c r="Q3" s="3">
        <f t="shared" ref="Q3:T9" si="0">-C3*1000000-K3</f>
        <v>-6.9317386113478346E-2</v>
      </c>
      <c r="R3" s="3">
        <f t="shared" si="0"/>
        <v>5.1837952302789474E-2</v>
      </c>
      <c r="S3" s="3">
        <f t="shared" si="0"/>
        <v>4.0433210281093659E-2</v>
      </c>
      <c r="T3" s="3">
        <f t="shared" si="0"/>
        <v>0.26682126708791071</v>
      </c>
    </row>
    <row r="4" spans="1:44" x14ac:dyDescent="0.2">
      <c r="A4" s="332">
        <v>100</v>
      </c>
      <c r="B4" s="332">
        <v>-2.2128048997689499E-7</v>
      </c>
      <c r="C4" s="332">
        <v>-7.0775500211452217E-8</v>
      </c>
      <c r="D4" s="332">
        <v>-5.5541717762625718E-8</v>
      </c>
      <c r="E4" s="332">
        <v>-4.2570025267858527E-8</v>
      </c>
      <c r="F4" s="332">
        <v>-2.773194381196861E-7</v>
      </c>
      <c r="G4" s="332"/>
      <c r="I4">
        <v>100</v>
      </c>
      <c r="J4">
        <f>summary!H6</f>
        <v>0.22128048997689495</v>
      </c>
      <c r="K4" s="6">
        <f>summary!H18</f>
        <v>0.1503019718467504</v>
      </c>
      <c r="P4" s="3">
        <f t="shared" ref="P4:P9" si="1">-B4*1000000-J4</f>
        <v>0</v>
      </c>
      <c r="Q4" s="3">
        <f t="shared" si="0"/>
        <v>-7.9526471635298177E-2</v>
      </c>
      <c r="R4" s="3">
        <f t="shared" si="0"/>
        <v>5.5541717762625717E-2</v>
      </c>
      <c r="S4" s="3">
        <f t="shared" si="0"/>
        <v>4.2570025267858524E-2</v>
      </c>
      <c r="T4" s="3">
        <f t="shared" si="0"/>
        <v>0.27731943811968612</v>
      </c>
    </row>
    <row r="5" spans="1:44" x14ac:dyDescent="0.2">
      <c r="A5" s="332">
        <v>60</v>
      </c>
      <c r="B5" s="332">
        <v>-2.9400347632483387E-7</v>
      </c>
      <c r="C5" s="332">
        <v>-9.1250279410911399E-8</v>
      </c>
      <c r="D5" s="332">
        <v>-6.9740787568392179E-8</v>
      </c>
      <c r="E5" s="332">
        <v>-5.8268505538634777E-8</v>
      </c>
      <c r="F5" s="332">
        <v>-2.9357571384301428E-7</v>
      </c>
      <c r="G5" s="332"/>
      <c r="I5">
        <v>60</v>
      </c>
      <c r="J5">
        <f>summary!H7</f>
        <v>0.29400347632483392</v>
      </c>
      <c r="K5" s="6">
        <f>summary!H19</f>
        <v>0.2025501789952302</v>
      </c>
      <c r="P5" s="3">
        <f t="shared" si="1"/>
        <v>0</v>
      </c>
      <c r="Q5" s="3">
        <f t="shared" si="0"/>
        <v>-0.11129989958431881</v>
      </c>
      <c r="R5" s="3">
        <f t="shared" si="0"/>
        <v>6.9740787568392179E-2</v>
      </c>
      <c r="S5" s="3">
        <f t="shared" si="0"/>
        <v>5.8268505538634781E-2</v>
      </c>
      <c r="T5" s="3">
        <f t="shared" si="0"/>
        <v>0.29357571384301429</v>
      </c>
      <c r="AI5" t="s">
        <v>791</v>
      </c>
    </row>
    <row r="6" spans="1:44" x14ac:dyDescent="0.2">
      <c r="A6" s="332">
        <v>40</v>
      </c>
      <c r="B6" s="332">
        <v>-3.4251553607812389E-7</v>
      </c>
      <c r="C6" s="332">
        <v>-1.031199770780942E-7</v>
      </c>
      <c r="D6" s="332">
        <v>-8.3136896201660511E-8</v>
      </c>
      <c r="E6" s="332">
        <v>-7.5868063172342397E-8</v>
      </c>
      <c r="F6" s="332">
        <v>-2.9758299042392039E-7</v>
      </c>
      <c r="G6" s="332"/>
      <c r="I6">
        <v>40</v>
      </c>
      <c r="J6">
        <f>summary!H8</f>
        <v>0.34251553607812396</v>
      </c>
      <c r="K6" s="6">
        <f>summary!H20</f>
        <v>0.23919254108133742</v>
      </c>
      <c r="P6" s="3">
        <f t="shared" si="1"/>
        <v>0</v>
      </c>
      <c r="Q6" s="3">
        <f t="shared" si="0"/>
        <v>-0.13607256400324322</v>
      </c>
      <c r="R6" s="3">
        <f t="shared" si="0"/>
        <v>8.313689620166051E-2</v>
      </c>
      <c r="S6" s="3">
        <f t="shared" si="0"/>
        <v>7.5868063172342404E-2</v>
      </c>
      <c r="T6" s="3">
        <f t="shared" si="0"/>
        <v>0.29758299042392039</v>
      </c>
    </row>
    <row r="7" spans="1:44" x14ac:dyDescent="0.2">
      <c r="A7" s="332">
        <v>20</v>
      </c>
      <c r="B7" s="332">
        <v>-4.1300674578822558E-7</v>
      </c>
      <c r="C7" s="332">
        <v>-1.132353180021305E-7</v>
      </c>
      <c r="D7" s="332">
        <v>-9.8787072072994262E-8</v>
      </c>
      <c r="E7" s="332">
        <v>-9.1090618157239896E-8</v>
      </c>
      <c r="F7" s="332">
        <v>-3.1438194012337113E-7</v>
      </c>
      <c r="G7" s="332"/>
      <c r="I7">
        <v>20</v>
      </c>
      <c r="J7">
        <f>summary!H9</f>
        <v>0.41300674578822555</v>
      </c>
      <c r="K7" s="6">
        <f>summary!H21</f>
        <v>0.29956840986740263</v>
      </c>
      <c r="P7" s="3">
        <f t="shared" si="1"/>
        <v>0</v>
      </c>
      <c r="Q7" s="3">
        <f t="shared" si="0"/>
        <v>-0.18633309186527214</v>
      </c>
      <c r="R7" s="3">
        <f t="shared" si="0"/>
        <v>9.8787072072994267E-2</v>
      </c>
      <c r="S7" s="3">
        <f t="shared" si="0"/>
        <v>9.10906181572399E-2</v>
      </c>
      <c r="T7" s="3">
        <f t="shared" si="0"/>
        <v>0.31438194012337112</v>
      </c>
      <c r="AI7" t="s">
        <v>792</v>
      </c>
      <c r="AP7" t="s">
        <v>822</v>
      </c>
      <c r="AQ7" t="s">
        <v>823</v>
      </c>
    </row>
    <row r="8" spans="1:44" x14ac:dyDescent="0.2">
      <c r="A8" s="332">
        <v>10</v>
      </c>
      <c r="B8" s="332">
        <v>-4.6485664587527959E-7</v>
      </c>
      <c r="C8" s="332">
        <v>-1.2533816505315399E-7</v>
      </c>
      <c r="D8" s="332">
        <v>-1.079354254928796E-7</v>
      </c>
      <c r="E8" s="332">
        <v>-1.058877792248406E-7</v>
      </c>
      <c r="F8" s="332">
        <v>-3.3182440331938431E-7</v>
      </c>
      <c r="G8" s="332"/>
      <c r="I8">
        <v>10</v>
      </c>
      <c r="J8">
        <f>summary!H10</f>
        <v>0.46485664587527964</v>
      </c>
      <c r="K8" s="6">
        <f>summary!H22</f>
        <v>0.33931546290343328</v>
      </c>
      <c r="P8" s="3">
        <f t="shared" si="1"/>
        <v>0</v>
      </c>
      <c r="Q8" s="3">
        <f t="shared" si="0"/>
        <v>-0.2139772978502793</v>
      </c>
      <c r="R8" s="3">
        <f t="shared" si="0"/>
        <v>0.1079354254928796</v>
      </c>
      <c r="S8" s="3">
        <f t="shared" si="0"/>
        <v>0.10588777922484061</v>
      </c>
      <c r="T8" s="3">
        <f t="shared" si="0"/>
        <v>0.33182440331938429</v>
      </c>
      <c r="AH8" t="s">
        <v>793</v>
      </c>
      <c r="AI8" s="1">
        <v>1.7E-8</v>
      </c>
      <c r="AJ8" s="1">
        <f>AI8^2</f>
        <v>2.8900000000000001E-16</v>
      </c>
      <c r="AP8" t="s">
        <v>816</v>
      </c>
      <c r="AQ8" s="340">
        <f>SQRT(AR8)</f>
        <v>4.1641325627314027E-8</v>
      </c>
      <c r="AR8" s="1">
        <f>SUM(AJ8:AJ13)</f>
        <v>1.734E-15</v>
      </c>
    </row>
    <row r="9" spans="1:44" x14ac:dyDescent="0.2">
      <c r="A9" s="332">
        <v>5</v>
      </c>
      <c r="B9" s="332">
        <v>-4.875504689060541E-7</v>
      </c>
      <c r="C9" s="332">
        <v>-1.3465998969633679E-7</v>
      </c>
      <c r="D9" s="332">
        <v>-1.19242132171923E-7</v>
      </c>
      <c r="E9" s="332">
        <v>-1.1211081511606689E-7</v>
      </c>
      <c r="F9" s="332">
        <v>-3.4615196331993682E-7</v>
      </c>
      <c r="G9" s="332"/>
      <c r="I9">
        <v>5</v>
      </c>
      <c r="J9">
        <f>summary!H11</f>
        <v>0.49025071827737993</v>
      </c>
      <c r="K9" s="6">
        <f>summary!H23</f>
        <v>0.35538771066235075</v>
      </c>
      <c r="P9" s="3">
        <f t="shared" si="1"/>
        <v>-2.7002493713258469E-3</v>
      </c>
      <c r="Q9" s="3">
        <f t="shared" si="0"/>
        <v>-0.22072772096601395</v>
      </c>
      <c r="R9" s="3">
        <f t="shared" si="0"/>
        <v>0.119242132171923</v>
      </c>
      <c r="S9" s="3">
        <f t="shared" si="0"/>
        <v>0.11211081511606689</v>
      </c>
      <c r="T9" s="3">
        <f t="shared" si="0"/>
        <v>0.34615196331993681</v>
      </c>
      <c r="AH9" t="s">
        <v>793</v>
      </c>
      <c r="AI9" s="1">
        <v>1.7E-8</v>
      </c>
      <c r="AJ9" s="1">
        <f t="shared" ref="AJ9:AJ35" si="2">AI9^2</f>
        <v>2.8900000000000001E-16</v>
      </c>
      <c r="AP9" t="s">
        <v>817</v>
      </c>
      <c r="AQ9" s="340">
        <f>SQRT(AR9)</f>
        <v>2.9337745667220259E-8</v>
      </c>
      <c r="AR9" s="1">
        <f>SUM(AJ14:AJ19)</f>
        <v>8.607033208345012E-16</v>
      </c>
    </row>
    <row r="10" spans="1:44" x14ac:dyDescent="0.2">
      <c r="A10" s="332"/>
      <c r="B10" s="332" t="s">
        <v>749</v>
      </c>
      <c r="C10" s="332" t="s">
        <v>750</v>
      </c>
      <c r="D10" s="332" t="s">
        <v>751</v>
      </c>
      <c r="E10" s="332" t="s">
        <v>752</v>
      </c>
      <c r="F10" s="332" t="s">
        <v>753</v>
      </c>
      <c r="G10" s="332"/>
      <c r="J10" t="s">
        <v>749</v>
      </c>
      <c r="K10" t="s">
        <v>750</v>
      </c>
      <c r="L10" t="s">
        <v>751</v>
      </c>
      <c r="M10" t="s">
        <v>752</v>
      </c>
      <c r="N10" t="s">
        <v>753</v>
      </c>
      <c r="P10" s="3" t="s">
        <v>749</v>
      </c>
      <c r="Q10" t="s">
        <v>750</v>
      </c>
      <c r="R10" t="s">
        <v>751</v>
      </c>
      <c r="S10" t="s">
        <v>752</v>
      </c>
      <c r="T10" t="s">
        <v>753</v>
      </c>
      <c r="AH10" t="s">
        <v>793</v>
      </c>
      <c r="AI10" s="1">
        <v>1.7E-8</v>
      </c>
      <c r="AJ10" s="1">
        <f t="shared" si="2"/>
        <v>2.8900000000000001E-16</v>
      </c>
      <c r="AP10" t="s">
        <v>818</v>
      </c>
      <c r="AQ10" s="340">
        <f>SQRT(AR10)</f>
        <v>1.2879985902681586E-8</v>
      </c>
      <c r="AR10" s="1">
        <f>SUM(AJ20:AJ22,AJ27:AJ29)</f>
        <v>1.6589403685327638E-16</v>
      </c>
    </row>
    <row r="11" spans="1:44" x14ac:dyDescent="0.2">
      <c r="A11" s="332">
        <v>120</v>
      </c>
      <c r="B11" s="332">
        <v>-1.810263616178859E-7</v>
      </c>
      <c r="C11" s="332">
        <v>-6.422933920770452E-8</v>
      </c>
      <c r="D11" s="332">
        <v>-4.0837503415458711E-8</v>
      </c>
      <c r="E11" s="332">
        <v>-5.2522364834680701E-8</v>
      </c>
      <c r="F11" s="332">
        <v>-4.6133003712739901E-8</v>
      </c>
      <c r="G11" s="332"/>
      <c r="I11">
        <v>120</v>
      </c>
      <c r="J11">
        <f>summary!I5</f>
        <v>0.18102636161788591</v>
      </c>
      <c r="K11" s="6">
        <f>summary!I17</f>
        <v>8.4429064204047777E-2</v>
      </c>
      <c r="P11" s="3">
        <f>-B11*1000000-J11</f>
        <v>0</v>
      </c>
      <c r="Q11" s="3">
        <f t="shared" ref="Q11:T17" si="3">-C11*1000000-K11</f>
        <v>-2.019972499634326E-2</v>
      </c>
      <c r="R11" s="3">
        <f t="shared" si="3"/>
        <v>4.0837503415458713E-2</v>
      </c>
      <c r="S11" s="3">
        <f t="shared" si="3"/>
        <v>5.2522364834680701E-2</v>
      </c>
      <c r="T11" s="3">
        <f t="shared" si="3"/>
        <v>4.6133003712739901E-2</v>
      </c>
      <c r="AH11" t="s">
        <v>793</v>
      </c>
      <c r="AI11" s="1">
        <v>1.7E-8</v>
      </c>
      <c r="AJ11" s="1">
        <f t="shared" si="2"/>
        <v>2.8900000000000001E-16</v>
      </c>
      <c r="AP11" t="s">
        <v>819</v>
      </c>
      <c r="AQ11" s="340">
        <f>SQRT(AR11)</f>
        <v>9.9827910304162653E-9</v>
      </c>
      <c r="AR11" s="1">
        <f>SUM(AJ23:AJ26)</f>
        <v>9.9656116756959425E-17</v>
      </c>
    </row>
    <row r="12" spans="1:44" x14ac:dyDescent="0.2">
      <c r="A12" s="332">
        <v>100</v>
      </c>
      <c r="B12" s="332">
        <v>-1.7953313928460709E-7</v>
      </c>
      <c r="C12" s="332">
        <v>-6.3293574401239812E-8</v>
      </c>
      <c r="D12" s="332">
        <v>-4.2004317577862998E-8</v>
      </c>
      <c r="E12" s="332">
        <v>-5.5426009772161689E-8</v>
      </c>
      <c r="F12" s="332">
        <v>-4.1909877845666352E-8</v>
      </c>
      <c r="G12" s="332"/>
      <c r="I12">
        <v>100</v>
      </c>
      <c r="J12">
        <f>summary!I6</f>
        <v>0.17953313928460707</v>
      </c>
      <c r="K12" s="6">
        <f>summary!I18</f>
        <v>8.3871606677233645E-2</v>
      </c>
      <c r="P12" s="3">
        <f t="shared" ref="P12:P17" si="4">-B12*1000000-J12</f>
        <v>0</v>
      </c>
      <c r="Q12" s="3">
        <f t="shared" si="3"/>
        <v>-2.0578032275993835E-2</v>
      </c>
      <c r="R12" s="3">
        <f t="shared" si="3"/>
        <v>4.2004317577863E-2</v>
      </c>
      <c r="S12" s="3">
        <f t="shared" si="3"/>
        <v>5.5426009772161687E-2</v>
      </c>
      <c r="T12" s="3">
        <f t="shared" si="3"/>
        <v>4.1909877845666355E-2</v>
      </c>
      <c r="AH12" t="s">
        <v>793</v>
      </c>
      <c r="AI12" s="1">
        <v>1.7E-8</v>
      </c>
      <c r="AJ12" s="1">
        <f t="shared" si="2"/>
        <v>2.8900000000000001E-16</v>
      </c>
      <c r="AP12" t="s">
        <v>820</v>
      </c>
      <c r="AQ12" s="340">
        <f>SQRT(AR12)</f>
        <v>2.2703364092251826E-9</v>
      </c>
      <c r="AR12" s="1">
        <f>SUM(AJ30:AJ33)</f>
        <v>5.1544274110534952E-18</v>
      </c>
    </row>
    <row r="13" spans="1:44" x14ac:dyDescent="0.2">
      <c r="A13" s="332">
        <v>60</v>
      </c>
      <c r="B13" s="332">
        <v>-1.6541469617805931E-7</v>
      </c>
      <c r="C13" s="332">
        <v>-6.9051841026707578E-8</v>
      </c>
      <c r="D13" s="332">
        <v>-4.6379040597656218E-8</v>
      </c>
      <c r="E13" s="332">
        <v>-5.8006911048736912E-8</v>
      </c>
      <c r="F13" s="332">
        <v>-4.9199749154109088E-8</v>
      </c>
      <c r="G13" s="332"/>
      <c r="I13">
        <v>60</v>
      </c>
      <c r="J13">
        <f>summary!I7</f>
        <v>0.16541469617805926</v>
      </c>
      <c r="K13" s="6">
        <f>summary!I19</f>
        <v>6.3994896945218094E-2</v>
      </c>
      <c r="P13" s="3">
        <f t="shared" si="4"/>
        <v>0</v>
      </c>
      <c r="Q13" s="3">
        <f t="shared" si="3"/>
        <v>5.0569440814894895E-3</v>
      </c>
      <c r="R13" s="3">
        <f t="shared" si="3"/>
        <v>4.637904059765622E-2</v>
      </c>
      <c r="S13" s="3">
        <f t="shared" si="3"/>
        <v>5.8006911048736912E-2</v>
      </c>
      <c r="T13" s="3">
        <f t="shared" si="3"/>
        <v>4.9199749154109088E-2</v>
      </c>
      <c r="AH13" t="s">
        <v>793</v>
      </c>
      <c r="AI13" s="1">
        <v>1.7E-8</v>
      </c>
      <c r="AJ13" s="1">
        <f t="shared" si="2"/>
        <v>2.8900000000000001E-16</v>
      </c>
      <c r="AP13" t="s">
        <v>821</v>
      </c>
      <c r="AQ13" s="340">
        <f>SQRT(AR13)</f>
        <v>4.5163479068794467E-10</v>
      </c>
      <c r="AR13" s="1">
        <f>SUM(AJ34:AJ35)</f>
        <v>2.0397398415974357E-19</v>
      </c>
    </row>
    <row r="14" spans="1:44" x14ac:dyDescent="0.2">
      <c r="A14" s="332">
        <v>40</v>
      </c>
      <c r="B14" s="332">
        <v>-1.6849323098037421E-7</v>
      </c>
      <c r="C14" s="332">
        <v>-6.9667866065897882E-8</v>
      </c>
      <c r="D14" s="332">
        <v>-4.692228253759121E-8</v>
      </c>
      <c r="E14" s="332">
        <v>-5.9104078357332842E-8</v>
      </c>
      <c r="F14" s="332">
        <v>-4.9258440271832617E-8</v>
      </c>
      <c r="G14" s="332"/>
      <c r="I14">
        <v>40</v>
      </c>
      <c r="J14">
        <f>summary!I8</f>
        <v>0.16849323098037422</v>
      </c>
      <c r="K14" s="6">
        <f>summary!I20</f>
        <v>6.6457406708342742E-2</v>
      </c>
      <c r="P14" s="3">
        <f t="shared" si="4"/>
        <v>0</v>
      </c>
      <c r="Q14" s="3">
        <f t="shared" si="3"/>
        <v>3.2104593575551371E-3</v>
      </c>
      <c r="R14" s="3">
        <f t="shared" si="3"/>
        <v>4.692228253759121E-2</v>
      </c>
      <c r="S14" s="3">
        <f t="shared" si="3"/>
        <v>5.9104078357332841E-2</v>
      </c>
      <c r="T14" s="3">
        <f t="shared" si="3"/>
        <v>4.9258440271832619E-2</v>
      </c>
      <c r="AH14" t="s">
        <v>794</v>
      </c>
      <c r="AI14" s="1">
        <v>1.40431369792E-8</v>
      </c>
      <c r="AJ14" s="1">
        <f t="shared" si="2"/>
        <v>1.9720969621657452E-16</v>
      </c>
    </row>
    <row r="15" spans="1:44" x14ac:dyDescent="0.2">
      <c r="A15" s="332">
        <v>20</v>
      </c>
      <c r="B15" s="332">
        <v>-1.608707926967824E-7</v>
      </c>
      <c r="C15" s="332">
        <v>-6.8359050901254497E-8</v>
      </c>
      <c r="D15" s="332">
        <v>-4.80455809153836E-8</v>
      </c>
      <c r="E15" s="332">
        <v>-6.5836935182551494E-8</v>
      </c>
      <c r="F15" s="332">
        <v>-4.8612153458774549E-8</v>
      </c>
      <c r="G15" s="332"/>
      <c r="I15">
        <v>20</v>
      </c>
      <c r="J15">
        <f>summary!I9</f>
        <v>0.16087079269678239</v>
      </c>
      <c r="K15" s="6">
        <f>summary!I21</f>
        <v>6.014378358939431E-2</v>
      </c>
      <c r="P15" s="3">
        <f t="shared" si="4"/>
        <v>0</v>
      </c>
      <c r="Q15" s="3">
        <f t="shared" si="3"/>
        <v>8.2152673118601818E-3</v>
      </c>
      <c r="R15" s="3">
        <f t="shared" si="3"/>
        <v>4.80455809153836E-2</v>
      </c>
      <c r="S15" s="3">
        <f t="shared" si="3"/>
        <v>6.5836935182551487E-2</v>
      </c>
      <c r="T15" s="3">
        <f t="shared" si="3"/>
        <v>4.8612153458774551E-2</v>
      </c>
      <c r="AH15" t="s">
        <v>795</v>
      </c>
      <c r="AI15" s="1">
        <v>1.40311341284E-8</v>
      </c>
      <c r="AJ15" s="1">
        <f t="shared" si="2"/>
        <v>1.9687272492915123E-16</v>
      </c>
      <c r="AP15" t="s">
        <v>824</v>
      </c>
      <c r="AQ15" s="340">
        <f>SQRT(AR15)</f>
        <v>5.3531410179818262E-8</v>
      </c>
      <c r="AR15">
        <f>SUM(AR8:AR13)</f>
        <v>2.8656118758399504E-15</v>
      </c>
    </row>
    <row r="16" spans="1:44" x14ac:dyDescent="0.2">
      <c r="A16" s="332">
        <v>10</v>
      </c>
      <c r="B16" s="332">
        <v>-1.399809038550232E-7</v>
      </c>
      <c r="C16" s="332">
        <v>-7.4075116558214595E-8</v>
      </c>
      <c r="D16" s="332">
        <v>-5.514076136097443E-8</v>
      </c>
      <c r="E16" s="332">
        <v>-6.5782603033282932E-8</v>
      </c>
      <c r="F16" s="332">
        <v>-4.6501658786716451E-8</v>
      </c>
      <c r="G16" s="332"/>
      <c r="I16">
        <v>10</v>
      </c>
      <c r="J16">
        <f>summary!I10</f>
        <v>0.13998090385502324</v>
      </c>
      <c r="K16" s="6">
        <f>summary!I22</f>
        <v>3.3537829090675063E-2</v>
      </c>
      <c r="P16" s="3">
        <f t="shared" si="4"/>
        <v>0</v>
      </c>
      <c r="Q16" s="3">
        <f t="shared" si="3"/>
        <v>4.0537287467539533E-2</v>
      </c>
      <c r="R16" s="3">
        <f t="shared" si="3"/>
        <v>5.5140761360974427E-2</v>
      </c>
      <c r="S16" s="3">
        <f t="shared" si="3"/>
        <v>6.5782603033282927E-2</v>
      </c>
      <c r="T16" s="3">
        <f t="shared" si="3"/>
        <v>4.650165878671645E-2</v>
      </c>
      <c r="AH16" t="s">
        <v>796</v>
      </c>
      <c r="AI16" s="1">
        <v>1.3178977252300001E-8</v>
      </c>
      <c r="AJ16" s="1">
        <f t="shared" si="2"/>
        <v>1.7368544141664088E-16</v>
      </c>
    </row>
    <row r="17" spans="1:36" x14ac:dyDescent="0.2">
      <c r="A17" s="332">
        <v>5</v>
      </c>
      <c r="B17" s="332">
        <v>-1.614582534360037E-7</v>
      </c>
      <c r="C17" s="332">
        <v>-7.3311998828454267E-8</v>
      </c>
      <c r="D17" s="332">
        <v>-5.1533936382439693E-8</v>
      </c>
      <c r="E17" s="332">
        <v>-6.5478277593814987E-8</v>
      </c>
      <c r="F17" s="332">
        <v>-5.7451190784282719E-8</v>
      </c>
      <c r="G17" s="332"/>
      <c r="I17">
        <v>5</v>
      </c>
      <c r="J17">
        <f>summary!I11</f>
        <v>0.16344883463677234</v>
      </c>
      <c r="K17" s="6">
        <f>summary!I23</f>
        <v>5.7768877602184486E-2</v>
      </c>
      <c r="P17" s="3">
        <f t="shared" si="4"/>
        <v>-1.990581200768643E-3</v>
      </c>
      <c r="Q17" s="3">
        <f t="shared" si="3"/>
        <v>1.5543121226269781E-2</v>
      </c>
      <c r="R17" s="3">
        <f t="shared" si="3"/>
        <v>5.1533936382439693E-2</v>
      </c>
      <c r="S17" s="3">
        <f t="shared" si="3"/>
        <v>6.5478277593814985E-2</v>
      </c>
      <c r="T17" s="3">
        <f t="shared" si="3"/>
        <v>5.7451190784282721E-2</v>
      </c>
      <c r="AH17" t="s">
        <v>797</v>
      </c>
      <c r="AI17" s="1">
        <v>1.00683866622E-8</v>
      </c>
      <c r="AJ17" s="1">
        <f t="shared" si="2"/>
        <v>1.0137240997956687E-16</v>
      </c>
    </row>
    <row r="18" spans="1:36" x14ac:dyDescent="0.2">
      <c r="A18" s="332"/>
      <c r="B18" s="332" t="s">
        <v>754</v>
      </c>
      <c r="C18" s="332" t="s">
        <v>755</v>
      </c>
      <c r="D18" s="332" t="s">
        <v>756</v>
      </c>
      <c r="E18" s="332" t="s">
        <v>757</v>
      </c>
      <c r="F18" s="332" t="s">
        <v>758</v>
      </c>
      <c r="G18" s="332"/>
      <c r="AH18" t="s">
        <v>798</v>
      </c>
      <c r="AI18" s="1">
        <v>9.8032150681699999E-9</v>
      </c>
      <c r="AJ18" s="1">
        <f t="shared" si="2"/>
        <v>9.6103025672795341E-17</v>
      </c>
    </row>
    <row r="19" spans="1:36" x14ac:dyDescent="0.2">
      <c r="A19" s="332" t="s">
        <v>372</v>
      </c>
      <c r="B19" s="332" t="s">
        <v>779</v>
      </c>
      <c r="C19" s="332" t="s">
        <v>780</v>
      </c>
      <c r="D19" s="332" t="s">
        <v>781</v>
      </c>
      <c r="E19" s="332" t="s">
        <v>782</v>
      </c>
      <c r="F19" s="332" t="s">
        <v>783</v>
      </c>
      <c r="G19" s="332"/>
      <c r="AH19" t="s">
        <v>799</v>
      </c>
      <c r="AI19" s="1">
        <v>9.7703645080299993E-9</v>
      </c>
      <c r="AJ19" s="1">
        <f t="shared" si="2"/>
        <v>9.5460022619772293E-17</v>
      </c>
    </row>
    <row r="20" spans="1:36" x14ac:dyDescent="0.2">
      <c r="A20" s="332" t="s">
        <v>759</v>
      </c>
      <c r="B20" s="332" t="s">
        <v>784</v>
      </c>
      <c r="C20" s="332" t="s">
        <v>785</v>
      </c>
      <c r="D20" s="332" t="s">
        <v>786</v>
      </c>
      <c r="E20" s="332" t="s">
        <v>787</v>
      </c>
      <c r="F20" s="332" t="s">
        <v>788</v>
      </c>
      <c r="G20" s="332"/>
      <c r="AH20" t="s">
        <v>800</v>
      </c>
      <c r="AI20" s="1">
        <v>6.1652796494100001E-9</v>
      </c>
      <c r="AJ20" s="1">
        <f t="shared" si="2"/>
        <v>3.8010673155429092E-17</v>
      </c>
    </row>
    <row r="21" spans="1:36" x14ac:dyDescent="0.2">
      <c r="A21" s="332"/>
      <c r="B21" s="332" t="s">
        <v>372</v>
      </c>
      <c r="C21" s="332" t="s">
        <v>759</v>
      </c>
      <c r="D21" s="332"/>
      <c r="E21" s="332"/>
      <c r="F21" s="332"/>
      <c r="G21" s="332"/>
      <c r="AH21" t="s">
        <v>801</v>
      </c>
      <c r="AI21" s="1">
        <v>6.1600101051400004E-9</v>
      </c>
      <c r="AJ21" s="1">
        <f t="shared" si="2"/>
        <v>3.7945724495426919E-17</v>
      </c>
    </row>
    <row r="22" spans="1:36" x14ac:dyDescent="0.2">
      <c r="A22" s="332" t="s">
        <v>762</v>
      </c>
      <c r="B22" s="332" t="s">
        <v>789</v>
      </c>
      <c r="C22" s="332" t="s">
        <v>790</v>
      </c>
      <c r="D22" s="332"/>
      <c r="E22" s="332"/>
      <c r="F22" s="332"/>
      <c r="G22" s="332"/>
      <c r="AH22" t="s">
        <v>802</v>
      </c>
      <c r="AI22" s="1">
        <v>5.7858924522299996E-9</v>
      </c>
      <c r="AJ22" s="1">
        <f t="shared" si="2"/>
        <v>3.3476551468772079E-17</v>
      </c>
    </row>
    <row r="23" spans="1:36" x14ac:dyDescent="0.2">
      <c r="A23" s="332" t="s">
        <v>763</v>
      </c>
      <c r="B23" s="332" t="s">
        <v>789</v>
      </c>
      <c r="C23" s="332" t="s">
        <v>790</v>
      </c>
      <c r="D23" s="332"/>
      <c r="E23" s="332"/>
      <c r="F23" s="332"/>
      <c r="G23" s="332"/>
      <c r="AH23" t="s">
        <v>803</v>
      </c>
      <c r="AI23" s="1">
        <v>4.99285850054E-9</v>
      </c>
      <c r="AJ23" s="1">
        <f t="shared" si="2"/>
        <v>2.4928636006414539E-17</v>
      </c>
    </row>
    <row r="24" spans="1:36" x14ac:dyDescent="0.2">
      <c r="A24" s="332"/>
      <c r="B24" s="332"/>
      <c r="C24" s="332"/>
      <c r="D24" s="332"/>
      <c r="E24" s="332"/>
      <c r="F24" s="332"/>
      <c r="G24" s="332"/>
      <c r="J24" s="177" t="s">
        <v>776</v>
      </c>
      <c r="AH24" t="s">
        <v>804</v>
      </c>
      <c r="AI24" s="1">
        <v>4.9914311009200001E-9</v>
      </c>
      <c r="AJ24" s="1">
        <f t="shared" si="2"/>
        <v>2.4914384435231444E-17</v>
      </c>
    </row>
    <row r="25" spans="1:36" x14ac:dyDescent="0.2">
      <c r="A25" s="332" t="s">
        <v>764</v>
      </c>
      <c r="B25" s="332"/>
      <c r="C25" s="332"/>
      <c r="D25" s="332"/>
      <c r="E25" s="332"/>
      <c r="F25" s="332"/>
      <c r="G25" s="332"/>
      <c r="AH25" t="s">
        <v>805</v>
      </c>
      <c r="AI25" s="1">
        <v>4.9910971521700002E-9</v>
      </c>
      <c r="AJ25" s="1">
        <f t="shared" si="2"/>
        <v>2.4911050782399487E-17</v>
      </c>
    </row>
    <row r="26" spans="1:36" x14ac:dyDescent="0.2">
      <c r="A26" s="332" t="s">
        <v>775</v>
      </c>
      <c r="B26" s="332" t="s">
        <v>765</v>
      </c>
      <c r="C26" s="332" t="s">
        <v>767</v>
      </c>
      <c r="D26" s="332" t="s">
        <v>766</v>
      </c>
      <c r="E26" s="332" t="s">
        <v>768</v>
      </c>
      <c r="F26" s="332" t="s">
        <v>777</v>
      </c>
      <c r="G26" s="332" t="s">
        <v>778</v>
      </c>
      <c r="J26" s="333"/>
      <c r="K26" s="333"/>
      <c r="L26" s="333"/>
      <c r="M26" s="333"/>
      <c r="N26" s="333"/>
      <c r="O26" s="333"/>
      <c r="P26" s="333"/>
      <c r="AH26" t="s">
        <v>806</v>
      </c>
      <c r="AI26" s="1">
        <v>4.99019493937E-9</v>
      </c>
      <c r="AJ26" s="1">
        <f t="shared" si="2"/>
        <v>2.4902045532913958E-17</v>
      </c>
    </row>
    <row r="27" spans="1:36" x14ac:dyDescent="0.2">
      <c r="A27" s="332">
        <v>120</v>
      </c>
      <c r="B27" s="332">
        <v>2.0126165535041781E-7</v>
      </c>
      <c r="C27" s="332">
        <v>1.810263616178859E-7</v>
      </c>
      <c r="D27" s="332">
        <v>4.271481449215319E-8</v>
      </c>
      <c r="E27" s="332">
        <v>2.8078746949723779E-8</v>
      </c>
      <c r="F27" s="332">
        <v>2.2009452850233462</v>
      </c>
      <c r="G27" s="332">
        <v>2.1389832984674979</v>
      </c>
      <c r="J27" s="333">
        <f>A27</f>
        <v>120</v>
      </c>
      <c r="K27" s="334">
        <f>B27*1000000</f>
        <v>0.20126165535041782</v>
      </c>
      <c r="L27" s="334">
        <f>C27*1000000</f>
        <v>0.18102636161788591</v>
      </c>
      <c r="M27" s="334">
        <f>D27*1000000</f>
        <v>4.271481449215319E-2</v>
      </c>
      <c r="N27" s="334">
        <f>1000000*E27</f>
        <v>2.8078746949723777E-2</v>
      </c>
      <c r="O27" s="335">
        <f>F27</f>
        <v>2.2009452850233462</v>
      </c>
      <c r="P27" s="335">
        <f>G27</f>
        <v>2.1389832984674979</v>
      </c>
      <c r="R27" s="337">
        <f>ReportTables!N37</f>
        <v>119.84700020000001</v>
      </c>
      <c r="S27" s="338">
        <f>ReportTables!O37</f>
        <v>0.19099327491213469</v>
      </c>
      <c r="T27" s="338">
        <f>ReportTables!P37</f>
        <v>0.12771511396560489</v>
      </c>
      <c r="U27" s="338">
        <f>ReportTables!Q37</f>
        <v>6.4958741442333184E-2</v>
      </c>
      <c r="V27" s="338">
        <f>ReportTables!R37</f>
        <v>4.2936958630148542E-2</v>
      </c>
      <c r="W27" s="339">
        <f>ReportTables!S37</f>
        <v>2.040872595051844</v>
      </c>
      <c r="X27" s="339">
        <f>ReportTables!T37</f>
        <v>2.0222343190008134</v>
      </c>
      <c r="Z27" s="6">
        <f t="shared" ref="Z27:AE27" si="5">K27-S27</f>
        <v>1.0268380438283126E-2</v>
      </c>
      <c r="AA27" s="6">
        <f t="shared" si="5"/>
        <v>5.3311247652281013E-2</v>
      </c>
      <c r="AB27" s="6">
        <f t="shared" si="5"/>
        <v>-2.2243926950179994E-2</v>
      </c>
      <c r="AC27" s="6">
        <f t="shared" si="5"/>
        <v>-1.4858211680424765E-2</v>
      </c>
      <c r="AD27" s="6">
        <f t="shared" si="5"/>
        <v>0.16007268997150215</v>
      </c>
      <c r="AE27" s="6">
        <f t="shared" si="5"/>
        <v>0.1167489794666845</v>
      </c>
      <c r="AH27" t="s">
        <v>807</v>
      </c>
      <c r="AI27" s="1">
        <v>4.4202673151199997E-9</v>
      </c>
      <c r="AJ27" s="1">
        <f t="shared" si="2"/>
        <v>1.953876313711817E-17</v>
      </c>
    </row>
    <row r="28" spans="1:36" x14ac:dyDescent="0.2">
      <c r="A28" s="332">
        <v>100</v>
      </c>
      <c r="B28" s="332">
        <v>2.2128048997689499E-7</v>
      </c>
      <c r="C28" s="332">
        <v>1.7953313928460709E-7</v>
      </c>
      <c r="D28" s="332">
        <v>4.3314215517785158E-8</v>
      </c>
      <c r="E28" s="332">
        <v>2.786349927486811E-8</v>
      </c>
      <c r="F28" s="332">
        <v>2.1900327320296382</v>
      </c>
      <c r="G28" s="332">
        <v>2.1457571913028999</v>
      </c>
      <c r="J28" s="333">
        <f t="shared" ref="J28:J33" si="6">A28</f>
        <v>100</v>
      </c>
      <c r="K28" s="334">
        <f t="shared" ref="K28:K33" si="7">B28*1000000</f>
        <v>0.22128048997689498</v>
      </c>
      <c r="L28" s="334">
        <f t="shared" ref="L28:L33" si="8">C28*1000000</f>
        <v>0.1795331392846071</v>
      </c>
      <c r="M28" s="334">
        <f t="shared" ref="M28:M33" si="9">D28*1000000</f>
        <v>4.3314215517785158E-2</v>
      </c>
      <c r="N28" s="334">
        <f t="shared" ref="N28:N33" si="10">1000000*E28</f>
        <v>2.7863499274868111E-2</v>
      </c>
      <c r="O28" s="335">
        <f t="shared" ref="O28:O33" si="11">F28</f>
        <v>2.1900327320296382</v>
      </c>
      <c r="P28" s="335">
        <f t="shared" ref="P28:P33" si="12">G28</f>
        <v>2.1457571913028999</v>
      </c>
      <c r="R28" s="337">
        <f>ReportTables!N38</f>
        <v>99.84864608800001</v>
      </c>
      <c r="S28" s="338">
        <f>ReportTables!O38</f>
        <v>0.20981100044611947</v>
      </c>
      <c r="T28" s="338">
        <f>ReportTables!P38</f>
        <v>0.12832447060119506</v>
      </c>
      <c r="U28" s="338">
        <f>ReportTables!Q38</f>
        <v>6.5997572059363505E-2</v>
      </c>
      <c r="V28" s="338">
        <f>ReportTables!R38</f>
        <v>4.2766769510623984E-2</v>
      </c>
      <c r="W28" s="339">
        <f>ReportTables!S38</f>
        <v>2.0372064663419573</v>
      </c>
      <c r="X28" s="339">
        <f>ReportTables!T38</f>
        <v>2.0231585789792712</v>
      </c>
      <c r="Z28" s="6">
        <f t="shared" ref="Z28:Z33" si="13">K28-S28</f>
        <v>1.1469489530775506E-2</v>
      </c>
      <c r="AA28" s="6">
        <f t="shared" ref="AA28:AA33" si="14">L28-T28</f>
        <v>5.1208668683412034E-2</v>
      </c>
      <c r="AB28" s="6">
        <f t="shared" ref="AB28:AB33" si="15">M28-U28</f>
        <v>-2.2683356541578346E-2</v>
      </c>
      <c r="AC28" s="6">
        <f t="shared" ref="AC28:AC33" si="16">N28-V28</f>
        <v>-1.4903270235755873E-2</v>
      </c>
      <c r="AD28" s="6">
        <f t="shared" ref="AD28:AD33" si="17">O28-W28</f>
        <v>0.15282626568768087</v>
      </c>
      <c r="AE28" s="6">
        <f t="shared" ref="AE28:AE33" si="18">P28-X28</f>
        <v>0.12259861232362868</v>
      </c>
      <c r="AH28" t="s">
        <v>808</v>
      </c>
      <c r="AI28" s="1">
        <v>4.3038505177299997E-9</v>
      </c>
      <c r="AJ28" s="1">
        <f t="shared" si="2"/>
        <v>1.8523129278964786E-17</v>
      </c>
    </row>
    <row r="29" spans="1:36" x14ac:dyDescent="0.2">
      <c r="A29" s="332">
        <v>60</v>
      </c>
      <c r="B29" s="332">
        <v>2.9400347632483387E-7</v>
      </c>
      <c r="C29" s="332">
        <v>1.6541469617805931E-7</v>
      </c>
      <c r="D29" s="332">
        <v>4.6756157086579187E-8</v>
      </c>
      <c r="E29" s="332">
        <v>2.7567052018413081E-8</v>
      </c>
      <c r="F29" s="332">
        <v>2.1489011047334081</v>
      </c>
      <c r="G29" s="332">
        <v>2.135577777140202</v>
      </c>
      <c r="J29" s="333">
        <f t="shared" si="6"/>
        <v>60</v>
      </c>
      <c r="K29" s="334">
        <f t="shared" si="7"/>
        <v>0.29400347632483387</v>
      </c>
      <c r="L29" s="334">
        <f t="shared" si="8"/>
        <v>0.16541469617805932</v>
      </c>
      <c r="M29" s="334">
        <f t="shared" si="9"/>
        <v>4.6756157086579188E-2</v>
      </c>
      <c r="N29" s="334">
        <f t="shared" si="10"/>
        <v>2.7567052018413082E-2</v>
      </c>
      <c r="O29" s="335">
        <f t="shared" si="11"/>
        <v>2.1489011047334081</v>
      </c>
      <c r="P29" s="335">
        <f t="shared" si="12"/>
        <v>2.135577777140202</v>
      </c>
      <c r="R29" s="337">
        <f>ReportTables!N39</f>
        <v>60.036926252000001</v>
      </c>
      <c r="S29" s="338">
        <f>ReportTables!O39</f>
        <v>0.27625827740036574</v>
      </c>
      <c r="T29" s="338">
        <f>ReportTables!P39</f>
        <v>0.11282248388897273</v>
      </c>
      <c r="U29" s="338">
        <f>ReportTables!Q39</f>
        <v>7.0890486790616394E-2</v>
      </c>
      <c r="V29" s="338">
        <f>ReportTables!R39</f>
        <v>4.2101413564488911E-2</v>
      </c>
      <c r="W29" s="339">
        <f>ReportTables!S39</f>
        <v>2.0258590905466325</v>
      </c>
      <c r="X29" s="339">
        <f>ReportTables!T39</f>
        <v>2.0245624292189737</v>
      </c>
      <c r="Z29" s="6">
        <f t="shared" si="13"/>
        <v>1.7745198924468131E-2</v>
      </c>
      <c r="AA29" s="6">
        <f t="shared" si="14"/>
        <v>5.2592212289086587E-2</v>
      </c>
      <c r="AB29" s="6">
        <f t="shared" si="15"/>
        <v>-2.4134329704037207E-2</v>
      </c>
      <c r="AC29" s="6">
        <f t="shared" si="16"/>
        <v>-1.453436154607583E-2</v>
      </c>
      <c r="AD29" s="6">
        <f t="shared" si="17"/>
        <v>0.12304201418677563</v>
      </c>
      <c r="AE29" s="6">
        <f t="shared" si="18"/>
        <v>0.11101534792122836</v>
      </c>
      <c r="AH29" t="s">
        <v>809</v>
      </c>
      <c r="AI29" s="1">
        <v>4.2894283205999997E-9</v>
      </c>
      <c r="AJ29" s="1">
        <f t="shared" si="2"/>
        <v>1.8399195317565335E-17</v>
      </c>
    </row>
    <row r="30" spans="1:36" x14ac:dyDescent="0.2">
      <c r="A30" s="332">
        <v>40</v>
      </c>
      <c r="B30" s="332">
        <v>3.4251553607812389E-7</v>
      </c>
      <c r="C30" s="332">
        <v>1.6849323098037421E-7</v>
      </c>
      <c r="D30" s="332">
        <v>4.9962412550346853E-8</v>
      </c>
      <c r="E30" s="332">
        <v>2.857747031951794E-8</v>
      </c>
      <c r="F30" s="332">
        <v>2.1313909509103559</v>
      </c>
      <c r="G30" s="332">
        <v>2.1151656136392281</v>
      </c>
      <c r="J30" s="333">
        <f t="shared" si="6"/>
        <v>40</v>
      </c>
      <c r="K30" s="334">
        <f t="shared" si="7"/>
        <v>0.34251553607812391</v>
      </c>
      <c r="L30" s="334">
        <f t="shared" si="8"/>
        <v>0.16849323098037422</v>
      </c>
      <c r="M30" s="334">
        <f t="shared" si="9"/>
        <v>4.9962412550346856E-2</v>
      </c>
      <c r="N30" s="334">
        <f t="shared" si="10"/>
        <v>2.8577470319517941E-2</v>
      </c>
      <c r="O30" s="335">
        <f t="shared" si="11"/>
        <v>2.1313909509103559</v>
      </c>
      <c r="P30" s="335">
        <f t="shared" si="12"/>
        <v>2.1151656136392281</v>
      </c>
      <c r="R30" s="337">
        <f>ReportTables!N40</f>
        <v>40.078594610000003</v>
      </c>
      <c r="S30" s="338">
        <f>ReportTables!O40</f>
        <v>0.32629674811974124</v>
      </c>
      <c r="T30" s="338">
        <f>ReportTables!P40</f>
        <v>0.11582823559203237</v>
      </c>
      <c r="U30" s="338">
        <f>ReportTables!Q40</f>
        <v>7.5342598442493983E-2</v>
      </c>
      <c r="V30" s="338">
        <f>ReportTables!R40</f>
        <v>4.3020053532378241E-2</v>
      </c>
      <c r="W30" s="339">
        <f>ReportTables!S40</f>
        <v>2.0206523343075551</v>
      </c>
      <c r="X30" s="339">
        <f>ReportTables!T40</f>
        <v>2.0203541372816742</v>
      </c>
      <c r="Z30" s="6">
        <f t="shared" si="13"/>
        <v>1.6218787958382663E-2</v>
      </c>
      <c r="AA30" s="6">
        <f t="shared" si="14"/>
        <v>5.2664995388341851E-2</v>
      </c>
      <c r="AB30" s="6">
        <f t="shared" si="15"/>
        <v>-2.5380185892147127E-2</v>
      </c>
      <c r="AC30" s="6">
        <f t="shared" si="16"/>
        <v>-1.4442583212860301E-2</v>
      </c>
      <c r="AD30" s="6">
        <f t="shared" si="17"/>
        <v>0.11073861660280082</v>
      </c>
      <c r="AE30" s="6">
        <f t="shared" si="18"/>
        <v>9.4811476357553826E-2</v>
      </c>
      <c r="AH30" t="s">
        <v>810</v>
      </c>
      <c r="AI30" s="1">
        <v>1.9344902578699999E-9</v>
      </c>
      <c r="AJ30" s="1">
        <f t="shared" si="2"/>
        <v>3.7422525577939388E-18</v>
      </c>
    </row>
    <row r="31" spans="1:36" x14ac:dyDescent="0.2">
      <c r="A31" s="332">
        <v>20</v>
      </c>
      <c r="B31" s="332">
        <v>4.1300674578822558E-7</v>
      </c>
      <c r="C31" s="332">
        <v>1.608707926967824E-7</v>
      </c>
      <c r="D31" s="332">
        <v>5.6958975162686219E-8</v>
      </c>
      <c r="E31" s="332">
        <v>3.5004804726140632E-8</v>
      </c>
      <c r="F31" s="332">
        <v>2.1076754573759109</v>
      </c>
      <c r="G31" s="332">
        <v>2.0787399601433352</v>
      </c>
      <c r="J31" s="333">
        <f t="shared" si="6"/>
        <v>20</v>
      </c>
      <c r="K31" s="334">
        <f t="shared" si="7"/>
        <v>0.4130067457882256</v>
      </c>
      <c r="L31" s="334">
        <f t="shared" si="8"/>
        <v>0.16087079269678239</v>
      </c>
      <c r="M31" s="334">
        <f t="shared" si="9"/>
        <v>5.6958975162686221E-2</v>
      </c>
      <c r="N31" s="334">
        <f t="shared" si="10"/>
        <v>3.5004804726140634E-2</v>
      </c>
      <c r="O31" s="335">
        <f t="shared" si="11"/>
        <v>2.1076754573759109</v>
      </c>
      <c r="P31" s="335">
        <f t="shared" si="12"/>
        <v>2.0787399601433352</v>
      </c>
      <c r="R31" s="337">
        <f>ReportTables!N41</f>
        <v>20.078383601999999</v>
      </c>
      <c r="S31" s="338">
        <f>ReportTables!O41</f>
        <v>0.40232279277714023</v>
      </c>
      <c r="T31" s="338">
        <f>ReportTables!P41</f>
        <v>0.11063791085087632</v>
      </c>
      <c r="U31" s="338">
        <f>ReportTables!Q41</f>
        <v>8.4485231073128941E-2</v>
      </c>
      <c r="V31" s="338">
        <f>ReportTables!R41</f>
        <v>4.8046790160654732E-2</v>
      </c>
      <c r="W31" s="339">
        <f>ReportTables!S41</f>
        <v>2.0148164313961798</v>
      </c>
      <c r="X31" s="339">
        <f>ReportTables!T41</f>
        <v>2.011336804966064</v>
      </c>
      <c r="Z31" s="6">
        <f t="shared" si="13"/>
        <v>1.0683953011085379E-2</v>
      </c>
      <c r="AA31" s="6">
        <f t="shared" si="14"/>
        <v>5.0232881845906074E-2</v>
      </c>
      <c r="AB31" s="6">
        <f t="shared" si="15"/>
        <v>-2.7526255910442721E-2</v>
      </c>
      <c r="AC31" s="6">
        <f t="shared" si="16"/>
        <v>-1.3041985434514097E-2</v>
      </c>
      <c r="AD31" s="6">
        <f t="shared" si="17"/>
        <v>9.2859025979731058E-2</v>
      </c>
      <c r="AE31" s="6">
        <f t="shared" si="18"/>
        <v>6.7403155177271135E-2</v>
      </c>
      <c r="AH31" t="s">
        <v>811</v>
      </c>
      <c r="AI31" s="1">
        <v>7.6546704604500003E-10</v>
      </c>
      <c r="AJ31" s="1">
        <f t="shared" si="2"/>
        <v>5.8593979858085816E-19</v>
      </c>
    </row>
    <row r="32" spans="1:36" x14ac:dyDescent="0.2">
      <c r="A32" s="332">
        <v>10</v>
      </c>
      <c r="B32" s="332">
        <v>4.6485664587527959E-7</v>
      </c>
      <c r="C32" s="332">
        <v>1.399809038550232E-7</v>
      </c>
      <c r="D32" s="332">
        <v>7.1826908441496398E-8</v>
      </c>
      <c r="E32" s="332">
        <v>5.2493602273574892E-8</v>
      </c>
      <c r="F32" s="332">
        <v>2.0856965209917981</v>
      </c>
      <c r="G32" s="332">
        <v>2.2697480693250789</v>
      </c>
      <c r="J32" s="333">
        <f t="shared" si="6"/>
        <v>10</v>
      </c>
      <c r="K32" s="334">
        <f t="shared" si="7"/>
        <v>0.46485664587527958</v>
      </c>
      <c r="L32" s="334">
        <f t="shared" si="8"/>
        <v>0.13998090385502321</v>
      </c>
      <c r="M32" s="334">
        <f t="shared" si="9"/>
        <v>7.1826908441496404E-2</v>
      </c>
      <c r="N32" s="334">
        <f t="shared" si="10"/>
        <v>5.2493602273574892E-2</v>
      </c>
      <c r="O32" s="335">
        <f t="shared" si="11"/>
        <v>2.0856965209917981</v>
      </c>
      <c r="P32" s="335">
        <f t="shared" si="12"/>
        <v>2.2697480693250789</v>
      </c>
      <c r="R32" s="337">
        <f>ReportTables!N42</f>
        <v>9.9260643214000002</v>
      </c>
      <c r="S32" s="338">
        <f>ReportTables!O42</f>
        <v>0.45121819923305623</v>
      </c>
      <c r="T32" s="338">
        <f>ReportTables!P42</f>
        <v>9.1127136797747921E-2</v>
      </c>
      <c r="U32" s="338">
        <f>ReportTables!Q42</f>
        <v>9.7482646630845909E-2</v>
      </c>
      <c r="V32" s="338">
        <f>ReportTables!R42</f>
        <v>6.0881279855856812E-2</v>
      </c>
      <c r="W32" s="339">
        <f>ReportTables!S42</f>
        <v>2.0129901998506452</v>
      </c>
      <c r="X32" s="339">
        <f>ReportTables!T42</f>
        <v>2.0787801853499195</v>
      </c>
      <c r="Z32" s="6">
        <f t="shared" si="13"/>
        <v>1.3638446642223356E-2</v>
      </c>
      <c r="AA32" s="6">
        <f t="shared" si="14"/>
        <v>4.8853767057275288E-2</v>
      </c>
      <c r="AB32" s="6">
        <f t="shared" si="15"/>
        <v>-2.5655738189349506E-2</v>
      </c>
      <c r="AC32" s="6">
        <f t="shared" si="16"/>
        <v>-8.3876775822819202E-3</v>
      </c>
      <c r="AD32" s="6">
        <f t="shared" si="17"/>
        <v>7.2706321141152941E-2</v>
      </c>
      <c r="AE32" s="6">
        <f t="shared" si="18"/>
        <v>0.1909678839751594</v>
      </c>
      <c r="AH32" t="s">
        <v>812</v>
      </c>
      <c r="AI32" s="1">
        <v>6.8557399162499996E-10</v>
      </c>
      <c r="AJ32" s="1">
        <f t="shared" si="2"/>
        <v>4.7001169799263551E-19</v>
      </c>
    </row>
    <row r="33" spans="1:36" x14ac:dyDescent="0.2">
      <c r="A33" s="332">
        <v>5</v>
      </c>
      <c r="B33" s="332">
        <v>4.875504689060541E-7</v>
      </c>
      <c r="C33" s="332">
        <v>1.614582534360037E-7</v>
      </c>
      <c r="D33" s="332">
        <v>1.101566680186887E-7</v>
      </c>
      <c r="E33" s="332">
        <v>1.0302002732180479E-7</v>
      </c>
      <c r="F33" s="332">
        <v>2.1931148262539222</v>
      </c>
      <c r="G33" s="332">
        <v>2.3848485650735811</v>
      </c>
      <c r="J33" s="333">
        <f t="shared" si="6"/>
        <v>5</v>
      </c>
      <c r="K33" s="334">
        <f t="shared" si="7"/>
        <v>0.48755046890605408</v>
      </c>
      <c r="L33" s="334">
        <f t="shared" si="8"/>
        <v>0.1614582534360037</v>
      </c>
      <c r="M33" s="334">
        <f t="shared" si="9"/>
        <v>0.11015666801868869</v>
      </c>
      <c r="N33" s="334">
        <f t="shared" si="10"/>
        <v>0.10302002732180479</v>
      </c>
      <c r="O33" s="335">
        <f t="shared" si="11"/>
        <v>2.1931148262539222</v>
      </c>
      <c r="P33" s="335">
        <f t="shared" si="12"/>
        <v>2.3848485650735811</v>
      </c>
      <c r="R33" s="337">
        <f>ReportTables!N43</f>
        <v>5.0156125952000004</v>
      </c>
      <c r="S33" s="338">
        <f>ReportTables!O43</f>
        <v>0.47859715367101707</v>
      </c>
      <c r="T33" s="338">
        <f>ReportTables!P43</f>
        <v>0.11175136033072258</v>
      </c>
      <c r="U33" s="338">
        <f>ReportTables!Q43</f>
        <v>0.1273083886553843</v>
      </c>
      <c r="V33" s="338">
        <f>ReportTables!R43</f>
        <v>0.10505652216039858</v>
      </c>
      <c r="W33" s="339">
        <f>ReportTables!S43</f>
        <v>2.0635843150038546</v>
      </c>
      <c r="X33" s="339">
        <f>ReportTables!T43</f>
        <v>2.2301554291501042</v>
      </c>
      <c r="Z33" s="6">
        <f t="shared" si="13"/>
        <v>8.9533152350370071E-3</v>
      </c>
      <c r="AA33" s="6">
        <f t="shared" si="14"/>
        <v>4.9706893105281119E-2</v>
      </c>
      <c r="AB33" s="6">
        <f t="shared" si="15"/>
        <v>-1.7151720636695608E-2</v>
      </c>
      <c r="AC33" s="6">
        <f t="shared" si="16"/>
        <v>-2.0364948385937914E-3</v>
      </c>
      <c r="AD33" s="6">
        <f t="shared" si="17"/>
        <v>0.12953051125006754</v>
      </c>
      <c r="AE33" s="6">
        <f t="shared" si="18"/>
        <v>0.15469313592347689</v>
      </c>
      <c r="AH33" t="s">
        <v>813</v>
      </c>
      <c r="AI33" s="1">
        <v>5.96844499586E-10</v>
      </c>
      <c r="AJ33" s="1">
        <f t="shared" si="2"/>
        <v>3.5622335668606275E-19</v>
      </c>
    </row>
    <row r="34" spans="1:36" x14ac:dyDescent="0.2">
      <c r="A34" s="332"/>
      <c r="B34" s="332"/>
      <c r="C34" s="332"/>
      <c r="D34" s="332"/>
      <c r="E34" s="332"/>
      <c r="F34" s="332"/>
      <c r="G34" s="332"/>
      <c r="J34" s="333"/>
      <c r="K34" s="334"/>
      <c r="L34" s="334"/>
      <c r="M34" s="334"/>
      <c r="N34" s="334"/>
      <c r="O34" s="335"/>
      <c r="P34" s="335"/>
      <c r="AH34" t="s">
        <v>814</v>
      </c>
      <c r="AI34" s="1">
        <v>3.58684070093E-10</v>
      </c>
      <c r="AJ34" s="1">
        <f t="shared" si="2"/>
        <v>1.2865426213848014E-19</v>
      </c>
    </row>
    <row r="35" spans="1:36" x14ac:dyDescent="0.2">
      <c r="A35" s="332" t="s">
        <v>769</v>
      </c>
      <c r="B35" s="332"/>
      <c r="C35" s="332"/>
      <c r="D35" s="332"/>
      <c r="E35" s="332"/>
      <c r="F35" s="332"/>
      <c r="G35" s="332"/>
      <c r="J35" s="333"/>
      <c r="K35" s="334"/>
      <c r="L35" s="334"/>
      <c r="M35" s="334"/>
      <c r="N35" s="334"/>
      <c r="O35" s="335"/>
      <c r="P35" s="335"/>
      <c r="AH35" t="s">
        <v>815</v>
      </c>
      <c r="AI35" s="1">
        <v>2.7444438784799999E-10</v>
      </c>
      <c r="AJ35" s="1">
        <f t="shared" si="2"/>
        <v>7.531972202126345E-20</v>
      </c>
    </row>
    <row r="36" spans="1:36" x14ac:dyDescent="0.2">
      <c r="A36" s="332" t="s">
        <v>775</v>
      </c>
      <c r="B36" s="332" t="s">
        <v>765</v>
      </c>
      <c r="C36" s="332" t="s">
        <v>767</v>
      </c>
      <c r="D36" s="332" t="s">
        <v>766</v>
      </c>
      <c r="E36" s="332" t="s">
        <v>768</v>
      </c>
      <c r="F36" s="332" t="s">
        <v>777</v>
      </c>
      <c r="G36" s="332" t="s">
        <v>778</v>
      </c>
      <c r="J36" s="333"/>
      <c r="K36" s="334"/>
      <c r="L36" s="334"/>
      <c r="M36" s="334"/>
      <c r="N36" s="334"/>
      <c r="O36" s="335"/>
      <c r="P36" s="335"/>
    </row>
    <row r="37" spans="1:36" x14ac:dyDescent="0.2">
      <c r="A37" s="332">
        <v>120</v>
      </c>
      <c r="B37" s="332">
        <v>2.0096890289113239E-7</v>
      </c>
      <c r="C37" s="332">
        <v>1.8259813978917449E-7</v>
      </c>
      <c r="D37" s="332">
        <v>5.6727479544094558E-8</v>
      </c>
      <c r="E37" s="332">
        <v>3.7753600215632142E-8</v>
      </c>
      <c r="F37" s="332">
        <v>2.075955106158839</v>
      </c>
      <c r="G37" s="332">
        <v>2.0489229550426571</v>
      </c>
      <c r="J37" s="333">
        <f>A37</f>
        <v>120</v>
      </c>
      <c r="K37" s="334">
        <f>B37*1000000</f>
        <v>0.20096890289113239</v>
      </c>
      <c r="L37" s="334">
        <f>C37*1000000</f>
        <v>0.1825981397891745</v>
      </c>
      <c r="M37" s="334">
        <f>D37*1000000</f>
        <v>5.6727479544094558E-2</v>
      </c>
      <c r="N37" s="334">
        <f>1000000*E37</f>
        <v>3.7753600215632142E-2</v>
      </c>
      <c r="O37" s="335">
        <f>F37</f>
        <v>2.075955106158839</v>
      </c>
      <c r="P37" s="335">
        <f>G37</f>
        <v>2.0489229550426571</v>
      </c>
    </row>
    <row r="38" spans="1:36" x14ac:dyDescent="0.2">
      <c r="A38" s="332">
        <v>100</v>
      </c>
      <c r="B38" s="332">
        <v>2.209877375176096E-7</v>
      </c>
      <c r="C38" s="332">
        <v>1.8110491745589571E-7</v>
      </c>
      <c r="D38" s="332">
        <v>5.7747763688223358E-8</v>
      </c>
      <c r="E38" s="332">
        <v>3.7518387603422983E-8</v>
      </c>
      <c r="F38" s="332">
        <v>2.070146020662945</v>
      </c>
      <c r="G38" s="332">
        <v>2.0506761224602501</v>
      </c>
      <c r="J38" s="333">
        <f t="shared" ref="J38:J43" si="19">A38</f>
        <v>100</v>
      </c>
      <c r="K38" s="334">
        <f t="shared" ref="K38:K43" si="20">B38*1000000</f>
        <v>0.22098773751760958</v>
      </c>
      <c r="L38" s="334">
        <f t="shared" ref="L38:L43" si="21">C38*1000000</f>
        <v>0.18110491745589571</v>
      </c>
      <c r="M38" s="334">
        <f t="shared" ref="M38:M43" si="22">D38*1000000</f>
        <v>5.7747763688223361E-2</v>
      </c>
      <c r="N38" s="334">
        <f t="shared" ref="N38:N43" si="23">1000000*E38</f>
        <v>3.7518387603422985E-2</v>
      </c>
      <c r="O38" s="335">
        <f t="shared" ref="O38:O43" si="24">F38</f>
        <v>2.070146020662945</v>
      </c>
      <c r="P38" s="335">
        <f t="shared" ref="P38:P43" si="25">G38</f>
        <v>2.0506761224602501</v>
      </c>
    </row>
    <row r="39" spans="1:36" x14ac:dyDescent="0.2">
      <c r="A39" s="332">
        <v>60</v>
      </c>
      <c r="B39" s="332">
        <v>2.9371072386554859E-7</v>
      </c>
      <c r="C39" s="332">
        <v>1.669864743493479E-7</v>
      </c>
      <c r="D39" s="332">
        <v>6.2775657867121874E-8</v>
      </c>
      <c r="E39" s="332">
        <v>3.6831441419070178E-8</v>
      </c>
      <c r="F39" s="332">
        <v>2.0524783918903799</v>
      </c>
      <c r="G39" s="332">
        <v>2.0497231577103681</v>
      </c>
      <c r="J39" s="333">
        <f t="shared" si="19"/>
        <v>60</v>
      </c>
      <c r="K39" s="334">
        <f t="shared" si="20"/>
        <v>0.29371072386554858</v>
      </c>
      <c r="L39" s="334">
        <f t="shared" si="21"/>
        <v>0.16698647434934791</v>
      </c>
      <c r="M39" s="334">
        <f t="shared" si="22"/>
        <v>6.2775657867121873E-2</v>
      </c>
      <c r="N39" s="334">
        <f t="shared" si="23"/>
        <v>3.6831441419070181E-2</v>
      </c>
      <c r="O39" s="335">
        <f t="shared" si="24"/>
        <v>2.0524783918903799</v>
      </c>
      <c r="P39" s="335">
        <f t="shared" si="25"/>
        <v>2.0497231577103681</v>
      </c>
    </row>
    <row r="40" spans="1:36" x14ac:dyDescent="0.2">
      <c r="A40" s="332">
        <v>40</v>
      </c>
      <c r="B40" s="332">
        <v>3.4222278361883861E-7</v>
      </c>
      <c r="C40" s="332">
        <v>1.700650091516628E-7</v>
      </c>
      <c r="D40" s="332">
        <v>6.7033773158696785E-8</v>
      </c>
      <c r="E40" s="332">
        <v>3.7735074669937771E-8</v>
      </c>
      <c r="F40" s="332">
        <v>2.0460451474841732</v>
      </c>
      <c r="G40" s="332">
        <v>2.0438393016956131</v>
      </c>
      <c r="J40" s="333">
        <f t="shared" si="19"/>
        <v>40</v>
      </c>
      <c r="K40" s="334">
        <f t="shared" si="20"/>
        <v>0.34222278361883862</v>
      </c>
      <c r="L40" s="334">
        <f t="shared" si="21"/>
        <v>0.17006500915166281</v>
      </c>
      <c r="M40" s="334">
        <f t="shared" si="22"/>
        <v>6.7033773158696783E-2</v>
      </c>
      <c r="N40" s="334">
        <f t="shared" si="23"/>
        <v>3.7735074669937772E-2</v>
      </c>
      <c r="O40" s="335">
        <f t="shared" si="24"/>
        <v>2.0460451474841732</v>
      </c>
      <c r="P40" s="335">
        <f t="shared" si="25"/>
        <v>2.0438393016956131</v>
      </c>
    </row>
    <row r="41" spans="1:36" x14ac:dyDescent="0.2">
      <c r="A41" s="332">
        <v>20</v>
      </c>
      <c r="B41" s="332">
        <v>4.127139933289403E-7</v>
      </c>
      <c r="C41" s="332">
        <v>1.6244257086807099E-7</v>
      </c>
      <c r="D41" s="332">
        <v>7.5246650804101558E-8</v>
      </c>
      <c r="E41" s="332">
        <v>4.2482023480468852E-8</v>
      </c>
      <c r="F41" s="332">
        <v>2.0397196420315868</v>
      </c>
      <c r="G41" s="332">
        <v>2.0326073111822689</v>
      </c>
      <c r="J41" s="333">
        <f t="shared" si="19"/>
        <v>20</v>
      </c>
      <c r="K41" s="334">
        <f t="shared" si="20"/>
        <v>0.41271399332894032</v>
      </c>
      <c r="L41" s="334">
        <f t="shared" si="21"/>
        <v>0.16244257086807098</v>
      </c>
      <c r="M41" s="334">
        <f t="shared" si="22"/>
        <v>7.5246650804101561E-2</v>
      </c>
      <c r="N41" s="334">
        <f t="shared" si="23"/>
        <v>4.2482023480468853E-2</v>
      </c>
      <c r="O41" s="335">
        <f t="shared" si="24"/>
        <v>2.0397196420315868</v>
      </c>
      <c r="P41" s="335">
        <f t="shared" si="25"/>
        <v>2.0326073111822689</v>
      </c>
    </row>
    <row r="42" spans="1:36" x14ac:dyDescent="0.2">
      <c r="A42" s="332">
        <v>10</v>
      </c>
      <c r="B42" s="332">
        <v>4.645638934159943E-7</v>
      </c>
      <c r="C42" s="332">
        <v>1.4155268202631179E-7</v>
      </c>
      <c r="D42" s="332">
        <v>8.8836791461852231E-8</v>
      </c>
      <c r="E42" s="332">
        <v>5.5992342787459888E-8</v>
      </c>
      <c r="F42" s="332">
        <v>2.0339049667913072</v>
      </c>
      <c r="G42" s="332">
        <v>2.1545030601980448</v>
      </c>
      <c r="J42" s="333">
        <f t="shared" si="19"/>
        <v>10</v>
      </c>
      <c r="K42" s="334">
        <f t="shared" si="20"/>
        <v>0.4645638934159943</v>
      </c>
      <c r="L42" s="334">
        <f t="shared" si="21"/>
        <v>0.1415526820263118</v>
      </c>
      <c r="M42" s="334">
        <f t="shared" si="22"/>
        <v>8.8836791461852235E-2</v>
      </c>
      <c r="N42" s="334">
        <f t="shared" si="23"/>
        <v>5.5992342787459889E-2</v>
      </c>
      <c r="O42" s="335">
        <f t="shared" si="24"/>
        <v>2.0339049667913072</v>
      </c>
      <c r="P42" s="335">
        <f t="shared" si="25"/>
        <v>2.1545030601980448</v>
      </c>
    </row>
    <row r="43" spans="1:36" x14ac:dyDescent="0.2">
      <c r="A43" s="332">
        <v>5</v>
      </c>
      <c r="B43" s="332">
        <v>4.872577164467687E-7</v>
      </c>
      <c r="C43" s="332">
        <v>1.6303003160729219E-7</v>
      </c>
      <c r="D43" s="332">
        <v>1.2055524975028589E-7</v>
      </c>
      <c r="E43" s="332">
        <v>1.0399705176131E-7</v>
      </c>
      <c r="F43" s="332">
        <v>2.1024238205242658</v>
      </c>
      <c r="G43" s="332">
        <v>2.3140867666236948</v>
      </c>
      <c r="J43" s="333">
        <f t="shared" si="19"/>
        <v>5</v>
      </c>
      <c r="K43" s="334">
        <f t="shared" si="20"/>
        <v>0.48725771644676868</v>
      </c>
      <c r="L43" s="334">
        <f t="shared" si="21"/>
        <v>0.16303003160729218</v>
      </c>
      <c r="M43" s="334">
        <f t="shared" si="22"/>
        <v>0.12055524975028589</v>
      </c>
      <c r="N43" s="334">
        <f t="shared" si="23"/>
        <v>0.10399705176130999</v>
      </c>
      <c r="O43" s="335">
        <f t="shared" si="24"/>
        <v>2.1024238205242658</v>
      </c>
      <c r="P43" s="335">
        <f t="shared" si="25"/>
        <v>2.3140867666236948</v>
      </c>
    </row>
    <row r="44" spans="1:36" x14ac:dyDescent="0.2">
      <c r="A44" s="332"/>
      <c r="B44" s="332"/>
      <c r="C44" s="332"/>
      <c r="D44" s="332"/>
      <c r="E44" s="332"/>
      <c r="F44" s="332"/>
      <c r="G44" s="332"/>
      <c r="J44" s="333"/>
      <c r="K44" s="334"/>
      <c r="L44" s="334"/>
      <c r="M44" s="334"/>
      <c r="N44" s="334"/>
      <c r="O44" s="335"/>
      <c r="P44" s="335"/>
    </row>
    <row r="45" spans="1:36" x14ac:dyDescent="0.2">
      <c r="A45" s="332" t="s">
        <v>772</v>
      </c>
      <c r="B45" s="332"/>
      <c r="C45" s="332"/>
      <c r="D45" s="332"/>
      <c r="E45" s="332"/>
      <c r="F45" s="332"/>
      <c r="G45" s="332"/>
      <c r="J45" s="333"/>
      <c r="K45" s="334"/>
      <c r="L45" s="334"/>
      <c r="M45" s="334"/>
      <c r="N45" s="334"/>
      <c r="O45" s="335"/>
      <c r="P45" s="335"/>
    </row>
    <row r="46" spans="1:36" x14ac:dyDescent="0.2">
      <c r="A46" s="332" t="s">
        <v>775</v>
      </c>
      <c r="B46" s="332" t="s">
        <v>765</v>
      </c>
      <c r="C46" s="332" t="s">
        <v>767</v>
      </c>
      <c r="D46" s="332" t="s">
        <v>766</v>
      </c>
      <c r="E46" s="332" t="s">
        <v>768</v>
      </c>
      <c r="F46" s="332" t="s">
        <v>777</v>
      </c>
      <c r="G46" s="332" t="s">
        <v>778</v>
      </c>
      <c r="J46" s="333"/>
      <c r="K46" s="334"/>
      <c r="L46" s="334"/>
      <c r="M46" s="334"/>
      <c r="N46" s="334"/>
      <c r="O46" s="335"/>
      <c r="P46" s="335"/>
    </row>
    <row r="47" spans="1:36" x14ac:dyDescent="0.2">
      <c r="A47" s="332">
        <v>120</v>
      </c>
      <c r="B47" s="332">
        <v>1.8613499636055821E-7</v>
      </c>
      <c r="C47" s="332">
        <v>1.5971001932723909E-7</v>
      </c>
      <c r="D47" s="332">
        <v>8.4324891760270447E-8</v>
      </c>
      <c r="E47" s="332">
        <v>5.485089553739944E-8</v>
      </c>
      <c r="F47" s="332">
        <v>2.0090380918214028</v>
      </c>
      <c r="G47" s="332">
        <v>1.998493102664342</v>
      </c>
      <c r="J47" s="333">
        <f>A47</f>
        <v>120</v>
      </c>
      <c r="K47" s="334">
        <f>B47*1000000</f>
        <v>0.18613499636055822</v>
      </c>
      <c r="L47" s="334">
        <f>C47*1000000</f>
        <v>0.15971001932723908</v>
      </c>
      <c r="M47" s="334">
        <f>D47*1000000</f>
        <v>8.4324891760270443E-2</v>
      </c>
      <c r="N47" s="334">
        <f>1000000*E47</f>
        <v>5.4850895537399441E-2</v>
      </c>
      <c r="O47" s="335">
        <f>F47</f>
        <v>2.0090380918214028</v>
      </c>
      <c r="P47" s="335">
        <f>G47</f>
        <v>1.998493102664342</v>
      </c>
      <c r="R47" s="337">
        <f>ReportTables!N37</f>
        <v>119.84700020000001</v>
      </c>
      <c r="S47" s="338">
        <f>ReportTables!O37</f>
        <v>0.19099327491213469</v>
      </c>
      <c r="T47" s="338">
        <f>ReportTables!P37</f>
        <v>0.12771511396560489</v>
      </c>
      <c r="U47" s="338">
        <f>ReportTables!Q37</f>
        <v>6.4958741442333184E-2</v>
      </c>
      <c r="V47" s="338">
        <f>ReportTables!R37</f>
        <v>4.2936958630148542E-2</v>
      </c>
      <c r="W47" s="339">
        <f>ReportTables!S37</f>
        <v>2.040872595051844</v>
      </c>
      <c r="X47" s="339">
        <f>ReportTables!T37</f>
        <v>2.0222343190008134</v>
      </c>
      <c r="Z47" s="6">
        <f t="shared" ref="Z47:Z53" si="26">K47-S47</f>
        <v>-4.8582785515764726E-3</v>
      </c>
      <c r="AA47" s="6">
        <f t="shared" ref="AA47:AA53" si="27">L47-T47</f>
        <v>3.1994905361634185E-2</v>
      </c>
      <c r="AB47" s="6">
        <f t="shared" ref="AB47:AB53" si="28">M47-U47</f>
        <v>1.9366150317937258E-2</v>
      </c>
      <c r="AC47" s="6">
        <f t="shared" ref="AC47:AC53" si="29">N47-V47</f>
        <v>1.1913936907250899E-2</v>
      </c>
      <c r="AD47" s="6">
        <f t="shared" ref="AD47:AD53" si="30">O47-W47</f>
        <v>-3.1834503230441236E-2</v>
      </c>
      <c r="AE47" s="6">
        <f t="shared" ref="AE47:AE53" si="31">P47-X47</f>
        <v>-2.3741216336471416E-2</v>
      </c>
    </row>
    <row r="48" spans="1:36" x14ac:dyDescent="0.2">
      <c r="A48" s="332">
        <v>100</v>
      </c>
      <c r="B48" s="332">
        <v>2.0495272189454291E-7</v>
      </c>
      <c r="C48" s="332">
        <v>1.6031937596282929E-7</v>
      </c>
      <c r="D48" s="332">
        <v>8.579212923929538E-8</v>
      </c>
      <c r="E48" s="332">
        <v>5.4760793964641712E-8</v>
      </c>
      <c r="F48" s="332">
        <v>2.0065162502153662</v>
      </c>
      <c r="G48" s="332">
        <v>1.998607080616936</v>
      </c>
      <c r="J48" s="333">
        <f t="shared" ref="J48:J53" si="32">A48</f>
        <v>100</v>
      </c>
      <c r="K48" s="334">
        <f t="shared" ref="K48:K53" si="33">B48*1000000</f>
        <v>0.20495272189454292</v>
      </c>
      <c r="L48" s="334">
        <f t="shared" ref="L48:L53" si="34">C48*1000000</f>
        <v>0.1603193759628293</v>
      </c>
      <c r="M48" s="334">
        <f t="shared" ref="M48:M53" si="35">D48*1000000</f>
        <v>8.5792129239295384E-2</v>
      </c>
      <c r="N48" s="334">
        <f t="shared" ref="N48:N53" si="36">1000000*E48</f>
        <v>5.4760793964641709E-2</v>
      </c>
      <c r="O48" s="335">
        <f t="shared" ref="O48:O53" si="37">F48</f>
        <v>2.0065162502153662</v>
      </c>
      <c r="P48" s="335">
        <f t="shared" ref="P48:P53" si="38">G48</f>
        <v>1.998607080616936</v>
      </c>
      <c r="R48" s="337">
        <f>ReportTables!N38</f>
        <v>99.84864608800001</v>
      </c>
      <c r="S48" s="338">
        <f>ReportTables!O38</f>
        <v>0.20981100044611947</v>
      </c>
      <c r="T48" s="338">
        <f>ReportTables!P38</f>
        <v>0.12832447060119506</v>
      </c>
      <c r="U48" s="338">
        <f>ReportTables!Q38</f>
        <v>6.5997572059363505E-2</v>
      </c>
      <c r="V48" s="338">
        <f>ReportTables!R38</f>
        <v>4.2766769510623984E-2</v>
      </c>
      <c r="W48" s="339">
        <f>ReportTables!S38</f>
        <v>2.0372064663419573</v>
      </c>
      <c r="X48" s="339">
        <f>ReportTables!T38</f>
        <v>2.0231585789792712</v>
      </c>
      <c r="Z48" s="6">
        <f t="shared" si="26"/>
        <v>-4.8582785515765559E-3</v>
      </c>
      <c r="AA48" s="6">
        <f t="shared" si="27"/>
        <v>3.199490536163424E-2</v>
      </c>
      <c r="AB48" s="6">
        <f t="shared" si="28"/>
        <v>1.9794557179931879E-2</v>
      </c>
      <c r="AC48" s="6">
        <f t="shared" si="29"/>
        <v>1.1994024454017725E-2</v>
      </c>
      <c r="AD48" s="6">
        <f t="shared" si="30"/>
        <v>-3.0690216126591174E-2</v>
      </c>
      <c r="AE48" s="6">
        <f t="shared" si="31"/>
        <v>-2.4551498362335167E-2</v>
      </c>
    </row>
    <row r="49" spans="1:31" x14ac:dyDescent="0.2">
      <c r="A49" s="332">
        <v>60</v>
      </c>
      <c r="B49" s="332">
        <v>2.7139999884878922E-7</v>
      </c>
      <c r="C49" s="332">
        <v>1.4481738925060701E-7</v>
      </c>
      <c r="D49" s="332">
        <v>9.2395508916459835E-8</v>
      </c>
      <c r="E49" s="332">
        <v>5.3859225227715803E-8</v>
      </c>
      <c r="F49" s="332">
        <v>1.998965220542591</v>
      </c>
      <c r="G49" s="332">
        <v>1.998860253040037</v>
      </c>
      <c r="J49" s="333">
        <f t="shared" si="32"/>
        <v>60</v>
      </c>
      <c r="K49" s="334">
        <f t="shared" si="33"/>
        <v>0.27139999884878924</v>
      </c>
      <c r="L49" s="334">
        <f t="shared" si="34"/>
        <v>0.144817389250607</v>
      </c>
      <c r="M49" s="334">
        <f t="shared" si="35"/>
        <v>9.239550891645984E-2</v>
      </c>
      <c r="N49" s="334">
        <f t="shared" si="36"/>
        <v>5.3859225227715801E-2</v>
      </c>
      <c r="O49" s="335">
        <f t="shared" si="37"/>
        <v>1.998965220542591</v>
      </c>
      <c r="P49" s="335">
        <f t="shared" si="38"/>
        <v>1.998860253040037</v>
      </c>
      <c r="R49" s="337">
        <f>ReportTables!N39</f>
        <v>60.036926252000001</v>
      </c>
      <c r="S49" s="338">
        <f>ReportTables!O39</f>
        <v>0.27625827740036574</v>
      </c>
      <c r="T49" s="338">
        <f>ReportTables!P39</f>
        <v>0.11282248388897273</v>
      </c>
      <c r="U49" s="338">
        <f>ReportTables!Q39</f>
        <v>7.0890486790616394E-2</v>
      </c>
      <c r="V49" s="338">
        <f>ReportTables!R39</f>
        <v>4.2101413564488911E-2</v>
      </c>
      <c r="W49" s="339">
        <f>ReportTables!S39</f>
        <v>2.0258590905466325</v>
      </c>
      <c r="X49" s="339">
        <f>ReportTables!T39</f>
        <v>2.0245624292189737</v>
      </c>
      <c r="Z49" s="6">
        <f t="shared" si="26"/>
        <v>-4.8582785515765003E-3</v>
      </c>
      <c r="AA49" s="6">
        <f t="shared" si="27"/>
        <v>3.1994905361634268E-2</v>
      </c>
      <c r="AB49" s="6">
        <f t="shared" si="28"/>
        <v>2.1505022125843445E-2</v>
      </c>
      <c r="AC49" s="6">
        <f t="shared" si="29"/>
        <v>1.175781166322689E-2</v>
      </c>
      <c r="AD49" s="6">
        <f t="shared" si="30"/>
        <v>-2.6893870004041531E-2</v>
      </c>
      <c r="AE49" s="6">
        <f t="shared" si="31"/>
        <v>-2.5702176178936664E-2</v>
      </c>
    </row>
    <row r="50" spans="1:31" x14ac:dyDescent="0.2">
      <c r="A50" s="332">
        <v>40</v>
      </c>
      <c r="B50" s="332">
        <v>3.2143846956816482E-7</v>
      </c>
      <c r="C50" s="332">
        <v>1.478231409536666E-7</v>
      </c>
      <c r="D50" s="332">
        <v>9.8359122712186367E-8</v>
      </c>
      <c r="E50" s="332">
        <v>5.5662576144429729E-8</v>
      </c>
      <c r="F50" s="332">
        <v>1.995195799961148</v>
      </c>
      <c r="G50" s="332">
        <v>1.995358503468561</v>
      </c>
      <c r="J50" s="333">
        <f t="shared" si="32"/>
        <v>40</v>
      </c>
      <c r="K50" s="334">
        <f t="shared" si="33"/>
        <v>0.3214384695681648</v>
      </c>
      <c r="L50" s="334">
        <f t="shared" si="34"/>
        <v>0.14782314095366661</v>
      </c>
      <c r="M50" s="334">
        <f t="shared" si="35"/>
        <v>9.8359122712186373E-2</v>
      </c>
      <c r="N50" s="334">
        <f t="shared" si="36"/>
        <v>5.566257614442973E-2</v>
      </c>
      <c r="O50" s="335">
        <f t="shared" si="37"/>
        <v>1.995195799961148</v>
      </c>
      <c r="P50" s="335">
        <f t="shared" si="38"/>
        <v>1.995358503468561</v>
      </c>
      <c r="R50" s="337">
        <f>ReportTables!N40</f>
        <v>40.078594610000003</v>
      </c>
      <c r="S50" s="338">
        <f>ReportTables!O40</f>
        <v>0.32629674811974124</v>
      </c>
      <c r="T50" s="338">
        <f>ReportTables!P40</f>
        <v>0.11582823559203237</v>
      </c>
      <c r="U50" s="338">
        <f>ReportTables!Q40</f>
        <v>7.5342598442493983E-2</v>
      </c>
      <c r="V50" s="338">
        <f>ReportTables!R40</f>
        <v>4.3020053532378241E-2</v>
      </c>
      <c r="W50" s="339">
        <f>ReportTables!S40</f>
        <v>2.0206523343075551</v>
      </c>
      <c r="X50" s="339">
        <f>ReportTables!T40</f>
        <v>2.0203541372816742</v>
      </c>
      <c r="Z50" s="6">
        <f t="shared" si="26"/>
        <v>-4.8582785515764448E-3</v>
      </c>
      <c r="AA50" s="6">
        <f t="shared" si="27"/>
        <v>3.199490536163424E-2</v>
      </c>
      <c r="AB50" s="6">
        <f t="shared" si="28"/>
        <v>2.301652426969239E-2</v>
      </c>
      <c r="AC50" s="6">
        <f t="shared" si="29"/>
        <v>1.2642522612051489E-2</v>
      </c>
      <c r="AD50" s="6">
        <f t="shared" si="30"/>
        <v>-2.5456534346407045E-2</v>
      </c>
      <c r="AE50" s="6">
        <f t="shared" si="31"/>
        <v>-2.4995633813113205E-2</v>
      </c>
    </row>
    <row r="51" spans="1:31" x14ac:dyDescent="0.2">
      <c r="A51" s="332">
        <v>20</v>
      </c>
      <c r="B51" s="332">
        <v>3.9746451422556379E-7</v>
      </c>
      <c r="C51" s="332">
        <v>1.4263281621251061E-7</v>
      </c>
      <c r="D51" s="332">
        <v>1.1129123516050949E-7</v>
      </c>
      <c r="E51" s="332">
        <v>6.3925258115233255E-8</v>
      </c>
      <c r="F51" s="332">
        <v>1.9904228862328861</v>
      </c>
      <c r="G51" s="332">
        <v>1.9921853193513679</v>
      </c>
      <c r="J51" s="333">
        <f t="shared" si="32"/>
        <v>20</v>
      </c>
      <c r="K51" s="334">
        <f t="shared" si="33"/>
        <v>0.39746451422556378</v>
      </c>
      <c r="L51" s="334">
        <f t="shared" si="34"/>
        <v>0.14263281621251062</v>
      </c>
      <c r="M51" s="334">
        <f t="shared" si="35"/>
        <v>0.1112912351605095</v>
      </c>
      <c r="N51" s="334">
        <f t="shared" si="36"/>
        <v>6.3925258115233252E-2</v>
      </c>
      <c r="O51" s="335">
        <f t="shared" si="37"/>
        <v>1.9904228862328861</v>
      </c>
      <c r="P51" s="335">
        <f t="shared" si="38"/>
        <v>1.9921853193513679</v>
      </c>
      <c r="R51" s="337">
        <f>ReportTables!N41</f>
        <v>20.078383601999999</v>
      </c>
      <c r="S51" s="338">
        <f>ReportTables!O41</f>
        <v>0.40232279277714023</v>
      </c>
      <c r="T51" s="338">
        <f>ReportTables!P41</f>
        <v>0.11063791085087632</v>
      </c>
      <c r="U51" s="338">
        <f>ReportTables!Q41</f>
        <v>8.4485231073128941E-2</v>
      </c>
      <c r="V51" s="338">
        <f>ReportTables!R41</f>
        <v>4.8046790160654732E-2</v>
      </c>
      <c r="W51" s="339">
        <f>ReportTables!S41</f>
        <v>2.0148164313961798</v>
      </c>
      <c r="X51" s="339">
        <f>ReportTables!T41</f>
        <v>2.011336804966064</v>
      </c>
      <c r="Z51" s="6">
        <f t="shared" si="26"/>
        <v>-4.8582785515764448E-3</v>
      </c>
      <c r="AA51" s="6">
        <f t="shared" si="27"/>
        <v>3.1994905361634296E-2</v>
      </c>
      <c r="AB51" s="6">
        <f t="shared" si="28"/>
        <v>2.6806004087380556E-2</v>
      </c>
      <c r="AC51" s="6">
        <f t="shared" si="29"/>
        <v>1.5878467954578521E-2</v>
      </c>
      <c r="AD51" s="6">
        <f t="shared" si="30"/>
        <v>-2.4393545163293728E-2</v>
      </c>
      <c r="AE51" s="6">
        <f t="shared" si="31"/>
        <v>-1.9151485614696151E-2</v>
      </c>
    </row>
    <row r="52" spans="1:31" x14ac:dyDescent="0.2">
      <c r="A52" s="332">
        <v>10</v>
      </c>
      <c r="B52" s="332">
        <v>4.4635992068147968E-7</v>
      </c>
      <c r="C52" s="332">
        <v>1.2312204215938209E-7</v>
      </c>
      <c r="D52" s="332">
        <v>1.3308163389415079E-7</v>
      </c>
      <c r="E52" s="332">
        <v>8.8414301514060782E-8</v>
      </c>
      <c r="F52" s="332">
        <v>1.989964683462911</v>
      </c>
      <c r="G52" s="332">
        <v>2.031029840907363</v>
      </c>
      <c r="J52" s="333">
        <f t="shared" si="32"/>
        <v>10</v>
      </c>
      <c r="K52" s="334">
        <f t="shared" si="33"/>
        <v>0.44635992068147967</v>
      </c>
      <c r="L52" s="334">
        <f t="shared" si="34"/>
        <v>0.12312204215938209</v>
      </c>
      <c r="M52" s="334">
        <f t="shared" si="35"/>
        <v>0.13308163389415079</v>
      </c>
      <c r="N52" s="334">
        <f t="shared" si="36"/>
        <v>8.8414301514060781E-2</v>
      </c>
      <c r="O52" s="335">
        <f t="shared" si="37"/>
        <v>1.989964683462911</v>
      </c>
      <c r="P52" s="335">
        <f t="shared" si="38"/>
        <v>2.031029840907363</v>
      </c>
      <c r="R52" s="337">
        <f>ReportTables!N42</f>
        <v>9.9260643214000002</v>
      </c>
      <c r="S52" s="338">
        <f>ReportTables!O42</f>
        <v>0.45121819923305623</v>
      </c>
      <c r="T52" s="338">
        <f>ReportTables!P42</f>
        <v>9.1127136797747921E-2</v>
      </c>
      <c r="U52" s="338">
        <f>ReportTables!Q42</f>
        <v>9.7482646630845909E-2</v>
      </c>
      <c r="V52" s="338">
        <f>ReportTables!R42</f>
        <v>6.0881279855856812E-2</v>
      </c>
      <c r="W52" s="339">
        <f>ReportTables!S42</f>
        <v>2.0129901998506452</v>
      </c>
      <c r="X52" s="339">
        <f>ReportTables!T42</f>
        <v>2.0787801853499195</v>
      </c>
      <c r="Z52" s="6">
        <f t="shared" si="26"/>
        <v>-4.8582785515765559E-3</v>
      </c>
      <c r="AA52" s="6">
        <f t="shared" si="27"/>
        <v>3.1994905361634171E-2</v>
      </c>
      <c r="AB52" s="6">
        <f t="shared" si="28"/>
        <v>3.5598987263304877E-2</v>
      </c>
      <c r="AC52" s="6">
        <f t="shared" si="29"/>
        <v>2.7533021658203968E-2</v>
      </c>
      <c r="AD52" s="6">
        <f t="shared" si="30"/>
        <v>-2.3025516387734202E-2</v>
      </c>
      <c r="AE52" s="6">
        <f t="shared" si="31"/>
        <v>-4.7750344442556436E-2</v>
      </c>
    </row>
    <row r="53" spans="1:31" x14ac:dyDescent="0.2">
      <c r="A53" s="332">
        <v>5</v>
      </c>
      <c r="B53" s="332">
        <v>4.710386257481148E-7</v>
      </c>
      <c r="C53" s="332">
        <v>1.417556844915882E-7</v>
      </c>
      <c r="D53" s="332">
        <v>1.8501600615500159E-7</v>
      </c>
      <c r="E53" s="332">
        <v>1.5764931855795601E-7</v>
      </c>
      <c r="F53" s="332">
        <v>2.020046834724003</v>
      </c>
      <c r="G53" s="332">
        <v>2.0789146287081022</v>
      </c>
      <c r="J53" s="333">
        <f t="shared" si="32"/>
        <v>5</v>
      </c>
      <c r="K53" s="334">
        <f t="shared" si="33"/>
        <v>0.47103862574811478</v>
      </c>
      <c r="L53" s="334">
        <f t="shared" si="34"/>
        <v>0.14175568449158821</v>
      </c>
      <c r="M53" s="334">
        <f t="shared" si="35"/>
        <v>0.18501600615500161</v>
      </c>
      <c r="N53" s="334">
        <f t="shared" si="36"/>
        <v>0.157649318557956</v>
      </c>
      <c r="O53" s="335">
        <f t="shared" si="37"/>
        <v>2.020046834724003</v>
      </c>
      <c r="P53" s="335">
        <f t="shared" si="38"/>
        <v>2.0789146287081022</v>
      </c>
      <c r="R53" s="337">
        <f>ReportTables!N43</f>
        <v>5.0156125952000004</v>
      </c>
      <c r="S53" s="338">
        <f>ReportTables!O43</f>
        <v>0.47859715367101707</v>
      </c>
      <c r="T53" s="338">
        <f>ReportTables!P43</f>
        <v>0.11175136033072258</v>
      </c>
      <c r="U53" s="338">
        <f>ReportTables!Q43</f>
        <v>0.1273083886553843</v>
      </c>
      <c r="V53" s="338">
        <f>ReportTables!R43</f>
        <v>0.10505652216039858</v>
      </c>
      <c r="W53" s="339">
        <f>ReportTables!S43</f>
        <v>2.0635843150038546</v>
      </c>
      <c r="X53" s="339">
        <f>ReportTables!T43</f>
        <v>2.2301554291501042</v>
      </c>
      <c r="Z53" s="6">
        <f t="shared" si="26"/>
        <v>-7.5585279229022917E-3</v>
      </c>
      <c r="AA53" s="6">
        <f t="shared" si="27"/>
        <v>3.0004324160865625E-2</v>
      </c>
      <c r="AB53" s="6">
        <f t="shared" si="28"/>
        <v>5.7707617499617309E-2</v>
      </c>
      <c r="AC53" s="6">
        <f t="shared" si="29"/>
        <v>5.2592796397557415E-2</v>
      </c>
      <c r="AD53" s="6">
        <f t="shared" si="30"/>
        <v>-4.3537480279851604E-2</v>
      </c>
      <c r="AE53" s="6">
        <f t="shared" si="31"/>
        <v>-0.15124080044200205</v>
      </c>
    </row>
    <row r="54" spans="1:31" x14ac:dyDescent="0.2">
      <c r="A54" s="332"/>
      <c r="B54" s="332"/>
      <c r="C54" s="332"/>
      <c r="D54" s="332"/>
      <c r="E54" s="332"/>
      <c r="F54" s="332"/>
      <c r="G54" s="332"/>
      <c r="J54" s="333"/>
      <c r="K54" s="334"/>
      <c r="L54" s="334"/>
      <c r="M54" s="334"/>
      <c r="N54" s="334"/>
      <c r="O54" s="335"/>
      <c r="P54" s="335"/>
    </row>
    <row r="55" spans="1:31" x14ac:dyDescent="0.2">
      <c r="A55" s="332" t="s">
        <v>774</v>
      </c>
      <c r="B55" s="332"/>
      <c r="C55" s="332"/>
      <c r="D55" s="332"/>
      <c r="E55" s="332"/>
      <c r="F55" s="332"/>
      <c r="G55" s="332"/>
      <c r="J55" s="333"/>
      <c r="K55" s="334"/>
      <c r="L55" s="334"/>
      <c r="M55" s="334"/>
      <c r="N55" s="334"/>
      <c r="O55" s="335"/>
      <c r="P55" s="335"/>
    </row>
    <row r="56" spans="1:31" x14ac:dyDescent="0.2">
      <c r="A56" s="332" t="s">
        <v>775</v>
      </c>
      <c r="B56" s="332" t="s">
        <v>765</v>
      </c>
      <c r="C56" s="332" t="s">
        <v>767</v>
      </c>
      <c r="D56" s="332" t="s">
        <v>766</v>
      </c>
      <c r="E56" s="332" t="s">
        <v>768</v>
      </c>
      <c r="F56" s="332" t="s">
        <v>777</v>
      </c>
      <c r="G56" s="332" t="s">
        <v>778</v>
      </c>
      <c r="J56" s="333"/>
      <c r="K56" s="334"/>
      <c r="L56" s="334"/>
      <c r="M56" s="334"/>
      <c r="N56" s="334"/>
      <c r="O56" s="335"/>
      <c r="P56" s="335"/>
    </row>
    <row r="57" spans="1:31" x14ac:dyDescent="0.2">
      <c r="A57" s="332">
        <v>120</v>
      </c>
      <c r="B57" s="332">
        <v>-1.32524223030142E-7</v>
      </c>
      <c r="C57" s="332">
        <v>7.2739512199040532E-8</v>
      </c>
      <c r="D57" s="332">
        <v>8.3566780672325565E-8</v>
      </c>
      <c r="E57" s="332">
        <v>5.3432668731788112E-8</v>
      </c>
      <c r="F57" s="332">
        <v>2.010616190129098</v>
      </c>
      <c r="G57" s="332">
        <v>2.0013114895031179</v>
      </c>
      <c r="J57" s="333">
        <f>A57</f>
        <v>120</v>
      </c>
      <c r="K57" s="334">
        <f>B57*1000000</f>
        <v>-0.132524223030142</v>
      </c>
      <c r="L57" s="334">
        <f>C57*1000000</f>
        <v>7.2739512199040526E-2</v>
      </c>
      <c r="M57" s="334">
        <f>D57*1000000</f>
        <v>8.3566780672325564E-2</v>
      </c>
      <c r="N57" s="334">
        <f>1000000*E57</f>
        <v>5.3432668731788112E-2</v>
      </c>
      <c r="O57" s="335">
        <f>F57</f>
        <v>2.010616190129098</v>
      </c>
      <c r="P57" s="335">
        <f>G57</f>
        <v>2.0013114895031179</v>
      </c>
      <c r="R57" s="337">
        <f>ReportTables!N65</f>
        <v>119.66667364000001</v>
      </c>
      <c r="S57" s="338">
        <f>ReportTables!O65</f>
        <v>-0.10273283205552934</v>
      </c>
      <c r="T57" s="338">
        <f>ReportTables!P65</f>
        <v>2.6678024887283512E-2</v>
      </c>
      <c r="U57" s="338">
        <f>ReportTables!Q65</f>
        <v>6.3042709768661845E-2</v>
      </c>
      <c r="V57" s="338">
        <f>ReportTables!R65</f>
        <v>4.24123032286342E-2</v>
      </c>
      <c r="W57" s="339">
        <f>ReportTables!S65</f>
        <v>2.0263618569050275</v>
      </c>
      <c r="X57" s="339">
        <f>ReportTables!T65</f>
        <v>2.0101927383100602</v>
      </c>
      <c r="Z57" s="6">
        <f t="shared" ref="Z57:Z63" si="39">K57-S57</f>
        <v>-2.9791390974612655E-2</v>
      </c>
      <c r="AA57" s="6">
        <f t="shared" ref="AA57:AA63" si="40">L57-T57</f>
        <v>4.6061487311757014E-2</v>
      </c>
      <c r="AB57" s="6">
        <f t="shared" ref="AB57:AB63" si="41">M57-U57</f>
        <v>2.0524070903663719E-2</v>
      </c>
      <c r="AC57" s="6">
        <f t="shared" ref="AC57:AC63" si="42">N57-V57</f>
        <v>1.1020365503153912E-2</v>
      </c>
      <c r="AD57" s="6">
        <f t="shared" ref="AD57:AD63" si="43">O57-W57</f>
        <v>-1.5745666775929479E-2</v>
      </c>
      <c r="AE57" s="6">
        <f t="shared" ref="AE57:AE63" si="44">P57-X57</f>
        <v>-8.881248806942299E-3</v>
      </c>
    </row>
    <row r="58" spans="1:31" x14ac:dyDescent="0.2">
      <c r="A58" s="332">
        <v>100</v>
      </c>
      <c r="B58" s="332">
        <v>-1.2790843398776889E-7</v>
      </c>
      <c r="C58" s="332">
        <v>7.6405180539300007E-8</v>
      </c>
      <c r="D58" s="332">
        <v>8.4664871356186056E-8</v>
      </c>
      <c r="E58" s="332">
        <v>5.3360997494684717E-8</v>
      </c>
      <c r="F58" s="332">
        <v>2.0086274070271308</v>
      </c>
      <c r="G58" s="332">
        <v>2.001358976307678</v>
      </c>
      <c r="J58" s="333">
        <f t="shared" ref="J58:J63" si="45">A58</f>
        <v>100</v>
      </c>
      <c r="K58" s="334">
        <f t="shared" ref="K58:K63" si="46">B58*1000000</f>
        <v>-0.12790843398776888</v>
      </c>
      <c r="L58" s="334">
        <f t="shared" ref="L58:L63" si="47">C58*1000000</f>
        <v>7.6405180539300011E-2</v>
      </c>
      <c r="M58" s="334">
        <f t="shared" ref="M58:M63" si="48">D58*1000000</f>
        <v>8.4664871356186056E-2</v>
      </c>
      <c r="N58" s="334">
        <f t="shared" ref="N58:N63" si="49">1000000*E58</f>
        <v>5.3360997494684717E-2</v>
      </c>
      <c r="O58" s="335">
        <f t="shared" ref="O58:O63" si="50">F58</f>
        <v>2.0086274070271308</v>
      </c>
      <c r="P58" s="335">
        <f t="shared" ref="P58:P63" si="51">G58</f>
        <v>2.001358976307678</v>
      </c>
      <c r="R58" s="337">
        <f>ReportTables!N66</f>
        <v>100.02898456</v>
      </c>
      <c r="S58" s="338">
        <f>ReportTables!O66</f>
        <v>-8.2498579719605572E-2</v>
      </c>
      <c r="T58" s="338">
        <f>ReportTables!P66</f>
        <v>1.6971980492755709E-2</v>
      </c>
      <c r="U58" s="338">
        <f>ReportTables!Q66</f>
        <v>6.3549428150595902E-2</v>
      </c>
      <c r="V58" s="338">
        <f>ReportTables!R66</f>
        <v>4.2144355289216777E-2</v>
      </c>
      <c r="W58" s="339">
        <f>ReportTables!S66</f>
        <v>2.0246924740261383</v>
      </c>
      <c r="X58" s="339">
        <f>ReportTables!T66</f>
        <v>2.011242085361006</v>
      </c>
      <c r="Z58" s="6">
        <f t="shared" si="39"/>
        <v>-4.540985426816331E-2</v>
      </c>
      <c r="AA58" s="6">
        <f t="shared" si="40"/>
        <v>5.9433200046544302E-2</v>
      </c>
      <c r="AB58" s="6">
        <f t="shared" si="41"/>
        <v>2.1115443205590154E-2</v>
      </c>
      <c r="AC58" s="6">
        <f t="shared" si="42"/>
        <v>1.121664220546794E-2</v>
      </c>
      <c r="AD58" s="6">
        <f t="shared" si="43"/>
        <v>-1.6065066999007449E-2</v>
      </c>
      <c r="AE58" s="6">
        <f t="shared" si="44"/>
        <v>-9.8831090533280097E-3</v>
      </c>
    </row>
    <row r="59" spans="1:31" x14ac:dyDescent="0.2">
      <c r="A59" s="332">
        <v>60</v>
      </c>
      <c r="B59" s="332">
        <v>-9.1916502562617265E-8</v>
      </c>
      <c r="C59" s="332">
        <v>4.9238599498841687E-8</v>
      </c>
      <c r="D59" s="332">
        <v>8.9678211587741791E-8</v>
      </c>
      <c r="E59" s="332">
        <v>5.2541841154063197E-8</v>
      </c>
      <c r="F59" s="332">
        <v>2.0023983636650589</v>
      </c>
      <c r="G59" s="332">
        <v>2.001942130591249</v>
      </c>
      <c r="J59" s="333">
        <f t="shared" si="45"/>
        <v>60</v>
      </c>
      <c r="K59" s="334">
        <f t="shared" si="46"/>
        <v>-9.1916502562617269E-2</v>
      </c>
      <c r="L59" s="334">
        <f t="shared" si="47"/>
        <v>4.9238599498841684E-2</v>
      </c>
      <c r="M59" s="334">
        <f t="shared" si="48"/>
        <v>8.9678211587741793E-2</v>
      </c>
      <c r="N59" s="334">
        <f t="shared" si="49"/>
        <v>5.2541841154063199E-2</v>
      </c>
      <c r="O59" s="335">
        <f t="shared" si="50"/>
        <v>2.0023983636650589</v>
      </c>
      <c r="P59" s="335">
        <f t="shared" si="51"/>
        <v>2.001942130591249</v>
      </c>
      <c r="R59" s="337">
        <f>ReportTables!N67</f>
        <v>60.015608854</v>
      </c>
      <c r="S59" s="338">
        <f>ReportTables!O67</f>
        <v>-5.4520588644240149E-2</v>
      </c>
      <c r="T59" s="338">
        <f>ReportTables!P67</f>
        <v>4.9589713461817555E-3</v>
      </c>
      <c r="U59" s="338">
        <f>ReportTables!Q67</f>
        <v>6.6637704507599788E-2</v>
      </c>
      <c r="V59" s="338">
        <f>ReportTables!R67</f>
        <v>4.1806399878728424E-2</v>
      </c>
      <c r="W59" s="339">
        <f>ReportTables!S67</f>
        <v>2.017543670309184</v>
      </c>
      <c r="X59" s="339">
        <f>ReportTables!T67</f>
        <v>2.0122204486715147</v>
      </c>
      <c r="Z59" s="6">
        <f t="shared" si="39"/>
        <v>-3.739591391837712E-2</v>
      </c>
      <c r="AA59" s="6">
        <f t="shared" si="40"/>
        <v>4.4279628152659928E-2</v>
      </c>
      <c r="AB59" s="6">
        <f t="shared" si="41"/>
        <v>2.3040507080142006E-2</v>
      </c>
      <c r="AC59" s="6">
        <f t="shared" si="42"/>
        <v>1.0735441275334774E-2</v>
      </c>
      <c r="AD59" s="6">
        <f t="shared" si="43"/>
        <v>-1.5145306644125167E-2</v>
      </c>
      <c r="AE59" s="6">
        <f t="shared" si="44"/>
        <v>-1.0278318080265691E-2</v>
      </c>
    </row>
    <row r="60" spans="1:31" x14ac:dyDescent="0.2">
      <c r="A60" s="332">
        <v>40</v>
      </c>
      <c r="B60" s="332">
        <v>-5.9281417057416172E-8</v>
      </c>
      <c r="C60" s="332">
        <v>5.164241814424279E-8</v>
      </c>
      <c r="D60" s="332">
        <v>9.4368773542155482E-8</v>
      </c>
      <c r="E60" s="332">
        <v>5.4243639237632698E-8</v>
      </c>
      <c r="F60" s="332">
        <v>1.9988849621586431</v>
      </c>
      <c r="G60" s="332">
        <v>1.9982693427202221</v>
      </c>
      <c r="J60" s="333">
        <f t="shared" si="45"/>
        <v>40</v>
      </c>
      <c r="K60" s="334">
        <f t="shared" si="46"/>
        <v>-5.9281417057416172E-2</v>
      </c>
      <c r="L60" s="334">
        <f t="shared" si="47"/>
        <v>5.1642418144242787E-2</v>
      </c>
      <c r="M60" s="334">
        <f t="shared" si="48"/>
        <v>9.4368773542155476E-2</v>
      </c>
      <c r="N60" s="334">
        <f t="shared" si="49"/>
        <v>5.4243639237632695E-2</v>
      </c>
      <c r="O60" s="335">
        <f t="shared" si="50"/>
        <v>1.9988849621586431</v>
      </c>
      <c r="P60" s="335">
        <f t="shared" si="51"/>
        <v>1.9982693427202221</v>
      </c>
      <c r="R60" s="337">
        <f>ReportTables!N68</f>
        <v>39.986475329999998</v>
      </c>
      <c r="S60" s="338">
        <f>ReportTables!O68</f>
        <v>-3.330705314182917E-2</v>
      </c>
      <c r="T60" s="338">
        <f>ReportTables!P68</f>
        <v>6.9880834743435071E-3</v>
      </c>
      <c r="U60" s="338">
        <f>ReportTables!Q68</f>
        <v>6.9942016575399127E-2</v>
      </c>
      <c r="V60" s="338">
        <f>ReportTables!R68</f>
        <v>4.2526350676414568E-2</v>
      </c>
      <c r="W60" s="339">
        <f>ReportTables!S68</f>
        <v>2.0119783156693543</v>
      </c>
      <c r="X60" s="339">
        <f>ReportTables!T68</f>
        <v>2.0096323783966725</v>
      </c>
      <c r="Z60" s="6">
        <f t="shared" si="39"/>
        <v>-2.5974363915587002E-2</v>
      </c>
      <c r="AA60" s="6">
        <f t="shared" si="40"/>
        <v>4.4654334669899279E-2</v>
      </c>
      <c r="AB60" s="6">
        <f t="shared" si="41"/>
        <v>2.4426756966756349E-2</v>
      </c>
      <c r="AC60" s="6">
        <f t="shared" si="42"/>
        <v>1.1717288561218127E-2</v>
      </c>
      <c r="AD60" s="6">
        <f t="shared" si="43"/>
        <v>-1.309335351071117E-2</v>
      </c>
      <c r="AE60" s="6">
        <f t="shared" si="44"/>
        <v>-1.1363035676450473E-2</v>
      </c>
    </row>
    <row r="61" spans="1:31" x14ac:dyDescent="0.2">
      <c r="A61" s="332">
        <v>20</v>
      </c>
      <c r="B61" s="332">
        <v>-1.570449797080153E-8</v>
      </c>
      <c r="C61" s="332">
        <v>4.5975081838352437E-8</v>
      </c>
      <c r="D61" s="332">
        <v>1.0549385739009031E-7</v>
      </c>
      <c r="E61" s="332">
        <v>6.3734336261393608E-8</v>
      </c>
      <c r="F61" s="332">
        <v>1.9934908191526031</v>
      </c>
      <c r="G61" s="332">
        <v>1.9921150361615441</v>
      </c>
      <c r="J61" s="333">
        <f t="shared" si="45"/>
        <v>20</v>
      </c>
      <c r="K61" s="334">
        <f t="shared" si="46"/>
        <v>-1.5704497970801531E-2</v>
      </c>
      <c r="L61" s="334">
        <f t="shared" si="47"/>
        <v>4.5975081838352437E-2</v>
      </c>
      <c r="M61" s="334">
        <f t="shared" si="48"/>
        <v>0.1054938573900903</v>
      </c>
      <c r="N61" s="334">
        <f t="shared" si="49"/>
        <v>6.3734336261393604E-2</v>
      </c>
      <c r="O61" s="335">
        <f t="shared" si="50"/>
        <v>1.9934908191526031</v>
      </c>
      <c r="P61" s="335">
        <f t="shared" si="51"/>
        <v>1.9921150361615441</v>
      </c>
      <c r="R61" s="337">
        <f>ReportTables!N69</f>
        <v>20.004374869999999</v>
      </c>
      <c r="S61" s="338">
        <f>ReportTables!O69</f>
        <v>1.2524470562496524E-2</v>
      </c>
      <c r="T61" s="338">
        <f>ReportTables!P69</f>
        <v>-2.1786290507728297E-2</v>
      </c>
      <c r="U61" s="338">
        <f>ReportTables!Q69</f>
        <v>7.6671912002612558E-2</v>
      </c>
      <c r="V61" s="338">
        <f>ReportTables!R69</f>
        <v>4.7829129009967358E-2</v>
      </c>
      <c r="W61" s="339">
        <f>ReportTables!S69</f>
        <v>2.0066556396130513</v>
      </c>
      <c r="X61" s="339">
        <f>ReportTables!T69</f>
        <v>2.0008717621827912</v>
      </c>
      <c r="Z61" s="6">
        <f t="shared" si="39"/>
        <v>-2.8228968533298055E-2</v>
      </c>
      <c r="AA61" s="6">
        <f t="shared" si="40"/>
        <v>6.7761372346080734E-2</v>
      </c>
      <c r="AB61" s="6">
        <f t="shared" si="41"/>
        <v>2.8821945387477746E-2</v>
      </c>
      <c r="AC61" s="6">
        <f t="shared" si="42"/>
        <v>1.5905207251426245E-2</v>
      </c>
      <c r="AD61" s="6">
        <f t="shared" si="43"/>
        <v>-1.3164820460448201E-2</v>
      </c>
      <c r="AE61" s="6">
        <f t="shared" si="44"/>
        <v>-8.7567260212471076E-3</v>
      </c>
    </row>
    <row r="62" spans="1:31" x14ac:dyDescent="0.2">
      <c r="A62" s="332">
        <v>10</v>
      </c>
      <c r="B62" s="332">
        <v>6.6000918692158191E-9</v>
      </c>
      <c r="C62" s="332">
        <v>2.1479622011691232E-8</v>
      </c>
      <c r="D62" s="332">
        <v>1.273733686816915E-7</v>
      </c>
      <c r="E62" s="332">
        <v>8.7218253581206677E-8</v>
      </c>
      <c r="F62" s="332">
        <v>1.992440900387157</v>
      </c>
      <c r="G62" s="332">
        <v>2.034915652963408</v>
      </c>
      <c r="J62" s="333">
        <f t="shared" si="45"/>
        <v>10</v>
      </c>
      <c r="K62" s="334">
        <f t="shared" si="46"/>
        <v>6.6000918692158189E-3</v>
      </c>
      <c r="L62" s="334">
        <f t="shared" si="47"/>
        <v>2.1479622011691232E-2</v>
      </c>
      <c r="M62" s="334">
        <f t="shared" si="48"/>
        <v>0.1273733686816915</v>
      </c>
      <c r="N62" s="334">
        <f t="shared" si="49"/>
        <v>8.7218253581206676E-2</v>
      </c>
      <c r="O62" s="335">
        <f t="shared" si="50"/>
        <v>1.992440900387157</v>
      </c>
      <c r="P62" s="335">
        <f t="shared" si="51"/>
        <v>2.034915652963408</v>
      </c>
      <c r="R62" s="337">
        <f>ReportTables!N70</f>
        <v>10.014578373999999</v>
      </c>
      <c r="S62" s="338">
        <f>ReportTables!O70</f>
        <v>3.9200285856382265E-2</v>
      </c>
      <c r="T62" s="338">
        <f>ReportTables!P70</f>
        <v>-2.690834427300209E-2</v>
      </c>
      <c r="U62" s="338">
        <f>ReportTables!Q70</f>
        <v>8.8250012507459716E-2</v>
      </c>
      <c r="V62" s="338">
        <f>ReportTables!R70</f>
        <v>5.9697499291004485E-2</v>
      </c>
      <c r="W62" s="339">
        <f>ReportTables!S70</f>
        <v>2.0052590450349554</v>
      </c>
      <c r="X62" s="339">
        <f>ReportTables!T70</f>
        <v>2.0466137191353866</v>
      </c>
      <c r="Z62" s="6">
        <f t="shared" si="39"/>
        <v>-3.2600193987166445E-2</v>
      </c>
      <c r="AA62" s="6">
        <f t="shared" si="40"/>
        <v>4.8387966284693322E-2</v>
      </c>
      <c r="AB62" s="6">
        <f t="shared" si="41"/>
        <v>3.912335617423178E-2</v>
      </c>
      <c r="AC62" s="6">
        <f t="shared" si="42"/>
        <v>2.752075429020219E-2</v>
      </c>
      <c r="AD62" s="6">
        <f t="shared" si="43"/>
        <v>-1.2818144647798402E-2</v>
      </c>
      <c r="AE62" s="6">
        <f t="shared" si="44"/>
        <v>-1.1698066171978549E-2</v>
      </c>
    </row>
    <row r="63" spans="1:31" x14ac:dyDescent="0.2">
      <c r="A63" s="332">
        <v>5</v>
      </c>
      <c r="B63" s="332">
        <v>5.644530256255006E-9</v>
      </c>
      <c r="C63" s="332">
        <v>3.2770557324865753E-8</v>
      </c>
      <c r="D63" s="332">
        <v>1.8116505972269761E-7</v>
      </c>
      <c r="E63" s="332">
        <v>1.5970202853927481E-7</v>
      </c>
      <c r="F63" s="332">
        <v>2.025839993286318</v>
      </c>
      <c r="G63" s="332">
        <v>2.0725002590240771</v>
      </c>
      <c r="J63" s="333">
        <f t="shared" si="45"/>
        <v>5</v>
      </c>
      <c r="K63" s="334">
        <f t="shared" si="46"/>
        <v>5.644530256255006E-3</v>
      </c>
      <c r="L63" s="334">
        <f t="shared" si="47"/>
        <v>3.2770557324865751E-2</v>
      </c>
      <c r="M63" s="334">
        <f t="shared" si="48"/>
        <v>0.18116505972269761</v>
      </c>
      <c r="N63" s="334">
        <f t="shared" si="49"/>
        <v>0.15970202853927482</v>
      </c>
      <c r="O63" s="335">
        <f t="shared" si="50"/>
        <v>2.025839993286318</v>
      </c>
      <c r="P63" s="335">
        <f t="shared" si="51"/>
        <v>2.0725002590240771</v>
      </c>
      <c r="R63" s="337">
        <f>ReportTables!N71</f>
        <v>5.0256175958</v>
      </c>
      <c r="S63" s="338">
        <f>ReportTables!O71</f>
        <v>5.5034085585151292E-2</v>
      </c>
      <c r="T63" s="338">
        <f>ReportTables!P71</f>
        <v>-1.756844024903096E-2</v>
      </c>
      <c r="U63" s="338">
        <f>ReportTables!Q71</f>
        <v>0.11923637353251358</v>
      </c>
      <c r="V63" s="338">
        <f>ReportTables!R71</f>
        <v>0.10264144266930358</v>
      </c>
      <c r="W63" s="339">
        <f>ReportTables!S71</f>
        <v>2.0469264229865631</v>
      </c>
      <c r="X63" s="339">
        <f>ReportTables!T71</f>
        <v>2.1899766110961147</v>
      </c>
      <c r="Z63" s="6">
        <f t="shared" si="39"/>
        <v>-4.9389555328896287E-2</v>
      </c>
      <c r="AA63" s="6">
        <f t="shared" si="40"/>
        <v>5.0338997573896711E-2</v>
      </c>
      <c r="AB63" s="6">
        <f t="shared" si="41"/>
        <v>6.1928686190184032E-2</v>
      </c>
      <c r="AC63" s="6">
        <f t="shared" si="42"/>
        <v>5.7060585869971231E-2</v>
      </c>
      <c r="AD63" s="6">
        <f t="shared" si="43"/>
        <v>-2.1086429700245102E-2</v>
      </c>
      <c r="AE63" s="6">
        <f t="shared" si="44"/>
        <v>-0.11747635207203766</v>
      </c>
    </row>
    <row r="64" spans="1:31" x14ac:dyDescent="0.2">
      <c r="A64" s="332"/>
      <c r="B64" s="332"/>
      <c r="C64" s="332"/>
      <c r="D64" s="332"/>
      <c r="E64" s="332"/>
      <c r="F64" s="332"/>
      <c r="G64" s="332"/>
      <c r="J64" s="333"/>
      <c r="K64" s="334"/>
      <c r="L64" s="334"/>
      <c r="M64" s="334"/>
      <c r="N64" s="334"/>
      <c r="O64" s="335"/>
      <c r="P64" s="335"/>
    </row>
    <row r="65" spans="1:31" x14ac:dyDescent="0.2">
      <c r="A65" s="332" t="s">
        <v>770</v>
      </c>
      <c r="B65" s="332"/>
      <c r="C65" s="332"/>
      <c r="D65" s="332"/>
      <c r="E65" s="332"/>
      <c r="F65" s="332"/>
      <c r="G65" s="332"/>
      <c r="J65" s="333"/>
      <c r="K65" s="334"/>
      <c r="L65" s="334"/>
      <c r="M65" s="334"/>
      <c r="N65" s="334"/>
      <c r="O65" s="335"/>
      <c r="P65" s="335"/>
    </row>
    <row r="66" spans="1:31" x14ac:dyDescent="0.2">
      <c r="A66" s="332" t="s">
        <v>775</v>
      </c>
      <c r="B66" s="332" t="s">
        <v>765</v>
      </c>
      <c r="C66" s="332" t="s">
        <v>767</v>
      </c>
      <c r="D66" s="332" t="s">
        <v>766</v>
      </c>
      <c r="E66" s="332" t="s">
        <v>768</v>
      </c>
      <c r="F66" s="332" t="s">
        <v>777</v>
      </c>
      <c r="G66" s="332" t="s">
        <v>778</v>
      </c>
      <c r="J66" s="333"/>
      <c r="K66" s="334"/>
      <c r="L66" s="334"/>
      <c r="M66" s="334"/>
      <c r="N66" s="334"/>
      <c r="O66" s="335"/>
      <c r="P66" s="335"/>
    </row>
    <row r="67" spans="1:31" x14ac:dyDescent="0.2">
      <c r="A67" s="332">
        <v>120</v>
      </c>
      <c r="B67" s="332">
        <v>1.350982772320089E-7</v>
      </c>
      <c r="C67" s="332">
        <v>1.183688005814699E-7</v>
      </c>
      <c r="D67" s="332">
        <v>6.6918147970606459E-8</v>
      </c>
      <c r="E67" s="332">
        <v>4.389123226249111E-8</v>
      </c>
      <c r="F67" s="332">
        <v>2.040904447321469</v>
      </c>
      <c r="G67" s="332">
        <v>2.0226928145777481</v>
      </c>
      <c r="J67" s="333">
        <f>A67</f>
        <v>120</v>
      </c>
      <c r="K67" s="334">
        <f>B67*1000000</f>
        <v>0.1350982772320089</v>
      </c>
      <c r="L67" s="334">
        <f>C67*1000000</f>
        <v>0.1183688005814699</v>
      </c>
      <c r="M67" s="334">
        <f>D67*1000000</f>
        <v>6.6918147970606454E-2</v>
      </c>
      <c r="N67" s="334">
        <f>1000000*E67</f>
        <v>4.3891232262491107E-2</v>
      </c>
      <c r="O67" s="335">
        <f>F67</f>
        <v>2.040904447321469</v>
      </c>
      <c r="P67" s="335">
        <f>G67</f>
        <v>2.0226928145777481</v>
      </c>
      <c r="R67" s="337">
        <f>ReportTables!N23</f>
        <v>119.92392908000001</v>
      </c>
      <c r="S67" s="338">
        <f>ReportTables!O23</f>
        <v>0.1351880117726019</v>
      </c>
      <c r="T67" s="338">
        <f>ReportTables!P23</f>
        <v>8.4429064204047777E-2</v>
      </c>
      <c r="U67" s="338">
        <f>ReportTables!Q23</f>
        <v>5.3897749396403002E-2</v>
      </c>
      <c r="V67" s="338">
        <f>ReportTables!R23</f>
        <v>3.6734430074550142E-2</v>
      </c>
      <c r="W67" s="339">
        <f>ReportTables!S23</f>
        <v>2.0848394445695164</v>
      </c>
      <c r="X67" s="339">
        <f>ReportTables!T23</f>
        <v>2.0476166639059827</v>
      </c>
      <c r="Z67" s="6">
        <f t="shared" ref="Z67:Z73" si="52">K67-S67</f>
        <v>-8.9734540592995016E-5</v>
      </c>
      <c r="AA67" s="6">
        <f t="shared" ref="AA67:AA73" si="53">L67-T67</f>
        <v>3.3939736377422119E-2</v>
      </c>
      <c r="AB67" s="6">
        <f t="shared" ref="AB67:AB73" si="54">M67-U67</f>
        <v>1.3020398574203451E-2</v>
      </c>
      <c r="AC67" s="6">
        <f t="shared" ref="AC67:AC73" si="55">N67-V67</f>
        <v>7.1568021879409652E-3</v>
      </c>
      <c r="AD67" s="6">
        <f t="shared" ref="AD67:AD73" si="56">O67-W67</f>
        <v>-4.3934997248047392E-2</v>
      </c>
      <c r="AE67" s="6">
        <f t="shared" ref="AE67:AE73" si="57">P67-X67</f>
        <v>-2.492384932823466E-2</v>
      </c>
    </row>
    <row r="68" spans="1:31" x14ac:dyDescent="0.2">
      <c r="A68" s="332">
        <v>100</v>
      </c>
      <c r="B68" s="332">
        <v>1.5021223730615739E-7</v>
      </c>
      <c r="C68" s="332">
        <v>1.1781134305465589E-7</v>
      </c>
      <c r="D68" s="332">
        <v>6.8068995674909864E-8</v>
      </c>
      <c r="E68" s="332">
        <v>4.372242846796103E-8</v>
      </c>
      <c r="F68" s="332">
        <v>2.036767749193328</v>
      </c>
      <c r="G68" s="332">
        <v>2.023307990543477</v>
      </c>
      <c r="J68" s="333">
        <f t="shared" ref="J68:J73" si="58">A68</f>
        <v>100</v>
      </c>
      <c r="K68" s="334">
        <f t="shared" ref="K68:K73" si="59">B68*1000000</f>
        <v>0.1502122373061574</v>
      </c>
      <c r="L68" s="334">
        <f t="shared" ref="L68:L73" si="60">C68*1000000</f>
        <v>0.11781134305465589</v>
      </c>
      <c r="M68" s="334">
        <f t="shared" ref="M68:M73" si="61">D68*1000000</f>
        <v>6.8068995674909857E-2</v>
      </c>
      <c r="N68" s="334">
        <f t="shared" ref="N68:N73" si="62">1000000*E68</f>
        <v>4.3722428467961032E-2</v>
      </c>
      <c r="O68" s="335">
        <f t="shared" ref="O68:O73" si="63">F68</f>
        <v>2.036767749193328</v>
      </c>
      <c r="P68" s="335">
        <f t="shared" ref="P68:P73" si="64">G68</f>
        <v>2.023307990543477</v>
      </c>
      <c r="R68" s="337">
        <f>ReportTables!N24</f>
        <v>100.09320314000001</v>
      </c>
      <c r="S68" s="338">
        <f>ReportTables!O24</f>
        <v>0.1503019718467504</v>
      </c>
      <c r="T68" s="338">
        <f>ReportTables!P24</f>
        <v>8.3871606677233645E-2</v>
      </c>
      <c r="U68" s="338">
        <f>ReportTables!Q24</f>
        <v>5.4646326564834619E-2</v>
      </c>
      <c r="V68" s="338">
        <f>ReportTables!R24</f>
        <v>3.6535529854190993E-2</v>
      </c>
      <c r="W68" s="339">
        <f>ReportTables!S24</f>
        <v>2.0794639446429914</v>
      </c>
      <c r="X68" s="339">
        <f>ReportTables!T24</f>
        <v>2.0494297735740616</v>
      </c>
      <c r="Z68" s="6">
        <f t="shared" si="52"/>
        <v>-8.9734540592995016E-5</v>
      </c>
      <c r="AA68" s="6">
        <f t="shared" si="53"/>
        <v>3.3939736377422244E-2</v>
      </c>
      <c r="AB68" s="6">
        <f t="shared" si="54"/>
        <v>1.3422669110075239E-2</v>
      </c>
      <c r="AC68" s="6">
        <f t="shared" si="55"/>
        <v>7.1868986137700389E-3</v>
      </c>
      <c r="AD68" s="6">
        <f t="shared" si="56"/>
        <v>-4.269619544966341E-2</v>
      </c>
      <c r="AE68" s="6">
        <f t="shared" si="57"/>
        <v>-2.6121783030584655E-2</v>
      </c>
    </row>
    <row r="69" spans="1:31" x14ac:dyDescent="0.2">
      <c r="A69" s="332">
        <v>60</v>
      </c>
      <c r="B69" s="332">
        <v>2.024604444546372E-7</v>
      </c>
      <c r="C69" s="332">
        <v>9.7934633322640291E-8</v>
      </c>
      <c r="D69" s="332">
        <v>7.3484397530809047E-8</v>
      </c>
      <c r="E69" s="332">
        <v>4.3068259473048193E-8</v>
      </c>
      <c r="F69" s="332">
        <v>2.0241945131594159</v>
      </c>
      <c r="G69" s="332">
        <v>2.022875601046247</v>
      </c>
      <c r="J69" s="333">
        <f t="shared" si="58"/>
        <v>60</v>
      </c>
      <c r="K69" s="334">
        <f t="shared" si="59"/>
        <v>0.20246044445463721</v>
      </c>
      <c r="L69" s="334">
        <f t="shared" si="60"/>
        <v>9.7934633322640297E-2</v>
      </c>
      <c r="M69" s="334">
        <f t="shared" si="61"/>
        <v>7.3484397530809042E-2</v>
      </c>
      <c r="N69" s="334">
        <f t="shared" si="62"/>
        <v>4.3068259473048195E-2</v>
      </c>
      <c r="O69" s="335">
        <f t="shared" si="63"/>
        <v>2.0241945131594159</v>
      </c>
      <c r="P69" s="335">
        <f t="shared" si="64"/>
        <v>2.022875601046247</v>
      </c>
      <c r="R69" s="337">
        <f>ReportTables!N25</f>
        <v>60.035549210000006</v>
      </c>
      <c r="S69" s="338">
        <f>ReportTables!O25</f>
        <v>0.2025501789952302</v>
      </c>
      <c r="T69" s="338">
        <f>ReportTables!P25</f>
        <v>6.3994896945218094E-2</v>
      </c>
      <c r="U69" s="338">
        <f>ReportTables!Q25</f>
        <v>5.8447984829215816E-2</v>
      </c>
      <c r="V69" s="338">
        <f>ReportTables!R25</f>
        <v>3.6121648957093078E-2</v>
      </c>
      <c r="W69" s="339">
        <f>ReportTables!S25</f>
        <v>2.0611025460662691</v>
      </c>
      <c r="X69" s="339">
        <f>ReportTables!T25</f>
        <v>2.0495295201600654</v>
      </c>
      <c r="Z69" s="6">
        <f t="shared" si="52"/>
        <v>-8.9734540592995016E-5</v>
      </c>
      <c r="AA69" s="6">
        <f t="shared" si="53"/>
        <v>3.3939736377422203E-2</v>
      </c>
      <c r="AB69" s="6">
        <f t="shared" si="54"/>
        <v>1.5036412701593227E-2</v>
      </c>
      <c r="AC69" s="6">
        <f t="shared" si="55"/>
        <v>6.9466105159551178E-3</v>
      </c>
      <c r="AD69" s="6">
        <f t="shared" si="56"/>
        <v>-3.6908032906853183E-2</v>
      </c>
      <c r="AE69" s="6">
        <f t="shared" si="57"/>
        <v>-2.6653919113818425E-2</v>
      </c>
    </row>
    <row r="70" spans="1:31" x14ac:dyDescent="0.2">
      <c r="A70" s="332">
        <v>40</v>
      </c>
      <c r="B70" s="332">
        <v>2.3910280654074438E-7</v>
      </c>
      <c r="C70" s="332">
        <v>1.003971430857649E-7</v>
      </c>
      <c r="D70" s="332">
        <v>7.8236702507570721E-8</v>
      </c>
      <c r="E70" s="332">
        <v>4.4474263327940902E-8</v>
      </c>
      <c r="F70" s="332">
        <v>2.0184399764217118</v>
      </c>
      <c r="G70" s="332">
        <v>2.0173632138125761</v>
      </c>
      <c r="J70" s="333">
        <f t="shared" si="58"/>
        <v>40</v>
      </c>
      <c r="K70" s="334">
        <f t="shared" si="59"/>
        <v>0.23910280654074439</v>
      </c>
      <c r="L70" s="334">
        <f t="shared" si="60"/>
        <v>0.1003971430857649</v>
      </c>
      <c r="M70" s="334">
        <f t="shared" si="61"/>
        <v>7.8236702507570727E-2</v>
      </c>
      <c r="N70" s="334">
        <f t="shared" si="62"/>
        <v>4.4474263327940904E-2</v>
      </c>
      <c r="O70" s="335">
        <f t="shared" si="63"/>
        <v>2.0184399764217118</v>
      </c>
      <c r="P70" s="335">
        <f t="shared" si="64"/>
        <v>2.0173632138125761</v>
      </c>
      <c r="R70" s="337">
        <f>ReportTables!N26</f>
        <v>40.057213714</v>
      </c>
      <c r="S70" s="338">
        <f>ReportTables!O26</f>
        <v>0.23919254108133742</v>
      </c>
      <c r="T70" s="338">
        <f>ReportTables!P26</f>
        <v>6.6457406708342742E-2</v>
      </c>
      <c r="U70" s="338">
        <f>ReportTables!Q26</f>
        <v>6.1860459031790264E-2</v>
      </c>
      <c r="V70" s="338">
        <f>ReportTables!R26</f>
        <v>3.6954087463632247E-2</v>
      </c>
      <c r="W70" s="339">
        <f>ReportTables!S26</f>
        <v>2.052571720706232</v>
      </c>
      <c r="X70" s="339">
        <f>ReportTables!T26</f>
        <v>2.0436977238018081</v>
      </c>
      <c r="Z70" s="6">
        <f t="shared" si="52"/>
        <v>-8.9734540593022771E-5</v>
      </c>
      <c r="AA70" s="6">
        <f t="shared" si="53"/>
        <v>3.3939736377422161E-2</v>
      </c>
      <c r="AB70" s="6">
        <f t="shared" si="54"/>
        <v>1.6376243475780462E-2</v>
      </c>
      <c r="AC70" s="6">
        <f t="shared" si="55"/>
        <v>7.5201758643086564E-3</v>
      </c>
      <c r="AD70" s="6">
        <f t="shared" si="56"/>
        <v>-3.4131744284520149E-2</v>
      </c>
      <c r="AE70" s="6">
        <f t="shared" si="57"/>
        <v>-2.6334509989232036E-2</v>
      </c>
    </row>
    <row r="71" spans="1:31" x14ac:dyDescent="0.2">
      <c r="A71" s="332">
        <v>20</v>
      </c>
      <c r="B71" s="332">
        <v>2.9947867532680981E-7</v>
      </c>
      <c r="C71" s="332">
        <v>9.4083519966816495E-8</v>
      </c>
      <c r="D71" s="332">
        <v>8.8605003394118067E-8</v>
      </c>
      <c r="E71" s="332">
        <v>5.1806776314678752E-8</v>
      </c>
      <c r="F71" s="332">
        <v>2.0105703853233461</v>
      </c>
      <c r="G71" s="332">
        <v>2.0098328050407579</v>
      </c>
      <c r="J71" s="333">
        <f t="shared" si="58"/>
        <v>20</v>
      </c>
      <c r="K71" s="334">
        <f t="shared" si="59"/>
        <v>0.29947867532680983</v>
      </c>
      <c r="L71" s="334">
        <f t="shared" si="60"/>
        <v>9.4083519966816492E-2</v>
      </c>
      <c r="M71" s="334">
        <f t="shared" si="61"/>
        <v>8.8605003394118073E-2</v>
      </c>
      <c r="N71" s="334">
        <f t="shared" si="62"/>
        <v>5.1806776314678754E-2</v>
      </c>
      <c r="O71" s="335">
        <f t="shared" si="63"/>
        <v>2.0105703853233461</v>
      </c>
      <c r="P71" s="335">
        <f t="shared" si="64"/>
        <v>2.0098328050407579</v>
      </c>
      <c r="R71" s="337">
        <f>ReportTables!N27</f>
        <v>20.152266273999999</v>
      </c>
      <c r="S71" s="338">
        <f>ReportTables!O27</f>
        <v>0.29956840986740263</v>
      </c>
      <c r="T71" s="338">
        <f>ReportTables!P27</f>
        <v>6.014378358939431E-2</v>
      </c>
      <c r="U71" s="338">
        <f>ReportTables!Q27</f>
        <v>6.9474214075026144E-2</v>
      </c>
      <c r="V71" s="338">
        <f>ReportTables!R27</f>
        <v>4.2465694740966231E-2</v>
      </c>
      <c r="W71" s="339">
        <f>ReportTables!S27</f>
        <v>2.0406660779457515</v>
      </c>
      <c r="X71" s="339">
        <f>ReportTables!T27</f>
        <v>2.0293309257838774</v>
      </c>
      <c r="Z71" s="6">
        <f t="shared" si="52"/>
        <v>-8.9734540592800727E-5</v>
      </c>
      <c r="AA71" s="6">
        <f t="shared" si="53"/>
        <v>3.3939736377422182E-2</v>
      </c>
      <c r="AB71" s="6">
        <f t="shared" si="54"/>
        <v>1.9130789319091929E-2</v>
      </c>
      <c r="AC71" s="6">
        <f t="shared" si="55"/>
        <v>9.341081573712523E-3</v>
      </c>
      <c r="AD71" s="6">
        <f t="shared" si="56"/>
        <v>-3.0095692622405412E-2</v>
      </c>
      <c r="AE71" s="6">
        <f t="shared" si="57"/>
        <v>-1.9498120743119518E-2</v>
      </c>
    </row>
    <row r="72" spans="1:31" x14ac:dyDescent="0.2">
      <c r="A72" s="332">
        <v>10</v>
      </c>
      <c r="B72" s="332">
        <v>3.3922572836284018E-7</v>
      </c>
      <c r="C72" s="332">
        <v>6.7477565468097195E-8</v>
      </c>
      <c r="D72" s="332">
        <v>1.0694610662859951E-7</v>
      </c>
      <c r="E72" s="332">
        <v>7.2493383731179366E-8</v>
      </c>
      <c r="F72" s="332">
        <v>2.0087955091056542</v>
      </c>
      <c r="G72" s="332">
        <v>2.0740222661637469</v>
      </c>
      <c r="J72" s="333">
        <f t="shared" si="58"/>
        <v>10</v>
      </c>
      <c r="K72" s="334">
        <f t="shared" si="59"/>
        <v>0.33922572836284021</v>
      </c>
      <c r="L72" s="334">
        <f t="shared" si="60"/>
        <v>6.7477565468097189E-2</v>
      </c>
      <c r="M72" s="334">
        <f t="shared" si="61"/>
        <v>0.1069461066285995</v>
      </c>
      <c r="N72" s="334">
        <f t="shared" si="62"/>
        <v>7.2493383731179362E-2</v>
      </c>
      <c r="O72" s="335">
        <f t="shared" si="63"/>
        <v>2.0087955091056542</v>
      </c>
      <c r="P72" s="335">
        <f t="shared" si="64"/>
        <v>2.0740222661637469</v>
      </c>
      <c r="R72" s="337">
        <f>ReportTables!N28</f>
        <v>9.9747214224</v>
      </c>
      <c r="S72" s="338">
        <f>ReportTables!O28</f>
        <v>0.33931546290343328</v>
      </c>
      <c r="T72" s="338">
        <f>ReportTables!P28</f>
        <v>3.3537829090675063E-2</v>
      </c>
      <c r="U72" s="338">
        <f>ReportTables!Q28</f>
        <v>8.2738043421273277E-2</v>
      </c>
      <c r="V72" s="338">
        <f>ReportTables!R28</f>
        <v>5.6699147924772625E-2</v>
      </c>
      <c r="W72" s="339">
        <f>ReportTables!S28</f>
        <v>2.0371886656561617</v>
      </c>
      <c r="X72" s="339">
        <f>ReportTables!T28</f>
        <v>2.1296577340014924</v>
      </c>
      <c r="Z72" s="6">
        <f t="shared" si="52"/>
        <v>-8.9734540593078282E-5</v>
      </c>
      <c r="AA72" s="6">
        <f t="shared" si="53"/>
        <v>3.3939736377422126E-2</v>
      </c>
      <c r="AB72" s="6">
        <f t="shared" si="54"/>
        <v>2.4208063207326228E-2</v>
      </c>
      <c r="AC72" s="6">
        <f t="shared" si="55"/>
        <v>1.5794235806406737E-2</v>
      </c>
      <c r="AD72" s="6">
        <f t="shared" si="56"/>
        <v>-2.8393156550507559E-2</v>
      </c>
      <c r="AE72" s="6">
        <f t="shared" si="57"/>
        <v>-5.5635467837745534E-2</v>
      </c>
    </row>
    <row r="73" spans="1:31" x14ac:dyDescent="0.2">
      <c r="A73" s="332">
        <v>5</v>
      </c>
      <c r="B73" s="332">
        <v>3.5259772675043189E-7</v>
      </c>
      <c r="C73" s="332">
        <v>8.9718032778837974E-8</v>
      </c>
      <c r="D73" s="332">
        <v>1.5253953502459709E-7</v>
      </c>
      <c r="E73" s="332">
        <v>1.330116803650391E-7</v>
      </c>
      <c r="F73" s="332">
        <v>2.0551802321506738</v>
      </c>
      <c r="G73" s="332">
        <v>2.1449806735603651</v>
      </c>
      <c r="J73" s="333">
        <f t="shared" si="58"/>
        <v>5</v>
      </c>
      <c r="K73" s="334">
        <f t="shared" si="59"/>
        <v>0.35259772675043188</v>
      </c>
      <c r="L73" s="334">
        <f t="shared" si="60"/>
        <v>8.9718032778837969E-2</v>
      </c>
      <c r="M73" s="334">
        <f t="shared" si="61"/>
        <v>0.15253953502459708</v>
      </c>
      <c r="N73" s="334">
        <f t="shared" si="62"/>
        <v>0.1330116803650391</v>
      </c>
      <c r="O73" s="335">
        <f t="shared" si="63"/>
        <v>2.0551802321506738</v>
      </c>
      <c r="P73" s="335">
        <f t="shared" si="64"/>
        <v>2.1449806735603651</v>
      </c>
      <c r="R73" s="337">
        <f>ReportTables!N29</f>
        <v>4.9441033636</v>
      </c>
      <c r="S73" s="338">
        <f>ReportTables!O29</f>
        <v>0.35538771066235075</v>
      </c>
      <c r="T73" s="338">
        <f>ReportTables!P29</f>
        <v>5.7768877602184486E-2</v>
      </c>
      <c r="U73" s="338">
        <f>ReportTables!Q29</f>
        <v>0.11702727332426571</v>
      </c>
      <c r="V73" s="338">
        <f>ReportTables!R29</f>
        <v>0.10320553409567072</v>
      </c>
      <c r="W73" s="339">
        <f>ReportTables!S29</f>
        <v>2.1104236635443741</v>
      </c>
      <c r="X73" s="339">
        <f>ReportTables!T29</f>
        <v>2.2860384123186219</v>
      </c>
      <c r="Z73" s="6">
        <f t="shared" si="52"/>
        <v>-2.7899839119188696E-3</v>
      </c>
      <c r="AA73" s="6">
        <f t="shared" si="53"/>
        <v>3.1949155176653483E-2</v>
      </c>
      <c r="AB73" s="6">
        <f t="shared" si="54"/>
        <v>3.5512261700331366E-2</v>
      </c>
      <c r="AC73" s="6">
        <f t="shared" si="55"/>
        <v>2.980614626936838E-2</v>
      </c>
      <c r="AD73" s="6">
        <f t="shared" si="56"/>
        <v>-5.5243431393700249E-2</v>
      </c>
      <c r="AE73" s="6">
        <f t="shared" si="57"/>
        <v>-0.14105773875825678</v>
      </c>
    </row>
    <row r="74" spans="1:31" x14ac:dyDescent="0.2">
      <c r="A74" s="332"/>
      <c r="B74" s="332"/>
      <c r="C74" s="332"/>
      <c r="D74" s="332"/>
      <c r="E74" s="332"/>
      <c r="F74" s="332"/>
      <c r="G74" s="332"/>
      <c r="J74" s="333"/>
      <c r="K74" s="334"/>
      <c r="L74" s="334"/>
      <c r="M74" s="334"/>
      <c r="N74" s="334"/>
      <c r="O74" s="335"/>
      <c r="P74" s="335"/>
    </row>
    <row r="75" spans="1:31" x14ac:dyDescent="0.2">
      <c r="A75" s="332" t="s">
        <v>771</v>
      </c>
      <c r="B75" s="332"/>
      <c r="C75" s="332"/>
      <c r="D75" s="332"/>
      <c r="E75" s="332"/>
      <c r="F75" s="332"/>
      <c r="G75" s="332"/>
      <c r="J75" s="333"/>
      <c r="K75" s="334"/>
      <c r="L75" s="334"/>
      <c r="M75" s="334"/>
      <c r="N75" s="334"/>
      <c r="O75" s="335"/>
      <c r="P75" s="335"/>
    </row>
    <row r="76" spans="1:31" x14ac:dyDescent="0.2">
      <c r="A76" s="332" t="s">
        <v>775</v>
      </c>
      <c r="B76" s="332" t="s">
        <v>765</v>
      </c>
      <c r="C76" s="332" t="s">
        <v>767</v>
      </c>
      <c r="D76" s="332" t="s">
        <v>766</v>
      </c>
      <c r="E76" s="332" t="s">
        <v>768</v>
      </c>
      <c r="F76" s="332" t="s">
        <v>777</v>
      </c>
      <c r="G76" s="332" t="s">
        <v>778</v>
      </c>
      <c r="J76" s="333"/>
      <c r="K76" s="334"/>
      <c r="L76" s="334"/>
      <c r="M76" s="334"/>
      <c r="N76" s="334"/>
      <c r="O76" s="335"/>
      <c r="P76" s="335"/>
    </row>
    <row r="77" spans="1:31" x14ac:dyDescent="0.2">
      <c r="A77" s="332">
        <v>120</v>
      </c>
      <c r="B77" s="332">
        <v>1.3429704405776871E-7</v>
      </c>
      <c r="C77" s="332">
        <v>1.1887251591178041E-7</v>
      </c>
      <c r="D77" s="332">
        <v>7.5682220779228615E-8</v>
      </c>
      <c r="E77" s="332">
        <v>4.9180483476274708E-8</v>
      </c>
      <c r="F77" s="332">
        <v>2.0223617448314419</v>
      </c>
      <c r="G77" s="332">
        <v>2.0088807604176049</v>
      </c>
      <c r="J77" s="333">
        <f>A77</f>
        <v>120</v>
      </c>
      <c r="K77" s="334">
        <f>B77*1000000</f>
        <v>0.13429704405776871</v>
      </c>
      <c r="L77" s="334">
        <f>C77*1000000</f>
        <v>0.11887251591178041</v>
      </c>
      <c r="M77" s="334">
        <f>D77*1000000</f>
        <v>7.5682220779228621E-2</v>
      </c>
      <c r="N77" s="334">
        <f>1000000*E77</f>
        <v>4.9180483476274704E-2</v>
      </c>
      <c r="O77" s="335">
        <f>F77</f>
        <v>2.0223617448314419</v>
      </c>
      <c r="P77" s="335">
        <f>G77</f>
        <v>2.0088807604176049</v>
      </c>
      <c r="R77" s="336"/>
      <c r="S77" s="52"/>
      <c r="T77" s="52"/>
      <c r="U77" s="52"/>
      <c r="V77" s="52"/>
      <c r="W77" s="99"/>
      <c r="X77" s="99"/>
      <c r="Z77" s="6"/>
      <c r="AA77" s="6"/>
      <c r="AB77" s="6"/>
      <c r="AC77" s="6"/>
      <c r="AD77" s="6"/>
      <c r="AE77" s="6"/>
    </row>
    <row r="78" spans="1:31" x14ac:dyDescent="0.2">
      <c r="A78" s="332">
        <v>100</v>
      </c>
      <c r="B78" s="332">
        <v>1.494110041319172E-7</v>
      </c>
      <c r="C78" s="332">
        <v>1.183150583849664E-7</v>
      </c>
      <c r="D78" s="332">
        <v>7.6915191326154935E-8</v>
      </c>
      <c r="E78" s="332">
        <v>4.9019173567916681E-8</v>
      </c>
      <c r="F78" s="332">
        <v>2.0192830161099762</v>
      </c>
      <c r="G78" s="332">
        <v>2.009283834099711</v>
      </c>
      <c r="J78" s="333">
        <f t="shared" ref="J78:J83" si="65">A78</f>
        <v>100</v>
      </c>
      <c r="K78" s="334">
        <f t="shared" ref="K78:K83" si="66">B78*1000000</f>
        <v>0.14941100413191721</v>
      </c>
      <c r="L78" s="334">
        <f t="shared" ref="L78:L83" si="67">C78*1000000</f>
        <v>0.11831505838496639</v>
      </c>
      <c r="M78" s="334">
        <f t="shared" ref="M78:M83" si="68">D78*1000000</f>
        <v>7.691519132615493E-2</v>
      </c>
      <c r="N78" s="334">
        <f t="shared" ref="N78:N83" si="69">1000000*E78</f>
        <v>4.9019173567916678E-2</v>
      </c>
      <c r="O78" s="335">
        <f t="shared" ref="O78:O83" si="70">F78</f>
        <v>2.0192830161099762</v>
      </c>
      <c r="P78" s="335">
        <f t="shared" ref="P78:P83" si="71">G78</f>
        <v>2.009283834099711</v>
      </c>
      <c r="R78" s="336"/>
      <c r="S78" s="52"/>
      <c r="T78" s="52"/>
      <c r="U78" s="52"/>
      <c r="V78" s="52"/>
      <c r="W78" s="99"/>
      <c r="X78" s="99"/>
      <c r="Z78" s="6"/>
      <c r="AA78" s="6"/>
      <c r="AB78" s="6"/>
      <c r="AC78" s="6"/>
      <c r="AD78" s="6"/>
      <c r="AE78" s="6"/>
    </row>
    <row r="79" spans="1:31" x14ac:dyDescent="0.2">
      <c r="A79" s="332">
        <v>60</v>
      </c>
      <c r="B79" s="332">
        <v>2.0165921128039701E-7</v>
      </c>
      <c r="C79" s="332">
        <v>9.8438348652950782E-8</v>
      </c>
      <c r="D79" s="332">
        <v>8.2589961570893051E-8</v>
      </c>
      <c r="E79" s="332">
        <v>4.8111164434872048E-8</v>
      </c>
      <c r="F79" s="332">
        <v>2.009816277241756</v>
      </c>
      <c r="G79" s="332">
        <v>2.0101040335813312</v>
      </c>
      <c r="J79" s="333">
        <f t="shared" si="65"/>
        <v>60</v>
      </c>
      <c r="K79" s="334">
        <f t="shared" si="66"/>
        <v>0.20165921128039702</v>
      </c>
      <c r="L79" s="334">
        <f t="shared" si="67"/>
        <v>9.8438348652950786E-2</v>
      </c>
      <c r="M79" s="334">
        <f t="shared" si="68"/>
        <v>8.2589961570893045E-2</v>
      </c>
      <c r="N79" s="334">
        <f t="shared" si="69"/>
        <v>4.8111164434872046E-2</v>
      </c>
      <c r="O79" s="335">
        <f t="shared" si="70"/>
        <v>2.009816277241756</v>
      </c>
      <c r="P79" s="335">
        <f t="shared" si="71"/>
        <v>2.0101040335813312</v>
      </c>
      <c r="R79" s="336"/>
      <c r="S79" s="52"/>
      <c r="T79" s="52"/>
      <c r="U79" s="52"/>
      <c r="V79" s="52"/>
      <c r="W79" s="99"/>
      <c r="X79" s="99"/>
      <c r="Z79" s="6"/>
      <c r="AA79" s="6"/>
      <c r="AB79" s="6"/>
      <c r="AC79" s="6"/>
      <c r="AD79" s="6"/>
      <c r="AE79" s="6"/>
    </row>
    <row r="80" spans="1:31" x14ac:dyDescent="0.2">
      <c r="A80" s="332">
        <v>40</v>
      </c>
      <c r="B80" s="332">
        <v>2.383015733665043E-7</v>
      </c>
      <c r="C80" s="332">
        <v>1.0090085841607539E-7</v>
      </c>
      <c r="D80" s="332">
        <v>8.7536063502645273E-8</v>
      </c>
      <c r="E80" s="332">
        <v>4.9416290158775992E-8</v>
      </c>
      <c r="F80" s="332">
        <v>2.0053228258551639</v>
      </c>
      <c r="G80" s="332">
        <v>2.006444913198977</v>
      </c>
      <c r="J80" s="333">
        <f t="shared" si="65"/>
        <v>40</v>
      </c>
      <c r="K80" s="334">
        <f t="shared" si="66"/>
        <v>0.23830157336650429</v>
      </c>
      <c r="L80" s="334">
        <f t="shared" si="67"/>
        <v>0.10090085841607539</v>
      </c>
      <c r="M80" s="334">
        <f t="shared" si="68"/>
        <v>8.753606350264527E-2</v>
      </c>
      <c r="N80" s="334">
        <f t="shared" si="69"/>
        <v>4.9416290158775994E-2</v>
      </c>
      <c r="O80" s="335">
        <f t="shared" si="70"/>
        <v>2.0053228258551639</v>
      </c>
      <c r="P80" s="335">
        <f t="shared" si="71"/>
        <v>2.006444913198977</v>
      </c>
      <c r="R80" s="336"/>
      <c r="S80" s="52"/>
      <c r="T80" s="52"/>
      <c r="U80" s="52"/>
      <c r="V80" s="52"/>
      <c r="W80" s="99"/>
      <c r="X80" s="99"/>
      <c r="Z80" s="6"/>
      <c r="AA80" s="6"/>
      <c r="AB80" s="6"/>
      <c r="AC80" s="6"/>
      <c r="AD80" s="6"/>
      <c r="AE80" s="6"/>
    </row>
    <row r="81" spans="1:31" x14ac:dyDescent="0.2">
      <c r="A81" s="332">
        <v>20</v>
      </c>
      <c r="B81" s="332">
        <v>2.986774421525696E-7</v>
      </c>
      <c r="C81" s="332">
        <v>9.4587235297126986E-8</v>
      </c>
      <c r="D81" s="332">
        <v>9.8165996458721352E-8</v>
      </c>
      <c r="E81" s="332">
        <v>5.5992268253882028E-8</v>
      </c>
      <c r="F81" s="332">
        <v>1.9995592335267509</v>
      </c>
      <c r="G81" s="332">
        <v>2.001609278611197</v>
      </c>
      <c r="J81" s="333">
        <f t="shared" si="65"/>
        <v>20</v>
      </c>
      <c r="K81" s="334">
        <f t="shared" si="66"/>
        <v>0.29867744215256958</v>
      </c>
      <c r="L81" s="334">
        <f t="shared" si="67"/>
        <v>9.4587235297126981E-2</v>
      </c>
      <c r="M81" s="334">
        <f t="shared" si="68"/>
        <v>9.8165996458721358E-2</v>
      </c>
      <c r="N81" s="334">
        <f t="shared" si="69"/>
        <v>5.5992268253882024E-2</v>
      </c>
      <c r="O81" s="335">
        <f t="shared" si="70"/>
        <v>1.9995592335267509</v>
      </c>
      <c r="P81" s="335">
        <f t="shared" si="71"/>
        <v>2.001609278611197</v>
      </c>
      <c r="R81" s="336"/>
      <c r="S81" s="52"/>
      <c r="T81" s="52"/>
      <c r="U81" s="52"/>
      <c r="V81" s="52"/>
      <c r="W81" s="99"/>
      <c r="X81" s="99"/>
      <c r="Z81" s="6"/>
      <c r="AA81" s="6"/>
      <c r="AB81" s="6"/>
      <c r="AC81" s="6"/>
      <c r="AD81" s="6"/>
      <c r="AE81" s="6"/>
    </row>
    <row r="82" spans="1:31" x14ac:dyDescent="0.2">
      <c r="A82" s="332">
        <v>10</v>
      </c>
      <c r="B82" s="332">
        <v>3.3842449518860007E-7</v>
      </c>
      <c r="C82" s="332">
        <v>6.7981280798407686E-8</v>
      </c>
      <c r="D82" s="332">
        <v>1.157508011506788E-7</v>
      </c>
      <c r="E82" s="332">
        <v>7.5060677925788118E-8</v>
      </c>
      <c r="F82" s="332">
        <v>1.998905884042784</v>
      </c>
      <c r="G82" s="332">
        <v>2.0573216195296209</v>
      </c>
      <c r="J82" s="333">
        <f t="shared" si="65"/>
        <v>10</v>
      </c>
      <c r="K82" s="334">
        <f t="shared" si="66"/>
        <v>0.33842449518860007</v>
      </c>
      <c r="L82" s="334">
        <f t="shared" si="67"/>
        <v>6.7981280798407692E-2</v>
      </c>
      <c r="M82" s="334">
        <f t="shared" si="68"/>
        <v>0.1157508011506788</v>
      </c>
      <c r="N82" s="334">
        <f t="shared" si="69"/>
        <v>7.5060677925788119E-2</v>
      </c>
      <c r="O82" s="335">
        <f t="shared" si="70"/>
        <v>1.998905884042784</v>
      </c>
      <c r="P82" s="335">
        <f t="shared" si="71"/>
        <v>2.0573216195296209</v>
      </c>
      <c r="R82" s="336"/>
      <c r="S82" s="52"/>
      <c r="T82" s="52"/>
      <c r="U82" s="52"/>
      <c r="V82" s="52"/>
      <c r="W82" s="99"/>
      <c r="X82" s="99"/>
      <c r="Z82" s="6"/>
      <c r="AA82" s="6"/>
      <c r="AB82" s="6"/>
      <c r="AC82" s="6"/>
      <c r="AD82" s="6"/>
      <c r="AE82" s="6"/>
    </row>
    <row r="83" spans="1:31" x14ac:dyDescent="0.2">
      <c r="A83" s="332">
        <v>5</v>
      </c>
      <c r="B83" s="332">
        <v>3.5179649357619178E-7</v>
      </c>
      <c r="C83" s="332">
        <v>9.0221748109148465E-8</v>
      </c>
      <c r="D83" s="332">
        <v>1.5861396868580381E-7</v>
      </c>
      <c r="E83" s="332">
        <v>1.3429658134299391E-7</v>
      </c>
      <c r="F83" s="332">
        <v>2.039850029033528</v>
      </c>
      <c r="G83" s="332">
        <v>2.133629888525534</v>
      </c>
      <c r="J83" s="333">
        <f t="shared" si="65"/>
        <v>5</v>
      </c>
      <c r="K83" s="334">
        <f t="shared" si="66"/>
        <v>0.3517964935761918</v>
      </c>
      <c r="L83" s="334">
        <f t="shared" si="67"/>
        <v>9.0221748109148459E-2</v>
      </c>
      <c r="M83" s="334">
        <f t="shared" si="68"/>
        <v>0.1586139686858038</v>
      </c>
      <c r="N83" s="334">
        <f t="shared" si="69"/>
        <v>0.13429658134299391</v>
      </c>
      <c r="O83" s="335">
        <f t="shared" si="70"/>
        <v>2.039850029033528</v>
      </c>
      <c r="P83" s="335">
        <f t="shared" si="71"/>
        <v>2.133629888525534</v>
      </c>
      <c r="R83" s="336"/>
      <c r="S83" s="52"/>
      <c r="T83" s="52"/>
      <c r="U83" s="52"/>
      <c r="V83" s="52"/>
      <c r="W83" s="99"/>
      <c r="X83" s="99"/>
      <c r="Z83" s="6"/>
      <c r="AA83" s="6"/>
      <c r="AB83" s="6"/>
      <c r="AC83" s="6"/>
      <c r="AD83" s="6"/>
      <c r="AE83" s="6"/>
    </row>
    <row r="84" spans="1:31" x14ac:dyDescent="0.2">
      <c r="A84" s="332"/>
      <c r="B84" s="332"/>
      <c r="C84" s="332"/>
      <c r="D84" s="332"/>
      <c r="E84" s="332"/>
      <c r="F84" s="332"/>
      <c r="G84" s="332"/>
      <c r="J84" s="333"/>
      <c r="K84" s="334"/>
      <c r="L84" s="334"/>
      <c r="M84" s="334"/>
      <c r="N84" s="334"/>
      <c r="O84" s="335"/>
      <c r="P84" s="335"/>
    </row>
    <row r="85" spans="1:31" x14ac:dyDescent="0.2">
      <c r="A85" s="332" t="s">
        <v>773</v>
      </c>
      <c r="B85" s="332"/>
      <c r="C85" s="332"/>
      <c r="D85" s="332"/>
      <c r="E85" s="332"/>
      <c r="F85" s="332"/>
      <c r="G85" s="332"/>
      <c r="J85" s="333"/>
      <c r="K85" s="334"/>
      <c r="L85" s="334"/>
      <c r="M85" s="334"/>
      <c r="N85" s="334"/>
      <c r="O85" s="335"/>
      <c r="P85" s="335"/>
    </row>
    <row r="86" spans="1:31" x14ac:dyDescent="0.2">
      <c r="A86" s="332" t="s">
        <v>775</v>
      </c>
      <c r="B86" s="332" t="s">
        <v>765</v>
      </c>
      <c r="C86" s="332" t="s">
        <v>767</v>
      </c>
      <c r="D86" s="332" t="s">
        <v>766</v>
      </c>
      <c r="E86" s="332" t="s">
        <v>768</v>
      </c>
      <c r="F86" s="332" t="s">
        <v>777</v>
      </c>
      <c r="G86" s="332" t="s">
        <v>778</v>
      </c>
      <c r="J86" s="333"/>
      <c r="K86" s="334"/>
      <c r="L86" s="334"/>
      <c r="M86" s="334"/>
      <c r="N86" s="334"/>
      <c r="O86" s="335"/>
      <c r="P86" s="335"/>
    </row>
    <row r="87" spans="1:31" x14ac:dyDescent="0.2">
      <c r="A87" s="332">
        <v>120</v>
      </c>
      <c r="B87" s="332">
        <v>1.4570178607946451E-7</v>
      </c>
      <c r="C87" s="332">
        <v>1.071876544925584E-7</v>
      </c>
      <c r="D87" s="332">
        <v>9.1622065504935222E-8</v>
      </c>
      <c r="E87" s="332">
        <v>5.9090414512754023E-8</v>
      </c>
      <c r="F87" s="332">
        <v>2.0012199209102119</v>
      </c>
      <c r="G87" s="332">
        <v>1.992874795329048</v>
      </c>
      <c r="J87" s="333">
        <f>A87</f>
        <v>120</v>
      </c>
      <c r="K87" s="334">
        <f>B87*1000000</f>
        <v>0.14570178607946452</v>
      </c>
      <c r="L87" s="334">
        <f>C87*1000000</f>
        <v>0.1071876544925584</v>
      </c>
      <c r="M87" s="334">
        <f>D87*1000000</f>
        <v>9.1622065504935221E-2</v>
      </c>
      <c r="N87" s="334">
        <f>1000000*E87</f>
        <v>5.9090414512754021E-2</v>
      </c>
      <c r="O87" s="335">
        <f>F87</f>
        <v>2.0012199209102119</v>
      </c>
      <c r="P87" s="335">
        <f>G87</f>
        <v>1.992874795329048</v>
      </c>
      <c r="R87" s="337">
        <f>ReportTables!N51</f>
        <v>119.90899723999999</v>
      </c>
      <c r="S87" s="338">
        <f>ReportTables!O51</f>
        <v>0.15213305302217844</v>
      </c>
      <c r="T87" s="338">
        <f>ReportTables!P51</f>
        <v>7.5885012454326176E-2</v>
      </c>
      <c r="U87" s="338">
        <f>ReportTables!Q51</f>
        <v>7.348352967501634E-2</v>
      </c>
      <c r="V87" s="338">
        <f>ReportTables!R51</f>
        <v>4.7380426945186009E-2</v>
      </c>
      <c r="W87" s="339">
        <f>ReportTables!S51</f>
        <v>2.0132672203242006</v>
      </c>
      <c r="X87" s="339">
        <f>ReportTables!T51</f>
        <v>2.0030692936815613</v>
      </c>
      <c r="Z87" s="6">
        <f t="shared" ref="Z87:Z93" si="72">K87-S87</f>
        <v>-6.4312669427139257E-3</v>
      </c>
      <c r="AA87" s="6">
        <f t="shared" ref="AA87:AA93" si="73">L87-T87</f>
        <v>3.1302642038232228E-2</v>
      </c>
      <c r="AB87" s="6">
        <f t="shared" ref="AB87:AB93" si="74">M87-U87</f>
        <v>1.8138535829918881E-2</v>
      </c>
      <c r="AC87" s="6">
        <f t="shared" ref="AC87:AC93" si="75">N87-V87</f>
        <v>1.1709987567568012E-2</v>
      </c>
      <c r="AD87" s="6">
        <f t="shared" ref="AD87:AD93" si="76">O87-W87</f>
        <v>-1.2047299413988632E-2</v>
      </c>
      <c r="AE87" s="6">
        <f t="shared" ref="AE87:AE93" si="77">P87-X87</f>
        <v>-1.0194498352513293E-2</v>
      </c>
    </row>
    <row r="88" spans="1:31" x14ac:dyDescent="0.2">
      <c r="A88" s="332">
        <v>100</v>
      </c>
      <c r="B88" s="332">
        <v>1.6238269662668441E-7</v>
      </c>
      <c r="C88" s="332">
        <v>1.048933661906677E-7</v>
      </c>
      <c r="D88" s="332">
        <v>9.3217380187865034E-8</v>
      </c>
      <c r="E88" s="332">
        <v>5.9012618584024927E-8</v>
      </c>
      <c r="F88" s="332">
        <v>1.999064949172487</v>
      </c>
      <c r="G88" s="332">
        <v>1.9929274723527859</v>
      </c>
      <c r="J88" s="333">
        <f t="shared" ref="J88:J93" si="78">A88</f>
        <v>100</v>
      </c>
      <c r="K88" s="334">
        <f t="shared" ref="K88:K93" si="79">B88*1000000</f>
        <v>0.16238269662668442</v>
      </c>
      <c r="L88" s="334">
        <f t="shared" ref="L88:L93" si="80">C88*1000000</f>
        <v>0.10489336619066771</v>
      </c>
      <c r="M88" s="334">
        <f t="shared" ref="M88:M93" si="81">D88*1000000</f>
        <v>9.3217380187865032E-2</v>
      </c>
      <c r="N88" s="334">
        <f t="shared" ref="N88:N93" si="82">1000000*E88</f>
        <v>5.9012618584024928E-2</v>
      </c>
      <c r="O88" s="335">
        <f t="shared" ref="O88:O93" si="83">F88</f>
        <v>1.999064949172487</v>
      </c>
      <c r="P88" s="335">
        <f t="shared" ref="P88:P93" si="84">G88</f>
        <v>1.9929274723527859</v>
      </c>
      <c r="R88" s="337">
        <f>ReportTables!N52</f>
        <v>100.16515392000001</v>
      </c>
      <c r="S88" s="338">
        <f>ReportTables!O52</f>
        <v>0.16881396356939835</v>
      </c>
      <c r="T88" s="338">
        <f>ReportTables!P52</f>
        <v>7.3590724152435352E-2</v>
      </c>
      <c r="U88" s="338">
        <f>ReportTables!Q52</f>
        <v>7.4702406283577924E-2</v>
      </c>
      <c r="V88" s="338">
        <f>ReportTables!R52</f>
        <v>4.7198443953512761E-2</v>
      </c>
      <c r="W88" s="339">
        <f>ReportTables!S52</f>
        <v>2.0115459693258742</v>
      </c>
      <c r="X88" s="339">
        <f>ReportTables!T52</f>
        <v>2.0038909092086681</v>
      </c>
      <c r="Z88" s="6">
        <f t="shared" si="72"/>
        <v>-6.4312669427139257E-3</v>
      </c>
      <c r="AA88" s="6">
        <f t="shared" si="73"/>
        <v>3.1302642038232353E-2</v>
      </c>
      <c r="AB88" s="6">
        <f t="shared" si="74"/>
        <v>1.8514973904287108E-2</v>
      </c>
      <c r="AC88" s="6">
        <f t="shared" si="75"/>
        <v>1.1814174630512167E-2</v>
      </c>
      <c r="AD88" s="6">
        <f t="shared" si="76"/>
        <v>-1.2481020153387146E-2</v>
      </c>
      <c r="AE88" s="6">
        <f t="shared" si="77"/>
        <v>-1.0963436855882192E-2</v>
      </c>
    </row>
    <row r="89" spans="1:31" x14ac:dyDescent="0.2">
      <c r="A89" s="332">
        <v>60</v>
      </c>
      <c r="B89" s="332">
        <v>2.1313149331015439E-7</v>
      </c>
      <c r="C89" s="332">
        <v>8.6810478201870088E-8</v>
      </c>
      <c r="D89" s="332">
        <v>1.001856190926137E-7</v>
      </c>
      <c r="E89" s="332">
        <v>5.8184366150730139E-8</v>
      </c>
      <c r="F89" s="332">
        <v>1.9927094298359711</v>
      </c>
      <c r="G89" s="332">
        <v>1.9930455381204251</v>
      </c>
      <c r="J89" s="333">
        <f t="shared" si="78"/>
        <v>60</v>
      </c>
      <c r="K89" s="334">
        <f t="shared" si="79"/>
        <v>0.21313149331015441</v>
      </c>
      <c r="L89" s="334">
        <f t="shared" si="80"/>
        <v>8.6810478201870087E-2</v>
      </c>
      <c r="M89" s="334">
        <f t="shared" si="81"/>
        <v>0.1001856190926137</v>
      </c>
      <c r="N89" s="334">
        <f t="shared" si="82"/>
        <v>5.8184366150730138E-2</v>
      </c>
      <c r="O89" s="335">
        <f t="shared" si="83"/>
        <v>1.9927094298359711</v>
      </c>
      <c r="P89" s="335">
        <f t="shared" si="84"/>
        <v>1.9930455381204251</v>
      </c>
      <c r="R89" s="337">
        <f>ReportTables!N53</f>
        <v>60.079884224000004</v>
      </c>
      <c r="S89" s="338">
        <f>ReportTables!O53</f>
        <v>0.21956276025286839</v>
      </c>
      <c r="T89" s="338">
        <f>ReportTables!P53</f>
        <v>5.5507836163637803E-2</v>
      </c>
      <c r="U89" s="338">
        <f>ReportTables!Q53</f>
        <v>8.0000068674102906E-2</v>
      </c>
      <c r="V89" s="338">
        <f>ReportTables!R53</f>
        <v>4.6422719657672237E-2</v>
      </c>
      <c r="W89" s="339">
        <f>ReportTables!S53</f>
        <v>2.0054376484678014</v>
      </c>
      <c r="X89" s="339">
        <f>ReportTables!T53</f>
        <v>2.0053293909377969</v>
      </c>
      <c r="Z89" s="6">
        <f t="shared" si="72"/>
        <v>-6.4312669427139812E-3</v>
      </c>
      <c r="AA89" s="6">
        <f t="shared" si="73"/>
        <v>3.1302642038232284E-2</v>
      </c>
      <c r="AB89" s="6">
        <f t="shared" si="74"/>
        <v>2.0185550418510792E-2</v>
      </c>
      <c r="AC89" s="6">
        <f t="shared" si="75"/>
        <v>1.1761646493057901E-2</v>
      </c>
      <c r="AD89" s="6">
        <f t="shared" si="76"/>
        <v>-1.2728218631830268E-2</v>
      </c>
      <c r="AE89" s="6">
        <f t="shared" si="77"/>
        <v>-1.2283852817371876E-2</v>
      </c>
    </row>
    <row r="90" spans="1:31" x14ac:dyDescent="0.2">
      <c r="A90" s="332">
        <v>40</v>
      </c>
      <c r="B90" s="332">
        <v>2.4557040639582229E-7</v>
      </c>
      <c r="C90" s="332">
        <v>8.8719062596333789E-8</v>
      </c>
      <c r="D90" s="332">
        <v>1.064964515678242E-7</v>
      </c>
      <c r="E90" s="332">
        <v>6.0446042475652004E-8</v>
      </c>
      <c r="F90" s="332">
        <v>1.9893896375497679</v>
      </c>
      <c r="G90" s="332">
        <v>1.9895384663266451</v>
      </c>
      <c r="J90" s="333">
        <f t="shared" si="78"/>
        <v>40</v>
      </c>
      <c r="K90" s="334">
        <f t="shared" si="79"/>
        <v>0.24557040639582228</v>
      </c>
      <c r="L90" s="334">
        <f t="shared" si="80"/>
        <v>8.8719062596333789E-2</v>
      </c>
      <c r="M90" s="334">
        <f t="shared" si="81"/>
        <v>0.10649645156782421</v>
      </c>
      <c r="N90" s="334">
        <f t="shared" si="82"/>
        <v>6.0446042475652002E-2</v>
      </c>
      <c r="O90" s="335">
        <f t="shared" si="83"/>
        <v>1.9893896375497679</v>
      </c>
      <c r="P90" s="335">
        <f t="shared" si="84"/>
        <v>1.9895384663266451</v>
      </c>
      <c r="R90" s="337">
        <f>ReportTables!N54</f>
        <v>40.071349826000002</v>
      </c>
      <c r="S90" s="338">
        <f>ReportTables!O54</f>
        <v>0.25200167333853629</v>
      </c>
      <c r="T90" s="338">
        <f>ReportTables!P54</f>
        <v>5.7416420558101512E-2</v>
      </c>
      <c r="U90" s="338">
        <f>ReportTables!Q54</f>
        <v>8.4591117876465352E-2</v>
      </c>
      <c r="V90" s="338">
        <f>ReportTables!R54</f>
        <v>4.7452170856469196E-2</v>
      </c>
      <c r="W90" s="339">
        <f>ReportTables!S54</f>
        <v>2.0012040056842038</v>
      </c>
      <c r="X90" s="339">
        <f>ReportTables!T54</f>
        <v>2.0026954552807679</v>
      </c>
      <c r="Z90" s="6">
        <f t="shared" si="72"/>
        <v>-6.431266942714009E-3</v>
      </c>
      <c r="AA90" s="6">
        <f t="shared" si="73"/>
        <v>3.1302642038232277E-2</v>
      </c>
      <c r="AB90" s="6">
        <f t="shared" si="74"/>
        <v>2.1905333691358858E-2</v>
      </c>
      <c r="AC90" s="6">
        <f t="shared" si="75"/>
        <v>1.2993871619182806E-2</v>
      </c>
      <c r="AD90" s="6">
        <f t="shared" si="76"/>
        <v>-1.1814368134435815E-2</v>
      </c>
      <c r="AE90" s="6">
        <f t="shared" si="77"/>
        <v>-1.3156988954122761E-2</v>
      </c>
    </row>
    <row r="91" spans="1:31" x14ac:dyDescent="0.2">
      <c r="A91" s="332">
        <v>20</v>
      </c>
      <c r="B91" s="332">
        <v>3.0637389606832401E-7</v>
      </c>
      <c r="C91" s="332">
        <v>7.6795881029959092E-8</v>
      </c>
      <c r="D91" s="332">
        <v>1.210456061227799E-7</v>
      </c>
      <c r="E91" s="332">
        <v>7.0052239299010509E-8</v>
      </c>
      <c r="F91" s="332">
        <v>1.9847368334143709</v>
      </c>
      <c r="G91" s="332">
        <v>1.9874161171241569</v>
      </c>
      <c r="J91" s="333">
        <f t="shared" si="78"/>
        <v>20</v>
      </c>
      <c r="K91" s="334">
        <f t="shared" si="79"/>
        <v>0.30637389606832399</v>
      </c>
      <c r="L91" s="334">
        <f t="shared" si="80"/>
        <v>7.6795881029959087E-2</v>
      </c>
      <c r="M91" s="334">
        <f t="shared" si="81"/>
        <v>0.1210456061227799</v>
      </c>
      <c r="N91" s="334">
        <f t="shared" si="82"/>
        <v>7.0052239299010513E-2</v>
      </c>
      <c r="O91" s="335">
        <f t="shared" si="83"/>
        <v>1.9847368334143709</v>
      </c>
      <c r="P91" s="335">
        <f t="shared" si="84"/>
        <v>1.9874161171241569</v>
      </c>
      <c r="R91" s="337">
        <f>ReportTables!N55</f>
        <v>19.999084906</v>
      </c>
      <c r="S91" s="338">
        <f>ReportTables!O55</f>
        <v>0.31280516301103778</v>
      </c>
      <c r="T91" s="338">
        <f>ReportTables!P55</f>
        <v>4.5493238991726803E-2</v>
      </c>
      <c r="U91" s="338">
        <f>ReportTables!Q55</f>
        <v>9.4403848150736963E-2</v>
      </c>
      <c r="V91" s="338">
        <f>ReportTables!R55</f>
        <v>5.179681215489685E-2</v>
      </c>
      <c r="W91" s="339">
        <f>ReportTables!S55</f>
        <v>1.9965675880426272</v>
      </c>
      <c r="X91" s="339">
        <f>ReportTables!T55</f>
        <v>1.996533954417772</v>
      </c>
      <c r="Z91" s="6">
        <f t="shared" si="72"/>
        <v>-6.431266942713787E-3</v>
      </c>
      <c r="AA91" s="6">
        <f t="shared" si="73"/>
        <v>3.1302642038232284E-2</v>
      </c>
      <c r="AB91" s="6">
        <f t="shared" si="74"/>
        <v>2.6641757972042934E-2</v>
      </c>
      <c r="AC91" s="6">
        <f t="shared" si="75"/>
        <v>1.8255427144113663E-2</v>
      </c>
      <c r="AD91" s="6">
        <f t="shared" si="76"/>
        <v>-1.1830754628256335E-2</v>
      </c>
      <c r="AE91" s="6">
        <f t="shared" si="77"/>
        <v>-9.1178372936151497E-3</v>
      </c>
    </row>
    <row r="92" spans="1:31" x14ac:dyDescent="0.2">
      <c r="A92" s="332">
        <v>10</v>
      </c>
      <c r="B92" s="332">
        <v>3.4047214145663908E-7</v>
      </c>
      <c r="C92" s="332">
        <v>5.7339439126099177E-8</v>
      </c>
      <c r="D92" s="332">
        <v>1.463758398379682E-7</v>
      </c>
      <c r="E92" s="332">
        <v>9.9144572496992957E-8</v>
      </c>
      <c r="F92" s="332">
        <v>1.98438204375637</v>
      </c>
      <c r="G92" s="332">
        <v>2.017420506025104</v>
      </c>
      <c r="J92" s="333">
        <f t="shared" si="78"/>
        <v>10</v>
      </c>
      <c r="K92" s="334">
        <f t="shared" si="79"/>
        <v>0.34047214145663907</v>
      </c>
      <c r="L92" s="334">
        <f t="shared" si="80"/>
        <v>5.7339439126099179E-2</v>
      </c>
      <c r="M92" s="334">
        <f t="shared" si="81"/>
        <v>0.1463758398379682</v>
      </c>
      <c r="N92" s="334">
        <f t="shared" si="82"/>
        <v>9.9144572496992961E-2</v>
      </c>
      <c r="O92" s="335">
        <f t="shared" si="83"/>
        <v>1.98438204375637</v>
      </c>
      <c r="P92" s="335">
        <f t="shared" si="84"/>
        <v>2.017420506025104</v>
      </c>
      <c r="R92" s="337">
        <f>ReportTables!N56</f>
        <v>9.999829483800001</v>
      </c>
      <c r="S92" s="338">
        <f>ReportTables!O56</f>
        <v>0.34690340839935313</v>
      </c>
      <c r="T92" s="338">
        <f>ReportTables!P56</f>
        <v>2.6036797087866981E-2</v>
      </c>
      <c r="U92" s="338">
        <f>ReportTables!Q56</f>
        <v>0.10737356690108213</v>
      </c>
      <c r="V92" s="338">
        <f>ReportTables!R56</f>
        <v>6.3255372637586127E-2</v>
      </c>
      <c r="W92" s="339">
        <f>ReportTables!S56</f>
        <v>1.9950503345532105</v>
      </c>
      <c r="X92" s="339">
        <f>ReportTables!T56</f>
        <v>2.0309154468923349</v>
      </c>
      <c r="Z92" s="6">
        <f t="shared" si="72"/>
        <v>-6.4312669427140645E-3</v>
      </c>
      <c r="AA92" s="6">
        <f t="shared" si="73"/>
        <v>3.1302642038232201E-2</v>
      </c>
      <c r="AB92" s="6">
        <f t="shared" si="74"/>
        <v>3.9002272936886073E-2</v>
      </c>
      <c r="AC92" s="6">
        <f t="shared" si="75"/>
        <v>3.5889199859406834E-2</v>
      </c>
      <c r="AD92" s="6">
        <f t="shared" si="76"/>
        <v>-1.0668290796840507E-2</v>
      </c>
      <c r="AE92" s="6">
        <f t="shared" si="77"/>
        <v>-1.3494940867230909E-2</v>
      </c>
    </row>
    <row r="93" spans="1:31" x14ac:dyDescent="0.2">
      <c r="A93" s="332">
        <v>5</v>
      </c>
      <c r="B93" s="332">
        <v>3.5892781063204788E-7</v>
      </c>
      <c r="C93" s="332">
        <v>7.6277406897773165E-8</v>
      </c>
      <c r="D93" s="332">
        <v>2.0781323130758659E-7</v>
      </c>
      <c r="E93" s="332">
        <v>1.7923733070526299E-7</v>
      </c>
      <c r="F93" s="332">
        <v>2.008514877107936</v>
      </c>
      <c r="G93" s="332">
        <v>2.0490412551210211</v>
      </c>
      <c r="J93" s="333">
        <f t="shared" si="78"/>
        <v>5</v>
      </c>
      <c r="K93" s="334">
        <f t="shared" si="79"/>
        <v>0.35892781063204787</v>
      </c>
      <c r="L93" s="334">
        <f t="shared" si="80"/>
        <v>7.6277406897773167E-2</v>
      </c>
      <c r="M93" s="334">
        <f t="shared" si="81"/>
        <v>0.20781323130758658</v>
      </c>
      <c r="N93" s="334">
        <f t="shared" si="82"/>
        <v>0.17923733070526299</v>
      </c>
      <c r="O93" s="335">
        <f t="shared" si="83"/>
        <v>2.008514877107936</v>
      </c>
      <c r="P93" s="335">
        <f t="shared" si="84"/>
        <v>2.0490412551210211</v>
      </c>
      <c r="R93" s="337">
        <f>ReportTables!N57</f>
        <v>4.9392275202000002</v>
      </c>
      <c r="S93" s="338">
        <f>ReportTables!O57</f>
        <v>0.36805932694608762</v>
      </c>
      <c r="T93" s="338">
        <f>ReportTables!P57</f>
        <v>4.6965346060309596E-2</v>
      </c>
      <c r="U93" s="338">
        <f>ReportTables!Q57</f>
        <v>0.13538922435878553</v>
      </c>
      <c r="V93" s="338">
        <f>ReportTables!R57</f>
        <v>0.10654471594220259</v>
      </c>
      <c r="W93" s="339">
        <f>ReportTables!S57</f>
        <v>2.0253363304919736</v>
      </c>
      <c r="X93" s="339">
        <f>ReportTables!T57</f>
        <v>2.1435232387356211</v>
      </c>
      <c r="Z93" s="6">
        <f t="shared" si="72"/>
        <v>-9.1315163140397448E-3</v>
      </c>
      <c r="AA93" s="6">
        <f t="shared" si="73"/>
        <v>2.9312060837463572E-2</v>
      </c>
      <c r="AB93" s="6">
        <f t="shared" si="74"/>
        <v>7.2424006948801051E-2</v>
      </c>
      <c r="AC93" s="6">
        <f t="shared" si="75"/>
        <v>7.2692614763060395E-2</v>
      </c>
      <c r="AD93" s="6">
        <f t="shared" si="76"/>
        <v>-1.6821453384037621E-2</v>
      </c>
      <c r="AE93" s="6">
        <f t="shared" si="77"/>
        <v>-9.4481983614600029E-2</v>
      </c>
    </row>
  </sheetData>
  <pageMargins left="0.7" right="0.7" top="0.75" bottom="0.75" header="0.3" footer="0.3"/>
  <pageSetup paperSize="9" scale="3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AD103"/>
  <sheetViews>
    <sheetView topLeftCell="A47" zoomScale="80" zoomScaleNormal="80" workbookViewId="0">
      <selection activeCell="B94" sqref="B94"/>
    </sheetView>
  </sheetViews>
  <sheetFormatPr defaultRowHeight="12.75" x14ac:dyDescent="0.2"/>
  <cols>
    <col min="1" max="1" width="9.42578125" bestFit="1" customWidth="1"/>
    <col min="2" max="2" width="27.85546875" customWidth="1"/>
    <col min="3" max="3" width="10.42578125" customWidth="1"/>
    <col min="4" max="4" width="10.85546875" customWidth="1"/>
    <col min="5" max="5" width="12.140625" customWidth="1"/>
    <col min="12" max="12" width="10" bestFit="1" customWidth="1"/>
    <col min="18" max="18" width="10.42578125" customWidth="1"/>
    <col min="20" max="20" width="11.42578125" customWidth="1"/>
    <col min="21" max="22" width="11.28515625" customWidth="1"/>
  </cols>
  <sheetData>
    <row r="2" spans="1:30" x14ac:dyDescent="0.2">
      <c r="A2" s="241" t="s">
        <v>680</v>
      </c>
      <c r="B2" t="s">
        <v>679</v>
      </c>
      <c r="R2" s="5" t="s">
        <v>591</v>
      </c>
    </row>
    <row r="3" spans="1:30" x14ac:dyDescent="0.2">
      <c r="A3" s="241" t="s">
        <v>681</v>
      </c>
      <c r="B3" s="242">
        <v>41245</v>
      </c>
      <c r="C3" s="8"/>
      <c r="D3" s="300" t="s">
        <v>715</v>
      </c>
      <c r="E3" s="8"/>
      <c r="F3" s="8"/>
      <c r="G3" s="8"/>
      <c r="H3" s="8"/>
      <c r="I3" s="8"/>
      <c r="J3" s="8"/>
      <c r="K3" s="8"/>
      <c r="L3" s="8"/>
      <c r="M3" s="8"/>
      <c r="N3" s="8"/>
      <c r="AC3" t="s">
        <v>5</v>
      </c>
    </row>
    <row r="4" spans="1:30" x14ac:dyDescent="0.2">
      <c r="A4" s="8" t="s">
        <v>592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S4" s="5" t="s">
        <v>352</v>
      </c>
      <c r="T4" t="s">
        <v>355</v>
      </c>
      <c r="U4" t="s">
        <v>5</v>
      </c>
      <c r="V4" t="s">
        <v>6</v>
      </c>
      <c r="W4" t="s">
        <v>10</v>
      </c>
      <c r="X4" t="s">
        <v>11</v>
      </c>
      <c r="Y4" t="s">
        <v>356</v>
      </c>
      <c r="AB4" t="s">
        <v>345</v>
      </c>
      <c r="AC4" t="s">
        <v>346</v>
      </c>
      <c r="AD4" t="s">
        <v>347</v>
      </c>
    </row>
    <row r="5" spans="1:30" x14ac:dyDescent="0.2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R5" s="4">
        <v>36567</v>
      </c>
      <c r="S5" t="s">
        <v>348</v>
      </c>
      <c r="T5" s="65">
        <v>0.100003372258</v>
      </c>
      <c r="U5" s="65">
        <v>9.9996172500000105E-2</v>
      </c>
      <c r="V5" s="65">
        <v>-9.4986742333333196E-6</v>
      </c>
      <c r="W5" s="1">
        <v>3.3334054963476502E-8</v>
      </c>
      <c r="X5" s="1">
        <v>1.74140568220094E-6</v>
      </c>
      <c r="Y5" s="1">
        <v>3.8018001496214098E-6</v>
      </c>
      <c r="AB5">
        <v>100000</v>
      </c>
      <c r="AC5" s="6">
        <f>100*(U5*0.1/(AB5*10^-6*T5)-1)</f>
        <v>-7.1995152136627993E-3</v>
      </c>
      <c r="AD5" s="6">
        <f>100*W5/U5</f>
        <v>3.333533087326564E-5</v>
      </c>
    </row>
    <row r="6" spans="1:30" x14ac:dyDescent="0.2">
      <c r="A6" s="8"/>
      <c r="B6" s="8" t="s">
        <v>593</v>
      </c>
      <c r="C6" s="8"/>
      <c r="D6" s="8"/>
      <c r="E6" s="8"/>
      <c r="F6" s="8"/>
      <c r="G6" s="8" t="s">
        <v>98</v>
      </c>
      <c r="H6" s="8" t="s">
        <v>99</v>
      </c>
      <c r="I6" s="8"/>
      <c r="J6" s="8"/>
      <c r="K6" s="8"/>
      <c r="L6" s="8"/>
      <c r="M6" s="8"/>
      <c r="N6" s="8"/>
      <c r="T6" s="65">
        <v>0.100000507108</v>
      </c>
      <c r="U6" s="65">
        <v>6.0001170333333499E-2</v>
      </c>
      <c r="V6" s="65">
        <v>-4.3614990833333598E-6</v>
      </c>
      <c r="W6" s="1">
        <v>2.5417367670747001E-8</v>
      </c>
      <c r="X6" s="1">
        <v>4.6157469481001703E-6</v>
      </c>
      <c r="Y6" s="1">
        <v>7.9282450068134495E-6</v>
      </c>
      <c r="AA6" s="1"/>
      <c r="AB6">
        <v>60000</v>
      </c>
      <c r="AC6" s="6">
        <f t="shared" ref="AC6:AC27" si="0">100*(U6*0.1/(AB6*10^-6*T6)-1)</f>
        <v>1.4434402360485876E-3</v>
      </c>
      <c r="AD6" s="6">
        <f t="shared" ref="AD6:AD36" si="1">100*W6/U6</f>
        <v>4.2361453167566708E-5</v>
      </c>
    </row>
    <row r="7" spans="1:30" x14ac:dyDescent="0.2">
      <c r="A7" s="8" t="s">
        <v>594</v>
      </c>
      <c r="B7" s="8" t="s">
        <v>98</v>
      </c>
      <c r="C7" s="237" t="s">
        <v>99</v>
      </c>
      <c r="D7" s="8" t="s">
        <v>595</v>
      </c>
      <c r="E7" s="8" t="s">
        <v>596</v>
      </c>
      <c r="F7" s="8" t="s">
        <v>597</v>
      </c>
      <c r="G7" s="8" t="s">
        <v>598</v>
      </c>
      <c r="H7" s="8" t="s">
        <v>598</v>
      </c>
      <c r="I7" s="8"/>
      <c r="J7" s="8" t="s">
        <v>599</v>
      </c>
      <c r="K7" s="8"/>
      <c r="L7" s="8"/>
      <c r="M7" s="8"/>
      <c r="N7" s="8"/>
      <c r="T7" s="65">
        <v>0.10000151104799999</v>
      </c>
      <c r="U7" s="65">
        <v>5.0014699999999301E-2</v>
      </c>
      <c r="V7" s="65">
        <v>-4.73661533333333E-7</v>
      </c>
      <c r="W7" s="1">
        <v>2.74020249594893E-8</v>
      </c>
      <c r="X7" s="1">
        <v>6.5919492087118699E-16</v>
      </c>
      <c r="Y7" s="1">
        <v>1.2063174874588299E-6</v>
      </c>
      <c r="AA7" s="1"/>
      <c r="AB7">
        <v>50000</v>
      </c>
      <c r="AC7" s="6">
        <f t="shared" si="0"/>
        <v>2.7888530589548211E-2</v>
      </c>
      <c r="AD7" s="6">
        <f t="shared" si="1"/>
        <v>5.4787942263953762E-5</v>
      </c>
    </row>
    <row r="8" spans="1:30" x14ac:dyDescent="0.2">
      <c r="A8" s="8">
        <v>26</v>
      </c>
      <c r="B8" s="238">
        <v>1.0016014703240765</v>
      </c>
      <c r="C8" s="239">
        <v>1.4850665873940462E-4</v>
      </c>
      <c r="D8" s="239">
        <v>3.7529199652335123E-5</v>
      </c>
      <c r="E8" s="239">
        <v>4.102737107309479E-5</v>
      </c>
      <c r="F8" s="8">
        <v>22</v>
      </c>
      <c r="G8" s="240">
        <v>5.0150617227163303E-4</v>
      </c>
      <c r="H8" s="240">
        <v>4.1258741690773404E-5</v>
      </c>
      <c r="I8" s="8"/>
      <c r="J8" s="8" t="s">
        <v>603</v>
      </c>
      <c r="K8" s="8"/>
      <c r="L8" s="8"/>
      <c r="M8" s="8"/>
      <c r="N8" s="8"/>
      <c r="T8" s="65">
        <v>0.100000495062</v>
      </c>
      <c r="U8" s="65">
        <v>3.00178859999999E-2</v>
      </c>
      <c r="V8" s="65">
        <v>0</v>
      </c>
      <c r="W8" s="1">
        <v>2.8652131742436799E-8</v>
      </c>
      <c r="X8" s="1">
        <v>4.5122499930722802E-7</v>
      </c>
      <c r="Y8">
        <v>0</v>
      </c>
      <c r="AA8" s="1"/>
      <c r="AB8">
        <v>30000</v>
      </c>
      <c r="AC8" s="6">
        <f t="shared" si="0"/>
        <v>5.9124645296027012E-2</v>
      </c>
      <c r="AD8" s="6">
        <f t="shared" si="1"/>
        <v>9.5450198399836994E-5</v>
      </c>
    </row>
    <row r="9" spans="1:30" x14ac:dyDescent="0.2">
      <c r="A9" s="8">
        <v>25</v>
      </c>
      <c r="B9" s="238">
        <v>1.0015179866016675</v>
      </c>
      <c r="C9" s="239">
        <v>1.3801004061161657E-4</v>
      </c>
      <c r="D9" s="239">
        <v>7.2077759469237087E-5</v>
      </c>
      <c r="E9" s="239">
        <v>3.7963722806319994E-5</v>
      </c>
      <c r="F9" s="8">
        <v>22</v>
      </c>
      <c r="G9" s="240">
        <v>5.0526745730365935E-4</v>
      </c>
      <c r="H9" s="240">
        <v>3.8213647274915403E-5</v>
      </c>
      <c r="I9" s="8"/>
      <c r="J9" s="8" t="s">
        <v>604</v>
      </c>
      <c r="K9" s="8"/>
      <c r="L9" s="8"/>
      <c r="M9" s="8"/>
      <c r="N9" s="8"/>
      <c r="T9" s="65">
        <v>0.10000172073999999</v>
      </c>
      <c r="U9" s="65">
        <v>2.00168765000001E-2</v>
      </c>
      <c r="V9" s="65">
        <v>0</v>
      </c>
      <c r="W9" s="1">
        <v>2.95560593422053E-8</v>
      </c>
      <c r="X9" s="1">
        <v>2.5099352581239499E-7</v>
      </c>
      <c r="Y9">
        <v>0</v>
      </c>
      <c r="AA9" s="1"/>
      <c r="AB9">
        <v>20000</v>
      </c>
      <c r="AC9" s="6">
        <f t="shared" si="0"/>
        <v>8.2660337631024206E-2</v>
      </c>
      <c r="AD9" s="6">
        <f t="shared" si="1"/>
        <v>1.4765570113901215E-4</v>
      </c>
    </row>
    <row r="10" spans="1:30" x14ac:dyDescent="0.2">
      <c r="A10" s="8">
        <v>24</v>
      </c>
      <c r="B10" s="238">
        <v>1.0012084385771032</v>
      </c>
      <c r="C10" s="239">
        <v>1.105968878976263E-4</v>
      </c>
      <c r="D10" s="239">
        <v>8.6294844215677885E-5</v>
      </c>
      <c r="E10" s="239">
        <v>3.3282237349286544E-5</v>
      </c>
      <c r="F10" s="8">
        <v>22</v>
      </c>
      <c r="G10" s="240">
        <v>5.0749068970593742E-4</v>
      </c>
      <c r="H10" s="240">
        <v>3.3567036087667806E-5</v>
      </c>
      <c r="I10" s="8"/>
      <c r="J10" s="8" t="s">
        <v>605</v>
      </c>
      <c r="K10" s="8"/>
      <c r="L10" s="8"/>
      <c r="M10" s="8"/>
      <c r="N10" s="8"/>
      <c r="T10" s="65">
        <v>0.100000268824</v>
      </c>
      <c r="U10" s="65">
        <v>1.5035074500000099E-2</v>
      </c>
      <c r="V10" s="65">
        <v>-2.2188939966666699E-6</v>
      </c>
      <c r="W10" s="1">
        <v>2.2336944004220301E-8</v>
      </c>
      <c r="X10" s="1">
        <v>6.3219145304910701E-5</v>
      </c>
      <c r="Y10" s="1">
        <v>6.2609557789186997E-6</v>
      </c>
      <c r="AA10" s="1"/>
      <c r="AB10">
        <v>15000</v>
      </c>
      <c r="AC10" s="6">
        <f t="shared" si="0"/>
        <v>0.23356054813385985</v>
      </c>
      <c r="AD10" s="6">
        <f t="shared" si="1"/>
        <v>1.4856556915777275E-4</v>
      </c>
    </row>
    <row r="11" spans="1:30" x14ac:dyDescent="0.2">
      <c r="A11" s="8">
        <v>23</v>
      </c>
      <c r="B11" s="238">
        <v>1.0007097796327686</v>
      </c>
      <c r="C11" s="239">
        <v>1.1936310043428437E-4</v>
      </c>
      <c r="D11" s="239">
        <v>2.0337236941708292E-4</v>
      </c>
      <c r="E11" s="239">
        <v>9.4321172904992441E-5</v>
      </c>
      <c r="F11" s="8">
        <v>33</v>
      </c>
      <c r="G11" s="240">
        <v>5.3987065176977196E-4</v>
      </c>
      <c r="H11" s="240">
        <v>9.4422043225668607E-5</v>
      </c>
      <c r="I11" s="8"/>
      <c r="J11" s="8" t="s">
        <v>606</v>
      </c>
      <c r="K11" s="8"/>
      <c r="L11" s="8"/>
      <c r="M11" s="8"/>
      <c r="N11" s="8"/>
      <c r="T11" s="65">
        <v>0.10000145627199999</v>
      </c>
      <c r="U11" s="65">
        <v>1.000920905E-2</v>
      </c>
      <c r="V11" s="65">
        <v>-3.6160372999999999E-7</v>
      </c>
      <c r="W11" s="1">
        <v>2.0947893119658901E-8</v>
      </c>
      <c r="X11" s="1">
        <v>2.6236629478966902E-6</v>
      </c>
      <c r="Y11" s="1">
        <v>1.40377358860223E-6</v>
      </c>
      <c r="AA11" s="1"/>
      <c r="AB11">
        <v>10000</v>
      </c>
      <c r="AC11" s="6">
        <f t="shared" si="0"/>
        <v>9.0632908138355006E-2</v>
      </c>
      <c r="AD11" s="6">
        <f t="shared" si="1"/>
        <v>2.0928619848996859E-4</v>
      </c>
    </row>
    <row r="12" spans="1:30" x14ac:dyDescent="0.2">
      <c r="A12" s="8">
        <v>22</v>
      </c>
      <c r="B12" s="238">
        <v>0.99997254338882724</v>
      </c>
      <c r="C12" s="239">
        <v>2.3615327984950285E-5</v>
      </c>
      <c r="D12" s="239">
        <v>3.2323124827916068E-4</v>
      </c>
      <c r="E12" s="239">
        <v>7.3361133860714374E-5</v>
      </c>
      <c r="F12" s="8">
        <v>22</v>
      </c>
      <c r="G12" s="240">
        <v>5.9546489389728462E-4</v>
      </c>
      <c r="H12" s="240">
        <v>7.3490778673696217E-5</v>
      </c>
      <c r="I12" s="8"/>
      <c r="J12" s="8" t="s">
        <v>607</v>
      </c>
      <c r="K12" s="8"/>
      <c r="L12" s="8"/>
      <c r="M12" s="8"/>
      <c r="N12" s="8"/>
      <c r="T12" s="65">
        <v>0.100000873766</v>
      </c>
      <c r="U12" s="65">
        <v>6.0115199999999603E-3</v>
      </c>
      <c r="V12" s="65">
        <v>0</v>
      </c>
      <c r="W12" s="1">
        <v>3.6885139122665899E-8</v>
      </c>
      <c r="X12" s="1">
        <v>3.98986399474666E-17</v>
      </c>
      <c r="Y12" s="1">
        <v>0</v>
      </c>
      <c r="AB12">
        <v>6000</v>
      </c>
      <c r="AC12" s="6">
        <f t="shared" si="0"/>
        <v>0.19112456401788602</v>
      </c>
      <c r="AD12" s="6">
        <f t="shared" si="1"/>
        <v>6.1357425613931492E-4</v>
      </c>
    </row>
    <row r="13" spans="1:30" x14ac:dyDescent="0.2">
      <c r="A13" s="8">
        <v>21</v>
      </c>
      <c r="B13" s="238">
        <v>0.99849275272018301</v>
      </c>
      <c r="C13" s="239">
        <v>3.6148459429406526E-6</v>
      </c>
      <c r="D13" s="239">
        <v>7.0164718350136657E-4</v>
      </c>
      <c r="E13" s="239">
        <v>1.1955625468777919E-5</v>
      </c>
      <c r="F13" s="8">
        <v>22</v>
      </c>
      <c r="G13" s="240">
        <v>8.6163145840631905E-4</v>
      </c>
      <c r="H13" s="240">
        <v>1.2726962288238293E-5</v>
      </c>
      <c r="I13" s="8"/>
      <c r="J13" s="8" t="s">
        <v>608</v>
      </c>
      <c r="K13" s="8"/>
      <c r="L13" s="8"/>
      <c r="M13" s="8"/>
      <c r="N13" s="8"/>
      <c r="T13">
        <v>9.9999920810000004E-2</v>
      </c>
      <c r="U13">
        <v>5.0082471999999597E-3</v>
      </c>
      <c r="V13">
        <v>0</v>
      </c>
      <c r="W13" s="1">
        <v>2.42629926824943E-8</v>
      </c>
      <c r="X13" s="1">
        <v>2.5771301868491501E-8</v>
      </c>
      <c r="Y13">
        <v>0</v>
      </c>
      <c r="AB13">
        <v>5000</v>
      </c>
      <c r="AC13" s="6">
        <f t="shared" si="0"/>
        <v>0.16502332068117909</v>
      </c>
      <c r="AD13" s="6">
        <f t="shared" si="1"/>
        <v>4.8446076468618588E-4</v>
      </c>
    </row>
    <row r="14" spans="1:30" x14ac:dyDescent="0.2">
      <c r="A14" s="8">
        <v>20</v>
      </c>
      <c r="B14" s="238">
        <v>0.99818497539675033</v>
      </c>
      <c r="C14" s="239">
        <v>2.160928090367837E-4</v>
      </c>
      <c r="D14" s="239">
        <v>7.7605396185567548E-4</v>
      </c>
      <c r="E14" s="239">
        <v>5.9579150064521444E-4</v>
      </c>
      <c r="F14" s="8">
        <v>44</v>
      </c>
      <c r="G14" s="240">
        <v>9.2323331380095373E-4</v>
      </c>
      <c r="H14" s="240">
        <v>5.9580747799084651E-4</v>
      </c>
      <c r="I14" s="8"/>
      <c r="J14" s="8" t="s">
        <v>609</v>
      </c>
      <c r="K14" s="8"/>
      <c r="L14" s="8"/>
      <c r="M14" s="8"/>
      <c r="N14" s="8"/>
      <c r="T14">
        <v>9.9999239207999996E-2</v>
      </c>
      <c r="U14">
        <v>3.0057599999999802E-3</v>
      </c>
      <c r="V14">
        <v>0</v>
      </c>
      <c r="W14" s="1">
        <v>2.7157745904359798E-8</v>
      </c>
      <c r="X14" s="1">
        <v>1.99493199737333E-17</v>
      </c>
      <c r="Y14">
        <v>0</v>
      </c>
      <c r="AB14">
        <v>3000</v>
      </c>
      <c r="AC14" s="6">
        <f t="shared" si="0"/>
        <v>0.19276225851920792</v>
      </c>
      <c r="AD14" s="6">
        <f t="shared" si="1"/>
        <v>9.0352343182289931E-4</v>
      </c>
    </row>
    <row r="15" spans="1:30" x14ac:dyDescent="0.2">
      <c r="A15" s="8">
        <v>19</v>
      </c>
      <c r="B15" s="238">
        <v>0.99896434877792573</v>
      </c>
      <c r="C15" s="239">
        <v>1.9254578479625976E-4</v>
      </c>
      <c r="D15" s="239">
        <v>1.2653057031175221E-3</v>
      </c>
      <c r="E15" s="239">
        <v>6.2465953638727353E-4</v>
      </c>
      <c r="F15" s="8">
        <v>22</v>
      </c>
      <c r="G15" s="240">
        <v>1.3605508157881229E-3</v>
      </c>
      <c r="H15" s="240">
        <v>6.2467477537379401E-4</v>
      </c>
      <c r="I15" s="8"/>
      <c r="J15" s="8" t="s">
        <v>610</v>
      </c>
      <c r="K15" s="8"/>
      <c r="L15" s="8"/>
      <c r="M15" s="8"/>
      <c r="N15" s="8"/>
      <c r="T15">
        <v>0.100000181112</v>
      </c>
      <c r="U15">
        <v>2.00738E-3</v>
      </c>
      <c r="V15">
        <v>0</v>
      </c>
      <c r="W15" s="1">
        <v>2.4558637967650199E-8</v>
      </c>
      <c r="X15" s="1">
        <v>2.6020852139652099E-18</v>
      </c>
      <c r="Y15">
        <v>0</v>
      </c>
      <c r="AB15">
        <v>2000</v>
      </c>
      <c r="AC15" s="6">
        <f t="shared" si="0"/>
        <v>0.368818220025946</v>
      </c>
      <c r="AD15" s="6">
        <f t="shared" si="1"/>
        <v>1.2234174878523348E-3</v>
      </c>
    </row>
    <row r="16" spans="1:30" x14ac:dyDescent="0.2">
      <c r="A16" s="8">
        <v>18</v>
      </c>
      <c r="B16" s="238">
        <v>0.99557347614458169</v>
      </c>
      <c r="C16" s="239">
        <v>5.0010645833437347E-6</v>
      </c>
      <c r="D16" s="239">
        <v>2.7217577128629813E-3</v>
      </c>
      <c r="E16" s="239">
        <v>1.5406495828958801E-5</v>
      </c>
      <c r="F16" s="8">
        <v>22</v>
      </c>
      <c r="G16" s="240">
        <v>2.7673209151685184E-3</v>
      </c>
      <c r="H16" s="240">
        <v>1.6012454604596804E-5</v>
      </c>
      <c r="I16" s="8"/>
      <c r="J16" s="8" t="s">
        <v>611</v>
      </c>
      <c r="K16" s="8"/>
      <c r="L16" s="8"/>
      <c r="M16" s="8"/>
      <c r="N16" s="8"/>
      <c r="T16">
        <v>0.100001643756</v>
      </c>
      <c r="U16">
        <v>1.50321671666666E-3</v>
      </c>
      <c r="V16">
        <v>0</v>
      </c>
      <c r="W16" s="1">
        <v>3.1273050035710202E-8</v>
      </c>
      <c r="X16" s="1">
        <v>1.0668381881626701E-6</v>
      </c>
      <c r="Y16">
        <v>0</v>
      </c>
      <c r="AB16">
        <v>1500</v>
      </c>
      <c r="AC16" s="6">
        <f t="shared" si="0"/>
        <v>0.21280052385594939</v>
      </c>
      <c r="AD16" s="6">
        <f t="shared" si="1"/>
        <v>2.0804086123428229E-3</v>
      </c>
    </row>
    <row r="17" spans="1:30" x14ac:dyDescent="0.2">
      <c r="A17" s="8">
        <v>17</v>
      </c>
      <c r="B17" s="238">
        <v>1.0017557844640224</v>
      </c>
      <c r="C17" s="239">
        <v>4.2196016872123614E-6</v>
      </c>
      <c r="D17" s="239">
        <v>4.2982133724686544E-3</v>
      </c>
      <c r="E17" s="239">
        <v>3.2062481067996784E-5</v>
      </c>
      <c r="F17" s="8">
        <v>33</v>
      </c>
      <c r="G17" s="240">
        <v>4.3272090537976515E-3</v>
      </c>
      <c r="H17" s="240">
        <v>3.2358017259594271E-5</v>
      </c>
      <c r="I17" s="8"/>
      <c r="J17" s="8" t="s">
        <v>612</v>
      </c>
      <c r="K17" s="8"/>
      <c r="L17" s="8"/>
      <c r="M17" s="8"/>
      <c r="N17" s="8"/>
      <c r="T17">
        <v>0.10000483604</v>
      </c>
      <c r="U17">
        <v>1.00471815E-3</v>
      </c>
      <c r="V17">
        <v>0</v>
      </c>
      <c r="W17" s="1">
        <v>2.46490362456719E-8</v>
      </c>
      <c r="X17" s="1">
        <v>4.8322639621571202E-8</v>
      </c>
      <c r="Y17">
        <v>0</v>
      </c>
      <c r="AB17">
        <v>1000</v>
      </c>
      <c r="AC17" s="6">
        <f t="shared" si="0"/>
        <v>0.46695637780278521</v>
      </c>
      <c r="AD17" s="6">
        <f t="shared" si="1"/>
        <v>2.4533284529270126E-3</v>
      </c>
    </row>
    <row r="18" spans="1:30" x14ac:dyDescent="0.2">
      <c r="A18" s="8">
        <v>16</v>
      </c>
      <c r="B18" s="238">
        <v>1.0056479368847406</v>
      </c>
      <c r="C18" s="239">
        <v>-5.7336111127237012E-5</v>
      </c>
      <c r="D18" s="239">
        <v>3.1996793509042453E-3</v>
      </c>
      <c r="E18" s="239">
        <v>5.8928474885354397E-5</v>
      </c>
      <c r="F18" s="8">
        <v>33</v>
      </c>
      <c r="G18" s="240">
        <v>3.2385255825148288E-3</v>
      </c>
      <c r="H18" s="240">
        <v>5.9089793882280487E-5</v>
      </c>
      <c r="I18" s="8"/>
      <c r="J18" s="8" t="s">
        <v>613</v>
      </c>
      <c r="K18" s="8"/>
      <c r="L18" s="8"/>
      <c r="M18" s="8"/>
      <c r="N18" s="8"/>
      <c r="T18">
        <v>0.10000072327200001</v>
      </c>
      <c r="U18">
        <v>7.0148591833333099E-4</v>
      </c>
      <c r="V18">
        <v>0</v>
      </c>
      <c r="W18" s="1">
        <v>1.9525143266376801E-8</v>
      </c>
      <c r="X18" s="1">
        <v>7.8833218569156704E-7</v>
      </c>
      <c r="Y18">
        <v>0</v>
      </c>
      <c r="AB18">
        <v>700</v>
      </c>
      <c r="AC18" s="6">
        <f t="shared" si="0"/>
        <v>0.21154924554225296</v>
      </c>
      <c r="AD18" s="6">
        <f t="shared" si="1"/>
        <v>2.7833977498460455E-3</v>
      </c>
    </row>
    <row r="19" spans="1:30" x14ac:dyDescent="0.2">
      <c r="A19" s="8">
        <v>15</v>
      </c>
      <c r="B19" s="238">
        <v>0.9996188452752619</v>
      </c>
      <c r="C19" s="239">
        <v>-1.1595760507494765E-5</v>
      </c>
      <c r="D19" s="239">
        <v>9.3610398907078424E-3</v>
      </c>
      <c r="E19" s="239">
        <v>2.7638298207587059E-4</v>
      </c>
      <c r="F19" s="8">
        <v>22</v>
      </c>
      <c r="G19" s="240">
        <v>9.3743889313076551E-3</v>
      </c>
      <c r="H19" s="240">
        <v>2.7641742233420737E-4</v>
      </c>
      <c r="I19" s="8"/>
      <c r="J19" s="8" t="s">
        <v>614</v>
      </c>
      <c r="K19" s="8"/>
      <c r="L19" s="8"/>
      <c r="M19" s="8"/>
      <c r="N19" s="8"/>
      <c r="T19">
        <v>0.100002350312</v>
      </c>
      <c r="U19">
        <v>7.0151134333333099E-4</v>
      </c>
      <c r="V19">
        <v>0</v>
      </c>
      <c r="W19" s="1">
        <v>2.3286391402247499E-8</v>
      </c>
      <c r="X19" s="1">
        <v>8.8916220236930297E-7</v>
      </c>
      <c r="Y19">
        <v>0</v>
      </c>
      <c r="AB19">
        <v>700</v>
      </c>
      <c r="AC19" s="6">
        <f t="shared" si="0"/>
        <v>0.21355085936438645</v>
      </c>
      <c r="AD19" s="6">
        <f t="shared" si="1"/>
        <v>3.3194604226353484E-3</v>
      </c>
    </row>
    <row r="20" spans="1:30" x14ac:dyDescent="0.2">
      <c r="A20" s="8">
        <v>14</v>
      </c>
      <c r="B20" s="238">
        <v>1.0095896250080423</v>
      </c>
      <c r="C20" s="239">
        <v>7.7767685625269043E-4</v>
      </c>
      <c r="D20" s="239">
        <v>7.960058147895752E-3</v>
      </c>
      <c r="E20" s="239">
        <v>3.7282563093235829E-3</v>
      </c>
      <c r="F20" s="8">
        <v>33</v>
      </c>
      <c r="G20" s="240">
        <v>7.9757523606166173E-3</v>
      </c>
      <c r="H20" s="240">
        <v>3.7282588626059536E-3</v>
      </c>
      <c r="I20" s="8"/>
      <c r="J20" s="8" t="s">
        <v>615</v>
      </c>
      <c r="K20" s="8"/>
      <c r="L20" s="8"/>
      <c r="M20" s="8"/>
      <c r="N20" s="8"/>
      <c r="T20">
        <v>0.100001767048</v>
      </c>
      <c r="U20">
        <v>5.0239874333333199E-4</v>
      </c>
      <c r="V20">
        <v>0</v>
      </c>
      <c r="W20" s="1">
        <v>2.5680230914494399E-8</v>
      </c>
      <c r="X20" s="1">
        <v>5.6661957745529499E-8</v>
      </c>
      <c r="Y20">
        <v>0</v>
      </c>
      <c r="AB20">
        <v>500</v>
      </c>
      <c r="AC20" s="6">
        <f t="shared" si="0"/>
        <v>0.47797317265101391</v>
      </c>
      <c r="AD20" s="6">
        <f t="shared" si="1"/>
        <v>5.1115237160249136E-3</v>
      </c>
    </row>
    <row r="21" spans="1:30" x14ac:dyDescent="0.2">
      <c r="A21" s="8">
        <v>13</v>
      </c>
      <c r="B21" s="238">
        <v>1.0053953505862041</v>
      </c>
      <c r="C21" s="239">
        <v>6.9050268540044751E-4</v>
      </c>
      <c r="D21" s="239">
        <v>1.301025251949345E-2</v>
      </c>
      <c r="E21" s="239">
        <v>1.4303277795795915E-3</v>
      </c>
      <c r="F21" s="8">
        <v>32</v>
      </c>
      <c r="G21" s="240">
        <v>1.3019860622179705E-2</v>
      </c>
      <c r="H21" s="240">
        <v>1.4303344348878067E-3</v>
      </c>
      <c r="I21" s="8"/>
      <c r="J21" s="8" t="s">
        <v>616</v>
      </c>
      <c r="K21" s="8"/>
      <c r="L21" s="8"/>
      <c r="M21" s="8"/>
      <c r="N21" s="8"/>
      <c r="T21">
        <v>0.10000130290000001</v>
      </c>
      <c r="U21">
        <v>3.0142781999999802E-4</v>
      </c>
      <c r="V21">
        <v>0</v>
      </c>
      <c r="W21" s="1">
        <v>7.1037458006362296E-9</v>
      </c>
      <c r="X21" s="1">
        <v>2.4654633966051698E-7</v>
      </c>
      <c r="Y21">
        <v>0</v>
      </c>
      <c r="AB21">
        <v>300</v>
      </c>
      <c r="AC21" s="6">
        <f t="shared" si="0"/>
        <v>0.47463091603314744</v>
      </c>
      <c r="AD21" s="6">
        <f t="shared" si="1"/>
        <v>2.3566987946355704E-3</v>
      </c>
    </row>
    <row r="22" spans="1:30" x14ac:dyDescent="0.2">
      <c r="A22" s="8">
        <v>12</v>
      </c>
      <c r="B22" s="238">
        <v>1.0025919000648218</v>
      </c>
      <c r="C22" s="239">
        <v>-3.8045042682837639E-3</v>
      </c>
      <c r="D22" s="239">
        <v>2.0491566377311071E-2</v>
      </c>
      <c r="E22" s="239">
        <v>2.6944007866807618E-2</v>
      </c>
      <c r="F22" s="8">
        <v>22</v>
      </c>
      <c r="G22" s="240">
        <v>2.0497667979449408E-2</v>
      </c>
      <c r="H22" s="240">
        <v>2.6944008220106737E-2</v>
      </c>
      <c r="I22" s="8"/>
      <c r="J22" s="8" t="s">
        <v>617</v>
      </c>
      <c r="K22" s="8"/>
      <c r="L22" s="8"/>
      <c r="M22" s="8"/>
      <c r="N22" s="8"/>
      <c r="T22">
        <v>0.10000126437200001</v>
      </c>
      <c r="U22">
        <v>2.0162764500000101E-4</v>
      </c>
      <c r="V22">
        <v>0</v>
      </c>
      <c r="W22" s="1">
        <v>1.7243991818426301E-8</v>
      </c>
      <c r="X22" s="1">
        <v>2.5305578601036199E-8</v>
      </c>
      <c r="Y22">
        <v>0</v>
      </c>
      <c r="AB22">
        <v>200</v>
      </c>
      <c r="AC22" s="6">
        <f t="shared" si="0"/>
        <v>0.81254785437296917</v>
      </c>
      <c r="AD22" s="6">
        <f t="shared" si="1"/>
        <v>8.5523945976883359E-3</v>
      </c>
    </row>
    <row r="23" spans="1:30" x14ac:dyDescent="0.2">
      <c r="A23" s="8">
        <v>11</v>
      </c>
      <c r="B23" s="238">
        <v>0.99788750574655516</v>
      </c>
      <c r="C23" s="239">
        <v>-1.7490348174654932E-2</v>
      </c>
      <c r="D23" s="239">
        <v>2.6366736049093297E-2</v>
      </c>
      <c r="E23" s="239">
        <v>6.1908093899601904E-2</v>
      </c>
      <c r="F23" s="8">
        <v>44</v>
      </c>
      <c r="G23" s="240">
        <v>2.6371478340862047E-2</v>
      </c>
      <c r="H23" s="240">
        <v>6.1908094053366843E-2</v>
      </c>
      <c r="I23" s="8"/>
      <c r="J23" s="8" t="s">
        <v>618</v>
      </c>
      <c r="K23" s="8"/>
      <c r="L23" s="8"/>
      <c r="M23" s="8"/>
      <c r="N23" s="8"/>
      <c r="T23">
        <v>0.10000082233800001</v>
      </c>
      <c r="U23">
        <v>1.51159466666668E-4</v>
      </c>
      <c r="V23">
        <v>0</v>
      </c>
      <c r="W23" s="1">
        <v>2.64924933833622E-8</v>
      </c>
      <c r="X23" s="1">
        <v>4.29551574965725E-8</v>
      </c>
      <c r="Y23">
        <v>0</v>
      </c>
      <c r="AB23">
        <v>150</v>
      </c>
      <c r="AC23" s="6">
        <f t="shared" si="0"/>
        <v>0.77214909010330235</v>
      </c>
      <c r="AD23" s="6">
        <f t="shared" si="1"/>
        <v>1.7526188711543021E-2</v>
      </c>
    </row>
    <row r="24" spans="1:30" x14ac:dyDescent="0.2">
      <c r="A24" s="8">
        <v>10</v>
      </c>
      <c r="B24" s="238">
        <v>1.0130682001372449</v>
      </c>
      <c r="C24" s="239">
        <v>3.9181899679104598E-2</v>
      </c>
      <c r="D24" s="239">
        <v>5.9057444650890703E-2</v>
      </c>
      <c r="E24" s="239">
        <v>8.3324190181391325E-2</v>
      </c>
      <c r="F24" s="8">
        <v>34</v>
      </c>
      <c r="G24" s="240">
        <v>5.9059562042848054E-2</v>
      </c>
      <c r="H24" s="240">
        <v>8.3324190295635384E-2</v>
      </c>
      <c r="I24" s="8"/>
      <c r="J24" s="8" t="s">
        <v>619</v>
      </c>
      <c r="K24" s="8"/>
      <c r="L24" s="8"/>
      <c r="M24" s="8"/>
      <c r="N24" s="8"/>
      <c r="T24">
        <v>9.9999199701999997E-2</v>
      </c>
      <c r="U24">
        <v>1.00635251666667E-4</v>
      </c>
      <c r="V24">
        <v>0</v>
      </c>
      <c r="W24" s="1">
        <v>1.9855641601349701E-8</v>
      </c>
      <c r="X24" s="1">
        <v>7.7411237699840899E-9</v>
      </c>
      <c r="Y24">
        <v>0</v>
      </c>
      <c r="AB24">
        <v>100</v>
      </c>
      <c r="AC24" s="6">
        <f t="shared" si="0"/>
        <v>0.63605705501890153</v>
      </c>
      <c r="AD24" s="6">
        <f t="shared" si="1"/>
        <v>1.9730304513091813E-2</v>
      </c>
    </row>
    <row r="25" spans="1:30" x14ac:dyDescent="0.2">
      <c r="A25" s="8">
        <v>9</v>
      </c>
      <c r="B25" s="238">
        <v>1.0346386436022303</v>
      </c>
      <c r="C25" s="239">
        <v>7.2497820932886411E-2</v>
      </c>
      <c r="D25" s="239">
        <v>0.16272030776365717</v>
      </c>
      <c r="E25" s="239">
        <v>0.26290173256705773</v>
      </c>
      <c r="F25" s="8">
        <v>19</v>
      </c>
      <c r="G25" s="240">
        <v>0.16272107625842239</v>
      </c>
      <c r="H25" s="240">
        <v>0.26290173260326627</v>
      </c>
      <c r="I25" s="8"/>
      <c r="J25" s="8" t="s">
        <v>620</v>
      </c>
      <c r="K25" s="8"/>
      <c r="L25" s="8"/>
      <c r="M25" s="8"/>
      <c r="N25" s="8"/>
      <c r="T25">
        <v>9.9999817406000002E-2</v>
      </c>
      <c r="U25" s="1">
        <v>6.0471446500000199E-5</v>
      </c>
      <c r="V25">
        <v>0</v>
      </c>
      <c r="W25" s="1">
        <v>6.9860724134846499E-9</v>
      </c>
      <c r="X25" s="1">
        <v>2.83139509974034E-8</v>
      </c>
      <c r="Y25">
        <v>0</v>
      </c>
      <c r="AB25">
        <v>60</v>
      </c>
      <c r="AC25" s="6">
        <f t="shared" si="0"/>
        <v>0.78592819572473882</v>
      </c>
      <c r="AD25" s="6">
        <f t="shared" si="1"/>
        <v>1.1552679517075264E-2</v>
      </c>
    </row>
    <row r="26" spans="1:30" x14ac:dyDescent="0.2">
      <c r="A26" s="8">
        <v>8</v>
      </c>
      <c r="B26" s="238">
        <v>1.0498340568854296</v>
      </c>
      <c r="C26" s="239">
        <v>-0.2210029165032211</v>
      </c>
      <c r="D26" s="239">
        <v>0.33189664751687109</v>
      </c>
      <c r="E26" s="239">
        <v>0.40838050573167511</v>
      </c>
      <c r="F26" s="8">
        <v>9</v>
      </c>
      <c r="G26" s="240">
        <v>0.33189702429057444</v>
      </c>
      <c r="H26" s="240">
        <v>0.40838050575498497</v>
      </c>
      <c r="I26" s="8"/>
      <c r="J26" s="8" t="s">
        <v>621</v>
      </c>
      <c r="K26" s="8"/>
      <c r="L26" s="8"/>
      <c r="M26" s="8"/>
      <c r="N26" s="8"/>
      <c r="T26">
        <v>0.10000001455</v>
      </c>
      <c r="U26" s="1">
        <v>5.03329089999997E-5</v>
      </c>
      <c r="V26">
        <v>0</v>
      </c>
      <c r="W26" s="1">
        <v>2.5241810424463199E-8</v>
      </c>
      <c r="X26" s="1">
        <v>9.7758385318090393E-9</v>
      </c>
      <c r="Y26">
        <v>0</v>
      </c>
      <c r="AB26">
        <v>50</v>
      </c>
      <c r="AC26" s="6">
        <f t="shared" si="0"/>
        <v>0.66580335312502736</v>
      </c>
      <c r="AD26" s="6">
        <f t="shared" si="1"/>
        <v>5.0149715019378968E-2</v>
      </c>
    </row>
    <row r="27" spans="1:30" x14ac:dyDescent="0.2">
      <c r="A27" s="8"/>
      <c r="B27" s="238"/>
      <c r="C27" s="239"/>
      <c r="D27" s="239"/>
      <c r="E27" s="239"/>
      <c r="F27" s="8"/>
      <c r="G27" s="240"/>
      <c r="H27" s="240"/>
      <c r="I27" s="8"/>
      <c r="J27" s="8"/>
      <c r="K27" s="8"/>
      <c r="L27" s="8"/>
      <c r="M27" s="8"/>
      <c r="N27" s="8"/>
      <c r="T27">
        <v>0.100002128654</v>
      </c>
      <c r="U27" s="1">
        <v>3.0113458499999999E-5</v>
      </c>
      <c r="V27">
        <v>0</v>
      </c>
      <c r="W27" s="1">
        <v>3.2031147026696997E-8</v>
      </c>
      <c r="X27" s="1">
        <v>2.5303500099344001E-7</v>
      </c>
      <c r="Y27">
        <v>0</v>
      </c>
      <c r="AB27">
        <v>30</v>
      </c>
      <c r="AC27" s="6">
        <f t="shared" si="0"/>
        <v>0.37605834101908098</v>
      </c>
      <c r="AD27" s="6">
        <f t="shared" si="1"/>
        <v>0.10636821083402626</v>
      </c>
    </row>
    <row r="28" spans="1:30" x14ac:dyDescent="0.2">
      <c r="A28" s="8" t="s">
        <v>600</v>
      </c>
      <c r="B28" s="238"/>
      <c r="C28" s="239"/>
      <c r="D28" s="239"/>
      <c r="E28" s="239"/>
      <c r="F28" s="8"/>
      <c r="G28" s="240"/>
      <c r="H28" s="240"/>
      <c r="I28" s="8"/>
      <c r="J28" s="8"/>
      <c r="K28" s="8"/>
      <c r="L28" s="8"/>
      <c r="M28" s="8"/>
      <c r="N28" s="8"/>
      <c r="T28">
        <v>0.1000015125</v>
      </c>
      <c r="U28" s="1">
        <v>2.01068126666666E-5</v>
      </c>
      <c r="V28">
        <v>0</v>
      </c>
      <c r="W28" s="1">
        <v>1.00671211376321E-8</v>
      </c>
      <c r="X28" s="1">
        <v>2.5579652842748998E-8</v>
      </c>
      <c r="Y28">
        <v>0</v>
      </c>
      <c r="AB28">
        <v>20</v>
      </c>
      <c r="AC28" s="6">
        <f>100*((U28-$U$37)*0.1/(AB28*10^-6*T28)-1)</f>
        <v>0.3734461742429751</v>
      </c>
      <c r="AD28" s="6">
        <f t="shared" si="1"/>
        <v>5.006820973829202E-2</v>
      </c>
    </row>
    <row r="29" spans="1:30" x14ac:dyDescent="0.2">
      <c r="A29" s="8"/>
      <c r="B29" s="238"/>
      <c r="C29" s="239"/>
      <c r="D29" s="239"/>
      <c r="E29" s="239"/>
      <c r="F29" s="8"/>
      <c r="G29" s="240"/>
      <c r="H29" s="240"/>
      <c r="I29" s="8"/>
      <c r="J29" s="8"/>
      <c r="K29" s="8"/>
      <c r="L29" s="8"/>
      <c r="M29" s="8"/>
      <c r="N29" s="8"/>
      <c r="T29">
        <v>0.10000191822</v>
      </c>
      <c r="U29" s="1">
        <v>1.52642728333333E-5</v>
      </c>
      <c r="V29">
        <v>0</v>
      </c>
      <c r="W29" s="1">
        <v>9.9563294722329505E-9</v>
      </c>
      <c r="X29" s="1">
        <v>6.6543052709421304E-9</v>
      </c>
      <c r="Y29">
        <v>0</v>
      </c>
      <c r="AB29">
        <v>15</v>
      </c>
      <c r="AC29" s="6">
        <f t="shared" ref="AC29:AC36" si="2">100*((U29-$U$37)*0.1/(AB29*10^-6*T29)-1)</f>
        <v>1.547738965561396</v>
      </c>
      <c r="AD29" s="6">
        <f t="shared" si="1"/>
        <v>6.5226359492807626E-2</v>
      </c>
    </row>
    <row r="30" spans="1:30" x14ac:dyDescent="0.2">
      <c r="A30" s="8"/>
      <c r="B30" s="8" t="s">
        <v>593</v>
      </c>
      <c r="C30" s="8"/>
      <c r="D30" s="8"/>
      <c r="E30" s="8"/>
      <c r="F30" s="8"/>
      <c r="G30" s="8" t="s">
        <v>98</v>
      </c>
      <c r="H30" s="8" t="s">
        <v>99</v>
      </c>
      <c r="I30" s="8"/>
      <c r="J30" s="8"/>
      <c r="K30" s="8"/>
      <c r="L30" s="8"/>
      <c r="M30" s="8"/>
      <c r="N30" s="8"/>
      <c r="T30">
        <v>0.100000199466</v>
      </c>
      <c r="U30" s="1">
        <v>1.0103183E-5</v>
      </c>
      <c r="V30">
        <v>0</v>
      </c>
      <c r="W30" s="1">
        <v>1.5225182142181701E-8</v>
      </c>
      <c r="X30" s="1">
        <v>1.1612590628566301E-7</v>
      </c>
      <c r="Y30">
        <v>0</v>
      </c>
      <c r="AB30">
        <v>10</v>
      </c>
      <c r="AC30" s="6">
        <f t="shared" si="2"/>
        <v>0.71343108951420486</v>
      </c>
      <c r="AD30" s="6">
        <f t="shared" si="1"/>
        <v>0.1506968857456279</v>
      </c>
    </row>
    <row r="31" spans="1:30" x14ac:dyDescent="0.2">
      <c r="A31" s="8" t="s">
        <v>594</v>
      </c>
      <c r="B31" s="8" t="s">
        <v>98</v>
      </c>
      <c r="C31" s="237" t="s">
        <v>99</v>
      </c>
      <c r="D31" s="8" t="s">
        <v>595</v>
      </c>
      <c r="E31" s="8" t="s">
        <v>596</v>
      </c>
      <c r="F31" s="8" t="s">
        <v>597</v>
      </c>
      <c r="G31" s="8" t="s">
        <v>598</v>
      </c>
      <c r="H31" s="8" t="s">
        <v>598</v>
      </c>
      <c r="I31" s="8"/>
      <c r="J31" s="8" t="s">
        <v>599</v>
      </c>
      <c r="K31" s="8"/>
      <c r="L31" s="8"/>
      <c r="M31" s="8"/>
      <c r="N31" s="8"/>
      <c r="T31">
        <v>0.10000236050400001</v>
      </c>
      <c r="U31" s="1">
        <v>5.9641178166666696E-6</v>
      </c>
      <c r="V31" s="1">
        <v>-3.1354742166666701E-9</v>
      </c>
      <c r="W31" s="1">
        <v>1.94375757111291E-8</v>
      </c>
      <c r="X31" s="1">
        <v>5.1200651920326001E-8</v>
      </c>
      <c r="Y31" s="1">
        <v>6.3680087093500896E-9</v>
      </c>
      <c r="AB31">
        <v>6</v>
      </c>
      <c r="AC31" s="6">
        <f t="shared" si="2"/>
        <v>-1.130700238386706</v>
      </c>
      <c r="AD31" s="6">
        <f t="shared" si="1"/>
        <v>0.32590864749202281</v>
      </c>
    </row>
    <row r="32" spans="1:30" x14ac:dyDescent="0.2">
      <c r="A32" s="8">
        <v>26</v>
      </c>
      <c r="B32" s="238">
        <v>1.0016078029164854</v>
      </c>
      <c r="C32" s="239">
        <v>1.5192712655250437E-4</v>
      </c>
      <c r="D32" s="239">
        <v>3.7799689661423539E-5</v>
      </c>
      <c r="E32" s="239">
        <v>3.6405134018955941E-5</v>
      </c>
      <c r="F32" s="8">
        <v>22</v>
      </c>
      <c r="G32" s="240">
        <v>5.0152648637783815E-4</v>
      </c>
      <c r="H32" s="240">
        <v>3.66656838429981E-5</v>
      </c>
      <c r="I32" s="8"/>
      <c r="J32" s="8" t="s">
        <v>622</v>
      </c>
      <c r="K32" s="8"/>
      <c r="L32" s="8"/>
      <c r="M32" s="8"/>
      <c r="N32" s="8"/>
      <c r="T32">
        <v>0.10000190132</v>
      </c>
      <c r="U32" s="1">
        <v>5.0692357166666701E-6</v>
      </c>
      <c r="V32" s="1">
        <v>-6.4467313666666497E-9</v>
      </c>
      <c r="W32" s="1">
        <v>8.2515275046459608E-9</v>
      </c>
      <c r="X32" s="1">
        <v>9.1341181399664402E-8</v>
      </c>
      <c r="Y32" s="1">
        <v>2.48519441937089E-8</v>
      </c>
      <c r="AB32">
        <v>5</v>
      </c>
      <c r="AC32" s="6">
        <f t="shared" si="2"/>
        <v>0.74640277896143026</v>
      </c>
      <c r="AD32" s="6">
        <f t="shared" si="1"/>
        <v>0.16277655973890756</v>
      </c>
    </row>
    <row r="33" spans="1:30" x14ac:dyDescent="0.2">
      <c r="A33" s="8">
        <v>25</v>
      </c>
      <c r="B33" s="238">
        <v>1.0015174183724447</v>
      </c>
      <c r="C33" s="239">
        <v>1.4811531384428052E-4</v>
      </c>
      <c r="D33" s="239">
        <v>7.2687610369293482E-5</v>
      </c>
      <c r="E33" s="239">
        <v>3.5913256593543742E-5</v>
      </c>
      <c r="F33" s="8">
        <v>22</v>
      </c>
      <c r="G33" s="240">
        <v>5.0535481466114308E-4</v>
      </c>
      <c r="H33" s="240">
        <v>3.6177349099820201E-5</v>
      </c>
      <c r="I33" s="8"/>
      <c r="J33" s="8" t="s">
        <v>623</v>
      </c>
      <c r="K33" s="8"/>
      <c r="L33" s="8"/>
      <c r="M33" s="8"/>
      <c r="N33" s="8"/>
      <c r="T33">
        <v>0.100002101308</v>
      </c>
      <c r="U33" s="1">
        <v>3.08897075E-6</v>
      </c>
      <c r="V33" s="1">
        <v>1.4709921633333601E-8</v>
      </c>
      <c r="W33" s="1">
        <v>2.5934782058559501E-8</v>
      </c>
      <c r="X33" s="1">
        <v>1.6430447040099101E-8</v>
      </c>
      <c r="Y33" s="1">
        <v>4.26459786294364E-8</v>
      </c>
      <c r="AB33">
        <v>3</v>
      </c>
      <c r="AC33" s="6">
        <f t="shared" si="2"/>
        <v>1.9028903016360843</v>
      </c>
      <c r="AD33" s="6">
        <f t="shared" si="1"/>
        <v>0.83959299577568025</v>
      </c>
    </row>
    <row r="34" spans="1:30" x14ac:dyDescent="0.2">
      <c r="A34" s="8">
        <v>24</v>
      </c>
      <c r="B34" s="238">
        <v>1.0011995088234984</v>
      </c>
      <c r="C34" s="239">
        <v>1.1688986279836311E-4</v>
      </c>
      <c r="D34" s="239">
        <v>9.2902039225725233E-5</v>
      </c>
      <c r="E34" s="239">
        <v>2.8101924044719553E-5</v>
      </c>
      <c r="F34" s="8">
        <v>22</v>
      </c>
      <c r="G34" s="240">
        <v>5.0865586489521393E-4</v>
      </c>
      <c r="H34" s="240">
        <v>2.84386484164022E-5</v>
      </c>
      <c r="I34" s="8"/>
      <c r="J34" s="8" t="s">
        <v>624</v>
      </c>
      <c r="K34" s="8"/>
      <c r="L34" s="8"/>
      <c r="M34" s="8"/>
      <c r="N34" s="8"/>
      <c r="T34">
        <v>0.100002076178</v>
      </c>
      <c r="U34" s="1">
        <v>2.01201373333333E-6</v>
      </c>
      <c r="V34" s="1">
        <v>-3.20920930000004E-10</v>
      </c>
      <c r="W34" s="1">
        <v>1.2326127441893E-8</v>
      </c>
      <c r="X34" s="1">
        <v>3.2166425395571902E-8</v>
      </c>
      <c r="Y34" s="1">
        <v>9.0709884419730404E-9</v>
      </c>
      <c r="AB34">
        <v>2</v>
      </c>
      <c r="AC34" s="6">
        <f t="shared" si="2"/>
        <v>-0.99235901536058879</v>
      </c>
      <c r="AD34" s="6">
        <f t="shared" si="1"/>
        <v>0.61262640695161363</v>
      </c>
    </row>
    <row r="35" spans="1:30" x14ac:dyDescent="0.2">
      <c r="A35" s="8">
        <v>23</v>
      </c>
      <c r="B35" s="238">
        <v>1.0009970744377843</v>
      </c>
      <c r="C35" s="239">
        <v>1.2452179751487187E-4</v>
      </c>
      <c r="D35" s="239">
        <v>6.8270381715135244E-5</v>
      </c>
      <c r="E35" s="239">
        <v>6.2290408525880742E-5</v>
      </c>
      <c r="F35" s="8">
        <v>33</v>
      </c>
      <c r="G35" s="240">
        <v>5.0473839265458129E-4</v>
      </c>
      <c r="H35" s="240">
        <v>6.244304271139952E-5</v>
      </c>
      <c r="I35" s="8"/>
      <c r="J35" s="8" t="s">
        <v>625</v>
      </c>
      <c r="K35" s="8"/>
      <c r="L35" s="8"/>
      <c r="M35" s="8"/>
      <c r="N35" s="8"/>
      <c r="T35">
        <v>0.10000201976</v>
      </c>
      <c r="U35" s="1">
        <v>1.5329585166666601E-6</v>
      </c>
      <c r="V35" s="1">
        <v>1.08753862966668E-8</v>
      </c>
      <c r="W35" s="1">
        <v>2.7378020940877499E-8</v>
      </c>
      <c r="X35" s="1">
        <v>2.89905115218708E-8</v>
      </c>
      <c r="Y35" s="1">
        <v>3.72159282096853E-8</v>
      </c>
      <c r="AB35">
        <v>1.5</v>
      </c>
      <c r="AC35" s="6">
        <f t="shared" si="2"/>
        <v>7.3893049092865759E-2</v>
      </c>
      <c r="AD35" s="6">
        <f t="shared" si="1"/>
        <v>1.7859596749173361</v>
      </c>
    </row>
    <row r="36" spans="1:30" x14ac:dyDescent="0.2">
      <c r="A36" s="8">
        <v>22</v>
      </c>
      <c r="B36" s="238">
        <v>1.0006291145303972</v>
      </c>
      <c r="C36" s="239">
        <v>8.8553641993382965E-5</v>
      </c>
      <c r="D36" s="239">
        <v>1.5888807989667493E-4</v>
      </c>
      <c r="E36" s="239">
        <v>2.9862288878635016E-5</v>
      </c>
      <c r="F36" s="8">
        <v>22</v>
      </c>
      <c r="G36" s="240">
        <v>5.2473366761934782E-4</v>
      </c>
      <c r="H36" s="240">
        <v>3.0179378486105328E-5</v>
      </c>
      <c r="I36" s="8"/>
      <c r="J36" s="8" t="s">
        <v>626</v>
      </c>
      <c r="K36" s="8"/>
      <c r="L36" s="8"/>
      <c r="M36" s="8"/>
      <c r="N36" s="8"/>
      <c r="T36">
        <v>0.10000070916000001</v>
      </c>
      <c r="U36" s="1">
        <v>1.08404731666667E-6</v>
      </c>
      <c r="V36" s="1">
        <v>1.5457901780000699E-8</v>
      </c>
      <c r="W36" s="1">
        <v>2.3571140368769999E-8</v>
      </c>
      <c r="X36" s="1">
        <v>1.6547726187195299E-8</v>
      </c>
      <c r="Y36" s="1">
        <v>4.6304960106886297E-8</v>
      </c>
      <c r="AB36">
        <v>1</v>
      </c>
      <c r="AC36" s="6">
        <f t="shared" si="2"/>
        <v>5.222005259961171</v>
      </c>
      <c r="AD36" s="6">
        <f t="shared" si="1"/>
        <v>2.1743645324678949</v>
      </c>
    </row>
    <row r="37" spans="1:30" x14ac:dyDescent="0.2">
      <c r="A37" s="8">
        <v>21</v>
      </c>
      <c r="B37" s="238">
        <v>0.99977536454902205</v>
      </c>
      <c r="C37" s="239">
        <v>1.6098687819726499E-5</v>
      </c>
      <c r="D37" s="239">
        <v>2.5773156008186541E-4</v>
      </c>
      <c r="E37" s="239">
        <v>3.3073332621746213E-5</v>
      </c>
      <c r="F37" s="8">
        <v>22</v>
      </c>
      <c r="G37" s="240">
        <v>5.6260604072675237E-4</v>
      </c>
      <c r="H37" s="240">
        <v>3.3359914859681681E-5</v>
      </c>
      <c r="I37" s="8"/>
      <c r="J37" s="8" t="s">
        <v>627</v>
      </c>
      <c r="K37" s="8"/>
      <c r="L37" s="8"/>
      <c r="M37" s="8"/>
      <c r="N37" s="8"/>
      <c r="T37">
        <v>0.10000310763799999</v>
      </c>
      <c r="U37" s="1">
        <v>3.18198021433333E-8</v>
      </c>
      <c r="V37" s="1">
        <v>-2.7053358186666599E-8</v>
      </c>
      <c r="W37" s="1">
        <v>2.9432152648708501E-8</v>
      </c>
      <c r="X37" s="1">
        <v>3.2263167750125198E-8</v>
      </c>
      <c r="Y37" s="1">
        <v>2.41349179017517E-8</v>
      </c>
      <c r="AC37" s="6"/>
      <c r="AD37" s="6"/>
    </row>
    <row r="38" spans="1:30" x14ac:dyDescent="0.2">
      <c r="A38" s="8">
        <v>20</v>
      </c>
      <c r="B38" s="238">
        <v>0.99970154834016622</v>
      </c>
      <c r="C38" s="239">
        <v>1.4661489492295637E-4</v>
      </c>
      <c r="D38" s="239">
        <v>2.0711152734856513E-4</v>
      </c>
      <c r="E38" s="239">
        <v>1.1137367087264245E-4</v>
      </c>
      <c r="F38" s="8">
        <v>44</v>
      </c>
      <c r="G38" s="240">
        <v>5.4129029620034338E-4</v>
      </c>
      <c r="H38" s="240">
        <v>1.1145910977746159E-4</v>
      </c>
      <c r="I38" s="8"/>
      <c r="J38" s="8" t="s">
        <v>628</v>
      </c>
      <c r="K38" s="8"/>
      <c r="L38" s="8"/>
      <c r="M38" s="8"/>
      <c r="N38" s="8"/>
    </row>
    <row r="39" spans="1:30" x14ac:dyDescent="0.2">
      <c r="A39" s="8">
        <v>19</v>
      </c>
      <c r="B39" s="238">
        <v>0.99897406304969505</v>
      </c>
      <c r="C39" s="239">
        <v>7.253990449354202E-6</v>
      </c>
      <c r="D39" s="239">
        <v>3.6770418225555494E-4</v>
      </c>
      <c r="E39" s="239">
        <v>2.4998376085468517E-5</v>
      </c>
      <c r="F39" s="8">
        <v>22</v>
      </c>
      <c r="G39" s="240">
        <v>6.2073050968051047E-4</v>
      </c>
      <c r="H39" s="240">
        <v>2.5376315643668069E-5</v>
      </c>
      <c r="I39" s="8"/>
      <c r="J39" s="8" t="s">
        <v>629</v>
      </c>
      <c r="K39" s="8"/>
      <c r="L39" s="8"/>
      <c r="M39" s="8"/>
      <c r="N39" s="8"/>
      <c r="O39" s="3"/>
      <c r="S39" t="s">
        <v>349</v>
      </c>
      <c r="T39">
        <v>9.9996489970000005E-2</v>
      </c>
      <c r="U39" s="1">
        <v>1.00859066333333E-5</v>
      </c>
      <c r="V39" s="1">
        <v>-1.8626600000000102E-9</v>
      </c>
      <c r="W39" s="1">
        <v>5.7633315168255897E-8</v>
      </c>
      <c r="X39" s="1">
        <v>1.0427506217531399E-7</v>
      </c>
      <c r="Y39" s="1">
        <v>5.3766739815946799E-24</v>
      </c>
      <c r="AB39">
        <v>10</v>
      </c>
      <c r="AC39" s="6">
        <f>100*(U39*0.1/(AB39*10^-6*T39)-1)</f>
        <v>0.86260664108488427</v>
      </c>
      <c r="AD39" s="6">
        <f>100*W39/U39</f>
        <v>0.57142423842970491</v>
      </c>
    </row>
    <row r="40" spans="1:30" x14ac:dyDescent="0.2">
      <c r="A40" s="8">
        <v>18</v>
      </c>
      <c r="B40" s="238">
        <v>0.99745399787727462</v>
      </c>
      <c r="C40" s="239">
        <v>5.0988562586419942E-6</v>
      </c>
      <c r="D40" s="239">
        <v>7.2149869628978407E-4</v>
      </c>
      <c r="E40" s="239">
        <v>1.6247882846437007E-5</v>
      </c>
      <c r="F40" s="8">
        <v>22</v>
      </c>
      <c r="G40" s="240">
        <v>8.7787263811321627E-4</v>
      </c>
      <c r="H40" s="240">
        <v>1.6823563407556985E-5</v>
      </c>
      <c r="I40" s="8"/>
      <c r="J40" s="8" t="s">
        <v>630</v>
      </c>
      <c r="K40" s="8"/>
      <c r="L40" s="8"/>
      <c r="M40" s="8"/>
      <c r="N40" s="8"/>
      <c r="O40" s="3"/>
      <c r="T40">
        <v>0.100000035308</v>
      </c>
      <c r="U40" s="1">
        <v>5.9549662833333197E-6</v>
      </c>
      <c r="V40" s="1">
        <v>-4.65665000000001E-10</v>
      </c>
      <c r="W40" s="1">
        <v>2.5143519614669898E-8</v>
      </c>
      <c r="X40" s="1">
        <v>7.8131212231004997E-8</v>
      </c>
      <c r="Y40" s="1">
        <v>1.34416849539867E-24</v>
      </c>
      <c r="AB40">
        <v>6</v>
      </c>
      <c r="AC40" s="6">
        <f t="shared" ref="AC40:AC45" si="3">100*(U40*0.1/(AB40*10^-6*T40)-1)</f>
        <v>-0.75059698742387937</v>
      </c>
      <c r="AD40" s="6">
        <f t="shared" ref="AD40:AD45" si="4">100*W40/U40</f>
        <v>0.42222774098723692</v>
      </c>
    </row>
    <row r="41" spans="1:30" x14ac:dyDescent="0.2">
      <c r="A41" s="8">
        <v>17</v>
      </c>
      <c r="B41" s="238">
        <v>0.99743510661521617</v>
      </c>
      <c r="C41" s="239">
        <v>4.8743472807353413E-5</v>
      </c>
      <c r="D41" s="239">
        <v>9.7591254837774686E-4</v>
      </c>
      <c r="E41" s="239">
        <v>2.0096503216642596E-4</v>
      </c>
      <c r="F41" s="8">
        <v>33</v>
      </c>
      <c r="G41" s="240">
        <v>1.0965880275113113E-3</v>
      </c>
      <c r="H41" s="240">
        <v>2.0101239449941681E-4</v>
      </c>
      <c r="I41" s="8"/>
      <c r="J41" s="8" t="s">
        <v>631</v>
      </c>
      <c r="K41" s="8"/>
      <c r="L41" s="8"/>
      <c r="M41" s="8"/>
      <c r="N41" s="8"/>
      <c r="O41" s="3"/>
      <c r="T41">
        <v>9.9999419951999999E-2</v>
      </c>
      <c r="U41" s="1">
        <v>5.10062081666667E-6</v>
      </c>
      <c r="V41" s="1">
        <v>-2.3283199999999899E-10</v>
      </c>
      <c r="W41" s="1">
        <v>3.2528346417691001E-8</v>
      </c>
      <c r="X41" s="1">
        <v>8.6810497718688302E-8</v>
      </c>
      <c r="Y41" s="1">
        <v>9.3057818912215595E-25</v>
      </c>
      <c r="AB41">
        <v>5</v>
      </c>
      <c r="AC41" s="6">
        <f t="shared" si="3"/>
        <v>2.0130080577464016</v>
      </c>
      <c r="AD41" s="6">
        <f t="shared" si="4"/>
        <v>0.63773308361605974</v>
      </c>
    </row>
    <row r="42" spans="1:30" x14ac:dyDescent="0.2">
      <c r="A42" s="8">
        <v>16</v>
      </c>
      <c r="B42" s="238">
        <v>0.996653408499931</v>
      </c>
      <c r="C42" s="239">
        <v>1.4477307118579655E-4</v>
      </c>
      <c r="D42" s="239">
        <v>1.9303556943687224E-3</v>
      </c>
      <c r="E42" s="239">
        <v>4.3729974758249151E-4</v>
      </c>
      <c r="F42" s="8">
        <v>33</v>
      </c>
      <c r="G42" s="240">
        <v>1.9940845284946553E-3</v>
      </c>
      <c r="H42" s="240">
        <v>4.3732151539164788E-4</v>
      </c>
      <c r="I42" s="8"/>
      <c r="J42" s="8" t="s">
        <v>632</v>
      </c>
      <c r="K42" s="8"/>
      <c r="L42" s="8"/>
      <c r="M42" s="8"/>
      <c r="N42" s="8"/>
      <c r="O42" s="3"/>
      <c r="T42">
        <v>0.10000096369600001</v>
      </c>
      <c r="U42" s="1">
        <v>3.10101766666665E-6</v>
      </c>
      <c r="V42" s="1">
        <v>1.67953272500002E-8</v>
      </c>
      <c r="W42" s="1">
        <v>8.9056256650820199E-9</v>
      </c>
      <c r="X42" s="1">
        <v>1.01661291989078E-8</v>
      </c>
      <c r="Y42" s="1">
        <v>4.85258128218092E-8</v>
      </c>
      <c r="AB42">
        <v>3</v>
      </c>
      <c r="AC42" s="6">
        <f t="shared" si="3"/>
        <v>3.3662594190476236</v>
      </c>
      <c r="AD42" s="6">
        <f t="shared" si="4"/>
        <v>0.28718397063035334</v>
      </c>
    </row>
    <row r="43" spans="1:30" x14ac:dyDescent="0.2">
      <c r="A43" s="8">
        <v>15</v>
      </c>
      <c r="B43" s="238">
        <v>0.99641835029361192</v>
      </c>
      <c r="C43" s="239">
        <v>4.8112054936408568E-5</v>
      </c>
      <c r="D43" s="239">
        <v>1.3413045387514237E-3</v>
      </c>
      <c r="E43" s="239">
        <v>3.3819418785450999E-4</v>
      </c>
      <c r="F43" s="8">
        <v>22</v>
      </c>
      <c r="G43" s="240">
        <v>1.4315019614639616E-3</v>
      </c>
      <c r="H43" s="240">
        <v>3.3822233410481359E-4</v>
      </c>
      <c r="I43" s="8"/>
      <c r="J43" s="8" t="s">
        <v>633</v>
      </c>
      <c r="K43" s="8"/>
      <c r="L43" s="8"/>
      <c r="M43" s="8"/>
      <c r="N43" s="8"/>
      <c r="O43" s="3"/>
      <c r="T43">
        <v>0.10000040231600001</v>
      </c>
      <c r="U43" s="1">
        <v>2.0135489333333301E-6</v>
      </c>
      <c r="V43" s="1">
        <v>3.01012886999999E-9</v>
      </c>
      <c r="W43" s="1">
        <v>1.5888909320470401E-8</v>
      </c>
      <c r="X43" s="1">
        <v>3.3973344922093797E-8</v>
      </c>
      <c r="Y43" s="1">
        <v>1.02185928731737E-8</v>
      </c>
      <c r="AB43">
        <v>2</v>
      </c>
      <c r="AC43" s="6">
        <f t="shared" si="3"/>
        <v>0.6770416268197188</v>
      </c>
      <c r="AD43" s="6">
        <f t="shared" si="4"/>
        <v>0.78909973616420148</v>
      </c>
    </row>
    <row r="44" spans="1:30" x14ac:dyDescent="0.2">
      <c r="A44" s="8">
        <v>14</v>
      </c>
      <c r="B44" s="238">
        <v>0.99774308610372076</v>
      </c>
      <c r="C44" s="239">
        <v>4.6206630364413692E-4</v>
      </c>
      <c r="D44" s="239">
        <v>2.3225547616762313E-3</v>
      </c>
      <c r="E44" s="239">
        <v>1.0421758726926026E-3</v>
      </c>
      <c r="F44" s="8">
        <v>33</v>
      </c>
      <c r="G44" s="240">
        <v>2.3757863163561105E-3</v>
      </c>
      <c r="H44" s="240">
        <v>1.0421850067100968E-3</v>
      </c>
      <c r="I44" s="8"/>
      <c r="J44" s="8" t="s">
        <v>634</v>
      </c>
      <c r="K44" s="8"/>
      <c r="L44" s="8"/>
      <c r="M44" s="8"/>
      <c r="N44" s="8"/>
      <c r="O44" s="3"/>
      <c r="T44">
        <v>9.9999208229999997E-2</v>
      </c>
      <c r="U44" s="1">
        <v>1.54962546666667E-6</v>
      </c>
      <c r="V44" s="1">
        <v>2.2591491958333898E-8</v>
      </c>
      <c r="W44" s="1">
        <v>1.1966927217615999E-8</v>
      </c>
      <c r="X44" s="1">
        <v>2.7366954095202001E-8</v>
      </c>
      <c r="Y44" s="1">
        <v>6.6774087922126307E-8</v>
      </c>
      <c r="AB44">
        <v>1.5</v>
      </c>
      <c r="AC44" s="6">
        <f t="shared" si="3"/>
        <v>3.309182415558265</v>
      </c>
      <c r="AD44" s="6">
        <f t="shared" si="4"/>
        <v>0.77224642179877967</v>
      </c>
    </row>
    <row r="45" spans="1:30" x14ac:dyDescent="0.2">
      <c r="A45" s="8">
        <v>13</v>
      </c>
      <c r="B45" s="238">
        <v>0.99587472662318766</v>
      </c>
      <c r="C45" s="239">
        <v>-2.5561408564053403E-4</v>
      </c>
      <c r="D45" s="239">
        <v>3.0271262741615769E-3</v>
      </c>
      <c r="E45" s="239">
        <v>6.9670384803741858E-3</v>
      </c>
      <c r="F45" s="8">
        <v>34</v>
      </c>
      <c r="G45" s="240">
        <v>3.0681579945823112E-3</v>
      </c>
      <c r="H45" s="240">
        <v>6.96703984670702E-3</v>
      </c>
      <c r="I45" s="8"/>
      <c r="J45" s="8" t="s">
        <v>635</v>
      </c>
      <c r="K45" s="8"/>
      <c r="L45" s="8"/>
      <c r="M45" s="8"/>
      <c r="N45" s="8"/>
      <c r="O45" s="3"/>
      <c r="T45">
        <v>0.100000983278</v>
      </c>
      <c r="U45" s="1">
        <v>1.0541898600000001E-6</v>
      </c>
      <c r="V45" s="1">
        <v>1.73139602450006E-8</v>
      </c>
      <c r="W45" s="1">
        <v>3.5590170321635401E-8</v>
      </c>
      <c r="X45" s="1">
        <v>3.9797978287392101E-8</v>
      </c>
      <c r="Y45" s="1">
        <v>4.7558350061047002E-8</v>
      </c>
      <c r="AB45">
        <v>1</v>
      </c>
      <c r="AC45" s="6">
        <f t="shared" si="3"/>
        <v>5.4179494484950297</v>
      </c>
      <c r="AD45" s="6">
        <f t="shared" si="4"/>
        <v>3.3760683603649344</v>
      </c>
    </row>
    <row r="46" spans="1:30" x14ac:dyDescent="0.2">
      <c r="A46" s="8">
        <v>12</v>
      </c>
      <c r="B46" s="238">
        <v>0.99689521000580783</v>
      </c>
      <c r="C46" s="239">
        <v>2.7606138517975525E-3</v>
      </c>
      <c r="D46" s="239">
        <v>1.0003730404452748E-2</v>
      </c>
      <c r="E46" s="239">
        <v>1.2672355221025788E-2</v>
      </c>
      <c r="F46" s="8">
        <v>22</v>
      </c>
      <c r="G46" s="240">
        <v>1.0016222941057789E-2</v>
      </c>
      <c r="H46" s="240">
        <v>1.2672355972211649E-2</v>
      </c>
      <c r="I46" s="8"/>
      <c r="J46" s="8" t="s">
        <v>636</v>
      </c>
      <c r="K46" s="8"/>
      <c r="L46" s="8"/>
      <c r="M46" s="8"/>
      <c r="N46" s="8"/>
      <c r="O46" s="3"/>
      <c r="T46">
        <v>9.9998598302000002E-2</v>
      </c>
      <c r="U46" s="1">
        <v>4.3104058833333302E-7</v>
      </c>
      <c r="V46" s="1">
        <v>-2.6734923449999901E-9</v>
      </c>
      <c r="W46" s="1">
        <v>1.18279142231104E-8</v>
      </c>
      <c r="X46" s="1">
        <v>2.06706206774784E-8</v>
      </c>
      <c r="Y46" s="1">
        <v>2.77735978995214E-8</v>
      </c>
      <c r="AB46">
        <v>0.4</v>
      </c>
      <c r="AC46" s="6">
        <f>100*(U46*0.1/(AB46*10^-6*T46)-1)</f>
        <v>7.7616575763322704</v>
      </c>
      <c r="AD46" s="6">
        <f>100*W46/U46</f>
        <v>2.7440372306571783</v>
      </c>
    </row>
    <row r="47" spans="1:30" x14ac:dyDescent="0.2">
      <c r="A47" s="8">
        <v>11</v>
      </c>
      <c r="B47" s="238">
        <v>0.99779460395537778</v>
      </c>
      <c r="C47" s="239">
        <v>-3.9754789010669565E-3</v>
      </c>
      <c r="D47" s="239">
        <v>1.0027110282114645E-2</v>
      </c>
      <c r="E47" s="239">
        <v>1.4530676440861466E-2</v>
      </c>
      <c r="F47" s="8">
        <v>44</v>
      </c>
      <c r="G47" s="240">
        <v>1.0039573726493034E-2</v>
      </c>
      <c r="H47" s="240">
        <v>1.4530677095978535E-2</v>
      </c>
      <c r="I47" s="8"/>
      <c r="J47" s="8" t="s">
        <v>637</v>
      </c>
      <c r="K47" s="8"/>
      <c r="L47" s="8"/>
      <c r="M47" s="8"/>
      <c r="N47" s="8"/>
      <c r="O47" s="3"/>
      <c r="T47">
        <v>0.10000241556599999</v>
      </c>
      <c r="U47" s="1">
        <v>1.6813558156000001E-7</v>
      </c>
      <c r="V47" s="1">
        <v>2.9949949768333401E-9</v>
      </c>
      <c r="W47" s="1">
        <v>2.0642923620027701E-8</v>
      </c>
      <c r="X47" s="1">
        <v>6.7138085276917099E-8</v>
      </c>
      <c r="Y47" s="1">
        <v>1.32507398949375E-8</v>
      </c>
      <c r="AB47">
        <v>0.15</v>
      </c>
      <c r="AC47" s="6">
        <f>100*(U47*0.1/(AB47*10^-6*T47)-1)</f>
        <v>12.087680154774706</v>
      </c>
      <c r="AD47" s="6">
        <f>100*W47/U47</f>
        <v>12.277546149659685</v>
      </c>
    </row>
    <row r="48" spans="1:30" x14ac:dyDescent="0.2">
      <c r="A48" s="8">
        <v>10</v>
      </c>
      <c r="B48" s="238">
        <v>0.99740915277052078</v>
      </c>
      <c r="C48" s="239">
        <v>-4.4180852120545505E-3</v>
      </c>
      <c r="D48" s="239">
        <v>1.0847032583652048E-2</v>
      </c>
      <c r="E48" s="239">
        <v>2.3725903632494567E-2</v>
      </c>
      <c r="F48" s="8">
        <v>33</v>
      </c>
      <c r="G48" s="240">
        <v>1.0858554962369957E-2</v>
      </c>
      <c r="H48" s="240">
        <v>2.3725904033714027E-2</v>
      </c>
      <c r="I48" s="8"/>
      <c r="J48" s="8" t="s">
        <v>638</v>
      </c>
      <c r="K48" s="8"/>
      <c r="L48" s="8"/>
      <c r="M48" s="8"/>
      <c r="N48" s="8"/>
      <c r="O48" s="3"/>
      <c r="T48">
        <v>9.9999641102000006E-2</v>
      </c>
      <c r="U48" s="1">
        <v>1.2452202E-7</v>
      </c>
      <c r="V48" s="1">
        <v>1.27780940366667E-8</v>
      </c>
      <c r="W48" s="1">
        <v>1.5012570010548199E-8</v>
      </c>
      <c r="X48" s="1">
        <v>2.33550512115588E-8</v>
      </c>
      <c r="Y48" s="1">
        <v>4.7366798912747998E-8</v>
      </c>
      <c r="AB48">
        <v>0.1</v>
      </c>
      <c r="AC48" s="6">
        <f>100*(U48*0.1/(AB48*10^-6*T48)-1)</f>
        <v>24.522466908643281</v>
      </c>
      <c r="AD48" s="6">
        <f>100*W48/U48</f>
        <v>12.056156823145175</v>
      </c>
    </row>
    <row r="49" spans="1:30" x14ac:dyDescent="0.2">
      <c r="A49" s="8">
        <v>9</v>
      </c>
      <c r="B49" s="238">
        <v>1.0053242457059977</v>
      </c>
      <c r="C49" s="239">
        <v>4.0657573221364986E-3</v>
      </c>
      <c r="D49" s="239">
        <v>3.3608609748385566E-2</v>
      </c>
      <c r="E49" s="239">
        <v>5.0377884718969437E-2</v>
      </c>
      <c r="F49" s="8">
        <v>24</v>
      </c>
      <c r="G49" s="240">
        <v>3.361233031521732E-2</v>
      </c>
      <c r="H49" s="240">
        <v>5.0377884907927245E-2</v>
      </c>
      <c r="I49" s="8"/>
      <c r="J49" s="8" t="s">
        <v>639</v>
      </c>
      <c r="K49" s="8"/>
      <c r="L49" s="8"/>
      <c r="M49" s="8"/>
      <c r="N49" s="8"/>
      <c r="U49" s="1"/>
      <c r="V49" s="1"/>
      <c r="W49" s="1"/>
      <c r="X49" s="1"/>
      <c r="Y49" s="1"/>
    </row>
    <row r="50" spans="1:30" x14ac:dyDescent="0.2">
      <c r="A50" s="8">
        <v>8</v>
      </c>
      <c r="B50" s="238">
        <v>0.99385921530845067</v>
      </c>
      <c r="C50" s="239">
        <v>6.1202907496458368E-2</v>
      </c>
      <c r="D50" s="239">
        <v>4.4458869836587429E-2</v>
      </c>
      <c r="E50" s="239">
        <v>5.1520533237061725E-2</v>
      </c>
      <c r="F50" s="8">
        <v>8</v>
      </c>
      <c r="G50" s="240">
        <v>4.4461682459693577E-2</v>
      </c>
      <c r="H50" s="240">
        <v>5.1520533421828725E-2</v>
      </c>
      <c r="I50" s="8"/>
      <c r="J50" s="8" t="s">
        <v>640</v>
      </c>
      <c r="K50" s="8"/>
      <c r="L50" s="8"/>
      <c r="M50" s="8"/>
      <c r="N50" s="8"/>
      <c r="S50" t="s">
        <v>350</v>
      </c>
      <c r="T50">
        <v>9.9998598302000002E-2</v>
      </c>
      <c r="U50" s="1">
        <v>4.3104058833333302E-7</v>
      </c>
      <c r="V50" s="1">
        <v>-2.6734923449999901E-9</v>
      </c>
      <c r="W50" s="1">
        <v>1.18279142231104E-8</v>
      </c>
      <c r="X50" s="1">
        <v>2.06706206774784E-8</v>
      </c>
      <c r="Y50" s="1">
        <v>2.77735978995214E-8</v>
      </c>
      <c r="Z50" s="1">
        <f>0.5*(U50-U51)</f>
        <v>4.0775898833333301E-7</v>
      </c>
      <c r="AB50">
        <v>0.4</v>
      </c>
      <c r="AC50" s="6">
        <f>100*(Z50*0.1/(AB50*10^-6*T50)-1)</f>
        <v>1.9411759907582926</v>
      </c>
      <c r="AD50" s="6">
        <f t="shared" ref="AD50:AD55" si="5">100*W50/U50</f>
        <v>2.7440372306571783</v>
      </c>
    </row>
    <row r="51" spans="1:30" x14ac:dyDescent="0.2">
      <c r="A51" s="8"/>
      <c r="B51" s="238"/>
      <c r="C51" s="239"/>
      <c r="D51" s="239"/>
      <c r="E51" s="239"/>
      <c r="F51" s="8"/>
      <c r="G51" s="240"/>
      <c r="H51" s="240"/>
      <c r="I51" s="8"/>
      <c r="J51" s="8"/>
      <c r="K51" s="8"/>
      <c r="L51" s="8"/>
      <c r="M51" s="8"/>
      <c r="N51" s="8"/>
      <c r="S51" t="s">
        <v>351</v>
      </c>
      <c r="T51">
        <v>0.100000402438</v>
      </c>
      <c r="U51" s="1">
        <v>-3.84477388333333E-7</v>
      </c>
      <c r="V51" s="1">
        <v>2.0535293834999999E-9</v>
      </c>
      <c r="W51" s="1">
        <v>1.04906238206211E-8</v>
      </c>
      <c r="X51" s="1">
        <v>5.24137840148709E-8</v>
      </c>
      <c r="Y51" s="1">
        <v>2.2928957977750701E-8</v>
      </c>
      <c r="AD51" s="6">
        <f t="shared" si="5"/>
        <v>-2.7285411675565094</v>
      </c>
    </row>
    <row r="52" spans="1:30" x14ac:dyDescent="0.2">
      <c r="A52" s="8" t="s">
        <v>601</v>
      </c>
      <c r="B52" s="238"/>
      <c r="C52" s="239"/>
      <c r="D52" s="239"/>
      <c r="E52" s="239"/>
      <c r="F52" s="8"/>
      <c r="G52" s="240"/>
      <c r="H52" s="240"/>
      <c r="I52" s="8"/>
      <c r="J52" s="8"/>
      <c r="K52" s="8"/>
      <c r="L52" s="8"/>
      <c r="M52" s="8"/>
      <c r="N52" s="8"/>
      <c r="T52">
        <v>0.10000241556599999</v>
      </c>
      <c r="U52" s="1">
        <v>1.6813558156000001E-7</v>
      </c>
      <c r="V52" s="1">
        <v>2.9949949768333401E-9</v>
      </c>
      <c r="W52" s="1">
        <v>2.0642923620027701E-8</v>
      </c>
      <c r="X52" s="1">
        <v>6.7138085276917099E-8</v>
      </c>
      <c r="Y52" s="1">
        <v>1.32507398949375E-8</v>
      </c>
      <c r="Z52" s="1">
        <f>0.5*(U52-U53)</f>
        <v>1.4346820150833352E-7</v>
      </c>
      <c r="AB52">
        <v>0.15</v>
      </c>
      <c r="AC52" s="6">
        <f>100*(Z52*0.1/(AB52*10^-6*T52)-1)</f>
        <v>-4.3568426513678755</v>
      </c>
      <c r="AD52" s="6">
        <f t="shared" si="5"/>
        <v>12.277546149659685</v>
      </c>
    </row>
    <row r="53" spans="1:30" x14ac:dyDescent="0.2">
      <c r="A53" s="8"/>
      <c r="B53" s="238"/>
      <c r="C53" s="239"/>
      <c r="D53" s="239"/>
      <c r="E53" s="239"/>
      <c r="F53" s="8"/>
      <c r="G53" s="240"/>
      <c r="H53" s="240"/>
      <c r="I53" s="8"/>
      <c r="J53" s="8"/>
      <c r="K53" s="8"/>
      <c r="L53" s="8"/>
      <c r="M53" s="8"/>
      <c r="N53" s="8"/>
      <c r="T53">
        <v>9.9998398372000002E-2</v>
      </c>
      <c r="U53" s="1">
        <v>-1.1880082145666701E-7</v>
      </c>
      <c r="V53" s="1">
        <v>6.7629332983333297E-9</v>
      </c>
      <c r="W53" s="1">
        <v>2.3929004368210301E-8</v>
      </c>
      <c r="X53" s="1">
        <v>3.9987916779085301E-8</v>
      </c>
      <c r="Y53" s="1">
        <v>3.1509820184839799E-8</v>
      </c>
      <c r="AD53" s="6">
        <f t="shared" si="5"/>
        <v>-20.142120294124805</v>
      </c>
    </row>
    <row r="54" spans="1:30" x14ac:dyDescent="0.2">
      <c r="A54" s="8"/>
      <c r="B54" s="8" t="s">
        <v>593</v>
      </c>
      <c r="C54" s="8"/>
      <c r="D54" s="8"/>
      <c r="E54" s="8"/>
      <c r="F54" s="8"/>
      <c r="G54" s="8" t="s">
        <v>98</v>
      </c>
      <c r="H54" s="8" t="s">
        <v>99</v>
      </c>
      <c r="I54" s="8"/>
      <c r="J54" s="8"/>
      <c r="K54" s="8"/>
      <c r="L54" s="8"/>
      <c r="M54" s="8"/>
      <c r="N54" s="8"/>
      <c r="T54">
        <v>0.10000069958799999</v>
      </c>
      <c r="U54" s="1">
        <v>1.058889245E-6</v>
      </c>
      <c r="V54" s="1">
        <v>1.4091957245000699E-8</v>
      </c>
      <c r="W54" s="1">
        <v>2.67430279852324E-8</v>
      </c>
      <c r="X54" s="1">
        <v>6.4155835174375595E-8</v>
      </c>
      <c r="Y54" s="1">
        <v>4.2018407535067603E-8</v>
      </c>
      <c r="Z54" s="1">
        <f>0.5*(U54-U55)</f>
        <v>1.0051765958333339E-6</v>
      </c>
      <c r="AB54">
        <v>1</v>
      </c>
      <c r="AC54" s="6">
        <f>100*(Z54*0.1/(AB54*10^-6*T54)-1)</f>
        <v>0.51695637876860712</v>
      </c>
      <c r="AD54" s="6">
        <f t="shared" si="5"/>
        <v>2.5255736717991124</v>
      </c>
    </row>
    <row r="55" spans="1:30" x14ac:dyDescent="0.2">
      <c r="A55" s="8" t="s">
        <v>594</v>
      </c>
      <c r="B55" s="8" t="s">
        <v>98</v>
      </c>
      <c r="C55" s="237" t="s">
        <v>99</v>
      </c>
      <c r="D55" s="8" t="s">
        <v>595</v>
      </c>
      <c r="E55" s="8" t="s">
        <v>596</v>
      </c>
      <c r="F55" s="8" t="s">
        <v>597</v>
      </c>
      <c r="G55" s="8" t="s">
        <v>598</v>
      </c>
      <c r="H55" s="8" t="s">
        <v>598</v>
      </c>
      <c r="I55" s="8"/>
      <c r="J55" s="8" t="s">
        <v>599</v>
      </c>
      <c r="K55" s="8"/>
      <c r="L55" s="8"/>
      <c r="M55" s="8"/>
      <c r="N55" s="8"/>
      <c r="T55">
        <v>0.10000095657999999</v>
      </c>
      <c r="U55" s="1">
        <v>-9.5146394666666797E-7</v>
      </c>
      <c r="V55" s="1">
        <v>8.5185444233333394E-9</v>
      </c>
      <c r="W55" s="1">
        <v>3.52467640618962E-8</v>
      </c>
      <c r="X55" s="1">
        <v>2.6913867024463201E-8</v>
      </c>
      <c r="Y55" s="1">
        <v>2.7318662942344899E-8</v>
      </c>
      <c r="AD55" s="6">
        <f t="shared" si="5"/>
        <v>-3.7044771045060321</v>
      </c>
    </row>
    <row r="56" spans="1:30" x14ac:dyDescent="0.2">
      <c r="A56" s="8">
        <v>26</v>
      </c>
      <c r="B56" s="238">
        <v>1.0016150105538153</v>
      </c>
      <c r="C56" s="239">
        <v>1.9893546309758729E-4</v>
      </c>
      <c r="D56" s="239">
        <v>4.4097393952517541E-5</v>
      </c>
      <c r="E56" s="239">
        <v>7.215614471265987E-5</v>
      </c>
      <c r="F56" s="8">
        <v>22</v>
      </c>
      <c r="G56" s="240">
        <v>5.0204041685247163E-4</v>
      </c>
      <c r="H56" s="240">
        <v>7.2287950645531933E-5</v>
      </c>
      <c r="I56" s="8"/>
      <c r="J56" s="8" t="s">
        <v>641</v>
      </c>
      <c r="K56" s="8"/>
      <c r="L56" s="8"/>
      <c r="M56" s="8"/>
      <c r="N56" s="8"/>
      <c r="T56">
        <v>9.9999641102000006E-2</v>
      </c>
      <c r="U56" s="1">
        <v>1.2452202E-7</v>
      </c>
      <c r="V56" s="1">
        <v>1.27780940366667E-8</v>
      </c>
      <c r="W56" s="1">
        <v>1.5012570010548199E-8</v>
      </c>
      <c r="X56" s="1">
        <v>2.33550512115588E-8</v>
      </c>
      <c r="Y56" s="1">
        <v>4.7366798912747998E-8</v>
      </c>
      <c r="Z56" s="1">
        <f>0.5*(U56-U57)</f>
        <v>1.0598991016666665E-7</v>
      </c>
      <c r="AB56">
        <v>0.1</v>
      </c>
      <c r="AC56" s="6">
        <f>100*(Z56*0.1/(AB56*10^-6*T56)-1)</f>
        <v>5.9902905636996628</v>
      </c>
      <c r="AD56" s="6">
        <f>100*W56/U56</f>
        <v>12.056156823145175</v>
      </c>
    </row>
    <row r="57" spans="1:30" x14ac:dyDescent="0.2">
      <c r="A57" s="8">
        <v>25</v>
      </c>
      <c r="B57" s="238">
        <v>1.0015105577542192</v>
      </c>
      <c r="C57" s="239">
        <v>1.4060282379165748E-4</v>
      </c>
      <c r="D57" s="239">
        <v>6.6235994908608073E-5</v>
      </c>
      <c r="E57" s="239">
        <v>3.7701413201759799E-5</v>
      </c>
      <c r="F57" s="8">
        <v>22</v>
      </c>
      <c r="G57" s="240">
        <v>5.0446725069278097E-4</v>
      </c>
      <c r="H57" s="240">
        <v>3.7953065042844389E-5</v>
      </c>
      <c r="I57" s="8"/>
      <c r="J57" s="8" t="s">
        <v>642</v>
      </c>
      <c r="K57" s="8"/>
      <c r="L57" s="8"/>
      <c r="M57" s="8"/>
      <c r="N57" s="8"/>
      <c r="T57">
        <v>9.9997087410000005E-2</v>
      </c>
      <c r="U57" s="1">
        <v>-8.7457800333333303E-8</v>
      </c>
      <c r="V57" s="1">
        <v>5.2752176516667199E-10</v>
      </c>
      <c r="W57">
        <v>0</v>
      </c>
      <c r="X57" s="1">
        <v>2.3936747555062699E-8</v>
      </c>
      <c r="Y57" s="1">
        <v>2.93361279497368E-8</v>
      </c>
      <c r="AD57" s="6">
        <f>100*W57/U57</f>
        <v>0</v>
      </c>
    </row>
    <row r="58" spans="1:30" x14ac:dyDescent="0.2">
      <c r="A58" s="8">
        <v>24</v>
      </c>
      <c r="B58" s="238">
        <v>1.0011378960920854</v>
      </c>
      <c r="C58" s="239">
        <v>9.8577817801804427E-5</v>
      </c>
      <c r="D58" s="239">
        <v>3.1789369396356301E-5</v>
      </c>
      <c r="E58" s="239">
        <v>2.513811518174234E-5</v>
      </c>
      <c r="F58" s="8">
        <v>22</v>
      </c>
      <c r="G58" s="240">
        <v>5.0110933338605652E-4</v>
      </c>
      <c r="H58" s="240">
        <v>2.5513984863738812E-5</v>
      </c>
      <c r="I58" s="8"/>
      <c r="J58" s="8" t="s">
        <v>643</v>
      </c>
      <c r="K58" s="8"/>
      <c r="L58" s="8"/>
      <c r="M58" s="8"/>
      <c r="N58" s="8"/>
    </row>
    <row r="59" spans="1:30" x14ac:dyDescent="0.2">
      <c r="A59" s="8">
        <v>23</v>
      </c>
      <c r="B59" s="238">
        <v>1.0006673902698158</v>
      </c>
      <c r="C59" s="239">
        <v>6.3585444515740292E-5</v>
      </c>
      <c r="D59" s="239">
        <v>4.6162782276369268E-5</v>
      </c>
      <c r="E59" s="239">
        <v>7.8133786719461555E-5</v>
      </c>
      <c r="F59" s="8">
        <v>33</v>
      </c>
      <c r="G59" s="240">
        <v>5.0222604718144141E-4</v>
      </c>
      <c r="H59" s="240">
        <v>7.8255525145888935E-5</v>
      </c>
      <c r="I59" s="8"/>
      <c r="J59" s="8" t="s">
        <v>644</v>
      </c>
      <c r="K59" s="8"/>
      <c r="L59" s="8"/>
      <c r="M59" s="8"/>
      <c r="N59" s="8"/>
      <c r="S59" s="5" t="s">
        <v>353</v>
      </c>
    </row>
    <row r="60" spans="1:30" x14ac:dyDescent="0.2">
      <c r="A60" s="8">
        <v>22</v>
      </c>
      <c r="B60" s="238">
        <v>1.0005393717967814</v>
      </c>
      <c r="C60" s="239">
        <v>3.3759001281208504E-5</v>
      </c>
      <c r="D60" s="239">
        <v>5.9213142372261669E-5</v>
      </c>
      <c r="E60" s="239">
        <v>8.0274281356305927E-5</v>
      </c>
      <c r="F60" s="8">
        <v>22</v>
      </c>
      <c r="G60" s="240">
        <v>5.0359328453584225E-4</v>
      </c>
      <c r="H60" s="240">
        <v>8.0392778506579269E-5</v>
      </c>
      <c r="I60" s="8"/>
      <c r="J60" s="8" t="s">
        <v>645</v>
      </c>
      <c r="K60" s="8"/>
      <c r="L60" s="8"/>
      <c r="M60" s="8"/>
      <c r="N60" s="8"/>
      <c r="S60" t="s">
        <v>354</v>
      </c>
      <c r="T60">
        <v>0.100000412392</v>
      </c>
      <c r="U60" s="1">
        <v>8.7675192499999997E-6</v>
      </c>
      <c r="V60">
        <v>9.9996958999999996E-2</v>
      </c>
      <c r="W60" s="1">
        <v>3.6804199899841597E-8</v>
      </c>
      <c r="X60" s="1">
        <v>4.3872096245829902E-6</v>
      </c>
      <c r="Y60" s="1">
        <v>1.9478755093696799E-6</v>
      </c>
      <c r="AB60">
        <v>100000</v>
      </c>
      <c r="AC60" s="6">
        <f>100*(V60*0.1/(AB60*10^-6*T60)-1)</f>
        <v>-3.4533777585332714E-3</v>
      </c>
      <c r="AD60" s="6">
        <f>100*X60/V60</f>
        <v>4.387343043684949E-3</v>
      </c>
    </row>
    <row r="61" spans="1:30" x14ac:dyDescent="0.2">
      <c r="A61" s="8">
        <v>21</v>
      </c>
      <c r="B61" s="238">
        <v>1.0001544912670448</v>
      </c>
      <c r="C61" s="239">
        <v>4.7941042373685263E-5</v>
      </c>
      <c r="D61" s="239">
        <v>7.5720428313408503E-5</v>
      </c>
      <c r="E61" s="239">
        <v>1.1313884843064583E-4</v>
      </c>
      <c r="F61" s="8">
        <v>22</v>
      </c>
      <c r="G61" s="240">
        <v>5.0579994391455408E-4</v>
      </c>
      <c r="H61" s="240">
        <v>1.132229553268647E-4</v>
      </c>
      <c r="I61" s="8"/>
      <c r="J61" s="8" t="s">
        <v>646</v>
      </c>
      <c r="K61" s="8"/>
      <c r="L61" s="8"/>
      <c r="M61" s="8"/>
      <c r="N61" s="8"/>
      <c r="T61">
        <v>0.10000008642</v>
      </c>
      <c r="U61" s="1">
        <v>3.0835708333333298E-7</v>
      </c>
      <c r="V61">
        <v>5.0014370666666003E-2</v>
      </c>
      <c r="W61" s="1">
        <v>1.6489454782368701E-8</v>
      </c>
      <c r="X61" s="1">
        <v>1.5638026940718199E-6</v>
      </c>
      <c r="Y61" s="1">
        <v>1.1556554657672E-6</v>
      </c>
      <c r="AB61">
        <v>50000</v>
      </c>
      <c r="AC61" s="6">
        <f t="shared" ref="AC61:AC75" si="6">100*(V61*0.1/(AB61*10^-6*T61)-1)</f>
        <v>2.8654888568446779E-2</v>
      </c>
      <c r="AD61" s="6">
        <f t="shared" ref="AD61:AD75" si="7">100*X61/V61</f>
        <v>3.1267067309397861E-3</v>
      </c>
    </row>
    <row r="62" spans="1:30" x14ac:dyDescent="0.2">
      <c r="A62" s="8">
        <v>20</v>
      </c>
      <c r="B62" s="238">
        <v>0.99966345420801295</v>
      </c>
      <c r="C62" s="239">
        <v>1.5060006797379212E-4</v>
      </c>
      <c r="D62" s="239">
        <v>9.0376827812339988E-5</v>
      </c>
      <c r="E62" s="239">
        <v>7.9572614017751211E-5</v>
      </c>
      <c r="F62" s="8">
        <v>44</v>
      </c>
      <c r="G62" s="240">
        <v>5.0820071920986234E-4</v>
      </c>
      <c r="H62" s="240">
        <v>7.9692154509428129E-5</v>
      </c>
      <c r="I62" s="8"/>
      <c r="J62" s="8" t="s">
        <v>647</v>
      </c>
      <c r="K62" s="8"/>
      <c r="L62" s="8"/>
      <c r="M62" s="8"/>
      <c r="N62" s="8"/>
      <c r="T62">
        <v>9.9999718239999993E-2</v>
      </c>
      <c r="U62">
        <v>0</v>
      </c>
      <c r="V62">
        <v>2.0016927500000101E-2</v>
      </c>
      <c r="W62" s="1">
        <v>1.8836508312226701E-8</v>
      </c>
      <c r="X62">
        <v>0</v>
      </c>
      <c r="Y62" s="1">
        <v>3.1383713929296202E-7</v>
      </c>
      <c r="AB62">
        <v>20000</v>
      </c>
      <c r="AC62" s="6">
        <f t="shared" si="6"/>
        <v>8.4919499269697774E-2</v>
      </c>
      <c r="AD62" s="6">
        <f t="shared" si="7"/>
        <v>0</v>
      </c>
    </row>
    <row r="63" spans="1:30" x14ac:dyDescent="0.2">
      <c r="A63" s="8">
        <v>19</v>
      </c>
      <c r="B63" s="238">
        <v>0.99955437940093894</v>
      </c>
      <c r="C63" s="239">
        <v>8.6738443927788337E-5</v>
      </c>
      <c r="D63" s="239">
        <v>7.2574815275341784E-5</v>
      </c>
      <c r="E63" s="239">
        <v>5.0601102423335579E-5</v>
      </c>
      <c r="F63" s="8">
        <v>22</v>
      </c>
      <c r="G63" s="240">
        <v>5.0533860312888227E-4</v>
      </c>
      <c r="H63" s="240">
        <v>5.0788878262799288E-5</v>
      </c>
      <c r="I63" s="8"/>
      <c r="J63" s="8" t="s">
        <v>648</v>
      </c>
      <c r="K63" s="8"/>
      <c r="L63" s="8"/>
      <c r="M63" s="8"/>
      <c r="N63" s="8"/>
      <c r="T63">
        <v>9.9999297787999999E-2</v>
      </c>
      <c r="U63" s="1">
        <v>3.1233028666666699E-7</v>
      </c>
      <c r="V63">
        <v>1.00095106666666E-2</v>
      </c>
      <c r="W63" s="1">
        <v>3.3935047916536902E-8</v>
      </c>
      <c r="X63" s="1">
        <v>1.29210846404934E-6</v>
      </c>
      <c r="Y63" s="1">
        <v>1.36655426367019E-6</v>
      </c>
      <c r="AB63">
        <v>10000</v>
      </c>
      <c r="AC63" s="6">
        <f t="shared" si="6"/>
        <v>9.5809551452163966E-2</v>
      </c>
      <c r="AD63" s="6">
        <f t="shared" si="7"/>
        <v>1.2908807503970044E-2</v>
      </c>
    </row>
    <row r="64" spans="1:30" x14ac:dyDescent="0.2">
      <c r="A64" s="8">
        <v>18</v>
      </c>
      <c r="B64" s="238">
        <v>0.99913106648965633</v>
      </c>
      <c r="C64" s="239">
        <v>1.6462492186343467E-4</v>
      </c>
      <c r="D64" s="239">
        <v>1.2078499345275757E-4</v>
      </c>
      <c r="E64" s="239">
        <v>1.2140680954032427E-4</v>
      </c>
      <c r="F64" s="8">
        <v>22</v>
      </c>
      <c r="G64" s="240">
        <v>5.1447936269920745E-4</v>
      </c>
      <c r="H64" s="240">
        <v>1.2148519247833096E-4</v>
      </c>
      <c r="I64" s="8"/>
      <c r="J64" s="8" t="s">
        <v>649</v>
      </c>
      <c r="K64" s="8"/>
      <c r="L64" s="8"/>
      <c r="M64" s="8"/>
      <c r="N64" s="8"/>
      <c r="T64">
        <v>9.9997511450000007E-2</v>
      </c>
      <c r="U64">
        <v>0</v>
      </c>
      <c r="V64">
        <v>5.0082403999999704E-3</v>
      </c>
      <c r="W64" s="1">
        <v>2.08646509330096E-8</v>
      </c>
      <c r="X64">
        <v>0</v>
      </c>
      <c r="Y64" s="1">
        <v>4.7030203061327402E-8</v>
      </c>
      <c r="AB64">
        <v>5000</v>
      </c>
      <c r="AC64" s="6">
        <f t="shared" si="6"/>
        <v>0.16730071336130692</v>
      </c>
      <c r="AD64" s="6">
        <f t="shared" si="7"/>
        <v>0</v>
      </c>
    </row>
    <row r="65" spans="1:30" x14ac:dyDescent="0.2">
      <c r="A65" s="8">
        <v>17</v>
      </c>
      <c r="B65" s="238">
        <v>0.99895190359460084</v>
      </c>
      <c r="C65" s="239">
        <v>1.6660136837403979E-4</v>
      </c>
      <c r="D65" s="239">
        <v>1.8787576188729449E-4</v>
      </c>
      <c r="E65" s="239">
        <v>1.9324694126934052E-4</v>
      </c>
      <c r="F65" s="8">
        <v>33</v>
      </c>
      <c r="G65" s="240">
        <v>5.3422589033547542E-4</v>
      </c>
      <c r="H65" s="240">
        <v>1.9329619473412428E-4</v>
      </c>
      <c r="I65" s="8"/>
      <c r="J65" s="8" t="s">
        <v>650</v>
      </c>
      <c r="K65" s="8"/>
      <c r="L65" s="8"/>
      <c r="M65" s="8"/>
      <c r="N65" s="8"/>
      <c r="T65">
        <v>0.10000225045</v>
      </c>
      <c r="U65">
        <v>0</v>
      </c>
      <c r="V65">
        <v>2.00738E-3</v>
      </c>
      <c r="W65" s="1">
        <v>1.76101354963511E-8</v>
      </c>
      <c r="X65">
        <v>0</v>
      </c>
      <c r="Y65" s="1">
        <v>2.6020852139652099E-18</v>
      </c>
      <c r="AB65">
        <v>2000</v>
      </c>
      <c r="AC65" s="6">
        <f t="shared" si="6"/>
        <v>0.36674129667049193</v>
      </c>
      <c r="AD65" s="6">
        <f t="shared" si="7"/>
        <v>0</v>
      </c>
    </row>
    <row r="66" spans="1:30" x14ac:dyDescent="0.2">
      <c r="A66" s="8">
        <v>16</v>
      </c>
      <c r="B66" s="238">
        <v>0.99826367213429601</v>
      </c>
      <c r="C66" s="239">
        <v>1.4475953123945775E-4</v>
      </c>
      <c r="D66" s="239">
        <v>8.8765474385731741E-4</v>
      </c>
      <c r="E66" s="239">
        <v>7.5904640269124427E-4</v>
      </c>
      <c r="F66" s="8">
        <v>33</v>
      </c>
      <c r="G66" s="240">
        <v>1.0188380363396333E-3</v>
      </c>
      <c r="H66" s="240">
        <v>7.5905894371073386E-4</v>
      </c>
      <c r="I66" s="8"/>
      <c r="J66" s="8" t="s">
        <v>651</v>
      </c>
      <c r="K66" s="8"/>
      <c r="L66" s="8"/>
      <c r="M66" s="8"/>
      <c r="N66" s="8"/>
      <c r="T66">
        <v>9.9996880304000002E-2</v>
      </c>
      <c r="U66">
        <v>0</v>
      </c>
      <c r="V66">
        <v>1.00471885000001E-3</v>
      </c>
      <c r="W66" s="1">
        <v>4.0279124729061301E-8</v>
      </c>
      <c r="X66">
        <v>0</v>
      </c>
      <c r="Y66" s="1">
        <v>4.82408281437645E-8</v>
      </c>
      <c r="AB66">
        <v>1000</v>
      </c>
      <c r="AC66" s="6">
        <f t="shared" si="6"/>
        <v>0.47501951516579766</v>
      </c>
      <c r="AD66" s="6">
        <f t="shared" si="7"/>
        <v>0</v>
      </c>
    </row>
    <row r="67" spans="1:30" x14ac:dyDescent="0.2">
      <c r="A67" s="8">
        <v>15</v>
      </c>
      <c r="B67" s="238">
        <v>0.99917222379034099</v>
      </c>
      <c r="C67" s="239">
        <v>-2.2420303249325155E-4</v>
      </c>
      <c r="D67" s="239">
        <v>7.2292130426974326E-4</v>
      </c>
      <c r="E67" s="239">
        <v>9.5177289588237993E-4</v>
      </c>
      <c r="F67" s="8">
        <v>22</v>
      </c>
      <c r="G67" s="240">
        <v>8.7904221296082629E-4</v>
      </c>
      <c r="H67" s="240">
        <v>9.5178289747455971E-4</v>
      </c>
      <c r="I67" s="8"/>
      <c r="J67" s="8" t="s">
        <v>652</v>
      </c>
      <c r="K67" s="8"/>
      <c r="L67" s="8"/>
      <c r="M67" s="8"/>
      <c r="N67" s="8"/>
      <c r="T67">
        <v>9.9998348205999996E-2</v>
      </c>
      <c r="U67">
        <v>0</v>
      </c>
      <c r="V67">
        <v>5.0240059333333295E-4</v>
      </c>
      <c r="W67" s="1">
        <v>2.4145817503478599E-8</v>
      </c>
      <c r="X67">
        <v>0</v>
      </c>
      <c r="Y67" s="1">
        <v>5.6636542581233299E-8</v>
      </c>
      <c r="AB67">
        <v>500</v>
      </c>
      <c r="AC67" s="6">
        <f t="shared" si="6"/>
        <v>0.48177841865360005</v>
      </c>
      <c r="AD67" s="6">
        <f t="shared" si="7"/>
        <v>0</v>
      </c>
    </row>
    <row r="68" spans="1:30" x14ac:dyDescent="0.2">
      <c r="A68" s="8">
        <v>14</v>
      </c>
      <c r="B68" s="238">
        <v>0.9991395274010002</v>
      </c>
      <c r="C68" s="239">
        <v>3.6324780144210075E-4</v>
      </c>
      <c r="D68" s="239">
        <v>1.5183613980564951E-3</v>
      </c>
      <c r="E68" s="239">
        <v>1.3882821783491458E-3</v>
      </c>
      <c r="F68" s="8">
        <v>33</v>
      </c>
      <c r="G68" s="240">
        <v>1.5985998045502426E-3</v>
      </c>
      <c r="H68" s="240">
        <v>1.3882890352194623E-3</v>
      </c>
      <c r="I68" s="8"/>
      <c r="J68" s="8" t="s">
        <v>653</v>
      </c>
      <c r="K68" s="8"/>
      <c r="L68" s="8"/>
      <c r="M68" s="8"/>
      <c r="N68" s="8"/>
      <c r="T68">
        <v>0.10000078592599999</v>
      </c>
      <c r="U68">
        <v>0</v>
      </c>
      <c r="V68">
        <v>2.01623366666667E-4</v>
      </c>
      <c r="W68" s="1">
        <v>2.1765011938036099E-8</v>
      </c>
      <c r="X68">
        <v>0</v>
      </c>
      <c r="Y68" s="1">
        <v>3.4490272380611502E-8</v>
      </c>
      <c r="AB68">
        <v>200</v>
      </c>
      <c r="AC68" s="6">
        <f t="shared" si="6"/>
        <v>0.81089103433005238</v>
      </c>
      <c r="AD68" s="6">
        <f t="shared" si="7"/>
        <v>0</v>
      </c>
    </row>
    <row r="69" spans="1:30" x14ac:dyDescent="0.2">
      <c r="A69" s="8">
        <v>13</v>
      </c>
      <c r="B69" s="238">
        <v>0.9984490659963956</v>
      </c>
      <c r="C69" s="239">
        <v>-9.9697622745872319E-4</v>
      </c>
      <c r="D69" s="239">
        <v>2.3224469559814977E-3</v>
      </c>
      <c r="E69" s="239">
        <v>4.6301899737463837E-3</v>
      </c>
      <c r="F69" s="8">
        <v>33</v>
      </c>
      <c r="G69" s="240">
        <v>2.3756809262499299E-3</v>
      </c>
      <c r="H69" s="240">
        <v>4.6301920296646744E-3</v>
      </c>
      <c r="I69" s="8"/>
      <c r="J69" s="8" t="s">
        <v>654</v>
      </c>
      <c r="K69" s="8"/>
      <c r="L69" s="8"/>
      <c r="M69" s="8"/>
      <c r="N69" s="8"/>
      <c r="T69">
        <v>9.9999030860000004E-2</v>
      </c>
      <c r="U69">
        <v>0</v>
      </c>
      <c r="V69">
        <v>1.00635435E-4</v>
      </c>
      <c r="W69" s="1">
        <v>2.63957397416793E-8</v>
      </c>
      <c r="X69">
        <v>0</v>
      </c>
      <c r="Y69" s="1">
        <v>7.4336470412120503E-9</v>
      </c>
      <c r="AB69">
        <v>100</v>
      </c>
      <c r="AC69" s="6">
        <f t="shared" si="6"/>
        <v>0.63641030770686946</v>
      </c>
      <c r="AD69" s="6">
        <f t="shared" si="7"/>
        <v>0</v>
      </c>
    </row>
    <row r="70" spans="1:30" x14ac:dyDescent="0.2">
      <c r="A70" s="8">
        <v>12</v>
      </c>
      <c r="B70" s="238">
        <v>0.99800304209292012</v>
      </c>
      <c r="C70" s="239">
        <v>5.3095105920367277E-4</v>
      </c>
      <c r="D70" s="239">
        <v>8.4523533546929982E-3</v>
      </c>
      <c r="E70" s="239">
        <v>9.9415143746705206E-3</v>
      </c>
      <c r="F70" s="8">
        <v>22</v>
      </c>
      <c r="G70" s="240">
        <v>8.4671351254476841E-3</v>
      </c>
      <c r="H70" s="240">
        <v>9.9415153322000831E-3</v>
      </c>
      <c r="I70" s="8"/>
      <c r="J70" s="8" t="s">
        <v>655</v>
      </c>
      <c r="K70" s="8"/>
      <c r="L70" s="8"/>
      <c r="M70" s="8"/>
      <c r="N70" s="8"/>
      <c r="T70">
        <v>0.10000046495000001</v>
      </c>
      <c r="U70">
        <v>0</v>
      </c>
      <c r="V70" s="1">
        <v>5.0334223833333002E-5</v>
      </c>
      <c r="W70" s="1">
        <v>1.35319619493914E-8</v>
      </c>
      <c r="X70">
        <v>0</v>
      </c>
      <c r="Y70" s="1">
        <v>4.8193687662968296E-9</v>
      </c>
      <c r="AB70">
        <v>50</v>
      </c>
      <c r="AC70" s="6">
        <f t="shared" si="6"/>
        <v>0.66797961089479774</v>
      </c>
      <c r="AD70" s="6">
        <f t="shared" si="7"/>
        <v>0</v>
      </c>
    </row>
    <row r="71" spans="1:30" x14ac:dyDescent="0.2">
      <c r="A71" s="8">
        <v>11</v>
      </c>
      <c r="B71" s="238">
        <v>0.99870278404417656</v>
      </c>
      <c r="C71" s="239">
        <v>3.6797627412215941E-3</v>
      </c>
      <c r="D71" s="239">
        <v>8.350043905435851E-3</v>
      </c>
      <c r="E71" s="239">
        <v>1.0465732532337175E-2</v>
      </c>
      <c r="F71" s="8">
        <v>44</v>
      </c>
      <c r="G71" s="240">
        <v>8.3650064687785155E-3</v>
      </c>
      <c r="H71" s="240">
        <v>1.0465733441905037E-2</v>
      </c>
      <c r="I71" s="8"/>
      <c r="J71" s="8" t="s">
        <v>656</v>
      </c>
      <c r="K71" s="8"/>
      <c r="L71" s="8"/>
      <c r="M71" s="8"/>
      <c r="N71" s="8"/>
      <c r="T71">
        <v>0.10000053297600001</v>
      </c>
      <c r="U71">
        <v>0</v>
      </c>
      <c r="V71" s="1">
        <v>2.00891883333333E-5</v>
      </c>
      <c r="W71" s="1">
        <v>3.1067623014490397E-8</v>
      </c>
      <c r="X71">
        <v>0</v>
      </c>
      <c r="Y71" s="1">
        <v>2.3076442473271701E-8</v>
      </c>
      <c r="AB71">
        <v>20</v>
      </c>
      <c r="AC71" s="6">
        <f t="shared" si="6"/>
        <v>0.4454063167577349</v>
      </c>
      <c r="AD71" s="6">
        <f t="shared" si="7"/>
        <v>0</v>
      </c>
    </row>
    <row r="72" spans="1:30" x14ac:dyDescent="0.2">
      <c r="A72" s="8">
        <v>10</v>
      </c>
      <c r="B72" s="238">
        <v>0.99959662545273043</v>
      </c>
      <c r="C72" s="239">
        <v>-1.1636244621426916E-2</v>
      </c>
      <c r="D72" s="239">
        <v>1.007525721517096E-2</v>
      </c>
      <c r="E72" s="239">
        <v>1.5505289973449587E-2</v>
      </c>
      <c r="F72" s="8">
        <v>33</v>
      </c>
      <c r="G72" s="240">
        <v>1.008766117352553E-2</v>
      </c>
      <c r="H72" s="240">
        <v>1.5505290587388068E-2</v>
      </c>
      <c r="I72" s="8"/>
      <c r="J72" s="8" t="s">
        <v>657</v>
      </c>
      <c r="K72" s="8"/>
      <c r="L72" s="8"/>
      <c r="M72" s="8"/>
      <c r="N72" s="8"/>
      <c r="T72">
        <v>9.9998124292000001E-2</v>
      </c>
      <c r="U72">
        <v>0</v>
      </c>
      <c r="V72" s="1">
        <v>1.0182920333333299E-5</v>
      </c>
      <c r="W72" s="1">
        <v>2.2499192492832601E-8</v>
      </c>
      <c r="X72">
        <v>0</v>
      </c>
      <c r="Y72" s="1">
        <v>1.0339362536389199E-7</v>
      </c>
      <c r="AB72">
        <v>10</v>
      </c>
      <c r="AC72" s="6">
        <f t="shared" si="6"/>
        <v>1.8311133876733221</v>
      </c>
      <c r="AD72" s="6">
        <f t="shared" si="7"/>
        <v>0</v>
      </c>
    </row>
    <row r="73" spans="1:30" x14ac:dyDescent="0.2">
      <c r="A73" s="8">
        <v>9</v>
      </c>
      <c r="B73" s="238">
        <v>1.0018403188139096</v>
      </c>
      <c r="C73" s="239">
        <v>-1.3498657450788386E-2</v>
      </c>
      <c r="D73" s="239">
        <v>1.8278270508037094E-2</v>
      </c>
      <c r="E73" s="239">
        <v>3.58931000172397E-2</v>
      </c>
      <c r="F73" s="8">
        <v>22</v>
      </c>
      <c r="G73" s="240">
        <v>1.8285110685062275E-2</v>
      </c>
      <c r="H73" s="240">
        <v>3.5893100282452073E-2</v>
      </c>
      <c r="I73" s="8"/>
      <c r="J73" s="8" t="s">
        <v>658</v>
      </c>
      <c r="K73" s="8"/>
      <c r="L73" s="8"/>
      <c r="M73" s="8"/>
      <c r="N73" s="8"/>
      <c r="T73">
        <v>9.9997577360000006E-2</v>
      </c>
      <c r="U73">
        <v>0</v>
      </c>
      <c r="V73" s="1">
        <v>5.0716669499999897E-6</v>
      </c>
      <c r="W73" s="1">
        <v>2.3664872441648699E-8</v>
      </c>
      <c r="X73">
        <v>0</v>
      </c>
      <c r="Y73" s="1">
        <v>6.8411456795365502E-8</v>
      </c>
      <c r="AB73">
        <v>5</v>
      </c>
      <c r="AC73" s="6">
        <f t="shared" si="6"/>
        <v>1.4357964241783039</v>
      </c>
      <c r="AD73" s="6">
        <f t="shared" si="7"/>
        <v>0</v>
      </c>
    </row>
    <row r="74" spans="1:30" x14ac:dyDescent="0.2">
      <c r="A74" s="8">
        <v>8</v>
      </c>
      <c r="B74" s="238">
        <v>0.99165148572988415</v>
      </c>
      <c r="C74" s="239">
        <v>-9.4045602138882172E-3</v>
      </c>
      <c r="D74" s="239">
        <v>3.6755003408884206E-2</v>
      </c>
      <c r="E74" s="239">
        <v>8.5560823153856033E-2</v>
      </c>
      <c r="F74" s="8">
        <v>15</v>
      </c>
      <c r="G74" s="240">
        <v>3.6758405509312961E-2</v>
      </c>
      <c r="H74" s="240">
        <v>8.5560823265113661E-2</v>
      </c>
      <c r="I74" s="8"/>
      <c r="J74" s="8" t="s">
        <v>659</v>
      </c>
      <c r="K74" s="8"/>
      <c r="L74" s="8"/>
      <c r="M74" s="8"/>
      <c r="N74" s="8"/>
      <c r="T74">
        <v>9.9997935028000001E-2</v>
      </c>
      <c r="U74">
        <v>0</v>
      </c>
      <c r="V74" s="1">
        <v>2.00856331666667E-6</v>
      </c>
      <c r="W74" s="1">
        <v>1.53293716423415E-8</v>
      </c>
      <c r="X74">
        <v>0</v>
      </c>
      <c r="Y74" s="1">
        <v>3.3638682586664898E-8</v>
      </c>
      <c r="AB74">
        <v>2</v>
      </c>
      <c r="AC74" s="6">
        <f t="shared" si="6"/>
        <v>0.43023968966264814</v>
      </c>
      <c r="AD74" s="6">
        <f t="shared" si="7"/>
        <v>0</v>
      </c>
    </row>
    <row r="75" spans="1:30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T75">
        <v>9.9999883122000005E-2</v>
      </c>
      <c r="U75" s="1">
        <v>-2.8266765849999801E-9</v>
      </c>
      <c r="V75" s="1">
        <v>1.0554243433333299E-6</v>
      </c>
      <c r="W75" s="1">
        <v>1.66467748033679E-8</v>
      </c>
      <c r="X75" s="1">
        <v>2.12795948700788E-8</v>
      </c>
      <c r="Y75" s="1">
        <v>2.9161433029353299E-8</v>
      </c>
      <c r="AB75">
        <v>1</v>
      </c>
      <c r="AC75" s="6">
        <f t="shared" si="6"/>
        <v>5.5425576893635808</v>
      </c>
      <c r="AD75" s="6">
        <f t="shared" si="7"/>
        <v>2.0162122471869268</v>
      </c>
    </row>
    <row r="76" spans="1:30" x14ac:dyDescent="0.2">
      <c r="A76" s="8" t="s">
        <v>602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</row>
    <row r="77" spans="1:30" x14ac:dyDescent="0.2">
      <c r="A77" s="8"/>
      <c r="B77" s="8" t="s">
        <v>593</v>
      </c>
      <c r="C77" s="8"/>
      <c r="D77" s="8"/>
      <c r="E77" s="8"/>
      <c r="F77" s="8"/>
      <c r="G77" s="8" t="s">
        <v>98</v>
      </c>
      <c r="H77" s="8" t="s">
        <v>99</v>
      </c>
      <c r="I77" s="8"/>
      <c r="J77" s="8"/>
      <c r="K77" s="8"/>
      <c r="L77" s="8"/>
      <c r="M77" s="8"/>
      <c r="N77" s="8"/>
      <c r="S77" t="s">
        <v>350</v>
      </c>
      <c r="T77">
        <v>0.10000141987400001</v>
      </c>
      <c r="U77" s="1">
        <v>7.0141123833332495E-10</v>
      </c>
      <c r="V77" s="1">
        <v>1.04735330166667E-6</v>
      </c>
      <c r="W77" s="1">
        <v>1.7681465617744798E-8</v>
      </c>
      <c r="X77" s="1">
        <v>3.53309931848778E-8</v>
      </c>
      <c r="Y77" s="1">
        <v>3.86705517226911E-8</v>
      </c>
      <c r="Z77" s="1">
        <f>0.5*(V77-V78)</f>
        <v>1.014598431666668E-6</v>
      </c>
      <c r="AB77">
        <v>1</v>
      </c>
      <c r="AC77" s="6">
        <f>100*(Z77*0.1/(AB77*10^-6*T77)-1)</f>
        <v>1.4584025851876792</v>
      </c>
      <c r="AD77" s="6">
        <f t="shared" ref="AD77:AD82" si="8">100*X77/V77</f>
        <v>3.3733596035506861</v>
      </c>
    </row>
    <row r="78" spans="1:30" x14ac:dyDescent="0.2">
      <c r="A78" s="8" t="s">
        <v>594</v>
      </c>
      <c r="B78" s="8" t="s">
        <v>98</v>
      </c>
      <c r="C78" s="237" t="s">
        <v>99</v>
      </c>
      <c r="D78" s="8" t="s">
        <v>595</v>
      </c>
      <c r="E78" s="8" t="s">
        <v>596</v>
      </c>
      <c r="F78" s="8" t="s">
        <v>597</v>
      </c>
      <c r="G78" s="8" t="s">
        <v>598</v>
      </c>
      <c r="H78" s="8" t="s">
        <v>598</v>
      </c>
      <c r="I78" s="8"/>
      <c r="J78" s="8" t="s">
        <v>599</v>
      </c>
      <c r="K78" s="8"/>
      <c r="L78" s="8"/>
      <c r="M78" s="8"/>
      <c r="N78" s="8"/>
      <c r="S78" t="s">
        <v>351</v>
      </c>
      <c r="T78">
        <v>0.100000089894</v>
      </c>
      <c r="U78" s="1">
        <v>-1.4741165031666701E-9</v>
      </c>
      <c r="V78" s="1">
        <v>-9.8184356166666597E-7</v>
      </c>
      <c r="W78" s="1">
        <v>2.4478936442698299E-8</v>
      </c>
      <c r="X78" s="1">
        <v>2.5838948390973399E-8</v>
      </c>
      <c r="Y78" s="1">
        <v>3.9115391360769999E-8</v>
      </c>
      <c r="AD78" s="6">
        <f t="shared" si="8"/>
        <v>-2.631676715088108</v>
      </c>
    </row>
    <row r="79" spans="1:30" x14ac:dyDescent="0.2">
      <c r="A79" s="8">
        <v>26</v>
      </c>
      <c r="B79" s="238">
        <v>1.0016082404389459</v>
      </c>
      <c r="C79" s="239">
        <v>1.7372106091849594E-4</v>
      </c>
      <c r="D79" s="239">
        <v>4.4614062903395664E-5</v>
      </c>
      <c r="E79" s="239">
        <v>7.6434778059750248E-5</v>
      </c>
      <c r="F79" s="8">
        <v>22</v>
      </c>
      <c r="G79" s="240">
        <v>5.0208606295011626E-4</v>
      </c>
      <c r="H79" s="240">
        <v>7.6559218163326526E-5</v>
      </c>
      <c r="I79" s="8"/>
      <c r="J79" s="8" t="s">
        <v>660</v>
      </c>
      <c r="K79" s="8"/>
      <c r="L79" s="8"/>
      <c r="M79" s="8"/>
      <c r="N79" s="8"/>
      <c r="T79">
        <v>9.9999310061999996E-2</v>
      </c>
      <c r="U79" s="1">
        <v>-2.0310690130000001E-9</v>
      </c>
      <c r="V79" s="1">
        <v>4.2797336833333402E-7</v>
      </c>
      <c r="W79" s="1">
        <v>1.91997249441981E-8</v>
      </c>
      <c r="X79" s="1">
        <v>2.6920786777067101E-8</v>
      </c>
      <c r="Y79" s="1">
        <v>3.5344063628413299E-8</v>
      </c>
      <c r="Z79" s="1">
        <f>0.5*(V79-V80)</f>
        <v>4.0470472416666697E-7</v>
      </c>
      <c r="AB79">
        <v>0.4</v>
      </c>
      <c r="AC79" s="6">
        <f>100*(Z79*0.1/(AB79*10^-6*T79)-1)</f>
        <v>1.1768790994028722</v>
      </c>
      <c r="AD79" s="6">
        <f t="shared" si="8"/>
        <v>6.2902948568751613</v>
      </c>
    </row>
    <row r="80" spans="1:30" x14ac:dyDescent="0.2">
      <c r="A80" s="8">
        <v>25</v>
      </c>
      <c r="B80" s="238">
        <v>1.0015142721779433</v>
      </c>
      <c r="C80" s="239">
        <v>1.4306267722794853E-4</v>
      </c>
      <c r="D80" s="239">
        <v>7.2782454237273319E-5</v>
      </c>
      <c r="E80" s="239">
        <v>3.8298477594961908E-5</v>
      </c>
      <c r="F80" s="8">
        <v>22</v>
      </c>
      <c r="G80" s="240">
        <v>5.0536846522591884E-4</v>
      </c>
      <c r="H80" s="240">
        <v>3.8546231655355726E-5</v>
      </c>
      <c r="I80" s="8"/>
      <c r="J80" s="8" t="s">
        <v>661</v>
      </c>
      <c r="K80" s="8"/>
      <c r="L80" s="8"/>
      <c r="M80" s="8"/>
      <c r="N80" s="8"/>
      <c r="T80">
        <v>0.100000501736</v>
      </c>
      <c r="U80" s="1">
        <v>-2.2121600751833299E-8</v>
      </c>
      <c r="V80" s="1">
        <v>-3.8143607999999997E-7</v>
      </c>
      <c r="W80" s="1">
        <v>2.9552173841693501E-8</v>
      </c>
      <c r="X80" s="1">
        <v>3.6201491473845797E-8</v>
      </c>
      <c r="Y80" s="1">
        <v>2.1598998968862702E-8</v>
      </c>
      <c r="AD80" s="6">
        <f t="shared" si="8"/>
        <v>-9.4908408962900932</v>
      </c>
    </row>
    <row r="81" spans="1:30" x14ac:dyDescent="0.2">
      <c r="A81" s="8">
        <v>24</v>
      </c>
      <c r="B81" s="238">
        <v>1.0011731673345943</v>
      </c>
      <c r="C81" s="239">
        <v>1.0773384030008377E-4</v>
      </c>
      <c r="D81" s="239">
        <v>9.937227702141172E-5</v>
      </c>
      <c r="E81" s="239">
        <v>3.4518691617198384E-5</v>
      </c>
      <c r="F81" s="8">
        <v>22</v>
      </c>
      <c r="G81" s="240">
        <v>5.0987728861013226E-4</v>
      </c>
      <c r="H81" s="240">
        <v>3.4793370916020632E-5</v>
      </c>
      <c r="I81" s="8"/>
      <c r="J81" s="8" t="s">
        <v>662</v>
      </c>
      <c r="K81" s="8"/>
      <c r="L81" s="8"/>
      <c r="M81" s="8"/>
      <c r="N81" s="8"/>
      <c r="T81">
        <v>0.10000013559199999</v>
      </c>
      <c r="U81" s="1">
        <v>1.02721094051667E-8</v>
      </c>
      <c r="V81" s="1">
        <v>1.6176296401666701E-7</v>
      </c>
      <c r="W81" s="1">
        <v>4.1787680384795501E-8</v>
      </c>
      <c r="X81" s="1">
        <v>4.9734898185671603E-8</v>
      </c>
      <c r="Y81" s="1">
        <v>6.8051170823504794E-8</v>
      </c>
      <c r="Z81" s="1">
        <f>0.5*(V81-V82)</f>
        <v>1.2668595487675016E-7</v>
      </c>
      <c r="AB81">
        <v>0.15</v>
      </c>
      <c r="AC81" s="6">
        <f>100*(Z81*0.1/(AB81*10^-6*T81)-1)</f>
        <v>-15.54281126602457</v>
      </c>
      <c r="AD81" s="6">
        <f t="shared" si="8"/>
        <v>30.745540852322193</v>
      </c>
    </row>
    <row r="82" spans="1:30" x14ac:dyDescent="0.2">
      <c r="A82" s="8">
        <v>23</v>
      </c>
      <c r="B82" s="238">
        <v>1.0008322323538001</v>
      </c>
      <c r="C82" s="239">
        <v>9.4053621015306076E-5</v>
      </c>
      <c r="D82" s="239">
        <v>2.6178852781318177E-4</v>
      </c>
      <c r="E82" s="239">
        <v>9.9120096031945877E-5</v>
      </c>
      <c r="F82" s="8">
        <v>33</v>
      </c>
      <c r="G82" s="240">
        <v>5.6447606972713472E-4</v>
      </c>
      <c r="H82" s="240">
        <v>9.9216087536844154E-5</v>
      </c>
      <c r="I82" s="8"/>
      <c r="J82" s="8" t="s">
        <v>663</v>
      </c>
      <c r="K82" s="8"/>
      <c r="L82" s="8"/>
      <c r="M82" s="8"/>
      <c r="N82" s="8"/>
      <c r="T82">
        <v>9.9999574970000005E-2</v>
      </c>
      <c r="U82" s="1">
        <v>4.0901814039999998E-8</v>
      </c>
      <c r="V82" s="1">
        <v>-9.1608945736833295E-8</v>
      </c>
      <c r="W82" s="1">
        <v>2.86204244171265E-8</v>
      </c>
      <c r="X82" s="1">
        <v>8.62507901780715E-8</v>
      </c>
      <c r="Y82" s="1">
        <v>5.8268941793299998E-8</v>
      </c>
      <c r="AD82" s="6">
        <f t="shared" si="8"/>
        <v>-94.151056410850686</v>
      </c>
    </row>
    <row r="83" spans="1:30" x14ac:dyDescent="0.2">
      <c r="A83" s="8">
        <v>22</v>
      </c>
      <c r="B83" s="238">
        <v>1.0003008289596123</v>
      </c>
      <c r="C83" s="239">
        <v>5.6084484989166625E-5</v>
      </c>
      <c r="D83" s="239">
        <v>4.6070582354655609E-4</v>
      </c>
      <c r="E83" s="239">
        <v>8.659218442697826E-5</v>
      </c>
      <c r="F83" s="8">
        <v>22</v>
      </c>
      <c r="G83" s="240">
        <v>6.7996312830160904E-4</v>
      </c>
      <c r="H83" s="240">
        <v>8.6702047222498533E-5</v>
      </c>
      <c r="I83" s="8"/>
      <c r="J83" s="8" t="s">
        <v>664</v>
      </c>
      <c r="K83" s="8"/>
      <c r="L83" s="8"/>
      <c r="M83" s="8"/>
      <c r="N83" s="8"/>
    </row>
    <row r="84" spans="1:30" x14ac:dyDescent="0.2">
      <c r="A84" s="8">
        <v>21</v>
      </c>
      <c r="B84" s="238">
        <v>0.99932362199361391</v>
      </c>
      <c r="C84" s="239">
        <v>2.5777944158312958E-5</v>
      </c>
      <c r="D84" s="239">
        <v>1.087498284893817E-3</v>
      </c>
      <c r="E84" s="239">
        <v>1.1528921001861749E-4</v>
      </c>
      <c r="F84" s="8">
        <v>22</v>
      </c>
      <c r="G84" s="240">
        <v>1.1969764073059225E-3</v>
      </c>
      <c r="H84" s="240">
        <v>1.1537174929528216E-4</v>
      </c>
      <c r="I84" s="8"/>
      <c r="J84" s="8" t="s">
        <v>665</v>
      </c>
      <c r="K84" s="8"/>
      <c r="L84" s="8"/>
      <c r="M84" s="8"/>
      <c r="N84" s="8"/>
      <c r="T84">
        <v>0.100000673012</v>
      </c>
      <c r="U84" s="1">
        <v>1.2174193650000001E-9</v>
      </c>
      <c r="V84" s="1">
        <v>1.03391245833333E-6</v>
      </c>
      <c r="W84" s="1">
        <v>1.7981291975173601E-8</v>
      </c>
      <c r="X84" s="1">
        <v>2.7673087504056701E-9</v>
      </c>
      <c r="Y84" s="1">
        <v>3.7725198877915298E-8</v>
      </c>
      <c r="Z84" s="1">
        <f>0.5*(V84-V85)</f>
        <v>1.0058241799999985E-6</v>
      </c>
      <c r="AB84">
        <v>1</v>
      </c>
      <c r="AC84" s="6">
        <f>100*(Z84*0.1/(AB84*10^-6*T84)-1)</f>
        <v>0.58174107281263598</v>
      </c>
      <c r="AD84" s="6">
        <f t="shared" ref="AD84:AD89" si="9">100*X84/V84</f>
        <v>0.26765406762450472</v>
      </c>
    </row>
    <row r="85" spans="1:30" x14ac:dyDescent="0.2">
      <c r="A85" s="8">
        <v>20</v>
      </c>
      <c r="B85" s="238">
        <v>0.99894326186845828</v>
      </c>
      <c r="C85" s="239">
        <v>1.8135385197987005E-4</v>
      </c>
      <c r="D85" s="239">
        <v>1.0850152648175869E-3</v>
      </c>
      <c r="E85" s="239">
        <v>5.9680340764650349E-4</v>
      </c>
      <c r="F85" s="8">
        <v>44</v>
      </c>
      <c r="G85" s="240">
        <v>1.1947209401727157E-3</v>
      </c>
      <c r="H85" s="240">
        <v>5.968193579025526E-4</v>
      </c>
      <c r="I85" s="8"/>
      <c r="J85" s="8" t="s">
        <v>666</v>
      </c>
      <c r="K85" s="8"/>
      <c r="L85" s="8"/>
      <c r="M85" s="8"/>
      <c r="N85" s="8"/>
      <c r="T85">
        <v>9.9998710003999999E-2</v>
      </c>
      <c r="U85" s="1">
        <v>9.8371864999999305E-11</v>
      </c>
      <c r="V85" s="1">
        <v>-9.777359016666671E-7</v>
      </c>
      <c r="W85" s="1">
        <v>3.1336898670204899E-8</v>
      </c>
      <c r="X85" s="1">
        <v>3.7754447259999999E-9</v>
      </c>
      <c r="Y85" s="1">
        <v>2.9642455603947499E-8</v>
      </c>
      <c r="AD85" s="6">
        <f t="shared" si="9"/>
        <v>-0.38614156640502872</v>
      </c>
    </row>
    <row r="86" spans="1:30" x14ac:dyDescent="0.2">
      <c r="A86" s="8">
        <v>19</v>
      </c>
      <c r="B86" s="238">
        <v>0.99925936408943228</v>
      </c>
      <c r="C86" s="239">
        <v>9.9899887622806975E-5</v>
      </c>
      <c r="D86" s="239">
        <v>1.2992430705472582E-3</v>
      </c>
      <c r="E86" s="239">
        <v>6.3149251671151059E-4</v>
      </c>
      <c r="F86" s="8">
        <v>22</v>
      </c>
      <c r="G86" s="240">
        <v>1.3921682931187119E-3</v>
      </c>
      <c r="H86" s="240">
        <v>6.3150759081057289E-4</v>
      </c>
      <c r="I86" s="8"/>
      <c r="J86" s="8" t="s">
        <v>667</v>
      </c>
      <c r="K86" s="8"/>
      <c r="L86" s="8"/>
      <c r="M86" s="8"/>
      <c r="N86" s="8"/>
      <c r="T86">
        <v>0.100000596624</v>
      </c>
      <c r="U86" s="1">
        <v>1.78742173468336E-8</v>
      </c>
      <c r="V86" s="1">
        <v>4.3047246999999998E-7</v>
      </c>
      <c r="W86" s="1">
        <v>1.7356334100677801E-8</v>
      </c>
      <c r="X86" s="1">
        <v>7.1466432556523203E-8</v>
      </c>
      <c r="Y86" s="1">
        <v>2.2208095241880399E-8</v>
      </c>
      <c r="Z86" s="1">
        <f>0.5*(V86-V87)</f>
        <v>3.9382305416666647E-7</v>
      </c>
      <c r="AB86">
        <v>0.4</v>
      </c>
      <c r="AC86" s="6">
        <f>100*(Z86*0.1/(AB86*10^-6*T86)-1)</f>
        <v>-1.5448238655434432</v>
      </c>
      <c r="AD86" s="6">
        <f t="shared" si="9"/>
        <v>16.601859012383116</v>
      </c>
    </row>
    <row r="87" spans="1:30" x14ac:dyDescent="0.2">
      <c r="A87" s="8">
        <v>18</v>
      </c>
      <c r="B87" s="238">
        <v>0.99735227131711901</v>
      </c>
      <c r="C87" s="239">
        <v>8.4812993223389195E-5</v>
      </c>
      <c r="D87" s="239">
        <v>3.2514730989770149E-3</v>
      </c>
      <c r="E87" s="239">
        <v>1.4529128451495045E-4</v>
      </c>
      <c r="F87" s="8">
        <v>22</v>
      </c>
      <c r="G87" s="240">
        <v>3.2897077854075721E-3</v>
      </c>
      <c r="H87" s="240">
        <v>1.4535678843707585E-4</v>
      </c>
      <c r="I87" s="8"/>
      <c r="J87" s="8" t="s">
        <v>668</v>
      </c>
      <c r="K87" s="8"/>
      <c r="L87" s="8"/>
      <c r="M87" s="8"/>
      <c r="N87" s="8"/>
      <c r="T87">
        <v>0.10000041858600001</v>
      </c>
      <c r="U87" s="1">
        <v>-2.8092733951499999E-8</v>
      </c>
      <c r="V87" s="1">
        <v>-3.5717363833333301E-7</v>
      </c>
      <c r="W87" s="1">
        <v>1.5466941947705198E-8</v>
      </c>
      <c r="X87" s="1">
        <v>7.5026499628807094E-8</v>
      </c>
      <c r="Y87" s="1">
        <v>2.3328106226914299E-8</v>
      </c>
      <c r="AD87" s="6">
        <f t="shared" si="9"/>
        <v>-21.005609478600004</v>
      </c>
    </row>
    <row r="88" spans="1:30" x14ac:dyDescent="0.2">
      <c r="A88" s="8">
        <v>17</v>
      </c>
      <c r="B88" s="238">
        <v>0.99959544553961921</v>
      </c>
      <c r="C88" s="239">
        <v>8.5410485030626079E-5</v>
      </c>
      <c r="D88" s="239">
        <v>4.8105823414176666E-3</v>
      </c>
      <c r="E88" s="239">
        <v>2.1674617341890131E-4</v>
      </c>
      <c r="F88" s="8">
        <v>33</v>
      </c>
      <c r="G88" s="240">
        <v>4.8365072587105125E-3</v>
      </c>
      <c r="H88" s="240">
        <v>2.1679008805864026E-4</v>
      </c>
      <c r="I88" s="8"/>
      <c r="J88" s="8" t="s">
        <v>669</v>
      </c>
      <c r="K88" s="8"/>
      <c r="L88" s="8"/>
      <c r="M88" s="8"/>
      <c r="N88" s="8"/>
      <c r="T88">
        <v>9.9999442825999998E-2</v>
      </c>
      <c r="U88" s="1">
        <v>-2.4091464397833299E-8</v>
      </c>
      <c r="V88" s="1">
        <v>1.9154911666666701E-7</v>
      </c>
      <c r="W88" s="1">
        <v>2.12646781591808E-8</v>
      </c>
      <c r="X88" s="1">
        <v>7.87977433365843E-8</v>
      </c>
      <c r="Y88" s="1">
        <v>2.5570504522588599E-8</v>
      </c>
      <c r="Z88" s="1">
        <f>0.5*(V88-V89)</f>
        <v>1.60422490441667E-7</v>
      </c>
      <c r="AB88">
        <v>0.15</v>
      </c>
      <c r="AC88" s="6">
        <f>100*(Z88*0.1/(AB88*10^-6*T88)-1)</f>
        <v>6.9489228527027436</v>
      </c>
      <c r="AD88" s="6">
        <f t="shared" si="9"/>
        <v>41.13709564827063</v>
      </c>
    </row>
    <row r="89" spans="1:30" x14ac:dyDescent="0.2">
      <c r="A89" s="8">
        <v>16</v>
      </c>
      <c r="B89" s="238">
        <v>1.0011506726923358</v>
      </c>
      <c r="C89" s="239">
        <v>4.3718480029279764E-5</v>
      </c>
      <c r="D89" s="239">
        <v>5.5193598510053267E-3</v>
      </c>
      <c r="E89" s="239">
        <v>7.6574373770363227E-4</v>
      </c>
      <c r="F89" s="8">
        <v>33</v>
      </c>
      <c r="G89" s="240">
        <v>5.5419701519305881E-3</v>
      </c>
      <c r="H89" s="240">
        <v>7.657561690388564E-4</v>
      </c>
      <c r="I89" s="8"/>
      <c r="J89" s="8" t="s">
        <v>670</v>
      </c>
      <c r="K89" s="8"/>
      <c r="L89" s="8"/>
      <c r="M89" s="8"/>
      <c r="N89" s="8"/>
      <c r="T89">
        <v>0.10000132578199999</v>
      </c>
      <c r="U89" s="1">
        <v>-4.9006476633499999E-9</v>
      </c>
      <c r="V89" s="1">
        <v>-1.2929586421666701E-7</v>
      </c>
      <c r="W89" s="1">
        <v>1.75213471665384E-8</v>
      </c>
      <c r="X89" s="1">
        <v>2.87267480450148E-8</v>
      </c>
      <c r="Y89" s="1">
        <v>3.5142778104452597E-8</v>
      </c>
      <c r="AD89" s="6">
        <f t="shared" si="9"/>
        <v>-22.217839850527678</v>
      </c>
    </row>
    <row r="90" spans="1:30" x14ac:dyDescent="0.2">
      <c r="A90" s="8">
        <v>15</v>
      </c>
      <c r="B90" s="238">
        <v>0.99801859778443691</v>
      </c>
      <c r="C90" s="239">
        <v>-8.8045488778421493E-5</v>
      </c>
      <c r="D90" s="239">
        <v>9.4968342023705552E-3</v>
      </c>
      <c r="E90" s="239">
        <v>9.6146269924879955E-4</v>
      </c>
      <c r="F90" s="8">
        <v>22</v>
      </c>
      <c r="G90" s="240">
        <v>9.5099926323481011E-3</v>
      </c>
      <c r="H90" s="240">
        <v>9.6147260004408039E-4</v>
      </c>
      <c r="I90" s="8"/>
      <c r="J90" s="8" t="s">
        <v>671</v>
      </c>
      <c r="K90" s="8"/>
      <c r="L90" s="8"/>
      <c r="M90" s="8"/>
      <c r="N90" s="8"/>
    </row>
    <row r="91" spans="1:30" x14ac:dyDescent="0.2">
      <c r="A91" s="8">
        <v>14</v>
      </c>
      <c r="B91" s="238">
        <v>1.0036663555558816</v>
      </c>
      <c r="C91" s="239">
        <v>5.7046232884739559E-4</v>
      </c>
      <c r="D91" s="239">
        <v>9.9220787499788785E-3</v>
      </c>
      <c r="E91" s="239">
        <v>3.7340103064103752E-3</v>
      </c>
      <c r="F91" s="8">
        <v>33</v>
      </c>
      <c r="G91" s="240">
        <v>9.9346739614736435E-3</v>
      </c>
      <c r="H91" s="240">
        <v>3.7340128557582179E-3</v>
      </c>
      <c r="I91" s="8"/>
      <c r="J91" s="8" t="s">
        <v>672</v>
      </c>
      <c r="K91" s="8"/>
      <c r="L91" s="8"/>
      <c r="M91" s="8"/>
      <c r="N91" s="8"/>
    </row>
    <row r="92" spans="1:30" x14ac:dyDescent="0.2">
      <c r="A92" s="8">
        <v>13</v>
      </c>
      <c r="B92" s="238">
        <v>1.0006350386046958</v>
      </c>
      <c r="C92" s="239">
        <v>-1.5323677102913784E-4</v>
      </c>
      <c r="D92" s="239">
        <v>1.3853780739649248E-2</v>
      </c>
      <c r="E92" s="239">
        <v>7.0179428223198521E-3</v>
      </c>
      <c r="F92" s="8">
        <v>32</v>
      </c>
      <c r="G92" s="240">
        <v>1.386280421784411E-2</v>
      </c>
      <c r="H92" s="240">
        <v>7.0179441787420532E-3</v>
      </c>
      <c r="I92" s="8"/>
      <c r="J92" s="8" t="s">
        <v>673</v>
      </c>
      <c r="K92" s="8"/>
      <c r="L92" s="8"/>
      <c r="M92" s="8"/>
      <c r="N92" s="8"/>
    </row>
    <row r="93" spans="1:30" x14ac:dyDescent="0.2">
      <c r="A93" s="8">
        <v>12</v>
      </c>
      <c r="B93" s="238">
        <v>0.99974355503531487</v>
      </c>
      <c r="C93" s="239">
        <v>-5.2194520824310571E-4</v>
      </c>
      <c r="D93" s="239">
        <v>2.068858047336411E-2</v>
      </c>
      <c r="E93" s="239">
        <v>2.7143226667241421E-2</v>
      </c>
      <c r="F93" s="8">
        <v>22</v>
      </c>
      <c r="G93" s="240">
        <v>2.0694623987955487E-2</v>
      </c>
      <c r="H93" s="240">
        <v>2.714322701794749E-2</v>
      </c>
      <c r="I93" s="8"/>
      <c r="J93" s="8" t="s">
        <v>674</v>
      </c>
      <c r="K93" s="8"/>
      <c r="L93" s="8"/>
      <c r="M93" s="8"/>
      <c r="N93" s="8"/>
    </row>
    <row r="94" spans="1:30" x14ac:dyDescent="0.2">
      <c r="A94" s="8">
        <v>11</v>
      </c>
      <c r="B94" s="238">
        <v>0.99824869399977723</v>
      </c>
      <c r="C94" s="239">
        <v>-6.905292716716669E-3</v>
      </c>
      <c r="D94" s="239">
        <v>2.6370645946790505E-2</v>
      </c>
      <c r="E94" s="239">
        <v>6.2806492413838511E-2</v>
      </c>
      <c r="F94" s="8">
        <v>44</v>
      </c>
      <c r="G94" s="240">
        <v>2.6375387535560089E-2</v>
      </c>
      <c r="H94" s="240">
        <v>6.2806492565403965E-2</v>
      </c>
      <c r="I94" s="8"/>
      <c r="J94" s="8" t="s">
        <v>675</v>
      </c>
      <c r="K94" s="8"/>
      <c r="L94" s="8"/>
      <c r="M94" s="8"/>
      <c r="N94" s="8"/>
    </row>
    <row r="95" spans="1:30" x14ac:dyDescent="0.2">
      <c r="A95" s="8">
        <v>10</v>
      </c>
      <c r="B95" s="238">
        <v>1.0052386764538828</v>
      </c>
      <c r="C95" s="239">
        <v>1.377282752883884E-2</v>
      </c>
      <c r="D95" s="239">
        <v>5.9574182409843829E-2</v>
      </c>
      <c r="E95" s="239">
        <v>8.7112235747465933E-2</v>
      </c>
      <c r="F95" s="8">
        <v>33</v>
      </c>
      <c r="G95" s="240">
        <v>5.957628143650244E-2</v>
      </c>
      <c r="H95" s="240">
        <v>8.7112235856742132E-2</v>
      </c>
      <c r="I95" s="8"/>
      <c r="J95" s="8" t="s">
        <v>676</v>
      </c>
      <c r="K95" s="8"/>
      <c r="L95" s="8"/>
      <c r="M95" s="8"/>
      <c r="N95" s="8"/>
    </row>
    <row r="96" spans="1:30" x14ac:dyDescent="0.2">
      <c r="A96" s="8">
        <v>9</v>
      </c>
      <c r="B96" s="238">
        <v>1.01823948120807</v>
      </c>
      <c r="C96" s="239">
        <v>2.9499581741049014E-2</v>
      </c>
      <c r="D96" s="239">
        <v>0.16354458439804528</v>
      </c>
      <c r="E96" s="239">
        <v>0.26639476263687917</v>
      </c>
      <c r="F96" s="8">
        <v>19</v>
      </c>
      <c r="G96" s="240">
        <v>0.16354534901955897</v>
      </c>
      <c r="H96" s="240">
        <v>0.26639476267261297</v>
      </c>
      <c r="I96" s="8"/>
      <c r="J96" s="8" t="s">
        <v>677</v>
      </c>
      <c r="K96" s="8"/>
      <c r="L96" s="8"/>
      <c r="M96" s="8"/>
      <c r="N96" s="8"/>
    </row>
    <row r="97" spans="1:14" x14ac:dyDescent="0.2">
      <c r="A97" s="8">
        <v>8</v>
      </c>
      <c r="B97" s="238">
        <v>1.0207427713076569</v>
      </c>
      <c r="C97" s="239">
        <v>-7.9900004503381361E-2</v>
      </c>
      <c r="D97" s="239">
        <v>0.33316915753038379</v>
      </c>
      <c r="E97" s="239">
        <v>0.43207021331780471</v>
      </c>
      <c r="F97" s="8">
        <v>8</v>
      </c>
      <c r="G97" s="240">
        <v>0.33316953286503509</v>
      </c>
      <c r="H97" s="240">
        <v>0.43207021333983653</v>
      </c>
      <c r="I97" s="8"/>
      <c r="J97" s="8" t="s">
        <v>678</v>
      </c>
      <c r="K97" s="8"/>
      <c r="L97" s="8"/>
      <c r="M97" s="8"/>
      <c r="N97" s="8"/>
    </row>
    <row r="98" spans="1:14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1:14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1:14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1:14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1:14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2:AX69"/>
  <sheetViews>
    <sheetView topLeftCell="B1" zoomScale="90" zoomScaleNormal="90" workbookViewId="0">
      <selection activeCell="D7" sqref="D7"/>
    </sheetView>
  </sheetViews>
  <sheetFormatPr defaultRowHeight="12.75" x14ac:dyDescent="0.2"/>
  <cols>
    <col min="9" max="9" width="10.140625" customWidth="1"/>
    <col min="10" max="10" width="10.42578125" customWidth="1"/>
    <col min="16" max="17" width="10" customWidth="1"/>
    <col min="22" max="22" width="13" bestFit="1" customWidth="1"/>
    <col min="30" max="30" width="12" bestFit="1" customWidth="1"/>
  </cols>
  <sheetData>
    <row r="2" spans="1:50" x14ac:dyDescent="0.2">
      <c r="B2" s="5" t="s">
        <v>270</v>
      </c>
    </row>
    <row r="4" spans="1:50" x14ac:dyDescent="0.2">
      <c r="C4" s="5" t="s">
        <v>275</v>
      </c>
      <c r="D4" s="5" t="s">
        <v>219</v>
      </c>
      <c r="E4" s="5" t="s">
        <v>288</v>
      </c>
      <c r="G4" s="5" t="s">
        <v>256</v>
      </c>
      <c r="H4" s="5" t="s">
        <v>288</v>
      </c>
      <c r="J4" s="5" t="s">
        <v>289</v>
      </c>
      <c r="O4" s="5" t="s">
        <v>714</v>
      </c>
      <c r="Q4" s="5"/>
      <c r="T4" s="5" t="s">
        <v>294</v>
      </c>
    </row>
    <row r="5" spans="1:50" x14ac:dyDescent="0.2">
      <c r="C5" t="s">
        <v>279</v>
      </c>
      <c r="D5" s="3">
        <f>'Data(2013)'!AG297</f>
        <v>1.6578916996768757E-2</v>
      </c>
      <c r="E5" t="s">
        <v>271</v>
      </c>
      <c r="G5">
        <v>7</v>
      </c>
      <c r="H5" t="s">
        <v>273</v>
      </c>
      <c r="J5" t="s">
        <v>278</v>
      </c>
      <c r="O5" s="8" t="s">
        <v>721</v>
      </c>
      <c r="T5" t="s">
        <v>722</v>
      </c>
    </row>
    <row r="6" spans="1:50" x14ac:dyDescent="0.2">
      <c r="C6" t="s">
        <v>279</v>
      </c>
      <c r="D6" s="3">
        <f>'Data(2013)'!AR297</f>
        <v>9.8744979504769414E-3</v>
      </c>
      <c r="E6" t="s">
        <v>272</v>
      </c>
      <c r="G6">
        <v>7</v>
      </c>
      <c r="H6" t="s">
        <v>274</v>
      </c>
      <c r="J6" t="s">
        <v>278</v>
      </c>
      <c r="O6" s="8" t="s">
        <v>721</v>
      </c>
      <c r="T6" t="s">
        <v>723</v>
      </c>
    </row>
    <row r="7" spans="1:50" x14ac:dyDescent="0.2">
      <c r="C7" s="8" t="s">
        <v>717</v>
      </c>
      <c r="D7">
        <v>1.4999999999999999E-2</v>
      </c>
      <c r="E7" t="s">
        <v>276</v>
      </c>
      <c r="G7">
        <v>10</v>
      </c>
      <c r="H7" t="s">
        <v>277</v>
      </c>
      <c r="J7" t="s">
        <v>357</v>
      </c>
      <c r="O7" s="8" t="s">
        <v>716</v>
      </c>
      <c r="T7" t="s">
        <v>295</v>
      </c>
    </row>
    <row r="8" spans="1:50" x14ac:dyDescent="0.2">
      <c r="C8" t="s">
        <v>345</v>
      </c>
      <c r="D8" s="3">
        <v>0.1</v>
      </c>
      <c r="E8" t="s">
        <v>361</v>
      </c>
      <c r="G8">
        <v>5</v>
      </c>
      <c r="H8" t="s">
        <v>362</v>
      </c>
      <c r="J8" t="s">
        <v>363</v>
      </c>
      <c r="O8" s="8" t="s">
        <v>718</v>
      </c>
      <c r="T8" s="8" t="s">
        <v>719</v>
      </c>
    </row>
    <row r="9" spans="1:50" x14ac:dyDescent="0.2">
      <c r="D9" s="3">
        <v>0.5</v>
      </c>
      <c r="E9" t="s">
        <v>282</v>
      </c>
      <c r="G9">
        <v>5</v>
      </c>
      <c r="H9" t="s">
        <v>283</v>
      </c>
      <c r="J9" t="s">
        <v>280</v>
      </c>
      <c r="O9" s="8" t="s">
        <v>724</v>
      </c>
      <c r="T9" t="s">
        <v>297</v>
      </c>
    </row>
    <row r="10" spans="1:50" x14ac:dyDescent="0.2">
      <c r="D10" s="3">
        <v>0.2</v>
      </c>
      <c r="E10" t="s">
        <v>281</v>
      </c>
      <c r="G10">
        <v>5</v>
      </c>
      <c r="H10" t="s">
        <v>284</v>
      </c>
      <c r="J10" t="s">
        <v>285</v>
      </c>
      <c r="O10" s="8" t="s">
        <v>725</v>
      </c>
      <c r="T10" t="s">
        <v>296</v>
      </c>
    </row>
    <row r="11" spans="1:50" x14ac:dyDescent="0.2">
      <c r="D11" s="3">
        <f>SQRT((0.005*(1/0.486))^2+(0.005*(1/0.126))^2)</f>
        <v>4.0994490537864067E-2</v>
      </c>
      <c r="E11" t="s">
        <v>290</v>
      </c>
      <c r="G11">
        <v>5</v>
      </c>
      <c r="H11" t="s">
        <v>292</v>
      </c>
      <c r="J11" t="s">
        <v>315</v>
      </c>
      <c r="O11" s="8" t="s">
        <v>741</v>
      </c>
      <c r="T11" t="s">
        <v>295</v>
      </c>
    </row>
    <row r="12" spans="1:50" x14ac:dyDescent="0.2">
      <c r="D12" s="3">
        <f>SQRT((0.005*(1/0.486))^2+(0.005*(1/0.326))^2)</f>
        <v>1.846837439195095E-2</v>
      </c>
      <c r="E12" t="s">
        <v>291</v>
      </c>
      <c r="G12">
        <v>5</v>
      </c>
      <c r="H12" t="s">
        <v>293</v>
      </c>
      <c r="J12" t="s">
        <v>316</v>
      </c>
      <c r="O12" s="8" t="s">
        <v>742</v>
      </c>
      <c r="T12" t="s">
        <v>295</v>
      </c>
    </row>
    <row r="15" spans="1:50" x14ac:dyDescent="0.2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  <c r="P15">
        <v>16</v>
      </c>
      <c r="Q15">
        <v>17</v>
      </c>
      <c r="R15">
        <v>18</v>
      </c>
      <c r="S15">
        <v>19</v>
      </c>
      <c r="T15">
        <v>20</v>
      </c>
      <c r="U15">
        <v>21</v>
      </c>
      <c r="V15">
        <v>22</v>
      </c>
      <c r="W15">
        <v>23</v>
      </c>
      <c r="X15">
        <v>24</v>
      </c>
      <c r="Y15">
        <v>25</v>
      </c>
      <c r="Z15">
        <v>26</v>
      </c>
      <c r="AA15">
        <v>27</v>
      </c>
      <c r="AB15">
        <v>28</v>
      </c>
      <c r="AC15">
        <v>29</v>
      </c>
      <c r="AD15">
        <v>30</v>
      </c>
      <c r="AE15">
        <v>31</v>
      </c>
      <c r="AF15">
        <v>32</v>
      </c>
      <c r="AG15">
        <v>33</v>
      </c>
      <c r="AH15">
        <v>34</v>
      </c>
      <c r="AI15">
        <v>35</v>
      </c>
      <c r="AJ15">
        <v>36</v>
      </c>
      <c r="AK15">
        <v>37</v>
      </c>
      <c r="AL15">
        <v>38</v>
      </c>
      <c r="AM15">
        <v>39</v>
      </c>
      <c r="AN15">
        <v>40</v>
      </c>
      <c r="AO15">
        <v>41</v>
      </c>
      <c r="AP15">
        <v>42</v>
      </c>
      <c r="AQ15">
        <v>43</v>
      </c>
      <c r="AR15">
        <v>44</v>
      </c>
      <c r="AS15">
        <v>45</v>
      </c>
      <c r="AT15">
        <v>46</v>
      </c>
      <c r="AU15">
        <v>47</v>
      </c>
      <c r="AV15">
        <v>48</v>
      </c>
      <c r="AW15">
        <v>49</v>
      </c>
      <c r="AX15">
        <v>50</v>
      </c>
    </row>
    <row r="16" spans="1:50" x14ac:dyDescent="0.2">
      <c r="B16" s="5" t="s">
        <v>222</v>
      </c>
      <c r="L16" t="s">
        <v>359</v>
      </c>
      <c r="M16" s="29" t="s">
        <v>257</v>
      </c>
      <c r="N16" s="29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28" t="s">
        <v>258</v>
      </c>
      <c r="AG16" s="28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</row>
    <row r="17" spans="1:50" x14ac:dyDescent="0.2">
      <c r="D17" t="s">
        <v>215</v>
      </c>
      <c r="E17" t="s">
        <v>215</v>
      </c>
      <c r="F17" t="s">
        <v>302</v>
      </c>
      <c r="G17" t="s">
        <v>304</v>
      </c>
      <c r="H17" t="s">
        <v>14</v>
      </c>
      <c r="I17" t="s">
        <v>286</v>
      </c>
      <c r="L17" t="s">
        <v>360</v>
      </c>
      <c r="M17" s="30" t="s">
        <v>300</v>
      </c>
      <c r="N17" s="30" t="s">
        <v>5</v>
      </c>
      <c r="O17" s="30" t="s">
        <v>5</v>
      </c>
      <c r="P17" s="30" t="s">
        <v>5</v>
      </c>
      <c r="Q17" s="30" t="s">
        <v>5</v>
      </c>
      <c r="R17" s="31" t="s">
        <v>5</v>
      </c>
      <c r="S17" s="30" t="s">
        <v>5</v>
      </c>
      <c r="T17" s="30" t="s">
        <v>5</v>
      </c>
      <c r="U17" s="29" t="s">
        <v>5</v>
      </c>
      <c r="V17" s="30" t="s">
        <v>309</v>
      </c>
      <c r="W17" s="30" t="s">
        <v>6</v>
      </c>
      <c r="X17" s="30" t="s">
        <v>6</v>
      </c>
      <c r="Y17" s="30" t="s">
        <v>6</v>
      </c>
      <c r="Z17" s="30" t="s">
        <v>6</v>
      </c>
      <c r="AA17" s="31" t="s">
        <v>6</v>
      </c>
      <c r="AB17" s="31" t="s">
        <v>6</v>
      </c>
      <c r="AC17" s="30" t="s">
        <v>6</v>
      </c>
      <c r="AD17" s="30" t="s">
        <v>6</v>
      </c>
      <c r="AE17" s="29" t="s">
        <v>6</v>
      </c>
      <c r="AF17" s="27" t="s">
        <v>300</v>
      </c>
      <c r="AG17" s="27" t="s">
        <v>5</v>
      </c>
      <c r="AH17" s="27" t="s">
        <v>5</v>
      </c>
      <c r="AI17" s="27" t="s">
        <v>5</v>
      </c>
      <c r="AJ17" s="27" t="s">
        <v>5</v>
      </c>
      <c r="AK17" s="32" t="s">
        <v>5</v>
      </c>
      <c r="AL17" s="27" t="s">
        <v>5</v>
      </c>
      <c r="AM17" s="27" t="s">
        <v>5</v>
      </c>
      <c r="AN17" s="28" t="s">
        <v>5</v>
      </c>
      <c r="AO17" s="27" t="s">
        <v>309</v>
      </c>
      <c r="AP17" s="27" t="s">
        <v>6</v>
      </c>
      <c r="AQ17" s="27" t="s">
        <v>6</v>
      </c>
      <c r="AR17" s="27" t="s">
        <v>6</v>
      </c>
      <c r="AS17" s="27" t="s">
        <v>6</v>
      </c>
      <c r="AT17" s="32" t="s">
        <v>6</v>
      </c>
      <c r="AU17" s="32" t="s">
        <v>6</v>
      </c>
      <c r="AV17" s="27" t="s">
        <v>6</v>
      </c>
      <c r="AW17" s="27" t="s">
        <v>6</v>
      </c>
      <c r="AX17" s="28" t="s">
        <v>6</v>
      </c>
    </row>
    <row r="18" spans="1:50" x14ac:dyDescent="0.2">
      <c r="C18" t="s">
        <v>4</v>
      </c>
      <c r="D18" t="s">
        <v>0</v>
      </c>
      <c r="E18" t="s">
        <v>1</v>
      </c>
      <c r="F18" t="s">
        <v>303</v>
      </c>
      <c r="G18" t="s">
        <v>303</v>
      </c>
      <c r="H18" t="s">
        <v>303</v>
      </c>
      <c r="I18" t="s">
        <v>287</v>
      </c>
      <c r="J18" t="s">
        <v>299</v>
      </c>
      <c r="K18" t="s">
        <v>298</v>
      </c>
      <c r="L18" t="s">
        <v>206</v>
      </c>
      <c r="M18" s="30" t="s">
        <v>301</v>
      </c>
      <c r="N18" s="30" t="s">
        <v>14</v>
      </c>
      <c r="O18" s="30" t="s">
        <v>220</v>
      </c>
      <c r="P18" s="30" t="s">
        <v>218</v>
      </c>
      <c r="Q18" s="30" t="s">
        <v>364</v>
      </c>
      <c r="R18" s="30" t="s">
        <v>305</v>
      </c>
      <c r="S18" s="30" t="s">
        <v>307</v>
      </c>
      <c r="T18" s="30" t="s">
        <v>308</v>
      </c>
      <c r="U18" s="29" t="s">
        <v>221</v>
      </c>
      <c r="V18" s="30" t="s">
        <v>301</v>
      </c>
      <c r="W18" s="30" t="s">
        <v>14</v>
      </c>
      <c r="X18" s="30" t="s">
        <v>220</v>
      </c>
      <c r="Y18" s="30" t="s">
        <v>218</v>
      </c>
      <c r="Z18" s="30" t="s">
        <v>364</v>
      </c>
      <c r="AA18" s="30" t="s">
        <v>305</v>
      </c>
      <c r="AB18" s="30" t="s">
        <v>306</v>
      </c>
      <c r="AC18" s="30" t="s">
        <v>307</v>
      </c>
      <c r="AD18" s="30" t="s">
        <v>308</v>
      </c>
      <c r="AE18" s="29" t="s">
        <v>221</v>
      </c>
      <c r="AF18" s="27" t="s">
        <v>301</v>
      </c>
      <c r="AG18" s="27" t="s">
        <v>14</v>
      </c>
      <c r="AH18" s="27" t="s">
        <v>220</v>
      </c>
      <c r="AI18" s="27" t="s">
        <v>218</v>
      </c>
      <c r="AJ18" s="27" t="s">
        <v>359</v>
      </c>
      <c r="AK18" s="27" t="s">
        <v>305</v>
      </c>
      <c r="AL18" s="27" t="s">
        <v>307</v>
      </c>
      <c r="AM18" s="27" t="s">
        <v>308</v>
      </c>
      <c r="AN18" s="28" t="s">
        <v>256</v>
      </c>
      <c r="AO18" s="27" t="s">
        <v>301</v>
      </c>
      <c r="AP18" s="27" t="s">
        <v>14</v>
      </c>
      <c r="AQ18" s="27" t="s">
        <v>220</v>
      </c>
      <c r="AR18" s="27" t="s">
        <v>218</v>
      </c>
      <c r="AS18" s="27" t="s">
        <v>359</v>
      </c>
      <c r="AT18" s="27" t="s">
        <v>305</v>
      </c>
      <c r="AU18" s="27" t="s">
        <v>306</v>
      </c>
      <c r="AV18" s="27" t="s">
        <v>307</v>
      </c>
      <c r="AW18" s="27" t="s">
        <v>308</v>
      </c>
      <c r="AX18" s="28" t="s">
        <v>256</v>
      </c>
    </row>
    <row r="19" spans="1:50" x14ac:dyDescent="0.2">
      <c r="A19">
        <v>145</v>
      </c>
      <c r="B19">
        <v>145</v>
      </c>
      <c r="C19" s="20">
        <f>VLOOKUP($A19,'Data(2013)b'!$A$9:$T$302,14,FALSE)</f>
        <v>119.92134297999999</v>
      </c>
      <c r="D19" s="6">
        <f>VLOOKUP($B19,summary!$A$5:$M$75,8,FALSE)</f>
        <v>0.20126165535041779</v>
      </c>
      <c r="E19" s="6">
        <f>VLOOKUP($B19,summary!$A$5:$M$75,9,FALSE)</f>
        <v>0.18102636161788591</v>
      </c>
      <c r="F19" s="3">
        <f>VLOOKUP($A19,'Data(2013)b'!$A$9:$T$302,18,FALSE)</f>
        <v>1.9115556717281519E-3</v>
      </c>
      <c r="G19" s="3">
        <f>VLOOKUP($A19,'Data(2013)b'!$A$9:$T$302,19,FALSE)</f>
        <v>1.9584713794130828E-3</v>
      </c>
      <c r="H19" s="15">
        <f>VLOOKUP($A19,'Data(2013)b'!$A$9:$T$302,20,FALSE)</f>
        <v>2.400238484685823E-4</v>
      </c>
      <c r="M19" s="3">
        <f t="shared" ref="M19:M24" si="0">F19</f>
        <v>1.9115556717281519E-3</v>
      </c>
      <c r="N19" s="26">
        <f t="shared" ref="N19:N24" si="1">H19</f>
        <v>2.400238484685823E-4</v>
      </c>
      <c r="O19">
        <f t="shared" ref="O19:O25" si="2">X_stability_std</f>
        <v>1.6578916996768757E-2</v>
      </c>
      <c r="P19" s="26">
        <f t="shared" ref="P19:P24" si="3">SR830_std*D19</f>
        <v>3.0189248302562666E-3</v>
      </c>
      <c r="Q19" s="3">
        <f>VLOOKUP($A19,'Data(2013)b'!$A$9:$V$302,21,FALSE)</f>
        <v>1.6677598418269484E-3</v>
      </c>
      <c r="R19" s="3">
        <f t="shared" ref="R19:R24" si="4">S_P_std*I19</f>
        <v>0</v>
      </c>
      <c r="S19" s="3">
        <f t="shared" ref="S19:S24" si="5">Burden1_std*D19</f>
        <v>8.2506190258975608E-3</v>
      </c>
      <c r="T19" s="20">
        <v>0</v>
      </c>
      <c r="U19" s="3">
        <f t="shared" ref="U19:U24" si="6">SQRT(SUMSQ(M19:T19))</f>
        <v>1.8935157502670767E-2</v>
      </c>
      <c r="V19" s="3">
        <f t="shared" ref="V19:W24" si="7">G19</f>
        <v>1.9584713794130828E-3</v>
      </c>
      <c r="W19" s="26">
        <f t="shared" si="7"/>
        <v>2.400238484685823E-4</v>
      </c>
      <c r="X19" s="15">
        <f t="shared" ref="X19:X25" si="8">Y_stability_std</f>
        <v>9.8744979504769414E-3</v>
      </c>
      <c r="Y19" s="3">
        <f t="shared" ref="Y19:Y24" si="9">E19*SR830_std</f>
        <v>2.7153954242682887E-3</v>
      </c>
      <c r="Z19" s="3">
        <f>VLOOKUP($A19,'Data(2013)b'!$A$9:$W$302,22,FALSE)</f>
        <v>1.6677598418269484E-3</v>
      </c>
      <c r="AA19">
        <f t="shared" ref="AA19:AA24" si="10">J19*S_P_std*J19</f>
        <v>0</v>
      </c>
      <c r="AB19">
        <f t="shared" ref="AB19:AB24" si="11">SPelect_std*K19</f>
        <v>0</v>
      </c>
      <c r="AC19">
        <f t="shared" ref="AC19:AC24" si="12">E19*Burden1_std</f>
        <v>7.4210834684483827E-3</v>
      </c>
      <c r="AD19">
        <v>0</v>
      </c>
      <c r="AE19" s="3">
        <f t="shared" ref="AE19:AE24" si="13">SQRT(SUMSQ(V19:AD19))</f>
        <v>1.2908377373303465E-2</v>
      </c>
      <c r="AF19" s="2">
        <v>20</v>
      </c>
      <c r="AG19" s="20">
        <v>4</v>
      </c>
      <c r="AH19">
        <f t="shared" ref="AH19:AH25" si="14">X_stability_dfm</f>
        <v>7</v>
      </c>
      <c r="AI19">
        <f t="shared" ref="AI19:AI25" si="15">SR830_dfm</f>
        <v>10</v>
      </c>
      <c r="AJ19">
        <f t="shared" ref="AJ19:AJ25" si="16">Comode_dfm</f>
        <v>5</v>
      </c>
      <c r="AK19">
        <f t="shared" ref="AK19:AK25" si="17">S_P_dfm</f>
        <v>5</v>
      </c>
      <c r="AL19">
        <f t="shared" ref="AL19:AL25" si="18">Burden1_dfm</f>
        <v>5</v>
      </c>
      <c r="AM19" s="2">
        <v>100</v>
      </c>
      <c r="AN19" s="2">
        <f t="shared" ref="AN19:AN24" si="19">Dof_A(M19:T19,AF19:AM19)</f>
        <v>10.959251090528612</v>
      </c>
      <c r="AO19">
        <v>20</v>
      </c>
      <c r="AP19">
        <v>4</v>
      </c>
      <c r="AQ19">
        <f t="shared" ref="AQ19:AQ25" si="20">Y_stability_dfm</f>
        <v>7</v>
      </c>
      <c r="AR19">
        <f t="shared" ref="AR19:AR25" si="21">SR830_dfm</f>
        <v>10</v>
      </c>
      <c r="AS19">
        <f t="shared" ref="AS19:AS25" si="22">Comode_dfm</f>
        <v>5</v>
      </c>
      <c r="AT19">
        <f t="shared" ref="AT19:AT25" si="23">S_P_dfm</f>
        <v>5</v>
      </c>
      <c r="AU19">
        <f t="shared" ref="AU19:AU25" si="24">SPelect_dfm</f>
        <v>5</v>
      </c>
      <c r="AV19">
        <f t="shared" ref="AV19:AV25" si="25">Burden1_dfm</f>
        <v>5</v>
      </c>
      <c r="AW19">
        <v>100</v>
      </c>
      <c r="AX19" s="2">
        <f t="shared" ref="AX19:AX24" si="26">Dof_A(V19:AD19,AO19:AW19)</f>
        <v>14.075610432528974</v>
      </c>
    </row>
    <row r="20" spans="1:50" x14ac:dyDescent="0.2">
      <c r="A20">
        <v>146</v>
      </c>
      <c r="B20">
        <v>146</v>
      </c>
      <c r="C20" s="20">
        <f>VLOOKUP($A20,'Data(2013)b'!$A$9:$T$302,14,FALSE)</f>
        <v>100.12826708</v>
      </c>
      <c r="D20" s="6">
        <f>VLOOKUP($B20,summary!$A$5:$M$75,8,FALSE)</f>
        <v>0.22128048997689495</v>
      </c>
      <c r="E20" s="6">
        <f>VLOOKUP($B20,summary!$A$5:$M$75,9,FALSE)</f>
        <v>0.17953313928460707</v>
      </c>
      <c r="F20" s="3">
        <f>VLOOKUP($A20,'Data(2013)b'!$A$9:$T$302,18,FALSE)</f>
        <v>6.3962940794394096E-6</v>
      </c>
      <c r="G20" s="3">
        <f>VLOOKUP($A20,'Data(2013)b'!$A$9:$T$302,19,FALSE)</f>
        <v>7.2127075058582744E-5</v>
      </c>
      <c r="H20" s="15">
        <f>VLOOKUP($A20,'Data(2013)b'!$A$9:$T$302,20,FALSE)</f>
        <v>3.7851777670294325E-5</v>
      </c>
      <c r="M20" s="3">
        <f t="shared" si="0"/>
        <v>6.3962940794394096E-6</v>
      </c>
      <c r="N20" s="26">
        <f t="shared" si="1"/>
        <v>3.7851777670294325E-5</v>
      </c>
      <c r="O20">
        <f t="shared" si="2"/>
        <v>1.6578916996768757E-2</v>
      </c>
      <c r="P20" s="26">
        <f t="shared" si="3"/>
        <v>3.3192073496534241E-3</v>
      </c>
      <c r="Q20" s="3">
        <f>VLOOKUP($A20,'Data(2013)b'!$A$9:$V$302,21,FALSE)</f>
        <v>1.9974379446735554E-3</v>
      </c>
      <c r="R20" s="3">
        <f t="shared" si="4"/>
        <v>0</v>
      </c>
      <c r="S20" s="3">
        <f t="shared" si="5"/>
        <v>9.0712809525717447E-3</v>
      </c>
      <c r="T20" s="20">
        <v>0</v>
      </c>
      <c r="U20" s="3">
        <f t="shared" si="6"/>
        <v>1.929137103341037E-2</v>
      </c>
      <c r="V20" s="3">
        <f t="shared" si="7"/>
        <v>7.2127075058582744E-5</v>
      </c>
      <c r="W20" s="26">
        <f t="shared" si="7"/>
        <v>3.7851777670294325E-5</v>
      </c>
      <c r="X20" s="15">
        <f t="shared" si="8"/>
        <v>9.8744979504769414E-3</v>
      </c>
      <c r="Y20" s="3">
        <f t="shared" si="9"/>
        <v>2.6929970892691059E-3</v>
      </c>
      <c r="Z20" s="3">
        <f>VLOOKUP($A20,'Data(2013)b'!$A$9:$W$302,22,FALSE)</f>
        <v>1.9974379446735554E-3</v>
      </c>
      <c r="AA20">
        <f t="shared" si="10"/>
        <v>0</v>
      </c>
      <c r="AB20">
        <f t="shared" si="11"/>
        <v>0</v>
      </c>
      <c r="AC20">
        <f t="shared" si="12"/>
        <v>7.3598695796358565E-3</v>
      </c>
      <c r="AD20">
        <v>0</v>
      </c>
      <c r="AE20" s="3">
        <f t="shared" si="13"/>
        <v>1.2764090909300415E-2</v>
      </c>
      <c r="AF20" s="2">
        <v>21</v>
      </c>
      <c r="AG20" s="20">
        <v>4</v>
      </c>
      <c r="AH20">
        <f t="shared" si="14"/>
        <v>7</v>
      </c>
      <c r="AI20">
        <f t="shared" si="15"/>
        <v>10</v>
      </c>
      <c r="AJ20">
        <f t="shared" si="16"/>
        <v>5</v>
      </c>
      <c r="AK20">
        <f t="shared" si="17"/>
        <v>5</v>
      </c>
      <c r="AL20">
        <f t="shared" si="18"/>
        <v>5</v>
      </c>
      <c r="AM20" s="2">
        <v>100</v>
      </c>
      <c r="AN20" s="2">
        <f t="shared" si="19"/>
        <v>11.387809169037675</v>
      </c>
      <c r="AO20">
        <v>21</v>
      </c>
      <c r="AP20">
        <v>4</v>
      </c>
      <c r="AQ20">
        <f t="shared" si="20"/>
        <v>7</v>
      </c>
      <c r="AR20">
        <f t="shared" si="21"/>
        <v>10</v>
      </c>
      <c r="AS20">
        <f t="shared" si="22"/>
        <v>5</v>
      </c>
      <c r="AT20">
        <f t="shared" si="23"/>
        <v>5</v>
      </c>
      <c r="AU20">
        <f t="shared" si="24"/>
        <v>5</v>
      </c>
      <c r="AV20">
        <f t="shared" si="25"/>
        <v>5</v>
      </c>
      <c r="AW20">
        <v>101</v>
      </c>
      <c r="AX20" s="2">
        <f t="shared" si="26"/>
        <v>13.587946473041399</v>
      </c>
    </row>
    <row r="21" spans="1:50" x14ac:dyDescent="0.2">
      <c r="A21">
        <v>147</v>
      </c>
      <c r="B21">
        <v>147</v>
      </c>
      <c r="C21" s="20">
        <f>VLOOKUP($A21,'Data(2013)b'!$A$9:$T$302,14,FALSE)</f>
        <v>60.003849412000001</v>
      </c>
      <c r="D21" s="6">
        <f>VLOOKUP($B21,summary!$A$5:$M$75,8,FALSE)</f>
        <v>0.29400347632483392</v>
      </c>
      <c r="E21" s="6">
        <f>VLOOKUP($B21,summary!$A$5:$M$75,9,FALSE)</f>
        <v>0.16541469617805926</v>
      </c>
      <c r="F21" s="3">
        <f>VLOOKUP($A21,'Data(2013)b'!$A$9:$T$302,18,FALSE)</f>
        <v>5.2337378828991453E-6</v>
      </c>
      <c r="G21" s="3">
        <f>VLOOKUP($A21,'Data(2013)b'!$A$9:$T$302,19,FALSE)</f>
        <v>8.1128496805543584E-4</v>
      </c>
      <c r="H21" s="15">
        <f>VLOOKUP($A21,'Data(2013)b'!$A$9:$T$302,20,FALSE)</f>
        <v>4.2086498228866335E-4</v>
      </c>
      <c r="M21" s="3">
        <f t="shared" si="0"/>
        <v>5.2337378828991453E-6</v>
      </c>
      <c r="N21" s="26">
        <f t="shared" si="1"/>
        <v>4.2086498228866335E-4</v>
      </c>
      <c r="O21">
        <f t="shared" si="2"/>
        <v>1.6578916996768757E-2</v>
      </c>
      <c r="P21" s="26">
        <f t="shared" si="3"/>
        <v>4.4100521448725083E-3</v>
      </c>
      <c r="Q21" s="3">
        <f>VLOOKUP($A21,'Data(2013)b'!$A$9:$V$302,21,FALSE)</f>
        <v>3.3331194908305765E-3</v>
      </c>
      <c r="R21" s="3">
        <f t="shared" si="4"/>
        <v>0</v>
      </c>
      <c r="S21" s="3">
        <f t="shared" si="5"/>
        <v>1.2052522728297547E-2</v>
      </c>
      <c r="T21" s="20">
        <v>0</v>
      </c>
      <c r="U21" s="3">
        <f t="shared" si="6"/>
        <v>2.1233445153527378E-2</v>
      </c>
      <c r="V21" s="3">
        <f t="shared" si="7"/>
        <v>8.1128496805543584E-4</v>
      </c>
      <c r="W21" s="26">
        <f t="shared" si="7"/>
        <v>4.2086498228866335E-4</v>
      </c>
      <c r="X21" s="15">
        <f t="shared" si="8"/>
        <v>9.8744979504769414E-3</v>
      </c>
      <c r="Y21" s="3">
        <f t="shared" si="9"/>
        <v>2.4812204426708888E-3</v>
      </c>
      <c r="Z21" s="3">
        <f>VLOOKUP($A21,'Data(2013)b'!$A$9:$W$302,22,FALSE)</f>
        <v>3.3331194908305765E-3</v>
      </c>
      <c r="AA21">
        <f t="shared" si="10"/>
        <v>0</v>
      </c>
      <c r="AB21">
        <f t="shared" si="11"/>
        <v>0</v>
      </c>
      <c r="AC21">
        <f t="shared" si="12"/>
        <v>6.7810911972951103E-3</v>
      </c>
      <c r="AD21">
        <v>0</v>
      </c>
      <c r="AE21" s="3">
        <f t="shared" si="13"/>
        <v>1.2711819643858967E-2</v>
      </c>
      <c r="AF21" s="2">
        <v>22</v>
      </c>
      <c r="AG21" s="20">
        <v>4</v>
      </c>
      <c r="AH21">
        <f t="shared" si="14"/>
        <v>7</v>
      </c>
      <c r="AI21">
        <f t="shared" si="15"/>
        <v>10</v>
      </c>
      <c r="AJ21">
        <f t="shared" si="16"/>
        <v>5</v>
      </c>
      <c r="AK21">
        <f t="shared" si="17"/>
        <v>5</v>
      </c>
      <c r="AL21">
        <f t="shared" si="18"/>
        <v>5</v>
      </c>
      <c r="AM21" s="2">
        <v>100</v>
      </c>
      <c r="AN21" s="2">
        <f t="shared" si="19"/>
        <v>13.483808138103312</v>
      </c>
      <c r="AO21">
        <v>22</v>
      </c>
      <c r="AP21">
        <v>4</v>
      </c>
      <c r="AQ21">
        <f t="shared" si="20"/>
        <v>7</v>
      </c>
      <c r="AR21">
        <f t="shared" si="21"/>
        <v>10</v>
      </c>
      <c r="AS21">
        <f t="shared" si="22"/>
        <v>5</v>
      </c>
      <c r="AT21">
        <f t="shared" si="23"/>
        <v>5</v>
      </c>
      <c r="AU21">
        <f t="shared" si="24"/>
        <v>5</v>
      </c>
      <c r="AV21">
        <f t="shared" si="25"/>
        <v>5</v>
      </c>
      <c r="AW21">
        <v>102</v>
      </c>
      <c r="AX21" s="2">
        <f t="shared" si="26"/>
        <v>14.429493281774551</v>
      </c>
    </row>
    <row r="22" spans="1:50" x14ac:dyDescent="0.2">
      <c r="A22">
        <v>148</v>
      </c>
      <c r="B22">
        <v>148</v>
      </c>
      <c r="C22" s="20">
        <f>VLOOKUP($A22,'Data(2013)b'!$A$9:$T$302,14,FALSE)</f>
        <v>40.068668876000004</v>
      </c>
      <c r="D22" s="6">
        <f>VLOOKUP($B22,summary!$A$5:$M$75,8,FALSE)</f>
        <v>0.34251553607812396</v>
      </c>
      <c r="E22" s="6">
        <f>VLOOKUP($B22,summary!$A$5:$M$75,9,FALSE)</f>
        <v>0.16849323098037422</v>
      </c>
      <c r="F22" s="3">
        <f>VLOOKUP($A22,'Data(2013)b'!$A$9:$T$302,18,FALSE)</f>
        <v>5.968444995864303E-4</v>
      </c>
      <c r="G22" s="3">
        <f>VLOOKUP($A22,'Data(2013)b'!$A$9:$T$302,19,FALSE)</f>
        <v>8.3907592134797426E-4</v>
      </c>
      <c r="H22" s="15">
        <f>VLOOKUP($A22,'Data(2013)b'!$A$9:$T$302,20,FALSE)</f>
        <v>4.0259354303200578E-4</v>
      </c>
      <c r="M22" s="3">
        <f t="shared" si="0"/>
        <v>5.968444995864303E-4</v>
      </c>
      <c r="N22" s="26">
        <f t="shared" si="1"/>
        <v>4.0259354303200578E-4</v>
      </c>
      <c r="O22">
        <f t="shared" si="2"/>
        <v>1.6578916996768757E-2</v>
      </c>
      <c r="P22" s="26">
        <f t="shared" si="3"/>
        <v>5.1377330411718596E-3</v>
      </c>
      <c r="Q22" s="3">
        <f>VLOOKUP($A22,'Data(2013)b'!$A$9:$V$302,21,FALSE)</f>
        <v>4.9914311009167161E-3</v>
      </c>
      <c r="R22" s="3">
        <f t="shared" si="4"/>
        <v>0</v>
      </c>
      <c r="S22" s="3">
        <f t="shared" si="5"/>
        <v>1.4041249902826092E-2</v>
      </c>
      <c r="T22" s="20">
        <v>0</v>
      </c>
      <c r="U22" s="3">
        <f t="shared" si="6"/>
        <v>2.2887686160345852E-2</v>
      </c>
      <c r="V22" s="3">
        <f t="shared" si="7"/>
        <v>8.3907592134797426E-4</v>
      </c>
      <c r="W22" s="26">
        <f t="shared" si="7"/>
        <v>4.0259354303200578E-4</v>
      </c>
      <c r="X22" s="15">
        <f t="shared" si="8"/>
        <v>9.8744979504769414E-3</v>
      </c>
      <c r="Y22" s="3">
        <f t="shared" si="9"/>
        <v>2.5273984647056131E-3</v>
      </c>
      <c r="Z22" s="3">
        <f>VLOOKUP($A22,'Data(2013)b'!$A$9:$W$302,22,FALSE)</f>
        <v>4.9914311009167161E-3</v>
      </c>
      <c r="AA22">
        <f t="shared" si="10"/>
        <v>0</v>
      </c>
      <c r="AB22">
        <f t="shared" si="11"/>
        <v>0</v>
      </c>
      <c r="AC22">
        <f t="shared" si="12"/>
        <v>6.9072941631190959E-3</v>
      </c>
      <c r="AD22">
        <v>0</v>
      </c>
      <c r="AE22" s="3">
        <f t="shared" si="13"/>
        <v>1.3318584002329393E-2</v>
      </c>
      <c r="AF22" s="2">
        <v>23</v>
      </c>
      <c r="AG22" s="20">
        <v>4</v>
      </c>
      <c r="AH22">
        <f t="shared" si="14"/>
        <v>7</v>
      </c>
      <c r="AI22">
        <f t="shared" si="15"/>
        <v>10</v>
      </c>
      <c r="AJ22">
        <f t="shared" si="16"/>
        <v>5</v>
      </c>
      <c r="AK22">
        <f t="shared" si="17"/>
        <v>5</v>
      </c>
      <c r="AL22">
        <f t="shared" si="18"/>
        <v>5</v>
      </c>
      <c r="AM22" s="2">
        <v>100</v>
      </c>
      <c r="AN22" s="2">
        <f t="shared" si="19"/>
        <v>14.627188300547036</v>
      </c>
      <c r="AO22">
        <v>23</v>
      </c>
      <c r="AP22">
        <v>4</v>
      </c>
      <c r="AQ22">
        <f t="shared" si="20"/>
        <v>7</v>
      </c>
      <c r="AR22">
        <f t="shared" si="21"/>
        <v>10</v>
      </c>
      <c r="AS22">
        <f t="shared" si="22"/>
        <v>5</v>
      </c>
      <c r="AT22">
        <f t="shared" si="23"/>
        <v>5</v>
      </c>
      <c r="AU22">
        <f t="shared" si="24"/>
        <v>5</v>
      </c>
      <c r="AV22">
        <f t="shared" si="25"/>
        <v>5</v>
      </c>
      <c r="AW22">
        <v>103</v>
      </c>
      <c r="AX22" s="2">
        <f t="shared" si="26"/>
        <v>16.204947801752681</v>
      </c>
    </row>
    <row r="23" spans="1:50" x14ac:dyDescent="0.2">
      <c r="A23">
        <v>149</v>
      </c>
      <c r="B23">
        <v>149</v>
      </c>
      <c r="C23" s="20">
        <f>VLOOKUP($A23,'Data(2013)b'!$A$9:$T$302,14,FALSE)</f>
        <v>20.073238814</v>
      </c>
      <c r="D23" s="6">
        <f>VLOOKUP($B23,summary!$A$5:$M$75,8,FALSE)</f>
        <v>0.41300674578822555</v>
      </c>
      <c r="E23" s="6">
        <f>VLOOKUP($B23,summary!$A$5:$M$75,9,FALSE)</f>
        <v>0.16087079269678239</v>
      </c>
      <c r="F23" s="3">
        <f>VLOOKUP($A23,'Data(2013)b'!$A$9:$T$302,18,FALSE)</f>
        <v>2.2918540682088256E-4</v>
      </c>
      <c r="G23" s="3">
        <f>VLOOKUP($A23,'Data(2013)b'!$A$9:$T$302,19,FALSE)</f>
        <v>5.6926889148567672E-3</v>
      </c>
      <c r="H23" s="15">
        <f>VLOOKUP($A23,'Data(2013)b'!$A$9:$T$302,20,FALSE)</f>
        <v>1.5624583293016912E-4</v>
      </c>
      <c r="M23" s="3">
        <f t="shared" si="0"/>
        <v>2.2918540682088256E-4</v>
      </c>
      <c r="N23" s="26">
        <f t="shared" si="1"/>
        <v>1.5624583293016912E-4</v>
      </c>
      <c r="O23">
        <f t="shared" si="2"/>
        <v>1.6578916996768757E-2</v>
      </c>
      <c r="P23" s="26">
        <f t="shared" si="3"/>
        <v>6.1951011868233829E-3</v>
      </c>
      <c r="Q23" s="3">
        <f>VLOOKUP($A23,'Data(2013)b'!$A$9:$V$302,21,FALSE)</f>
        <v>9.9635142018292943E-3</v>
      </c>
      <c r="R23" s="3">
        <f t="shared" si="4"/>
        <v>0</v>
      </c>
      <c r="S23" s="3">
        <f t="shared" si="5"/>
        <v>1.6931001132289441E-2</v>
      </c>
      <c r="T23" s="20">
        <v>0</v>
      </c>
      <c r="U23" s="3">
        <f t="shared" si="6"/>
        <v>2.6443281203424367E-2</v>
      </c>
      <c r="V23" s="3">
        <f t="shared" si="7"/>
        <v>5.6926889148567672E-3</v>
      </c>
      <c r="W23" s="26">
        <f t="shared" si="7"/>
        <v>1.5624583293016912E-4</v>
      </c>
      <c r="X23" s="15">
        <f t="shared" si="8"/>
        <v>9.8744979504769414E-3</v>
      </c>
      <c r="Y23" s="3">
        <f t="shared" si="9"/>
        <v>2.413061890451736E-3</v>
      </c>
      <c r="Z23" s="3">
        <f>VLOOKUP($A23,'Data(2013)b'!$A$9:$W$302,22,FALSE)</f>
        <v>9.9635142018292943E-3</v>
      </c>
      <c r="AA23">
        <f t="shared" si="10"/>
        <v>0</v>
      </c>
      <c r="AB23">
        <f t="shared" si="11"/>
        <v>0</v>
      </c>
      <c r="AC23">
        <f t="shared" si="12"/>
        <v>6.5948161890269381E-3</v>
      </c>
      <c r="AD23">
        <v>0</v>
      </c>
      <c r="AE23" s="3">
        <f t="shared" si="13"/>
        <v>1.6689005755882249E-2</v>
      </c>
      <c r="AF23" s="2">
        <v>24</v>
      </c>
      <c r="AG23" s="20">
        <v>4</v>
      </c>
      <c r="AH23">
        <f t="shared" si="14"/>
        <v>7</v>
      </c>
      <c r="AI23">
        <f t="shared" si="15"/>
        <v>10</v>
      </c>
      <c r="AJ23">
        <f t="shared" si="16"/>
        <v>5</v>
      </c>
      <c r="AK23">
        <f t="shared" si="17"/>
        <v>5</v>
      </c>
      <c r="AL23">
        <f t="shared" si="18"/>
        <v>5</v>
      </c>
      <c r="AM23" s="2">
        <v>100</v>
      </c>
      <c r="AN23" s="2">
        <f t="shared" si="19"/>
        <v>16.661701805097167</v>
      </c>
      <c r="AO23">
        <v>24</v>
      </c>
      <c r="AP23">
        <v>4</v>
      </c>
      <c r="AQ23">
        <f t="shared" si="20"/>
        <v>7</v>
      </c>
      <c r="AR23">
        <f t="shared" si="21"/>
        <v>10</v>
      </c>
      <c r="AS23">
        <f t="shared" si="22"/>
        <v>5</v>
      </c>
      <c r="AT23">
        <f t="shared" si="23"/>
        <v>5</v>
      </c>
      <c r="AU23">
        <f t="shared" si="24"/>
        <v>5</v>
      </c>
      <c r="AV23">
        <f t="shared" si="25"/>
        <v>5</v>
      </c>
      <c r="AW23">
        <v>104</v>
      </c>
      <c r="AX23" s="2">
        <f t="shared" si="26"/>
        <v>20.661225464181307</v>
      </c>
    </row>
    <row r="24" spans="1:50" x14ac:dyDescent="0.2">
      <c r="A24">
        <v>150</v>
      </c>
      <c r="B24">
        <v>150</v>
      </c>
      <c r="C24" s="20">
        <f>VLOOKUP($A24,'Data(2013)b'!$A$9:$T$302,14,FALSE)</f>
        <v>10.093327226</v>
      </c>
      <c r="D24" s="6">
        <f>VLOOKUP($B24,summary!$A$5:$M$75,8,FALSE)</f>
        <v>0.46485664587527964</v>
      </c>
      <c r="E24" s="6">
        <f>VLOOKUP($B24,summary!$A$5:$M$75,9,FALSE)</f>
        <v>0.13998090385502324</v>
      </c>
      <c r="F24" s="3">
        <f>VLOOKUP($A24,'Data(2013)b'!$A$9:$T$302,18,FALSE)</f>
        <v>8.4299907764340438E-3</v>
      </c>
      <c r="G24" s="3">
        <f>VLOOKUP($A24,'Data(2013)b'!$A$9:$T$302,19,FALSE)</f>
        <v>1.7195922666098193E-3</v>
      </c>
      <c r="H24" s="15">
        <f>VLOOKUP($A24,'Data(2013)b'!$A$9:$T$302,20,FALSE)</f>
        <v>3.4520181486756241E-5</v>
      </c>
      <c r="M24" s="3">
        <f t="shared" si="0"/>
        <v>8.4299907764340438E-3</v>
      </c>
      <c r="N24" s="26">
        <f t="shared" si="1"/>
        <v>3.4520181486756241E-5</v>
      </c>
      <c r="O24">
        <f t="shared" si="2"/>
        <v>1.6578916996768757E-2</v>
      </c>
      <c r="P24" s="26">
        <f t="shared" si="3"/>
        <v>6.972849688129194E-3</v>
      </c>
      <c r="Q24" s="3">
        <f>VLOOKUP($A24,'Data(2013)b'!$A$9:$V$302,21,FALSE)</f>
        <v>1.9815071434997986E-2</v>
      </c>
      <c r="R24" s="3">
        <f t="shared" si="4"/>
        <v>0</v>
      </c>
      <c r="S24" s="3">
        <f t="shared" si="5"/>
        <v>1.9056561370797379E-2</v>
      </c>
      <c r="T24" s="20">
        <v>0</v>
      </c>
      <c r="U24" s="3">
        <f t="shared" si="6"/>
        <v>3.3916613111360697E-2</v>
      </c>
      <c r="V24" s="3">
        <f t="shared" si="7"/>
        <v>1.7195922666098193E-3</v>
      </c>
      <c r="W24" s="26">
        <f t="shared" si="7"/>
        <v>3.4520181486756241E-5</v>
      </c>
      <c r="X24" s="15">
        <f t="shared" si="8"/>
        <v>9.8744979504769414E-3</v>
      </c>
      <c r="Y24" s="3">
        <f t="shared" si="9"/>
        <v>2.0997135578253484E-3</v>
      </c>
      <c r="Z24" s="3">
        <f>VLOOKUP($A24,'Data(2013)b'!$A$9:$W$302,22,FALSE)</f>
        <v>1.9815071434997986E-2</v>
      </c>
      <c r="AA24">
        <f t="shared" si="10"/>
        <v>0</v>
      </c>
      <c r="AB24">
        <f t="shared" si="11"/>
        <v>0</v>
      </c>
      <c r="AC24">
        <f t="shared" si="12"/>
        <v>5.7384458385664099E-3</v>
      </c>
      <c r="AD24">
        <v>0</v>
      </c>
      <c r="AE24" s="3">
        <f t="shared" si="13"/>
        <v>2.3031272492448965E-2</v>
      </c>
      <c r="AF24" s="2">
        <v>25</v>
      </c>
      <c r="AG24" s="20">
        <v>4</v>
      </c>
      <c r="AH24">
        <f t="shared" si="14"/>
        <v>7</v>
      </c>
      <c r="AI24">
        <f t="shared" si="15"/>
        <v>10</v>
      </c>
      <c r="AJ24">
        <f t="shared" si="16"/>
        <v>5</v>
      </c>
      <c r="AK24">
        <f t="shared" si="17"/>
        <v>5</v>
      </c>
      <c r="AL24">
        <f t="shared" si="18"/>
        <v>5</v>
      </c>
      <c r="AM24" s="2">
        <v>100</v>
      </c>
      <c r="AN24" s="2">
        <f t="shared" si="19"/>
        <v>19.334883212817868</v>
      </c>
      <c r="AO24">
        <v>25</v>
      </c>
      <c r="AP24">
        <v>4</v>
      </c>
      <c r="AQ24">
        <f t="shared" si="20"/>
        <v>7</v>
      </c>
      <c r="AR24">
        <f t="shared" si="21"/>
        <v>10</v>
      </c>
      <c r="AS24">
        <f t="shared" si="22"/>
        <v>5</v>
      </c>
      <c r="AT24">
        <f t="shared" si="23"/>
        <v>5</v>
      </c>
      <c r="AU24">
        <f t="shared" si="24"/>
        <v>5</v>
      </c>
      <c r="AV24">
        <f t="shared" si="25"/>
        <v>5</v>
      </c>
      <c r="AW24">
        <v>105</v>
      </c>
      <c r="AX24" s="2">
        <f t="shared" si="26"/>
        <v>8.6814229022663056</v>
      </c>
    </row>
    <row r="25" spans="1:50" x14ac:dyDescent="0.2">
      <c r="A25">
        <v>153</v>
      </c>
      <c r="B25">
        <v>153</v>
      </c>
      <c r="C25" s="20">
        <f>VLOOKUP($A25,'Data(2013)b'!$A$9:$T$302,14,FALSE)</f>
        <v>5.0062205082000002</v>
      </c>
      <c r="D25" s="6">
        <f>VLOOKUP($B25,summary!$A$5:$M$75,8,FALSE)</f>
        <v>0.49025071827737993</v>
      </c>
      <c r="E25" s="6">
        <f>VLOOKUP($B25,summary!$A$5:$M$75,9,FALSE)</f>
        <v>0.16344883463677234</v>
      </c>
      <c r="F25" s="3">
        <f>VLOOKUP($A25,'Data(2013)b'!$A$9:$T$302,18,FALSE)</f>
        <v>1.357194347700671E-2</v>
      </c>
      <c r="G25" s="3">
        <f>VLOOKUP($A25,'Data(2013)b'!$A$9:$T$302,19,FALSE)</f>
        <v>8.5507631516836581E-3</v>
      </c>
      <c r="H25" s="15">
        <f>VLOOKUP($A25,'Data(2013)b'!$A$9:$T$302,20,FALSE)</f>
        <v>2.0190948649234728E-4</v>
      </c>
      <c r="M25" s="3">
        <f>F25</f>
        <v>1.357194347700671E-2</v>
      </c>
      <c r="N25" s="26">
        <f>H25</f>
        <v>2.0190948649234728E-4</v>
      </c>
      <c r="O25">
        <f t="shared" si="2"/>
        <v>1.6578916996768757E-2</v>
      </c>
      <c r="P25" s="26">
        <f>SR830_std*D25</f>
        <v>7.3537607741606982E-3</v>
      </c>
      <c r="Q25" s="3">
        <f>VLOOKUP($A25,'Data(2013)b'!$A$9:$V$302,21,FALSE)</f>
        <v>3.9950297769027074E-2</v>
      </c>
      <c r="R25" s="3">
        <f>S_P_std*I25</f>
        <v>0</v>
      </c>
      <c r="S25" s="3">
        <f>Burden1_std*D25</f>
        <v>2.0097578431603112E-2</v>
      </c>
      <c r="T25" s="20">
        <v>0</v>
      </c>
      <c r="U25" s="3">
        <f>SQRT(SUMSQ(M25:T25))</f>
        <v>5.0130984970789286E-2</v>
      </c>
      <c r="V25" s="3">
        <f>G25</f>
        <v>8.5507631516836581E-3</v>
      </c>
      <c r="W25" s="26">
        <f>H25</f>
        <v>2.0190948649234728E-4</v>
      </c>
      <c r="X25" s="15">
        <f t="shared" si="8"/>
        <v>9.8744979504769414E-3</v>
      </c>
      <c r="Y25" s="3">
        <f>E25*SR830_std</f>
        <v>2.4517325195515852E-3</v>
      </c>
      <c r="Z25" s="3">
        <f>VLOOKUP($A25,'Data(2013)b'!$A$9:$W$302,22,FALSE)</f>
        <v>3.9950297769027074E-2</v>
      </c>
      <c r="AA25">
        <f>J25*S_P_std*J25</f>
        <v>0</v>
      </c>
      <c r="AB25">
        <f>SPelect_std*K25</f>
        <v>0</v>
      </c>
      <c r="AC25">
        <f>E25*Burden1_std</f>
        <v>6.7005017049420728E-3</v>
      </c>
      <c r="AD25">
        <v>0</v>
      </c>
      <c r="AE25" s="3">
        <f>SQRT(SUMSQ(V25:AD25))</f>
        <v>4.2633273800755531E-2</v>
      </c>
      <c r="AF25" s="2">
        <v>25</v>
      </c>
      <c r="AG25" s="20">
        <v>4</v>
      </c>
      <c r="AH25">
        <f t="shared" si="14"/>
        <v>7</v>
      </c>
      <c r="AI25">
        <f t="shared" si="15"/>
        <v>10</v>
      </c>
      <c r="AJ25">
        <f t="shared" si="16"/>
        <v>5</v>
      </c>
      <c r="AK25">
        <f t="shared" si="17"/>
        <v>5</v>
      </c>
      <c r="AL25">
        <f t="shared" si="18"/>
        <v>5</v>
      </c>
      <c r="AM25" s="2">
        <v>100</v>
      </c>
      <c r="AN25" s="2">
        <f>Dof_A(M25:T25,AF25:AM25)</f>
        <v>11.389349085901552</v>
      </c>
      <c r="AO25">
        <v>25</v>
      </c>
      <c r="AP25">
        <v>4</v>
      </c>
      <c r="AQ25">
        <f t="shared" si="20"/>
        <v>7</v>
      </c>
      <c r="AR25">
        <f t="shared" si="21"/>
        <v>10</v>
      </c>
      <c r="AS25">
        <f t="shared" si="22"/>
        <v>5</v>
      </c>
      <c r="AT25">
        <f t="shared" si="23"/>
        <v>5</v>
      </c>
      <c r="AU25">
        <f t="shared" si="24"/>
        <v>5</v>
      </c>
      <c r="AV25">
        <f t="shared" si="25"/>
        <v>5</v>
      </c>
      <c r="AW25">
        <v>106</v>
      </c>
      <c r="AX25" s="2">
        <f>Dof_A(V25:AD25,AO25:AW25)</f>
        <v>6.4595324580327693</v>
      </c>
    </row>
    <row r="27" spans="1:50" x14ac:dyDescent="0.2">
      <c r="B27" s="5" t="s">
        <v>223</v>
      </c>
      <c r="G27" s="5" t="s">
        <v>312</v>
      </c>
      <c r="M27" s="29" t="s">
        <v>257</v>
      </c>
      <c r="N27" s="29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28" t="s">
        <v>258</v>
      </c>
      <c r="AG27" s="28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</row>
    <row r="28" spans="1:50" x14ac:dyDescent="0.2">
      <c r="D28" t="s">
        <v>215</v>
      </c>
      <c r="E28" t="s">
        <v>215</v>
      </c>
      <c r="F28" t="s">
        <v>302</v>
      </c>
      <c r="G28" t="s">
        <v>304</v>
      </c>
      <c r="H28" t="s">
        <v>14</v>
      </c>
      <c r="I28" t="s">
        <v>286</v>
      </c>
      <c r="M28" s="30" t="s">
        <v>300</v>
      </c>
      <c r="N28" s="30" t="s">
        <v>5</v>
      </c>
      <c r="O28" s="30" t="s">
        <v>5</v>
      </c>
      <c r="P28" s="30" t="s">
        <v>5</v>
      </c>
      <c r="Q28" s="30" t="s">
        <v>5</v>
      </c>
      <c r="R28" s="31" t="s">
        <v>5</v>
      </c>
      <c r="S28" s="30" t="s">
        <v>5</v>
      </c>
      <c r="T28" s="30" t="s">
        <v>5</v>
      </c>
      <c r="U28" s="29" t="s">
        <v>5</v>
      </c>
      <c r="V28" s="30" t="s">
        <v>309</v>
      </c>
      <c r="W28" s="30" t="s">
        <v>6</v>
      </c>
      <c r="X28" s="30" t="s">
        <v>6</v>
      </c>
      <c r="Y28" s="30" t="s">
        <v>6</v>
      </c>
      <c r="Z28" s="30"/>
      <c r="AA28" s="31" t="s">
        <v>6</v>
      </c>
      <c r="AB28" s="31" t="s">
        <v>6</v>
      </c>
      <c r="AC28" s="30" t="s">
        <v>6</v>
      </c>
      <c r="AD28" s="30" t="s">
        <v>6</v>
      </c>
      <c r="AE28" s="29" t="s">
        <v>6</v>
      </c>
      <c r="AF28" s="27" t="s">
        <v>300</v>
      </c>
      <c r="AG28" s="27" t="s">
        <v>5</v>
      </c>
      <c r="AH28" s="27" t="s">
        <v>5</v>
      </c>
      <c r="AI28" s="27" t="s">
        <v>5</v>
      </c>
      <c r="AJ28" s="27"/>
      <c r="AK28" s="32" t="s">
        <v>5</v>
      </c>
      <c r="AL28" s="27" t="s">
        <v>5</v>
      </c>
      <c r="AM28" s="27" t="s">
        <v>5</v>
      </c>
      <c r="AN28" s="28" t="s">
        <v>5</v>
      </c>
      <c r="AO28" s="27" t="s">
        <v>309</v>
      </c>
      <c r="AP28" s="27" t="s">
        <v>6</v>
      </c>
      <c r="AQ28" s="27" t="s">
        <v>6</v>
      </c>
      <c r="AR28" s="27" t="s">
        <v>6</v>
      </c>
      <c r="AS28" s="27"/>
      <c r="AT28" s="32" t="s">
        <v>6</v>
      </c>
      <c r="AU28" s="32" t="s">
        <v>6</v>
      </c>
      <c r="AV28" s="27" t="s">
        <v>6</v>
      </c>
      <c r="AW28" s="27" t="s">
        <v>6</v>
      </c>
      <c r="AX28" s="28" t="s">
        <v>6</v>
      </c>
    </row>
    <row r="29" spans="1:50" x14ac:dyDescent="0.2">
      <c r="C29" t="s">
        <v>4</v>
      </c>
      <c r="D29" t="s">
        <v>0</v>
      </c>
      <c r="E29" t="s">
        <v>1</v>
      </c>
      <c r="F29" t="s">
        <v>303</v>
      </c>
      <c r="G29" t="s">
        <v>303</v>
      </c>
      <c r="H29" t="s">
        <v>303</v>
      </c>
      <c r="I29" t="s">
        <v>287</v>
      </c>
      <c r="J29" t="s">
        <v>299</v>
      </c>
      <c r="K29" t="s">
        <v>298</v>
      </c>
      <c r="M29" s="30" t="s">
        <v>301</v>
      </c>
      <c r="N29" s="30" t="s">
        <v>14</v>
      </c>
      <c r="O29" s="30" t="s">
        <v>220</v>
      </c>
      <c r="P29" s="30" t="s">
        <v>218</v>
      </c>
      <c r="Q29" s="30" t="s">
        <v>364</v>
      </c>
      <c r="R29" s="30" t="s">
        <v>305</v>
      </c>
      <c r="S29" s="30" t="s">
        <v>307</v>
      </c>
      <c r="T29" s="30" t="s">
        <v>308</v>
      </c>
      <c r="U29" s="29" t="s">
        <v>221</v>
      </c>
      <c r="V29" s="30" t="s">
        <v>301</v>
      </c>
      <c r="W29" s="30" t="s">
        <v>14</v>
      </c>
      <c r="X29" s="30" t="s">
        <v>220</v>
      </c>
      <c r="Y29" s="30" t="s">
        <v>218</v>
      </c>
      <c r="Z29" s="30"/>
      <c r="AA29" s="30" t="s">
        <v>305</v>
      </c>
      <c r="AB29" s="30" t="s">
        <v>306</v>
      </c>
      <c r="AC29" s="30" t="s">
        <v>307</v>
      </c>
      <c r="AD29" s="30" t="s">
        <v>308</v>
      </c>
      <c r="AE29" s="29" t="s">
        <v>221</v>
      </c>
      <c r="AF29" s="27" t="s">
        <v>301</v>
      </c>
      <c r="AG29" s="27" t="s">
        <v>14</v>
      </c>
      <c r="AH29" s="27" t="s">
        <v>220</v>
      </c>
      <c r="AI29" s="27" t="s">
        <v>218</v>
      </c>
      <c r="AJ29" s="27"/>
      <c r="AK29" s="27" t="s">
        <v>305</v>
      </c>
      <c r="AL29" s="27" t="s">
        <v>307</v>
      </c>
      <c r="AM29" s="27" t="s">
        <v>308</v>
      </c>
      <c r="AN29" s="28" t="s">
        <v>256</v>
      </c>
      <c r="AO29" s="27" t="s">
        <v>301</v>
      </c>
      <c r="AP29" s="27" t="s">
        <v>14</v>
      </c>
      <c r="AQ29" s="27" t="s">
        <v>220</v>
      </c>
      <c r="AR29" s="27" t="s">
        <v>218</v>
      </c>
      <c r="AS29" s="27"/>
      <c r="AT29" s="27" t="s">
        <v>305</v>
      </c>
      <c r="AU29" s="27" t="s">
        <v>306</v>
      </c>
      <c r="AV29" s="27" t="s">
        <v>307</v>
      </c>
      <c r="AW29" s="27" t="s">
        <v>308</v>
      </c>
      <c r="AX29" s="28" t="s">
        <v>256</v>
      </c>
    </row>
    <row r="30" spans="1:50" x14ac:dyDescent="0.2">
      <c r="A30">
        <v>159</v>
      </c>
      <c r="B30">
        <v>159</v>
      </c>
      <c r="C30" s="20">
        <f>VLOOKUP($A30,'Data(2013)b'!$A$9:$T$302,14,FALSE)</f>
        <v>119.92392908000001</v>
      </c>
      <c r="D30" s="6">
        <f>VLOOKUP($B30,summary!$A$5:$M$75,8,FALSE)</f>
        <v>0.1351880117726019</v>
      </c>
      <c r="E30" s="6">
        <f>VLOOKUP($B30,summary!$A$5:$M$75,9,FALSE)</f>
        <v>8.4429064204047777E-2</v>
      </c>
      <c r="F30" s="3">
        <f>VLOOKUP($A30,'Data(2013)b'!$A$9:$T$302,18,FALSE)</f>
        <v>1.0717576674869933E-5</v>
      </c>
      <c r="G30" s="3">
        <f>VLOOKUP($A30,'Data(2013)b'!$A$9:$T$302,19,FALSE)</f>
        <v>6.8586415794448562E-4</v>
      </c>
      <c r="H30" s="15">
        <f>VLOOKUP($A30,'Data(2013)b'!$A$9:$T$302,20,FALSE)</f>
        <v>3.1827121224825447E-4</v>
      </c>
      <c r="I30" s="3">
        <f>'Data(2013)'!$U$86</f>
        <v>-2.0301791869235526E-4</v>
      </c>
      <c r="J30" s="3">
        <f>'Data(2013)'!$V$86</f>
        <v>6.320417938664104E-4</v>
      </c>
      <c r="K30">
        <v>-3.3000000000000002E-2</v>
      </c>
      <c r="M30" s="3">
        <f t="shared" ref="M30:M36" si="27">F30</f>
        <v>1.0717576674869933E-5</v>
      </c>
      <c r="N30" s="26">
        <f t="shared" ref="N30:N36" si="28">H30</f>
        <v>3.1827121224825447E-4</v>
      </c>
      <c r="O30">
        <f t="shared" ref="O30:O36" si="29">X_stability_std</f>
        <v>1.6578916996768757E-2</v>
      </c>
      <c r="P30" s="26">
        <f t="shared" ref="P30:P36" si="30">SR830_std*D30</f>
        <v>2.0278201765890282E-3</v>
      </c>
      <c r="Q30" s="3">
        <f>VLOOKUP($A30,'Data(2013)b'!$A$9:$V$302,21,FALSE)</f>
        <v>0</v>
      </c>
      <c r="R30" s="3">
        <f t="shared" ref="R30:R36" si="31">S_P_std*I30</f>
        <v>-1.0150895934617763E-4</v>
      </c>
      <c r="S30" s="3">
        <f t="shared" ref="S30:S36" si="32">Burden1_std*D30</f>
        <v>5.5419636694445844E-3</v>
      </c>
      <c r="T30" s="3">
        <f>U19</f>
        <v>1.8935157502670767E-2</v>
      </c>
      <c r="U30" s="3">
        <f t="shared" ref="U30:U36" si="33">SQRT(SUMSQ(M30:T30))</f>
        <v>2.5852230269718425E-2</v>
      </c>
      <c r="V30" s="3">
        <f t="shared" ref="V30:V36" si="34">G30</f>
        <v>6.8586415794448562E-4</v>
      </c>
      <c r="W30" s="26">
        <f t="shared" ref="W30:W36" si="35">H30</f>
        <v>3.1827121224825447E-4</v>
      </c>
      <c r="X30" s="15">
        <f t="shared" ref="X30:X36" si="36">Y_stability_std</f>
        <v>9.8744979504769414E-3</v>
      </c>
      <c r="Y30" s="3">
        <f t="shared" ref="Y30:Y36" si="37">E30*SR830_std</f>
        <v>1.2664359630607167E-3</v>
      </c>
      <c r="Z30" s="3">
        <f>VLOOKUP($A30,'Data(2013)b'!$A$9:$W$302,22,FALSE)</f>
        <v>0</v>
      </c>
      <c r="AA30">
        <f t="shared" ref="AA30:AA36" si="38">J30*S_P_std*J30</f>
        <v>1.9973841459693501E-7</v>
      </c>
      <c r="AB30">
        <f t="shared" ref="AB30:AB36" si="39">SPelect_std*K30</f>
        <v>-6.6000000000000008E-3</v>
      </c>
      <c r="AC30">
        <f t="shared" ref="AC30:AC36" si="40">E30*Burden1_std</f>
        <v>3.4611264736335544E-3</v>
      </c>
      <c r="AD30" s="3">
        <f>AE19</f>
        <v>1.2908377373303465E-2</v>
      </c>
      <c r="AE30" s="3">
        <f t="shared" ref="AE30:AE36" si="41">SQRT(SUMSQ(V30:AD30))</f>
        <v>1.7940091386283434E-2</v>
      </c>
      <c r="AF30" s="2">
        <v>20</v>
      </c>
      <c r="AG30" s="20">
        <v>4</v>
      </c>
      <c r="AH30">
        <f t="shared" ref="AH30:AH36" si="42">X_stability_dfm</f>
        <v>7</v>
      </c>
      <c r="AI30">
        <f t="shared" ref="AI30:AI36" si="43">SR830_dfm</f>
        <v>10</v>
      </c>
      <c r="AJ30">
        <f t="shared" ref="AJ30:AJ36" si="44">AJ19</f>
        <v>5</v>
      </c>
      <c r="AK30">
        <f t="shared" ref="AK30:AK36" si="45">S_P_dfm</f>
        <v>5</v>
      </c>
      <c r="AL30">
        <f t="shared" ref="AL30:AL36" si="46">Burden1_dfm</f>
        <v>5</v>
      </c>
      <c r="AM30" s="2">
        <f t="shared" ref="AM30:AM35" si="47">AN19</f>
        <v>10.959251090528612</v>
      </c>
      <c r="AN30" s="2">
        <f t="shared" ref="AN30:AN35" si="48">Dof_A(M30:T30,AF30:AM30)</f>
        <v>19.666171528948379</v>
      </c>
      <c r="AO30">
        <v>20</v>
      </c>
      <c r="AP30">
        <v>4</v>
      </c>
      <c r="AQ30">
        <f t="shared" ref="AQ30:AQ36" si="49">Y_stability_dfm</f>
        <v>7</v>
      </c>
      <c r="AR30">
        <f t="shared" ref="AR30:AR36" si="50">SR830_dfm</f>
        <v>10</v>
      </c>
      <c r="AS30">
        <f t="shared" ref="AS30:AS36" si="51">AS19</f>
        <v>5</v>
      </c>
      <c r="AT30">
        <f t="shared" ref="AT30:AT36" si="52">S_P_dfm</f>
        <v>5</v>
      </c>
      <c r="AU30">
        <f t="shared" ref="AU30:AU36" si="53">SPelect_dfm</f>
        <v>5</v>
      </c>
      <c r="AV30">
        <f t="shared" ref="AV30:AV36" si="54">Burden1_dfm</f>
        <v>5</v>
      </c>
      <c r="AW30" s="2">
        <f t="shared" ref="AW30:AW35" si="55">AX19</f>
        <v>14.075610432528974</v>
      </c>
      <c r="AX30" s="2">
        <f t="shared" ref="AX30:AX35" si="56">Dof_A(V30:AD30,AO30:AW30)</f>
        <v>27.70276563799743</v>
      </c>
    </row>
    <row r="31" spans="1:50" x14ac:dyDescent="0.2">
      <c r="A31">
        <v>160</v>
      </c>
      <c r="B31">
        <v>160</v>
      </c>
      <c r="C31" s="20">
        <f>VLOOKUP($A31,'Data(2013)b'!$A$9:$T$302,14,FALSE)</f>
        <v>100.09320314000001</v>
      </c>
      <c r="D31" s="6">
        <f>VLOOKUP($B31,summary!$A$5:$M$75,8,FALSE)</f>
        <v>0.1503019718467504</v>
      </c>
      <c r="E31" s="6">
        <f>VLOOKUP($B31,summary!$A$5:$M$75,9,FALSE)</f>
        <v>8.3871606677233645E-2</v>
      </c>
      <c r="F31" s="3">
        <f>VLOOKUP($A31,'Data(2013)b'!$A$9:$T$302,18,FALSE)</f>
        <v>7.1530929344832631E-4</v>
      </c>
      <c r="G31" s="3">
        <f>VLOOKUP($A31,'Data(2013)b'!$A$9:$T$302,19,FALSE)</f>
        <v>6.4390924388795813E-4</v>
      </c>
      <c r="H31" s="15">
        <f>VLOOKUP($A31,'Data(2013)b'!$A$9:$T$302,20,FALSE)</f>
        <v>3.3363872286372906E-5</v>
      </c>
      <c r="I31" s="3">
        <f>'Data(2013)'!$U$86</f>
        <v>-2.0301791869235526E-4</v>
      </c>
      <c r="J31" s="3">
        <f>'Data(2013)'!$V$86</f>
        <v>6.320417938664104E-4</v>
      </c>
      <c r="K31">
        <v>-3.3000000000000002E-2</v>
      </c>
      <c r="M31" s="3">
        <f t="shared" si="27"/>
        <v>7.1530929344832631E-4</v>
      </c>
      <c r="N31" s="26">
        <f t="shared" si="28"/>
        <v>3.3363872286372906E-5</v>
      </c>
      <c r="O31">
        <f t="shared" si="29"/>
        <v>1.6578916996768757E-2</v>
      </c>
      <c r="P31" s="26">
        <f t="shared" si="30"/>
        <v>2.2545295777012561E-3</v>
      </c>
      <c r="Q31" s="3">
        <f>VLOOKUP($A31,'Data(2013)b'!$A$9:$V$302,21,FALSE)</f>
        <v>0</v>
      </c>
      <c r="R31" s="3">
        <f t="shared" si="31"/>
        <v>-1.0150895934617763E-4</v>
      </c>
      <c r="S31" s="3">
        <f t="shared" si="32"/>
        <v>6.1615527626939209E-3</v>
      </c>
      <c r="T31" s="3">
        <f t="shared" ref="T31:T36" si="57">U20</f>
        <v>1.929137103341037E-2</v>
      </c>
      <c r="U31" s="3">
        <f t="shared" si="33"/>
        <v>2.6279044994077291E-2</v>
      </c>
      <c r="V31" s="3">
        <f t="shared" si="34"/>
        <v>6.4390924388795813E-4</v>
      </c>
      <c r="W31" s="26">
        <f t="shared" si="35"/>
        <v>3.3363872286372906E-5</v>
      </c>
      <c r="X31" s="15">
        <f t="shared" si="36"/>
        <v>9.8744979504769414E-3</v>
      </c>
      <c r="Y31" s="3">
        <f t="shared" si="37"/>
        <v>1.2580741001585046E-3</v>
      </c>
      <c r="Z31" s="3">
        <f>VLOOKUP($A31,'Data(2013)b'!$A$9:$W$302,22,FALSE)</f>
        <v>0</v>
      </c>
      <c r="AA31">
        <f t="shared" si="38"/>
        <v>1.9973841459693501E-7</v>
      </c>
      <c r="AB31">
        <f t="shared" si="39"/>
        <v>-6.6000000000000008E-3</v>
      </c>
      <c r="AC31">
        <f t="shared" si="40"/>
        <v>3.4382737863253112E-3</v>
      </c>
      <c r="AD31" s="3">
        <f t="shared" ref="AD31:AD36" si="58">AE20</f>
        <v>1.2764090909300415E-2</v>
      </c>
      <c r="AE31" s="3">
        <f t="shared" si="41"/>
        <v>1.7827168476466308E-2</v>
      </c>
      <c r="AF31" s="2">
        <v>20</v>
      </c>
      <c r="AG31" s="20">
        <v>4</v>
      </c>
      <c r="AH31">
        <f t="shared" si="42"/>
        <v>7</v>
      </c>
      <c r="AI31">
        <f t="shared" si="43"/>
        <v>10</v>
      </c>
      <c r="AJ31">
        <f t="shared" si="44"/>
        <v>5</v>
      </c>
      <c r="AK31">
        <f t="shared" si="45"/>
        <v>5</v>
      </c>
      <c r="AL31">
        <f t="shared" si="46"/>
        <v>5</v>
      </c>
      <c r="AM31" s="2">
        <f t="shared" si="47"/>
        <v>11.387809169037675</v>
      </c>
      <c r="AN31" s="2">
        <f t="shared" si="48"/>
        <v>20.516163532085901</v>
      </c>
      <c r="AO31">
        <v>20</v>
      </c>
      <c r="AP31">
        <v>4</v>
      </c>
      <c r="AQ31">
        <f t="shared" si="49"/>
        <v>7</v>
      </c>
      <c r="AR31">
        <f t="shared" si="50"/>
        <v>10</v>
      </c>
      <c r="AS31">
        <f t="shared" si="51"/>
        <v>5</v>
      </c>
      <c r="AT31">
        <f t="shared" si="52"/>
        <v>5</v>
      </c>
      <c r="AU31">
        <f t="shared" si="53"/>
        <v>5</v>
      </c>
      <c r="AV31">
        <f t="shared" si="54"/>
        <v>5</v>
      </c>
      <c r="AW31" s="2">
        <f t="shared" si="55"/>
        <v>13.587946473041399</v>
      </c>
      <c r="AX31" s="2">
        <f t="shared" si="56"/>
        <v>27.155682008828819</v>
      </c>
    </row>
    <row r="32" spans="1:50" x14ac:dyDescent="0.2">
      <c r="A32">
        <v>161</v>
      </c>
      <c r="B32">
        <v>161</v>
      </c>
      <c r="C32" s="20">
        <f>VLOOKUP($A32,'Data(2013)b'!$A$9:$T$302,14,FALSE)</f>
        <v>60.035549210000006</v>
      </c>
      <c r="D32" s="6">
        <f>VLOOKUP($B32,summary!$A$5:$M$75,8,FALSE)</f>
        <v>0.2025501789952302</v>
      </c>
      <c r="E32" s="6">
        <f>VLOOKUP($B32,summary!$A$5:$M$75,9,FALSE)</f>
        <v>6.3994896945218094E-2</v>
      </c>
      <c r="F32" s="3">
        <f>VLOOKUP($A32,'Data(2013)b'!$A$9:$T$302,18,FALSE)</f>
        <v>4.079766335012894E-4</v>
      </c>
      <c r="G32" s="3">
        <f>VLOOKUP($A32,'Data(2013)b'!$A$9:$T$302,19,FALSE)</f>
        <v>2.7838052257157119E-4</v>
      </c>
      <c r="H32" s="15">
        <f>VLOOKUP($A32,'Data(2013)b'!$A$9:$T$302,20,FALSE)</f>
        <v>2.8402368118730996E-4</v>
      </c>
      <c r="I32" s="3">
        <f>'Data(2013)'!$U$86</f>
        <v>-2.0301791869235526E-4</v>
      </c>
      <c r="J32" s="3">
        <f>'Data(2013)'!$V$86</f>
        <v>6.320417938664104E-4</v>
      </c>
      <c r="K32">
        <v>-3.3000000000000002E-2</v>
      </c>
      <c r="M32" s="3">
        <f t="shared" si="27"/>
        <v>4.079766335012894E-4</v>
      </c>
      <c r="N32" s="26">
        <f t="shared" si="28"/>
        <v>2.8402368118730996E-4</v>
      </c>
      <c r="O32">
        <f t="shared" si="29"/>
        <v>1.6578916996768757E-2</v>
      </c>
      <c r="P32" s="26">
        <f t="shared" si="30"/>
        <v>3.0382526849284529E-3</v>
      </c>
      <c r="Q32" s="3">
        <f>VLOOKUP($A32,'Data(2013)b'!$A$9:$V$302,21,FALSE)</f>
        <v>0</v>
      </c>
      <c r="R32" s="3">
        <f t="shared" si="31"/>
        <v>-1.0150895934617763E-4</v>
      </c>
      <c r="S32" s="3">
        <f t="shared" si="32"/>
        <v>8.3034413962626372E-3</v>
      </c>
      <c r="T32" s="3">
        <f t="shared" si="57"/>
        <v>2.1233445153527378E-2</v>
      </c>
      <c r="U32" s="3">
        <f t="shared" si="33"/>
        <v>2.8357630696622595E-2</v>
      </c>
      <c r="V32" s="3">
        <f t="shared" si="34"/>
        <v>2.7838052257157119E-4</v>
      </c>
      <c r="W32" s="26">
        <f t="shared" si="35"/>
        <v>2.8402368118730996E-4</v>
      </c>
      <c r="X32" s="15">
        <f t="shared" si="36"/>
        <v>9.8744979504769414E-3</v>
      </c>
      <c r="Y32" s="3">
        <f t="shared" si="37"/>
        <v>9.5992345417827139E-4</v>
      </c>
      <c r="Z32" s="3">
        <f>VLOOKUP($A32,'Data(2013)b'!$A$9:$W$302,22,FALSE)</f>
        <v>0</v>
      </c>
      <c r="AA32">
        <f t="shared" si="38"/>
        <v>1.9973841459693501E-7</v>
      </c>
      <c r="AB32">
        <f t="shared" si="39"/>
        <v>-6.6000000000000008E-3</v>
      </c>
      <c r="AC32">
        <f t="shared" si="40"/>
        <v>2.6234381972923292E-3</v>
      </c>
      <c r="AD32" s="3">
        <f t="shared" si="58"/>
        <v>1.2711819643858967E-2</v>
      </c>
      <c r="AE32" s="3">
        <f t="shared" si="41"/>
        <v>1.7624361396986383E-2</v>
      </c>
      <c r="AF32" s="2">
        <v>20</v>
      </c>
      <c r="AG32" s="20">
        <v>4</v>
      </c>
      <c r="AH32">
        <f t="shared" si="42"/>
        <v>7</v>
      </c>
      <c r="AI32">
        <f t="shared" si="43"/>
        <v>10</v>
      </c>
      <c r="AJ32">
        <f t="shared" si="44"/>
        <v>5</v>
      </c>
      <c r="AK32">
        <f t="shared" si="45"/>
        <v>5</v>
      </c>
      <c r="AL32">
        <f t="shared" si="46"/>
        <v>5</v>
      </c>
      <c r="AM32" s="2">
        <f t="shared" si="47"/>
        <v>13.483808138103312</v>
      </c>
      <c r="AN32" s="2">
        <f t="shared" si="48"/>
        <v>24.104764962323976</v>
      </c>
      <c r="AO32">
        <v>20</v>
      </c>
      <c r="AP32">
        <v>4</v>
      </c>
      <c r="AQ32">
        <f t="shared" si="49"/>
        <v>7</v>
      </c>
      <c r="AR32">
        <f t="shared" si="50"/>
        <v>10</v>
      </c>
      <c r="AS32">
        <f t="shared" si="51"/>
        <v>5</v>
      </c>
      <c r="AT32">
        <f t="shared" si="52"/>
        <v>5</v>
      </c>
      <c r="AU32">
        <f t="shared" si="53"/>
        <v>5</v>
      </c>
      <c r="AV32">
        <f t="shared" si="54"/>
        <v>5</v>
      </c>
      <c r="AW32" s="2">
        <f t="shared" si="55"/>
        <v>14.429493281774551</v>
      </c>
      <c r="AX32" s="2">
        <f t="shared" si="56"/>
        <v>27.126229673126577</v>
      </c>
    </row>
    <row r="33" spans="1:50" x14ac:dyDescent="0.2">
      <c r="A33">
        <v>162</v>
      </c>
      <c r="B33">
        <v>162</v>
      </c>
      <c r="C33" s="20">
        <f>VLOOKUP($A33,'Data(2013)b'!$A$9:$T$302,14,FALSE)</f>
        <v>40.057213714</v>
      </c>
      <c r="D33" s="6">
        <f>VLOOKUP($B33,summary!$A$5:$M$75,8,FALSE)</f>
        <v>0.23919254108133742</v>
      </c>
      <c r="E33" s="6">
        <f>VLOOKUP($B33,summary!$A$5:$M$75,9,FALSE)</f>
        <v>6.6457406708342742E-2</v>
      </c>
      <c r="F33" s="3">
        <f>VLOOKUP($A33,'Data(2013)b'!$A$9:$T$302,18,FALSE)</f>
        <v>6.8557399162517301E-4</v>
      </c>
      <c r="G33" s="3">
        <f>VLOOKUP($A33,'Data(2013)b'!$A$9:$T$302,19,FALSE)</f>
        <v>3.2737735729408551E-6</v>
      </c>
      <c r="H33" s="15">
        <f>VLOOKUP($A33,'Data(2013)b'!$A$9:$T$302,20,FALSE)</f>
        <v>3.0221656472142664E-4</v>
      </c>
      <c r="I33" s="3">
        <f>'Data(2013)'!$U$86</f>
        <v>-2.0301791869235526E-4</v>
      </c>
      <c r="J33" s="3">
        <f>'Data(2013)'!$V$86</f>
        <v>6.320417938664104E-4</v>
      </c>
      <c r="K33">
        <v>-3.3000000000000002E-2</v>
      </c>
      <c r="M33" s="3">
        <f t="shared" si="27"/>
        <v>6.8557399162517301E-4</v>
      </c>
      <c r="N33" s="26">
        <f t="shared" si="28"/>
        <v>3.0221656472142664E-4</v>
      </c>
      <c r="O33">
        <f t="shared" si="29"/>
        <v>1.6578916996768757E-2</v>
      </c>
      <c r="P33" s="26">
        <f t="shared" si="30"/>
        <v>3.5878881162200609E-3</v>
      </c>
      <c r="Q33" s="3">
        <f>VLOOKUP($A33,'Data(2013)b'!$A$9:$V$302,21,FALSE)</f>
        <v>0</v>
      </c>
      <c r="R33" s="3">
        <f t="shared" si="31"/>
        <v>-1.0150895934617763E-4</v>
      </c>
      <c r="S33" s="3">
        <f t="shared" si="32"/>
        <v>9.8055763620865481E-3</v>
      </c>
      <c r="T33" s="3">
        <f t="shared" si="57"/>
        <v>2.2887686160345852E-2</v>
      </c>
      <c r="U33" s="3">
        <f t="shared" si="33"/>
        <v>3.0138025584073538E-2</v>
      </c>
      <c r="V33" s="3">
        <f t="shared" si="34"/>
        <v>3.2737735729408551E-6</v>
      </c>
      <c r="W33" s="26">
        <f t="shared" si="35"/>
        <v>3.0221656472142664E-4</v>
      </c>
      <c r="X33" s="15">
        <f t="shared" si="36"/>
        <v>9.8744979504769414E-3</v>
      </c>
      <c r="Y33" s="3">
        <f t="shared" si="37"/>
        <v>9.9686110062514118E-4</v>
      </c>
      <c r="Z33" s="3">
        <f>VLOOKUP($A33,'Data(2013)b'!$A$9:$W$302,22,FALSE)</f>
        <v>0</v>
      </c>
      <c r="AA33">
        <f t="shared" si="38"/>
        <v>1.9973841459693501E-7</v>
      </c>
      <c r="AB33">
        <f t="shared" si="39"/>
        <v>-6.6000000000000008E-3</v>
      </c>
      <c r="AC33">
        <f t="shared" si="40"/>
        <v>2.7243875304761404E-3</v>
      </c>
      <c r="AD33" s="3">
        <f>AE22</f>
        <v>1.3318584002329393E-2</v>
      </c>
      <c r="AE33" s="3">
        <f t="shared" si="41"/>
        <v>1.8081973196548879E-2</v>
      </c>
      <c r="AF33" s="2">
        <v>20</v>
      </c>
      <c r="AG33" s="20">
        <v>4</v>
      </c>
      <c r="AH33">
        <f t="shared" si="42"/>
        <v>7</v>
      </c>
      <c r="AI33">
        <f t="shared" si="43"/>
        <v>10</v>
      </c>
      <c r="AJ33">
        <f t="shared" si="44"/>
        <v>5</v>
      </c>
      <c r="AK33">
        <f t="shared" si="45"/>
        <v>5</v>
      </c>
      <c r="AL33">
        <f t="shared" si="46"/>
        <v>5</v>
      </c>
      <c r="AM33" s="2">
        <f t="shared" si="47"/>
        <v>14.627188300547036</v>
      </c>
      <c r="AN33" s="2">
        <f t="shared" si="48"/>
        <v>26.258535122912622</v>
      </c>
      <c r="AO33">
        <v>20</v>
      </c>
      <c r="AP33">
        <v>4</v>
      </c>
      <c r="AQ33">
        <f t="shared" si="49"/>
        <v>7</v>
      </c>
      <c r="AR33">
        <f t="shared" si="50"/>
        <v>10</v>
      </c>
      <c r="AS33">
        <f t="shared" si="51"/>
        <v>5</v>
      </c>
      <c r="AT33">
        <f t="shared" si="52"/>
        <v>5</v>
      </c>
      <c r="AU33">
        <f t="shared" si="53"/>
        <v>5</v>
      </c>
      <c r="AV33">
        <f t="shared" si="54"/>
        <v>5</v>
      </c>
      <c r="AW33" s="2">
        <f t="shared" si="55"/>
        <v>16.204947801752681</v>
      </c>
      <c r="AX33" s="2">
        <f t="shared" si="56"/>
        <v>28.966484941792949</v>
      </c>
    </row>
    <row r="34" spans="1:50" x14ac:dyDescent="0.2">
      <c r="A34">
        <v>163</v>
      </c>
      <c r="B34">
        <v>163</v>
      </c>
      <c r="C34" s="20">
        <f>VLOOKUP($A34,'Data(2013)b'!$A$9:$T$302,14,FALSE)</f>
        <v>20.152266273999999</v>
      </c>
      <c r="D34" s="6">
        <f>VLOOKUP($B34,summary!$A$5:$M$75,8,FALSE)</f>
        <v>0.29956840986740263</v>
      </c>
      <c r="E34" s="6">
        <f>VLOOKUP($B34,summary!$A$5:$M$75,9,FALSE)</f>
        <v>6.014378358939431E-2</v>
      </c>
      <c r="F34" s="3">
        <f>VLOOKUP($A34,'Data(2013)b'!$A$9:$T$302,18,FALSE)</f>
        <v>3.7266504813269321E-3</v>
      </c>
      <c r="G34" s="3">
        <f>VLOOKUP($A34,'Data(2013)b'!$A$9:$T$302,19,FALSE)</f>
        <v>3.3723946934044163E-3</v>
      </c>
      <c r="H34" s="15">
        <f>VLOOKUP($A34,'Data(2013)b'!$A$9:$T$302,20,FALSE)</f>
        <v>2.0292572807978221E-4</v>
      </c>
      <c r="I34" s="3">
        <f>'Data(2013)'!$U$86</f>
        <v>-2.0301791869235526E-4</v>
      </c>
      <c r="J34" s="3">
        <f>'Data(2013)'!$V$86</f>
        <v>6.320417938664104E-4</v>
      </c>
      <c r="K34">
        <v>-3.3000000000000002E-2</v>
      </c>
      <c r="M34" s="3">
        <f t="shared" si="27"/>
        <v>3.7266504813269321E-3</v>
      </c>
      <c r="N34" s="26">
        <f t="shared" si="28"/>
        <v>2.0292572807978221E-4</v>
      </c>
      <c r="O34">
        <f t="shared" si="29"/>
        <v>1.6578916996768757E-2</v>
      </c>
      <c r="P34" s="26">
        <f t="shared" si="30"/>
        <v>4.4935261480110395E-3</v>
      </c>
      <c r="Q34" s="3">
        <f>VLOOKUP($A34,'Data(2013)b'!$A$9:$V$302,21,FALSE)</f>
        <v>0</v>
      </c>
      <c r="R34" s="3">
        <f t="shared" si="31"/>
        <v>-1.0150895934617763E-4</v>
      </c>
      <c r="S34" s="3">
        <f t="shared" si="32"/>
        <v>1.2280654343752221E-2</v>
      </c>
      <c r="T34" s="3">
        <f t="shared" si="57"/>
        <v>2.6443281203424367E-2</v>
      </c>
      <c r="U34" s="3">
        <f t="shared" si="33"/>
        <v>3.4044871341695829E-2</v>
      </c>
      <c r="V34" s="3">
        <f t="shared" si="34"/>
        <v>3.3723946934044163E-3</v>
      </c>
      <c r="W34" s="26">
        <f t="shared" si="35"/>
        <v>2.0292572807978221E-4</v>
      </c>
      <c r="X34" s="15">
        <f t="shared" si="36"/>
        <v>9.8744979504769414E-3</v>
      </c>
      <c r="Y34" s="3">
        <f t="shared" si="37"/>
        <v>9.0215675384091459E-4</v>
      </c>
      <c r="Z34" s="3">
        <f>VLOOKUP($A34,'Data(2013)b'!$A$9:$W$302,22,FALSE)</f>
        <v>0</v>
      </c>
      <c r="AA34">
        <f t="shared" si="38"/>
        <v>1.9973841459693501E-7</v>
      </c>
      <c r="AB34">
        <f t="shared" si="39"/>
        <v>-6.6000000000000008E-3</v>
      </c>
      <c r="AC34">
        <f t="shared" si="40"/>
        <v>2.4655637672667693E-3</v>
      </c>
      <c r="AD34" s="3">
        <f t="shared" si="58"/>
        <v>1.6689005755882249E-2</v>
      </c>
      <c r="AE34" s="3">
        <f t="shared" si="41"/>
        <v>2.0925958502585204E-2</v>
      </c>
      <c r="AF34" s="2">
        <v>20</v>
      </c>
      <c r="AG34" s="20">
        <v>4</v>
      </c>
      <c r="AH34">
        <f t="shared" si="42"/>
        <v>7</v>
      </c>
      <c r="AI34">
        <f t="shared" si="43"/>
        <v>10</v>
      </c>
      <c r="AJ34">
        <f t="shared" si="44"/>
        <v>5</v>
      </c>
      <c r="AK34">
        <f t="shared" si="45"/>
        <v>5</v>
      </c>
      <c r="AL34">
        <f t="shared" si="46"/>
        <v>5</v>
      </c>
      <c r="AM34" s="2">
        <f t="shared" si="47"/>
        <v>16.661701805097167</v>
      </c>
      <c r="AN34" s="2">
        <f t="shared" si="48"/>
        <v>30.028557584526691</v>
      </c>
      <c r="AO34">
        <v>20</v>
      </c>
      <c r="AP34">
        <v>4</v>
      </c>
      <c r="AQ34">
        <f t="shared" si="49"/>
        <v>7</v>
      </c>
      <c r="AR34">
        <f t="shared" si="50"/>
        <v>10</v>
      </c>
      <c r="AS34">
        <f t="shared" si="51"/>
        <v>5</v>
      </c>
      <c r="AT34">
        <f t="shared" si="52"/>
        <v>5</v>
      </c>
      <c r="AU34">
        <f t="shared" si="53"/>
        <v>5</v>
      </c>
      <c r="AV34">
        <f t="shared" si="54"/>
        <v>5</v>
      </c>
      <c r="AW34" s="2">
        <f t="shared" si="55"/>
        <v>20.661225464181307</v>
      </c>
      <c r="AX34" s="2">
        <f t="shared" si="56"/>
        <v>34.824660500073286</v>
      </c>
    </row>
    <row r="35" spans="1:50" x14ac:dyDescent="0.2">
      <c r="A35">
        <v>164</v>
      </c>
      <c r="B35">
        <v>164</v>
      </c>
      <c r="C35" s="20">
        <f>VLOOKUP($A35,'Data(2013)b'!$A$9:$T$302,14,FALSE)</f>
        <v>9.9747214224</v>
      </c>
      <c r="D35" s="6">
        <f>VLOOKUP($B35,summary!$A$5:$M$75,8,FALSE)</f>
        <v>0.33931546290343328</v>
      </c>
      <c r="E35" s="6">
        <f>VLOOKUP($B35,summary!$A$5:$M$75,9,FALSE)</f>
        <v>3.3537829090675063E-2</v>
      </c>
      <c r="F35" s="3">
        <f>VLOOKUP($A35,'Data(2013)b'!$A$9:$T$302,18,FALSE)</f>
        <v>2.2059601008942559E-3</v>
      </c>
      <c r="G35" s="3">
        <f>VLOOKUP($A35,'Data(2013)b'!$A$9:$T$302,19,FALSE)</f>
        <v>5.9289741687017722E-3</v>
      </c>
      <c r="H35" s="15">
        <f>VLOOKUP($A35,'Data(2013)b'!$A$9:$T$302,20,FALSE)</f>
        <v>1.2080064120258693E-4</v>
      </c>
      <c r="I35" s="3">
        <f>'Data(2013)'!$U$86</f>
        <v>-2.0301791869235526E-4</v>
      </c>
      <c r="J35" s="3">
        <f>'Data(2013)'!$V$86</f>
        <v>6.320417938664104E-4</v>
      </c>
      <c r="K35">
        <v>-3.3000000000000002E-2</v>
      </c>
      <c r="M35" s="3">
        <f t="shared" si="27"/>
        <v>2.2059601008942559E-3</v>
      </c>
      <c r="N35" s="26">
        <f t="shared" si="28"/>
        <v>1.2080064120258693E-4</v>
      </c>
      <c r="O35">
        <f t="shared" si="29"/>
        <v>1.6578916996768757E-2</v>
      </c>
      <c r="P35" s="26">
        <f t="shared" si="30"/>
        <v>5.0897319435514992E-3</v>
      </c>
      <c r="Q35" s="3">
        <f>VLOOKUP($A35,'Data(2013)b'!$A$9:$V$302,21,FALSE)</f>
        <v>0</v>
      </c>
      <c r="R35" s="3">
        <f t="shared" si="31"/>
        <v>-1.0150895934617763E-4</v>
      </c>
      <c r="S35" s="3">
        <f t="shared" si="32"/>
        <v>1.3910064533345761E-2</v>
      </c>
      <c r="T35" s="3">
        <f t="shared" si="57"/>
        <v>3.3916613111360697E-2</v>
      </c>
      <c r="U35" s="3">
        <f t="shared" si="33"/>
        <v>4.0613834553523805E-2</v>
      </c>
      <c r="V35" s="3">
        <f t="shared" si="34"/>
        <v>5.9289741687017722E-3</v>
      </c>
      <c r="W35" s="26">
        <f t="shared" si="35"/>
        <v>1.2080064120258693E-4</v>
      </c>
      <c r="X35" s="15">
        <f t="shared" si="36"/>
        <v>9.8744979504769414E-3</v>
      </c>
      <c r="Y35" s="3">
        <f t="shared" si="37"/>
        <v>5.0306743636012593E-4</v>
      </c>
      <c r="Z35" s="3">
        <f>VLOOKUP($A35,'Data(2013)b'!$A$9:$W$302,22,FALSE)</f>
        <v>0</v>
      </c>
      <c r="AA35">
        <f t="shared" si="38"/>
        <v>1.9973841459693501E-7</v>
      </c>
      <c r="AB35">
        <f t="shared" si="39"/>
        <v>-6.6000000000000008E-3</v>
      </c>
      <c r="AC35">
        <f t="shared" si="40"/>
        <v>1.3748662173181812E-3</v>
      </c>
      <c r="AD35" s="3">
        <f t="shared" si="58"/>
        <v>2.3031272492448965E-2</v>
      </c>
      <c r="AE35" s="3">
        <f t="shared" si="41"/>
        <v>2.6623596373976256E-2</v>
      </c>
      <c r="AF35" s="2">
        <v>20</v>
      </c>
      <c r="AG35" s="20">
        <v>4</v>
      </c>
      <c r="AH35">
        <f t="shared" si="42"/>
        <v>7</v>
      </c>
      <c r="AI35">
        <f t="shared" si="43"/>
        <v>10</v>
      </c>
      <c r="AJ35">
        <f t="shared" si="44"/>
        <v>5</v>
      </c>
      <c r="AK35">
        <f t="shared" si="45"/>
        <v>5</v>
      </c>
      <c r="AL35">
        <f t="shared" si="46"/>
        <v>5</v>
      </c>
      <c r="AM35" s="2">
        <f t="shared" si="47"/>
        <v>19.334883212817868</v>
      </c>
      <c r="AN35" s="2">
        <f t="shared" si="48"/>
        <v>31.349796647148832</v>
      </c>
      <c r="AO35">
        <v>20</v>
      </c>
      <c r="AP35">
        <v>4</v>
      </c>
      <c r="AQ35">
        <f t="shared" si="49"/>
        <v>7</v>
      </c>
      <c r="AR35">
        <f t="shared" si="50"/>
        <v>10</v>
      </c>
      <c r="AS35">
        <f t="shared" si="51"/>
        <v>5</v>
      </c>
      <c r="AT35">
        <f t="shared" si="52"/>
        <v>5</v>
      </c>
      <c r="AU35">
        <f t="shared" si="53"/>
        <v>5</v>
      </c>
      <c r="AV35">
        <f t="shared" si="54"/>
        <v>5</v>
      </c>
      <c r="AW35" s="2">
        <f t="shared" si="55"/>
        <v>8.6814229022663056</v>
      </c>
      <c r="AX35" s="2">
        <f t="shared" si="56"/>
        <v>14.686206121065904</v>
      </c>
    </row>
    <row r="36" spans="1:50" x14ac:dyDescent="0.2">
      <c r="A36">
        <v>165</v>
      </c>
      <c r="B36">
        <v>165</v>
      </c>
      <c r="C36" s="20">
        <f>VLOOKUP($A36,'Data(2013)b'!$A$9:$T$302,14,FALSE)</f>
        <v>4.9441033636</v>
      </c>
      <c r="D36" s="6">
        <f>VLOOKUP($B36,summary!$A$5:$M$75,8,FALSE)</f>
        <v>0.35538771066235075</v>
      </c>
      <c r="E36" s="6">
        <f>VLOOKUP($B36,summary!$A$5:$M$75,9,FALSE)</f>
        <v>5.7768877602184486E-2</v>
      </c>
      <c r="F36" s="3">
        <f>VLOOKUP($A36,'Data(2013)b'!$A$9:$T$302,18,FALSE)</f>
        <v>6.8005487295832402E-3</v>
      </c>
      <c r="G36" s="3">
        <f>VLOOKUP($A36,'Data(2013)b'!$A$9:$T$302,19,FALSE)</f>
        <v>8.5510243893733868E-3</v>
      </c>
      <c r="H36" s="15">
        <f>VLOOKUP($A36,'Data(2013)b'!$A$9:$T$302,20,FALSE)</f>
        <v>1.4835885798472872E-4</v>
      </c>
      <c r="I36" s="3">
        <f>'Data(2013)'!$U$86</f>
        <v>-2.0301791869235526E-4</v>
      </c>
      <c r="J36" s="3">
        <f>'Data(2013)'!$V$86</f>
        <v>6.320417938664104E-4</v>
      </c>
      <c r="K36">
        <v>-3.3000000000000002E-2</v>
      </c>
      <c r="M36" s="3">
        <f t="shared" si="27"/>
        <v>6.8005487295832402E-3</v>
      </c>
      <c r="N36" s="26">
        <f t="shared" si="28"/>
        <v>1.4835885798472872E-4</v>
      </c>
      <c r="O36">
        <f t="shared" si="29"/>
        <v>1.6578916996768757E-2</v>
      </c>
      <c r="P36" s="26">
        <f t="shared" si="30"/>
        <v>5.330815659935261E-3</v>
      </c>
      <c r="Q36" s="3">
        <f>VLOOKUP($A36,'Data(2013)b'!$A$9:$V$302,21,FALSE)</f>
        <v>0</v>
      </c>
      <c r="R36" s="3">
        <f t="shared" si="31"/>
        <v>-1.0150895934617763E-4</v>
      </c>
      <c r="S36" s="3">
        <f t="shared" si="32"/>
        <v>1.4568938142020911E-2</v>
      </c>
      <c r="T36" s="3">
        <f t="shared" si="57"/>
        <v>5.0130984970789286E-2</v>
      </c>
      <c r="U36" s="3">
        <f t="shared" si="33"/>
        <v>5.5452028588289702E-2</v>
      </c>
      <c r="V36" s="3">
        <f t="shared" si="34"/>
        <v>8.5510243893733868E-3</v>
      </c>
      <c r="W36" s="26">
        <f t="shared" si="35"/>
        <v>1.4835885798472872E-4</v>
      </c>
      <c r="X36" s="15">
        <f t="shared" si="36"/>
        <v>9.8744979504769414E-3</v>
      </c>
      <c r="Y36" s="3">
        <f t="shared" si="37"/>
        <v>8.6653316403276725E-4</v>
      </c>
      <c r="Z36" s="3">
        <f>VLOOKUP($A36,'Data(2013)b'!$A$9:$W$302,22,FALSE)</f>
        <v>0</v>
      </c>
      <c r="AA36">
        <f t="shared" si="38"/>
        <v>1.9973841459693501E-7</v>
      </c>
      <c r="AB36">
        <f t="shared" si="39"/>
        <v>-6.6000000000000008E-3</v>
      </c>
      <c r="AC36">
        <f t="shared" si="40"/>
        <v>2.3682057062457793E-3</v>
      </c>
      <c r="AD36" s="3">
        <f t="shared" si="58"/>
        <v>4.2633273800755531E-2</v>
      </c>
      <c r="AE36" s="3">
        <f t="shared" si="41"/>
        <v>4.5146019218021E-2</v>
      </c>
      <c r="AF36" s="2">
        <v>20</v>
      </c>
      <c r="AG36" s="20">
        <v>4</v>
      </c>
      <c r="AH36">
        <f t="shared" si="42"/>
        <v>7</v>
      </c>
      <c r="AI36">
        <f t="shared" si="43"/>
        <v>10</v>
      </c>
      <c r="AJ36">
        <f t="shared" si="44"/>
        <v>5</v>
      </c>
      <c r="AK36">
        <f t="shared" si="45"/>
        <v>5</v>
      </c>
      <c r="AL36">
        <f t="shared" si="46"/>
        <v>5</v>
      </c>
      <c r="AM36" s="2">
        <f>AN25</f>
        <v>11.389349085901552</v>
      </c>
      <c r="AN36" s="2">
        <f>Dof_A(M36:T36,AF36:AM36)</f>
        <v>16.457472532517304</v>
      </c>
      <c r="AO36">
        <v>20</v>
      </c>
      <c r="AP36">
        <v>4</v>
      </c>
      <c r="AQ36">
        <f t="shared" si="49"/>
        <v>7</v>
      </c>
      <c r="AR36">
        <f t="shared" si="50"/>
        <v>10</v>
      </c>
      <c r="AS36">
        <f t="shared" si="51"/>
        <v>5</v>
      </c>
      <c r="AT36">
        <f t="shared" si="52"/>
        <v>5</v>
      </c>
      <c r="AU36">
        <f t="shared" si="53"/>
        <v>5</v>
      </c>
      <c r="AV36">
        <f t="shared" si="54"/>
        <v>5</v>
      </c>
      <c r="AW36" s="2">
        <f>AX25</f>
        <v>6.4595324580327693</v>
      </c>
      <c r="AX36" s="2">
        <f>Dof_A(V36:AD36,AO36:AW36)</f>
        <v>8.0905784941357251</v>
      </c>
    </row>
    <row r="38" spans="1:50" x14ac:dyDescent="0.2">
      <c r="B38" s="5" t="s">
        <v>224</v>
      </c>
      <c r="G38" s="5" t="s">
        <v>311</v>
      </c>
      <c r="M38" s="29" t="s">
        <v>257</v>
      </c>
      <c r="N38" s="29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28" t="s">
        <v>258</v>
      </c>
      <c r="AG38" s="28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</row>
    <row r="39" spans="1:50" x14ac:dyDescent="0.2">
      <c r="D39" t="s">
        <v>215</v>
      </c>
      <c r="E39" t="s">
        <v>215</v>
      </c>
      <c r="F39" t="s">
        <v>216</v>
      </c>
      <c r="G39" t="s">
        <v>217</v>
      </c>
      <c r="H39" t="s">
        <v>14</v>
      </c>
      <c r="I39" t="s">
        <v>286</v>
      </c>
      <c r="M39" s="30" t="s">
        <v>300</v>
      </c>
      <c r="N39" s="30" t="s">
        <v>5</v>
      </c>
      <c r="O39" s="30" t="s">
        <v>5</v>
      </c>
      <c r="P39" s="30" t="s">
        <v>5</v>
      </c>
      <c r="Q39" s="30" t="s">
        <v>5</v>
      </c>
      <c r="R39" s="31" t="s">
        <v>5</v>
      </c>
      <c r="S39" s="30" t="s">
        <v>5</v>
      </c>
      <c r="T39" s="30" t="s">
        <v>5</v>
      </c>
      <c r="U39" s="29" t="s">
        <v>5</v>
      </c>
      <c r="V39" s="30" t="s">
        <v>309</v>
      </c>
      <c r="W39" s="30" t="s">
        <v>6</v>
      </c>
      <c r="X39" s="30" t="s">
        <v>6</v>
      </c>
      <c r="Y39" s="30" t="s">
        <v>6</v>
      </c>
      <c r="Z39" s="30"/>
      <c r="AA39" s="31" t="s">
        <v>6</v>
      </c>
      <c r="AB39" s="31" t="s">
        <v>6</v>
      </c>
      <c r="AC39" s="30" t="s">
        <v>6</v>
      </c>
      <c r="AD39" s="30" t="s">
        <v>6</v>
      </c>
      <c r="AE39" s="29" t="s">
        <v>6</v>
      </c>
      <c r="AF39" s="27" t="s">
        <v>300</v>
      </c>
      <c r="AG39" s="27" t="s">
        <v>5</v>
      </c>
      <c r="AH39" s="27" t="s">
        <v>5</v>
      </c>
      <c r="AI39" s="27" t="s">
        <v>5</v>
      </c>
      <c r="AJ39" s="27"/>
      <c r="AK39" s="32" t="s">
        <v>5</v>
      </c>
      <c r="AL39" s="27" t="s">
        <v>5</v>
      </c>
      <c r="AM39" s="27" t="s">
        <v>5</v>
      </c>
      <c r="AN39" s="28" t="s">
        <v>5</v>
      </c>
      <c r="AO39" s="27" t="s">
        <v>309</v>
      </c>
      <c r="AP39" s="27" t="s">
        <v>6</v>
      </c>
      <c r="AQ39" s="27" t="s">
        <v>6</v>
      </c>
      <c r="AR39" s="27" t="s">
        <v>6</v>
      </c>
      <c r="AS39" s="27"/>
      <c r="AT39" s="32" t="s">
        <v>6</v>
      </c>
      <c r="AU39" s="32" t="s">
        <v>6</v>
      </c>
      <c r="AV39" s="27" t="s">
        <v>6</v>
      </c>
      <c r="AW39" s="27" t="s">
        <v>6</v>
      </c>
      <c r="AX39" s="28" t="s">
        <v>6</v>
      </c>
    </row>
    <row r="40" spans="1:50" x14ac:dyDescent="0.2">
      <c r="C40" t="s">
        <v>4</v>
      </c>
      <c r="D40" t="s">
        <v>0</v>
      </c>
      <c r="E40" t="s">
        <v>1</v>
      </c>
      <c r="F40" t="s">
        <v>206</v>
      </c>
      <c r="G40" t="s">
        <v>206</v>
      </c>
      <c r="H40" t="s">
        <v>219</v>
      </c>
      <c r="I40" t="s">
        <v>287</v>
      </c>
      <c r="J40" t="s">
        <v>299</v>
      </c>
      <c r="K40" t="s">
        <v>298</v>
      </c>
      <c r="M40" s="30" t="s">
        <v>301</v>
      </c>
      <c r="N40" s="30" t="s">
        <v>14</v>
      </c>
      <c r="O40" s="30" t="s">
        <v>220</v>
      </c>
      <c r="P40" s="30" t="s">
        <v>218</v>
      </c>
      <c r="Q40" s="30" t="s">
        <v>364</v>
      </c>
      <c r="R40" s="30" t="s">
        <v>305</v>
      </c>
      <c r="S40" s="30" t="s">
        <v>307</v>
      </c>
      <c r="T40" s="30" t="s">
        <v>308</v>
      </c>
      <c r="U40" s="29" t="s">
        <v>221</v>
      </c>
      <c r="V40" s="30" t="s">
        <v>301</v>
      </c>
      <c r="W40" s="30" t="s">
        <v>14</v>
      </c>
      <c r="X40" s="30" t="s">
        <v>220</v>
      </c>
      <c r="Y40" s="30" t="s">
        <v>218</v>
      </c>
      <c r="Z40" s="30"/>
      <c r="AA40" s="30" t="s">
        <v>305</v>
      </c>
      <c r="AB40" s="30" t="s">
        <v>306</v>
      </c>
      <c r="AC40" s="30" t="s">
        <v>307</v>
      </c>
      <c r="AD40" s="30" t="s">
        <v>308</v>
      </c>
      <c r="AE40" s="29" t="s">
        <v>221</v>
      </c>
      <c r="AF40" s="27" t="s">
        <v>301</v>
      </c>
      <c r="AG40" s="27" t="s">
        <v>14</v>
      </c>
      <c r="AH40" s="27" t="s">
        <v>220</v>
      </c>
      <c r="AI40" s="27" t="s">
        <v>218</v>
      </c>
      <c r="AJ40" s="27"/>
      <c r="AK40" s="27" t="s">
        <v>305</v>
      </c>
      <c r="AL40" s="27" t="s">
        <v>307</v>
      </c>
      <c r="AM40" s="27" t="s">
        <v>308</v>
      </c>
      <c r="AN40" s="28" t="s">
        <v>256</v>
      </c>
      <c r="AO40" s="27" t="s">
        <v>301</v>
      </c>
      <c r="AP40" s="27" t="s">
        <v>14</v>
      </c>
      <c r="AQ40" s="27" t="s">
        <v>220</v>
      </c>
      <c r="AR40" s="27" t="s">
        <v>218</v>
      </c>
      <c r="AS40" s="27"/>
      <c r="AT40" s="27" t="s">
        <v>305</v>
      </c>
      <c r="AU40" s="27" t="s">
        <v>306</v>
      </c>
      <c r="AV40" s="27" t="s">
        <v>307</v>
      </c>
      <c r="AW40" s="27" t="s">
        <v>308</v>
      </c>
      <c r="AX40" s="28" t="s">
        <v>256</v>
      </c>
    </row>
    <row r="41" spans="1:50" x14ac:dyDescent="0.2">
      <c r="A41">
        <v>174</v>
      </c>
      <c r="B41">
        <v>174</v>
      </c>
      <c r="C41" s="20">
        <f>VLOOKUP($A41,'Data(2013)b'!$A$9:$T$302,14,FALSE)</f>
        <v>119.84700020000001</v>
      </c>
      <c r="D41" s="6">
        <f>VLOOKUP($B41,summary!$A$5:$M$75,8,FALSE)</f>
        <v>0.19099327491213469</v>
      </c>
      <c r="E41" s="6">
        <f>VLOOKUP($B41,summary!$A$5:$M$75,9,FALSE)</f>
        <v>0.12771511396560489</v>
      </c>
      <c r="F41" s="3">
        <f>VLOOKUP($A41,'Data(2013)b'!$A$9:$T$302,18,FALSE)</f>
        <v>6.9848548826437611E-5</v>
      </c>
      <c r="G41" s="3">
        <f>VLOOKUP($A41,'Data(2013)b'!$A$9:$T$302,19,FALSE)</f>
        <v>1.3179171042100173E-4</v>
      </c>
      <c r="H41" s="15">
        <f>VLOOKUP($A41,'Data(2013)b'!$A$9:$T$302,20,FALSE)</f>
        <v>6.0386425937814165E-4</v>
      </c>
      <c r="I41" s="3">
        <v>0</v>
      </c>
      <c r="J41" s="3">
        <v>0</v>
      </c>
      <c r="K41" s="3">
        <v>0</v>
      </c>
      <c r="M41" s="3">
        <f t="shared" ref="M41:M46" si="59">F41</f>
        <v>6.9848548826437611E-5</v>
      </c>
      <c r="N41" s="3">
        <f t="shared" ref="N41:N46" si="60">H41</f>
        <v>6.0386425937814165E-4</v>
      </c>
      <c r="O41">
        <f t="shared" ref="O41:O47" si="61">X_stability_std</f>
        <v>1.6578916996768757E-2</v>
      </c>
      <c r="P41" s="26">
        <f t="shared" ref="P41:P46" si="62">SR830_std*D41</f>
        <v>2.8648991236820201E-3</v>
      </c>
      <c r="Q41" s="26">
        <f t="shared" ref="Q41:Q47" si="63">Q30</f>
        <v>0</v>
      </c>
      <c r="R41" s="3">
        <f t="shared" ref="R41:R46" si="64">S_P_std*I41</f>
        <v>0</v>
      </c>
      <c r="S41" s="3">
        <f t="shared" ref="S41:S46" si="65">Burden1_std*D41</f>
        <v>7.829672001181176E-3</v>
      </c>
      <c r="T41" s="3">
        <f t="shared" ref="T41:T46" si="66">U30</f>
        <v>2.5852230269718425E-2</v>
      </c>
      <c r="U41" s="3">
        <f t="shared" ref="U41:U46" si="67">SQRT(SUMSQ(M41:T41))</f>
        <v>3.1828905733668811E-2</v>
      </c>
      <c r="V41" s="1">
        <f t="shared" ref="V41:W46" si="68">G41</f>
        <v>1.3179171042100173E-4</v>
      </c>
      <c r="W41" s="1">
        <f t="shared" si="68"/>
        <v>6.0386425937814165E-4</v>
      </c>
      <c r="X41" s="15">
        <f t="shared" ref="X41:X47" si="69">Y_stability_std</f>
        <v>9.8744979504769414E-3</v>
      </c>
      <c r="Y41" s="3">
        <f t="shared" ref="Y41:Y46" si="70">E41*SR830_std</f>
        <v>1.9157267094840732E-3</v>
      </c>
      <c r="Z41" s="3">
        <f t="shared" ref="Z41:Z47" si="71">Z30</f>
        <v>0</v>
      </c>
      <c r="AA41">
        <f t="shared" ref="AA41:AA46" si="72">J41*S_P_std*J41</f>
        <v>0</v>
      </c>
      <c r="AB41">
        <f t="shared" ref="AB41:AB46" si="73">SPelect_std*K41</f>
        <v>0</v>
      </c>
      <c r="AC41">
        <f t="shared" ref="AC41:AC46" si="74">E41*Burden1_std</f>
        <v>5.2356160310052212E-3</v>
      </c>
      <c r="AD41" s="3">
        <f t="shared" ref="AD41:AD47" si="75">AE30</f>
        <v>1.7940091386283434E-2</v>
      </c>
      <c r="AE41" s="3">
        <f t="shared" ref="AE41:AE46" si="76">SQRT(SUMSQ(V41:AD41))</f>
        <v>2.1232434949162424E-2</v>
      </c>
      <c r="AF41" s="2">
        <v>20</v>
      </c>
      <c r="AG41" s="20">
        <v>4</v>
      </c>
      <c r="AH41">
        <f t="shared" ref="AH41:AH47" si="77">X_stability_dfm</f>
        <v>7</v>
      </c>
      <c r="AI41">
        <f t="shared" ref="AI41:AI47" si="78">SR830_dfm</f>
        <v>10</v>
      </c>
      <c r="AJ41">
        <f t="shared" ref="AJ41:AJ47" si="79">AJ30</f>
        <v>5</v>
      </c>
      <c r="AK41">
        <f t="shared" ref="AK41:AK47" si="80">S_P_dfm</f>
        <v>5</v>
      </c>
      <c r="AL41">
        <f t="shared" ref="AL41:AL47" si="81">Burden1_dfm</f>
        <v>5</v>
      </c>
      <c r="AM41" s="2">
        <f t="shared" ref="AM41:AM46" si="82">AN30</f>
        <v>19.666171528948379</v>
      </c>
      <c r="AN41" s="2">
        <f t="shared" ref="AN41:AN46" si="83">Dof_A(M41:T41,AF41:AM41)</f>
        <v>29.953674677647413</v>
      </c>
      <c r="AO41">
        <v>20</v>
      </c>
      <c r="AP41">
        <v>4</v>
      </c>
      <c r="AQ41">
        <f t="shared" ref="AQ41:AQ47" si="84">Y_stability_dfm</f>
        <v>7</v>
      </c>
      <c r="AR41">
        <f t="shared" ref="AR41:AR47" si="85">SR830_dfm</f>
        <v>10</v>
      </c>
      <c r="AS41">
        <f t="shared" ref="AS41:AS47" si="86">AS30</f>
        <v>5</v>
      </c>
      <c r="AT41">
        <f t="shared" ref="AT41:AT47" si="87">S_P_dfm</f>
        <v>5</v>
      </c>
      <c r="AU41">
        <f t="shared" ref="AU41:AU47" si="88">SPelect_dfm</f>
        <v>5</v>
      </c>
      <c r="AV41">
        <f t="shared" ref="AV41:AV47" si="89">Burden1_dfm</f>
        <v>5</v>
      </c>
      <c r="AW41" s="2">
        <f t="shared" ref="AW41:AW46" si="90">AX30</f>
        <v>27.70276563799743</v>
      </c>
      <c r="AX41" s="2">
        <f t="shared" ref="AX41:AX46" si="91">Dof_A(V41:AD41,AO41:AW41)</f>
        <v>38.718665940303978</v>
      </c>
    </row>
    <row r="42" spans="1:50" x14ac:dyDescent="0.2">
      <c r="A42">
        <v>175</v>
      </c>
      <c r="B42">
        <v>175</v>
      </c>
      <c r="C42" s="20">
        <f>VLOOKUP($A42,'Data(2013)b'!$A$9:$T$302,14,FALSE)</f>
        <v>99.84864608800001</v>
      </c>
      <c r="D42" s="6">
        <f>VLOOKUP($B42,summary!$A$5:$M$75,8,FALSE)</f>
        <v>0.20981100044611947</v>
      </c>
      <c r="E42" s="6">
        <f>VLOOKUP($B42,summary!$A$5:$M$75,9,FALSE)</f>
        <v>0.12832447060119506</v>
      </c>
      <c r="F42" s="3">
        <f>VLOOKUP($A42,'Data(2013)b'!$A$9:$T$302,18,FALSE)</f>
        <v>1.7993835111886587E-4</v>
      </c>
      <c r="G42" s="3">
        <f>VLOOKUP($A42,'Data(2013)b'!$A$9:$T$302,19,FALSE)</f>
        <v>6.9118371133721355E-5</v>
      </c>
      <c r="H42" s="15">
        <f>VLOOKUP($A42,'Data(2013)b'!$A$9:$T$302,20,FALSE)</f>
        <v>3.7897010751654993E-4</v>
      </c>
      <c r="I42" s="3">
        <v>0</v>
      </c>
      <c r="J42" s="3">
        <v>0</v>
      </c>
      <c r="K42" s="3">
        <v>0</v>
      </c>
      <c r="M42" s="3">
        <f t="shared" si="59"/>
        <v>1.7993835111886587E-4</v>
      </c>
      <c r="N42" s="3">
        <f t="shared" si="60"/>
        <v>3.7897010751654993E-4</v>
      </c>
      <c r="O42">
        <f t="shared" si="61"/>
        <v>1.6578916996768757E-2</v>
      </c>
      <c r="P42" s="26">
        <f t="shared" si="62"/>
        <v>3.147165006691792E-3</v>
      </c>
      <c r="Q42" s="26">
        <f t="shared" si="63"/>
        <v>0</v>
      </c>
      <c r="R42" s="3">
        <f t="shared" si="64"/>
        <v>0</v>
      </c>
      <c r="S42" s="3">
        <f t="shared" si="65"/>
        <v>8.6010950725282382E-3</v>
      </c>
      <c r="T42" s="3">
        <f t="shared" si="66"/>
        <v>2.6279044994077291E-2</v>
      </c>
      <c r="U42" s="3">
        <f t="shared" si="67"/>
        <v>3.2396113575012292E-2</v>
      </c>
      <c r="V42" s="1">
        <f t="shared" si="68"/>
        <v>6.9118371133721355E-5</v>
      </c>
      <c r="W42" s="1">
        <f t="shared" si="68"/>
        <v>3.7897010751654993E-4</v>
      </c>
      <c r="X42" s="15">
        <f t="shared" si="69"/>
        <v>9.8744979504769414E-3</v>
      </c>
      <c r="Y42" s="3">
        <f t="shared" si="70"/>
        <v>1.9248670590179258E-3</v>
      </c>
      <c r="Z42" s="3">
        <f t="shared" si="71"/>
        <v>0</v>
      </c>
      <c r="AA42">
        <f t="shared" si="72"/>
        <v>0</v>
      </c>
      <c r="AB42">
        <f t="shared" si="73"/>
        <v>0</v>
      </c>
      <c r="AC42">
        <f t="shared" si="74"/>
        <v>5.2605962958371067E-3</v>
      </c>
      <c r="AD42" s="3">
        <f t="shared" si="75"/>
        <v>1.7827168476466308E-2</v>
      </c>
      <c r="AE42" s="3">
        <f t="shared" si="76"/>
        <v>2.1138614617249023E-2</v>
      </c>
      <c r="AF42" s="2">
        <v>20</v>
      </c>
      <c r="AG42" s="20">
        <v>4</v>
      </c>
      <c r="AH42">
        <f t="shared" si="77"/>
        <v>7</v>
      </c>
      <c r="AI42">
        <f t="shared" si="78"/>
        <v>10</v>
      </c>
      <c r="AJ42">
        <f t="shared" si="79"/>
        <v>5</v>
      </c>
      <c r="AK42">
        <f t="shared" si="80"/>
        <v>5</v>
      </c>
      <c r="AL42">
        <f t="shared" si="81"/>
        <v>5</v>
      </c>
      <c r="AM42" s="2">
        <f t="shared" si="82"/>
        <v>20.516163532085901</v>
      </c>
      <c r="AN42" s="2">
        <f t="shared" si="83"/>
        <v>31.342729486692544</v>
      </c>
      <c r="AO42">
        <v>20</v>
      </c>
      <c r="AP42">
        <v>4</v>
      </c>
      <c r="AQ42">
        <f t="shared" si="84"/>
        <v>7</v>
      </c>
      <c r="AR42">
        <f t="shared" si="85"/>
        <v>10</v>
      </c>
      <c r="AS42">
        <f t="shared" si="86"/>
        <v>5</v>
      </c>
      <c r="AT42">
        <f t="shared" si="87"/>
        <v>5</v>
      </c>
      <c r="AU42">
        <f t="shared" si="88"/>
        <v>5</v>
      </c>
      <c r="AV42">
        <f t="shared" si="89"/>
        <v>5</v>
      </c>
      <c r="AW42" s="2">
        <f t="shared" si="90"/>
        <v>27.155682008828819</v>
      </c>
      <c r="AX42" s="2">
        <f t="shared" si="91"/>
        <v>38.161861158651725</v>
      </c>
    </row>
    <row r="43" spans="1:50" x14ac:dyDescent="0.2">
      <c r="A43">
        <v>176</v>
      </c>
      <c r="B43">
        <v>176</v>
      </c>
      <c r="C43" s="20">
        <f>VLOOKUP($A43,'Data(2013)b'!$A$9:$T$302,14,FALSE)</f>
        <v>60.036926252000001</v>
      </c>
      <c r="D43" s="6">
        <f>VLOOKUP($B43,summary!$A$5:$M$75,8,FALSE)</f>
        <v>0.27625827740036574</v>
      </c>
      <c r="E43" s="6">
        <f>VLOOKUP($B43,summary!$A$5:$M$75,9,FALSE)</f>
        <v>0.11282248388897273</v>
      </c>
      <c r="F43" s="3">
        <f>VLOOKUP($A43,'Data(2013)b'!$A$9:$T$302,18,FALSE)</f>
        <v>5.11546897963453E-5</v>
      </c>
      <c r="G43" s="3">
        <f>VLOOKUP($A43,'Data(2013)b'!$A$9:$T$302,19,FALSE)</f>
        <v>1.2921231423139779E-4</v>
      </c>
      <c r="H43" s="15">
        <f>VLOOKUP($A43,'Data(2013)b'!$A$9:$T$302,20,FALSE)</f>
        <v>2.2147301014771809E-4</v>
      </c>
      <c r="I43" s="3">
        <v>0</v>
      </c>
      <c r="J43" s="3">
        <v>0</v>
      </c>
      <c r="K43" s="3">
        <v>0</v>
      </c>
      <c r="M43" s="3">
        <f t="shared" si="59"/>
        <v>5.11546897963453E-5</v>
      </c>
      <c r="N43" s="3">
        <f t="shared" si="60"/>
        <v>2.2147301014771809E-4</v>
      </c>
      <c r="O43">
        <f t="shared" si="61"/>
        <v>1.6578916996768757E-2</v>
      </c>
      <c r="P43" s="26">
        <f t="shared" si="62"/>
        <v>4.1438741610054855E-3</v>
      </c>
      <c r="Q43" s="26">
        <f t="shared" si="63"/>
        <v>0</v>
      </c>
      <c r="R43" s="3">
        <f t="shared" si="64"/>
        <v>0</v>
      </c>
      <c r="S43" s="3">
        <f t="shared" si="65"/>
        <v>1.1325067338895919E-2</v>
      </c>
      <c r="T43" s="3">
        <f t="shared" si="66"/>
        <v>2.8357630696622595E-2</v>
      </c>
      <c r="U43" s="3">
        <f t="shared" si="67"/>
        <v>3.4992802372789011E-2</v>
      </c>
      <c r="V43" s="1">
        <f t="shared" si="68"/>
        <v>1.2921231423139779E-4</v>
      </c>
      <c r="W43" s="1">
        <f t="shared" si="68"/>
        <v>2.2147301014771809E-4</v>
      </c>
      <c r="X43" s="15">
        <f t="shared" si="69"/>
        <v>9.8744979504769414E-3</v>
      </c>
      <c r="Y43" s="3">
        <f t="shared" si="70"/>
        <v>1.6923372583345908E-3</v>
      </c>
      <c r="Z43" s="3">
        <f t="shared" si="71"/>
        <v>0</v>
      </c>
      <c r="AA43">
        <f t="shared" si="72"/>
        <v>0</v>
      </c>
      <c r="AB43">
        <f t="shared" si="73"/>
        <v>0</v>
      </c>
      <c r="AC43">
        <f t="shared" si="74"/>
        <v>4.6251002482448136E-3</v>
      </c>
      <c r="AD43" s="3">
        <f t="shared" si="75"/>
        <v>1.7624361396986383E-2</v>
      </c>
      <c r="AE43" s="3">
        <f t="shared" si="76"/>
        <v>2.0795315055179897E-2</v>
      </c>
      <c r="AF43" s="2">
        <v>20</v>
      </c>
      <c r="AG43" s="20">
        <v>4</v>
      </c>
      <c r="AH43">
        <f t="shared" si="77"/>
        <v>7</v>
      </c>
      <c r="AI43">
        <f t="shared" si="78"/>
        <v>10</v>
      </c>
      <c r="AJ43">
        <f t="shared" si="79"/>
        <v>5</v>
      </c>
      <c r="AK43">
        <f t="shared" si="80"/>
        <v>5</v>
      </c>
      <c r="AL43">
        <f t="shared" si="81"/>
        <v>5</v>
      </c>
      <c r="AM43" s="2">
        <f t="shared" si="82"/>
        <v>24.104764962323976</v>
      </c>
      <c r="AN43" s="2">
        <f t="shared" si="83"/>
        <v>36.624668872077386</v>
      </c>
      <c r="AO43">
        <v>20</v>
      </c>
      <c r="AP43">
        <v>4</v>
      </c>
      <c r="AQ43">
        <f t="shared" si="84"/>
        <v>7</v>
      </c>
      <c r="AR43">
        <f t="shared" si="85"/>
        <v>10</v>
      </c>
      <c r="AS43">
        <f t="shared" si="86"/>
        <v>5</v>
      </c>
      <c r="AT43">
        <f t="shared" si="87"/>
        <v>5</v>
      </c>
      <c r="AU43">
        <f t="shared" si="88"/>
        <v>5</v>
      </c>
      <c r="AV43">
        <f t="shared" si="89"/>
        <v>5</v>
      </c>
      <c r="AW43" s="2">
        <f t="shared" si="90"/>
        <v>27.126229673126577</v>
      </c>
      <c r="AX43" s="2">
        <f t="shared" si="91"/>
        <v>37.346681397484296</v>
      </c>
    </row>
    <row r="44" spans="1:50" x14ac:dyDescent="0.2">
      <c r="A44">
        <v>177</v>
      </c>
      <c r="B44">
        <v>177</v>
      </c>
      <c r="C44" s="20">
        <f>VLOOKUP($A44,'Data(2013)b'!$A$9:$T$302,14,FALSE)</f>
        <v>40.078594610000003</v>
      </c>
      <c r="D44" s="6">
        <f>VLOOKUP($B44,summary!$A$5:$M$75,8,FALSE)</f>
        <v>0.32629674811974124</v>
      </c>
      <c r="E44" s="6">
        <f>VLOOKUP($B44,summary!$A$5:$M$75,9,FALSE)</f>
        <v>0.11582823559203237</v>
      </c>
      <c r="F44" s="3">
        <f>VLOOKUP($A44,'Data(2013)b'!$A$9:$T$302,18,FALSE)</f>
        <v>1.9344902578680863E-3</v>
      </c>
      <c r="G44" s="3">
        <f>VLOOKUP($A44,'Data(2013)b'!$A$9:$T$302,19,FALSE)</f>
        <v>1.7020274574450255E-3</v>
      </c>
      <c r="H44" s="15">
        <f>VLOOKUP($A44,'Data(2013)b'!$A$9:$T$302,20,FALSE)</f>
        <v>6.9287110650522138E-4</v>
      </c>
      <c r="I44" s="3">
        <v>0</v>
      </c>
      <c r="J44" s="3">
        <v>0</v>
      </c>
      <c r="K44" s="3">
        <v>0</v>
      </c>
      <c r="M44" s="3">
        <f t="shared" si="59"/>
        <v>1.9344902578680863E-3</v>
      </c>
      <c r="N44" s="3">
        <f t="shared" si="60"/>
        <v>6.9287110650522138E-4</v>
      </c>
      <c r="O44">
        <f t="shared" si="61"/>
        <v>1.6578916996768757E-2</v>
      </c>
      <c r="P44" s="26">
        <f t="shared" si="62"/>
        <v>4.8944512217961181E-3</v>
      </c>
      <c r="Q44" s="26">
        <f t="shared" si="63"/>
        <v>0</v>
      </c>
      <c r="R44" s="3">
        <f t="shared" si="64"/>
        <v>0</v>
      </c>
      <c r="S44" s="3">
        <f t="shared" si="65"/>
        <v>1.3376368953330548E-2</v>
      </c>
      <c r="T44" s="3">
        <f t="shared" si="66"/>
        <v>3.0138025584073538E-2</v>
      </c>
      <c r="U44" s="3">
        <f t="shared" si="67"/>
        <v>3.7286274913943901E-2</v>
      </c>
      <c r="V44" s="1">
        <f t="shared" si="68"/>
        <v>1.7020274574450255E-3</v>
      </c>
      <c r="W44" s="1">
        <f t="shared" si="68"/>
        <v>6.9287110650522138E-4</v>
      </c>
      <c r="X44" s="15">
        <f t="shared" si="69"/>
        <v>9.8744979504769414E-3</v>
      </c>
      <c r="Y44" s="3">
        <f t="shared" si="70"/>
        <v>1.7374235338804855E-3</v>
      </c>
      <c r="Z44" s="3">
        <f t="shared" si="71"/>
        <v>0</v>
      </c>
      <c r="AA44">
        <f t="shared" si="72"/>
        <v>0</v>
      </c>
      <c r="AB44">
        <f t="shared" si="73"/>
        <v>0</v>
      </c>
      <c r="AC44">
        <f t="shared" si="74"/>
        <v>4.7483195079950609E-3</v>
      </c>
      <c r="AD44" s="3">
        <f t="shared" si="75"/>
        <v>1.8081973196548879E-2</v>
      </c>
      <c r="AE44" s="3">
        <f t="shared" si="76"/>
        <v>2.129332315485068E-2</v>
      </c>
      <c r="AF44" s="2">
        <v>20</v>
      </c>
      <c r="AG44" s="20">
        <v>4</v>
      </c>
      <c r="AH44">
        <f t="shared" si="77"/>
        <v>7</v>
      </c>
      <c r="AI44">
        <f t="shared" si="78"/>
        <v>10</v>
      </c>
      <c r="AJ44">
        <f t="shared" si="79"/>
        <v>5</v>
      </c>
      <c r="AK44">
        <f t="shared" si="80"/>
        <v>5</v>
      </c>
      <c r="AL44">
        <f t="shared" si="81"/>
        <v>5</v>
      </c>
      <c r="AM44" s="2">
        <f t="shared" si="82"/>
        <v>26.258535122912622</v>
      </c>
      <c r="AN44" s="2">
        <f t="shared" si="83"/>
        <v>39.711150802914354</v>
      </c>
      <c r="AO44">
        <v>20</v>
      </c>
      <c r="AP44">
        <v>4</v>
      </c>
      <c r="AQ44">
        <f t="shared" si="84"/>
        <v>7</v>
      </c>
      <c r="AR44">
        <f t="shared" si="85"/>
        <v>10</v>
      </c>
      <c r="AS44">
        <f t="shared" si="86"/>
        <v>5</v>
      </c>
      <c r="AT44">
        <f t="shared" si="87"/>
        <v>5</v>
      </c>
      <c r="AU44">
        <f t="shared" si="88"/>
        <v>5</v>
      </c>
      <c r="AV44">
        <f t="shared" si="89"/>
        <v>5</v>
      </c>
      <c r="AW44" s="2">
        <f t="shared" si="90"/>
        <v>28.966484941792949</v>
      </c>
      <c r="AX44" s="2">
        <f t="shared" si="91"/>
        <v>39.904066836514858</v>
      </c>
    </row>
    <row r="45" spans="1:50" x14ac:dyDescent="0.2">
      <c r="A45">
        <v>178</v>
      </c>
      <c r="B45">
        <v>178</v>
      </c>
      <c r="C45" s="20">
        <f>VLOOKUP($A45,'Data(2013)b'!$A$9:$T$302,14,FALSE)</f>
        <v>20.078383601999999</v>
      </c>
      <c r="D45" s="6">
        <f>VLOOKUP($B45,summary!$A$5:$M$75,8,FALSE)</f>
        <v>0.40232279277714023</v>
      </c>
      <c r="E45" s="6">
        <f>VLOOKUP($B45,summary!$A$5:$M$75,9,FALSE)</f>
        <v>0.11063791085087632</v>
      </c>
      <c r="F45" s="3">
        <f>VLOOKUP($A45,'Data(2013)b'!$A$9:$T$302,18,FALSE)</f>
        <v>3.3368219177486256E-3</v>
      </c>
      <c r="G45" s="3">
        <f>VLOOKUP($A45,'Data(2013)b'!$A$9:$T$302,19,FALSE)</f>
        <v>2.6656734943234697E-3</v>
      </c>
      <c r="H45" s="15">
        <f>VLOOKUP($A45,'Data(2013)b'!$A$9:$T$302,20,FALSE)</f>
        <v>2.1916633909687222E-3</v>
      </c>
      <c r="I45" s="3">
        <v>0</v>
      </c>
      <c r="J45" s="3">
        <v>0</v>
      </c>
      <c r="K45" s="3">
        <v>0</v>
      </c>
      <c r="M45" s="3">
        <f t="shared" si="59"/>
        <v>3.3368219177486256E-3</v>
      </c>
      <c r="N45" s="3">
        <f t="shared" si="60"/>
        <v>2.1916633909687222E-3</v>
      </c>
      <c r="O45">
        <f t="shared" si="61"/>
        <v>1.6578916996768757E-2</v>
      </c>
      <c r="P45" s="26">
        <f t="shared" si="62"/>
        <v>6.0348418916571032E-3</v>
      </c>
      <c r="Q45" s="26">
        <f t="shared" si="63"/>
        <v>0</v>
      </c>
      <c r="R45" s="3">
        <f t="shared" si="64"/>
        <v>0</v>
      </c>
      <c r="S45" s="3">
        <f t="shared" si="65"/>
        <v>1.6493017921669521E-2</v>
      </c>
      <c r="T45" s="3">
        <f t="shared" si="66"/>
        <v>3.4044871341695829E-2</v>
      </c>
      <c r="U45" s="3">
        <f t="shared" si="67"/>
        <v>4.1931974425374503E-2</v>
      </c>
      <c r="V45" s="1">
        <f t="shared" si="68"/>
        <v>2.6656734943234697E-3</v>
      </c>
      <c r="W45" s="1">
        <f t="shared" si="68"/>
        <v>2.1916633909687222E-3</v>
      </c>
      <c r="X45" s="15">
        <f t="shared" si="69"/>
        <v>9.8744979504769414E-3</v>
      </c>
      <c r="Y45" s="3">
        <f t="shared" si="70"/>
        <v>1.6595686627631446E-3</v>
      </c>
      <c r="Z45" s="3">
        <f t="shared" si="71"/>
        <v>0</v>
      </c>
      <c r="AA45">
        <f t="shared" si="72"/>
        <v>0</v>
      </c>
      <c r="AB45">
        <f t="shared" si="73"/>
        <v>0</v>
      </c>
      <c r="AC45">
        <f t="shared" si="74"/>
        <v>4.5355447895052978E-3</v>
      </c>
      <c r="AD45" s="3">
        <f t="shared" si="75"/>
        <v>2.0925958502585204E-2</v>
      </c>
      <c r="AE45" s="3">
        <f t="shared" si="76"/>
        <v>2.3887988347861707E-2</v>
      </c>
      <c r="AF45" s="2">
        <v>20</v>
      </c>
      <c r="AG45" s="20">
        <v>4</v>
      </c>
      <c r="AH45">
        <f t="shared" si="77"/>
        <v>7</v>
      </c>
      <c r="AI45">
        <f t="shared" si="78"/>
        <v>10</v>
      </c>
      <c r="AJ45">
        <f t="shared" si="79"/>
        <v>5</v>
      </c>
      <c r="AK45">
        <f t="shared" si="80"/>
        <v>5</v>
      </c>
      <c r="AL45">
        <f t="shared" si="81"/>
        <v>5</v>
      </c>
      <c r="AM45" s="2">
        <f t="shared" si="82"/>
        <v>30.028557584526691</v>
      </c>
      <c r="AN45" s="2">
        <f t="shared" si="83"/>
        <v>43.868630832513816</v>
      </c>
      <c r="AO45">
        <v>20</v>
      </c>
      <c r="AP45">
        <v>4</v>
      </c>
      <c r="AQ45">
        <f t="shared" si="84"/>
        <v>7</v>
      </c>
      <c r="AR45">
        <f t="shared" si="85"/>
        <v>10</v>
      </c>
      <c r="AS45">
        <f t="shared" si="86"/>
        <v>5</v>
      </c>
      <c r="AT45">
        <f t="shared" si="87"/>
        <v>5</v>
      </c>
      <c r="AU45">
        <f t="shared" si="88"/>
        <v>5</v>
      </c>
      <c r="AV45">
        <f t="shared" si="89"/>
        <v>5</v>
      </c>
      <c r="AW45" s="2">
        <f t="shared" si="90"/>
        <v>34.824660500073286</v>
      </c>
      <c r="AX45" s="2">
        <f t="shared" si="91"/>
        <v>46.797949519231715</v>
      </c>
    </row>
    <row r="46" spans="1:50" x14ac:dyDescent="0.2">
      <c r="A46">
        <v>179</v>
      </c>
      <c r="B46">
        <v>179</v>
      </c>
      <c r="C46" s="20">
        <f>VLOOKUP($A46,'Data(2013)b'!$A$9:$T$302,14,FALSE)</f>
        <v>9.9260643214000002</v>
      </c>
      <c r="D46" s="6">
        <f>VLOOKUP($B46,summary!$A$5:$M$75,8,FALSE)</f>
        <v>0.45121819923305623</v>
      </c>
      <c r="E46" s="6">
        <f>VLOOKUP($B46,summary!$A$5:$M$75,9,FALSE)</f>
        <v>9.1127136797747921E-2</v>
      </c>
      <c r="F46" s="3">
        <f>VLOOKUP($A46,'Data(2013)b'!$A$9:$T$302,18,FALSE)</f>
        <v>4.9768165107682534E-3</v>
      </c>
      <c r="G46" s="3">
        <f>VLOOKUP($A46,'Data(2013)b'!$A$9:$T$302,19,FALSE)</f>
        <v>5.2448750208124563E-3</v>
      </c>
      <c r="H46" s="15">
        <f>VLOOKUP($A46,'Data(2013)b'!$A$9:$T$302,20,FALSE)</f>
        <v>2.8417158479224019E-3</v>
      </c>
      <c r="I46" s="3">
        <v>0</v>
      </c>
      <c r="J46" s="3">
        <v>0</v>
      </c>
      <c r="K46" s="3">
        <v>0</v>
      </c>
      <c r="M46" s="3">
        <f t="shared" si="59"/>
        <v>4.9768165107682534E-3</v>
      </c>
      <c r="N46" s="3">
        <f t="shared" si="60"/>
        <v>2.8417158479224019E-3</v>
      </c>
      <c r="O46">
        <f t="shared" si="61"/>
        <v>1.6578916996768757E-2</v>
      </c>
      <c r="P46" s="26">
        <f t="shared" si="62"/>
        <v>6.768272988495843E-3</v>
      </c>
      <c r="Q46" s="26">
        <f t="shared" si="63"/>
        <v>0</v>
      </c>
      <c r="R46" s="3">
        <f t="shared" si="64"/>
        <v>0</v>
      </c>
      <c r="S46" s="3">
        <f t="shared" si="65"/>
        <v>1.8497460198971586E-2</v>
      </c>
      <c r="T46" s="3">
        <f t="shared" si="66"/>
        <v>4.0613834553523805E-2</v>
      </c>
      <c r="U46" s="3">
        <f t="shared" si="67"/>
        <v>4.8426786498055818E-2</v>
      </c>
      <c r="V46" s="1">
        <f t="shared" si="68"/>
        <v>5.2448750208124563E-3</v>
      </c>
      <c r="W46" s="1">
        <f t="shared" si="68"/>
        <v>2.8417158479224019E-3</v>
      </c>
      <c r="X46" s="15">
        <f t="shared" si="69"/>
        <v>9.8744979504769414E-3</v>
      </c>
      <c r="Y46" s="3">
        <f t="shared" si="70"/>
        <v>1.3669070519662188E-3</v>
      </c>
      <c r="Z46" s="3">
        <f t="shared" si="71"/>
        <v>0</v>
      </c>
      <c r="AA46">
        <f t="shared" si="72"/>
        <v>0</v>
      </c>
      <c r="AB46">
        <f t="shared" si="73"/>
        <v>0</v>
      </c>
      <c r="AC46">
        <f t="shared" si="74"/>
        <v>3.7357105471979217E-3</v>
      </c>
      <c r="AD46" s="3">
        <f t="shared" si="75"/>
        <v>2.6623596373976256E-2</v>
      </c>
      <c r="AE46" s="3">
        <f t="shared" si="76"/>
        <v>2.9287021439262331E-2</v>
      </c>
      <c r="AF46" s="2">
        <v>20</v>
      </c>
      <c r="AG46" s="20">
        <v>4</v>
      </c>
      <c r="AH46">
        <f t="shared" si="77"/>
        <v>7</v>
      </c>
      <c r="AI46">
        <f t="shared" si="78"/>
        <v>10</v>
      </c>
      <c r="AJ46">
        <f t="shared" si="79"/>
        <v>5</v>
      </c>
      <c r="AK46">
        <f t="shared" si="80"/>
        <v>5</v>
      </c>
      <c r="AL46">
        <f t="shared" si="81"/>
        <v>5</v>
      </c>
      <c r="AM46" s="2">
        <f t="shared" si="82"/>
        <v>31.349796647148832</v>
      </c>
      <c r="AN46" s="2">
        <f t="shared" si="83"/>
        <v>45.358014075943579</v>
      </c>
      <c r="AO46">
        <v>20</v>
      </c>
      <c r="AP46">
        <v>4</v>
      </c>
      <c r="AQ46">
        <f t="shared" si="84"/>
        <v>7</v>
      </c>
      <c r="AR46">
        <f t="shared" si="85"/>
        <v>10</v>
      </c>
      <c r="AS46">
        <f t="shared" si="86"/>
        <v>5</v>
      </c>
      <c r="AT46">
        <f t="shared" si="87"/>
        <v>5</v>
      </c>
      <c r="AU46">
        <f t="shared" si="88"/>
        <v>5</v>
      </c>
      <c r="AV46">
        <f t="shared" si="89"/>
        <v>5</v>
      </c>
      <c r="AW46" s="2">
        <f t="shared" si="90"/>
        <v>14.686206121065904</v>
      </c>
      <c r="AX46" s="2">
        <f t="shared" si="91"/>
        <v>20.629825626288952</v>
      </c>
    </row>
    <row r="47" spans="1:50" x14ac:dyDescent="0.2">
      <c r="A47">
        <v>180</v>
      </c>
      <c r="B47">
        <v>180</v>
      </c>
      <c r="C47" s="20">
        <f>VLOOKUP($A47,'Data(2013)b'!$A$9:$T$302,14,FALSE)</f>
        <v>5.0156125952000004</v>
      </c>
      <c r="D47" s="6">
        <f>VLOOKUP($B47,summary!$A$5:$M$75,8,FALSE)</f>
        <v>0.47859715367101707</v>
      </c>
      <c r="E47" s="6">
        <f>VLOOKUP($B47,summary!$A$5:$M$75,9,FALSE)</f>
        <v>0.11175136033072258</v>
      </c>
      <c r="F47" s="3">
        <f>VLOOKUP($A47,'Data(2013)b'!$A$9:$T$302,18,FALSE)</f>
        <v>4.3067222663213389E-3</v>
      </c>
      <c r="G47" s="3">
        <f>VLOOKUP($A47,'Data(2013)b'!$A$9:$T$302,19,FALSE)</f>
        <v>7.6441390229110328E-3</v>
      </c>
      <c r="H47" s="15">
        <f>VLOOKUP($A47,'Data(2013)b'!$A$9:$T$302,20,FALSE)</f>
        <v>1.0934265536066475E-3</v>
      </c>
      <c r="I47" s="3">
        <v>0</v>
      </c>
      <c r="J47" s="3">
        <v>0</v>
      </c>
      <c r="K47" s="3">
        <v>0</v>
      </c>
      <c r="M47" s="3">
        <f>F47</f>
        <v>4.3067222663213389E-3</v>
      </c>
      <c r="N47" s="3">
        <f>H47</f>
        <v>1.0934265536066475E-3</v>
      </c>
      <c r="O47">
        <f t="shared" si="61"/>
        <v>1.6578916996768757E-2</v>
      </c>
      <c r="P47" s="26">
        <f>SR830_std*D47</f>
        <v>7.1789573050652557E-3</v>
      </c>
      <c r="Q47" s="26">
        <f t="shared" si="63"/>
        <v>0</v>
      </c>
      <c r="R47" s="3">
        <f>S_P_std*I47</f>
        <v>0</v>
      </c>
      <c r="S47" s="3">
        <f>Burden1_std*D47</f>
        <v>1.9619846487615184E-2</v>
      </c>
      <c r="T47" s="3">
        <f>U36</f>
        <v>5.5452028588289702E-2</v>
      </c>
      <c r="U47" s="3">
        <f>SQRT(SUMSQ(M47:T47))</f>
        <v>6.1692845661674114E-2</v>
      </c>
      <c r="V47" s="1">
        <f>G47</f>
        <v>7.6441390229110328E-3</v>
      </c>
      <c r="W47" s="1">
        <f>H47</f>
        <v>1.0934265536066475E-3</v>
      </c>
      <c r="X47" s="15">
        <f t="shared" si="69"/>
        <v>9.8744979504769414E-3</v>
      </c>
      <c r="Y47" s="3">
        <f>E47*SR830_std</f>
        <v>1.6762704049608386E-3</v>
      </c>
      <c r="Z47" s="3">
        <f t="shared" si="71"/>
        <v>0</v>
      </c>
      <c r="AA47">
        <f>J47*S_P_std*J47</f>
        <v>0</v>
      </c>
      <c r="AB47">
        <f>SPelect_std*K47</f>
        <v>0</v>
      </c>
      <c r="AC47">
        <f>E47*Burden1_std</f>
        <v>4.581190083671245E-3</v>
      </c>
      <c r="AD47" s="3">
        <f t="shared" si="75"/>
        <v>4.5146019218021E-2</v>
      </c>
      <c r="AE47" s="3">
        <f>SQRT(SUMSQ(V47:AD47))</f>
        <v>4.7107264716717459E-2</v>
      </c>
      <c r="AF47" s="2">
        <v>20</v>
      </c>
      <c r="AG47" s="20">
        <v>4</v>
      </c>
      <c r="AH47">
        <f t="shared" si="77"/>
        <v>7</v>
      </c>
      <c r="AI47">
        <f t="shared" si="78"/>
        <v>10</v>
      </c>
      <c r="AJ47">
        <f t="shared" si="79"/>
        <v>5</v>
      </c>
      <c r="AK47">
        <f t="shared" si="80"/>
        <v>5</v>
      </c>
      <c r="AL47">
        <f t="shared" si="81"/>
        <v>5</v>
      </c>
      <c r="AM47" s="2">
        <f>AN36</f>
        <v>16.457472532517304</v>
      </c>
      <c r="AN47" s="2">
        <f>Dof_A(M47:T47,AF47:AM47)</f>
        <v>23.545039817734846</v>
      </c>
      <c r="AO47">
        <v>20</v>
      </c>
      <c r="AP47">
        <v>4</v>
      </c>
      <c r="AQ47">
        <f t="shared" si="84"/>
        <v>7</v>
      </c>
      <c r="AR47">
        <f t="shared" si="85"/>
        <v>10</v>
      </c>
      <c r="AS47">
        <f t="shared" si="86"/>
        <v>5</v>
      </c>
      <c r="AT47">
        <f t="shared" si="87"/>
        <v>5</v>
      </c>
      <c r="AU47">
        <f t="shared" si="88"/>
        <v>5</v>
      </c>
      <c r="AV47">
        <f t="shared" si="89"/>
        <v>5</v>
      </c>
      <c r="AW47" s="2">
        <f>AX36</f>
        <v>8.0905784941357251</v>
      </c>
      <c r="AX47" s="2">
        <f>Dof_A(V47:AD47,AO47:AW47)</f>
        <v>9.56063496664094</v>
      </c>
    </row>
    <row r="49" spans="1:50" x14ac:dyDescent="0.2">
      <c r="B49" s="5" t="s">
        <v>225</v>
      </c>
      <c r="G49" s="5" t="s">
        <v>313</v>
      </c>
      <c r="M49" s="29" t="s">
        <v>257</v>
      </c>
      <c r="N49" s="29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28" t="s">
        <v>258</v>
      </c>
      <c r="AG49" s="28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</row>
    <row r="50" spans="1:50" x14ac:dyDescent="0.2">
      <c r="B50" s="5"/>
      <c r="D50" t="s">
        <v>215</v>
      </c>
      <c r="E50" t="s">
        <v>215</v>
      </c>
      <c r="F50" t="s">
        <v>216</v>
      </c>
      <c r="G50" t="s">
        <v>217</v>
      </c>
      <c r="H50" t="s">
        <v>14</v>
      </c>
      <c r="I50" t="s">
        <v>286</v>
      </c>
      <c r="M50" s="30" t="s">
        <v>300</v>
      </c>
      <c r="N50" s="30" t="s">
        <v>5</v>
      </c>
      <c r="O50" s="30" t="s">
        <v>5</v>
      </c>
      <c r="P50" s="30" t="s">
        <v>5</v>
      </c>
      <c r="Q50" s="30" t="s">
        <v>5</v>
      </c>
      <c r="R50" s="31" t="s">
        <v>5</v>
      </c>
      <c r="S50" s="30" t="s">
        <v>5</v>
      </c>
      <c r="T50" s="30" t="s">
        <v>5</v>
      </c>
      <c r="U50" s="29" t="s">
        <v>5</v>
      </c>
      <c r="V50" s="30" t="s">
        <v>309</v>
      </c>
      <c r="W50" s="30" t="s">
        <v>6</v>
      </c>
      <c r="X50" s="30" t="s">
        <v>6</v>
      </c>
      <c r="Y50" s="30" t="s">
        <v>6</v>
      </c>
      <c r="Z50" s="30"/>
      <c r="AA50" s="31" t="s">
        <v>6</v>
      </c>
      <c r="AB50" s="31" t="s">
        <v>6</v>
      </c>
      <c r="AC50" s="30" t="s">
        <v>6</v>
      </c>
      <c r="AD50" s="30" t="s">
        <v>6</v>
      </c>
      <c r="AE50" s="29" t="s">
        <v>6</v>
      </c>
      <c r="AF50" s="27" t="s">
        <v>300</v>
      </c>
      <c r="AG50" s="27" t="s">
        <v>5</v>
      </c>
      <c r="AH50" s="27" t="s">
        <v>5</v>
      </c>
      <c r="AI50" s="27" t="s">
        <v>5</v>
      </c>
      <c r="AJ50" s="27"/>
      <c r="AK50" s="32" t="s">
        <v>5</v>
      </c>
      <c r="AL50" s="27" t="s">
        <v>5</v>
      </c>
      <c r="AM50" s="27" t="s">
        <v>5</v>
      </c>
      <c r="AN50" s="28" t="s">
        <v>5</v>
      </c>
      <c r="AO50" s="27" t="s">
        <v>309</v>
      </c>
      <c r="AP50" s="27" t="s">
        <v>6</v>
      </c>
      <c r="AQ50" s="27" t="s">
        <v>6</v>
      </c>
      <c r="AR50" s="27" t="s">
        <v>6</v>
      </c>
      <c r="AS50" s="27"/>
      <c r="AT50" s="32" t="s">
        <v>6</v>
      </c>
      <c r="AU50" s="32" t="s">
        <v>6</v>
      </c>
      <c r="AV50" s="27" t="s">
        <v>6</v>
      </c>
      <c r="AW50" s="27" t="s">
        <v>6</v>
      </c>
      <c r="AX50" s="28" t="s">
        <v>6</v>
      </c>
    </row>
    <row r="51" spans="1:50" x14ac:dyDescent="0.2">
      <c r="B51" s="5"/>
      <c r="C51" t="s">
        <v>4</v>
      </c>
      <c r="D51" t="s">
        <v>0</v>
      </c>
      <c r="E51" t="s">
        <v>1</v>
      </c>
      <c r="F51" t="s">
        <v>206</v>
      </c>
      <c r="G51" t="s">
        <v>206</v>
      </c>
      <c r="H51" t="s">
        <v>219</v>
      </c>
      <c r="I51" t="s">
        <v>287</v>
      </c>
      <c r="J51" t="s">
        <v>299</v>
      </c>
      <c r="K51" t="s">
        <v>298</v>
      </c>
      <c r="M51" s="30" t="s">
        <v>301</v>
      </c>
      <c r="N51" s="30" t="s">
        <v>14</v>
      </c>
      <c r="O51" s="30" t="s">
        <v>220</v>
      </c>
      <c r="P51" s="30" t="s">
        <v>218</v>
      </c>
      <c r="Q51" s="30" t="s">
        <v>364</v>
      </c>
      <c r="R51" s="30" t="s">
        <v>305</v>
      </c>
      <c r="S51" s="30" t="s">
        <v>307</v>
      </c>
      <c r="T51" s="30" t="s">
        <v>308</v>
      </c>
      <c r="U51" s="29" t="s">
        <v>221</v>
      </c>
      <c r="V51" s="30" t="s">
        <v>301</v>
      </c>
      <c r="W51" s="30" t="s">
        <v>14</v>
      </c>
      <c r="X51" s="30" t="s">
        <v>220</v>
      </c>
      <c r="Y51" s="30" t="s">
        <v>218</v>
      </c>
      <c r="Z51" s="30"/>
      <c r="AA51" s="30" t="s">
        <v>305</v>
      </c>
      <c r="AB51" s="30" t="s">
        <v>306</v>
      </c>
      <c r="AC51" s="30" t="s">
        <v>307</v>
      </c>
      <c r="AD51" s="30" t="s">
        <v>308</v>
      </c>
      <c r="AE51" s="29" t="s">
        <v>221</v>
      </c>
      <c r="AF51" s="27" t="s">
        <v>301</v>
      </c>
      <c r="AG51" s="27" t="s">
        <v>14</v>
      </c>
      <c r="AH51" s="27" t="s">
        <v>220</v>
      </c>
      <c r="AI51" s="27" t="s">
        <v>218</v>
      </c>
      <c r="AJ51" s="27"/>
      <c r="AK51" s="27" t="s">
        <v>305</v>
      </c>
      <c r="AL51" s="27" t="s">
        <v>307</v>
      </c>
      <c r="AM51" s="27" t="s">
        <v>308</v>
      </c>
      <c r="AN51" s="28" t="s">
        <v>256</v>
      </c>
      <c r="AO51" s="27" t="s">
        <v>301</v>
      </c>
      <c r="AP51" s="27" t="s">
        <v>14</v>
      </c>
      <c r="AQ51" s="27" t="s">
        <v>220</v>
      </c>
      <c r="AR51" s="27" t="s">
        <v>218</v>
      </c>
      <c r="AS51" s="27"/>
      <c r="AT51" s="27" t="s">
        <v>305</v>
      </c>
      <c r="AU51" s="27" t="s">
        <v>306</v>
      </c>
      <c r="AV51" s="27" t="s">
        <v>307</v>
      </c>
      <c r="AW51" s="27" t="s">
        <v>308</v>
      </c>
      <c r="AX51" s="28" t="s">
        <v>256</v>
      </c>
    </row>
    <row r="52" spans="1:50" x14ac:dyDescent="0.2">
      <c r="A52">
        <v>208</v>
      </c>
      <c r="B52">
        <v>208</v>
      </c>
      <c r="C52" s="20">
        <f>VLOOKUP($A52,'Data(2013)b'!$A$9:$T$302,14,FALSE)</f>
        <v>119.66667364000001</v>
      </c>
      <c r="D52" s="6">
        <f>VLOOKUP($B52,summary!$A$5:$M$75,8,FALSE)</f>
        <v>-0.10273283205552934</v>
      </c>
      <c r="E52" s="6">
        <f>VLOOKUP($B52,summary!$A$5:$M$75,9,FALSE)</f>
        <v>2.6678024887283512E-2</v>
      </c>
      <c r="F52" s="3">
        <f>VLOOKUP($A52,'Data(2013)b'!$A$9:$T$302,18,FALSE)</f>
        <v>3.185893424193118E-4</v>
      </c>
      <c r="G52" s="3">
        <f>VLOOKUP($A52,'Data(2013)b'!$A$9:$T$302,19,FALSE)</f>
        <v>8.4137123458574649E-4</v>
      </c>
      <c r="H52" s="15">
        <f>VLOOKUP($A52,'Data(2013)b'!$A$9:$T$302,20,FALSE)</f>
        <v>7.5219196743184322E-4</v>
      </c>
      <c r="I52" s="3">
        <f>'Data(2013)'!$U$142</f>
        <v>3.9673108367433534E-3</v>
      </c>
      <c r="J52" s="3">
        <f>'Data(2013)'!$V$142</f>
        <v>2.4485463460984262E-3</v>
      </c>
      <c r="K52" s="3">
        <v>-2.4067342774983666E-2</v>
      </c>
      <c r="M52" s="3">
        <f t="shared" ref="M52:M58" si="92">F52</f>
        <v>3.185893424193118E-4</v>
      </c>
      <c r="N52" s="3">
        <f t="shared" ref="N52:N58" si="93">H52</f>
        <v>7.5219196743184322E-4</v>
      </c>
      <c r="O52">
        <f t="shared" ref="O52:O58" si="94">X_stability_std</f>
        <v>1.6578916996768757E-2</v>
      </c>
      <c r="P52" s="26">
        <f t="shared" ref="P52:P58" si="95">SR830_std*D52</f>
        <v>-1.54099248083294E-3</v>
      </c>
      <c r="Q52" s="26">
        <f t="shared" ref="Q52:Q58" si="96">Q41</f>
        <v>0</v>
      </c>
      <c r="R52" s="3">
        <f t="shared" ref="R52:R58" si="97">S_P_std*I52</f>
        <v>1.9836554183716767E-3</v>
      </c>
      <c r="S52" s="3">
        <f t="shared" ref="S52:S58" si="98">Burden1_std*D52</f>
        <v>-4.2114801116283759E-3</v>
      </c>
      <c r="T52" s="3">
        <f>U30</f>
        <v>2.5852230269718425E-2</v>
      </c>
      <c r="U52" s="3">
        <f t="shared" ref="U52:U58" si="99">SQRT(SUMSQ(M52:T52))</f>
        <v>3.1111279337319542E-2</v>
      </c>
      <c r="V52" s="1">
        <f t="shared" ref="V52:V58" si="100">G52</f>
        <v>8.4137123458574649E-4</v>
      </c>
      <c r="W52" s="1">
        <f t="shared" ref="W52:W58" si="101">H52</f>
        <v>7.5219196743184322E-4</v>
      </c>
      <c r="X52" s="15">
        <f t="shared" ref="X52:X58" si="102">Y_stability_std</f>
        <v>9.8744979504769414E-3</v>
      </c>
      <c r="Y52" s="3">
        <f t="shared" ref="Y52:Y58" si="103">E52*SR830_std</f>
        <v>4.0017037330925269E-4</v>
      </c>
      <c r="Z52" s="3">
        <f t="shared" ref="Z52:Z58" si="104">Z41</f>
        <v>0</v>
      </c>
      <c r="AA52">
        <f t="shared" ref="AA52:AA58" si="105">J52*S_P_std*J52</f>
        <v>2.9976896044959769E-6</v>
      </c>
      <c r="AB52">
        <f t="shared" ref="AB52:AB58" si="106">SPelect_std*K52</f>
        <v>-4.8134685549967339E-3</v>
      </c>
      <c r="AC52">
        <f t="shared" ref="AC52:AC58" si="107">E52*Burden1_std</f>
        <v>1.093652038810646E-3</v>
      </c>
      <c r="AD52" s="3">
        <f>AE30</f>
        <v>1.7940091386283434E-2</v>
      </c>
      <c r="AE52" s="3">
        <f t="shared" ref="AE52:AE58" si="108">SQRT(SUMSQ(V52:AD52))</f>
        <v>2.1098625231473878E-2</v>
      </c>
      <c r="AF52" s="2">
        <v>20</v>
      </c>
      <c r="AG52" s="20">
        <v>4</v>
      </c>
      <c r="AH52">
        <f t="shared" ref="AH52:AH58" si="109">X_stability_dfm</f>
        <v>7</v>
      </c>
      <c r="AI52">
        <f t="shared" ref="AI52:AI58" si="110">SR830_dfm</f>
        <v>10</v>
      </c>
      <c r="AJ52">
        <f t="shared" ref="AJ52:AJ58" si="111">AJ41</f>
        <v>5</v>
      </c>
      <c r="AK52">
        <f t="shared" ref="AK52:AK58" si="112">S_P_dfm</f>
        <v>5</v>
      </c>
      <c r="AL52">
        <f t="shared" ref="AL52:AL58" si="113">Burden1_dfm</f>
        <v>5</v>
      </c>
      <c r="AM52" s="2">
        <f t="shared" ref="AM52:AM58" si="114">AN41</f>
        <v>29.953674677647413</v>
      </c>
      <c r="AN52" s="2">
        <f t="shared" ref="AN52:AN58" si="115">Dof_A(M52:T52,AF52:AM52)</f>
        <v>36.35232057130461</v>
      </c>
      <c r="AO52">
        <v>20</v>
      </c>
      <c r="AP52">
        <v>4</v>
      </c>
      <c r="AQ52">
        <f t="shared" ref="AQ52:AQ58" si="116">Y_stability_dfm</f>
        <v>7</v>
      </c>
      <c r="AR52">
        <f t="shared" ref="AR52:AR58" si="117">SR830_dfm</f>
        <v>10</v>
      </c>
      <c r="AS52">
        <f t="shared" ref="AS52:AS58" si="118">AS41</f>
        <v>5</v>
      </c>
      <c r="AT52">
        <f t="shared" ref="AT52:AT58" si="119">S_P_dfm</f>
        <v>5</v>
      </c>
      <c r="AU52">
        <f t="shared" ref="AU52:AU58" si="120">SPelect_dfm</f>
        <v>5</v>
      </c>
      <c r="AV52">
        <f t="shared" ref="AV52:AV58" si="121">Burden1_dfm</f>
        <v>5</v>
      </c>
      <c r="AW52" s="2">
        <f t="shared" ref="AW52:AW58" si="122">AX41</f>
        <v>38.718665940303978</v>
      </c>
      <c r="AX52" s="2">
        <f t="shared" ref="AX52:AX58" si="123">Dof_A(V52:AD52,AO52:AW52)</f>
        <v>47.849908799646968</v>
      </c>
    </row>
    <row r="53" spans="1:50" x14ac:dyDescent="0.2">
      <c r="A53">
        <v>209</v>
      </c>
      <c r="B53">
        <v>209</v>
      </c>
      <c r="C53" s="20">
        <f>VLOOKUP($A53,'Data(2013)b'!$A$9:$T$302,14,FALSE)</f>
        <v>100.02898456</v>
      </c>
      <c r="D53" s="6">
        <f>VLOOKUP($B53,summary!$A$5:$M$75,8,FALSE)</f>
        <v>-8.2498579719605572E-2</v>
      </c>
      <c r="E53" s="6">
        <f>VLOOKUP($B53,summary!$A$5:$M$75,9,FALSE)</f>
        <v>1.6971980492755709E-2</v>
      </c>
      <c r="F53" s="3">
        <f>VLOOKUP($A53,'Data(2013)b'!$A$9:$T$302,18,FALSE)</f>
        <v>1.6639274735453396E-3</v>
      </c>
      <c r="G53" s="3">
        <f>VLOOKUP($A53,'Data(2013)b'!$A$9:$T$302,19,FALSE)</f>
        <v>1.4005015338265089E-4</v>
      </c>
      <c r="H53" s="15">
        <f>VLOOKUP($A53,'Data(2013)b'!$A$9:$T$302,20,FALSE)</f>
        <v>1.868447812520921E-4</v>
      </c>
      <c r="I53" s="3">
        <f>'Data(2013)'!$U$142</f>
        <v>3.9673108367433534E-3</v>
      </c>
      <c r="J53" s="3">
        <f>'Data(2013)'!$V$142</f>
        <v>2.4485463460984262E-3</v>
      </c>
      <c r="K53" s="3">
        <v>-2.4067342774983666E-2</v>
      </c>
      <c r="M53" s="3">
        <f t="shared" si="92"/>
        <v>1.6639274735453396E-3</v>
      </c>
      <c r="N53" s="3">
        <f t="shared" si="93"/>
        <v>1.868447812520921E-4</v>
      </c>
      <c r="O53">
        <f t="shared" si="94"/>
        <v>1.6578916996768757E-2</v>
      </c>
      <c r="P53" s="26">
        <f t="shared" si="95"/>
        <v>-1.2374786957940836E-3</v>
      </c>
      <c r="Q53" s="26">
        <f t="shared" si="96"/>
        <v>0</v>
      </c>
      <c r="R53" s="3">
        <f t="shared" si="97"/>
        <v>1.9836554183716767E-3</v>
      </c>
      <c r="S53" s="3">
        <f t="shared" si="98"/>
        <v>-3.3819872457025949E-3</v>
      </c>
      <c r="T53" s="3">
        <f t="shared" ref="T53:T58" si="124">U31</f>
        <v>2.6279044994077291E-2</v>
      </c>
      <c r="U53" s="3">
        <f t="shared" si="99"/>
        <v>3.1387200261690458E-2</v>
      </c>
      <c r="V53" s="1">
        <f t="shared" si="100"/>
        <v>1.4005015338265089E-4</v>
      </c>
      <c r="W53" s="1">
        <f t="shared" si="101"/>
        <v>1.868447812520921E-4</v>
      </c>
      <c r="X53" s="15">
        <f t="shared" si="102"/>
        <v>9.8744979504769414E-3</v>
      </c>
      <c r="Y53" s="3">
        <f t="shared" si="103"/>
        <v>2.5457970739133562E-4</v>
      </c>
      <c r="Z53" s="3">
        <f t="shared" si="104"/>
        <v>0</v>
      </c>
      <c r="AA53">
        <f t="shared" si="105"/>
        <v>2.9976896044959769E-6</v>
      </c>
      <c r="AB53">
        <f t="shared" si="106"/>
        <v>-4.8134685549967339E-3</v>
      </c>
      <c r="AC53">
        <f t="shared" si="107"/>
        <v>6.9575769371908746E-4</v>
      </c>
      <c r="AD53" s="3">
        <f t="shared" ref="AD53:AD58" si="125">AE31</f>
        <v>1.7827168476466308E-2</v>
      </c>
      <c r="AE53" s="3">
        <f t="shared" si="108"/>
        <v>2.0954392112201708E-2</v>
      </c>
      <c r="AF53" s="2">
        <v>20</v>
      </c>
      <c r="AG53" s="20">
        <v>4</v>
      </c>
      <c r="AH53">
        <f t="shared" si="109"/>
        <v>7</v>
      </c>
      <c r="AI53">
        <f t="shared" si="110"/>
        <v>10</v>
      </c>
      <c r="AJ53">
        <f t="shared" si="111"/>
        <v>5</v>
      </c>
      <c r="AK53">
        <f t="shared" si="112"/>
        <v>5</v>
      </c>
      <c r="AL53">
        <f t="shared" si="113"/>
        <v>5</v>
      </c>
      <c r="AM53" s="2">
        <f t="shared" si="114"/>
        <v>31.342729486692544</v>
      </c>
      <c r="AN53" s="2">
        <f t="shared" si="115"/>
        <v>37.272961189070656</v>
      </c>
      <c r="AO53">
        <v>20</v>
      </c>
      <c r="AP53">
        <v>4</v>
      </c>
      <c r="AQ53">
        <f t="shared" si="116"/>
        <v>7</v>
      </c>
      <c r="AR53">
        <f t="shared" si="117"/>
        <v>10</v>
      </c>
      <c r="AS53">
        <f t="shared" si="118"/>
        <v>5</v>
      </c>
      <c r="AT53">
        <f t="shared" si="119"/>
        <v>5</v>
      </c>
      <c r="AU53">
        <f t="shared" si="120"/>
        <v>5</v>
      </c>
      <c r="AV53">
        <f t="shared" si="121"/>
        <v>5</v>
      </c>
      <c r="AW53" s="2">
        <f t="shared" si="122"/>
        <v>38.161861158651725</v>
      </c>
      <c r="AX53" s="2">
        <f t="shared" si="123"/>
        <v>46.883257884052441</v>
      </c>
    </row>
    <row r="54" spans="1:50" x14ac:dyDescent="0.2">
      <c r="A54">
        <v>210</v>
      </c>
      <c r="B54">
        <v>210</v>
      </c>
      <c r="C54" s="20">
        <f>VLOOKUP($A54,'Data(2013)b'!$A$9:$T$302,14,FALSE)</f>
        <v>60.015608854</v>
      </c>
      <c r="D54" s="6">
        <f>VLOOKUP($B54,summary!$A$5:$M$75,8,FALSE)</f>
        <v>-5.4520588644240149E-2</v>
      </c>
      <c r="E54" s="6">
        <f>VLOOKUP($B54,summary!$A$5:$M$75,9,FALSE)</f>
        <v>4.9589713461817555E-3</v>
      </c>
      <c r="F54" s="3">
        <f>VLOOKUP($A54,'Data(2013)b'!$A$9:$T$302,18,FALSE)</f>
        <v>1.4944145037258175E-3</v>
      </c>
      <c r="G54" s="3">
        <f>VLOOKUP($A54,'Data(2013)b'!$A$9:$T$302,19,FALSE)</f>
        <v>4.8725242240854134E-4</v>
      </c>
      <c r="H54" s="15">
        <f>VLOOKUP($A54,'Data(2013)b'!$A$9:$T$302,20,FALSE)</f>
        <v>2.7399790774620139E-4</v>
      </c>
      <c r="I54" s="3">
        <f>'Data(2013)'!$U$142</f>
        <v>3.9673108367433534E-3</v>
      </c>
      <c r="J54" s="3">
        <f>'Data(2013)'!$V$142</f>
        <v>2.4485463460984262E-3</v>
      </c>
      <c r="K54" s="3">
        <v>-2.4067342774983666E-2</v>
      </c>
      <c r="M54" s="3">
        <f t="shared" si="92"/>
        <v>1.4944145037258175E-3</v>
      </c>
      <c r="N54" s="3">
        <f t="shared" si="93"/>
        <v>2.7399790774620139E-4</v>
      </c>
      <c r="O54">
        <f t="shared" si="94"/>
        <v>1.6578916996768757E-2</v>
      </c>
      <c r="P54" s="26">
        <f t="shared" si="95"/>
        <v>-8.178088296636022E-4</v>
      </c>
      <c r="Q54" s="26">
        <f t="shared" si="96"/>
        <v>0</v>
      </c>
      <c r="R54" s="3">
        <f t="shared" si="97"/>
        <v>1.9836554183716767E-3</v>
      </c>
      <c r="S54" s="3">
        <f t="shared" si="98"/>
        <v>-2.235043755295082E-3</v>
      </c>
      <c r="T54" s="3">
        <f t="shared" si="124"/>
        <v>2.8357630696622595E-2</v>
      </c>
      <c r="U54" s="3">
        <f t="shared" si="99"/>
        <v>3.3029126203443074E-2</v>
      </c>
      <c r="V54" s="1">
        <f t="shared" si="100"/>
        <v>4.8725242240854134E-4</v>
      </c>
      <c r="W54" s="1">
        <f t="shared" si="101"/>
        <v>2.7399790774620139E-4</v>
      </c>
      <c r="X54" s="15">
        <f t="shared" si="102"/>
        <v>9.8744979504769414E-3</v>
      </c>
      <c r="Y54" s="3">
        <f t="shared" si="103"/>
        <v>7.4384570192726325E-5</v>
      </c>
      <c r="Z54" s="3">
        <f t="shared" si="104"/>
        <v>0</v>
      </c>
      <c r="AA54">
        <f t="shared" si="105"/>
        <v>2.9976896044959769E-6</v>
      </c>
      <c r="AB54">
        <f t="shared" si="106"/>
        <v>-4.8134685549967339E-3</v>
      </c>
      <c r="AC54">
        <f t="shared" si="107"/>
        <v>2.0329050392858702E-4</v>
      </c>
      <c r="AD54" s="3">
        <f t="shared" si="125"/>
        <v>1.7624361396986383E-2</v>
      </c>
      <c r="AE54" s="3">
        <f t="shared" si="108"/>
        <v>2.0776252376487562E-2</v>
      </c>
      <c r="AF54" s="2">
        <v>20</v>
      </c>
      <c r="AG54" s="20">
        <v>4</v>
      </c>
      <c r="AH54">
        <f t="shared" si="109"/>
        <v>7</v>
      </c>
      <c r="AI54">
        <f t="shared" si="110"/>
        <v>10</v>
      </c>
      <c r="AJ54">
        <f t="shared" si="111"/>
        <v>5</v>
      </c>
      <c r="AK54">
        <f t="shared" si="112"/>
        <v>5</v>
      </c>
      <c r="AL54">
        <f t="shared" si="113"/>
        <v>5</v>
      </c>
      <c r="AM54" s="2">
        <f t="shared" si="114"/>
        <v>36.624668872077386</v>
      </c>
      <c r="AN54" s="2">
        <f t="shared" si="115"/>
        <v>41.820648583069193</v>
      </c>
      <c r="AO54">
        <v>20</v>
      </c>
      <c r="AP54">
        <v>4</v>
      </c>
      <c r="AQ54">
        <f t="shared" si="116"/>
        <v>7</v>
      </c>
      <c r="AR54">
        <f t="shared" si="117"/>
        <v>10</v>
      </c>
      <c r="AS54">
        <f t="shared" si="118"/>
        <v>5</v>
      </c>
      <c r="AT54">
        <f t="shared" si="119"/>
        <v>5</v>
      </c>
      <c r="AU54">
        <f t="shared" si="120"/>
        <v>5</v>
      </c>
      <c r="AV54">
        <f t="shared" si="121"/>
        <v>5</v>
      </c>
      <c r="AW54" s="2">
        <f t="shared" si="122"/>
        <v>37.346681397484296</v>
      </c>
      <c r="AX54" s="2">
        <f t="shared" si="123"/>
        <v>46.017030756028987</v>
      </c>
    </row>
    <row r="55" spans="1:50" x14ac:dyDescent="0.2">
      <c r="A55">
        <v>211</v>
      </c>
      <c r="B55">
        <v>211</v>
      </c>
      <c r="C55" s="20">
        <f>VLOOKUP($A55,'Data(2013)b'!$A$9:$T$302,14,FALSE)</f>
        <v>39.986475329999998</v>
      </c>
      <c r="D55" s="6">
        <f>VLOOKUP($B55,summary!$A$5:$M$75,8,FALSE)</f>
        <v>-3.330705314182917E-2</v>
      </c>
      <c r="E55" s="6">
        <f>VLOOKUP($B55,summary!$A$5:$M$75,9,FALSE)</f>
        <v>6.9880834743435071E-3</v>
      </c>
      <c r="F55" s="3">
        <f>VLOOKUP($A55,'Data(2013)b'!$A$9:$T$302,18,FALSE)</f>
        <v>4.380092920236469E-3</v>
      </c>
      <c r="G55" s="3">
        <f>VLOOKUP($A55,'Data(2013)b'!$A$9:$T$302,19,FALSE)</f>
        <v>1.2302684186371021E-4</v>
      </c>
      <c r="H55" s="15">
        <f>VLOOKUP($A55,'Data(2013)b'!$A$9:$T$302,20,FALSE)</f>
        <v>2.4026546980790794E-4</v>
      </c>
      <c r="I55" s="3">
        <f>'Data(2013)'!$U$142</f>
        <v>3.9673108367433534E-3</v>
      </c>
      <c r="J55" s="3">
        <f>'Data(2013)'!$V$142</f>
        <v>2.4485463460984262E-3</v>
      </c>
      <c r="K55" s="3">
        <v>-2.4067342774983666E-2</v>
      </c>
      <c r="M55" s="3">
        <f t="shared" si="92"/>
        <v>4.380092920236469E-3</v>
      </c>
      <c r="N55" s="3">
        <f t="shared" si="93"/>
        <v>2.4026546980790794E-4</v>
      </c>
      <c r="O55">
        <f t="shared" si="94"/>
        <v>1.6578916996768757E-2</v>
      </c>
      <c r="P55" s="26">
        <f t="shared" si="95"/>
        <v>-4.9960579712743749E-4</v>
      </c>
      <c r="Q55" s="26">
        <f t="shared" si="96"/>
        <v>0</v>
      </c>
      <c r="R55" s="3">
        <f t="shared" si="97"/>
        <v>1.9836554183716767E-3</v>
      </c>
      <c r="S55" s="3">
        <f t="shared" si="98"/>
        <v>-1.3654056748668515E-3</v>
      </c>
      <c r="T55" s="3">
        <f t="shared" si="124"/>
        <v>3.0138025584073538E-2</v>
      </c>
      <c r="U55" s="3">
        <f t="shared" si="99"/>
        <v>3.4762808341764109E-2</v>
      </c>
      <c r="V55" s="1">
        <f t="shared" si="100"/>
        <v>1.2302684186371021E-4</v>
      </c>
      <c r="W55" s="1">
        <f t="shared" si="101"/>
        <v>2.4026546980790794E-4</v>
      </c>
      <c r="X55" s="15">
        <f t="shared" si="102"/>
        <v>9.8744979504769414E-3</v>
      </c>
      <c r="Y55" s="3">
        <f t="shared" si="103"/>
        <v>1.048212521151526E-4</v>
      </c>
      <c r="Z55" s="3">
        <f t="shared" si="104"/>
        <v>0</v>
      </c>
      <c r="AA55">
        <f t="shared" si="105"/>
        <v>2.9976896044959769E-6</v>
      </c>
      <c r="AB55">
        <f t="shared" si="106"/>
        <v>-4.8134685549967339E-3</v>
      </c>
      <c r="AC55">
        <f t="shared" si="107"/>
        <v>2.8647292186677917E-4</v>
      </c>
      <c r="AD55" s="3">
        <f t="shared" si="125"/>
        <v>1.8081973196548879E-2</v>
      </c>
      <c r="AE55" s="3">
        <f t="shared" si="108"/>
        <v>2.1161258712572593E-2</v>
      </c>
      <c r="AF55" s="2">
        <v>20</v>
      </c>
      <c r="AG55" s="20">
        <v>4</v>
      </c>
      <c r="AH55">
        <f t="shared" si="109"/>
        <v>7</v>
      </c>
      <c r="AI55">
        <f t="shared" si="110"/>
        <v>10</v>
      </c>
      <c r="AJ55">
        <f t="shared" si="111"/>
        <v>5</v>
      </c>
      <c r="AK55">
        <f t="shared" si="112"/>
        <v>5</v>
      </c>
      <c r="AL55">
        <f t="shared" si="113"/>
        <v>5</v>
      </c>
      <c r="AM55" s="2">
        <f t="shared" si="114"/>
        <v>39.711150802914354</v>
      </c>
      <c r="AN55" s="2">
        <f t="shared" si="115"/>
        <v>46.228371442586024</v>
      </c>
      <c r="AO55">
        <v>20</v>
      </c>
      <c r="AP55">
        <v>4</v>
      </c>
      <c r="AQ55">
        <f t="shared" si="116"/>
        <v>7</v>
      </c>
      <c r="AR55">
        <f t="shared" si="117"/>
        <v>10</v>
      </c>
      <c r="AS55">
        <f t="shared" si="118"/>
        <v>5</v>
      </c>
      <c r="AT55">
        <f t="shared" si="119"/>
        <v>5</v>
      </c>
      <c r="AU55">
        <f t="shared" si="120"/>
        <v>5</v>
      </c>
      <c r="AV55">
        <f t="shared" si="121"/>
        <v>5</v>
      </c>
      <c r="AW55" s="2">
        <f t="shared" si="122"/>
        <v>39.904066836514858</v>
      </c>
      <c r="AX55" s="2">
        <f t="shared" si="123"/>
        <v>48.382868342786303</v>
      </c>
    </row>
    <row r="56" spans="1:50" x14ac:dyDescent="0.2">
      <c r="A56">
        <v>212</v>
      </c>
      <c r="B56">
        <v>212</v>
      </c>
      <c r="C56" s="20">
        <f>VLOOKUP($A56,'Data(2013)b'!$A$9:$T$302,14,FALSE)</f>
        <v>20.004374869999999</v>
      </c>
      <c r="D56" s="6">
        <f>VLOOKUP($B56,summary!$A$5:$M$75,8,FALSE)</f>
        <v>1.2524470562496524E-2</v>
      </c>
      <c r="E56" s="6">
        <f>VLOOKUP($B56,summary!$A$5:$M$75,9,FALSE)</f>
        <v>-2.1786290507728297E-2</v>
      </c>
      <c r="F56" s="3">
        <f>VLOOKUP($A56,'Data(2013)b'!$A$9:$T$302,18,FALSE)</f>
        <v>4.6543226306389445E-3</v>
      </c>
      <c r="G56" s="3">
        <f>VLOOKUP($A56,'Data(2013)b'!$A$9:$T$302,19,FALSE)</f>
        <v>3.4395248769337619E-3</v>
      </c>
      <c r="H56" s="15">
        <f>VLOOKUP($A56,'Data(2013)b'!$A$9:$T$302,20,FALSE)</f>
        <v>3.2004977518809263E-4</v>
      </c>
      <c r="I56" s="3">
        <f>'Data(2013)'!$U$142</f>
        <v>3.9673108367433534E-3</v>
      </c>
      <c r="J56" s="3">
        <f>'Data(2013)'!$V$142</f>
        <v>2.4485463460984262E-3</v>
      </c>
      <c r="K56" s="3">
        <v>-2.4067342774983666E-2</v>
      </c>
      <c r="M56" s="3">
        <f t="shared" si="92"/>
        <v>4.6543226306389445E-3</v>
      </c>
      <c r="N56" s="3">
        <f t="shared" si="93"/>
        <v>3.2004977518809263E-4</v>
      </c>
      <c r="O56">
        <f t="shared" si="94"/>
        <v>1.6578916996768757E-2</v>
      </c>
      <c r="P56" s="26">
        <f t="shared" si="95"/>
        <v>1.8786705843744787E-4</v>
      </c>
      <c r="Q56" s="26">
        <f t="shared" si="96"/>
        <v>0</v>
      </c>
      <c r="R56" s="3">
        <f t="shared" si="97"/>
        <v>1.9836554183716767E-3</v>
      </c>
      <c r="S56" s="3">
        <f t="shared" si="98"/>
        <v>5.1343428996602082E-4</v>
      </c>
      <c r="T56" s="3">
        <f t="shared" si="124"/>
        <v>3.4044871341695829E-2</v>
      </c>
      <c r="U56" s="3">
        <f t="shared" si="99"/>
        <v>3.8208803986615962E-2</v>
      </c>
      <c r="V56" s="1">
        <f t="shared" si="100"/>
        <v>3.4395248769337619E-3</v>
      </c>
      <c r="W56" s="1">
        <f t="shared" si="101"/>
        <v>3.2004977518809263E-4</v>
      </c>
      <c r="X56" s="15">
        <f t="shared" si="102"/>
        <v>9.8744979504769414E-3</v>
      </c>
      <c r="Y56" s="3">
        <f t="shared" si="103"/>
        <v>-3.2679435761592444E-4</v>
      </c>
      <c r="Z56" s="3">
        <f t="shared" si="104"/>
        <v>0</v>
      </c>
      <c r="AA56">
        <f t="shared" si="105"/>
        <v>2.9976896044959769E-6</v>
      </c>
      <c r="AB56">
        <f t="shared" si="106"/>
        <v>-4.8134685549967339E-3</v>
      </c>
      <c r="AC56">
        <f t="shared" si="107"/>
        <v>-8.9311788007422543E-4</v>
      </c>
      <c r="AD56" s="3">
        <f t="shared" si="125"/>
        <v>2.0925958502585204E-2</v>
      </c>
      <c r="AE56" s="3">
        <f t="shared" si="108"/>
        <v>2.3904145140111129E-2</v>
      </c>
      <c r="AF56" s="2">
        <v>20</v>
      </c>
      <c r="AG56" s="20">
        <v>4</v>
      </c>
      <c r="AH56">
        <f t="shared" si="109"/>
        <v>7</v>
      </c>
      <c r="AI56">
        <f t="shared" si="110"/>
        <v>10</v>
      </c>
      <c r="AJ56">
        <f t="shared" si="111"/>
        <v>5</v>
      </c>
      <c r="AK56">
        <f t="shared" si="112"/>
        <v>5</v>
      </c>
      <c r="AL56">
        <f t="shared" si="113"/>
        <v>5</v>
      </c>
      <c r="AM56" s="2">
        <f t="shared" si="114"/>
        <v>43.868630832513816</v>
      </c>
      <c r="AN56" s="2">
        <f t="shared" si="115"/>
        <v>51.428920091095371</v>
      </c>
      <c r="AO56">
        <v>20</v>
      </c>
      <c r="AP56">
        <v>4</v>
      </c>
      <c r="AQ56">
        <f t="shared" si="116"/>
        <v>7</v>
      </c>
      <c r="AR56">
        <f t="shared" si="117"/>
        <v>10</v>
      </c>
      <c r="AS56">
        <f t="shared" si="118"/>
        <v>5</v>
      </c>
      <c r="AT56">
        <f t="shared" si="119"/>
        <v>5</v>
      </c>
      <c r="AU56">
        <f t="shared" si="120"/>
        <v>5</v>
      </c>
      <c r="AV56">
        <f t="shared" si="121"/>
        <v>5</v>
      </c>
      <c r="AW56" s="2">
        <f t="shared" si="122"/>
        <v>46.797949519231715</v>
      </c>
      <c r="AX56" s="2">
        <f t="shared" si="123"/>
        <v>58.617348221537142</v>
      </c>
    </row>
    <row r="57" spans="1:50" x14ac:dyDescent="0.2">
      <c r="A57">
        <v>213</v>
      </c>
      <c r="B57">
        <v>213</v>
      </c>
      <c r="C57" s="20">
        <f>VLOOKUP($A57,'Data(2013)b'!$A$9:$T$302,14,FALSE)</f>
        <v>10.014578373999999</v>
      </c>
      <c r="D57" s="6">
        <f>VLOOKUP($B57,summary!$A$5:$M$75,8,FALSE)</f>
        <v>3.9200285856382265E-2</v>
      </c>
      <c r="E57" s="6">
        <f>VLOOKUP($B57,summary!$A$5:$M$75,9,FALSE)</f>
        <v>-2.690834427300209E-2</v>
      </c>
      <c r="F57" s="3">
        <f>VLOOKUP($A57,'Data(2013)b'!$A$9:$T$302,18,FALSE)</f>
        <v>2.3479058614622218E-3</v>
      </c>
      <c r="G57" s="3">
        <f>VLOOKUP($A57,'Data(2013)b'!$A$9:$T$302,19,FALSE)</f>
        <v>4.4561786761117229E-3</v>
      </c>
      <c r="H57" s="15">
        <f>VLOOKUP($A57,'Data(2013)b'!$A$9:$T$302,20,FALSE)</f>
        <v>3.1176308808029106E-4</v>
      </c>
      <c r="I57" s="3">
        <f>'Data(2013)'!$U$142</f>
        <v>3.9673108367433534E-3</v>
      </c>
      <c r="J57" s="3">
        <f>'Data(2013)'!$V$142</f>
        <v>2.4485463460984262E-3</v>
      </c>
      <c r="K57" s="3">
        <v>-2.4067342774983666E-2</v>
      </c>
      <c r="M57" s="3">
        <f t="shared" si="92"/>
        <v>2.3479058614622218E-3</v>
      </c>
      <c r="N57" s="3">
        <f t="shared" si="93"/>
        <v>3.1176308808029106E-4</v>
      </c>
      <c r="O57">
        <f t="shared" si="94"/>
        <v>1.6578916996768757E-2</v>
      </c>
      <c r="P57" s="26">
        <f t="shared" si="95"/>
        <v>5.8800428784573395E-4</v>
      </c>
      <c r="Q57" s="26">
        <f t="shared" si="96"/>
        <v>0</v>
      </c>
      <c r="R57" s="3">
        <f t="shared" si="97"/>
        <v>1.9836554183716767E-3</v>
      </c>
      <c r="S57" s="3">
        <f t="shared" si="98"/>
        <v>1.6069957476210295E-3</v>
      </c>
      <c r="T57" s="3">
        <f t="shared" si="124"/>
        <v>4.0613834553523805E-2</v>
      </c>
      <c r="U57" s="3">
        <f t="shared" si="99"/>
        <v>4.4009282853488561E-2</v>
      </c>
      <c r="V57" s="1">
        <f t="shared" si="100"/>
        <v>4.4561786761117229E-3</v>
      </c>
      <c r="W57" s="1">
        <f t="shared" si="101"/>
        <v>3.1176308808029106E-4</v>
      </c>
      <c r="X57" s="15">
        <f t="shared" si="102"/>
        <v>9.8744979504769414E-3</v>
      </c>
      <c r="Y57" s="3">
        <f t="shared" si="103"/>
        <v>-4.0362516409503136E-4</v>
      </c>
      <c r="Z57" s="3">
        <f t="shared" si="104"/>
        <v>0</v>
      </c>
      <c r="AA57">
        <f t="shared" si="105"/>
        <v>2.9976896044959769E-6</v>
      </c>
      <c r="AB57">
        <f t="shared" si="106"/>
        <v>-4.8134685549967339E-3</v>
      </c>
      <c r="AC57">
        <f t="shared" si="107"/>
        <v>-1.103093864689173E-3</v>
      </c>
      <c r="AD57" s="3">
        <f t="shared" si="125"/>
        <v>2.6623596373976256E-2</v>
      </c>
      <c r="AE57" s="3">
        <f t="shared" si="108"/>
        <v>2.9168913866278741E-2</v>
      </c>
      <c r="AF57" s="2">
        <v>20</v>
      </c>
      <c r="AG57" s="20">
        <v>4</v>
      </c>
      <c r="AH57">
        <f t="shared" si="109"/>
        <v>7</v>
      </c>
      <c r="AI57">
        <f t="shared" si="110"/>
        <v>10</v>
      </c>
      <c r="AJ57">
        <f t="shared" si="111"/>
        <v>5</v>
      </c>
      <c r="AK57">
        <f t="shared" si="112"/>
        <v>5</v>
      </c>
      <c r="AL57">
        <f t="shared" si="113"/>
        <v>5</v>
      </c>
      <c r="AM57" s="2">
        <f t="shared" si="114"/>
        <v>45.358014075943579</v>
      </c>
      <c r="AN57" s="2">
        <f t="shared" si="115"/>
        <v>52.996265393860035</v>
      </c>
      <c r="AO57">
        <v>20</v>
      </c>
      <c r="AP57">
        <v>4</v>
      </c>
      <c r="AQ57">
        <f t="shared" si="116"/>
        <v>7</v>
      </c>
      <c r="AR57">
        <f t="shared" si="117"/>
        <v>10</v>
      </c>
      <c r="AS57">
        <f t="shared" si="118"/>
        <v>5</v>
      </c>
      <c r="AT57">
        <f t="shared" si="119"/>
        <v>5</v>
      </c>
      <c r="AU57">
        <f t="shared" si="120"/>
        <v>5</v>
      </c>
      <c r="AV57">
        <f t="shared" si="121"/>
        <v>5</v>
      </c>
      <c r="AW57" s="2">
        <f t="shared" si="122"/>
        <v>20.629825626288952</v>
      </c>
      <c r="AX57" s="2">
        <f t="shared" si="123"/>
        <v>28.015260721093341</v>
      </c>
    </row>
    <row r="58" spans="1:50" x14ac:dyDescent="0.2">
      <c r="A58">
        <v>214</v>
      </c>
      <c r="B58">
        <v>214</v>
      </c>
      <c r="C58" s="20">
        <f>VLOOKUP($A58,'Data(2013)b'!$A$9:$T$302,14,FALSE)</f>
        <v>5.0256175958</v>
      </c>
      <c r="D58" s="6">
        <f>VLOOKUP($B58,summary!$A$5:$M$75,8,FALSE)</f>
        <v>5.5034085585151292E-2</v>
      </c>
      <c r="E58" s="6">
        <f>VLOOKUP($B58,summary!$A$5:$M$75,9,FALSE)</f>
        <v>-1.756844024903096E-2</v>
      </c>
      <c r="F58" s="3">
        <f>VLOOKUP($A58,'Data(2013)b'!$A$9:$T$302,18,FALSE)</f>
        <v>5.8016470527423166E-3</v>
      </c>
      <c r="G58" s="3">
        <f>VLOOKUP($A58,'Data(2013)b'!$A$9:$T$302,19,FALSE)</f>
        <v>6.0973453541872044E-3</v>
      </c>
      <c r="H58" s="15">
        <f>VLOOKUP($A58,'Data(2013)b'!$A$9:$T$302,20,FALSE)</f>
        <v>2.7330922564637009E-4</v>
      </c>
      <c r="I58" s="3">
        <f>'Data(2013)'!$U$142</f>
        <v>3.9673108367433534E-3</v>
      </c>
      <c r="J58" s="3">
        <f>'Data(2013)'!$V$142</f>
        <v>2.4485463460984262E-3</v>
      </c>
      <c r="K58" s="3">
        <v>-2.4067342774983666E-2</v>
      </c>
      <c r="M58" s="3">
        <f t="shared" si="92"/>
        <v>5.8016470527423166E-3</v>
      </c>
      <c r="N58" s="3">
        <f t="shared" si="93"/>
        <v>2.7330922564637009E-4</v>
      </c>
      <c r="O58">
        <f t="shared" si="94"/>
        <v>1.6578916996768757E-2</v>
      </c>
      <c r="P58" s="26">
        <f t="shared" si="95"/>
        <v>8.2551128377726939E-4</v>
      </c>
      <c r="Q58" s="26">
        <f t="shared" si="96"/>
        <v>0</v>
      </c>
      <c r="R58" s="3">
        <f t="shared" si="97"/>
        <v>1.9836554183716767E-3</v>
      </c>
      <c r="S58" s="3">
        <f t="shared" si="98"/>
        <v>2.2560943007804857E-3</v>
      </c>
      <c r="T58" s="3">
        <f t="shared" si="124"/>
        <v>5.5452028588289702E-2</v>
      </c>
      <c r="U58" s="3">
        <f t="shared" si="99"/>
        <v>5.8251421347398524E-2</v>
      </c>
      <c r="V58" s="1">
        <f t="shared" si="100"/>
        <v>6.0973453541872044E-3</v>
      </c>
      <c r="W58" s="1">
        <f t="shared" si="101"/>
        <v>2.7330922564637009E-4</v>
      </c>
      <c r="X58" s="15">
        <f t="shared" si="102"/>
        <v>9.8744979504769414E-3</v>
      </c>
      <c r="Y58" s="3">
        <f t="shared" si="103"/>
        <v>-2.6352660373546438E-4</v>
      </c>
      <c r="Z58" s="3">
        <f t="shared" si="104"/>
        <v>0</v>
      </c>
      <c r="AA58">
        <f t="shared" si="105"/>
        <v>2.9976896044959769E-6</v>
      </c>
      <c r="AB58">
        <f t="shared" si="106"/>
        <v>-4.8134685549967339E-3</v>
      </c>
      <c r="AC58">
        <f t="shared" si="107"/>
        <v>-7.2020925755392998E-4</v>
      </c>
      <c r="AD58" s="3">
        <f t="shared" si="125"/>
        <v>4.5146019218021E-2</v>
      </c>
      <c r="AE58" s="3">
        <f t="shared" si="108"/>
        <v>4.6868739213580035E-2</v>
      </c>
      <c r="AF58" s="2">
        <v>20</v>
      </c>
      <c r="AG58" s="20">
        <v>4</v>
      </c>
      <c r="AH58">
        <f t="shared" si="109"/>
        <v>7</v>
      </c>
      <c r="AI58">
        <f t="shared" si="110"/>
        <v>10</v>
      </c>
      <c r="AJ58">
        <f t="shared" si="111"/>
        <v>5</v>
      </c>
      <c r="AK58">
        <f t="shared" si="112"/>
        <v>5</v>
      </c>
      <c r="AL58">
        <f t="shared" si="113"/>
        <v>5</v>
      </c>
      <c r="AM58" s="2">
        <f t="shared" si="114"/>
        <v>23.545039817734846</v>
      </c>
      <c r="AN58" s="2">
        <f t="shared" si="115"/>
        <v>27.917053305351203</v>
      </c>
      <c r="AO58">
        <v>20</v>
      </c>
      <c r="AP58">
        <v>4</v>
      </c>
      <c r="AQ58">
        <f t="shared" si="116"/>
        <v>7</v>
      </c>
      <c r="AR58">
        <f t="shared" si="117"/>
        <v>10</v>
      </c>
      <c r="AS58">
        <f t="shared" si="118"/>
        <v>5</v>
      </c>
      <c r="AT58">
        <f t="shared" si="119"/>
        <v>5</v>
      </c>
      <c r="AU58">
        <f t="shared" si="120"/>
        <v>5</v>
      </c>
      <c r="AV58">
        <f t="shared" si="121"/>
        <v>5</v>
      </c>
      <c r="AW58" s="2">
        <f t="shared" si="122"/>
        <v>9.56063496664094</v>
      </c>
      <c r="AX58" s="2">
        <f t="shared" si="123"/>
        <v>11.066510017928369</v>
      </c>
    </row>
    <row r="60" spans="1:50" x14ac:dyDescent="0.2">
      <c r="B60" s="5" t="s">
        <v>226</v>
      </c>
      <c r="G60" s="5" t="s">
        <v>314</v>
      </c>
      <c r="M60" s="29" t="s">
        <v>257</v>
      </c>
      <c r="N60" s="29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28" t="s">
        <v>258</v>
      </c>
      <c r="AG60" s="28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</row>
    <row r="61" spans="1:50" x14ac:dyDescent="0.2">
      <c r="D61" t="s">
        <v>215</v>
      </c>
      <c r="E61" t="s">
        <v>215</v>
      </c>
      <c r="F61" t="s">
        <v>216</v>
      </c>
      <c r="G61" t="s">
        <v>217</v>
      </c>
      <c r="H61" t="s">
        <v>14</v>
      </c>
      <c r="I61" t="s">
        <v>286</v>
      </c>
      <c r="M61" s="30" t="s">
        <v>300</v>
      </c>
      <c r="N61" s="30" t="s">
        <v>5</v>
      </c>
      <c r="O61" s="30" t="s">
        <v>5</v>
      </c>
      <c r="P61" s="30" t="s">
        <v>5</v>
      </c>
      <c r="Q61" s="30" t="s">
        <v>5</v>
      </c>
      <c r="R61" s="31" t="s">
        <v>5</v>
      </c>
      <c r="S61" s="30" t="s">
        <v>5</v>
      </c>
      <c r="T61" s="30" t="s">
        <v>5</v>
      </c>
      <c r="U61" s="29" t="s">
        <v>5</v>
      </c>
      <c r="V61" s="30" t="s">
        <v>309</v>
      </c>
      <c r="W61" s="30" t="s">
        <v>6</v>
      </c>
      <c r="X61" s="30" t="s">
        <v>6</v>
      </c>
      <c r="Y61" s="30" t="s">
        <v>6</v>
      </c>
      <c r="Z61" s="30"/>
      <c r="AA61" s="31" t="s">
        <v>6</v>
      </c>
      <c r="AB61" s="31" t="s">
        <v>6</v>
      </c>
      <c r="AC61" s="30" t="s">
        <v>6</v>
      </c>
      <c r="AD61" s="30" t="s">
        <v>6</v>
      </c>
      <c r="AE61" s="29" t="s">
        <v>6</v>
      </c>
      <c r="AF61" s="27" t="s">
        <v>300</v>
      </c>
      <c r="AG61" s="27" t="s">
        <v>5</v>
      </c>
      <c r="AH61" s="27" t="s">
        <v>5</v>
      </c>
      <c r="AI61" s="27" t="s">
        <v>5</v>
      </c>
      <c r="AJ61" s="27"/>
      <c r="AK61" s="32" t="s">
        <v>5</v>
      </c>
      <c r="AL61" s="27" t="s">
        <v>5</v>
      </c>
      <c r="AM61" s="27" t="s">
        <v>5</v>
      </c>
      <c r="AN61" s="28" t="s">
        <v>5</v>
      </c>
      <c r="AO61" s="27" t="s">
        <v>309</v>
      </c>
      <c r="AP61" s="27" t="s">
        <v>6</v>
      </c>
      <c r="AQ61" s="27" t="s">
        <v>6</v>
      </c>
      <c r="AR61" s="27" t="s">
        <v>6</v>
      </c>
      <c r="AS61" s="27"/>
      <c r="AT61" s="32" t="s">
        <v>6</v>
      </c>
      <c r="AU61" s="32" t="s">
        <v>6</v>
      </c>
      <c r="AV61" s="27" t="s">
        <v>6</v>
      </c>
      <c r="AW61" s="27" t="s">
        <v>6</v>
      </c>
      <c r="AX61" s="28" t="s">
        <v>6</v>
      </c>
    </row>
    <row r="62" spans="1:50" x14ac:dyDescent="0.2">
      <c r="C62" t="s">
        <v>4</v>
      </c>
      <c r="D62" t="s">
        <v>0</v>
      </c>
      <c r="E62" t="s">
        <v>1</v>
      </c>
      <c r="F62" t="s">
        <v>206</v>
      </c>
      <c r="G62" t="s">
        <v>206</v>
      </c>
      <c r="H62" t="s">
        <v>219</v>
      </c>
      <c r="I62" t="s">
        <v>287</v>
      </c>
      <c r="J62" t="s">
        <v>299</v>
      </c>
      <c r="K62" t="s">
        <v>298</v>
      </c>
      <c r="M62" s="30" t="s">
        <v>301</v>
      </c>
      <c r="N62" s="30" t="s">
        <v>14</v>
      </c>
      <c r="O62" s="30" t="s">
        <v>220</v>
      </c>
      <c r="P62" s="30" t="s">
        <v>218</v>
      </c>
      <c r="Q62" s="30" t="s">
        <v>364</v>
      </c>
      <c r="R62" s="30" t="s">
        <v>305</v>
      </c>
      <c r="S62" s="30" t="s">
        <v>307</v>
      </c>
      <c r="T62" s="30" t="s">
        <v>308</v>
      </c>
      <c r="U62" s="29" t="s">
        <v>221</v>
      </c>
      <c r="V62" s="30" t="s">
        <v>301</v>
      </c>
      <c r="W62" s="30" t="s">
        <v>14</v>
      </c>
      <c r="X62" s="30" t="s">
        <v>220</v>
      </c>
      <c r="Y62" s="30" t="s">
        <v>218</v>
      </c>
      <c r="Z62" s="30"/>
      <c r="AA62" s="30" t="s">
        <v>305</v>
      </c>
      <c r="AB62" s="30" t="s">
        <v>306</v>
      </c>
      <c r="AC62" s="30" t="s">
        <v>307</v>
      </c>
      <c r="AD62" s="30" t="s">
        <v>308</v>
      </c>
      <c r="AE62" s="29" t="s">
        <v>221</v>
      </c>
      <c r="AF62" s="27" t="s">
        <v>301</v>
      </c>
      <c r="AG62" s="27" t="s">
        <v>14</v>
      </c>
      <c r="AH62" s="27" t="s">
        <v>220</v>
      </c>
      <c r="AI62" s="27" t="s">
        <v>218</v>
      </c>
      <c r="AJ62" s="27"/>
      <c r="AK62" s="27" t="s">
        <v>305</v>
      </c>
      <c r="AL62" s="27" t="s">
        <v>307</v>
      </c>
      <c r="AM62" s="27" t="s">
        <v>308</v>
      </c>
      <c r="AN62" s="28" t="s">
        <v>256</v>
      </c>
      <c r="AO62" s="27" t="s">
        <v>301</v>
      </c>
      <c r="AP62" s="27" t="s">
        <v>14</v>
      </c>
      <c r="AQ62" s="27" t="s">
        <v>220</v>
      </c>
      <c r="AR62" s="27" t="s">
        <v>218</v>
      </c>
      <c r="AS62" s="27"/>
      <c r="AT62" s="27" t="s">
        <v>305</v>
      </c>
      <c r="AU62" s="27" t="s">
        <v>306</v>
      </c>
      <c r="AV62" s="27" t="s">
        <v>307</v>
      </c>
      <c r="AW62" s="27" t="s">
        <v>308</v>
      </c>
      <c r="AX62" s="28" t="s">
        <v>256</v>
      </c>
    </row>
    <row r="63" spans="1:50" x14ac:dyDescent="0.2">
      <c r="A63">
        <v>238</v>
      </c>
      <c r="B63">
        <v>238</v>
      </c>
      <c r="C63" s="20">
        <f>VLOOKUP($A63,'Data(2013)b'!$A$9:$T$302,14,FALSE)</f>
        <v>119.90899723999999</v>
      </c>
      <c r="D63" s="6">
        <f>VLOOKUP($B63,summary!$A$5:$M$75,8,FALSE)</f>
        <v>0.15213305302217844</v>
      </c>
      <c r="E63" s="6">
        <f>VLOOKUP($B63,summary!$A$5:$M$75,9,FALSE)</f>
        <v>7.5885012454326176E-2</v>
      </c>
      <c r="F63" s="3">
        <f>VLOOKUP($A63,'Data(2013)b'!$A$9:$T$302,18,FALSE)</f>
        <v>1.826866834354723E-4</v>
      </c>
      <c r="G63" s="3">
        <f>VLOOKUP($A63,'Data(2013)b'!$A$9:$T$302,19,FALSE)</f>
        <v>2.5432278939472187E-4</v>
      </c>
      <c r="H63" s="15">
        <f>VLOOKUP($A63,'Data(2013)b'!$A$9:$T$302,20,FALSE)</f>
        <v>3.8438684024884112E-4</v>
      </c>
      <c r="I63" s="3">
        <v>0</v>
      </c>
      <c r="J63" s="3">
        <v>0</v>
      </c>
      <c r="K63" s="3">
        <v>0</v>
      </c>
      <c r="M63" s="3">
        <f t="shared" ref="M63:M69" si="126">F63</f>
        <v>1.826866834354723E-4</v>
      </c>
      <c r="N63" s="3">
        <f t="shared" ref="N63:N69" si="127">H63</f>
        <v>3.8438684024884112E-4</v>
      </c>
      <c r="O63">
        <f t="shared" ref="O63:O69" si="128">X_stability_std</f>
        <v>1.6578916996768757E-2</v>
      </c>
      <c r="P63" s="26">
        <f t="shared" ref="P63:P69" si="129">SR830_std*D63</f>
        <v>2.2819957953326767E-3</v>
      </c>
      <c r="Q63" s="26">
        <f t="shared" ref="Q63:Q69" si="130">Q52</f>
        <v>0</v>
      </c>
      <c r="R63" s="3">
        <f t="shared" ref="R63:R69" si="131">S_P_std*I63</f>
        <v>0</v>
      </c>
      <c r="S63" s="3">
        <f t="shared" ref="S63:S69" si="132">Burden1_std*D63</f>
        <v>6.2366170026140668E-3</v>
      </c>
      <c r="T63" s="3">
        <f>U41</f>
        <v>3.1828905733668811E-2</v>
      </c>
      <c r="U63" s="3">
        <f t="shared" ref="U63:U69" si="133">SQRT(SUMSQ(M63:T63))</f>
        <v>3.6499640451694799E-2</v>
      </c>
      <c r="V63" s="1">
        <f t="shared" ref="V63:V69" si="134">G63</f>
        <v>2.5432278939472187E-4</v>
      </c>
      <c r="W63" s="1">
        <f t="shared" ref="W63:W69" si="135">H63</f>
        <v>3.8438684024884112E-4</v>
      </c>
      <c r="X63" s="15">
        <f t="shared" ref="X63:X69" si="136">Y_stability_std</f>
        <v>9.8744979504769414E-3</v>
      </c>
      <c r="Y63" s="3">
        <f t="shared" ref="Y63:Y69" si="137">E63*SR830_std</f>
        <v>1.1382751868148926E-3</v>
      </c>
      <c r="Z63" s="3">
        <f t="shared" ref="Z63:Z69" si="138">Z52</f>
        <v>0</v>
      </c>
      <c r="AA63">
        <f t="shared" ref="AA63:AA69" si="139">J63*S_P_std*J63</f>
        <v>0</v>
      </c>
      <c r="AB63">
        <f t="shared" ref="AB63:AB69" si="140">SPelect_std*K63</f>
        <v>0</v>
      </c>
      <c r="AC63">
        <f t="shared" ref="AC63:AC69" si="141">E63*Burden1_std</f>
        <v>3.1108674250245713E-3</v>
      </c>
      <c r="AD63" s="3">
        <f>AE41</f>
        <v>2.1232434949162424E-2</v>
      </c>
      <c r="AE63" s="3">
        <f t="shared" ref="AE63:AE69" si="142">SQRT(SUMSQ(V63:AD63))</f>
        <v>2.36539130696286E-2</v>
      </c>
      <c r="AF63" s="2">
        <v>20</v>
      </c>
      <c r="AG63" s="20">
        <v>4</v>
      </c>
      <c r="AH63">
        <f t="shared" ref="AH63:AH69" si="143">X_stability_dfm</f>
        <v>7</v>
      </c>
      <c r="AI63">
        <f t="shared" ref="AI63:AI69" si="144">SR830_dfm</f>
        <v>10</v>
      </c>
      <c r="AJ63">
        <f t="shared" ref="AJ63:AJ69" si="145">AJ52</f>
        <v>5</v>
      </c>
      <c r="AK63">
        <f t="shared" ref="AK63:AK69" si="146">S_P_dfm</f>
        <v>5</v>
      </c>
      <c r="AL63">
        <f t="shared" ref="AL63:AL69" si="147">Burden1_dfm</f>
        <v>5</v>
      </c>
      <c r="AM63" s="2">
        <f t="shared" ref="AM63:AM69" si="148">AN52</f>
        <v>36.35232057130461</v>
      </c>
      <c r="AN63" s="2">
        <f t="shared" ref="AN63:AN69" si="149">Dof_A(M63:T63,AF63:AM63)</f>
        <v>45.125511228461825</v>
      </c>
      <c r="AO63">
        <v>20</v>
      </c>
      <c r="AP63">
        <v>4</v>
      </c>
      <c r="AQ63">
        <f t="shared" ref="AQ63:AQ69" si="150">Y_stability_dfm</f>
        <v>7</v>
      </c>
      <c r="AR63">
        <f t="shared" ref="AR63:AR69" si="151">SR830_dfm</f>
        <v>10</v>
      </c>
      <c r="AS63">
        <f t="shared" ref="AS63:AS69" si="152">AS52</f>
        <v>5</v>
      </c>
      <c r="AT63">
        <f t="shared" ref="AT63:AT69" si="153">S_P_dfm</f>
        <v>5</v>
      </c>
      <c r="AU63">
        <f t="shared" ref="AU63:AU69" si="154">SPelect_dfm</f>
        <v>5</v>
      </c>
      <c r="AV63">
        <f t="shared" ref="AV63:AV69" si="155">Burden1_dfm</f>
        <v>5</v>
      </c>
      <c r="AW63" s="2">
        <f t="shared" ref="AW63:AW69" si="156">AX52</f>
        <v>47.849908799646968</v>
      </c>
      <c r="AX63" s="2">
        <f t="shared" ref="AX63:AX69" si="157">Dof_A(V63:AD63,AO63:AW63)</f>
        <v>55.658559337743441</v>
      </c>
    </row>
    <row r="64" spans="1:50" x14ac:dyDescent="0.2">
      <c r="A64">
        <v>239</v>
      </c>
      <c r="B64">
        <v>239</v>
      </c>
      <c r="C64" s="20">
        <f>VLOOKUP($A64,'Data(2013)b'!$A$9:$T$302,14,FALSE)</f>
        <v>100.16515392000001</v>
      </c>
      <c r="D64" s="6">
        <f>VLOOKUP($B64,summary!$A$5:$M$75,8,FALSE)</f>
        <v>0.16881396356939835</v>
      </c>
      <c r="E64" s="6">
        <f>VLOOKUP($B64,summary!$A$5:$M$75,9,FALSE)</f>
        <v>7.3590724152435352E-2</v>
      </c>
      <c r="F64" s="3">
        <f>VLOOKUP($A64,'Data(2013)b'!$A$9:$T$302,18,FALSE)</f>
        <v>6.3829384857463011E-4</v>
      </c>
      <c r="G64" s="3">
        <f>VLOOKUP($A64,'Data(2013)b'!$A$9:$T$302,19,FALSE)</f>
        <v>1.8453061071428101E-4</v>
      </c>
      <c r="H64" s="15">
        <f>VLOOKUP($A64,'Data(2013)b'!$A$9:$T$302,20,FALSE)</f>
        <v>2.4936099344428382E-4</v>
      </c>
      <c r="I64" s="3">
        <v>0</v>
      </c>
      <c r="J64" s="3">
        <v>0</v>
      </c>
      <c r="K64" s="3">
        <v>0</v>
      </c>
      <c r="M64" s="3">
        <f t="shared" si="126"/>
        <v>6.3829384857463011E-4</v>
      </c>
      <c r="N64" s="3">
        <f t="shared" si="127"/>
        <v>2.4936099344428382E-4</v>
      </c>
      <c r="O64">
        <f t="shared" si="128"/>
        <v>1.6578916996768757E-2</v>
      </c>
      <c r="P64" s="26">
        <f t="shared" si="129"/>
        <v>2.5322094535409753E-3</v>
      </c>
      <c r="Q64" s="26">
        <f t="shared" si="130"/>
        <v>0</v>
      </c>
      <c r="R64" s="3">
        <f t="shared" si="131"/>
        <v>0</v>
      </c>
      <c r="S64" s="3">
        <f t="shared" si="132"/>
        <v>6.9204424322050302E-3</v>
      </c>
      <c r="T64" s="3">
        <f t="shared" ref="T64:T69" si="158">U42</f>
        <v>3.2396113575012292E-2</v>
      </c>
      <c r="U64" s="3">
        <f t="shared" si="133"/>
        <v>3.71368128905415E-2</v>
      </c>
      <c r="V64" s="1">
        <f t="shared" si="134"/>
        <v>1.8453061071428101E-4</v>
      </c>
      <c r="W64" s="1">
        <f t="shared" si="135"/>
        <v>2.4936099344428382E-4</v>
      </c>
      <c r="X64" s="15">
        <f t="shared" si="136"/>
        <v>9.8744979504769414E-3</v>
      </c>
      <c r="Y64" s="3">
        <f t="shared" si="137"/>
        <v>1.1038608622865303E-3</v>
      </c>
      <c r="Z64" s="3">
        <f t="shared" si="138"/>
        <v>0</v>
      </c>
      <c r="AA64">
        <f t="shared" si="139"/>
        <v>0</v>
      </c>
      <c r="AB64">
        <f t="shared" si="140"/>
        <v>0</v>
      </c>
      <c r="AC64">
        <f t="shared" si="141"/>
        <v>3.0168142449415757E-3</v>
      </c>
      <c r="AD64" s="3">
        <f t="shared" ref="AD64:AD69" si="159">AE42</f>
        <v>2.1138614617249023E-2</v>
      </c>
      <c r="AE64" s="3">
        <f t="shared" si="142"/>
        <v>2.3553399906460635E-2</v>
      </c>
      <c r="AF64" s="2">
        <v>20</v>
      </c>
      <c r="AG64" s="20">
        <v>4</v>
      </c>
      <c r="AH64">
        <f t="shared" si="143"/>
        <v>7</v>
      </c>
      <c r="AI64">
        <f t="shared" si="144"/>
        <v>10</v>
      </c>
      <c r="AJ64">
        <f t="shared" si="145"/>
        <v>5</v>
      </c>
      <c r="AK64">
        <f t="shared" si="146"/>
        <v>5</v>
      </c>
      <c r="AL64">
        <f t="shared" si="147"/>
        <v>5</v>
      </c>
      <c r="AM64" s="2">
        <f t="shared" si="148"/>
        <v>37.272961189070656</v>
      </c>
      <c r="AN64" s="2">
        <f t="shared" si="149"/>
        <v>46.61067933856723</v>
      </c>
      <c r="AO64">
        <v>20</v>
      </c>
      <c r="AP64">
        <v>4</v>
      </c>
      <c r="AQ64">
        <f t="shared" si="150"/>
        <v>7</v>
      </c>
      <c r="AR64">
        <f t="shared" si="151"/>
        <v>10</v>
      </c>
      <c r="AS64">
        <f t="shared" si="152"/>
        <v>5</v>
      </c>
      <c r="AT64">
        <f t="shared" si="153"/>
        <v>5</v>
      </c>
      <c r="AU64">
        <f t="shared" si="154"/>
        <v>5</v>
      </c>
      <c r="AV64">
        <f t="shared" si="155"/>
        <v>5</v>
      </c>
      <c r="AW64" s="2">
        <f t="shared" si="156"/>
        <v>46.883257884052441</v>
      </c>
      <c r="AX64" s="2">
        <f t="shared" si="157"/>
        <v>54.628477489122936</v>
      </c>
    </row>
    <row r="65" spans="1:50" x14ac:dyDescent="0.2">
      <c r="A65">
        <v>240</v>
      </c>
      <c r="B65">
        <v>240</v>
      </c>
      <c r="C65" s="20">
        <f>VLOOKUP($A65,'Data(2013)b'!$A$9:$T$302,14,FALSE)</f>
        <v>60.079884224000004</v>
      </c>
      <c r="D65" s="6">
        <f>VLOOKUP($B65,summary!$A$5:$M$75,8,FALSE)</f>
        <v>0.21956276025286839</v>
      </c>
      <c r="E65" s="6">
        <f>VLOOKUP($B65,summary!$A$5:$M$75,9,FALSE)</f>
        <v>5.5507836163637803E-2</v>
      </c>
      <c r="F65" s="3">
        <f>VLOOKUP($A65,'Data(2013)b'!$A$9:$T$302,18,FALSE)</f>
        <v>2.877011021019846E-4</v>
      </c>
      <c r="G65" s="3">
        <f>VLOOKUP($A65,'Data(2013)b'!$A$9:$T$302,19,FALSE)</f>
        <v>2.218783672377441E-4</v>
      </c>
      <c r="H65" s="15">
        <f>VLOOKUP($A65,'Data(2013)b'!$A$9:$T$302,20,FALSE)</f>
        <v>1.8991940986098696E-4</v>
      </c>
      <c r="I65" s="3">
        <v>0</v>
      </c>
      <c r="J65" s="3">
        <v>0</v>
      </c>
      <c r="K65" s="3">
        <v>0</v>
      </c>
      <c r="M65" s="3">
        <f t="shared" si="126"/>
        <v>2.877011021019846E-4</v>
      </c>
      <c r="N65" s="3">
        <f t="shared" si="127"/>
        <v>1.8991940986098696E-4</v>
      </c>
      <c r="O65">
        <f t="shared" si="128"/>
        <v>1.6578916996768757E-2</v>
      </c>
      <c r="P65" s="26">
        <f t="shared" si="129"/>
        <v>3.2934414037930257E-3</v>
      </c>
      <c r="Q65" s="26">
        <f t="shared" si="130"/>
        <v>0</v>
      </c>
      <c r="R65" s="3">
        <f t="shared" si="131"/>
        <v>0</v>
      </c>
      <c r="S65" s="3">
        <f t="shared" si="132"/>
        <v>9.0008634976535291E-3</v>
      </c>
      <c r="T65" s="3">
        <f t="shared" si="158"/>
        <v>3.4992802372789011E-2</v>
      </c>
      <c r="U65" s="3">
        <f t="shared" si="133"/>
        <v>3.9891576153077972E-2</v>
      </c>
      <c r="V65" s="1">
        <f t="shared" si="134"/>
        <v>2.218783672377441E-4</v>
      </c>
      <c r="W65" s="1">
        <f t="shared" si="135"/>
        <v>1.8991940986098696E-4</v>
      </c>
      <c r="X65" s="15">
        <f t="shared" si="136"/>
        <v>9.8744979504769414E-3</v>
      </c>
      <c r="Y65" s="3">
        <f t="shared" si="137"/>
        <v>8.3261754245456696E-4</v>
      </c>
      <c r="Z65" s="3">
        <f t="shared" si="138"/>
        <v>0</v>
      </c>
      <c r="AA65">
        <f t="shared" si="139"/>
        <v>0</v>
      </c>
      <c r="AB65">
        <f t="shared" si="140"/>
        <v>0</v>
      </c>
      <c r="AC65">
        <f t="shared" si="141"/>
        <v>2.2755154643875589E-3</v>
      </c>
      <c r="AD65" s="3">
        <f t="shared" si="159"/>
        <v>2.0795315055179897E-2</v>
      </c>
      <c r="AE65" s="3">
        <f t="shared" si="142"/>
        <v>2.3149673000086309E-2</v>
      </c>
      <c r="AF65" s="2">
        <v>20</v>
      </c>
      <c r="AG65" s="20">
        <v>4</v>
      </c>
      <c r="AH65">
        <f t="shared" si="143"/>
        <v>7</v>
      </c>
      <c r="AI65">
        <f t="shared" si="144"/>
        <v>10</v>
      </c>
      <c r="AJ65">
        <f t="shared" si="145"/>
        <v>5</v>
      </c>
      <c r="AK65">
        <f t="shared" si="146"/>
        <v>5</v>
      </c>
      <c r="AL65">
        <f t="shared" si="147"/>
        <v>5</v>
      </c>
      <c r="AM65" s="2">
        <f t="shared" si="148"/>
        <v>41.820648583069193</v>
      </c>
      <c r="AN65" s="2">
        <f t="shared" si="149"/>
        <v>52.790447673529023</v>
      </c>
      <c r="AO65">
        <v>20</v>
      </c>
      <c r="AP65">
        <v>4</v>
      </c>
      <c r="AQ65">
        <f t="shared" si="150"/>
        <v>7</v>
      </c>
      <c r="AR65">
        <f t="shared" si="151"/>
        <v>10</v>
      </c>
      <c r="AS65">
        <f t="shared" si="152"/>
        <v>5</v>
      </c>
      <c r="AT65">
        <f t="shared" si="153"/>
        <v>5</v>
      </c>
      <c r="AU65">
        <f t="shared" si="154"/>
        <v>5</v>
      </c>
      <c r="AV65">
        <f t="shared" si="155"/>
        <v>5</v>
      </c>
      <c r="AW65" s="2">
        <f t="shared" si="156"/>
        <v>46.017030756028987</v>
      </c>
      <c r="AX65" s="2">
        <f t="shared" si="157"/>
        <v>52.915006921796902</v>
      </c>
    </row>
    <row r="66" spans="1:50" x14ac:dyDescent="0.2">
      <c r="A66">
        <v>241</v>
      </c>
      <c r="B66">
        <v>241</v>
      </c>
      <c r="C66" s="20">
        <f>VLOOKUP($A66,'Data(2013)b'!$A$9:$T$302,14,FALSE)</f>
        <v>40.071349826000002</v>
      </c>
      <c r="D66" s="6">
        <f>VLOOKUP($B66,summary!$A$5:$M$75,8,FALSE)</f>
        <v>0.25200167333853629</v>
      </c>
      <c r="E66" s="6">
        <f>VLOOKUP($B66,summary!$A$5:$M$75,9,FALSE)</f>
        <v>5.7416420558101512E-2</v>
      </c>
      <c r="F66" s="3">
        <f>VLOOKUP($A66,'Data(2013)b'!$A$9:$T$302,18,FALSE)</f>
        <v>7.6546704604458452E-4</v>
      </c>
      <c r="G66" s="3">
        <f>VLOOKUP($A66,'Data(2013)b'!$A$9:$T$302,19,FALSE)</f>
        <v>2.0448696595278698E-3</v>
      </c>
      <c r="H66" s="15">
        <f>VLOOKUP($A66,'Data(2013)b'!$A$9:$T$302,20,FALSE)</f>
        <v>1.9523658709924585E-4</v>
      </c>
      <c r="I66" s="3">
        <v>0</v>
      </c>
      <c r="J66" s="3">
        <v>0</v>
      </c>
      <c r="K66" s="3">
        <v>0</v>
      </c>
      <c r="M66" s="3">
        <f t="shared" si="126"/>
        <v>7.6546704604458452E-4</v>
      </c>
      <c r="N66" s="3">
        <f t="shared" si="127"/>
        <v>1.9523658709924585E-4</v>
      </c>
      <c r="O66">
        <f t="shared" si="128"/>
        <v>1.6578916996768757E-2</v>
      </c>
      <c r="P66" s="26">
        <f t="shared" si="129"/>
        <v>3.7800251000780442E-3</v>
      </c>
      <c r="Q66" s="26">
        <f t="shared" si="130"/>
        <v>0</v>
      </c>
      <c r="R66" s="3">
        <f t="shared" si="131"/>
        <v>0</v>
      </c>
      <c r="S66" s="3">
        <f t="shared" si="132"/>
        <v>1.0330680213202537E-2</v>
      </c>
      <c r="T66" s="3">
        <f t="shared" si="158"/>
        <v>3.7286274913943901E-2</v>
      </c>
      <c r="U66" s="3">
        <f t="shared" si="133"/>
        <v>4.2270112210545961E-2</v>
      </c>
      <c r="V66" s="1">
        <f t="shared" si="134"/>
        <v>2.0448696595278698E-3</v>
      </c>
      <c r="W66" s="1">
        <f t="shared" si="135"/>
        <v>1.9523658709924585E-4</v>
      </c>
      <c r="X66" s="15">
        <f t="shared" si="136"/>
        <v>9.8744979504769414E-3</v>
      </c>
      <c r="Y66" s="3">
        <f t="shared" si="137"/>
        <v>8.6124630837152263E-4</v>
      </c>
      <c r="Z66" s="3">
        <f t="shared" si="138"/>
        <v>0</v>
      </c>
      <c r="AA66">
        <f t="shared" si="139"/>
        <v>0</v>
      </c>
      <c r="AB66">
        <f t="shared" si="140"/>
        <v>0</v>
      </c>
      <c r="AC66">
        <f t="shared" si="141"/>
        <v>2.3537569092871163E-3</v>
      </c>
      <c r="AD66" s="3">
        <f t="shared" si="159"/>
        <v>2.129332315485068E-2</v>
      </c>
      <c r="AE66" s="3">
        <f t="shared" si="142"/>
        <v>2.3694152164447108E-2</v>
      </c>
      <c r="AF66" s="2">
        <v>20</v>
      </c>
      <c r="AG66" s="20">
        <v>4</v>
      </c>
      <c r="AH66">
        <f t="shared" si="143"/>
        <v>7</v>
      </c>
      <c r="AI66">
        <f t="shared" si="144"/>
        <v>10</v>
      </c>
      <c r="AJ66">
        <f t="shared" si="145"/>
        <v>5</v>
      </c>
      <c r="AK66">
        <f t="shared" si="146"/>
        <v>5</v>
      </c>
      <c r="AL66">
        <f t="shared" si="147"/>
        <v>5</v>
      </c>
      <c r="AM66" s="2">
        <f t="shared" si="148"/>
        <v>46.228371442586024</v>
      </c>
      <c r="AN66" s="2">
        <f t="shared" si="149"/>
        <v>58.149744340441408</v>
      </c>
      <c r="AO66">
        <v>20</v>
      </c>
      <c r="AP66">
        <v>4</v>
      </c>
      <c r="AQ66">
        <f t="shared" si="150"/>
        <v>7</v>
      </c>
      <c r="AR66">
        <f t="shared" si="151"/>
        <v>10</v>
      </c>
      <c r="AS66">
        <f t="shared" si="152"/>
        <v>5</v>
      </c>
      <c r="AT66">
        <f t="shared" si="153"/>
        <v>5</v>
      </c>
      <c r="AU66">
        <f t="shared" si="154"/>
        <v>5</v>
      </c>
      <c r="AV66">
        <f t="shared" si="155"/>
        <v>5</v>
      </c>
      <c r="AW66" s="2">
        <f t="shared" si="156"/>
        <v>48.382868342786303</v>
      </c>
      <c r="AX66" s="2">
        <f t="shared" si="157"/>
        <v>56.140384685877763</v>
      </c>
    </row>
    <row r="67" spans="1:50" x14ac:dyDescent="0.2">
      <c r="A67">
        <v>242</v>
      </c>
      <c r="B67">
        <v>242</v>
      </c>
      <c r="C67" s="20">
        <f>VLOOKUP($A67,'Data(2013)b'!$A$9:$T$302,14,FALSE)</f>
        <v>19.999084906</v>
      </c>
      <c r="D67" s="6">
        <f>VLOOKUP($B67,summary!$A$5:$M$75,8,FALSE)</f>
        <v>0.31280516301103778</v>
      </c>
      <c r="E67" s="6">
        <f>VLOOKUP($B67,summary!$A$5:$M$75,9,FALSE)</f>
        <v>4.5493238991726803E-2</v>
      </c>
      <c r="F67" s="3">
        <f>VLOOKUP($A67,'Data(2013)b'!$A$9:$T$302,18,FALSE)</f>
        <v>4.0066148123867962E-3</v>
      </c>
      <c r="G67" s="3">
        <f>VLOOKUP($A67,'Data(2013)b'!$A$9:$T$302,19,FALSE)</f>
        <v>9.6962236497533875E-4</v>
      </c>
      <c r="H67" s="15">
        <f>VLOOKUP($A67,'Data(2013)b'!$A$9:$T$302,20,FALSE)</f>
        <v>1.8059058914040143E-4</v>
      </c>
      <c r="I67" s="3">
        <v>0</v>
      </c>
      <c r="J67" s="3">
        <v>0</v>
      </c>
      <c r="K67" s="3">
        <v>0</v>
      </c>
      <c r="M67" s="3">
        <f t="shared" si="126"/>
        <v>4.0066148123867962E-3</v>
      </c>
      <c r="N67" s="3">
        <f t="shared" si="127"/>
        <v>1.8059058914040143E-4</v>
      </c>
      <c r="O67">
        <f t="shared" si="128"/>
        <v>1.6578916996768757E-2</v>
      </c>
      <c r="P67" s="26">
        <f t="shared" si="129"/>
        <v>4.6920774451655661E-3</v>
      </c>
      <c r="Q67" s="26">
        <f t="shared" si="130"/>
        <v>0</v>
      </c>
      <c r="R67" s="3">
        <f t="shared" si="131"/>
        <v>0</v>
      </c>
      <c r="S67" s="3">
        <f t="shared" si="132"/>
        <v>1.2823288295251015E-2</v>
      </c>
      <c r="T67" s="3">
        <f t="shared" si="158"/>
        <v>4.1931974425374503E-2</v>
      </c>
      <c r="U67" s="3">
        <f t="shared" si="133"/>
        <v>4.7283071565479812E-2</v>
      </c>
      <c r="V67" s="1">
        <f t="shared" si="134"/>
        <v>9.6962236497533875E-4</v>
      </c>
      <c r="W67" s="1">
        <f t="shared" si="135"/>
        <v>1.8059058914040143E-4</v>
      </c>
      <c r="X67" s="15">
        <f t="shared" si="136"/>
        <v>9.8744979504769414E-3</v>
      </c>
      <c r="Y67" s="3">
        <f t="shared" si="137"/>
        <v>6.8239858487590202E-4</v>
      </c>
      <c r="Z67" s="3">
        <f t="shared" si="138"/>
        <v>0</v>
      </c>
      <c r="AA67">
        <f t="shared" si="139"/>
        <v>0</v>
      </c>
      <c r="AB67">
        <f t="shared" si="140"/>
        <v>0</v>
      </c>
      <c r="AC67">
        <f t="shared" si="141"/>
        <v>1.8649721553831331E-3</v>
      </c>
      <c r="AD67" s="3">
        <f t="shared" si="159"/>
        <v>2.3887988347861707E-2</v>
      </c>
      <c r="AE67" s="3">
        <f t="shared" si="142"/>
        <v>2.5943366522910852E-2</v>
      </c>
      <c r="AF67" s="2">
        <v>20</v>
      </c>
      <c r="AG67" s="20">
        <v>4</v>
      </c>
      <c r="AH67">
        <f t="shared" si="143"/>
        <v>7</v>
      </c>
      <c r="AI67">
        <f t="shared" si="144"/>
        <v>10</v>
      </c>
      <c r="AJ67">
        <f t="shared" si="145"/>
        <v>5</v>
      </c>
      <c r="AK67">
        <f t="shared" si="146"/>
        <v>5</v>
      </c>
      <c r="AL67">
        <f t="shared" si="147"/>
        <v>5</v>
      </c>
      <c r="AM67" s="2">
        <f t="shared" si="148"/>
        <v>51.428920091095371</v>
      </c>
      <c r="AN67" s="2">
        <f t="shared" si="149"/>
        <v>65.443731026834584</v>
      </c>
      <c r="AO67">
        <v>20</v>
      </c>
      <c r="AP67">
        <v>4</v>
      </c>
      <c r="AQ67">
        <f t="shared" si="150"/>
        <v>7</v>
      </c>
      <c r="AR67">
        <f t="shared" si="151"/>
        <v>10</v>
      </c>
      <c r="AS67">
        <f t="shared" si="152"/>
        <v>5</v>
      </c>
      <c r="AT67">
        <f t="shared" si="153"/>
        <v>5</v>
      </c>
      <c r="AU67">
        <f t="shared" si="154"/>
        <v>5</v>
      </c>
      <c r="AV67">
        <f t="shared" si="155"/>
        <v>5</v>
      </c>
      <c r="AW67" s="2">
        <f t="shared" si="156"/>
        <v>58.617348221537142</v>
      </c>
      <c r="AX67" s="2">
        <f t="shared" si="157"/>
        <v>65.503411392017114</v>
      </c>
    </row>
    <row r="68" spans="1:50" x14ac:dyDescent="0.2">
      <c r="A68">
        <v>243</v>
      </c>
      <c r="B68">
        <v>243</v>
      </c>
      <c r="C68" s="20">
        <f>VLOOKUP($A68,'Data(2013)b'!$A$9:$T$302,14,FALSE)</f>
        <v>9.999829483800001</v>
      </c>
      <c r="D68" s="6">
        <f>VLOOKUP($B68,summary!$A$5:$M$75,8,FALSE)</f>
        <v>0.34690340839935313</v>
      </c>
      <c r="E68" s="6">
        <f>VLOOKUP($B68,summary!$A$5:$M$75,9,FALSE)</f>
        <v>2.6036797087866981E-2</v>
      </c>
      <c r="F68" s="3">
        <f>VLOOKUP($A68,'Data(2013)b'!$A$9:$T$302,18,FALSE)</f>
        <v>6.8726270812218306E-3</v>
      </c>
      <c r="G68" s="3">
        <f>VLOOKUP($A68,'Data(2013)b'!$A$9:$T$302,19,FALSE)</f>
        <v>3.6790436965737773E-3</v>
      </c>
      <c r="H68" s="15">
        <f>VLOOKUP($A68,'Data(2013)b'!$A$9:$T$302,20,FALSE)</f>
        <v>1.5983134373455247E-4</v>
      </c>
      <c r="I68" s="3">
        <v>0</v>
      </c>
      <c r="J68" s="3">
        <v>0</v>
      </c>
      <c r="K68" s="3">
        <v>0</v>
      </c>
      <c r="M68" s="3">
        <f t="shared" si="126"/>
        <v>6.8726270812218306E-3</v>
      </c>
      <c r="N68" s="3">
        <f t="shared" si="127"/>
        <v>1.5983134373455247E-4</v>
      </c>
      <c r="O68">
        <f t="shared" si="128"/>
        <v>1.6578916996768757E-2</v>
      </c>
      <c r="P68" s="26">
        <f t="shared" si="129"/>
        <v>5.203551125990297E-3</v>
      </c>
      <c r="Q68" s="26">
        <f t="shared" si="130"/>
        <v>0</v>
      </c>
      <c r="R68" s="3">
        <f t="shared" si="131"/>
        <v>0</v>
      </c>
      <c r="S68" s="3">
        <f t="shared" si="132"/>
        <v>1.4221128493180076E-2</v>
      </c>
      <c r="T68" s="3">
        <f t="shared" si="158"/>
        <v>4.8426786498055818E-2</v>
      </c>
      <c r="U68" s="3">
        <f t="shared" si="133"/>
        <v>5.3819978895484025E-2</v>
      </c>
      <c r="V68" s="1">
        <f t="shared" si="134"/>
        <v>3.6790436965737773E-3</v>
      </c>
      <c r="W68" s="1">
        <f t="shared" si="135"/>
        <v>1.5983134373455247E-4</v>
      </c>
      <c r="X68" s="15">
        <f t="shared" si="136"/>
        <v>9.8744979504769414E-3</v>
      </c>
      <c r="Y68" s="3">
        <f t="shared" si="137"/>
        <v>3.9055195631800471E-4</v>
      </c>
      <c r="Z68" s="3">
        <f t="shared" si="138"/>
        <v>0</v>
      </c>
      <c r="AA68">
        <f t="shared" si="139"/>
        <v>0</v>
      </c>
      <c r="AB68">
        <f t="shared" si="140"/>
        <v>0</v>
      </c>
      <c r="AC68">
        <f t="shared" si="141"/>
        <v>1.0673652318548496E-3</v>
      </c>
      <c r="AD68" s="3">
        <f t="shared" si="159"/>
        <v>2.9287021439262331E-2</v>
      </c>
      <c r="AE68" s="3">
        <f t="shared" si="142"/>
        <v>3.1146236409978659E-2</v>
      </c>
      <c r="AF68" s="2">
        <v>20</v>
      </c>
      <c r="AG68" s="20">
        <v>4</v>
      </c>
      <c r="AH68">
        <f t="shared" si="143"/>
        <v>7</v>
      </c>
      <c r="AI68">
        <f t="shared" si="144"/>
        <v>10</v>
      </c>
      <c r="AJ68">
        <f t="shared" si="145"/>
        <v>5</v>
      </c>
      <c r="AK68">
        <f t="shared" si="146"/>
        <v>5</v>
      </c>
      <c r="AL68">
        <f t="shared" si="147"/>
        <v>5</v>
      </c>
      <c r="AM68" s="2">
        <f t="shared" si="148"/>
        <v>52.996265393860035</v>
      </c>
      <c r="AN68" s="2">
        <f t="shared" si="149"/>
        <v>68.250010204095503</v>
      </c>
      <c r="AO68">
        <v>20</v>
      </c>
      <c r="AP68">
        <v>4</v>
      </c>
      <c r="AQ68">
        <f t="shared" si="150"/>
        <v>7</v>
      </c>
      <c r="AR68">
        <f t="shared" si="151"/>
        <v>10</v>
      </c>
      <c r="AS68">
        <f t="shared" si="152"/>
        <v>5</v>
      </c>
      <c r="AT68">
        <f t="shared" si="153"/>
        <v>5</v>
      </c>
      <c r="AU68">
        <f t="shared" si="154"/>
        <v>5</v>
      </c>
      <c r="AV68">
        <f t="shared" si="155"/>
        <v>5</v>
      </c>
      <c r="AW68" s="2">
        <f t="shared" si="156"/>
        <v>28.015260721093341</v>
      </c>
      <c r="AX68" s="2">
        <f t="shared" si="157"/>
        <v>34.061832519126185</v>
      </c>
    </row>
    <row r="69" spans="1:50" x14ac:dyDescent="0.2">
      <c r="A69">
        <v>244</v>
      </c>
      <c r="B69">
        <v>244</v>
      </c>
      <c r="C69" s="20">
        <f>VLOOKUP($A69,'Data(2013)b'!$A$9:$T$302,14,FALSE)</f>
        <v>4.9392275202000002</v>
      </c>
      <c r="D69" s="6">
        <f>VLOOKUP($B69,summary!$A$5:$M$75,8,FALSE)</f>
        <v>0.36805932694608762</v>
      </c>
      <c r="E69" s="6">
        <f>VLOOKUP($B69,summary!$A$5:$M$75,9,FALSE)</f>
        <v>4.6965346060309596E-2</v>
      </c>
      <c r="F69" s="3">
        <f>VLOOKUP($A69,'Data(2013)b'!$A$9:$T$302,18,FALSE)</f>
        <v>1.1384145285642758E-2</v>
      </c>
      <c r="G69" s="3">
        <f>VLOOKUP($A69,'Data(2013)b'!$A$9:$T$302,19,FALSE)</f>
        <v>1.2239567665193541E-2</v>
      </c>
      <c r="H69" s="15">
        <f>VLOOKUP($A69,'Data(2013)b'!$A$9:$T$302,20,FALSE)</f>
        <v>1.3486988033708074E-4</v>
      </c>
      <c r="I69" s="3">
        <v>0</v>
      </c>
      <c r="J69" s="3">
        <v>0</v>
      </c>
      <c r="K69" s="3">
        <v>0</v>
      </c>
      <c r="M69" s="3">
        <f t="shared" si="126"/>
        <v>1.1384145285642758E-2</v>
      </c>
      <c r="N69" s="3">
        <f t="shared" si="127"/>
        <v>1.3486988033708074E-4</v>
      </c>
      <c r="O69">
        <f t="shared" si="128"/>
        <v>1.6578916996768757E-2</v>
      </c>
      <c r="P69" s="26">
        <f t="shared" si="129"/>
        <v>5.520889904191314E-3</v>
      </c>
      <c r="Q69" s="26">
        <f t="shared" si="130"/>
        <v>0</v>
      </c>
      <c r="R69" s="3">
        <f t="shared" si="131"/>
        <v>0</v>
      </c>
      <c r="S69" s="3">
        <f t="shared" si="132"/>
        <v>1.5088404595864005E-2</v>
      </c>
      <c r="T69" s="3">
        <f t="shared" si="158"/>
        <v>6.1692845661674114E-2</v>
      </c>
      <c r="U69" s="3">
        <f t="shared" si="133"/>
        <v>6.6847773537888497E-2</v>
      </c>
      <c r="V69" s="1">
        <f t="shared" si="134"/>
        <v>1.2239567665193541E-2</v>
      </c>
      <c r="W69" s="1">
        <f t="shared" si="135"/>
        <v>1.3486988033708074E-4</v>
      </c>
      <c r="X69" s="15">
        <f t="shared" si="136"/>
        <v>9.8744979504769414E-3</v>
      </c>
      <c r="Y69" s="3">
        <f t="shared" si="137"/>
        <v>7.0448019090464393E-4</v>
      </c>
      <c r="Z69" s="3">
        <f t="shared" si="138"/>
        <v>0</v>
      </c>
      <c r="AA69">
        <f t="shared" si="139"/>
        <v>0</v>
      </c>
      <c r="AB69">
        <f t="shared" si="140"/>
        <v>0</v>
      </c>
      <c r="AC69">
        <f t="shared" si="141"/>
        <v>1.9253204346768732E-3</v>
      </c>
      <c r="AD69" s="3">
        <f t="shared" si="159"/>
        <v>4.7107264716717459E-2</v>
      </c>
      <c r="AE69" s="3">
        <f t="shared" si="142"/>
        <v>4.9705416772177879E-2</v>
      </c>
      <c r="AF69" s="2">
        <v>20</v>
      </c>
      <c r="AG69" s="20">
        <v>4</v>
      </c>
      <c r="AH69">
        <f t="shared" si="143"/>
        <v>7</v>
      </c>
      <c r="AI69">
        <f t="shared" si="144"/>
        <v>10</v>
      </c>
      <c r="AJ69">
        <f t="shared" si="145"/>
        <v>5</v>
      </c>
      <c r="AK69">
        <f t="shared" si="146"/>
        <v>5</v>
      </c>
      <c r="AL69">
        <f t="shared" si="147"/>
        <v>5</v>
      </c>
      <c r="AM69" s="2">
        <f t="shared" si="148"/>
        <v>27.917053305351203</v>
      </c>
      <c r="AN69" s="2">
        <f t="shared" si="149"/>
        <v>36.912300494545292</v>
      </c>
      <c r="AO69">
        <v>20</v>
      </c>
      <c r="AP69">
        <v>4</v>
      </c>
      <c r="AQ69">
        <f t="shared" si="150"/>
        <v>7</v>
      </c>
      <c r="AR69">
        <f t="shared" si="151"/>
        <v>10</v>
      </c>
      <c r="AS69">
        <f t="shared" si="152"/>
        <v>5</v>
      </c>
      <c r="AT69">
        <f t="shared" si="153"/>
        <v>5</v>
      </c>
      <c r="AU69">
        <f t="shared" si="154"/>
        <v>5</v>
      </c>
      <c r="AV69">
        <f t="shared" si="155"/>
        <v>5</v>
      </c>
      <c r="AW69" s="2">
        <f t="shared" si="156"/>
        <v>11.066510017928369</v>
      </c>
      <c r="AX69" s="2">
        <f t="shared" si="157"/>
        <v>13.641348389625014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J40"/>
  <sheetViews>
    <sheetView topLeftCell="A4" workbookViewId="0">
      <selection activeCell="I5" sqref="I5"/>
    </sheetView>
  </sheetViews>
  <sheetFormatPr defaultRowHeight="12.75" x14ac:dyDescent="0.2"/>
  <cols>
    <col min="3" max="3" width="5.28515625" bestFit="1" customWidth="1"/>
    <col min="4" max="4" width="7.42578125" customWidth="1"/>
    <col min="5" max="5" width="16.85546875" customWidth="1"/>
    <col min="6" max="6" width="4.85546875" customWidth="1"/>
    <col min="7" max="7" width="14" customWidth="1"/>
    <col min="8" max="8" width="47.42578125" customWidth="1"/>
    <col min="9" max="9" width="65.5703125" customWidth="1"/>
    <col min="10" max="10" width="51.7109375" customWidth="1"/>
  </cols>
  <sheetData>
    <row r="1" spans="1:10" x14ac:dyDescent="0.2">
      <c r="A1" s="5" t="s">
        <v>711</v>
      </c>
    </row>
    <row r="2" spans="1:10" x14ac:dyDescent="0.2">
      <c r="A2" s="8"/>
    </row>
    <row r="3" spans="1:10" x14ac:dyDescent="0.2">
      <c r="B3" s="5" t="s">
        <v>270</v>
      </c>
    </row>
    <row r="5" spans="1:10" x14ac:dyDescent="0.2">
      <c r="B5" s="5" t="s">
        <v>743</v>
      </c>
      <c r="C5" s="5" t="s">
        <v>275</v>
      </c>
      <c r="D5" s="5" t="s">
        <v>219</v>
      </c>
      <c r="E5" s="5" t="s">
        <v>288</v>
      </c>
      <c r="F5" s="5" t="s">
        <v>586</v>
      </c>
      <c r="G5" s="5" t="s">
        <v>288</v>
      </c>
      <c r="H5" s="5" t="s">
        <v>289</v>
      </c>
      <c r="I5" s="5" t="s">
        <v>714</v>
      </c>
      <c r="J5" s="5" t="s">
        <v>294</v>
      </c>
    </row>
    <row r="6" spans="1:10" x14ac:dyDescent="0.2">
      <c r="B6">
        <v>1</v>
      </c>
      <c r="C6" t="s">
        <v>279</v>
      </c>
      <c r="D6" s="3">
        <f>'Data(2013)'!AG297</f>
        <v>1.6578916996768757E-2</v>
      </c>
      <c r="E6" t="s">
        <v>271</v>
      </c>
      <c r="F6">
        <v>7</v>
      </c>
      <c r="G6" t="s">
        <v>273</v>
      </c>
      <c r="H6" t="s">
        <v>278</v>
      </c>
      <c r="I6" s="8" t="s">
        <v>721</v>
      </c>
      <c r="J6" t="s">
        <v>722</v>
      </c>
    </row>
    <row r="7" spans="1:10" x14ac:dyDescent="0.2">
      <c r="B7">
        <v>2</v>
      </c>
      <c r="C7" t="s">
        <v>279</v>
      </c>
      <c r="D7" s="3">
        <f>'Data(2013)'!AR297</f>
        <v>9.8744979504769414E-3</v>
      </c>
      <c r="E7" t="s">
        <v>272</v>
      </c>
      <c r="F7">
        <v>7</v>
      </c>
      <c r="G7" t="s">
        <v>274</v>
      </c>
      <c r="H7" t="s">
        <v>278</v>
      </c>
      <c r="I7" s="8" t="s">
        <v>721</v>
      </c>
      <c r="J7" t="s">
        <v>723</v>
      </c>
    </row>
    <row r="8" spans="1:10" x14ac:dyDescent="0.2">
      <c r="B8">
        <v>3</v>
      </c>
      <c r="C8" s="8" t="s">
        <v>717</v>
      </c>
      <c r="D8">
        <v>1.4999999999999999E-2</v>
      </c>
      <c r="E8" t="s">
        <v>276</v>
      </c>
      <c r="F8">
        <v>10</v>
      </c>
      <c r="G8" t="s">
        <v>277</v>
      </c>
      <c r="H8" t="s">
        <v>357</v>
      </c>
      <c r="I8" s="8" t="s">
        <v>716</v>
      </c>
      <c r="J8" t="s">
        <v>295</v>
      </c>
    </row>
    <row r="9" spans="1:10" x14ac:dyDescent="0.2">
      <c r="B9">
        <v>4</v>
      </c>
      <c r="C9" t="s">
        <v>345</v>
      </c>
      <c r="D9" s="3">
        <v>0.1</v>
      </c>
      <c r="E9" t="s">
        <v>361</v>
      </c>
      <c r="F9">
        <v>5</v>
      </c>
      <c r="G9" t="s">
        <v>362</v>
      </c>
      <c r="H9" t="s">
        <v>363</v>
      </c>
      <c r="I9" s="177" t="s">
        <v>718</v>
      </c>
      <c r="J9" s="8" t="s">
        <v>719</v>
      </c>
    </row>
    <row r="10" spans="1:10" x14ac:dyDescent="0.2">
      <c r="B10">
        <v>5</v>
      </c>
      <c r="D10" s="3">
        <v>0.5</v>
      </c>
      <c r="E10" t="s">
        <v>282</v>
      </c>
      <c r="F10">
        <v>5</v>
      </c>
      <c r="G10" t="s">
        <v>283</v>
      </c>
      <c r="H10" t="s">
        <v>280</v>
      </c>
      <c r="I10" s="8" t="s">
        <v>724</v>
      </c>
      <c r="J10" t="s">
        <v>297</v>
      </c>
    </row>
    <row r="11" spans="1:10" x14ac:dyDescent="0.2">
      <c r="B11">
        <v>6</v>
      </c>
      <c r="D11" s="3">
        <v>0.2</v>
      </c>
      <c r="E11" t="s">
        <v>281</v>
      </c>
      <c r="F11">
        <v>5</v>
      </c>
      <c r="G11" t="s">
        <v>284</v>
      </c>
      <c r="H11" t="s">
        <v>285</v>
      </c>
      <c r="I11" s="8" t="s">
        <v>725</v>
      </c>
      <c r="J11" t="s">
        <v>296</v>
      </c>
    </row>
    <row r="12" spans="1:10" x14ac:dyDescent="0.2">
      <c r="B12">
        <v>7</v>
      </c>
      <c r="D12" s="3">
        <f>SQRT((0.005*(1/0.486))^2+(0.005*(1/0.126))^2)</f>
        <v>4.0994490537864067E-2</v>
      </c>
      <c r="E12" t="s">
        <v>290</v>
      </c>
      <c r="F12">
        <v>5</v>
      </c>
      <c r="G12" t="s">
        <v>292</v>
      </c>
      <c r="H12" t="s">
        <v>315</v>
      </c>
      <c r="I12" s="177" t="s">
        <v>741</v>
      </c>
      <c r="J12" t="s">
        <v>295</v>
      </c>
    </row>
    <row r="13" spans="1:10" x14ac:dyDescent="0.2">
      <c r="D13" s="3">
        <f>SQRT((0.005*(1/0.486))^2+(0.005*(1/0.326))^2)</f>
        <v>1.846837439195095E-2</v>
      </c>
      <c r="E13" t="s">
        <v>291</v>
      </c>
      <c r="F13">
        <v>5</v>
      </c>
      <c r="G13" t="s">
        <v>293</v>
      </c>
      <c r="H13" t="s">
        <v>316</v>
      </c>
      <c r="I13" s="177" t="s">
        <v>742</v>
      </c>
      <c r="J13" t="s">
        <v>295</v>
      </c>
    </row>
    <row r="22" spans="3:7" x14ac:dyDescent="0.2">
      <c r="E22">
        <f>G22*0.2</f>
        <v>4.0383579908207481E-8</v>
      </c>
      <c r="G22">
        <f>0.126/(688*907)</f>
        <v>2.019178995410374E-7</v>
      </c>
    </row>
    <row r="23" spans="3:7" x14ac:dyDescent="0.2">
      <c r="E23">
        <f>G23*0.2</f>
        <v>1.3243640950178684E-6</v>
      </c>
      <c r="G23">
        <f>0.126/(134*142)</f>
        <v>6.6218204750893422E-6</v>
      </c>
    </row>
    <row r="25" spans="3:7" x14ac:dyDescent="0.2">
      <c r="D25" t="s">
        <v>98</v>
      </c>
      <c r="E25" t="s">
        <v>99</v>
      </c>
    </row>
    <row r="26" spans="3:7" x14ac:dyDescent="0.2">
      <c r="C26" t="s">
        <v>735</v>
      </c>
      <c r="D26">
        <v>5.0000000000000001E-3</v>
      </c>
    </row>
    <row r="27" spans="3:7" x14ac:dyDescent="0.2">
      <c r="C27" t="s">
        <v>726</v>
      </c>
      <c r="D27">
        <v>0.2</v>
      </c>
      <c r="E27">
        <v>0</v>
      </c>
      <c r="G27" t="str">
        <f>COMPLEX(D27,E27)</f>
        <v>0.2</v>
      </c>
    </row>
    <row r="28" spans="3:7" x14ac:dyDescent="0.2">
      <c r="C28" t="s">
        <v>730</v>
      </c>
      <c r="D28">
        <v>0.26812859591789245</v>
      </c>
      <c r="E28">
        <v>2.3475901491535355E-3</v>
      </c>
      <c r="G28" t="str">
        <f t="shared" ref="G28:G32" si="0">COMPLEX(D28,E28)</f>
        <v>0.268128595917892+0.00234759014915354i</v>
      </c>
    </row>
    <row r="29" spans="3:7" x14ac:dyDescent="0.2">
      <c r="C29" t="s">
        <v>727</v>
      </c>
      <c r="D29">
        <v>0</v>
      </c>
      <c r="E29">
        <v>0</v>
      </c>
      <c r="G29" t="str">
        <f t="shared" si="0"/>
        <v>0</v>
      </c>
    </row>
    <row r="30" spans="3:7" x14ac:dyDescent="0.2">
      <c r="C30" t="s">
        <v>731</v>
      </c>
      <c r="D30">
        <v>0.12609417887003813</v>
      </c>
      <c r="E30">
        <v>3.0192584404297668E-3</v>
      </c>
      <c r="G30" t="str">
        <f t="shared" si="0"/>
        <v>0.126094178870038+0.00301925844042977i</v>
      </c>
    </row>
    <row r="31" spans="3:7" x14ac:dyDescent="0.2">
      <c r="C31" t="s">
        <v>728</v>
      </c>
      <c r="D31">
        <v>686.39788394354503</v>
      </c>
      <c r="E31">
        <v>840.13368760282503</v>
      </c>
      <c r="G31" t="str">
        <f t="shared" si="0"/>
        <v>686.397883943545+840.133687602825i</v>
      </c>
    </row>
    <row r="32" spans="3:7" x14ac:dyDescent="0.2">
      <c r="C32" t="s">
        <v>729</v>
      </c>
      <c r="D32" s="305">
        <v>102.897255453456</v>
      </c>
      <c r="E32" s="305">
        <v>495.35857010481698</v>
      </c>
      <c r="G32" t="str">
        <f t="shared" si="0"/>
        <v>102.897255453456+495.358570104817i</v>
      </c>
    </row>
    <row r="33" spans="2:7" x14ac:dyDescent="0.2">
      <c r="B33" t="s">
        <v>737</v>
      </c>
      <c r="D33" s="3">
        <f>IMREAL(G37)*1000000</f>
        <v>0.21516015635370001</v>
      </c>
      <c r="E33" s="3">
        <f>IMAGINARY(G37)*1000000</f>
        <v>-0.34492601966784198</v>
      </c>
    </row>
    <row r="34" spans="2:7" x14ac:dyDescent="0.2">
      <c r="E34" t="s">
        <v>732</v>
      </c>
      <c r="G34" t="str">
        <f>IMSUM(G29,G30)</f>
        <v>0.126094178870038+0.00301925844042977i</v>
      </c>
    </row>
    <row r="35" spans="2:7" x14ac:dyDescent="0.2">
      <c r="E35" t="s">
        <v>733</v>
      </c>
      <c r="G35" t="str">
        <f>IMSUM(G31,G32)</f>
        <v>789.295139397001+1335.49225770764i</v>
      </c>
    </row>
    <row r="36" spans="2:7" x14ac:dyDescent="0.2">
      <c r="E36" t="s">
        <v>734</v>
      </c>
      <c r="G36" t="str">
        <f>IMDIV(G34,G35)</f>
        <v>0.0000430320312707399-0.0000689852039335684i</v>
      </c>
    </row>
    <row r="37" spans="2:7" x14ac:dyDescent="0.2">
      <c r="E37" t="s">
        <v>736</v>
      </c>
      <c r="G37" t="str">
        <f>IMPRODUCT(G36,D26)</f>
        <v>0.0000002151601563537-3.44926019667842E-07i</v>
      </c>
    </row>
    <row r="39" spans="2:7" x14ac:dyDescent="0.2">
      <c r="B39" t="s">
        <v>738</v>
      </c>
      <c r="E39" t="s">
        <v>739</v>
      </c>
      <c r="G39" t="s">
        <v>740</v>
      </c>
    </row>
    <row r="40" spans="2:7" x14ac:dyDescent="0.2">
      <c r="D40">
        <f>D26*(1/(D28+D27)+1/(D30+D29))</f>
        <v>5.0333726900171974E-2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T72"/>
  <sheetViews>
    <sheetView showGridLines="0" topLeftCell="B16" zoomScale="90" zoomScaleNormal="90" workbookViewId="0">
      <selection activeCell="O65" sqref="O65"/>
    </sheetView>
  </sheetViews>
  <sheetFormatPr defaultRowHeight="12.75" x14ac:dyDescent="0.2"/>
  <cols>
    <col min="6" max="6" width="10.7109375" customWidth="1"/>
    <col min="9" max="9" width="10.42578125" customWidth="1"/>
    <col min="11" max="11" width="9.42578125" customWidth="1"/>
    <col min="12" max="12" width="9.5703125" customWidth="1"/>
  </cols>
  <sheetData>
    <row r="1" spans="1:20" x14ac:dyDescent="0.2">
      <c r="D1" s="5" t="s">
        <v>712</v>
      </c>
      <c r="N1" s="5" t="s">
        <v>713</v>
      </c>
    </row>
    <row r="3" spans="1:20" ht="13.5" thickBot="1" x14ac:dyDescent="0.25"/>
    <row r="4" spans="1:20" x14ac:dyDescent="0.2">
      <c r="D4" s="43" t="s">
        <v>340</v>
      </c>
      <c r="E4" s="44"/>
      <c r="F4" s="44"/>
      <c r="G4" s="44"/>
      <c r="H4" s="44"/>
      <c r="I4" s="44"/>
      <c r="J4" s="44"/>
      <c r="K4" s="44"/>
      <c r="L4" s="45"/>
      <c r="N4" s="43" t="s">
        <v>340</v>
      </c>
      <c r="O4" s="44"/>
      <c r="P4" s="44"/>
      <c r="Q4" s="44"/>
      <c r="R4" s="44"/>
      <c r="S4" s="44"/>
      <c r="T4" s="45"/>
    </row>
    <row r="5" spans="1:20" ht="14.25" x14ac:dyDescent="0.25">
      <c r="D5" s="46" t="s">
        <v>335</v>
      </c>
      <c r="E5" s="16"/>
      <c r="F5" s="16"/>
      <c r="G5" s="16"/>
      <c r="H5" s="16"/>
      <c r="I5" s="16"/>
      <c r="J5" s="16"/>
      <c r="K5" s="16"/>
      <c r="L5" s="47"/>
      <c r="N5" s="46" t="s">
        <v>706</v>
      </c>
      <c r="O5" s="16"/>
      <c r="P5" s="16"/>
      <c r="Q5" s="16"/>
      <c r="R5" s="16"/>
      <c r="S5" s="16"/>
      <c r="T5" s="47"/>
    </row>
    <row r="6" spans="1:20" x14ac:dyDescent="0.2">
      <c r="D6" s="48"/>
      <c r="E6" s="49"/>
      <c r="F6" s="49"/>
      <c r="G6" s="49"/>
      <c r="H6" s="49"/>
      <c r="I6" s="49"/>
      <c r="J6" s="49"/>
      <c r="K6" s="49"/>
      <c r="L6" s="50"/>
      <c r="N6" s="48"/>
      <c r="O6" s="49"/>
      <c r="P6" s="49"/>
      <c r="Q6" s="49"/>
      <c r="R6" s="49"/>
      <c r="S6" s="49"/>
      <c r="T6" s="50"/>
    </row>
    <row r="7" spans="1:20" ht="27" customHeight="1" x14ac:dyDescent="0.2">
      <c r="D7" s="58" t="s">
        <v>323</v>
      </c>
      <c r="E7" s="325" t="s">
        <v>326</v>
      </c>
      <c r="F7" s="319"/>
      <c r="G7" s="326"/>
      <c r="H7" s="325" t="s">
        <v>327</v>
      </c>
      <c r="I7" s="319"/>
      <c r="J7" s="326"/>
      <c r="K7" s="325" t="s">
        <v>334</v>
      </c>
      <c r="L7" s="320"/>
      <c r="N7" s="267" t="s">
        <v>699</v>
      </c>
      <c r="O7" s="318" t="s">
        <v>215</v>
      </c>
      <c r="P7" s="319"/>
      <c r="Q7" s="318" t="s">
        <v>703</v>
      </c>
      <c r="R7" s="319"/>
      <c r="S7" s="318" t="s">
        <v>704</v>
      </c>
      <c r="T7" s="320"/>
    </row>
    <row r="8" spans="1:20" ht="62.45" customHeight="1" x14ac:dyDescent="0.2">
      <c r="D8" s="59" t="s">
        <v>325</v>
      </c>
      <c r="E8" s="67" t="s">
        <v>324</v>
      </c>
      <c r="F8" s="68" t="s">
        <v>329</v>
      </c>
      <c r="G8" s="66" t="s">
        <v>330</v>
      </c>
      <c r="H8" s="60" t="s">
        <v>328</v>
      </c>
      <c r="I8" s="61" t="s">
        <v>331</v>
      </c>
      <c r="J8" s="62" t="s">
        <v>330</v>
      </c>
      <c r="K8" s="61" t="s">
        <v>332</v>
      </c>
      <c r="L8" s="63" t="s">
        <v>333</v>
      </c>
      <c r="N8" s="268" t="s">
        <v>700</v>
      </c>
      <c r="O8" s="272" t="s">
        <v>701</v>
      </c>
      <c r="P8" s="269" t="s">
        <v>702</v>
      </c>
      <c r="Q8" s="275" t="s">
        <v>701</v>
      </c>
      <c r="R8" s="271" t="s">
        <v>702</v>
      </c>
      <c r="S8" s="275" t="s">
        <v>705</v>
      </c>
      <c r="T8" s="276" t="s">
        <v>327</v>
      </c>
    </row>
    <row r="9" spans="1:20" x14ac:dyDescent="0.2">
      <c r="A9">
        <v>145</v>
      </c>
      <c r="B9">
        <v>145</v>
      </c>
      <c r="D9" s="51">
        <f>VLOOKUP($A9,summary!$A$5:$M$109,3,FALSE)</f>
        <v>119.92134297999999</v>
      </c>
      <c r="E9" s="243">
        <f>VLOOKUP($A9,summary!$A$5:$M$109,8,FALSE)</f>
        <v>0.20126165535041779</v>
      </c>
      <c r="F9" s="244">
        <f>VLOOKUP($B9,uncertainties!$A$16:$AX$77,21,FALSE)</f>
        <v>1.8935157502670767E-2</v>
      </c>
      <c r="G9" s="53">
        <f>VLOOKUP($B9,uncertainties!$A$16:$AX$77,40,FALSE)</f>
        <v>10.959251090528612</v>
      </c>
      <c r="H9" s="52">
        <f>VLOOKUP($A9,summary!$A$5:$M$109,9,FALSE)</f>
        <v>0.18102636161788591</v>
      </c>
      <c r="I9" s="52">
        <f>VLOOKUP($B9,uncertainties!$A$16:$AX$77,31,FALSE)</f>
        <v>1.2908377373303465E-2</v>
      </c>
      <c r="J9" s="53">
        <f>VLOOKUP($B9,uncertainties!$A$16:$AX$77,50,FALSE)</f>
        <v>14.075610432528974</v>
      </c>
      <c r="K9" s="52">
        <f>VLOOKUP($A9,summary!$A$5:$M$109,12,FALSE)</f>
        <v>3.2786265184638536E-2</v>
      </c>
      <c r="L9" s="54">
        <f>VLOOKUP($A9,summary!$A$5:$M$109,13,FALSE)</f>
        <v>1.9133546231955012E-2</v>
      </c>
      <c r="M9" s="3"/>
      <c r="N9" s="51">
        <f>VLOOKUP($A9,summary!$A$5:$M$109,3,FALSE)</f>
        <v>119.92134297999999</v>
      </c>
      <c r="O9" s="94">
        <f>VLOOKUP($A9,summary!$A$5:$M$109,8,FALSE)</f>
        <v>0.20126165535041779</v>
      </c>
      <c r="P9" s="93">
        <f>VLOOKUP($A9,summary!$A$5:$M$109,9,FALSE)</f>
        <v>0.18102636161788591</v>
      </c>
      <c r="Q9" s="95">
        <f t="shared" ref="Q9:Q15" si="0">F9*S9</f>
        <v>4.1514086712824562E-2</v>
      </c>
      <c r="R9" s="92">
        <f t="shared" ref="R9:R15" si="1">I9*T9</f>
        <v>2.7591552259019578E-2</v>
      </c>
      <c r="S9" s="277">
        <f t="shared" ref="S9:S15" si="2">CoverFactor(G9)</f>
        <v>2.1924341905774525</v>
      </c>
      <c r="T9" s="278">
        <f t="shared" ref="T9:T15" si="3">CoverFactor(J9)</f>
        <v>2.1374919140559996</v>
      </c>
    </row>
    <row r="10" spans="1:20" x14ac:dyDescent="0.2">
      <c r="A10">
        <v>146</v>
      </c>
      <c r="B10">
        <v>146</v>
      </c>
      <c r="D10" s="55">
        <f>VLOOKUP($A10,summary!$A$5:$M$109,3,FALSE)</f>
        <v>100.12826708</v>
      </c>
      <c r="E10" s="245">
        <f>VLOOKUP($A10,summary!$A$5:$M$109,8,FALSE)</f>
        <v>0.22128048997689495</v>
      </c>
      <c r="F10" s="52">
        <f>VLOOKUP($B10,uncertainties!$A$16:$AX$77,21,FALSE)</f>
        <v>1.929137103341037E-2</v>
      </c>
      <c r="G10" s="56">
        <f>VLOOKUP($B10,uncertainties!$A$16:$AX$77,40,FALSE)</f>
        <v>11.387809169037675</v>
      </c>
      <c r="H10" s="52">
        <f>VLOOKUP($A10,summary!$A$5:$M$109,9,FALSE)</f>
        <v>0.17953313928460707</v>
      </c>
      <c r="I10" s="52">
        <f>VLOOKUP($B10,uncertainties!$A$16:$AX$77,31,FALSE)</f>
        <v>1.2764090909300415E-2</v>
      </c>
      <c r="J10" s="56">
        <f>VLOOKUP($B10,uncertainties!$A$16:$AX$77,50,FALSE)</f>
        <v>13.587946473041399</v>
      </c>
      <c r="K10" s="52">
        <f>VLOOKUP($A10,summary!$A$5:$M$109,12,FALSE)</f>
        <v>3.2455024077032685E-2</v>
      </c>
      <c r="L10" s="54">
        <f>VLOOKUP($A10,summary!$A$5:$M$109,13,FALSE)</f>
        <v>1.778274927863116E-2</v>
      </c>
      <c r="M10" s="3"/>
      <c r="N10" s="55">
        <f>VLOOKUP($A10,summary!$A$5:$M$109,3,FALSE)</f>
        <v>100.12826708</v>
      </c>
      <c r="O10" s="95">
        <f>VLOOKUP($A10,summary!$A$5:$M$109,8,FALSE)</f>
        <v>0.22128048997689495</v>
      </c>
      <c r="P10" s="92">
        <f>VLOOKUP($A10,summary!$A$5:$M$109,9,FALSE)</f>
        <v>0.17953313928460707</v>
      </c>
      <c r="Q10" s="95">
        <f t="shared" si="0"/>
        <v>4.2111514880567996E-2</v>
      </c>
      <c r="R10" s="92">
        <f t="shared" si="1"/>
        <v>2.7369958586412203E-2</v>
      </c>
      <c r="S10" s="279">
        <f t="shared" si="2"/>
        <v>2.1829197524445432</v>
      </c>
      <c r="T10" s="278">
        <f t="shared" si="3"/>
        <v>2.1442936109511241</v>
      </c>
    </row>
    <row r="11" spans="1:20" x14ac:dyDescent="0.2">
      <c r="A11">
        <v>147</v>
      </c>
      <c r="B11">
        <v>147</v>
      </c>
      <c r="D11" s="55">
        <f>VLOOKUP($A11,summary!$A$5:$M$109,3,FALSE)</f>
        <v>60.003849412000001</v>
      </c>
      <c r="E11" s="245">
        <f>VLOOKUP($A11,summary!$A$5:$M$109,8,FALSE)</f>
        <v>0.29400347632483392</v>
      </c>
      <c r="F11" s="52">
        <f>VLOOKUP($B11,uncertainties!$A$16:$AX$77,21,FALSE)</f>
        <v>2.1233445153527378E-2</v>
      </c>
      <c r="G11" s="56">
        <f>VLOOKUP($B11,uncertainties!$A$16:$AX$77,40,FALSE)</f>
        <v>13.483808138103312</v>
      </c>
      <c r="H11" s="52">
        <f>VLOOKUP($A11,summary!$A$5:$M$109,9,FALSE)</f>
        <v>0.16541469617805926</v>
      </c>
      <c r="I11" s="52">
        <f>VLOOKUP($B11,uncertainties!$A$16:$AX$77,31,FALSE)</f>
        <v>1.2711819643858967E-2</v>
      </c>
      <c r="J11" s="56">
        <f>VLOOKUP($B11,uncertainties!$A$16:$AX$77,50,FALSE)</f>
        <v>14.429493281774551</v>
      </c>
      <c r="K11" s="52">
        <f>VLOOKUP($A11,summary!$A$5:$M$109,12,FALSE)</f>
        <v>4.5494995377368674E-2</v>
      </c>
      <c r="L11" s="54">
        <f>VLOOKUP($A11,summary!$A$5:$M$109,13,FALSE)</f>
        <v>9.9112022339203631E-3</v>
      </c>
      <c r="M11" s="3"/>
      <c r="N11" s="55">
        <f>VLOOKUP($A11,summary!$A$5:$M$109,3,FALSE)</f>
        <v>60.003849412000001</v>
      </c>
      <c r="O11" s="95">
        <f>VLOOKUP($A11,summary!$A$5:$M$109,8,FALSE)</f>
        <v>0.29400347632483392</v>
      </c>
      <c r="P11" s="92">
        <f>VLOOKUP($A11,summary!$A$5:$M$109,9,FALSE)</f>
        <v>0.16541469617805926</v>
      </c>
      <c r="Q11" s="95">
        <f t="shared" si="0"/>
        <v>4.5563041695780925E-2</v>
      </c>
      <c r="R11" s="92">
        <f t="shared" si="1"/>
        <v>2.7112593559995332E-2</v>
      </c>
      <c r="S11" s="279">
        <f t="shared" si="2"/>
        <v>2.1458148391059293</v>
      </c>
      <c r="T11" s="278">
        <f t="shared" si="3"/>
        <v>2.132864870616169</v>
      </c>
    </row>
    <row r="12" spans="1:20" x14ac:dyDescent="0.2">
      <c r="A12">
        <v>148</v>
      </c>
      <c r="B12">
        <v>148</v>
      </c>
      <c r="D12" s="55">
        <f>VLOOKUP($A12,summary!$A$5:$M$109,3,FALSE)</f>
        <v>40.068668876000004</v>
      </c>
      <c r="E12" s="245">
        <f>VLOOKUP($A12,summary!$A$5:$M$109,8,FALSE)</f>
        <v>0.34251553607812396</v>
      </c>
      <c r="F12" s="52">
        <f>VLOOKUP($B12,uncertainties!$A$16:$AX$77,21,FALSE)</f>
        <v>2.2887686160345852E-2</v>
      </c>
      <c r="G12" s="56">
        <f>VLOOKUP($B12,uncertainties!$A$16:$AX$77,40,FALSE)</f>
        <v>14.627188300547036</v>
      </c>
      <c r="H12" s="52">
        <f>VLOOKUP($A12,summary!$A$5:$M$109,9,FALSE)</f>
        <v>0.16849323098037422</v>
      </c>
      <c r="I12" s="52">
        <f>VLOOKUP($B12,uncertainties!$A$16:$AX$77,31,FALSE)</f>
        <v>1.3318584002329393E-2</v>
      </c>
      <c r="J12" s="56">
        <f>VLOOKUP($B12,uncertainties!$A$16:$AX$77,50,FALSE)</f>
        <v>16.204947801752681</v>
      </c>
      <c r="K12" s="52">
        <f>VLOOKUP($A12,summary!$A$5:$M$109,12,FALSE)</f>
        <v>5.2043138936169686E-2</v>
      </c>
      <c r="L12" s="54">
        <f>VLOOKUP($A12,summary!$A$5:$M$109,13,FALSE)</f>
        <v>2.0660230186838213E-2</v>
      </c>
      <c r="M12" s="3"/>
      <c r="N12" s="55">
        <f>VLOOKUP($A12,summary!$A$5:$M$109,3,FALSE)</f>
        <v>40.068668876000004</v>
      </c>
      <c r="O12" s="95">
        <f>VLOOKUP($A12,summary!$A$5:$M$109,8,FALSE)</f>
        <v>0.34251553607812396</v>
      </c>
      <c r="P12" s="92">
        <f>VLOOKUP($A12,summary!$A$5:$M$109,9,FALSE)</f>
        <v>0.16849323098037422</v>
      </c>
      <c r="Q12" s="95">
        <f t="shared" si="0"/>
        <v>4.8759569094974003E-2</v>
      </c>
      <c r="R12" s="92">
        <f t="shared" si="1"/>
        <v>2.8140742235186179E-2</v>
      </c>
      <c r="S12" s="279">
        <f t="shared" si="2"/>
        <v>2.130384380202337</v>
      </c>
      <c r="T12" s="278">
        <f t="shared" si="3"/>
        <v>2.1128929494505138</v>
      </c>
    </row>
    <row r="13" spans="1:20" x14ac:dyDescent="0.2">
      <c r="A13">
        <v>149</v>
      </c>
      <c r="B13">
        <v>149</v>
      </c>
      <c r="D13" s="55">
        <f>VLOOKUP($A13,summary!$A$5:$M$109,3,FALSE)</f>
        <v>20.073238814</v>
      </c>
      <c r="E13" s="245">
        <f>VLOOKUP($A13,summary!$A$5:$M$109,8,FALSE)</f>
        <v>0.41300674578822555</v>
      </c>
      <c r="F13" s="52">
        <f>VLOOKUP($B13,uncertainties!$A$16:$AX$77,21,FALSE)</f>
        <v>2.6443281203424367E-2</v>
      </c>
      <c r="G13" s="56">
        <f>VLOOKUP($B13,uncertainties!$A$16:$AX$77,40,FALSE)</f>
        <v>16.661701805097167</v>
      </c>
      <c r="H13" s="52">
        <f>VLOOKUP($A13,summary!$A$5:$M$109,9,FALSE)</f>
        <v>0.16087079269678239</v>
      </c>
      <c r="I13" s="52">
        <f>VLOOKUP($B13,uncertainties!$A$16:$AX$77,31,FALSE)</f>
        <v>1.6689005755882249E-2</v>
      </c>
      <c r="J13" s="56">
        <f>VLOOKUP($B13,uncertainties!$A$16:$AX$77,50,FALSE)</f>
        <v>20.661225464181307</v>
      </c>
      <c r="K13" s="52">
        <f>VLOOKUP($A13,summary!$A$5:$M$109,12,FALSE)</f>
        <v>6.9604927953682283E-2</v>
      </c>
      <c r="L13" s="54">
        <f>VLOOKUP($A13,summary!$A$5:$M$109,13,FALSE)</f>
        <v>2.2763000489977786E-2</v>
      </c>
      <c r="M13" s="3"/>
      <c r="N13" s="55">
        <f>VLOOKUP($A13,summary!$A$5:$M$109,3,FALSE)</f>
        <v>20.073238814</v>
      </c>
      <c r="O13" s="95">
        <f>VLOOKUP($A13,summary!$A$5:$M$109,8,FALSE)</f>
        <v>0.41300674578822555</v>
      </c>
      <c r="P13" s="92">
        <f>VLOOKUP($A13,summary!$A$5:$M$109,9,FALSE)</f>
        <v>0.16087079269678239</v>
      </c>
      <c r="Q13" s="95">
        <f t="shared" si="0"/>
        <v>5.5755251494480733E-2</v>
      </c>
      <c r="R13" s="92">
        <f t="shared" si="1"/>
        <v>3.4689645152238276E-2</v>
      </c>
      <c r="S13" s="279">
        <f t="shared" si="2"/>
        <v>2.1084846114808364</v>
      </c>
      <c r="T13" s="278">
        <f t="shared" si="3"/>
        <v>2.0785926770989023</v>
      </c>
    </row>
    <row r="14" spans="1:20" x14ac:dyDescent="0.2">
      <c r="A14">
        <v>150</v>
      </c>
      <c r="B14">
        <v>150</v>
      </c>
      <c r="D14" s="55">
        <f>VLOOKUP($A14,summary!$A$5:$M$109,3,FALSE)</f>
        <v>10.093327226</v>
      </c>
      <c r="E14" s="245">
        <f>VLOOKUP($A14,summary!$A$5:$M$109,8,FALSE)</f>
        <v>0.46485664587527964</v>
      </c>
      <c r="F14" s="52">
        <f>VLOOKUP($B14,uncertainties!$A$16:$AX$77,21,FALSE)</f>
        <v>3.3916613111360697E-2</v>
      </c>
      <c r="G14" s="56">
        <f>VLOOKUP($B14,uncertainties!$A$16:$AX$77,40,FALSE)</f>
        <v>19.334883212817868</v>
      </c>
      <c r="H14" s="52">
        <f>VLOOKUP($A14,summary!$A$5:$M$109,9,FALSE)</f>
        <v>0.13998090385502324</v>
      </c>
      <c r="I14" s="52">
        <f>VLOOKUP($B14,uncertainties!$A$16:$AX$77,31,FALSE)</f>
        <v>2.3031272492448965E-2</v>
      </c>
      <c r="J14" s="56">
        <f>VLOOKUP($B14,uncertainties!$A$16:$AX$77,50,FALSE)</f>
        <v>8.6814229022663056</v>
      </c>
      <c r="K14" s="52">
        <f>VLOOKUP($A14,summary!$A$5:$M$109,12,FALSE)</f>
        <v>8.9383432544962393E-2</v>
      </c>
      <c r="L14" s="54">
        <f>VLOOKUP($A14,summary!$A$5:$M$109,13,FALSE)</f>
        <v>5.8751696658241315E-3</v>
      </c>
      <c r="M14" s="3"/>
      <c r="N14" s="55">
        <f>VLOOKUP($A14,summary!$A$5:$M$109,3,FALSE)</f>
        <v>10.093327226</v>
      </c>
      <c r="O14" s="95">
        <f>VLOOKUP($A14,summary!$A$5:$M$109,8,FALSE)</f>
        <v>0.46485664587527964</v>
      </c>
      <c r="P14" s="92">
        <f>VLOOKUP($A14,summary!$A$5:$M$109,9,FALSE)</f>
        <v>0.13998090385502324</v>
      </c>
      <c r="Q14" s="95">
        <f t="shared" si="0"/>
        <v>7.0786300429097407E-2</v>
      </c>
      <c r="R14" s="92">
        <f t="shared" si="1"/>
        <v>5.2073076831935246E-2</v>
      </c>
      <c r="S14" s="279">
        <f t="shared" si="2"/>
        <v>2.0870686644530214</v>
      </c>
      <c r="T14" s="278">
        <f t="shared" si="3"/>
        <v>2.2609726340135103</v>
      </c>
    </row>
    <row r="15" spans="1:20" x14ac:dyDescent="0.2">
      <c r="A15">
        <v>153</v>
      </c>
      <c r="B15">
        <v>153</v>
      </c>
      <c r="D15" s="55">
        <f>VLOOKUP($A15,summary!$A$5:$M$109,3,FALSE)</f>
        <v>5.0062205082000002</v>
      </c>
      <c r="E15" s="245">
        <f>VLOOKUP($A15,summary!$A$5:$M$109,8,FALSE)</f>
        <v>0.49025071827737993</v>
      </c>
      <c r="F15" s="52">
        <f>VLOOKUP($B15,uncertainties!$A$16:$AX$77,21,FALSE)</f>
        <v>5.0130984970789286E-2</v>
      </c>
      <c r="G15" s="56">
        <f>VLOOKUP($B15,uncertainties!$A$16:$AX$77,40,FALSE)</f>
        <v>11.389349085901552</v>
      </c>
      <c r="H15" s="52">
        <f>VLOOKUP($A15,summary!$A$5:$M$109,9,FALSE)</f>
        <v>0.16344883463677234</v>
      </c>
      <c r="I15" s="52">
        <f>VLOOKUP($B15,uncertainties!$A$16:$AX$77,31,FALSE)</f>
        <v>4.2633273800755531E-2</v>
      </c>
      <c r="J15" s="56">
        <f>VLOOKUP($B15,uncertainties!$A$16:$AX$77,50,FALSE)</f>
        <v>6.4595324580327693</v>
      </c>
      <c r="K15" s="52">
        <f>VLOOKUP($A15,summary!$A$5:$M$109,12,FALSE)</f>
        <v>9.3734403390142496E-2</v>
      </c>
      <c r="L15" s="54">
        <f>VLOOKUP($A15,summary!$A$5:$M$109,13,FALSE)</f>
        <v>9.8221270055652635E-2</v>
      </c>
      <c r="M15" s="3"/>
      <c r="N15" s="55">
        <f>VLOOKUP($A15,summary!$A$5:$M$109,3,FALSE)</f>
        <v>5.0062205082000002</v>
      </c>
      <c r="O15" s="273">
        <f>VLOOKUP($A15,summary!$A$5:$M$109,8,FALSE)</f>
        <v>0.49025071827737993</v>
      </c>
      <c r="P15" s="270">
        <f>VLOOKUP($A15,summary!$A$5:$M$109,9,FALSE)</f>
        <v>0.16344883463677234</v>
      </c>
      <c r="Q15" s="273">
        <f t="shared" si="0"/>
        <v>0.10943027465298451</v>
      </c>
      <c r="R15" s="270">
        <f t="shared" si="1"/>
        <v>0.10164041830073647</v>
      </c>
      <c r="S15" s="279">
        <f t="shared" si="2"/>
        <v>2.1828869852995747</v>
      </c>
      <c r="T15" s="278">
        <f t="shared" si="3"/>
        <v>2.3840631797536327</v>
      </c>
    </row>
    <row r="16" spans="1:20" ht="13.5" thickBot="1" x14ac:dyDescent="0.25">
      <c r="D16" s="57"/>
      <c r="E16" s="246"/>
      <c r="F16" s="247"/>
      <c r="G16" s="248"/>
      <c r="H16" s="247"/>
      <c r="I16" s="247"/>
      <c r="J16" s="260"/>
      <c r="K16" s="247"/>
      <c r="L16" s="249"/>
      <c r="N16" s="57"/>
      <c r="O16" s="274"/>
      <c r="P16" s="248"/>
      <c r="Q16" s="274"/>
      <c r="R16" s="248"/>
      <c r="S16" s="280"/>
      <c r="T16" s="281"/>
    </row>
    <row r="17" spans="1:20" ht="13.5" thickBot="1" x14ac:dyDescent="0.25">
      <c r="E17" s="6"/>
      <c r="F17" s="6"/>
      <c r="G17" s="6"/>
      <c r="H17" s="6"/>
      <c r="I17" s="6"/>
      <c r="J17" s="6"/>
      <c r="K17" s="6"/>
      <c r="L17" s="6"/>
      <c r="S17" s="2"/>
      <c r="T17" s="2"/>
    </row>
    <row r="18" spans="1:20" x14ac:dyDescent="0.2">
      <c r="D18" s="43" t="s">
        <v>341</v>
      </c>
      <c r="E18" s="250"/>
      <c r="F18" s="250"/>
      <c r="G18" s="250"/>
      <c r="H18" s="250"/>
      <c r="I18" s="250"/>
      <c r="J18" s="250"/>
      <c r="K18" s="250"/>
      <c r="L18" s="251"/>
      <c r="N18" s="43" t="s">
        <v>343</v>
      </c>
      <c r="O18" s="44"/>
      <c r="P18" s="44"/>
      <c r="Q18" s="44"/>
      <c r="R18" s="44"/>
      <c r="S18" s="282"/>
      <c r="T18" s="283"/>
    </row>
    <row r="19" spans="1:20" ht="14.25" x14ac:dyDescent="0.25">
      <c r="D19" s="46" t="s">
        <v>336</v>
      </c>
      <c r="E19" s="252"/>
      <c r="F19" s="252"/>
      <c r="G19" s="252"/>
      <c r="H19" s="252"/>
      <c r="I19" s="252"/>
      <c r="J19" s="252"/>
      <c r="K19" s="252"/>
      <c r="L19" s="253"/>
      <c r="N19" s="46" t="s">
        <v>707</v>
      </c>
      <c r="O19" s="16"/>
      <c r="P19" s="16"/>
      <c r="Q19" s="16"/>
      <c r="R19" s="16"/>
      <c r="S19" s="284"/>
      <c r="T19" s="285"/>
    </row>
    <row r="20" spans="1:20" x14ac:dyDescent="0.2">
      <c r="D20" s="48"/>
      <c r="E20" s="254"/>
      <c r="F20" s="254"/>
      <c r="G20" s="254"/>
      <c r="H20" s="254"/>
      <c r="I20" s="254"/>
      <c r="J20" s="254"/>
      <c r="K20" s="254"/>
      <c r="L20" s="255"/>
      <c r="N20" s="48"/>
      <c r="O20" s="49"/>
      <c r="P20" s="49"/>
      <c r="Q20" s="49"/>
      <c r="R20" s="49"/>
      <c r="S20" s="286"/>
      <c r="T20" s="287"/>
    </row>
    <row r="21" spans="1:20" ht="27" customHeight="1" x14ac:dyDescent="0.2">
      <c r="D21" s="58" t="s">
        <v>323</v>
      </c>
      <c r="E21" s="321" t="s">
        <v>326</v>
      </c>
      <c r="F21" s="322"/>
      <c r="G21" s="323"/>
      <c r="H21" s="321" t="s">
        <v>327</v>
      </c>
      <c r="I21" s="322"/>
      <c r="J21" s="323"/>
      <c r="K21" s="321" t="s">
        <v>334</v>
      </c>
      <c r="L21" s="324"/>
      <c r="N21" s="267" t="s">
        <v>699</v>
      </c>
      <c r="O21" s="318" t="s">
        <v>215</v>
      </c>
      <c r="P21" s="319"/>
      <c r="Q21" s="318" t="s">
        <v>703</v>
      </c>
      <c r="R21" s="319"/>
      <c r="S21" s="316" t="s">
        <v>704</v>
      </c>
      <c r="T21" s="317"/>
    </row>
    <row r="22" spans="1:20" ht="51" x14ac:dyDescent="0.2">
      <c r="D22" s="59" t="s">
        <v>325</v>
      </c>
      <c r="E22" s="256" t="s">
        <v>324</v>
      </c>
      <c r="F22" s="257" t="s">
        <v>329</v>
      </c>
      <c r="G22" s="258" t="s">
        <v>330</v>
      </c>
      <c r="H22" s="256" t="s">
        <v>328</v>
      </c>
      <c r="I22" s="257" t="s">
        <v>331</v>
      </c>
      <c r="J22" s="258" t="s">
        <v>330</v>
      </c>
      <c r="K22" s="257" t="s">
        <v>332</v>
      </c>
      <c r="L22" s="259" t="s">
        <v>333</v>
      </c>
      <c r="N22" s="268" t="s">
        <v>700</v>
      </c>
      <c r="O22" s="272" t="s">
        <v>701</v>
      </c>
      <c r="P22" s="269" t="s">
        <v>702</v>
      </c>
      <c r="Q22" s="275" t="s">
        <v>701</v>
      </c>
      <c r="R22" s="271" t="s">
        <v>702</v>
      </c>
      <c r="S22" s="288" t="s">
        <v>705</v>
      </c>
      <c r="T22" s="289" t="s">
        <v>327</v>
      </c>
    </row>
    <row r="23" spans="1:20" x14ac:dyDescent="0.2">
      <c r="A23">
        <v>159</v>
      </c>
      <c r="B23">
        <v>159</v>
      </c>
      <c r="D23" s="51">
        <f>VLOOKUP($A23,summary!$A$5:$M$109,3,FALSE)</f>
        <v>119.92392908000001</v>
      </c>
      <c r="E23" s="243">
        <f>VLOOKUP($A23,summary!$A$5:$M$109,8,FALSE)</f>
        <v>0.1351880117726019</v>
      </c>
      <c r="F23" s="244">
        <f>VLOOKUP($B23,uncertainties!$A$16:$AX$77,21,FALSE)</f>
        <v>2.5852230269718425E-2</v>
      </c>
      <c r="G23" s="53">
        <f>VLOOKUP($B23,uncertainties!$A$16:$AX$77,40,FALSE)</f>
        <v>19.666171528948379</v>
      </c>
      <c r="H23" s="52">
        <f>VLOOKUP($A23,summary!$A$5:$M$109,9,FALSE)</f>
        <v>8.4429064204047777E-2</v>
      </c>
      <c r="I23" s="52">
        <f>VLOOKUP($B23,uncertainties!$A$16:$AX$77,31,FALSE)</f>
        <v>1.7940091386283434E-2</v>
      </c>
      <c r="J23" s="53">
        <f>VLOOKUP($B23,uncertainties!$A$16:$AX$77,50,FALSE)</f>
        <v>27.70276563799743</v>
      </c>
      <c r="K23" s="52">
        <f>VLOOKUP($A23,summary!$A$5:$M$109,12,FALSE)</f>
        <v>-2.8284705733240822E-3</v>
      </c>
      <c r="L23" s="54">
        <f>VLOOKUP($A23,summary!$A$5:$M$109,13,FALSE)</f>
        <v>7.6073254519321704E-3</v>
      </c>
      <c r="N23" s="51">
        <f>VLOOKUP($A23,summary!$A$5:$M$109,3,FALSE)</f>
        <v>119.92392908000001</v>
      </c>
      <c r="O23" s="94">
        <f>VLOOKUP($A23,summary!$A$5:$M$109,8,FALSE)</f>
        <v>0.1351880117726019</v>
      </c>
      <c r="P23" s="93">
        <f>VLOOKUP($A23,summary!$A$5:$M$109,9,FALSE)</f>
        <v>8.4429064204047777E-2</v>
      </c>
      <c r="Q23" s="95">
        <f t="shared" ref="Q23:Q29" si="4">F23*S23</f>
        <v>5.3897749396403002E-2</v>
      </c>
      <c r="R23" s="92">
        <f t="shared" ref="R23:R29" si="5">I23*T23</f>
        <v>3.6734430074550142E-2</v>
      </c>
      <c r="S23" s="277">
        <f t="shared" ref="S23:S29" si="6">CoverFactor(G23)</f>
        <v>2.0848394445695164</v>
      </c>
      <c r="T23" s="278">
        <f t="shared" ref="T23:T29" si="7">CoverFactor(J23)</f>
        <v>2.0476166639059827</v>
      </c>
    </row>
    <row r="24" spans="1:20" x14ac:dyDescent="0.2">
      <c r="A24">
        <v>160</v>
      </c>
      <c r="B24">
        <v>160</v>
      </c>
      <c r="D24" s="55">
        <f>VLOOKUP($A24,summary!$A$5:$M$109,3,FALSE)</f>
        <v>100.09320314000001</v>
      </c>
      <c r="E24" s="245">
        <f>VLOOKUP($A24,summary!$A$5:$M$109,8,FALSE)</f>
        <v>0.1503019718467504</v>
      </c>
      <c r="F24" s="52">
        <f>VLOOKUP($B24,uncertainties!$A$16:$AX$77,21,FALSE)</f>
        <v>2.6279044994077291E-2</v>
      </c>
      <c r="G24" s="56">
        <f>VLOOKUP($B24,uncertainties!$A$16:$AX$77,40,FALSE)</f>
        <v>20.516163532085901</v>
      </c>
      <c r="H24" s="52">
        <f>VLOOKUP($A24,summary!$A$5:$M$109,9,FALSE)</f>
        <v>8.3871606677233645E-2</v>
      </c>
      <c r="I24" s="52">
        <f>VLOOKUP($B24,uncertainties!$A$16:$AX$77,31,FALSE)</f>
        <v>1.7827168476466308E-2</v>
      </c>
      <c r="J24" s="56">
        <f>VLOOKUP($B24,uncertainties!$A$16:$AX$77,50,FALSE)</f>
        <v>27.155682008828819</v>
      </c>
      <c r="K24" s="52">
        <f>VLOOKUP($A24,summary!$A$5:$M$109,12,FALSE)</f>
        <v>-4.1125932687116062E-3</v>
      </c>
      <c r="L24" s="54">
        <f>VLOOKUP($A24,summary!$A$5:$M$109,13,FALSE)</f>
        <v>8.769453982085243E-3</v>
      </c>
      <c r="N24" s="55">
        <f>VLOOKUP($A24,summary!$A$5:$M$109,3,FALSE)</f>
        <v>100.09320314000001</v>
      </c>
      <c r="O24" s="95">
        <f>VLOOKUP($A24,summary!$A$5:$M$109,8,FALSE)</f>
        <v>0.1503019718467504</v>
      </c>
      <c r="P24" s="92">
        <f>VLOOKUP($A24,summary!$A$5:$M$109,9,FALSE)</f>
        <v>8.3871606677233645E-2</v>
      </c>
      <c r="Q24" s="95">
        <f t="shared" si="4"/>
        <v>5.4646326564834619E-2</v>
      </c>
      <c r="R24" s="92">
        <f t="shared" si="5"/>
        <v>3.6535529854190993E-2</v>
      </c>
      <c r="S24" s="279">
        <f t="shared" si="6"/>
        <v>2.0794639446429914</v>
      </c>
      <c r="T24" s="278">
        <f t="shared" si="7"/>
        <v>2.0494297735740616</v>
      </c>
    </row>
    <row r="25" spans="1:20" x14ac:dyDescent="0.2">
      <c r="A25">
        <v>161</v>
      </c>
      <c r="B25">
        <v>161</v>
      </c>
      <c r="D25" s="55">
        <f>VLOOKUP($A25,summary!$A$5:$M$109,3,FALSE)</f>
        <v>60.035549210000006</v>
      </c>
      <c r="E25" s="245">
        <f>VLOOKUP($A25,summary!$A$5:$M$109,8,FALSE)</f>
        <v>0.2025501789952302</v>
      </c>
      <c r="F25" s="52">
        <f>VLOOKUP($B25,uncertainties!$A$16:$AX$77,21,FALSE)</f>
        <v>2.8357630696622595E-2</v>
      </c>
      <c r="G25" s="56">
        <f>VLOOKUP($B25,uncertainties!$A$16:$AX$77,40,FALSE)</f>
        <v>24.104764962323976</v>
      </c>
      <c r="H25" s="52">
        <f>VLOOKUP($A25,summary!$A$5:$M$109,9,FALSE)</f>
        <v>6.3994896945218094E-2</v>
      </c>
      <c r="I25" s="52">
        <f>VLOOKUP($B25,uncertainties!$A$16:$AX$77,31,FALSE)</f>
        <v>1.7624361396986383E-2</v>
      </c>
      <c r="J25" s="56">
        <f>VLOOKUP($B25,uncertainties!$A$16:$AX$77,50,FALSE)</f>
        <v>27.126229673126577</v>
      </c>
      <c r="K25" s="52">
        <f>VLOOKUP($A25,summary!$A$5:$M$109,12,FALSE)</f>
        <v>3.1199705344872042E-3</v>
      </c>
      <c r="L25" s="54">
        <f>VLOOKUP($A25,summary!$A$5:$M$109,13,FALSE)</f>
        <v>-2.0745404495301073E-3</v>
      </c>
      <c r="N25" s="55">
        <f>VLOOKUP($A25,summary!$A$5:$M$109,3,FALSE)</f>
        <v>60.035549210000006</v>
      </c>
      <c r="O25" s="95">
        <f>VLOOKUP($A25,summary!$A$5:$M$109,8,FALSE)</f>
        <v>0.2025501789952302</v>
      </c>
      <c r="P25" s="92">
        <f>VLOOKUP($A25,summary!$A$5:$M$109,9,FALSE)</f>
        <v>6.3994896945218094E-2</v>
      </c>
      <c r="Q25" s="95">
        <f t="shared" si="4"/>
        <v>5.8447984829215816E-2</v>
      </c>
      <c r="R25" s="92">
        <f t="shared" si="5"/>
        <v>3.6121648957093078E-2</v>
      </c>
      <c r="S25" s="279">
        <f t="shared" si="6"/>
        <v>2.0611025460662691</v>
      </c>
      <c r="T25" s="278">
        <f t="shared" si="7"/>
        <v>2.0495295201600654</v>
      </c>
    </row>
    <row r="26" spans="1:20" x14ac:dyDescent="0.2">
      <c r="A26">
        <v>162</v>
      </c>
      <c r="B26">
        <v>162</v>
      </c>
      <c r="D26" s="55">
        <f>VLOOKUP($A26,summary!$A$5:$M$109,3,FALSE)</f>
        <v>40.057213714</v>
      </c>
      <c r="E26" s="245">
        <f>VLOOKUP($A26,summary!$A$5:$M$109,8,FALSE)</f>
        <v>0.23919254108133742</v>
      </c>
      <c r="F26" s="52">
        <f>VLOOKUP($B26,uncertainties!$A$16:$AX$77,21,FALSE)</f>
        <v>3.0138025584073538E-2</v>
      </c>
      <c r="G26" s="56">
        <f>VLOOKUP($B26,uncertainties!$A$16:$AX$77,40,FALSE)</f>
        <v>26.258535122912622</v>
      </c>
      <c r="H26" s="52">
        <f>VLOOKUP($A26,summary!$A$5:$M$109,9,FALSE)</f>
        <v>6.6457406708342742E-2</v>
      </c>
      <c r="I26" s="52">
        <f>VLOOKUP($B26,uncertainties!$A$16:$AX$77,31,FALSE)</f>
        <v>1.8081973196548879E-2</v>
      </c>
      <c r="J26" s="56">
        <f>VLOOKUP($B26,uncertainties!$A$16:$AX$77,50,FALSE)</f>
        <v>28.966484941792949</v>
      </c>
      <c r="K26" s="52">
        <f>VLOOKUP($A26,summary!$A$5:$M$109,12,FALSE)</f>
        <v>9.4208546406434057E-3</v>
      </c>
      <c r="L26" s="54">
        <f>VLOOKUP($A26,summary!$A$5:$M$109,13,FALSE)</f>
        <v>8.9628442339950432E-3</v>
      </c>
      <c r="N26" s="55">
        <f>VLOOKUP($A26,summary!$A$5:$M$109,3,FALSE)</f>
        <v>40.057213714</v>
      </c>
      <c r="O26" s="95">
        <f>VLOOKUP($A26,summary!$A$5:$M$109,8,FALSE)</f>
        <v>0.23919254108133742</v>
      </c>
      <c r="P26" s="92">
        <f>VLOOKUP($A26,summary!$A$5:$M$109,9,FALSE)</f>
        <v>6.6457406708342742E-2</v>
      </c>
      <c r="Q26" s="95">
        <f t="shared" si="4"/>
        <v>6.1860459031790264E-2</v>
      </c>
      <c r="R26" s="92">
        <f t="shared" si="5"/>
        <v>3.6954087463632247E-2</v>
      </c>
      <c r="S26" s="279">
        <f t="shared" si="6"/>
        <v>2.052571720706232</v>
      </c>
      <c r="T26" s="278">
        <f t="shared" si="7"/>
        <v>2.0436977238018081</v>
      </c>
    </row>
    <row r="27" spans="1:20" x14ac:dyDescent="0.2">
      <c r="A27">
        <v>163</v>
      </c>
      <c r="B27">
        <v>163</v>
      </c>
      <c r="D27" s="55">
        <f>VLOOKUP($A27,summary!$A$5:$M$109,3,FALSE)</f>
        <v>20.152266273999999</v>
      </c>
      <c r="E27" s="245">
        <f>VLOOKUP($A27,summary!$A$5:$M$109,8,FALSE)</f>
        <v>0.29956840986740263</v>
      </c>
      <c r="F27" s="52">
        <f>VLOOKUP($B27,uncertainties!$A$16:$AX$77,21,FALSE)</f>
        <v>3.4044871341695829E-2</v>
      </c>
      <c r="G27" s="56">
        <f>VLOOKUP($B27,uncertainties!$A$16:$AX$77,40,FALSE)</f>
        <v>30.028557584526691</v>
      </c>
      <c r="H27" s="52">
        <f>VLOOKUP($A27,summary!$A$5:$M$109,9,FALSE)</f>
        <v>6.014378358939431E-2</v>
      </c>
      <c r="I27" s="52">
        <f>VLOOKUP($B27,uncertainties!$A$16:$AX$77,31,FALSE)</f>
        <v>2.0925958502585204E-2</v>
      </c>
      <c r="J27" s="56">
        <f>VLOOKUP($B27,uncertainties!$A$16:$AX$77,50,FALSE)</f>
        <v>34.824660500073286</v>
      </c>
      <c r="K27" s="52">
        <f>VLOOKUP($A27,summary!$A$5:$M$109,12,FALSE)</f>
        <v>3.2010642119608634E-2</v>
      </c>
      <c r="L27" s="54">
        <f>VLOOKUP($A27,summary!$A$5:$M$109,13,FALSE)</f>
        <v>1.4532012560104009E-2</v>
      </c>
      <c r="N27" s="55">
        <f>VLOOKUP($A27,summary!$A$5:$M$109,3,FALSE)</f>
        <v>20.152266273999999</v>
      </c>
      <c r="O27" s="95">
        <f>VLOOKUP($A27,summary!$A$5:$M$109,8,FALSE)</f>
        <v>0.29956840986740263</v>
      </c>
      <c r="P27" s="92">
        <f>VLOOKUP($A27,summary!$A$5:$M$109,9,FALSE)</f>
        <v>6.014378358939431E-2</v>
      </c>
      <c r="Q27" s="95">
        <f t="shared" si="4"/>
        <v>6.9474214075026144E-2</v>
      </c>
      <c r="R27" s="92">
        <f t="shared" si="5"/>
        <v>4.2465694740966231E-2</v>
      </c>
      <c r="S27" s="279">
        <f t="shared" si="6"/>
        <v>2.0406660779457515</v>
      </c>
      <c r="T27" s="278">
        <f t="shared" si="7"/>
        <v>2.0293309257838774</v>
      </c>
    </row>
    <row r="28" spans="1:20" x14ac:dyDescent="0.2">
      <c r="A28">
        <v>164</v>
      </c>
      <c r="B28">
        <v>164</v>
      </c>
      <c r="D28" s="55">
        <f>VLOOKUP($A28,summary!$A$5:$M$109,3,FALSE)</f>
        <v>9.9747214224</v>
      </c>
      <c r="E28" s="245">
        <f>VLOOKUP($A28,summary!$A$5:$M$109,8,FALSE)</f>
        <v>0.33931546290343328</v>
      </c>
      <c r="F28" s="52">
        <f>VLOOKUP($B28,uncertainties!$A$16:$AX$77,21,FALSE)</f>
        <v>4.0613834553523805E-2</v>
      </c>
      <c r="G28" s="56">
        <f>VLOOKUP($B28,uncertainties!$A$16:$AX$77,40,FALSE)</f>
        <v>31.349796647148832</v>
      </c>
      <c r="H28" s="52">
        <f>VLOOKUP($A28,summary!$A$5:$M$109,9,FALSE)</f>
        <v>3.3537829090675063E-2</v>
      </c>
      <c r="I28" s="52">
        <f>VLOOKUP($B28,uncertainties!$A$16:$AX$77,31,FALSE)</f>
        <v>2.6623596373976256E-2</v>
      </c>
      <c r="J28" s="56">
        <f>VLOOKUP($B28,uncertainties!$A$16:$AX$77,50,FALSE)</f>
        <v>14.686206121065904</v>
      </c>
      <c r="K28" s="52">
        <f>VLOOKUP($A28,summary!$A$5:$M$109,12,FALSE)</f>
        <v>4.8985587997452285E-2</v>
      </c>
      <c r="L28" s="54">
        <f>VLOOKUP($A28,summary!$A$5:$M$109,13,FALSE)</f>
        <v>-4.9264282396465353E-3</v>
      </c>
      <c r="N28" s="55">
        <f>VLOOKUP($A28,summary!$A$5:$M$109,3,FALSE)</f>
        <v>9.9747214224</v>
      </c>
      <c r="O28" s="95">
        <f>VLOOKUP($A28,summary!$A$5:$M$109,8,FALSE)</f>
        <v>0.33931546290343328</v>
      </c>
      <c r="P28" s="92">
        <f>VLOOKUP($A28,summary!$A$5:$M$109,9,FALSE)</f>
        <v>3.3537829090675063E-2</v>
      </c>
      <c r="Q28" s="95">
        <f t="shared" si="4"/>
        <v>8.2738043421273277E-2</v>
      </c>
      <c r="R28" s="92">
        <f t="shared" si="5"/>
        <v>5.6699147924772625E-2</v>
      </c>
      <c r="S28" s="279">
        <f t="shared" si="6"/>
        <v>2.0371886656561617</v>
      </c>
      <c r="T28" s="278">
        <f t="shared" si="7"/>
        <v>2.1296577340014924</v>
      </c>
    </row>
    <row r="29" spans="1:20" x14ac:dyDescent="0.2">
      <c r="A29">
        <v>165</v>
      </c>
      <c r="B29">
        <v>165</v>
      </c>
      <c r="D29" s="55">
        <f>VLOOKUP($A29,summary!$A$5:$M$109,3,FALSE)</f>
        <v>4.9441033636</v>
      </c>
      <c r="E29" s="245">
        <f>VLOOKUP($A29,summary!$A$5:$M$109,8,FALSE)</f>
        <v>0.35538771066235075</v>
      </c>
      <c r="F29" s="52">
        <f>VLOOKUP($B29,uncertainties!$A$16:$AX$77,21,FALSE)</f>
        <v>5.5452028588289702E-2</v>
      </c>
      <c r="G29" s="56">
        <f>VLOOKUP($B29,uncertainties!$A$16:$AX$77,40,FALSE)</f>
        <v>16.457472532517304</v>
      </c>
      <c r="H29" s="52">
        <f>VLOOKUP($A29,summary!$A$5:$M$109,9,FALSE)</f>
        <v>5.7768877602184486E-2</v>
      </c>
      <c r="I29" s="52">
        <f>VLOOKUP($B29,uncertainties!$A$16:$AX$77,31,FALSE)</f>
        <v>4.5146019218021E-2</v>
      </c>
      <c r="J29" s="56">
        <f>VLOOKUP($B29,uncertainties!$A$16:$AX$77,50,FALSE)</f>
        <v>8.0905784941357251</v>
      </c>
      <c r="K29" s="52">
        <f>VLOOKUP($A29,summary!$A$5:$M$109,12,FALSE)</f>
        <v>5.3570352543040378E-2</v>
      </c>
      <c r="L29" s="54">
        <f>VLOOKUP($A29,summary!$A$5:$M$109,13,FALSE)</f>
        <v>-2.6529832053361714E-2</v>
      </c>
      <c r="N29" s="55">
        <f>VLOOKUP($A29,summary!$A$5:$M$109,3,FALSE)</f>
        <v>4.9441033636</v>
      </c>
      <c r="O29" s="273">
        <f>VLOOKUP($A29,summary!$A$5:$M$109,8,FALSE)</f>
        <v>0.35538771066235075</v>
      </c>
      <c r="P29" s="270">
        <f>VLOOKUP($A29,summary!$A$5:$M$109,9,FALSE)</f>
        <v>5.7768877602184486E-2</v>
      </c>
      <c r="Q29" s="273">
        <f t="shared" si="4"/>
        <v>0.11702727332426571</v>
      </c>
      <c r="R29" s="270">
        <f t="shared" si="5"/>
        <v>0.10320553409567072</v>
      </c>
      <c r="S29" s="279">
        <f t="shared" si="6"/>
        <v>2.1104236635443741</v>
      </c>
      <c r="T29" s="278">
        <f t="shared" si="7"/>
        <v>2.2860384123186219</v>
      </c>
    </row>
    <row r="30" spans="1:20" ht="13.5" thickBot="1" x14ac:dyDescent="0.25">
      <c r="D30" s="57"/>
      <c r="E30" s="247"/>
      <c r="F30" s="247"/>
      <c r="G30" s="248"/>
      <c r="H30" s="247"/>
      <c r="I30" s="247"/>
      <c r="J30" s="248"/>
      <c r="K30" s="247"/>
      <c r="L30" s="249"/>
      <c r="N30" s="57"/>
      <c r="O30" s="290"/>
      <c r="P30" s="291"/>
      <c r="Q30" s="290"/>
      <c r="R30" s="291"/>
      <c r="S30" s="280"/>
      <c r="T30" s="281"/>
    </row>
    <row r="31" spans="1:20" ht="13.5" thickBot="1" x14ac:dyDescent="0.25">
      <c r="E31" s="6"/>
      <c r="F31" s="6"/>
      <c r="G31" s="6"/>
      <c r="H31" s="6"/>
      <c r="I31" s="6"/>
      <c r="J31" s="6"/>
      <c r="K31" s="6"/>
      <c r="L31" s="6"/>
      <c r="O31" s="3"/>
      <c r="P31" s="3"/>
      <c r="Q31" s="3"/>
      <c r="R31" s="3"/>
      <c r="S31" s="2"/>
      <c r="T31" s="2"/>
    </row>
    <row r="32" spans="1:20" x14ac:dyDescent="0.2">
      <c r="D32" s="43" t="s">
        <v>342</v>
      </c>
      <c r="E32" s="250"/>
      <c r="F32" s="250"/>
      <c r="G32" s="250"/>
      <c r="H32" s="250"/>
      <c r="I32" s="250"/>
      <c r="J32" s="250"/>
      <c r="K32" s="250"/>
      <c r="L32" s="251"/>
      <c r="N32" s="43" t="s">
        <v>341</v>
      </c>
      <c r="O32" s="292"/>
      <c r="P32" s="292"/>
      <c r="Q32" s="292"/>
      <c r="R32" s="292"/>
      <c r="S32" s="282"/>
      <c r="T32" s="283"/>
    </row>
    <row r="33" spans="1:20" ht="14.25" x14ac:dyDescent="0.25">
      <c r="D33" s="46" t="s">
        <v>337</v>
      </c>
      <c r="E33" s="252"/>
      <c r="F33" s="252"/>
      <c r="G33" s="252"/>
      <c r="H33" s="252"/>
      <c r="I33" s="252"/>
      <c r="J33" s="252"/>
      <c r="K33" s="252"/>
      <c r="L33" s="253"/>
      <c r="N33" s="46" t="s">
        <v>708</v>
      </c>
      <c r="O33" s="293"/>
      <c r="P33" s="293"/>
      <c r="Q33" s="293"/>
      <c r="R33" s="293"/>
      <c r="S33" s="284"/>
      <c r="T33" s="285"/>
    </row>
    <row r="34" spans="1:20" x14ac:dyDescent="0.2">
      <c r="D34" s="48"/>
      <c r="E34" s="254"/>
      <c r="F34" s="254"/>
      <c r="G34" s="254"/>
      <c r="H34" s="254"/>
      <c r="I34" s="254"/>
      <c r="J34" s="254"/>
      <c r="K34" s="254"/>
      <c r="L34" s="255"/>
      <c r="N34" s="48"/>
      <c r="O34" s="294"/>
      <c r="P34" s="294"/>
      <c r="Q34" s="294"/>
      <c r="R34" s="294"/>
      <c r="S34" s="286"/>
      <c r="T34" s="287"/>
    </row>
    <row r="35" spans="1:20" ht="27" customHeight="1" x14ac:dyDescent="0.2">
      <c r="D35" s="58" t="s">
        <v>323</v>
      </c>
      <c r="E35" s="321" t="s">
        <v>326</v>
      </c>
      <c r="F35" s="322"/>
      <c r="G35" s="323"/>
      <c r="H35" s="321" t="s">
        <v>327</v>
      </c>
      <c r="I35" s="322"/>
      <c r="J35" s="323"/>
      <c r="K35" s="321" t="s">
        <v>334</v>
      </c>
      <c r="L35" s="324"/>
      <c r="N35" s="267" t="s">
        <v>699</v>
      </c>
      <c r="O35" s="314" t="s">
        <v>215</v>
      </c>
      <c r="P35" s="315"/>
      <c r="Q35" s="314" t="s">
        <v>703</v>
      </c>
      <c r="R35" s="315"/>
      <c r="S35" s="316" t="s">
        <v>704</v>
      </c>
      <c r="T35" s="317"/>
    </row>
    <row r="36" spans="1:20" ht="51" x14ac:dyDescent="0.2">
      <c r="D36" s="59" t="s">
        <v>325</v>
      </c>
      <c r="E36" s="256" t="s">
        <v>324</v>
      </c>
      <c r="F36" s="257" t="s">
        <v>329</v>
      </c>
      <c r="G36" s="258" t="s">
        <v>330</v>
      </c>
      <c r="H36" s="256" t="s">
        <v>328</v>
      </c>
      <c r="I36" s="257" t="s">
        <v>331</v>
      </c>
      <c r="J36" s="258" t="s">
        <v>330</v>
      </c>
      <c r="K36" s="257" t="s">
        <v>332</v>
      </c>
      <c r="L36" s="259" t="s">
        <v>333</v>
      </c>
      <c r="N36" s="268" t="s">
        <v>700</v>
      </c>
      <c r="O36" s="295" t="s">
        <v>701</v>
      </c>
      <c r="P36" s="296" t="s">
        <v>702</v>
      </c>
      <c r="Q36" s="297" t="s">
        <v>701</v>
      </c>
      <c r="R36" s="298" t="s">
        <v>702</v>
      </c>
      <c r="S36" s="288" t="s">
        <v>705</v>
      </c>
      <c r="T36" s="289" t="s">
        <v>327</v>
      </c>
    </row>
    <row r="37" spans="1:20" x14ac:dyDescent="0.2">
      <c r="A37">
        <v>174</v>
      </c>
      <c r="B37">
        <v>174</v>
      </c>
      <c r="D37" s="51">
        <f>VLOOKUP($A37,summary!$A$5:$M$109,3,FALSE)</f>
        <v>119.84700020000001</v>
      </c>
      <c r="E37" s="243">
        <f>VLOOKUP($A37,summary!$A$5:$M$109,8,FALSE)</f>
        <v>0.19099327491213469</v>
      </c>
      <c r="F37" s="244">
        <f>VLOOKUP($B37,uncertainties!$A$16:$AX$77,21,FALSE)</f>
        <v>3.1828905733668811E-2</v>
      </c>
      <c r="G37" s="53">
        <f>VLOOKUP($B37,uncertainties!$A$16:$AX$77,40,FALSE)</f>
        <v>29.953674677647413</v>
      </c>
      <c r="H37" s="52">
        <f>VLOOKUP($A37,summary!$A$5:$M$109,9,FALSE)</f>
        <v>0.12771511396560489</v>
      </c>
      <c r="I37" s="52">
        <f>VLOOKUP($B37,uncertainties!$A$16:$AX$77,31,FALSE)</f>
        <v>2.1232434949162424E-2</v>
      </c>
      <c r="J37" s="53">
        <f>VLOOKUP($B37,uncertainties!$A$16:$AX$77,50,FALSE)</f>
        <v>38.718665940303978</v>
      </c>
      <c r="K37" s="52">
        <f>VLOOKUP($A37,summary!$A$5:$M$109,12,FALSE)</f>
        <v>2.079747152331371E-2</v>
      </c>
      <c r="L37" s="54">
        <f>VLOOKUP($A37,summary!$A$5:$M$109,13,FALSE)</f>
        <v>1.3713001740780897E-2</v>
      </c>
      <c r="N37" s="51">
        <f>VLOOKUP($A37,summary!$A$5:$M$109,3,FALSE)</f>
        <v>119.84700020000001</v>
      </c>
      <c r="O37" s="94">
        <f>VLOOKUP($A37,summary!$A$5:$M$109,8,FALSE)</f>
        <v>0.19099327491213469</v>
      </c>
      <c r="P37" s="93">
        <f>VLOOKUP($A37,summary!$A$5:$M$109,9,FALSE)</f>
        <v>0.12771511396560489</v>
      </c>
      <c r="Q37" s="95">
        <f t="shared" ref="Q37:Q43" si="8">F37*S37</f>
        <v>6.4958741442333184E-2</v>
      </c>
      <c r="R37" s="92">
        <f t="shared" ref="R37:R43" si="9">I37*T37</f>
        <v>4.2936958630148542E-2</v>
      </c>
      <c r="S37" s="277">
        <f t="shared" ref="S37:S43" si="10">CoverFactor(G37)</f>
        <v>2.040872595051844</v>
      </c>
      <c r="T37" s="278">
        <f t="shared" ref="T37:T43" si="11">CoverFactor(J37)</f>
        <v>2.0222343190008134</v>
      </c>
    </row>
    <row r="38" spans="1:20" x14ac:dyDescent="0.2">
      <c r="A38">
        <v>175</v>
      </c>
      <c r="B38">
        <v>175</v>
      </c>
      <c r="D38" s="55">
        <f>VLOOKUP($A38,summary!$A$5:$M$109,3,FALSE)</f>
        <v>99.84864608800001</v>
      </c>
      <c r="E38" s="245">
        <f>VLOOKUP($A38,summary!$A$5:$M$109,8,FALSE)</f>
        <v>0.20981100044611947</v>
      </c>
      <c r="F38" s="52">
        <f>VLOOKUP($B38,uncertainties!$A$16:$AX$77,21,FALSE)</f>
        <v>3.2396113575012292E-2</v>
      </c>
      <c r="G38" s="56">
        <f>VLOOKUP($B38,uncertainties!$A$16:$AX$77,40,FALSE)</f>
        <v>31.342729486692544</v>
      </c>
      <c r="H38" s="52">
        <f>VLOOKUP($A38,summary!$A$5:$M$109,9,FALSE)</f>
        <v>0.12832447060119506</v>
      </c>
      <c r="I38" s="52">
        <f>VLOOKUP($B38,uncertainties!$A$16:$AX$77,31,FALSE)</f>
        <v>2.1138614617249023E-2</v>
      </c>
      <c r="J38" s="56">
        <f>VLOOKUP($B38,uncertainties!$A$16:$AX$77,50,FALSE)</f>
        <v>38.161861158651725</v>
      </c>
      <c r="K38" s="52">
        <f>VLOOKUP($A38,summary!$A$5:$M$109,12,FALSE)</f>
        <v>1.9265121323215478E-2</v>
      </c>
      <c r="L38" s="54">
        <f>VLOOKUP($A38,summary!$A$5:$M$109,13,FALSE)</f>
        <v>1.4464783756326052E-2</v>
      </c>
      <c r="N38" s="55">
        <f>VLOOKUP($A38,summary!$A$5:$M$109,3,FALSE)</f>
        <v>99.84864608800001</v>
      </c>
      <c r="O38" s="95">
        <f>VLOOKUP($A38,summary!$A$5:$M$109,8,FALSE)</f>
        <v>0.20981100044611947</v>
      </c>
      <c r="P38" s="92">
        <f>VLOOKUP($A38,summary!$A$5:$M$109,9,FALSE)</f>
        <v>0.12832447060119506</v>
      </c>
      <c r="Q38" s="95">
        <f t="shared" si="8"/>
        <v>6.5997572059363505E-2</v>
      </c>
      <c r="R38" s="92">
        <f t="shared" si="9"/>
        <v>4.2766769510623984E-2</v>
      </c>
      <c r="S38" s="279">
        <f t="shared" si="10"/>
        <v>2.0372064663419573</v>
      </c>
      <c r="T38" s="278">
        <f t="shared" si="11"/>
        <v>2.0231585789792712</v>
      </c>
    </row>
    <row r="39" spans="1:20" x14ac:dyDescent="0.2">
      <c r="A39">
        <v>176</v>
      </c>
      <c r="B39">
        <v>176</v>
      </c>
      <c r="D39" s="55">
        <f>VLOOKUP($A39,summary!$A$5:$M$109,3,FALSE)</f>
        <v>60.036926252000001</v>
      </c>
      <c r="E39" s="245">
        <f>VLOOKUP($A39,summary!$A$5:$M$109,8,FALSE)</f>
        <v>0.27625827740036574</v>
      </c>
      <c r="F39" s="52">
        <f>VLOOKUP($B39,uncertainties!$A$16:$AX$77,21,FALSE)</f>
        <v>3.4992802372789011E-2</v>
      </c>
      <c r="G39" s="56">
        <f>VLOOKUP($B39,uncertainties!$A$16:$AX$77,40,FALSE)</f>
        <v>36.624668872077386</v>
      </c>
      <c r="H39" s="52">
        <f>VLOOKUP($A39,summary!$A$5:$M$109,9,FALSE)</f>
        <v>0.11282248388897273</v>
      </c>
      <c r="I39" s="52">
        <f>VLOOKUP($B39,uncertainties!$A$16:$AX$77,31,FALSE)</f>
        <v>2.0795315055179897E-2</v>
      </c>
      <c r="J39" s="56">
        <f>VLOOKUP($B39,uncertainties!$A$16:$AX$77,50,FALSE)</f>
        <v>37.346681397484296</v>
      </c>
      <c r="K39" s="52">
        <f>VLOOKUP($A39,summary!$A$5:$M$109,12,FALSE)</f>
        <v>2.602938322985876E-2</v>
      </c>
      <c r="L39" s="54">
        <f>VLOOKUP($A39,summary!$A$5:$M$109,13,FALSE)</f>
        <v>5.2096931059407298E-3</v>
      </c>
      <c r="N39" s="55">
        <f>VLOOKUP($A39,summary!$A$5:$M$109,3,FALSE)</f>
        <v>60.036926252000001</v>
      </c>
      <c r="O39" s="95">
        <f>VLOOKUP($A39,summary!$A$5:$M$109,8,FALSE)</f>
        <v>0.27625827740036574</v>
      </c>
      <c r="P39" s="92">
        <f>VLOOKUP($A39,summary!$A$5:$M$109,9,FALSE)</f>
        <v>0.11282248388897273</v>
      </c>
      <c r="Q39" s="95">
        <f t="shared" si="8"/>
        <v>7.0890486790616394E-2</v>
      </c>
      <c r="R39" s="92">
        <f t="shared" si="9"/>
        <v>4.2101413564488911E-2</v>
      </c>
      <c r="S39" s="279">
        <f t="shared" si="10"/>
        <v>2.0258590905466325</v>
      </c>
      <c r="T39" s="278">
        <f t="shared" si="11"/>
        <v>2.0245624292189737</v>
      </c>
    </row>
    <row r="40" spans="1:20" x14ac:dyDescent="0.2">
      <c r="A40">
        <v>177</v>
      </c>
      <c r="B40">
        <v>177</v>
      </c>
      <c r="D40" s="55">
        <f>VLOOKUP($A40,summary!$A$5:$M$109,3,FALSE)</f>
        <v>40.078594610000003</v>
      </c>
      <c r="E40" s="245">
        <f>VLOOKUP($A40,summary!$A$5:$M$109,8,FALSE)</f>
        <v>0.32629674811974124</v>
      </c>
      <c r="F40" s="52">
        <f>VLOOKUP($B40,uncertainties!$A$16:$AX$77,21,FALSE)</f>
        <v>3.7286274913943901E-2</v>
      </c>
      <c r="G40" s="56">
        <f>VLOOKUP($B40,uncertainties!$A$16:$AX$77,40,FALSE)</f>
        <v>39.711150802914354</v>
      </c>
      <c r="H40" s="52">
        <f>VLOOKUP($A40,summary!$A$5:$M$109,9,FALSE)</f>
        <v>0.11582823559203237</v>
      </c>
      <c r="I40" s="52">
        <f>VLOOKUP($B40,uncertainties!$A$16:$AX$77,31,FALSE)</f>
        <v>2.129332315485068E-2</v>
      </c>
      <c r="J40" s="56">
        <f>VLOOKUP($B40,uncertainties!$A$16:$AX$77,50,FALSE)</f>
        <v>39.904066836514858</v>
      </c>
      <c r="K40" s="52">
        <f>VLOOKUP($A40,summary!$A$5:$M$109,12,FALSE)</f>
        <v>3.4103937754745239E-2</v>
      </c>
      <c r="L40" s="54">
        <f>VLOOKUP($A40,summary!$A$5:$M$109,13,FALSE)</f>
        <v>1.5885937959603261E-2</v>
      </c>
      <c r="N40" s="55">
        <f>VLOOKUP($A40,summary!$A$5:$M$109,3,FALSE)</f>
        <v>40.078594610000003</v>
      </c>
      <c r="O40" s="95">
        <f>VLOOKUP($A40,summary!$A$5:$M$109,8,FALSE)</f>
        <v>0.32629674811974124</v>
      </c>
      <c r="P40" s="92">
        <f>VLOOKUP($A40,summary!$A$5:$M$109,9,FALSE)</f>
        <v>0.11582823559203237</v>
      </c>
      <c r="Q40" s="95">
        <f t="shared" si="8"/>
        <v>7.5342598442493983E-2</v>
      </c>
      <c r="R40" s="92">
        <f t="shared" si="9"/>
        <v>4.3020053532378241E-2</v>
      </c>
      <c r="S40" s="279">
        <f t="shared" si="10"/>
        <v>2.0206523343075551</v>
      </c>
      <c r="T40" s="278">
        <f t="shared" si="11"/>
        <v>2.0203541372816742</v>
      </c>
    </row>
    <row r="41" spans="1:20" x14ac:dyDescent="0.2">
      <c r="A41">
        <v>178</v>
      </c>
      <c r="B41">
        <v>178</v>
      </c>
      <c r="D41" s="55">
        <f>VLOOKUP($A41,summary!$A$5:$M$109,3,FALSE)</f>
        <v>20.078383601999999</v>
      </c>
      <c r="E41" s="245">
        <f>VLOOKUP($A41,summary!$A$5:$M$109,8,FALSE)</f>
        <v>0.40232279277714023</v>
      </c>
      <c r="F41" s="52">
        <f>VLOOKUP($B41,uncertainties!$A$16:$AX$77,21,FALSE)</f>
        <v>4.1931974425374503E-2</v>
      </c>
      <c r="G41" s="56">
        <f>VLOOKUP($B41,uncertainties!$A$16:$AX$77,40,FALSE)</f>
        <v>43.868630832513816</v>
      </c>
      <c r="H41" s="52">
        <f>VLOOKUP($A41,summary!$A$5:$M$109,9,FALSE)</f>
        <v>0.11063791085087632</v>
      </c>
      <c r="I41" s="52">
        <f>VLOOKUP($B41,uncertainties!$A$16:$AX$77,31,FALSE)</f>
        <v>2.3887988347861707E-2</v>
      </c>
      <c r="J41" s="56">
        <f>VLOOKUP($B41,uncertainties!$A$16:$AX$77,50,FALSE)</f>
        <v>46.797949519231715</v>
      </c>
      <c r="K41" s="52">
        <f>VLOOKUP($A41,summary!$A$5:$M$109,12,FALSE)</f>
        <v>5.7200561719555232E-2</v>
      </c>
      <c r="L41" s="54">
        <f>VLOOKUP($A41,summary!$A$5:$M$109,13,FALSE)</f>
        <v>2.042082180517861E-2</v>
      </c>
      <c r="N41" s="55">
        <f>VLOOKUP($A41,summary!$A$5:$M$109,3,FALSE)</f>
        <v>20.078383601999999</v>
      </c>
      <c r="O41" s="95">
        <f>VLOOKUP($A41,summary!$A$5:$M$109,8,FALSE)</f>
        <v>0.40232279277714023</v>
      </c>
      <c r="P41" s="92">
        <f>VLOOKUP($A41,summary!$A$5:$M$109,9,FALSE)</f>
        <v>0.11063791085087632</v>
      </c>
      <c r="Q41" s="95">
        <f t="shared" si="8"/>
        <v>8.4485231073128941E-2</v>
      </c>
      <c r="R41" s="92">
        <f t="shared" si="9"/>
        <v>4.8046790160654732E-2</v>
      </c>
      <c r="S41" s="279">
        <f t="shared" si="10"/>
        <v>2.0148164313961798</v>
      </c>
      <c r="T41" s="278">
        <f t="shared" si="11"/>
        <v>2.011336804966064</v>
      </c>
    </row>
    <row r="42" spans="1:20" x14ac:dyDescent="0.2">
      <c r="A42">
        <v>179</v>
      </c>
      <c r="B42">
        <v>179</v>
      </c>
      <c r="D42" s="55">
        <f>VLOOKUP($A42,summary!$A$5:$M$109,3,FALSE)</f>
        <v>9.9260643214000002</v>
      </c>
      <c r="E42" s="245">
        <f>VLOOKUP($A42,summary!$A$5:$M$109,8,FALSE)</f>
        <v>0.45121819923305623</v>
      </c>
      <c r="F42" s="52">
        <f>VLOOKUP($B42,uncertainties!$A$16:$AX$77,21,FALSE)</f>
        <v>4.8426786498055818E-2</v>
      </c>
      <c r="G42" s="56">
        <f>VLOOKUP($B42,uncertainties!$A$16:$AX$77,40,FALSE)</f>
        <v>45.358014075943579</v>
      </c>
      <c r="H42" s="52">
        <f>VLOOKUP($A42,summary!$A$5:$M$109,9,FALSE)</f>
        <v>9.1127136797747921E-2</v>
      </c>
      <c r="I42" s="52">
        <f>VLOOKUP($B42,uncertainties!$A$16:$AX$77,31,FALSE)</f>
        <v>2.9287021439262331E-2</v>
      </c>
      <c r="J42" s="56">
        <f>VLOOKUP($B42,uncertainties!$A$16:$AX$77,50,FALSE)</f>
        <v>20.629825626288952</v>
      </c>
      <c r="K42" s="52">
        <f>VLOOKUP($A42,summary!$A$5:$M$109,12,FALSE)</f>
        <v>7.4024572679697254E-2</v>
      </c>
      <c r="L42" s="54">
        <f>VLOOKUP($A42,summary!$A$5:$M$109,13,FALSE)</f>
        <v>4.9121057696557141E-3</v>
      </c>
      <c r="N42" s="55">
        <f>VLOOKUP($A42,summary!$A$5:$M$109,3,FALSE)</f>
        <v>9.9260643214000002</v>
      </c>
      <c r="O42" s="95">
        <f>VLOOKUP($A42,summary!$A$5:$M$109,8,FALSE)</f>
        <v>0.45121819923305623</v>
      </c>
      <c r="P42" s="92">
        <f>VLOOKUP($A42,summary!$A$5:$M$109,9,FALSE)</f>
        <v>9.1127136797747921E-2</v>
      </c>
      <c r="Q42" s="95">
        <f t="shared" si="8"/>
        <v>9.7482646630845909E-2</v>
      </c>
      <c r="R42" s="92">
        <f t="shared" si="9"/>
        <v>6.0881279855856812E-2</v>
      </c>
      <c r="S42" s="279">
        <f t="shared" si="10"/>
        <v>2.0129901998506452</v>
      </c>
      <c r="T42" s="278">
        <f t="shared" si="11"/>
        <v>2.0787801853499195</v>
      </c>
    </row>
    <row r="43" spans="1:20" x14ac:dyDescent="0.2">
      <c r="A43">
        <v>180</v>
      </c>
      <c r="B43">
        <v>180</v>
      </c>
      <c r="D43" s="55">
        <f>VLOOKUP($A43,summary!$A$5:$M$109,3,FALSE)</f>
        <v>5.0156125952000004</v>
      </c>
      <c r="E43" s="245">
        <f>VLOOKUP($A43,summary!$A$5:$M$109,8,FALSE)</f>
        <v>0.47859715367101707</v>
      </c>
      <c r="F43" s="52">
        <f>VLOOKUP($B43,uncertainties!$A$16:$AX$77,21,FALSE)</f>
        <v>6.1692845661674114E-2</v>
      </c>
      <c r="G43" s="56">
        <f>VLOOKUP($B43,uncertainties!$A$16:$AX$77,40,FALSE)</f>
        <v>23.545039817734846</v>
      </c>
      <c r="H43" s="52">
        <f>VLOOKUP($A43,summary!$A$5:$M$109,9,FALSE)</f>
        <v>0.11175136033072258</v>
      </c>
      <c r="I43" s="52">
        <f>VLOOKUP($B43,uncertainties!$A$16:$AX$77,31,FALSE)</f>
        <v>4.7107264716717459E-2</v>
      </c>
      <c r="J43" s="56">
        <f>VLOOKUP($B43,uncertainties!$A$16:$AX$77,50,FALSE)</f>
        <v>9.56063496664094</v>
      </c>
      <c r="K43" s="52">
        <f>VLOOKUP($A43,summary!$A$5:$M$109,12,FALSE)</f>
        <v>8.2080838783779642E-2</v>
      </c>
      <c r="L43" s="54">
        <f>VLOOKUP($A43,summary!$A$5:$M$109,13,FALSE)</f>
        <v>4.6523795749602873E-2</v>
      </c>
      <c r="N43" s="55">
        <f>VLOOKUP($A43,summary!$A$5:$M$109,3,FALSE)</f>
        <v>5.0156125952000004</v>
      </c>
      <c r="O43" s="273">
        <f>VLOOKUP($A43,summary!$A$5:$M$109,8,FALSE)</f>
        <v>0.47859715367101707</v>
      </c>
      <c r="P43" s="270">
        <f>VLOOKUP($A43,summary!$A$5:$M$109,9,FALSE)</f>
        <v>0.11175136033072258</v>
      </c>
      <c r="Q43" s="273">
        <f t="shared" si="8"/>
        <v>0.1273083886553843</v>
      </c>
      <c r="R43" s="270">
        <f t="shared" si="9"/>
        <v>0.10505652216039858</v>
      </c>
      <c r="S43" s="279">
        <f t="shared" si="10"/>
        <v>2.0635843150038546</v>
      </c>
      <c r="T43" s="278">
        <f t="shared" si="11"/>
        <v>2.2301554291501042</v>
      </c>
    </row>
    <row r="44" spans="1:20" ht="13.5" thickBot="1" x14ac:dyDescent="0.25">
      <c r="D44" s="57"/>
      <c r="E44" s="247"/>
      <c r="F44" s="247"/>
      <c r="G44" s="248"/>
      <c r="H44" s="247"/>
      <c r="I44" s="247"/>
      <c r="J44" s="248"/>
      <c r="K44" s="247"/>
      <c r="L44" s="249"/>
      <c r="N44" s="57"/>
      <c r="O44" s="290"/>
      <c r="P44" s="291"/>
      <c r="Q44" s="290"/>
      <c r="R44" s="291"/>
      <c r="S44" s="280"/>
      <c r="T44" s="281"/>
    </row>
    <row r="45" spans="1:20" ht="13.5" thickBot="1" x14ac:dyDescent="0.25">
      <c r="E45" s="6"/>
      <c r="F45" s="6"/>
      <c r="G45" s="6"/>
      <c r="H45" s="6"/>
      <c r="I45" s="6"/>
      <c r="J45" s="6"/>
      <c r="K45" s="6"/>
      <c r="L45" s="6"/>
      <c r="O45" s="3"/>
      <c r="P45" s="3"/>
      <c r="Q45" s="3"/>
      <c r="R45" s="3"/>
      <c r="S45" s="2"/>
      <c r="T45" s="2"/>
    </row>
    <row r="46" spans="1:20" x14ac:dyDescent="0.2">
      <c r="D46" s="43" t="s">
        <v>343</v>
      </c>
      <c r="E46" s="250"/>
      <c r="F46" s="250"/>
      <c r="G46" s="250"/>
      <c r="H46" s="250"/>
      <c r="I46" s="250"/>
      <c r="J46" s="250"/>
      <c r="K46" s="250"/>
      <c r="L46" s="251"/>
      <c r="N46" s="43" t="s">
        <v>344</v>
      </c>
      <c r="O46" s="292"/>
      <c r="P46" s="292"/>
      <c r="Q46" s="292"/>
      <c r="R46" s="292"/>
      <c r="S46" s="282"/>
      <c r="T46" s="283"/>
    </row>
    <row r="47" spans="1:20" ht="14.25" x14ac:dyDescent="0.25">
      <c r="D47" s="46" t="s">
        <v>338</v>
      </c>
      <c r="E47" s="252"/>
      <c r="F47" s="252"/>
      <c r="G47" s="252"/>
      <c r="H47" s="252"/>
      <c r="I47" s="252"/>
      <c r="J47" s="252"/>
      <c r="K47" s="252"/>
      <c r="L47" s="253"/>
      <c r="N47" s="46" t="s">
        <v>709</v>
      </c>
      <c r="O47" s="293"/>
      <c r="P47" s="293"/>
      <c r="Q47" s="293"/>
      <c r="R47" s="293"/>
      <c r="S47" s="284"/>
      <c r="T47" s="285"/>
    </row>
    <row r="48" spans="1:20" x14ac:dyDescent="0.2">
      <c r="D48" s="48"/>
      <c r="E48" s="254"/>
      <c r="F48" s="254"/>
      <c r="G48" s="254"/>
      <c r="H48" s="254"/>
      <c r="I48" s="254"/>
      <c r="J48" s="254"/>
      <c r="K48" s="254"/>
      <c r="L48" s="255"/>
      <c r="N48" s="48"/>
      <c r="O48" s="294"/>
      <c r="P48" s="294"/>
      <c r="Q48" s="294"/>
      <c r="R48" s="294"/>
      <c r="S48" s="286"/>
      <c r="T48" s="287"/>
    </row>
    <row r="49" spans="1:20" ht="27" customHeight="1" x14ac:dyDescent="0.2">
      <c r="D49" s="58" t="s">
        <v>323</v>
      </c>
      <c r="E49" s="321" t="s">
        <v>326</v>
      </c>
      <c r="F49" s="322"/>
      <c r="G49" s="323"/>
      <c r="H49" s="321" t="s">
        <v>327</v>
      </c>
      <c r="I49" s="322"/>
      <c r="J49" s="323"/>
      <c r="K49" s="321" t="s">
        <v>334</v>
      </c>
      <c r="L49" s="324"/>
      <c r="N49" s="267" t="s">
        <v>699</v>
      </c>
      <c r="O49" s="314" t="s">
        <v>215</v>
      </c>
      <c r="P49" s="315"/>
      <c r="Q49" s="314" t="s">
        <v>703</v>
      </c>
      <c r="R49" s="315"/>
      <c r="S49" s="316" t="s">
        <v>704</v>
      </c>
      <c r="T49" s="317"/>
    </row>
    <row r="50" spans="1:20" ht="51" x14ac:dyDescent="0.2">
      <c r="D50" s="59" t="s">
        <v>325</v>
      </c>
      <c r="E50" s="256" t="s">
        <v>324</v>
      </c>
      <c r="F50" s="257" t="s">
        <v>329</v>
      </c>
      <c r="G50" s="258" t="s">
        <v>330</v>
      </c>
      <c r="H50" s="256" t="s">
        <v>328</v>
      </c>
      <c r="I50" s="257" t="s">
        <v>331</v>
      </c>
      <c r="J50" s="258" t="s">
        <v>330</v>
      </c>
      <c r="K50" s="257" t="s">
        <v>332</v>
      </c>
      <c r="L50" s="259" t="s">
        <v>333</v>
      </c>
      <c r="N50" s="268" t="s">
        <v>700</v>
      </c>
      <c r="O50" s="295" t="s">
        <v>701</v>
      </c>
      <c r="P50" s="296" t="s">
        <v>702</v>
      </c>
      <c r="Q50" s="297" t="s">
        <v>701</v>
      </c>
      <c r="R50" s="298" t="s">
        <v>702</v>
      </c>
      <c r="S50" s="288" t="s">
        <v>705</v>
      </c>
      <c r="T50" s="289" t="s">
        <v>327</v>
      </c>
    </row>
    <row r="51" spans="1:20" x14ac:dyDescent="0.2">
      <c r="A51">
        <v>238</v>
      </c>
      <c r="B51">
        <v>238</v>
      </c>
      <c r="D51" s="51">
        <f>VLOOKUP($A51,summary!$A$5:$M$109,3,FALSE)</f>
        <v>119.90899723999999</v>
      </c>
      <c r="E51" s="243">
        <f>VLOOKUP($A51,summary!$A$5:$M$109,8,FALSE)</f>
        <v>0.15213305302217844</v>
      </c>
      <c r="F51" s="244">
        <f>VLOOKUP($B51,uncertainties!$A$16:$AX$77,21,FALSE)</f>
        <v>3.6499640451694799E-2</v>
      </c>
      <c r="G51" s="53">
        <f>VLOOKUP($B51,uncertainties!$A$16:$AX$77,40,FALSE)</f>
        <v>45.125511228461825</v>
      </c>
      <c r="H51" s="52">
        <f>VLOOKUP($A51,summary!$A$5:$M$109,9,FALSE)</f>
        <v>7.5885012454326176E-2</v>
      </c>
      <c r="I51" s="52">
        <f>VLOOKUP($B51,uncertainties!$A$16:$AX$77,31,FALSE)</f>
        <v>2.36539130696286E-2</v>
      </c>
      <c r="J51" s="53">
        <f>VLOOKUP($B51,uncertainties!$A$16:$AX$77,50,FALSE)</f>
        <v>55.658559337743441</v>
      </c>
      <c r="K51" s="52">
        <f>VLOOKUP($A51,summary!$A$5:$M$109,12,FALSE)</f>
        <v>1.4116570676252466E-2</v>
      </c>
      <c r="L51" s="54">
        <f>VLOOKUP($A51,summary!$A$5:$M$109,13,FALSE)</f>
        <v>-9.3672629778943084E-4</v>
      </c>
      <c r="N51" s="51">
        <f>VLOOKUP($A51,summary!$A$5:$M$109,3,FALSE)</f>
        <v>119.90899723999999</v>
      </c>
      <c r="O51" s="94">
        <f>VLOOKUP($A51,summary!$A$5:$M$109,8,FALSE)</f>
        <v>0.15213305302217844</v>
      </c>
      <c r="P51" s="93">
        <f>VLOOKUP($A51,summary!$A$5:$M$109,9,FALSE)</f>
        <v>7.5885012454326176E-2</v>
      </c>
      <c r="Q51" s="95">
        <f t="shared" ref="Q51:Q57" si="12">F51*S51</f>
        <v>7.348352967501634E-2</v>
      </c>
      <c r="R51" s="92">
        <f t="shared" ref="R51:R57" si="13">I51*T51</f>
        <v>4.7380426945186009E-2</v>
      </c>
      <c r="S51" s="277">
        <f t="shared" ref="S51:S57" si="14">CoverFactor(G51)</f>
        <v>2.0132672203242006</v>
      </c>
      <c r="T51" s="278">
        <f t="shared" ref="T51:T57" si="15">CoverFactor(J51)</f>
        <v>2.0030692936815613</v>
      </c>
    </row>
    <row r="52" spans="1:20" x14ac:dyDescent="0.2">
      <c r="A52">
        <v>239</v>
      </c>
      <c r="B52">
        <v>239</v>
      </c>
      <c r="D52" s="55">
        <f>VLOOKUP($A52,summary!$A$5:$M$109,3,FALSE)</f>
        <v>100.16515392000001</v>
      </c>
      <c r="E52" s="245">
        <f>VLOOKUP($A52,summary!$A$5:$M$109,8,FALSE)</f>
        <v>0.16881396356939835</v>
      </c>
      <c r="F52" s="52">
        <f>VLOOKUP($B52,uncertainties!$A$16:$AX$77,21,FALSE)</f>
        <v>3.71368128905415E-2</v>
      </c>
      <c r="G52" s="56">
        <f>VLOOKUP($B52,uncertainties!$A$16:$AX$77,40,FALSE)</f>
        <v>46.61067933856723</v>
      </c>
      <c r="H52" s="52">
        <f>VLOOKUP($A52,summary!$A$5:$M$109,9,FALSE)</f>
        <v>7.3590724152435352E-2</v>
      </c>
      <c r="I52" s="52">
        <f>VLOOKUP($B52,uncertainties!$A$16:$AX$77,31,FALSE)</f>
        <v>2.3553399906460635E-2</v>
      </c>
      <c r="J52" s="56">
        <f>VLOOKUP($B52,uncertainties!$A$16:$AX$77,50,FALSE)</f>
        <v>54.628477489122936</v>
      </c>
      <c r="K52" s="52">
        <f>VLOOKUP($A52,summary!$A$5:$M$109,12,FALSE)</f>
        <v>1.4399398453936341E-2</v>
      </c>
      <c r="L52" s="54">
        <f>VLOOKUP($A52,summary!$A$5:$M$109,13,FALSE)</f>
        <v>-1.5114285427130503E-3</v>
      </c>
      <c r="N52" s="55">
        <f>VLOOKUP($A52,summary!$A$5:$M$109,3,FALSE)</f>
        <v>100.16515392000001</v>
      </c>
      <c r="O52" s="95">
        <f>VLOOKUP($A52,summary!$A$5:$M$109,8,FALSE)</f>
        <v>0.16881396356939835</v>
      </c>
      <c r="P52" s="92">
        <f>VLOOKUP($A52,summary!$A$5:$M$109,9,FALSE)</f>
        <v>7.3590724152435352E-2</v>
      </c>
      <c r="Q52" s="95">
        <f t="shared" si="12"/>
        <v>7.4702406283577924E-2</v>
      </c>
      <c r="R52" s="92">
        <f t="shared" si="13"/>
        <v>4.7198443953512761E-2</v>
      </c>
      <c r="S52" s="279">
        <f t="shared" si="14"/>
        <v>2.0115459693258742</v>
      </c>
      <c r="T52" s="278">
        <f t="shared" si="15"/>
        <v>2.0038909092086681</v>
      </c>
    </row>
    <row r="53" spans="1:20" x14ac:dyDescent="0.2">
      <c r="A53">
        <v>240</v>
      </c>
      <c r="B53">
        <v>240</v>
      </c>
      <c r="D53" s="55">
        <f>VLOOKUP($A53,summary!$A$5:$M$109,3,FALSE)</f>
        <v>60.079884224000004</v>
      </c>
      <c r="E53" s="245">
        <f>VLOOKUP($A53,summary!$A$5:$M$109,8,FALSE)</f>
        <v>0.21956276025286839</v>
      </c>
      <c r="F53" s="52">
        <f>VLOOKUP($B53,uncertainties!$A$16:$AX$77,21,FALSE)</f>
        <v>3.9891576153077972E-2</v>
      </c>
      <c r="G53" s="56">
        <f>VLOOKUP($B53,uncertainties!$A$16:$AX$77,40,FALSE)</f>
        <v>52.790447673529023</v>
      </c>
      <c r="H53" s="52">
        <f>VLOOKUP($A53,summary!$A$5:$M$109,9,FALSE)</f>
        <v>5.5507836163637803E-2</v>
      </c>
      <c r="I53" s="52">
        <f>VLOOKUP($B53,uncertainties!$A$16:$AX$77,31,FALSE)</f>
        <v>2.3149673000086309E-2</v>
      </c>
      <c r="J53" s="56">
        <f>VLOOKUP($B53,uncertainties!$A$16:$AX$77,50,FALSE)</f>
        <v>52.915006921796902</v>
      </c>
      <c r="K53" s="52">
        <f>VLOOKUP($A53,summary!$A$5:$M$109,12,FALSE)</f>
        <v>2.0132551792125392E-2</v>
      </c>
      <c r="L53" s="54">
        <f>VLOOKUP($A53,summary!$A$5:$M$109,13,FALSE)</f>
        <v>-1.0561601231110399E-2</v>
      </c>
      <c r="N53" s="55">
        <f>VLOOKUP($A53,summary!$A$5:$M$109,3,FALSE)</f>
        <v>60.079884224000004</v>
      </c>
      <c r="O53" s="95">
        <f>VLOOKUP($A53,summary!$A$5:$M$109,8,FALSE)</f>
        <v>0.21956276025286839</v>
      </c>
      <c r="P53" s="92">
        <f>VLOOKUP($A53,summary!$A$5:$M$109,9,FALSE)</f>
        <v>5.5507836163637803E-2</v>
      </c>
      <c r="Q53" s="95">
        <f t="shared" si="12"/>
        <v>8.0000068674102906E-2</v>
      </c>
      <c r="R53" s="92">
        <f t="shared" si="13"/>
        <v>4.6422719657672237E-2</v>
      </c>
      <c r="S53" s="279">
        <f t="shared" si="14"/>
        <v>2.0054376484678014</v>
      </c>
      <c r="T53" s="278">
        <f t="shared" si="15"/>
        <v>2.0053293909377969</v>
      </c>
    </row>
    <row r="54" spans="1:20" x14ac:dyDescent="0.2">
      <c r="A54">
        <v>241</v>
      </c>
      <c r="B54">
        <v>241</v>
      </c>
      <c r="D54" s="55">
        <f>VLOOKUP($A54,summary!$A$5:$M$109,3,FALSE)</f>
        <v>40.071349826000002</v>
      </c>
      <c r="E54" s="245">
        <f>VLOOKUP($A54,summary!$A$5:$M$109,8,FALSE)</f>
        <v>0.25200167333853629</v>
      </c>
      <c r="F54" s="52">
        <f>VLOOKUP($B54,uncertainties!$A$16:$AX$77,21,FALSE)</f>
        <v>4.2270112210545961E-2</v>
      </c>
      <c r="G54" s="56">
        <f>VLOOKUP($B54,uncertainties!$A$16:$AX$77,40,FALSE)</f>
        <v>58.149744340441408</v>
      </c>
      <c r="H54" s="52">
        <f>VLOOKUP($A54,summary!$A$5:$M$109,9,FALSE)</f>
        <v>5.7416420558101512E-2</v>
      </c>
      <c r="I54" s="52">
        <f>VLOOKUP($B54,uncertainties!$A$16:$AX$77,31,FALSE)</f>
        <v>2.3694152164447108E-2</v>
      </c>
      <c r="J54" s="56">
        <f>VLOOKUP($B54,uncertainties!$A$16:$AX$77,50,FALSE)</f>
        <v>56.140384685877763</v>
      </c>
      <c r="K54" s="52">
        <f>VLOOKUP($A54,summary!$A$5:$M$109,12,FALSE)</f>
        <v>2.222998689784228E-2</v>
      </c>
      <c r="L54" s="54">
        <f>VLOOKUP($A54,summary!$A$5:$M$109,13,FALSE)</f>
        <v>-7.8141916246186882E-5</v>
      </c>
      <c r="N54" s="55">
        <f>VLOOKUP($A54,summary!$A$5:$M$109,3,FALSE)</f>
        <v>40.071349826000002</v>
      </c>
      <c r="O54" s="95">
        <f>VLOOKUP($A54,summary!$A$5:$M$109,8,FALSE)</f>
        <v>0.25200167333853629</v>
      </c>
      <c r="P54" s="92">
        <f>VLOOKUP($A54,summary!$A$5:$M$109,9,FALSE)</f>
        <v>5.7416420558101512E-2</v>
      </c>
      <c r="Q54" s="95">
        <f t="shared" si="12"/>
        <v>8.4591117876465352E-2</v>
      </c>
      <c r="R54" s="92">
        <f t="shared" si="13"/>
        <v>4.7452170856469196E-2</v>
      </c>
      <c r="S54" s="279">
        <f t="shared" si="14"/>
        <v>2.0012040056842038</v>
      </c>
      <c r="T54" s="278">
        <f t="shared" si="15"/>
        <v>2.0026954552807679</v>
      </c>
    </row>
    <row r="55" spans="1:20" x14ac:dyDescent="0.2">
      <c r="A55">
        <v>242</v>
      </c>
      <c r="B55">
        <v>242</v>
      </c>
      <c r="D55" s="55">
        <f>VLOOKUP($A55,summary!$A$5:$M$109,3,FALSE)</f>
        <v>19.999084906</v>
      </c>
      <c r="E55" s="245">
        <f>VLOOKUP($A55,summary!$A$5:$M$109,8,FALSE)</f>
        <v>0.31280516301103778</v>
      </c>
      <c r="F55" s="52">
        <f>VLOOKUP($B55,uncertainties!$A$16:$AX$77,21,FALSE)</f>
        <v>4.7283071565479812E-2</v>
      </c>
      <c r="G55" s="56">
        <f>VLOOKUP($B55,uncertainties!$A$16:$AX$77,40,FALSE)</f>
        <v>65.443731026834584</v>
      </c>
      <c r="H55" s="52">
        <f>VLOOKUP($A55,summary!$A$5:$M$109,9,FALSE)</f>
        <v>4.5493238991726803E-2</v>
      </c>
      <c r="I55" s="52">
        <f>VLOOKUP($B55,uncertainties!$A$16:$AX$77,31,FALSE)</f>
        <v>2.5943366522910852E-2</v>
      </c>
      <c r="J55" s="56">
        <f>VLOOKUP($B55,uncertainties!$A$16:$AX$77,50,FALSE)</f>
        <v>65.503411392017114</v>
      </c>
      <c r="K55" s="52">
        <f>VLOOKUP($A55,summary!$A$5:$M$109,12,FALSE)</f>
        <v>4.5247395263243784E-2</v>
      </c>
      <c r="L55" s="54">
        <f>VLOOKUP($A55,summary!$A$5:$M$109,13,FALSE)</f>
        <v>-1.185320375634985E-4</v>
      </c>
      <c r="N55" s="55">
        <f>VLOOKUP($A55,summary!$A$5:$M$109,3,FALSE)</f>
        <v>19.999084906</v>
      </c>
      <c r="O55" s="95">
        <f>VLOOKUP($A55,summary!$A$5:$M$109,8,FALSE)</f>
        <v>0.31280516301103778</v>
      </c>
      <c r="P55" s="92">
        <f>VLOOKUP($A55,summary!$A$5:$M$109,9,FALSE)</f>
        <v>4.5493238991726803E-2</v>
      </c>
      <c r="Q55" s="95">
        <f t="shared" si="12"/>
        <v>9.4403848150736963E-2</v>
      </c>
      <c r="R55" s="92">
        <f t="shared" si="13"/>
        <v>5.179681215489685E-2</v>
      </c>
      <c r="S55" s="279">
        <f t="shared" si="14"/>
        <v>1.9965675880426272</v>
      </c>
      <c r="T55" s="278">
        <f t="shared" si="15"/>
        <v>1.996533954417772</v>
      </c>
    </row>
    <row r="56" spans="1:20" x14ac:dyDescent="0.2">
      <c r="A56">
        <v>243</v>
      </c>
      <c r="B56">
        <v>243</v>
      </c>
      <c r="D56" s="55">
        <f>VLOOKUP($A56,summary!$A$5:$M$109,3,FALSE)</f>
        <v>9.999829483800001</v>
      </c>
      <c r="E56" s="245">
        <f>VLOOKUP($A56,summary!$A$5:$M$109,8,FALSE)</f>
        <v>0.34690340839935313</v>
      </c>
      <c r="F56" s="52">
        <f>VLOOKUP($B56,uncertainties!$A$16:$AX$77,21,FALSE)</f>
        <v>5.3819978895484025E-2</v>
      </c>
      <c r="G56" s="56">
        <f>VLOOKUP($B56,uncertainties!$A$16:$AX$77,40,FALSE)</f>
        <v>68.250010204095503</v>
      </c>
      <c r="H56" s="52">
        <f>VLOOKUP($A56,summary!$A$5:$M$109,9,FALSE)</f>
        <v>2.6036797087866981E-2</v>
      </c>
      <c r="I56" s="52">
        <f>VLOOKUP($B56,uncertainties!$A$16:$AX$77,31,FALSE)</f>
        <v>3.1146236409978659E-2</v>
      </c>
      <c r="J56" s="56">
        <f>VLOOKUP($B56,uncertainties!$A$16:$AX$77,50,FALSE)</f>
        <v>34.061832519126185</v>
      </c>
      <c r="K56" s="52">
        <f>VLOOKUP($A56,summary!$A$5:$M$109,12,FALSE)</f>
        <v>5.657353349337213E-2</v>
      </c>
      <c r="L56" s="54">
        <f>VLOOKUP($A56,summary!$A$5:$M$109,13,FALSE)</f>
        <v>-1.2427460242454617E-2</v>
      </c>
      <c r="N56" s="55">
        <f>VLOOKUP($A56,summary!$A$5:$M$109,3,FALSE)</f>
        <v>9.999829483800001</v>
      </c>
      <c r="O56" s="273">
        <f>VLOOKUP($A56,summary!$A$5:$M$109,8,FALSE)</f>
        <v>0.34690340839935313</v>
      </c>
      <c r="P56" s="92">
        <f>VLOOKUP($A56,summary!$A$5:$M$109,9,FALSE)</f>
        <v>2.6036797087866981E-2</v>
      </c>
      <c r="Q56" s="273">
        <f t="shared" si="12"/>
        <v>0.10737356690108213</v>
      </c>
      <c r="R56" s="92">
        <f t="shared" si="13"/>
        <v>6.3255372637586127E-2</v>
      </c>
      <c r="S56" s="279">
        <f t="shared" si="14"/>
        <v>1.9950503345532105</v>
      </c>
      <c r="T56" s="278">
        <f t="shared" si="15"/>
        <v>2.0309154468923349</v>
      </c>
    </row>
    <row r="57" spans="1:20" x14ac:dyDescent="0.2">
      <c r="A57">
        <v>244</v>
      </c>
      <c r="B57">
        <v>244</v>
      </c>
      <c r="D57" s="55">
        <f>VLOOKUP($A57,summary!$A$5:$M$109,3,FALSE)</f>
        <v>4.9392275202000002</v>
      </c>
      <c r="E57" s="245">
        <f>VLOOKUP($A57,summary!$A$5:$M$109,8,FALSE)</f>
        <v>0.36805932694608762</v>
      </c>
      <c r="F57" s="52">
        <f>VLOOKUP($B57,uncertainties!$A$16:$AX$77,21,FALSE)</f>
        <v>6.6847773537888497E-2</v>
      </c>
      <c r="G57" s="56">
        <f>VLOOKUP($B57,uncertainties!$A$16:$AX$77,40,FALSE)</f>
        <v>36.912300494545292</v>
      </c>
      <c r="H57" s="52">
        <f>VLOOKUP($A57,summary!$A$5:$M$109,9,FALSE)</f>
        <v>4.6965346060309596E-2</v>
      </c>
      <c r="I57" s="52">
        <f>VLOOKUP($B57,uncertainties!$A$16:$AX$77,31,FALSE)</f>
        <v>4.9705416772177879E-2</v>
      </c>
      <c r="J57" s="56">
        <f>VLOOKUP($B57,uncertainties!$A$16:$AX$77,50,FALSE)</f>
        <v>13.641348389625014</v>
      </c>
      <c r="K57" s="52">
        <f>VLOOKUP($A57,summary!$A$5:$M$109,12,FALSE)</f>
        <v>6.6241968826777242E-2</v>
      </c>
      <c r="L57" s="54">
        <f>VLOOKUP($A57,summary!$A$5:$M$109,13,FALSE)</f>
        <v>-3.7333363595236604E-2</v>
      </c>
      <c r="N57" s="55">
        <f>VLOOKUP($A57,summary!$A$5:$M$109,3,FALSE)</f>
        <v>4.9392275202000002</v>
      </c>
      <c r="O57" s="273">
        <f>VLOOKUP($A57,summary!$A$5:$M$109,8,FALSE)</f>
        <v>0.36805932694608762</v>
      </c>
      <c r="P57" s="270">
        <f>VLOOKUP($A57,summary!$A$5:$M$109,9,FALSE)</f>
        <v>4.6965346060309596E-2</v>
      </c>
      <c r="Q57" s="273">
        <f t="shared" si="12"/>
        <v>0.13538922435878553</v>
      </c>
      <c r="R57" s="270">
        <f t="shared" si="13"/>
        <v>0.10654471594220259</v>
      </c>
      <c r="S57" s="279">
        <f t="shared" si="14"/>
        <v>2.0253363304919736</v>
      </c>
      <c r="T57" s="278">
        <f t="shared" si="15"/>
        <v>2.1435232387356211</v>
      </c>
    </row>
    <row r="58" spans="1:20" ht="13.5" thickBot="1" x14ac:dyDescent="0.25">
      <c r="D58" s="57"/>
      <c r="E58" s="247"/>
      <c r="F58" s="247"/>
      <c r="G58" s="248"/>
      <c r="H58" s="247"/>
      <c r="I58" s="247"/>
      <c r="J58" s="248"/>
      <c r="K58" s="247"/>
      <c r="L58" s="249"/>
      <c r="N58" s="57"/>
      <c r="O58" s="290"/>
      <c r="P58" s="291"/>
      <c r="Q58" s="290"/>
      <c r="R58" s="291"/>
      <c r="S58" s="280"/>
      <c r="T58" s="281"/>
    </row>
    <row r="59" spans="1:20" ht="13.5" thickBot="1" x14ac:dyDescent="0.25">
      <c r="D59" s="39"/>
      <c r="E59" s="52"/>
      <c r="F59" s="52"/>
      <c r="G59" s="52"/>
      <c r="H59" s="52"/>
      <c r="I59" s="52"/>
      <c r="J59" s="52"/>
      <c r="K59" s="52"/>
      <c r="L59" s="52"/>
      <c r="N59" s="39"/>
      <c r="O59" s="299"/>
      <c r="P59" s="299"/>
      <c r="Q59" s="299"/>
      <c r="R59" s="299"/>
      <c r="S59" s="99"/>
      <c r="T59" s="99"/>
    </row>
    <row r="60" spans="1:20" x14ac:dyDescent="0.2">
      <c r="D60" s="43" t="s">
        <v>344</v>
      </c>
      <c r="E60" s="250"/>
      <c r="F60" s="250"/>
      <c r="G60" s="250"/>
      <c r="H60" s="250"/>
      <c r="I60" s="250"/>
      <c r="J60" s="250"/>
      <c r="K60" s="250"/>
      <c r="L60" s="251"/>
      <c r="N60" s="43" t="s">
        <v>342</v>
      </c>
      <c r="O60" s="292"/>
      <c r="P60" s="292"/>
      <c r="Q60" s="292"/>
      <c r="R60" s="292"/>
      <c r="S60" s="282"/>
      <c r="T60" s="283"/>
    </row>
    <row r="61" spans="1:20" ht="14.25" x14ac:dyDescent="0.25">
      <c r="D61" s="46" t="s">
        <v>339</v>
      </c>
      <c r="E61" s="252"/>
      <c r="F61" s="252"/>
      <c r="G61" s="252"/>
      <c r="H61" s="252"/>
      <c r="I61" s="252"/>
      <c r="J61" s="252"/>
      <c r="K61" s="252"/>
      <c r="L61" s="253"/>
      <c r="N61" s="46" t="s">
        <v>710</v>
      </c>
      <c r="O61" s="293"/>
      <c r="P61" s="293"/>
      <c r="Q61" s="293"/>
      <c r="R61" s="293"/>
      <c r="S61" s="284"/>
      <c r="T61" s="285"/>
    </row>
    <row r="62" spans="1:20" x14ac:dyDescent="0.2">
      <c r="D62" s="48"/>
      <c r="E62" s="254"/>
      <c r="F62" s="254"/>
      <c r="G62" s="254"/>
      <c r="H62" s="254"/>
      <c r="I62" s="254"/>
      <c r="J62" s="254"/>
      <c r="K62" s="254"/>
      <c r="L62" s="255"/>
      <c r="N62" s="48"/>
      <c r="O62" s="294"/>
      <c r="P62" s="294"/>
      <c r="Q62" s="294"/>
      <c r="R62" s="294"/>
      <c r="S62" s="286"/>
      <c r="T62" s="287"/>
    </row>
    <row r="63" spans="1:20" ht="27" customHeight="1" x14ac:dyDescent="0.2">
      <c r="D63" s="58" t="s">
        <v>323</v>
      </c>
      <c r="E63" s="321" t="s">
        <v>326</v>
      </c>
      <c r="F63" s="322"/>
      <c r="G63" s="323"/>
      <c r="H63" s="321" t="s">
        <v>327</v>
      </c>
      <c r="I63" s="322"/>
      <c r="J63" s="323"/>
      <c r="K63" s="321" t="s">
        <v>334</v>
      </c>
      <c r="L63" s="324"/>
      <c r="N63" s="267" t="s">
        <v>699</v>
      </c>
      <c r="O63" s="314" t="s">
        <v>215</v>
      </c>
      <c r="P63" s="315"/>
      <c r="Q63" s="314" t="s">
        <v>703</v>
      </c>
      <c r="R63" s="315"/>
      <c r="S63" s="316" t="s">
        <v>704</v>
      </c>
      <c r="T63" s="317"/>
    </row>
    <row r="64" spans="1:20" ht="51" x14ac:dyDescent="0.2">
      <c r="D64" s="59" t="s">
        <v>325</v>
      </c>
      <c r="E64" s="256" t="s">
        <v>324</v>
      </c>
      <c r="F64" s="257" t="s">
        <v>329</v>
      </c>
      <c r="G64" s="258" t="s">
        <v>330</v>
      </c>
      <c r="H64" s="256" t="s">
        <v>328</v>
      </c>
      <c r="I64" s="257" t="s">
        <v>331</v>
      </c>
      <c r="J64" s="258" t="s">
        <v>330</v>
      </c>
      <c r="K64" s="257" t="s">
        <v>332</v>
      </c>
      <c r="L64" s="259" t="s">
        <v>333</v>
      </c>
      <c r="N64" s="268" t="s">
        <v>700</v>
      </c>
      <c r="O64" s="295" t="s">
        <v>701</v>
      </c>
      <c r="P64" s="296" t="s">
        <v>702</v>
      </c>
      <c r="Q64" s="297" t="s">
        <v>701</v>
      </c>
      <c r="R64" s="298" t="s">
        <v>702</v>
      </c>
      <c r="S64" s="288" t="s">
        <v>705</v>
      </c>
      <c r="T64" s="289" t="s">
        <v>327</v>
      </c>
    </row>
    <row r="65" spans="1:20" x14ac:dyDescent="0.2">
      <c r="A65">
        <v>208</v>
      </c>
      <c r="B65">
        <v>208</v>
      </c>
      <c r="D65" s="55">
        <f>VLOOKUP($A65,summary!$A$5:$M$109,3,FALSE)</f>
        <v>119.66667364000001</v>
      </c>
      <c r="E65" s="243">
        <f>VLOOKUP($A65,summary!$A$5:$M$109,8,FALSE)</f>
        <v>-0.10273283205552934</v>
      </c>
      <c r="F65" s="244">
        <f>VLOOKUP($B65,uncertainties!$A$16:$AX$77,21,FALSE)</f>
        <v>3.1111279337319542E-2</v>
      </c>
      <c r="G65" s="53">
        <f>VLOOKUP($B65,uncertainties!$A$16:$AX$77,40,FALSE)</f>
        <v>36.35232057130461</v>
      </c>
      <c r="H65" s="52">
        <f>VLOOKUP($A65,summary!$A$5:$M$109,9,FALSE)</f>
        <v>2.6678024887283512E-2</v>
      </c>
      <c r="I65" s="52">
        <f>VLOOKUP($B65,uncertainties!$A$16:$AX$77,31,FALSE)</f>
        <v>2.1098625231473878E-2</v>
      </c>
      <c r="J65" s="53">
        <f>VLOOKUP($B65,uncertainties!$A$16:$AX$77,50,FALSE)</f>
        <v>47.849908799646968</v>
      </c>
      <c r="K65" s="52">
        <f>VLOOKUP($A65,summary!$A$5:$M$109,12,FALSE)</f>
        <v>-0.27292863544435031</v>
      </c>
      <c r="L65" s="54">
        <f>VLOOKUP($A65,summary!$A$5:$M$109,13,FALSE)</f>
        <v>-8.732408733754049E-2</v>
      </c>
      <c r="N65" s="51">
        <f>VLOOKUP($A65,summary!$A$5:$M$109,3,FALSE)</f>
        <v>119.66667364000001</v>
      </c>
      <c r="O65" s="94">
        <f>VLOOKUP($A65,summary!$A$5:$M$109,8,FALSE)</f>
        <v>-0.10273283205552934</v>
      </c>
      <c r="P65" s="93">
        <f>VLOOKUP($A65,summary!$A$5:$M$109,9,FALSE)</f>
        <v>2.6678024887283512E-2</v>
      </c>
      <c r="Q65" s="95">
        <f t="shared" ref="Q65:Q71" si="16">F65*S65</f>
        <v>6.3042709768661845E-2</v>
      </c>
      <c r="R65" s="92">
        <f t="shared" ref="R65:R71" si="17">I65*T65</f>
        <v>4.24123032286342E-2</v>
      </c>
      <c r="S65" s="277">
        <f t="shared" ref="S65:S71" si="18">CoverFactor(G65)</f>
        <v>2.0263618569050275</v>
      </c>
      <c r="T65" s="278">
        <f t="shared" ref="T65:T71" si="19">CoverFactor(J65)</f>
        <v>2.0101927383100602</v>
      </c>
    </row>
    <row r="66" spans="1:20" x14ac:dyDescent="0.2">
      <c r="A66">
        <v>209</v>
      </c>
      <c r="B66">
        <v>209</v>
      </c>
      <c r="D66" s="55">
        <f>VLOOKUP($A66,summary!$A$5:$M$109,3,FALSE)</f>
        <v>100.02898456</v>
      </c>
      <c r="E66" s="245">
        <f>VLOOKUP($A66,summary!$A$5:$M$109,8,FALSE)</f>
        <v>-8.2498579719605572E-2</v>
      </c>
      <c r="F66" s="52">
        <f>VLOOKUP($B66,uncertainties!$A$16:$AX$77,21,FALSE)</f>
        <v>3.1387200261690458E-2</v>
      </c>
      <c r="G66" s="56">
        <f>VLOOKUP($B66,uncertainties!$A$16:$AX$77,40,FALSE)</f>
        <v>37.272961189070656</v>
      </c>
      <c r="H66" s="52">
        <f>VLOOKUP($A66,summary!$A$5:$M$109,9,FALSE)</f>
        <v>1.6971980492755709E-2</v>
      </c>
      <c r="I66" s="52">
        <f>VLOOKUP($B66,uncertainties!$A$16:$AX$77,31,FALSE)</f>
        <v>2.0954392112201708E-2</v>
      </c>
      <c r="J66" s="56">
        <f>VLOOKUP($B66,uncertainties!$A$16:$AX$77,50,FALSE)</f>
        <v>46.883257884052441</v>
      </c>
      <c r="K66" s="52">
        <f>VLOOKUP($A66,summary!$A$5:$M$109,12,FALSE)</f>
        <v>-0.27304445884250955</v>
      </c>
      <c r="L66" s="54">
        <f>VLOOKUP($A66,summary!$A$5:$M$109,13,FALSE)</f>
        <v>-9.6887706352113301E-2</v>
      </c>
      <c r="N66" s="55">
        <f>VLOOKUP($A66,summary!$A$5:$M$109,3,FALSE)</f>
        <v>100.02898456</v>
      </c>
      <c r="O66" s="95">
        <f>VLOOKUP($A66,summary!$A$5:$M$109,8,FALSE)</f>
        <v>-8.2498579719605572E-2</v>
      </c>
      <c r="P66" s="92">
        <f>VLOOKUP($A66,summary!$A$5:$M$109,9,FALSE)</f>
        <v>1.6971980492755709E-2</v>
      </c>
      <c r="Q66" s="95">
        <f t="shared" si="16"/>
        <v>6.3549428150595902E-2</v>
      </c>
      <c r="R66" s="92">
        <f t="shared" si="17"/>
        <v>4.2144355289216777E-2</v>
      </c>
      <c r="S66" s="279">
        <f t="shared" si="18"/>
        <v>2.0246924740261383</v>
      </c>
      <c r="T66" s="278">
        <f t="shared" si="19"/>
        <v>2.011242085361006</v>
      </c>
    </row>
    <row r="67" spans="1:20" x14ac:dyDescent="0.2">
      <c r="A67">
        <v>210</v>
      </c>
      <c r="B67">
        <v>210</v>
      </c>
      <c r="D67" s="55">
        <f>VLOOKUP($A67,summary!$A$5:$M$109,3,FALSE)</f>
        <v>60.015608854</v>
      </c>
      <c r="E67" s="245">
        <f>VLOOKUP($A67,summary!$A$5:$M$109,8,FALSE)</f>
        <v>-5.4520588644240149E-2</v>
      </c>
      <c r="F67" s="52">
        <f>VLOOKUP($B67,uncertainties!$A$16:$AX$77,21,FALSE)</f>
        <v>3.3029126203443074E-2</v>
      </c>
      <c r="G67" s="56">
        <f>VLOOKUP($B67,uncertainties!$A$16:$AX$77,40,FALSE)</f>
        <v>41.820648583069193</v>
      </c>
      <c r="H67" s="52">
        <f>VLOOKUP($A67,summary!$A$5:$M$109,9,FALSE)</f>
        <v>4.9589713461817555E-3</v>
      </c>
      <c r="I67" s="52">
        <f>VLOOKUP($B67,uncertainties!$A$16:$AX$77,31,FALSE)</f>
        <v>2.0776252376487562E-2</v>
      </c>
      <c r="J67" s="56">
        <f>VLOOKUP($B67,uncertainties!$A$16:$AX$77,50,FALSE)</f>
        <v>46.017030756028987</v>
      </c>
      <c r="K67" s="52">
        <f>VLOOKUP($A67,summary!$A$5:$M$109,12,FALSE)</f>
        <v>-0.30474948281474712</v>
      </c>
      <c r="L67" s="54">
        <f>VLOOKUP($A67,summary!$A$5:$M$109,13,FALSE)</f>
        <v>-0.10265381943685024</v>
      </c>
      <c r="N67" s="55">
        <f>VLOOKUP($A67,summary!$A$5:$M$109,3,FALSE)</f>
        <v>60.015608854</v>
      </c>
      <c r="O67" s="95">
        <f>VLOOKUP($A67,summary!$A$5:$M$109,8,FALSE)</f>
        <v>-5.4520588644240149E-2</v>
      </c>
      <c r="P67" s="92">
        <f>VLOOKUP($A67,summary!$A$5:$M$109,9,FALSE)</f>
        <v>4.9589713461817555E-3</v>
      </c>
      <c r="Q67" s="95">
        <f t="shared" si="16"/>
        <v>6.6637704507599788E-2</v>
      </c>
      <c r="R67" s="92">
        <f t="shared" si="17"/>
        <v>4.1806399878728424E-2</v>
      </c>
      <c r="S67" s="279">
        <f t="shared" si="18"/>
        <v>2.017543670309184</v>
      </c>
      <c r="T67" s="278">
        <f t="shared" si="19"/>
        <v>2.0122204486715147</v>
      </c>
    </row>
    <row r="68" spans="1:20" x14ac:dyDescent="0.2">
      <c r="A68">
        <v>211</v>
      </c>
      <c r="B68">
        <v>211</v>
      </c>
      <c r="D68" s="55">
        <f>VLOOKUP($A68,summary!$A$5:$M$109,3,FALSE)</f>
        <v>39.986475329999998</v>
      </c>
      <c r="E68" s="245">
        <f>VLOOKUP($A68,summary!$A$5:$M$109,8,FALSE)</f>
        <v>-3.330705314182917E-2</v>
      </c>
      <c r="F68" s="52">
        <f>VLOOKUP($B68,uncertainties!$A$16:$AX$77,21,FALSE)</f>
        <v>3.4762808341764109E-2</v>
      </c>
      <c r="G68" s="56">
        <f>VLOOKUP($B68,uncertainties!$A$16:$AX$77,40,FALSE)</f>
        <v>46.228371442586024</v>
      </c>
      <c r="H68" s="52">
        <f>VLOOKUP($A68,summary!$A$5:$M$109,9,FALSE)</f>
        <v>6.9880834743435071E-3</v>
      </c>
      <c r="I68" s="52">
        <f>VLOOKUP($B68,uncertainties!$A$16:$AX$77,31,FALSE)</f>
        <v>2.1161258712572593E-2</v>
      </c>
      <c r="J68" s="56">
        <f>VLOOKUP($B68,uncertainties!$A$16:$AX$77,50,FALSE)</f>
        <v>48.382868342786303</v>
      </c>
      <c r="K68" s="52">
        <f>VLOOKUP($A68,summary!$A$5:$M$109,12,FALSE)</f>
        <v>-0.32549986350682519</v>
      </c>
      <c r="L68" s="54">
        <f>VLOOKUP($A68,summary!$A$5:$M$109,13,FALSE)</f>
        <v>-9.2954214158085607E-2</v>
      </c>
      <c r="N68" s="55">
        <f>VLOOKUP($A68,summary!$A$5:$M$109,3,FALSE)</f>
        <v>39.986475329999998</v>
      </c>
      <c r="O68" s="95">
        <f>VLOOKUP($A68,summary!$A$5:$M$109,8,FALSE)</f>
        <v>-3.330705314182917E-2</v>
      </c>
      <c r="P68" s="92">
        <f>VLOOKUP($A68,summary!$A$5:$M$109,9,FALSE)</f>
        <v>6.9880834743435071E-3</v>
      </c>
      <c r="Q68" s="95">
        <f t="shared" si="16"/>
        <v>6.9942016575399127E-2</v>
      </c>
      <c r="R68" s="92">
        <f t="shared" si="17"/>
        <v>4.2526350676414568E-2</v>
      </c>
      <c r="S68" s="279">
        <f t="shared" si="18"/>
        <v>2.0119783156693543</v>
      </c>
      <c r="T68" s="278">
        <f t="shared" si="19"/>
        <v>2.0096323783966725</v>
      </c>
    </row>
    <row r="69" spans="1:20" x14ac:dyDescent="0.2">
      <c r="A69">
        <v>212</v>
      </c>
      <c r="B69">
        <v>212</v>
      </c>
      <c r="D69" s="55">
        <f>VLOOKUP($A69,summary!$A$5:$M$109,3,FALSE)</f>
        <v>20.004374869999999</v>
      </c>
      <c r="E69" s="245">
        <f>VLOOKUP($A69,summary!$A$5:$M$109,8,FALSE)</f>
        <v>1.2524470562496524E-2</v>
      </c>
      <c r="F69" s="52">
        <f>VLOOKUP($B69,uncertainties!$A$16:$AX$77,21,FALSE)</f>
        <v>3.8208803986615962E-2</v>
      </c>
      <c r="G69" s="56">
        <f>VLOOKUP($B69,uncertainties!$A$16:$AX$77,40,FALSE)</f>
        <v>51.428920091095371</v>
      </c>
      <c r="H69" s="52">
        <f>VLOOKUP($A69,summary!$A$5:$M$109,9,FALSE)</f>
        <v>-2.1786290507728297E-2</v>
      </c>
      <c r="I69" s="52">
        <f>VLOOKUP($B69,uncertainties!$A$16:$AX$77,31,FALSE)</f>
        <v>2.3904145140111129E-2</v>
      </c>
      <c r="J69" s="56">
        <f>VLOOKUP($B69,uncertainties!$A$16:$AX$77,50,FALSE)</f>
        <v>58.617348221537142</v>
      </c>
      <c r="K69" s="52">
        <f>VLOOKUP($A69,summary!$A$5:$M$109,12,FALSE)</f>
        <v>-0.33259776049508849</v>
      </c>
      <c r="L69" s="54">
        <f>VLOOKUP($A69,summary!$A$5:$M$109,13,FALSE)</f>
        <v>-0.11200337955342601</v>
      </c>
      <c r="N69" s="55">
        <f>VLOOKUP($A69,summary!$A$5:$M$109,3,FALSE)</f>
        <v>20.004374869999999</v>
      </c>
      <c r="O69" s="95">
        <f>VLOOKUP($A69,summary!$A$5:$M$109,8,FALSE)</f>
        <v>1.2524470562496524E-2</v>
      </c>
      <c r="P69" s="92">
        <f>VLOOKUP($A69,summary!$A$5:$M$109,9,FALSE)</f>
        <v>-2.1786290507728297E-2</v>
      </c>
      <c r="Q69" s="95">
        <f t="shared" si="16"/>
        <v>7.6671912002612558E-2</v>
      </c>
      <c r="R69" s="92">
        <f t="shared" si="17"/>
        <v>4.7829129009967358E-2</v>
      </c>
      <c r="S69" s="279">
        <f t="shared" si="18"/>
        <v>2.0066556396130513</v>
      </c>
      <c r="T69" s="278">
        <f t="shared" si="19"/>
        <v>2.0008717621827912</v>
      </c>
    </row>
    <row r="70" spans="1:20" x14ac:dyDescent="0.2">
      <c r="A70">
        <v>213</v>
      </c>
      <c r="B70">
        <v>213</v>
      </c>
      <c r="D70" s="55">
        <f>VLOOKUP($A70,summary!$A$5:$M$109,3,FALSE)</f>
        <v>10.014578373999999</v>
      </c>
      <c r="E70" s="245">
        <f>VLOOKUP($A70,summary!$A$5:$M$109,8,FALSE)</f>
        <v>3.9200285856382265E-2</v>
      </c>
      <c r="F70" s="52">
        <f>VLOOKUP($B70,uncertainties!$A$16:$AX$77,21,FALSE)</f>
        <v>4.4009282853488561E-2</v>
      </c>
      <c r="G70" s="56">
        <f>VLOOKUP($B70,uncertainties!$A$16:$AX$77,40,FALSE)</f>
        <v>52.996265393860035</v>
      </c>
      <c r="H70" s="52">
        <f>VLOOKUP($A70,summary!$A$5:$M$109,9,FALSE)</f>
        <v>-2.690834427300209E-2</v>
      </c>
      <c r="I70" s="52">
        <f>VLOOKUP($B70,uncertainties!$A$16:$AX$77,31,FALSE)</f>
        <v>2.9168913866278741E-2</v>
      </c>
      <c r="J70" s="56">
        <f>VLOOKUP($B70,uncertainties!$A$16:$AX$77,50,FALSE)</f>
        <v>28.015260721093341</v>
      </c>
      <c r="K70" s="52">
        <f>VLOOKUP($A70,summary!$A$5:$M$109,12,FALSE)</f>
        <v>-0.33799334069697673</v>
      </c>
      <c r="L70" s="54">
        <f>VLOOKUP($A70,summary!$A$5:$M$109,13,FALSE)</f>
        <v>-0.1131233753010943</v>
      </c>
      <c r="N70" s="55">
        <f>VLOOKUP($A70,summary!$A$5:$M$109,3,FALSE)</f>
        <v>10.014578373999999</v>
      </c>
      <c r="O70" s="95">
        <f>VLOOKUP($A70,summary!$A$5:$M$109,8,FALSE)</f>
        <v>3.9200285856382265E-2</v>
      </c>
      <c r="P70" s="92">
        <f>VLOOKUP($A70,summary!$A$5:$M$109,9,FALSE)</f>
        <v>-2.690834427300209E-2</v>
      </c>
      <c r="Q70" s="95">
        <f t="shared" si="16"/>
        <v>8.8250012507459716E-2</v>
      </c>
      <c r="R70" s="92">
        <f t="shared" si="17"/>
        <v>5.9697499291004485E-2</v>
      </c>
      <c r="S70" s="279">
        <f t="shared" si="18"/>
        <v>2.0052590450349554</v>
      </c>
      <c r="T70" s="278">
        <f t="shared" si="19"/>
        <v>2.0466137191353866</v>
      </c>
    </row>
    <row r="71" spans="1:20" x14ac:dyDescent="0.2">
      <c r="A71">
        <v>214</v>
      </c>
      <c r="B71">
        <v>214</v>
      </c>
      <c r="D71" s="55">
        <f>VLOOKUP($A71,summary!$A$5:$M$109,3,FALSE)</f>
        <v>5.0256175958</v>
      </c>
      <c r="E71" s="245">
        <f>VLOOKUP($A71,summary!$A$5:$M$109,8,FALSE)</f>
        <v>5.5034085585151292E-2</v>
      </c>
      <c r="F71" s="52">
        <f>VLOOKUP($B71,uncertainties!$A$16:$AX$77,21,FALSE)</f>
        <v>5.8251421347398524E-2</v>
      </c>
      <c r="G71" s="56">
        <f>VLOOKUP($B71,uncertainties!$A$16:$AX$77,40,FALSE)</f>
        <v>27.917053305351203</v>
      </c>
      <c r="H71" s="52">
        <f>VLOOKUP($A71,summary!$A$5:$M$109,9,FALSE)</f>
        <v>-1.756844024903096E-2</v>
      </c>
      <c r="I71" s="52">
        <f>VLOOKUP($B71,uncertainties!$A$16:$AX$77,31,FALSE)</f>
        <v>4.6868739213580035E-2</v>
      </c>
      <c r="J71" s="56">
        <f>VLOOKUP($B71,uncertainties!$A$16:$AX$77,50,FALSE)</f>
        <v>11.066510017928369</v>
      </c>
      <c r="K71" s="52">
        <f>VLOOKUP($A71,summary!$A$5:$M$109,12,FALSE)</f>
        <v>-0.34148222930208616</v>
      </c>
      <c r="L71" s="54">
        <f>VLOOKUP($A71,summary!$A$5:$M$109,13,FALSE)</f>
        <v>-8.2796004830150677E-2</v>
      </c>
      <c r="N71" s="55">
        <f>VLOOKUP($A71,summary!$A$5:$M$109,3,FALSE)</f>
        <v>5.0256175958</v>
      </c>
      <c r="O71" s="273">
        <f>VLOOKUP($A71,summary!$A$5:$M$109,8,FALSE)</f>
        <v>5.5034085585151292E-2</v>
      </c>
      <c r="P71" s="270">
        <f>VLOOKUP($A71,summary!$A$5:$M$109,9,FALSE)</f>
        <v>-1.756844024903096E-2</v>
      </c>
      <c r="Q71" s="273">
        <f t="shared" si="16"/>
        <v>0.11923637353251358</v>
      </c>
      <c r="R71" s="270">
        <f t="shared" si="17"/>
        <v>0.10264144266930358</v>
      </c>
      <c r="S71" s="279">
        <f t="shared" si="18"/>
        <v>2.0469264229865631</v>
      </c>
      <c r="T71" s="278">
        <f t="shared" si="19"/>
        <v>2.1899766110961147</v>
      </c>
    </row>
    <row r="72" spans="1:20" ht="13.5" thickBot="1" x14ac:dyDescent="0.25">
      <c r="D72" s="57"/>
      <c r="E72" s="247"/>
      <c r="F72" s="247"/>
      <c r="G72" s="248"/>
      <c r="H72" s="247"/>
      <c r="I72" s="247"/>
      <c r="J72" s="248"/>
      <c r="K72" s="247"/>
      <c r="L72" s="249"/>
      <c r="N72" s="57"/>
      <c r="O72" s="290"/>
      <c r="P72" s="291"/>
      <c r="Q72" s="290"/>
      <c r="R72" s="291"/>
      <c r="S72" s="280"/>
      <c r="T72" s="281"/>
    </row>
  </sheetData>
  <mergeCells count="30">
    <mergeCell ref="K7:L7"/>
    <mergeCell ref="E21:G21"/>
    <mergeCell ref="H21:J21"/>
    <mergeCell ref="K21:L21"/>
    <mergeCell ref="E7:G7"/>
    <mergeCell ref="H7:J7"/>
    <mergeCell ref="E63:G63"/>
    <mergeCell ref="H63:J63"/>
    <mergeCell ref="K63:L63"/>
    <mergeCell ref="E35:G35"/>
    <mergeCell ref="H35:J35"/>
    <mergeCell ref="K35:L35"/>
    <mergeCell ref="E49:G49"/>
    <mergeCell ref="H49:J49"/>
    <mergeCell ref="K49:L49"/>
    <mergeCell ref="O7:P7"/>
    <mergeCell ref="Q7:R7"/>
    <mergeCell ref="S7:T7"/>
    <mergeCell ref="O21:P21"/>
    <mergeCell ref="Q21:R21"/>
    <mergeCell ref="S21:T21"/>
    <mergeCell ref="O63:P63"/>
    <mergeCell ref="Q63:R63"/>
    <mergeCell ref="S63:T63"/>
    <mergeCell ref="O35:P35"/>
    <mergeCell ref="Q35:R35"/>
    <mergeCell ref="S35:T35"/>
    <mergeCell ref="O49:P49"/>
    <mergeCell ref="Q49:R49"/>
    <mergeCell ref="S49:T49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B0F0"/>
  </sheetPr>
  <dimension ref="B3:V148"/>
  <sheetViews>
    <sheetView zoomScale="90" zoomScaleNormal="90" workbookViewId="0">
      <selection activeCell="N38" sqref="N38"/>
    </sheetView>
  </sheetViews>
  <sheetFormatPr defaultRowHeight="12.75" x14ac:dyDescent="0.2"/>
  <cols>
    <col min="2" max="2" width="11" customWidth="1"/>
    <col min="3" max="3" width="24.42578125" customWidth="1"/>
    <col min="5" max="5" width="10.7109375" customWidth="1"/>
    <col min="6" max="6" width="11.28515625" customWidth="1"/>
    <col min="10" max="10" width="9.42578125" bestFit="1" customWidth="1"/>
    <col min="12" max="12" width="10.140625" customWidth="1"/>
    <col min="13" max="13" width="11.7109375" customWidth="1"/>
    <col min="14" max="14" width="13" customWidth="1"/>
    <col min="15" max="15" width="13" bestFit="1" customWidth="1"/>
    <col min="17" max="17" width="12.42578125" bestFit="1" customWidth="1"/>
  </cols>
  <sheetData>
    <row r="3" spans="2:14" x14ac:dyDescent="0.2">
      <c r="B3" s="5" t="s">
        <v>167</v>
      </c>
    </row>
    <row r="4" spans="2:14" x14ac:dyDescent="0.2">
      <c r="B4" s="4">
        <v>36543</v>
      </c>
      <c r="C4" s="5" t="s">
        <v>135</v>
      </c>
      <c r="J4" t="s">
        <v>138</v>
      </c>
      <c r="L4" t="s">
        <v>149</v>
      </c>
      <c r="M4" t="s">
        <v>150</v>
      </c>
      <c r="N4" t="s">
        <v>148</v>
      </c>
    </row>
    <row r="5" spans="2:14" x14ac:dyDescent="0.2">
      <c r="C5" t="s">
        <v>136</v>
      </c>
      <c r="D5">
        <v>0.59870993644000003</v>
      </c>
      <c r="E5" s="1">
        <v>-1.32725846666667E-5</v>
      </c>
      <c r="F5">
        <v>-1.4706145833333399E-4</v>
      </c>
      <c r="G5" s="1">
        <v>3.34711917505699E-6</v>
      </c>
      <c r="H5" s="1">
        <v>7.7015886444868099E-8</v>
      </c>
      <c r="I5" s="1">
        <v>1.37315239250986E-7</v>
      </c>
      <c r="J5">
        <v>1.0007200000000001</v>
      </c>
      <c r="L5" s="18">
        <f t="shared" ref="L5:L10" si="0">0.1999902*0.5*(J5-E5/D5)</f>
        <v>0.10006931322731043</v>
      </c>
      <c r="M5" s="18">
        <f t="shared" ref="M5:M10" si="1">0.1999902*0.5*(-F5/D5)</f>
        <v>2.4561852638738155E-5</v>
      </c>
      <c r="N5" s="3">
        <f t="shared" ref="N5:N10" si="2">1000000*M5/(2*PI()*53)</f>
        <v>7.3757363376413032E-2</v>
      </c>
    </row>
    <row r="6" spans="2:14" x14ac:dyDescent="0.2">
      <c r="C6" t="s">
        <v>137</v>
      </c>
      <c r="D6">
        <v>0.49954152955999997</v>
      </c>
      <c r="E6" s="1">
        <v>-1.10408696666668E-5</v>
      </c>
      <c r="F6">
        <v>-1.22785341666667E-4</v>
      </c>
      <c r="G6" s="1">
        <v>7.4930178498726802E-7</v>
      </c>
      <c r="H6" s="1">
        <v>5.8122812408056399E-9</v>
      </c>
      <c r="I6" s="1">
        <v>1.3042824948564E-7</v>
      </c>
      <c r="J6">
        <v>1.0007200000000001</v>
      </c>
      <c r="L6" s="18">
        <f t="shared" si="0"/>
        <v>0.10006930656425675</v>
      </c>
      <c r="M6" s="18">
        <f t="shared" si="1"/>
        <v>2.4578401978524249E-5</v>
      </c>
      <c r="N6" s="3">
        <f t="shared" si="2"/>
        <v>7.3807059777014239E-2</v>
      </c>
    </row>
    <row r="7" spans="2:14" x14ac:dyDescent="0.2">
      <c r="D7">
        <v>0.30025147004000002</v>
      </c>
      <c r="E7" s="1">
        <v>-5.4122549000000001E-6</v>
      </c>
      <c r="F7" s="1">
        <v>-7.4302072833333204E-5</v>
      </c>
      <c r="G7" s="1">
        <v>3.8139970080999599E-7</v>
      </c>
      <c r="H7" s="1">
        <v>3.55111234827892E-7</v>
      </c>
      <c r="I7" s="1">
        <v>3.7538421365833603E-8</v>
      </c>
      <c r="J7">
        <v>1.0007200000000001</v>
      </c>
      <c r="L7" s="18">
        <f t="shared" si="0"/>
        <v>0.10006889895766272</v>
      </c>
      <c r="M7" s="18">
        <f t="shared" si="1"/>
        <v>2.4745401586831935E-5</v>
      </c>
      <c r="N7" s="3">
        <f t="shared" si="2"/>
        <v>7.4308546817704407E-2</v>
      </c>
    </row>
    <row r="8" spans="2:14" x14ac:dyDescent="0.2">
      <c r="C8" t="s">
        <v>141</v>
      </c>
      <c r="D8">
        <v>0.2010053554</v>
      </c>
      <c r="E8" s="1">
        <v>-3.3097190499999701E-6</v>
      </c>
      <c r="F8" s="1">
        <v>-4.9360493333333401E-5</v>
      </c>
      <c r="G8" s="1">
        <v>3.4286846598950001E-7</v>
      </c>
      <c r="H8" s="1">
        <v>1.3601830504874101E-9</v>
      </c>
      <c r="I8" s="1">
        <v>1.9250460311956899E-8</v>
      </c>
      <c r="J8">
        <v>1.0007200000000001</v>
      </c>
      <c r="L8" s="18">
        <f t="shared" si="0"/>
        <v>0.1000687429738393</v>
      </c>
      <c r="M8" s="18">
        <f t="shared" si="1"/>
        <v>2.4555601800229483E-5</v>
      </c>
      <c r="N8" s="3">
        <f t="shared" si="2"/>
        <v>7.3738592586844634E-2</v>
      </c>
    </row>
    <row r="9" spans="2:14" x14ac:dyDescent="0.2">
      <c r="C9" t="s">
        <v>147</v>
      </c>
      <c r="D9">
        <v>9.9899849516000006E-2</v>
      </c>
      <c r="E9" s="1">
        <v>-1.1175878666666699E-6</v>
      </c>
      <c r="F9" s="1">
        <v>-2.4148126499999901E-5</v>
      </c>
      <c r="G9" s="1">
        <v>1.5934617463826E-7</v>
      </c>
      <c r="H9" s="1">
        <v>3.2806758990319197E-8</v>
      </c>
      <c r="I9" s="1">
        <v>3.8538310563429598E-8</v>
      </c>
      <c r="J9">
        <v>1.0007200000000001</v>
      </c>
      <c r="L9" s="18">
        <f t="shared" si="0"/>
        <v>0.10006821512544171</v>
      </c>
      <c r="M9" s="18">
        <f t="shared" si="1"/>
        <v>2.4171150766282199E-5</v>
      </c>
      <c r="N9" s="3">
        <f t="shared" si="2"/>
        <v>7.2584115559872944E-2</v>
      </c>
    </row>
    <row r="10" spans="2:14" x14ac:dyDescent="0.2">
      <c r="D10">
        <v>5.0065994263999998E-2</v>
      </c>
      <c r="E10" s="1">
        <v>-6.9050362333333903E-7</v>
      </c>
      <c r="F10" s="1">
        <v>-1.2391569833333399E-5</v>
      </c>
      <c r="G10" s="1">
        <v>4.9556139691732102E-8</v>
      </c>
      <c r="H10" s="1">
        <v>2.28310882071961E-8</v>
      </c>
      <c r="I10" s="1">
        <v>1.32616475999926E-7</v>
      </c>
      <c r="J10">
        <v>1.0007200000000001</v>
      </c>
      <c r="L10" s="18">
        <f t="shared" si="0"/>
        <v>0.10006847559129807</v>
      </c>
      <c r="M10" s="18">
        <f t="shared" si="1"/>
        <v>2.4749259110032895E-5</v>
      </c>
      <c r="N10" s="3">
        <f t="shared" si="2"/>
        <v>7.4320130664601095E-2</v>
      </c>
    </row>
    <row r="11" spans="2:14" x14ac:dyDescent="0.2">
      <c r="E11" s="1"/>
      <c r="F11" s="1"/>
      <c r="G11" s="1"/>
      <c r="H11" s="1"/>
      <c r="I11" s="1"/>
    </row>
    <row r="13" spans="2:14" x14ac:dyDescent="0.2">
      <c r="C13" t="s">
        <v>139</v>
      </c>
      <c r="D13">
        <v>0.60132318520000005</v>
      </c>
      <c r="E13" s="1">
        <v>-4.4107699999999498E-6</v>
      </c>
      <c r="F13">
        <v>-1.64401570000001E-4</v>
      </c>
      <c r="G13" s="1">
        <v>1.61373692800895E-6</v>
      </c>
      <c r="H13" s="1">
        <v>4.9974943888003702E-20</v>
      </c>
      <c r="I13" s="1">
        <v>3.4992999299868801E-9</v>
      </c>
      <c r="J13">
        <v>1.000756</v>
      </c>
      <c r="L13" s="18">
        <f t="shared" ref="L13:L18" si="3">0.1999902*0.5*(J13-E13/D13)</f>
        <v>0.10007142977037377</v>
      </c>
      <c r="M13" s="18">
        <f t="shared" ref="M13:M18" si="4">0.1999902*0.5*(-F13/D13)</f>
        <v>2.7338628938512278E-5</v>
      </c>
      <c r="N13" s="3">
        <f t="shared" ref="N13:N28" si="5">1000000*M13/(2*PI()*53)</f>
        <v>8.2095810055082361E-2</v>
      </c>
    </row>
    <row r="14" spans="2:14" x14ac:dyDescent="0.2">
      <c r="C14" t="s">
        <v>140</v>
      </c>
      <c r="D14">
        <v>0.49997133203999999</v>
      </c>
      <c r="E14" s="1">
        <v>-3.9588807333333496E-6</v>
      </c>
      <c r="F14">
        <v>-1.3602711833333401E-4</v>
      </c>
      <c r="G14" s="1">
        <v>6.5794632190156901E-8</v>
      </c>
      <c r="H14" s="1">
        <v>3.79869686408987E-7</v>
      </c>
      <c r="I14" s="1">
        <v>1.40885500781864E-7</v>
      </c>
      <c r="J14">
        <v>1.000756</v>
      </c>
      <c r="L14" s="18">
        <f t="shared" si="3"/>
        <v>0.10007148807834723</v>
      </c>
      <c r="M14" s="18">
        <f t="shared" si="4"/>
        <v>2.7205650461905568E-5</v>
      </c>
      <c r="N14" s="3">
        <f t="shared" si="5"/>
        <v>8.1696485868727867E-2</v>
      </c>
    </row>
    <row r="15" spans="2:14" x14ac:dyDescent="0.2">
      <c r="D15">
        <v>0.30058628461999998</v>
      </c>
      <c r="E15" s="1">
        <v>-1.06405401166667E-6</v>
      </c>
      <c r="F15" s="1">
        <v>-8.2111640999999404E-5</v>
      </c>
      <c r="G15" s="1">
        <v>7.4420217570370296E-7</v>
      </c>
      <c r="H15" s="1">
        <v>3.97104728603347E-7</v>
      </c>
      <c r="I15" s="1">
        <v>1.44322042322023E-8</v>
      </c>
      <c r="J15">
        <v>1.000756</v>
      </c>
      <c r="L15" s="18">
        <f t="shared" si="3"/>
        <v>0.10007105027112299</v>
      </c>
      <c r="M15" s="18">
        <f t="shared" si="4"/>
        <v>2.731582302013232E-5</v>
      </c>
      <c r="N15" s="3">
        <f t="shared" si="5"/>
        <v>8.2027325627876305E-2</v>
      </c>
    </row>
    <row r="16" spans="2:14" x14ac:dyDescent="0.2">
      <c r="C16" t="s">
        <v>142</v>
      </c>
      <c r="D16">
        <v>0.20093626626</v>
      </c>
      <c r="E16" s="1">
        <v>0</v>
      </c>
      <c r="F16" s="1">
        <v>-5.4374315833333199E-5</v>
      </c>
      <c r="G16" s="1">
        <v>4.7613707200451198E-7</v>
      </c>
      <c r="H16" s="1">
        <v>0</v>
      </c>
      <c r="I16" s="1">
        <v>1.10790668827774E-7</v>
      </c>
      <c r="J16">
        <v>1.000756</v>
      </c>
      <c r="L16" s="18">
        <f t="shared" si="3"/>
        <v>0.1000706962956</v>
      </c>
      <c r="M16" s="18">
        <f t="shared" si="4"/>
        <v>2.70591528865693E-5</v>
      </c>
      <c r="N16" s="3">
        <f t="shared" si="5"/>
        <v>8.1256564863713826E-2</v>
      </c>
    </row>
    <row r="17" spans="3:18" x14ac:dyDescent="0.2">
      <c r="C17" t="s">
        <v>144</v>
      </c>
      <c r="D17">
        <v>0.10053933884000001</v>
      </c>
      <c r="E17" s="1">
        <v>0</v>
      </c>
      <c r="F17" s="1">
        <v>-2.7461491333333201E-5</v>
      </c>
      <c r="G17" s="1">
        <v>2.1594365516457099E-7</v>
      </c>
      <c r="H17" s="1">
        <v>0</v>
      </c>
      <c r="I17" s="1">
        <v>3.1814030838958697E-8</v>
      </c>
      <c r="J17">
        <v>1.000756</v>
      </c>
      <c r="L17" s="18">
        <f t="shared" si="3"/>
        <v>0.1000706962956</v>
      </c>
      <c r="M17" s="18">
        <f t="shared" si="4"/>
        <v>2.7312836982107474E-5</v>
      </c>
      <c r="N17" s="3">
        <f t="shared" si="5"/>
        <v>8.2018358784255271E-2</v>
      </c>
    </row>
    <row r="18" spans="3:18" x14ac:dyDescent="0.2">
      <c r="D18">
        <v>5.1343663262000003E-2</v>
      </c>
      <c r="E18" s="1">
        <v>9.2884467999996397E-9</v>
      </c>
      <c r="F18" s="1">
        <v>-1.38738393333334E-5</v>
      </c>
      <c r="G18" s="1">
        <v>1.16600077239299E-6</v>
      </c>
      <c r="H18" s="1">
        <v>3.2206298730682198E-8</v>
      </c>
      <c r="I18" s="1">
        <v>6.3316995787508999E-9</v>
      </c>
      <c r="J18">
        <v>1.000756</v>
      </c>
      <c r="L18" s="18">
        <f t="shared" si="3"/>
        <v>0.10007067820575001</v>
      </c>
      <c r="M18" s="18">
        <f t="shared" si="4"/>
        <v>2.7020198080556008E-5</v>
      </c>
      <c r="N18" s="3">
        <f t="shared" si="5"/>
        <v>8.1139586563068508E-2</v>
      </c>
    </row>
    <row r="19" spans="3:18" x14ac:dyDescent="0.2">
      <c r="N19" s="3"/>
    </row>
    <row r="20" spans="3:18" x14ac:dyDescent="0.2">
      <c r="C20" t="s">
        <v>143</v>
      </c>
      <c r="D20">
        <v>0.60132318520000005</v>
      </c>
      <c r="E20" s="1">
        <v>-4.4107699999999498E-6</v>
      </c>
      <c r="F20">
        <v>-1.64401570000001E-4</v>
      </c>
      <c r="G20" s="1">
        <v>1.61373692800895E-6</v>
      </c>
      <c r="H20" s="1">
        <v>4.9974943888003702E-20</v>
      </c>
      <c r="I20" s="1">
        <v>3.4992999299868801E-9</v>
      </c>
      <c r="J20">
        <v>1.000756</v>
      </c>
      <c r="L20" s="18">
        <f t="shared" ref="L20:L25" si="6">0.1999902*0.5*(J20-E20/D20)</f>
        <v>0.10007142977037377</v>
      </c>
      <c r="M20" s="18">
        <f t="shared" ref="M20:M25" si="7">0.1999902*0.5*(-F20/D20)</f>
        <v>2.7338628938512278E-5</v>
      </c>
      <c r="N20" s="3">
        <f t="shared" si="5"/>
        <v>8.2095810055082361E-2</v>
      </c>
      <c r="P20" s="2"/>
    </row>
    <row r="21" spans="3:18" x14ac:dyDescent="0.2">
      <c r="D21">
        <v>0.49997133203999999</v>
      </c>
      <c r="E21" s="1">
        <v>-3.9588807333333496E-6</v>
      </c>
      <c r="F21">
        <v>-1.3602711833333401E-4</v>
      </c>
      <c r="G21" s="1">
        <v>6.5794632190156901E-8</v>
      </c>
      <c r="H21" s="1">
        <v>3.79869686408987E-7</v>
      </c>
      <c r="I21" s="1">
        <v>1.40885500781864E-7</v>
      </c>
      <c r="J21">
        <v>1.000756</v>
      </c>
      <c r="L21" s="18">
        <f t="shared" si="6"/>
        <v>0.10007148807834723</v>
      </c>
      <c r="M21" s="18">
        <f t="shared" si="7"/>
        <v>2.7205650461905568E-5</v>
      </c>
      <c r="N21" s="3">
        <f t="shared" si="5"/>
        <v>8.1696485868727867E-2</v>
      </c>
      <c r="P21" s="2"/>
    </row>
    <row r="22" spans="3:18" x14ac:dyDescent="0.2">
      <c r="D22">
        <v>0.30058628461999998</v>
      </c>
      <c r="E22" s="1">
        <v>-1.06405401166667E-6</v>
      </c>
      <c r="F22" s="1">
        <v>-8.2111640999999404E-5</v>
      </c>
      <c r="G22" s="1">
        <v>7.4420217570370296E-7</v>
      </c>
      <c r="H22" s="1">
        <v>3.97104728603347E-7</v>
      </c>
      <c r="I22" s="1">
        <v>1.44322042322023E-8</v>
      </c>
      <c r="J22">
        <v>1.000756</v>
      </c>
      <c r="L22" s="18">
        <f t="shared" si="6"/>
        <v>0.10007105027112299</v>
      </c>
      <c r="M22" s="18">
        <f t="shared" si="7"/>
        <v>2.731582302013232E-5</v>
      </c>
      <c r="N22" s="3">
        <f t="shared" si="5"/>
        <v>8.2027325627876305E-2</v>
      </c>
      <c r="P22" s="2"/>
    </row>
    <row r="23" spans="3:18" x14ac:dyDescent="0.2">
      <c r="D23">
        <v>0.20093626626</v>
      </c>
      <c r="E23">
        <v>0</v>
      </c>
      <c r="F23" s="1">
        <v>-5.4374315833333199E-5</v>
      </c>
      <c r="G23" s="1">
        <v>4.7613707200451198E-7</v>
      </c>
      <c r="H23">
        <v>0</v>
      </c>
      <c r="I23" s="1">
        <v>1.10790668827774E-7</v>
      </c>
      <c r="J23">
        <v>1.000756</v>
      </c>
      <c r="L23" s="18">
        <f t="shared" si="6"/>
        <v>0.1000706962956</v>
      </c>
      <c r="M23" s="18">
        <f t="shared" si="7"/>
        <v>2.70591528865693E-5</v>
      </c>
      <c r="N23" s="3">
        <f t="shared" si="5"/>
        <v>8.1256564863713826E-2</v>
      </c>
      <c r="P23" s="2"/>
    </row>
    <row r="24" spans="3:18" x14ac:dyDescent="0.2">
      <c r="D24">
        <v>0.10053933884000001</v>
      </c>
      <c r="E24">
        <v>0</v>
      </c>
      <c r="F24" s="1">
        <v>-2.7461491333333201E-5</v>
      </c>
      <c r="G24" s="1">
        <v>2.1594365516457099E-7</v>
      </c>
      <c r="H24">
        <v>0</v>
      </c>
      <c r="I24" s="1">
        <v>3.1814030838958697E-8</v>
      </c>
      <c r="J24">
        <v>1.000756</v>
      </c>
      <c r="L24" s="18">
        <f t="shared" si="6"/>
        <v>0.1000706962956</v>
      </c>
      <c r="M24" s="18">
        <f t="shared" si="7"/>
        <v>2.7312836982107474E-5</v>
      </c>
      <c r="N24" s="3">
        <f t="shared" si="5"/>
        <v>8.2018358784255271E-2</v>
      </c>
      <c r="P24" s="2"/>
    </row>
    <row r="25" spans="3:18" x14ac:dyDescent="0.2">
      <c r="D25">
        <v>5.1343663262000003E-2</v>
      </c>
      <c r="E25" s="1">
        <v>9.2884467999996397E-9</v>
      </c>
      <c r="F25" s="1">
        <v>-1.38738393333334E-5</v>
      </c>
      <c r="G25" s="1">
        <v>1.16600077239299E-6</v>
      </c>
      <c r="H25" s="1">
        <v>3.2206298730682198E-8</v>
      </c>
      <c r="I25" s="1">
        <v>6.3316995787508999E-9</v>
      </c>
      <c r="J25">
        <v>1.000756</v>
      </c>
      <c r="L25" s="18">
        <f t="shared" si="6"/>
        <v>0.10007067820575001</v>
      </c>
      <c r="M25" s="18">
        <f t="shared" si="7"/>
        <v>2.7020198080556008E-5</v>
      </c>
      <c r="N25" s="3">
        <f t="shared" si="5"/>
        <v>8.1139586563068508E-2</v>
      </c>
      <c r="P25" s="2"/>
    </row>
    <row r="26" spans="3:18" x14ac:dyDescent="0.2">
      <c r="N26" s="3"/>
    </row>
    <row r="27" spans="3:18" x14ac:dyDescent="0.2">
      <c r="C27" t="s">
        <v>145</v>
      </c>
      <c r="D27">
        <v>0.59320116578000004</v>
      </c>
      <c r="E27" s="1">
        <v>-1.3254824000000099E-5</v>
      </c>
      <c r="F27">
        <v>-1.8175420166666599E-4</v>
      </c>
      <c r="G27" s="1">
        <v>2.5494168214996499E-6</v>
      </c>
      <c r="H27" s="1">
        <v>1.6530045371988599E-9</v>
      </c>
      <c r="I27" s="1">
        <v>7.2676825723350397E-8</v>
      </c>
      <c r="J27">
        <v>1.0000800000000001</v>
      </c>
      <c r="L27" s="18">
        <f>0.1999902*0.5*(J27-E27/D27)</f>
        <v>0.10000533395534764</v>
      </c>
      <c r="M27" s="18">
        <f>0.1999902*0.5*(-F27/D27)</f>
        <v>3.0638054372635545E-5</v>
      </c>
      <c r="N27" s="3">
        <f t="shared" si="5"/>
        <v>9.200373207779633E-2</v>
      </c>
    </row>
    <row r="28" spans="3:18" x14ac:dyDescent="0.2">
      <c r="C28" t="s">
        <v>146</v>
      </c>
      <c r="D28">
        <v>0.49811688318000003</v>
      </c>
      <c r="E28" s="1">
        <v>-1.10160673333335E-5</v>
      </c>
      <c r="F28">
        <v>-1.53346123333334E-4</v>
      </c>
      <c r="G28" s="1">
        <v>7.6405907198810299E-7</v>
      </c>
      <c r="H28" s="1">
        <v>5.8285093859599603E-8</v>
      </c>
      <c r="I28" s="1">
        <v>7.3227805207824702E-8</v>
      </c>
      <c r="J28">
        <v>1.0000800000000001</v>
      </c>
      <c r="L28" s="18">
        <f>0.1999902*0.5*(J28-E28/D28)</f>
        <v>0.10000531104228742</v>
      </c>
      <c r="M28" s="18">
        <f>0.1999902*0.5*(-F28/D28)</f>
        <v>3.0783660331761947E-5</v>
      </c>
      <c r="N28" s="3">
        <f t="shared" si="5"/>
        <v>9.2440975627581301E-2</v>
      </c>
    </row>
    <row r="30" spans="3:18" x14ac:dyDescent="0.2">
      <c r="L30" t="s">
        <v>149</v>
      </c>
      <c r="M30" t="s">
        <v>150</v>
      </c>
      <c r="N30" t="s">
        <v>148</v>
      </c>
      <c r="O30" t="s">
        <v>154</v>
      </c>
      <c r="P30" t="s">
        <v>155</v>
      </c>
    </row>
    <row r="31" spans="3:18" x14ac:dyDescent="0.2">
      <c r="C31" s="19">
        <v>36543</v>
      </c>
      <c r="D31">
        <v>0.59803748223999997</v>
      </c>
      <c r="E31" s="1">
        <v>-9.9709699500000105E-6</v>
      </c>
      <c r="F31" s="1">
        <v>1.28012123333333E-6</v>
      </c>
      <c r="G31" s="1">
        <v>3.16736446991568E-6</v>
      </c>
      <c r="H31" s="1">
        <v>2.4195327325504599E-7</v>
      </c>
      <c r="I31" s="1">
        <v>1.35088966997601E-7</v>
      </c>
      <c r="J31">
        <v>1.0000800000000001</v>
      </c>
      <c r="L31" s="18">
        <f t="shared" ref="L31:L36" si="8">0.1999902*0.5*(J31+E31/D31)*(1-P31*10^-6)</f>
        <v>0.10000129727085084</v>
      </c>
      <c r="M31" s="18">
        <f t="shared" ref="M31:M36" si="9">0.1999902*0.5*(-F31/D31)</f>
        <v>-2.1404319050343287E-7</v>
      </c>
      <c r="N31" s="3">
        <f t="shared" ref="N31:N94" si="10">1000000*M31/(2*PI()*53)</f>
        <v>-6.4275531705248253E-4</v>
      </c>
      <c r="O31">
        <v>296</v>
      </c>
      <c r="P31" s="2">
        <f>0.4*1000/O31</f>
        <v>1.3513513513513513</v>
      </c>
      <c r="R31" s="20">
        <f t="shared" ref="R31:R36" si="11">1000000*(L31/0.1-1)</f>
        <v>12.972708508307562</v>
      </c>
    </row>
    <row r="32" spans="3:18" x14ac:dyDescent="0.2">
      <c r="C32" t="s">
        <v>145</v>
      </c>
      <c r="D32">
        <v>0.50036311938</v>
      </c>
      <c r="E32" s="1">
        <v>-7.84734483333333E-6</v>
      </c>
      <c r="F32" s="1">
        <v>9.9617758500000507E-7</v>
      </c>
      <c r="G32" s="1">
        <v>7.9968238120703601E-7</v>
      </c>
      <c r="H32" s="1">
        <v>3.1703328836347099E-8</v>
      </c>
      <c r="I32" s="1">
        <v>1.90462042456262E-8</v>
      </c>
      <c r="J32">
        <v>1.0000800000000001</v>
      </c>
      <c r="L32" s="18">
        <f t="shared" si="8"/>
        <v>0.10000141014088615</v>
      </c>
      <c r="M32" s="18">
        <f t="shared" si="9"/>
        <v>-1.9908117399472672E-7</v>
      </c>
      <c r="N32" s="3">
        <f t="shared" si="10"/>
        <v>-5.9782552675091401E-4</v>
      </c>
      <c r="O32">
        <v>330</v>
      </c>
      <c r="P32" s="2">
        <f t="shared" ref="P32:P41" si="12">0.4*1000/O32</f>
        <v>1.2121212121212122</v>
      </c>
      <c r="R32" s="20">
        <f t="shared" si="11"/>
        <v>14.101408861488807</v>
      </c>
    </row>
    <row r="33" spans="3:20" x14ac:dyDescent="0.2">
      <c r="C33" t="s">
        <v>151</v>
      </c>
      <c r="D33">
        <v>0.30047587242000001</v>
      </c>
      <c r="E33" s="1">
        <v>-2.8209650166666699E-6</v>
      </c>
      <c r="F33" s="1">
        <v>6.9029829000000002E-7</v>
      </c>
      <c r="G33" s="1">
        <v>3.8704531178621799E-7</v>
      </c>
      <c r="H33" s="1">
        <v>1.30309756367919E-7</v>
      </c>
      <c r="I33" s="1">
        <v>8.6580363542275395E-8</v>
      </c>
      <c r="J33">
        <v>1.0000800000000001</v>
      </c>
      <c r="L33" s="18">
        <f t="shared" si="8"/>
        <v>0.10000207442659013</v>
      </c>
      <c r="M33" s="18">
        <f t="shared" si="9"/>
        <v>-2.2972375779275554E-7</v>
      </c>
      <c r="N33" s="3">
        <f t="shared" si="10"/>
        <v>-6.8984286034645963E-4</v>
      </c>
      <c r="O33">
        <v>463</v>
      </c>
      <c r="P33" s="2">
        <f t="shared" si="12"/>
        <v>0.86393088552915764</v>
      </c>
      <c r="R33" s="20">
        <f t="shared" si="11"/>
        <v>20.744265901262438</v>
      </c>
    </row>
    <row r="34" spans="3:20" x14ac:dyDescent="0.2">
      <c r="C34" t="s">
        <v>152</v>
      </c>
      <c r="D34">
        <v>0.20025806718</v>
      </c>
      <c r="E34" s="1">
        <v>-1.21685075333333E-6</v>
      </c>
      <c r="F34" s="1">
        <v>4.0989115333333301E-7</v>
      </c>
      <c r="G34" s="1">
        <v>3.0822742496496198E-7</v>
      </c>
      <c r="H34" s="1">
        <v>1.6001502396497799E-7</v>
      </c>
      <c r="I34" s="1">
        <v>1.0230355531109299E-7</v>
      </c>
      <c r="J34">
        <v>1.0000800000000001</v>
      </c>
      <c r="L34" s="18">
        <f t="shared" si="8"/>
        <v>0.10000242396755306</v>
      </c>
      <c r="M34" s="18">
        <f t="shared" si="9"/>
        <v>-2.04671439427412E-7</v>
      </c>
      <c r="N34" s="3">
        <f t="shared" si="10"/>
        <v>-6.1461266593596344E-4</v>
      </c>
      <c r="O34">
        <v>588</v>
      </c>
      <c r="P34" s="2">
        <f t="shared" si="12"/>
        <v>0.68027210884353739</v>
      </c>
      <c r="R34" s="20">
        <f t="shared" si="11"/>
        <v>24.239675530557392</v>
      </c>
    </row>
    <row r="35" spans="3:20" x14ac:dyDescent="0.2">
      <c r="C35" t="s">
        <v>153</v>
      </c>
      <c r="D35">
        <v>0.10013116218</v>
      </c>
      <c r="E35" s="1">
        <v>-2.3843920100000002E-7</v>
      </c>
      <c r="F35" s="1">
        <v>2.1956949800000001E-7</v>
      </c>
      <c r="G35" s="1">
        <v>1.0495324475858E-7</v>
      </c>
      <c r="H35" s="1">
        <v>6.44718698004111E-8</v>
      </c>
      <c r="I35" s="1">
        <v>7.7279553497938794E-8</v>
      </c>
      <c r="J35">
        <v>1.0000800000000001</v>
      </c>
      <c r="L35" s="18">
        <f t="shared" si="8"/>
        <v>0.10000281432163854</v>
      </c>
      <c r="M35" s="18">
        <f t="shared" si="9"/>
        <v>-2.1927113828950668E-7</v>
      </c>
      <c r="N35" s="3">
        <f t="shared" si="10"/>
        <v>-6.5845444407851977E-4</v>
      </c>
      <c r="O35">
        <v>848</v>
      </c>
      <c r="P35" s="2">
        <f t="shared" si="12"/>
        <v>0.47169811320754718</v>
      </c>
      <c r="R35" s="20">
        <f t="shared" si="11"/>
        <v>28.143216385334568</v>
      </c>
    </row>
    <row r="36" spans="3:20" x14ac:dyDescent="0.2">
      <c r="D36">
        <v>4.9944849364000003E-2</v>
      </c>
      <c r="E36" s="1">
        <v>-5.5575554358166701E-8</v>
      </c>
      <c r="F36" s="1">
        <v>1.9823621005000001E-7</v>
      </c>
      <c r="G36" s="1">
        <v>1.63423363113872E-7</v>
      </c>
      <c r="H36" s="1">
        <v>1.07577310352206E-7</v>
      </c>
      <c r="I36" s="1">
        <v>1.2764341138899801E-7</v>
      </c>
      <c r="J36">
        <v>1.0000800000000001</v>
      </c>
      <c r="L36" s="18">
        <f t="shared" si="8"/>
        <v>0.10000295325083941</v>
      </c>
      <c r="M36" s="18">
        <f t="shared" si="9"/>
        <v>-3.968907685175405E-7</v>
      </c>
      <c r="N36" s="3">
        <f t="shared" si="10"/>
        <v>-1.1918325976812787E-3</v>
      </c>
      <c r="O36">
        <v>1140</v>
      </c>
      <c r="P36" s="2">
        <f t="shared" si="12"/>
        <v>0.35087719298245612</v>
      </c>
      <c r="R36" s="20">
        <f t="shared" si="11"/>
        <v>29.532508394103374</v>
      </c>
    </row>
    <row r="38" spans="3:20" x14ac:dyDescent="0.2">
      <c r="C38" t="s">
        <v>169</v>
      </c>
      <c r="D38">
        <v>0.59753405445999996</v>
      </c>
      <c r="E38" s="1">
        <v>-4.4957081833333502E-5</v>
      </c>
      <c r="F38" s="1">
        <v>3.2558564166666497E-5</v>
      </c>
      <c r="G38" s="1">
        <v>3.2194214912903999E-6</v>
      </c>
      <c r="H38" s="1">
        <v>8.84463179183033E-8</v>
      </c>
      <c r="I38" s="1">
        <v>6.0978149632789095E-8</v>
      </c>
      <c r="J38">
        <v>1</v>
      </c>
      <c r="L38" s="18">
        <f>0.1999902*0.5*(J38-E38/D38)*(1-P38*10^-6)</f>
        <v>0.10000248826163487</v>
      </c>
      <c r="M38" s="18">
        <f>0.1999902*0.5*(-F38/D38)</f>
        <v>-5.4485545307446163E-6</v>
      </c>
      <c r="N38" s="3">
        <f t="shared" si="10"/>
        <v>-1.6361592193844299E-2</v>
      </c>
      <c r="O38">
        <v>296</v>
      </c>
      <c r="P38" s="2">
        <f>0.4*1000/O38</f>
        <v>1.3513513513513513</v>
      </c>
      <c r="R38" s="20">
        <f>1000000*(L38/0.1-1)</f>
        <v>24.88261634869815</v>
      </c>
    </row>
    <row r="39" spans="3:20" x14ac:dyDescent="0.2">
      <c r="C39" t="s">
        <v>170</v>
      </c>
      <c r="D39">
        <v>0.49991707712</v>
      </c>
      <c r="E39" s="1">
        <v>-3.8340241500000298E-5</v>
      </c>
      <c r="F39" s="1">
        <v>2.7197803000000001E-5</v>
      </c>
      <c r="G39" s="1">
        <v>8.4397419522197502E-7</v>
      </c>
      <c r="H39" s="1">
        <v>1.24420641809685E-8</v>
      </c>
      <c r="I39" s="1">
        <v>1.5314494775973901E-7</v>
      </c>
      <c r="J39">
        <v>1</v>
      </c>
      <c r="L39" s="18">
        <f>0.1999902*0.5*(J39-E39/D39)*(1-P39*10^-6)</f>
        <v>0.10000264772895005</v>
      </c>
      <c r="M39" s="18">
        <f>0.1999902*0.5*(-F39/D39)</f>
        <v>-5.4401962950196967E-6</v>
      </c>
      <c r="N39" s="3">
        <f t="shared" si="10"/>
        <v>-1.6336493051747166E-2</v>
      </c>
      <c r="O39">
        <v>330</v>
      </c>
      <c r="P39" s="2">
        <f t="shared" si="12"/>
        <v>1.2121212121212122</v>
      </c>
      <c r="R39" s="20">
        <f>1000000*(L39/0.1-1)</f>
        <v>26.477289500448364</v>
      </c>
    </row>
    <row r="40" spans="3:20" x14ac:dyDescent="0.2">
      <c r="D40">
        <v>0.30162513994000001</v>
      </c>
      <c r="E40" s="1">
        <v>-2.1522046666666701E-5</v>
      </c>
      <c r="F40" s="1">
        <v>1.6429998333333399E-5</v>
      </c>
      <c r="G40" s="1">
        <v>6.0941853902502099E-6</v>
      </c>
      <c r="H40" s="1">
        <v>3.9102827095862101E-7</v>
      </c>
      <c r="I40" s="1">
        <v>5.9960320189457499E-8</v>
      </c>
      <c r="J40">
        <v>1</v>
      </c>
      <c r="L40" s="18">
        <f>0.1999902*0.5*(J40-E40/D40)*(1-P40*10^-6)</f>
        <v>0.10000214861769556</v>
      </c>
      <c r="M40" s="18">
        <f>0.1999902*0.5*(-F40/D40)</f>
        <v>-5.4468912195724798E-6</v>
      </c>
      <c r="N40" s="3">
        <f t="shared" si="10"/>
        <v>-1.6356597397713255E-2</v>
      </c>
      <c r="O40">
        <v>463</v>
      </c>
      <c r="P40" s="2">
        <f t="shared" si="12"/>
        <v>0.86393088552915764</v>
      </c>
      <c r="R40" s="20">
        <f>1000000*(L40/0.1-1)</f>
        <v>21.486176955631819</v>
      </c>
    </row>
    <row r="41" spans="3:20" x14ac:dyDescent="0.2">
      <c r="D41">
        <v>0.19959074186</v>
      </c>
      <c r="E41" s="1">
        <v>-1.34708853333334E-5</v>
      </c>
      <c r="F41" s="1">
        <v>1.10774451666666E-5</v>
      </c>
      <c r="G41" s="1">
        <v>3.1815622871571702E-7</v>
      </c>
      <c r="H41" s="1">
        <v>2.7750830891744902E-7</v>
      </c>
      <c r="I41" s="1">
        <v>1.9506434764513501E-9</v>
      </c>
      <c r="J41">
        <v>1</v>
      </c>
      <c r="L41" s="18">
        <f>0.1999902*0.5*(J41-E41/D41)*(1-P41*10^-6)</f>
        <v>0.10000178089441945</v>
      </c>
      <c r="M41" s="18">
        <f>0.1999902*0.5*(-F41/D41)</f>
        <v>-5.5498077058219287E-6</v>
      </c>
      <c r="N41" s="3">
        <f t="shared" si="10"/>
        <v>-1.6665647728133042E-2</v>
      </c>
      <c r="O41">
        <v>588</v>
      </c>
      <c r="P41" s="2">
        <f t="shared" si="12"/>
        <v>0.68027210884353739</v>
      </c>
      <c r="R41" s="20">
        <f>1000000*(L41/0.1-1)</f>
        <v>17.808944194452891</v>
      </c>
    </row>
    <row r="43" spans="3:20" x14ac:dyDescent="0.2">
      <c r="C43" t="s">
        <v>161</v>
      </c>
      <c r="D43">
        <v>0.59847215413999999</v>
      </c>
      <c r="E43" s="1">
        <v>5.1075900833332803E-5</v>
      </c>
      <c r="F43" s="1">
        <v>-3.7241145833333302E-5</v>
      </c>
      <c r="G43" s="1">
        <v>2.1767638722711601E-6</v>
      </c>
      <c r="H43" s="1">
        <v>8.9770913715443605E-8</v>
      </c>
      <c r="I43" s="1">
        <v>3.6424944968691699E-8</v>
      </c>
      <c r="J43">
        <v>1</v>
      </c>
      <c r="L43" s="18">
        <f>0.1999902*0.5*(J43+E43/D43)*(1-P43*10^-6)</f>
        <v>0.10000349882394238</v>
      </c>
      <c r="M43" s="18">
        <f>0.1999902*0.5*(F43/D43)</f>
        <v>-6.2223982786133296E-6</v>
      </c>
      <c r="N43" s="3">
        <f t="shared" si="10"/>
        <v>-1.8685385734487019E-2</v>
      </c>
      <c r="O43">
        <v>296</v>
      </c>
      <c r="P43" s="2">
        <f>0.4*1000/O43</f>
        <v>1.3513513513513513</v>
      </c>
      <c r="R43" s="20">
        <f>1000000*(L43/0.1-1)</f>
        <v>34.988239423716649</v>
      </c>
      <c r="T43" s="20">
        <f>(R43+R38)/2</f>
        <v>29.9354278862074</v>
      </c>
    </row>
    <row r="44" spans="3:20" x14ac:dyDescent="0.2">
      <c r="D44">
        <v>0.49948854411999999</v>
      </c>
      <c r="E44" s="1">
        <v>4.1649251166667001E-5</v>
      </c>
      <c r="F44" s="1">
        <v>-3.03364481666667E-5</v>
      </c>
      <c r="G44" s="1">
        <v>2.6544017204821302E-7</v>
      </c>
      <c r="H44" s="1">
        <v>9.6747022635651297E-10</v>
      </c>
      <c r="I44" s="1">
        <v>2.4866801194223897E-7</v>
      </c>
      <c r="J44">
        <v>1</v>
      </c>
      <c r="L44" s="18">
        <f>0.1999902*0.5*(J44+E44/D44)*(1-P44*10^-6)</f>
        <v>0.10000331675479089</v>
      </c>
      <c r="M44" s="18">
        <f>0.1999902*0.5*(F44/D44)</f>
        <v>-6.0732046886382018E-6</v>
      </c>
      <c r="N44" s="3">
        <f t="shared" si="10"/>
        <v>-1.8237368803880095E-2</v>
      </c>
      <c r="O44">
        <v>330</v>
      </c>
      <c r="P44" s="2">
        <f>0.4*1000/O44</f>
        <v>1.2121212121212122</v>
      </c>
      <c r="R44" s="20">
        <f>1000000*(L44/0.1-1)</f>
        <v>33.167547908830031</v>
      </c>
      <c r="T44" s="20">
        <f>(R44+R39)/2</f>
        <v>29.822418704639198</v>
      </c>
    </row>
    <row r="45" spans="3:20" x14ac:dyDescent="0.2">
      <c r="D45">
        <v>0.30022735220000002</v>
      </c>
      <c r="E45" s="1">
        <v>2.3328970166666602E-5</v>
      </c>
      <c r="F45" s="1">
        <v>-1.7534441333333399E-5</v>
      </c>
      <c r="G45" s="1">
        <v>6.7244002781488005E-7</v>
      </c>
      <c r="H45" s="1">
        <v>3.1276412826064098E-7</v>
      </c>
      <c r="I45" s="1">
        <v>7.2834616711804495E-8</v>
      </c>
      <c r="J45">
        <v>1</v>
      </c>
      <c r="L45" s="18">
        <f>0.1999902*0.5*(J45+E45/D45)*(1-P45*10^-6)</f>
        <v>0.10000278365831816</v>
      </c>
      <c r="M45" s="18">
        <f>0.1999902*0.5*(F45/D45)</f>
        <v>-5.8401015154767981E-6</v>
      </c>
      <c r="N45" s="3">
        <f t="shared" si="10"/>
        <v>-1.7537377817860404E-2</v>
      </c>
      <c r="O45">
        <v>463</v>
      </c>
      <c r="P45" s="2">
        <f>0.4*1000/O45</f>
        <v>0.86393088552915764</v>
      </c>
      <c r="R45" s="20">
        <f>1000000*(L45/0.1-1)</f>
        <v>27.836583181617414</v>
      </c>
      <c r="T45" s="20">
        <f>(R45+R40)/2</f>
        <v>24.661380068624617</v>
      </c>
    </row>
    <row r="46" spans="3:20" x14ac:dyDescent="0.2">
      <c r="D46">
        <v>0.20067335538</v>
      </c>
      <c r="E46" s="1">
        <v>1.46386538333333E-5</v>
      </c>
      <c r="F46" s="1">
        <v>-1.17767911666667E-5</v>
      </c>
      <c r="G46" s="1">
        <v>3.3484236988493801E-7</v>
      </c>
      <c r="H46" s="1">
        <v>1.11353766971032E-7</v>
      </c>
      <c r="I46" s="1">
        <v>5.2109369492345501E-10</v>
      </c>
      <c r="J46">
        <v>1</v>
      </c>
      <c r="L46" s="18">
        <f>0.1999902*0.5*(J46+E46/D46)*(1-P46*10^-6)</f>
        <v>0.1000023263807801</v>
      </c>
      <c r="M46" s="18">
        <f>0.1999902*0.5*(F46/D46)</f>
        <v>-5.8683496279811563E-6</v>
      </c>
      <c r="N46" s="3">
        <f t="shared" si="10"/>
        <v>-1.7622204737446908E-2</v>
      </c>
      <c r="O46">
        <v>588</v>
      </c>
      <c r="P46" s="2">
        <f>0.4*1000/O46</f>
        <v>0.68027210884353739</v>
      </c>
      <c r="R46" s="20">
        <f>1000000*(L46/0.1-1)</f>
        <v>23.263807801043868</v>
      </c>
      <c r="T46" s="20">
        <f>(R46+R41)/2</f>
        <v>20.53637599774838</v>
      </c>
    </row>
    <row r="48" spans="3:20" x14ac:dyDescent="0.2">
      <c r="C48" t="s">
        <v>156</v>
      </c>
      <c r="D48">
        <v>0.59773359201999998</v>
      </c>
      <c r="E48" s="1">
        <v>-4.1313672333333398E-5</v>
      </c>
      <c r="F48" s="1">
        <v>3.1723773000000002E-5</v>
      </c>
      <c r="G48" s="1">
        <v>3.9671886312136402E-6</v>
      </c>
      <c r="H48" s="1">
        <v>4.6497302434430102E-7</v>
      </c>
      <c r="I48" s="1">
        <v>1.9699034773307501E-8</v>
      </c>
      <c r="J48">
        <v>1</v>
      </c>
      <c r="L48" s="18">
        <f t="shared" ref="L48:L53" si="13">0.1999902*0.5*(J48-E48/D48)*(1-P48*10^-6)</f>
        <v>0.1000018762434904</v>
      </c>
      <c r="M48" s="18">
        <f t="shared" ref="M48:M53" si="14">0.1999902*0.5*(-F48/D48)</f>
        <v>-5.3070831150579847E-6</v>
      </c>
      <c r="N48" s="3">
        <f t="shared" si="10"/>
        <v>-1.5936764361528532E-2</v>
      </c>
      <c r="O48">
        <v>296</v>
      </c>
      <c r="P48" s="2">
        <f t="shared" ref="P48:P53" si="15">0.4*1000/O48</f>
        <v>1.3513513513513513</v>
      </c>
      <c r="R48" s="20">
        <f t="shared" ref="R48:R53" si="16">1000000*(L48/0.1-1)</f>
        <v>18.762434903951686</v>
      </c>
    </row>
    <row r="49" spans="2:22" x14ac:dyDescent="0.2">
      <c r="D49">
        <v>0.49849385670000002</v>
      </c>
      <c r="E49" s="1">
        <v>-3.0547885500000003E-5</v>
      </c>
      <c r="F49" s="1">
        <v>2.3021913333333499E-5</v>
      </c>
      <c r="G49" s="1">
        <v>1.17797997917922E-6</v>
      </c>
      <c r="H49" s="1">
        <v>5.5535761352129102E-6</v>
      </c>
      <c r="I49" s="1">
        <v>3.9769880761981402E-6</v>
      </c>
      <c r="J49">
        <v>1</v>
      </c>
      <c r="L49" s="18">
        <f t="shared" si="13"/>
        <v>0.10000110652261908</v>
      </c>
      <c r="M49" s="18">
        <f t="shared" si="14"/>
        <v>-4.6180679962590534E-6</v>
      </c>
      <c r="N49" s="3">
        <f t="shared" si="10"/>
        <v>-1.3867704700737978E-2</v>
      </c>
      <c r="O49">
        <v>330</v>
      </c>
      <c r="P49" s="2">
        <f t="shared" si="15"/>
        <v>1.2121212121212122</v>
      </c>
      <c r="R49" s="20">
        <f t="shared" si="16"/>
        <v>11.065226190654087</v>
      </c>
    </row>
    <row r="50" spans="2:22" x14ac:dyDescent="0.2">
      <c r="D50">
        <v>0.29932047439999998</v>
      </c>
      <c r="E50" s="1">
        <v>-1.9769934000000201E-5</v>
      </c>
      <c r="F50" s="1">
        <v>1.64036920000001E-5</v>
      </c>
      <c r="G50" s="1">
        <v>3.0186114459468103E-7</v>
      </c>
      <c r="H50" s="1">
        <v>9.0173255148075502E-8</v>
      </c>
      <c r="I50" s="1">
        <v>3.4344014558580798E-8</v>
      </c>
      <c r="J50">
        <v>1</v>
      </c>
      <c r="L50" s="18">
        <f t="shared" si="13"/>
        <v>0.10000161822054668</v>
      </c>
      <c r="M50" s="18">
        <f t="shared" si="14"/>
        <v>-5.480042169508235E-6</v>
      </c>
      <c r="N50" s="3">
        <f t="shared" si="10"/>
        <v>-1.645614716281641E-2</v>
      </c>
      <c r="O50">
        <v>463</v>
      </c>
      <c r="P50" s="2">
        <f t="shared" si="15"/>
        <v>0.86393088552915764</v>
      </c>
      <c r="R50" s="20">
        <f t="shared" si="16"/>
        <v>16.182205466730437</v>
      </c>
    </row>
    <row r="51" spans="2:22" x14ac:dyDescent="0.2">
      <c r="D51">
        <v>0.19967883929999999</v>
      </c>
      <c r="E51" s="1">
        <v>-1.27867936666667E-5</v>
      </c>
      <c r="F51" s="1">
        <v>1.10775011666666E-5</v>
      </c>
      <c r="G51" s="1">
        <v>9.30036656809555E-7</v>
      </c>
      <c r="H51" s="1">
        <v>1.9643086805936501E-7</v>
      </c>
      <c r="I51" s="1">
        <v>1.8762236821753401E-9</v>
      </c>
      <c r="J51">
        <v>1</v>
      </c>
      <c r="L51" s="18">
        <f t="shared" si="13"/>
        <v>0.10000143533787101</v>
      </c>
      <c r="M51" s="18">
        <f t="shared" si="14"/>
        <v>-5.5473871983336564E-6</v>
      </c>
      <c r="N51" s="3">
        <f t="shared" si="10"/>
        <v>-1.6658379129424562E-2</v>
      </c>
      <c r="O51">
        <v>588</v>
      </c>
      <c r="P51" s="2">
        <f t="shared" si="15"/>
        <v>0.68027210884353739</v>
      </c>
      <c r="R51" s="20">
        <f t="shared" si="16"/>
        <v>14.353378710030285</v>
      </c>
    </row>
    <row r="52" spans="2:22" x14ac:dyDescent="0.2">
      <c r="D52">
        <v>0.10034556659799999</v>
      </c>
      <c r="E52" s="1">
        <v>-6.2830518333333398E-6</v>
      </c>
      <c r="F52" s="1">
        <v>5.6805180333333402E-6</v>
      </c>
      <c r="G52" s="1">
        <v>2.5451917118173901E-6</v>
      </c>
      <c r="H52" s="1">
        <v>8.5252361791168094E-8</v>
      </c>
      <c r="I52" s="1">
        <v>1.40600602998229E-7</v>
      </c>
      <c r="J52">
        <v>1</v>
      </c>
      <c r="L52" s="18">
        <f t="shared" si="13"/>
        <v>0.10000129307953023</v>
      </c>
      <c r="M52" s="18">
        <f t="shared" si="14"/>
        <v>-5.6606782746124044E-6</v>
      </c>
      <c r="N52" s="3">
        <f t="shared" si="10"/>
        <v>-1.6998583559574822E-2</v>
      </c>
      <c r="O52">
        <v>588</v>
      </c>
      <c r="P52" s="2">
        <f t="shared" si="15"/>
        <v>0.68027210884353739</v>
      </c>
      <c r="R52" s="20">
        <f t="shared" si="16"/>
        <v>12.930795302290576</v>
      </c>
    </row>
    <row r="53" spans="2:22" x14ac:dyDescent="0.2">
      <c r="D53">
        <v>4.8367788235999999E-2</v>
      </c>
      <c r="E53" s="1">
        <v>-2.9321752166666699E-6</v>
      </c>
      <c r="F53" s="1">
        <v>2.7659331333333302E-6</v>
      </c>
      <c r="G53" s="1">
        <v>5.3148395169665501E-8</v>
      </c>
      <c r="H53" s="1">
        <v>9.51797336461552E-8</v>
      </c>
      <c r="I53" s="1">
        <v>1.40616824804937E-8</v>
      </c>
      <c r="J53">
        <v>1</v>
      </c>
      <c r="L53" s="18">
        <f t="shared" si="13"/>
        <v>0.10000109392282798</v>
      </c>
      <c r="M53" s="18">
        <f t="shared" si="14"/>
        <v>-5.7182635458017948E-6</v>
      </c>
      <c r="N53" s="3">
        <f t="shared" si="10"/>
        <v>-1.7171507721066875E-2</v>
      </c>
      <c r="O53">
        <v>588</v>
      </c>
      <c r="P53" s="2">
        <f t="shared" si="15"/>
        <v>0.68027210884353739</v>
      </c>
      <c r="R53" s="20">
        <f t="shared" si="16"/>
        <v>10.93922827966054</v>
      </c>
    </row>
    <row r="54" spans="2:22" x14ac:dyDescent="0.2">
      <c r="E54" s="1"/>
      <c r="F54" s="1"/>
      <c r="G54" s="1"/>
      <c r="H54" s="1"/>
      <c r="I54" s="1"/>
    </row>
    <row r="55" spans="2:22" x14ac:dyDescent="0.2">
      <c r="C55" s="1" t="s">
        <v>156</v>
      </c>
      <c r="D55">
        <v>0.58864073037999998</v>
      </c>
      <c r="E55" s="1">
        <v>-4.5073438333333897E-5</v>
      </c>
      <c r="F55" s="1">
        <v>3.2587249666666503E-5</v>
      </c>
      <c r="G55" s="1">
        <v>2.4024919567961698E-6</v>
      </c>
      <c r="H55" s="1">
        <v>2.8623319116101201E-8</v>
      </c>
      <c r="I55" s="1">
        <v>5.0133962871713302E-8</v>
      </c>
      <c r="J55">
        <v>1</v>
      </c>
      <c r="L55" s="18">
        <f t="shared" ref="L55:L60" si="17">0.1999902*0.5*(J55-E55/D55)</f>
        <v>0.10000275683164768</v>
      </c>
      <c r="M55" s="18">
        <f t="shared" ref="M55:M60" si="18">0.1999902*0.5*(-F55/D55)</f>
        <v>-5.5357455251859662E-6</v>
      </c>
      <c r="N55" s="3">
        <f t="shared" si="10"/>
        <v>-1.6623420076078994E-2</v>
      </c>
      <c r="O55" s="20">
        <f>1000000*(L55/0.1-1)</f>
        <v>27.568316476767052</v>
      </c>
      <c r="P55" s="21"/>
      <c r="R55" s="20"/>
      <c r="S55" s="20"/>
      <c r="V55" s="1"/>
    </row>
    <row r="56" spans="2:22" x14ac:dyDescent="0.2">
      <c r="C56" s="1"/>
      <c r="D56">
        <v>0.49375080768000001</v>
      </c>
      <c r="E56" s="1">
        <v>-3.7287041333333299E-5</v>
      </c>
      <c r="F56" s="1">
        <v>2.7450355166666801E-5</v>
      </c>
      <c r="G56" s="1">
        <v>5.6886296151474602E-7</v>
      </c>
      <c r="H56" s="1">
        <v>5.04790695063034E-8</v>
      </c>
      <c r="I56" s="1">
        <v>1.41678273053994E-9</v>
      </c>
      <c r="J56">
        <v>1</v>
      </c>
      <c r="L56" s="18">
        <f t="shared" si="17"/>
        <v>0.1000026514234485</v>
      </c>
      <c r="M56" s="18">
        <f t="shared" si="18"/>
        <v>-5.5592840907418509E-6</v>
      </c>
      <c r="N56" s="3">
        <f t="shared" si="10"/>
        <v>-1.6694104586673555E-2</v>
      </c>
      <c r="O56" s="20">
        <f t="shared" ref="O56:O67" si="19">1000000*(L56/0.1-1)</f>
        <v>26.514234484853461</v>
      </c>
      <c r="P56" s="2"/>
      <c r="R56" s="20"/>
      <c r="S56" s="20"/>
      <c r="V56" s="1"/>
    </row>
    <row r="57" spans="2:22" x14ac:dyDescent="0.2">
      <c r="C57" s="1"/>
      <c r="D57">
        <v>0.30554085362</v>
      </c>
      <c r="E57" s="1">
        <v>-2.1927113000000299E-5</v>
      </c>
      <c r="F57" s="1">
        <v>1.75154940000001E-5</v>
      </c>
      <c r="G57" s="1">
        <v>4.8095549370201005E-7</v>
      </c>
      <c r="H57" s="1">
        <v>2.39202096771746E-8</v>
      </c>
      <c r="I57" s="1">
        <v>4.4442394174932E-9</v>
      </c>
      <c r="J57">
        <v>1</v>
      </c>
      <c r="L57" s="18">
        <f t="shared" si="17"/>
        <v>0.10000227613972459</v>
      </c>
      <c r="M57" s="18">
        <f t="shared" si="18"/>
        <v>-5.7323384199799958E-6</v>
      </c>
      <c r="N57" s="3">
        <f t="shared" si="10"/>
        <v>-1.7213773490856631E-2</v>
      </c>
      <c r="O57" s="20">
        <f t="shared" si="19"/>
        <v>22.761397245885107</v>
      </c>
      <c r="P57" s="2"/>
      <c r="R57" s="20"/>
      <c r="S57" s="20"/>
      <c r="V57" s="1"/>
    </row>
    <row r="58" spans="2:22" x14ac:dyDescent="0.2">
      <c r="C58" s="1"/>
      <c r="D58">
        <v>0.19623422332000001</v>
      </c>
      <c r="E58" s="1">
        <v>-1.31708953333335E-5</v>
      </c>
      <c r="F58" s="1">
        <v>1.10774821666666E-5</v>
      </c>
      <c r="G58" s="1">
        <v>3.4910950202788298E-7</v>
      </c>
      <c r="H58" s="1">
        <v>8.1559841970313103E-9</v>
      </c>
      <c r="I58" s="1">
        <v>1.90752858577676E-9</v>
      </c>
      <c r="J58">
        <v>1</v>
      </c>
      <c r="L58" s="18">
        <f t="shared" si="17"/>
        <v>0.1000018114949353</v>
      </c>
      <c r="M58" s="18">
        <f t="shared" si="18"/>
        <v>-5.6447541018251541E-6</v>
      </c>
      <c r="N58" s="3">
        <f t="shared" si="10"/>
        <v>-1.6950764487617457E-2</v>
      </c>
      <c r="O58" s="20">
        <f t="shared" si="19"/>
        <v>18.114949352998622</v>
      </c>
      <c r="P58" s="2"/>
      <c r="R58" s="20"/>
      <c r="S58" s="20"/>
      <c r="V58" s="1"/>
    </row>
    <row r="59" spans="2:22" x14ac:dyDescent="0.2">
      <c r="C59" s="1"/>
      <c r="D59">
        <v>0.10851285272</v>
      </c>
      <c r="E59" s="1">
        <v>-6.9309036666666704E-6</v>
      </c>
      <c r="F59" s="1">
        <v>6.1447363999999997E-6</v>
      </c>
      <c r="G59" s="1">
        <v>1.7605406216660099E-7</v>
      </c>
      <c r="H59" s="1">
        <v>8.2340174345347499E-8</v>
      </c>
      <c r="I59" s="1">
        <v>1.3357932464035499E-7</v>
      </c>
      <c r="J59">
        <v>1</v>
      </c>
      <c r="L59" s="18">
        <f t="shared" si="17"/>
        <v>0.10000148686006188</v>
      </c>
      <c r="M59" s="18">
        <f t="shared" si="18"/>
        <v>-5.6624032581385813E-6</v>
      </c>
      <c r="N59" s="3">
        <f t="shared" si="10"/>
        <v>-1.7003763553064315E-2</v>
      </c>
      <c r="O59" s="20">
        <f t="shared" si="19"/>
        <v>14.868600618722638</v>
      </c>
      <c r="P59" s="2"/>
      <c r="R59" s="20"/>
      <c r="S59" s="20"/>
      <c r="V59" s="1"/>
    </row>
    <row r="60" spans="2:22" x14ac:dyDescent="0.2">
      <c r="C60" s="1"/>
      <c r="D60">
        <v>5.1994316325999997E-2</v>
      </c>
      <c r="E60" s="1">
        <v>-3.2588868833333301E-6</v>
      </c>
      <c r="F60" s="1">
        <v>2.95434976666666E-6</v>
      </c>
      <c r="G60" s="1">
        <v>7.1003449552482102E-8</v>
      </c>
      <c r="H60" s="1">
        <v>1.16464186833491E-7</v>
      </c>
      <c r="I60" s="1">
        <v>1.15539644054666E-7</v>
      </c>
      <c r="J60">
        <v>1</v>
      </c>
      <c r="L60" s="18">
        <f t="shared" si="17"/>
        <v>0.10000136746811601</v>
      </c>
      <c r="M60" s="18">
        <f t="shared" si="18"/>
        <v>-5.6817844954542262E-6</v>
      </c>
      <c r="N60" s="3">
        <f t="shared" si="10"/>
        <v>-1.7061963925177937E-2</v>
      </c>
      <c r="O60" s="20">
        <f t="shared" si="19"/>
        <v>13.674681160091851</v>
      </c>
      <c r="P60" s="2"/>
      <c r="R60" s="20"/>
      <c r="S60" s="20"/>
      <c r="V60" s="1"/>
    </row>
    <row r="61" spans="2:22" x14ac:dyDescent="0.2">
      <c r="C61" s="1"/>
      <c r="L61" s="18"/>
      <c r="M61" s="18"/>
      <c r="O61" s="20"/>
      <c r="V61" s="1"/>
    </row>
    <row r="62" spans="2:22" x14ac:dyDescent="0.2">
      <c r="B62" s="1"/>
      <c r="C62" s="1" t="s">
        <v>157</v>
      </c>
      <c r="D62">
        <v>0.59436767688000003</v>
      </c>
      <c r="E62" s="1">
        <v>4.6350435166666599E-5</v>
      </c>
      <c r="F62" s="1">
        <v>-3.7269916499999602E-5</v>
      </c>
      <c r="G62" s="1">
        <v>2.74338378924658E-6</v>
      </c>
      <c r="H62" s="1">
        <v>1.5560683086968199E-7</v>
      </c>
      <c r="I62" s="1">
        <v>2.1408809971986499E-8</v>
      </c>
      <c r="J62">
        <v>1</v>
      </c>
      <c r="L62" s="18">
        <f t="shared" ref="L62:L67" si="20">0.1999902*0.5*(J62+E62/D62)</f>
        <v>0.10000289789443441</v>
      </c>
      <c r="M62" s="18">
        <f t="shared" ref="M62:M67" si="21">0.1999902*0.5*(F62/D62)</f>
        <v>-6.2702081091827865E-6</v>
      </c>
      <c r="N62" s="3">
        <f t="shared" si="10"/>
        <v>-1.8828954996062776E-2</v>
      </c>
      <c r="O62" s="20">
        <f t="shared" si="19"/>
        <v>28.978944343949209</v>
      </c>
      <c r="P62" s="2"/>
      <c r="R62" s="20"/>
      <c r="S62" s="20"/>
      <c r="T62" s="20"/>
      <c r="U62" s="20"/>
      <c r="V62" s="1"/>
    </row>
    <row r="63" spans="2:22" x14ac:dyDescent="0.2">
      <c r="B63" s="1"/>
      <c r="C63" s="1" t="s">
        <v>158</v>
      </c>
      <c r="D63">
        <v>0.49979761525999999</v>
      </c>
      <c r="E63" s="1">
        <v>3.8945775166666703E-5</v>
      </c>
      <c r="F63" s="1">
        <v>-3.0758145500000102E-5</v>
      </c>
      <c r="G63" s="1">
        <v>7.3290271549077503E-7</v>
      </c>
      <c r="H63" s="1">
        <v>3.70296157780011E-7</v>
      </c>
      <c r="I63" s="1">
        <v>6.6087838112746898E-8</v>
      </c>
      <c r="J63">
        <v>1</v>
      </c>
      <c r="L63" s="18">
        <f t="shared" si="20"/>
        <v>0.1000028919272991</v>
      </c>
      <c r="M63" s="18">
        <f t="shared" si="21"/>
        <v>-6.1538185481078521E-6</v>
      </c>
      <c r="N63" s="3">
        <f t="shared" si="10"/>
        <v>-1.8479446053244437E-2</v>
      </c>
      <c r="O63" s="20">
        <f t="shared" si="19"/>
        <v>28.919272990979294</v>
      </c>
      <c r="P63" s="2"/>
      <c r="R63" s="20"/>
      <c r="S63" s="20"/>
      <c r="T63" s="20"/>
      <c r="U63" s="20"/>
      <c r="V63" s="1"/>
    </row>
    <row r="64" spans="2:22" x14ac:dyDescent="0.2">
      <c r="B64" s="1"/>
      <c r="C64" s="1"/>
      <c r="D64">
        <v>0.30198180689999998</v>
      </c>
      <c r="E64" s="1">
        <v>2.1943570833333201E-5</v>
      </c>
      <c r="F64" s="1">
        <v>-1.8629308833333199E-5</v>
      </c>
      <c r="G64" s="1">
        <v>5.0466427025821196E-7</v>
      </c>
      <c r="H64" s="1">
        <v>4.9528915116716497E-8</v>
      </c>
      <c r="I64" s="1">
        <v>2.49246151151607E-8</v>
      </c>
      <c r="J64">
        <v>1</v>
      </c>
      <c r="L64" s="18">
        <f t="shared" si="20"/>
        <v>0.10000236616474802</v>
      </c>
      <c r="M64" s="18">
        <f t="shared" si="21"/>
        <v>-6.1687146614660405E-6</v>
      </c>
      <c r="N64" s="3">
        <f t="shared" si="10"/>
        <v>-1.8524177941429586E-2</v>
      </c>
      <c r="O64" s="20">
        <f t="shared" si="19"/>
        <v>23.661647480022197</v>
      </c>
      <c r="P64" s="2"/>
      <c r="R64" s="20"/>
      <c r="S64" s="20"/>
      <c r="T64" s="20"/>
      <c r="U64" s="20"/>
      <c r="V64" s="1"/>
    </row>
    <row r="65" spans="2:22" x14ac:dyDescent="0.2">
      <c r="B65" s="1"/>
      <c r="C65" s="1"/>
      <c r="D65">
        <v>0.20028340474</v>
      </c>
      <c r="E65" s="1">
        <v>1.3871559666666499E-5</v>
      </c>
      <c r="F65" s="1">
        <v>-1.23641391666667E-5</v>
      </c>
      <c r="G65" s="1">
        <v>3.8114491686155297E-7</v>
      </c>
      <c r="H65" s="1">
        <v>1.4394118783570901E-9</v>
      </c>
      <c r="I65" s="1">
        <v>1.3902117806041499E-7</v>
      </c>
      <c r="J65">
        <v>1</v>
      </c>
      <c r="L65" s="18">
        <f t="shared" si="20"/>
        <v>0.10000202562620365</v>
      </c>
      <c r="M65" s="18">
        <f t="shared" si="21"/>
        <v>-6.1730193472082143E-6</v>
      </c>
      <c r="N65" s="3">
        <f t="shared" si="10"/>
        <v>-1.8537104583209289E-2</v>
      </c>
      <c r="O65" s="20">
        <f t="shared" si="19"/>
        <v>20.256262036388861</v>
      </c>
      <c r="P65" s="2"/>
      <c r="R65" s="20"/>
      <c r="S65" s="20"/>
      <c r="T65" s="20"/>
      <c r="U65" s="20"/>
      <c r="V65" s="1"/>
    </row>
    <row r="66" spans="2:22" x14ac:dyDescent="0.2">
      <c r="B66" s="1"/>
      <c r="C66" s="1"/>
      <c r="D66">
        <v>0.10074158324</v>
      </c>
      <c r="E66" s="1">
        <v>6.8418140500000002E-6</v>
      </c>
      <c r="F66" s="1">
        <v>-6.0591454333333398E-6</v>
      </c>
      <c r="G66" s="1">
        <v>1.7710529034970101E-7</v>
      </c>
      <c r="H66" s="1">
        <v>2.6538859780157001E-8</v>
      </c>
      <c r="I66" s="1">
        <v>1.13804164356197E-7</v>
      </c>
      <c r="J66">
        <v>1</v>
      </c>
      <c r="L66" s="18">
        <f t="shared" si="20"/>
        <v>0.10000189111701553</v>
      </c>
      <c r="M66" s="18">
        <f t="shared" si="21"/>
        <v>-6.0142478809102207E-6</v>
      </c>
      <c r="N66" s="3">
        <f t="shared" si="10"/>
        <v>-1.8060326023147513E-2</v>
      </c>
      <c r="O66" s="20">
        <f t="shared" si="19"/>
        <v>18.91117015517807</v>
      </c>
      <c r="P66" s="2"/>
      <c r="R66" s="20"/>
      <c r="S66" s="20"/>
      <c r="T66" s="20"/>
      <c r="U66" s="20"/>
      <c r="V66" s="1"/>
    </row>
    <row r="67" spans="2:22" x14ac:dyDescent="0.2">
      <c r="B67" s="1"/>
      <c r="C67" s="1"/>
      <c r="D67">
        <v>4.7186058162E-2</v>
      </c>
      <c r="E67" s="1">
        <v>3.11300108333334E-6</v>
      </c>
      <c r="F67" s="1">
        <v>-2.8932328166666701E-6</v>
      </c>
      <c r="G67" s="1">
        <v>2.5974939477149001E-8</v>
      </c>
      <c r="H67" s="1">
        <v>4.7147276990932603E-8</v>
      </c>
      <c r="I67" s="1">
        <v>9.9215224296642503E-8</v>
      </c>
      <c r="J67">
        <v>1</v>
      </c>
      <c r="L67" s="18">
        <f t="shared" si="20"/>
        <v>0.10000169696670486</v>
      </c>
      <c r="M67" s="18">
        <f t="shared" si="21"/>
        <v>-6.1312412202902027E-6</v>
      </c>
      <c r="N67" s="3">
        <f t="shared" si="10"/>
        <v>-1.8411648065999434E-2</v>
      </c>
      <c r="O67" s="20">
        <f t="shared" si="19"/>
        <v>16.969667048449821</v>
      </c>
      <c r="P67" s="2"/>
      <c r="R67" s="20"/>
      <c r="S67" s="20"/>
      <c r="T67" s="20"/>
      <c r="U67" s="20"/>
      <c r="V67" s="1"/>
    </row>
    <row r="69" spans="2:22" x14ac:dyDescent="0.2">
      <c r="C69" t="s">
        <v>156</v>
      </c>
      <c r="D69">
        <v>0.20059881998000001</v>
      </c>
      <c r="E69" s="1">
        <v>-1.24752133333334E-5</v>
      </c>
      <c r="F69" s="1">
        <v>1.17758200000001E-5</v>
      </c>
      <c r="G69" s="1">
        <v>9.4806002827683104E-8</v>
      </c>
      <c r="H69" s="1">
        <v>3.1699982474598998E-10</v>
      </c>
      <c r="I69" s="1">
        <v>3.0594117081566002E-10</v>
      </c>
      <c r="J69">
        <v>1</v>
      </c>
      <c r="L69" s="18">
        <f>0.1999902*0.5*(J69-E69/D69)</f>
        <v>0.10000131868166977</v>
      </c>
      <c r="M69" s="18">
        <f>0.1999902*0.5*(-F69/D69)</f>
        <v>-5.870045988303475E-6</v>
      </c>
      <c r="N69" s="3">
        <f t="shared" si="10"/>
        <v>-1.762729877764619E-2</v>
      </c>
      <c r="O69" s="20">
        <f>1000000*(L69/0.1-1)</f>
        <v>13.186816697707826</v>
      </c>
    </row>
    <row r="70" spans="2:22" x14ac:dyDescent="0.2">
      <c r="C70" t="s">
        <v>159</v>
      </c>
      <c r="D70">
        <v>0.2006741024</v>
      </c>
      <c r="E70" s="1">
        <v>-2.7522192499999901E-6</v>
      </c>
      <c r="F70" s="1">
        <v>1.17782378333334E-5</v>
      </c>
      <c r="G70" s="1">
        <v>5.6409700119752397E-8</v>
      </c>
      <c r="H70" s="1">
        <v>5.3936668179178797E-8</v>
      </c>
      <c r="I70" s="1">
        <v>9.5666374433353595E-9</v>
      </c>
      <c r="J70">
        <v>1.0000500000000001</v>
      </c>
      <c r="L70" s="18">
        <f>0.1999902*0.5*(J70-E70/D70)</f>
        <v>0.1000014711748087</v>
      </c>
      <c r="M70" s="18">
        <f>0.1999902*0.5*(-F70/D70)</f>
        <v>-5.8690486509332297E-6</v>
      </c>
      <c r="N70" s="3">
        <f t="shared" si="10"/>
        <v>-1.7624303849864967E-2</v>
      </c>
      <c r="O70" s="20">
        <f>1000000*(L70/0.1-1)</f>
        <v>14.711748086870813</v>
      </c>
    </row>
    <row r="71" spans="2:22" x14ac:dyDescent="0.2">
      <c r="D71">
        <v>0.20075362801999999</v>
      </c>
      <c r="E71" s="1">
        <v>-2.24420475E-5</v>
      </c>
      <c r="F71" s="1">
        <v>1.1995627999999801E-5</v>
      </c>
      <c r="G71" s="1">
        <v>4.0714628410023197E-8</v>
      </c>
      <c r="H71" s="1">
        <v>3.5362376418129799E-7</v>
      </c>
      <c r="I71" s="1">
        <v>1.40009053040629E-8</v>
      </c>
      <c r="J71">
        <v>0.99995000000000001</v>
      </c>
      <c r="L71" s="18">
        <f>0.1999902*0.5*(J71-E71/D71)</f>
        <v>0.10000127859732219</v>
      </c>
      <c r="M71" s="18">
        <f>0.1999902*0.5*(-F71/D71)</f>
        <v>-5.975005449481989E-6</v>
      </c>
      <c r="N71" s="3">
        <f t="shared" si="10"/>
        <v>-1.7942484005397556E-2</v>
      </c>
      <c r="O71" s="20">
        <f>1000000*(L71/0.1-1)</f>
        <v>12.785973221740576</v>
      </c>
    </row>
    <row r="73" spans="2:22" x14ac:dyDescent="0.2">
      <c r="C73" t="s">
        <v>160</v>
      </c>
      <c r="D73">
        <v>0.59767610293999995</v>
      </c>
      <c r="E73" s="1">
        <v>-4.6446672333333398E-5</v>
      </c>
      <c r="F73" s="1">
        <v>3.4136618166666699E-5</v>
      </c>
      <c r="G73" s="1">
        <v>2.7102979347247202E-6</v>
      </c>
      <c r="H73" s="1">
        <v>5.2628679455427998E-8</v>
      </c>
      <c r="I73" s="1">
        <v>6.8698486134867301E-9</v>
      </c>
      <c r="J73">
        <v>1</v>
      </c>
      <c r="L73" s="18">
        <f>0.1999902*0.5*(J73-E73/D73)</f>
        <v>0.10000287083042436</v>
      </c>
      <c r="M73" s="18">
        <f>0.1999902*0.5*(-F73/D73)</f>
        <v>-5.7112782834155416E-6</v>
      </c>
      <c r="N73" s="3">
        <f t="shared" si="10"/>
        <v>-1.7150531512810912E-2</v>
      </c>
      <c r="O73" s="20">
        <f>1000000*(L73/0.1-1)</f>
        <v>28.708304243618699</v>
      </c>
    </row>
    <row r="74" spans="2:22" x14ac:dyDescent="0.2">
      <c r="D74">
        <v>0.59132480044000002</v>
      </c>
      <c r="E74" s="1">
        <v>-4.8208942500000201E-5</v>
      </c>
      <c r="F74" s="1">
        <v>3.3990396166666697E-5</v>
      </c>
      <c r="G74" s="1">
        <v>1.3798494988981699E-6</v>
      </c>
      <c r="H74" s="1">
        <v>4.9977256598209899E-8</v>
      </c>
      <c r="I74" s="1">
        <v>7.9180769352827003E-8</v>
      </c>
      <c r="J74">
        <v>1</v>
      </c>
      <c r="L74" s="18">
        <f>0.1999902*0.5*(J74-E74/D74)</f>
        <v>0.10000325230144685</v>
      </c>
      <c r="M74" s="18">
        <f>0.1999902*0.5*(-F74/D74)</f>
        <v>-5.7478953380551244E-6</v>
      </c>
      <c r="N74" s="3">
        <f t="shared" si="10"/>
        <v>-1.7260489725025165E-2</v>
      </c>
      <c r="O74" s="20">
        <f>1000000*(L74/0.1-1)</f>
        <v>32.523014468432976</v>
      </c>
    </row>
    <row r="75" spans="2:22" x14ac:dyDescent="0.2">
      <c r="D75">
        <v>0.20024146976000001</v>
      </c>
      <c r="E75" s="1">
        <v>-1.45690668333335E-5</v>
      </c>
      <c r="F75" s="1">
        <v>1.17759090000001E-5</v>
      </c>
      <c r="G75" s="1">
        <v>6.5191682411316603E-7</v>
      </c>
      <c r="H75" s="1">
        <v>3.8916727301882502E-9</v>
      </c>
      <c r="I75" s="1">
        <v>6.2869096807053402E-10</v>
      </c>
      <c r="J75">
        <v>1</v>
      </c>
      <c r="L75" s="18">
        <f>0.1999902*0.5*(J75-E75/D75)</f>
        <v>0.10000237539253808</v>
      </c>
      <c r="M75" s="18">
        <f>0.1999902*0.5*(-F75/D75)</f>
        <v>-5.8805660958104526E-6</v>
      </c>
      <c r="N75" s="3">
        <f t="shared" si="10"/>
        <v>-1.7658889855223431E-2</v>
      </c>
      <c r="O75" s="20">
        <f>1000000*(L75/0.1-1)</f>
        <v>23.753925380676222</v>
      </c>
    </row>
    <row r="77" spans="2:22" x14ac:dyDescent="0.2">
      <c r="C77" t="s">
        <v>162</v>
      </c>
      <c r="D77">
        <v>0.20345377158</v>
      </c>
      <c r="E77" s="1">
        <v>-1.50532721666667E-6</v>
      </c>
      <c r="F77" s="1">
        <v>-1.9367707333333401E-5</v>
      </c>
      <c r="G77" s="1">
        <v>4.3283447272116301E-8</v>
      </c>
      <c r="H77" s="1">
        <v>2.09041842198525E-7</v>
      </c>
      <c r="I77" s="1">
        <v>8.8996186934548502E-9</v>
      </c>
      <c r="J77">
        <v>1</v>
      </c>
      <c r="L77" s="18">
        <f>0.1999902*0.5*(J77-E77/D77)</f>
        <v>9.9995839850357135E-2</v>
      </c>
      <c r="M77" s="18">
        <f>0.1999902*0.5*(-F77/D77)</f>
        <v>9.5189969521203361E-6</v>
      </c>
      <c r="N77" s="3">
        <f t="shared" si="10"/>
        <v>2.8584819211445987E-2</v>
      </c>
      <c r="O77" s="20">
        <f>1000000*(L77/0.1-1)</f>
        <v>-41.601496428733675</v>
      </c>
    </row>
    <row r="78" spans="2:22" x14ac:dyDescent="0.2">
      <c r="D78">
        <v>0.57593370521999998</v>
      </c>
      <c r="E78" s="1">
        <v>-2.9692270166666799E-5</v>
      </c>
      <c r="F78" s="1">
        <v>-5.57703789999996E-5</v>
      </c>
      <c r="G78" s="1">
        <v>2.6368903513342099E-6</v>
      </c>
      <c r="H78" s="1">
        <v>6.2410857147880004E-7</v>
      </c>
      <c r="I78" s="1">
        <v>4.8234102310157597E-8</v>
      </c>
      <c r="J78">
        <v>1</v>
      </c>
      <c r="L78" s="18">
        <f>0.1999902*0.5*(J78-E78/D78)</f>
        <v>0.10000025524876846</v>
      </c>
      <c r="M78" s="18">
        <f>0.1999902*0.5*(-F78/D78)</f>
        <v>9.6829974953672856E-6</v>
      </c>
      <c r="N78" s="3">
        <f t="shared" si="10"/>
        <v>2.9077300289323496E-2</v>
      </c>
      <c r="O78" s="20">
        <f>1000000*(L78/0.1-1)</f>
        <v>2.5524876845484101</v>
      </c>
    </row>
    <row r="79" spans="2:22" x14ac:dyDescent="0.2">
      <c r="D79">
        <v>0.19919740420000001</v>
      </c>
      <c r="E79" s="1">
        <v>-8.2452031333333402E-6</v>
      </c>
      <c r="F79" s="1">
        <v>-1.8767299E-5</v>
      </c>
      <c r="G79" s="1">
        <v>4.0076686359383501E-7</v>
      </c>
      <c r="H79" s="1">
        <v>1.80696431516643E-7</v>
      </c>
      <c r="I79" s="1">
        <v>3.3403439428697803E-8</v>
      </c>
      <c r="J79">
        <v>1</v>
      </c>
      <c r="L79" s="18">
        <f>0.1999902*0.5*(J79-E79/D79)</f>
        <v>9.9999239009316648E-2</v>
      </c>
      <c r="M79" s="18">
        <f>0.1999902*0.5*(-F79/D79)</f>
        <v>9.4209959601215525E-6</v>
      </c>
      <c r="N79" s="3">
        <f t="shared" si="10"/>
        <v>2.8290529734002291E-2</v>
      </c>
      <c r="O79" s="20">
        <f>1000000*(L79/0.1-1)</f>
        <v>-7.6099068335722109</v>
      </c>
    </row>
    <row r="80" spans="2:22" x14ac:dyDescent="0.2">
      <c r="C80" t="s">
        <v>163</v>
      </c>
      <c r="D80">
        <v>0.20062222129999999</v>
      </c>
      <c r="E80" s="1">
        <v>-4.18045251666666E-6</v>
      </c>
      <c r="F80" s="1">
        <v>-1.8802342999999999E-5</v>
      </c>
      <c r="G80" s="1">
        <v>2.6389596904797001E-8</v>
      </c>
      <c r="H80" s="1">
        <v>1.48356161370666E-8</v>
      </c>
      <c r="I80" s="1">
        <v>8.3432568087448606E-8</v>
      </c>
      <c r="J80">
        <v>1</v>
      </c>
      <c r="L80" s="18">
        <f>0.1999902*0.5*(J80-E80/D80)</f>
        <v>9.9997183641406931E-2</v>
      </c>
      <c r="M80" s="18">
        <f>0.1999902*0.5*(-F80/D80)</f>
        <v>9.3715549371165302E-6</v>
      </c>
      <c r="N80" s="3">
        <f t="shared" si="10"/>
        <v>2.814206212640287E-2</v>
      </c>
      <c r="O80" s="20">
        <f>1000000*(L80/0.1-1)</f>
        <v>-28.163585930718327</v>
      </c>
    </row>
    <row r="81" spans="3:15" x14ac:dyDescent="0.2">
      <c r="C81" t="s">
        <v>164</v>
      </c>
      <c r="D81">
        <v>0.20144639180000001</v>
      </c>
      <c r="E81" s="1">
        <v>-1.48229021666667E-6</v>
      </c>
      <c r="F81" s="1">
        <v>-1.90123038333333E-5</v>
      </c>
      <c r="G81" s="1">
        <v>1.17499700312814E-7</v>
      </c>
      <c r="H81" s="1">
        <v>1.69323798796231E-7</v>
      </c>
      <c r="I81" s="1">
        <v>2.0293916256349401E-7</v>
      </c>
      <c r="J81">
        <v>1</v>
      </c>
      <c r="L81" s="18">
        <f>0.1999902*0.5*(J81-E81/D81)</f>
        <v>9.999583578760643E-2</v>
      </c>
      <c r="M81" s="18">
        <f>0.1999902*0.5*(-F81/D81)</f>
        <v>9.4374349724369037E-6</v>
      </c>
      <c r="N81" s="3">
        <f t="shared" si="10"/>
        <v>2.833989482965393E-2</v>
      </c>
      <c r="O81" s="20">
        <f>1000000*(L81/0.1-1)</f>
        <v>-41.642123935758946</v>
      </c>
    </row>
    <row r="82" spans="3:15" x14ac:dyDescent="0.2">
      <c r="E82" s="1"/>
      <c r="F82" s="1"/>
      <c r="G82" s="1"/>
      <c r="H82" s="1"/>
      <c r="I82" s="1"/>
      <c r="L82" s="18"/>
      <c r="M82" s="18"/>
      <c r="N82" s="3"/>
      <c r="O82" s="20"/>
    </row>
    <row r="83" spans="3:15" x14ac:dyDescent="0.2">
      <c r="C83" s="5" t="s">
        <v>168</v>
      </c>
    </row>
    <row r="84" spans="3:15" x14ac:dyDescent="0.2">
      <c r="D84">
        <v>0.20084888662</v>
      </c>
      <c r="E84" s="1">
        <v>-4.5914345833333199E-7</v>
      </c>
      <c r="F84" s="1">
        <v>-1.03094601666666E-5</v>
      </c>
      <c r="G84" s="1">
        <v>1.7961180277429402E-8</v>
      </c>
      <c r="H84" s="1">
        <v>5.0582695720917599E-8</v>
      </c>
      <c r="I84" s="1">
        <v>2.2867444033798098E-8</v>
      </c>
      <c r="J84">
        <v>0.5</v>
      </c>
      <c r="L84" s="18">
        <f>0.1999902*0.5*(J84-E84/D84)</f>
        <v>4.9997778590244159E-2</v>
      </c>
      <c r="M84" s="18">
        <f>0.1999902*0.5*(-F84/D84)</f>
        <v>5.1326921331770504E-6</v>
      </c>
      <c r="N84" s="3">
        <f t="shared" si="10"/>
        <v>1.5413081591773818E-2</v>
      </c>
      <c r="O84" s="20">
        <f>1000000*(L84/0.05-1)</f>
        <v>-44.428195116852365</v>
      </c>
    </row>
    <row r="85" spans="3:15" x14ac:dyDescent="0.2">
      <c r="C85" t="s">
        <v>165</v>
      </c>
      <c r="D85">
        <v>0.60039857708</v>
      </c>
      <c r="E85" s="1">
        <v>-4.6584571833333199E-6</v>
      </c>
      <c r="F85" s="1">
        <v>-3.1738474500000001E-5</v>
      </c>
      <c r="G85" s="1">
        <v>1.64731895226119E-6</v>
      </c>
      <c r="H85" s="1">
        <v>3.6077170519027702E-7</v>
      </c>
      <c r="I85" s="1">
        <v>4.7685253832640201E-8</v>
      </c>
      <c r="J85">
        <v>0.5</v>
      </c>
      <c r="L85" s="18">
        <f>0.1999902*0.5*(J85-E85/D85)</f>
        <v>4.9998325856089064E-2</v>
      </c>
      <c r="M85" s="18">
        <f>0.1999902*0.5*(-F85/D85)</f>
        <v>5.2859751049211299E-6</v>
      </c>
      <c r="N85" s="3">
        <f t="shared" si="10"/>
        <v>1.5873378622809395E-2</v>
      </c>
      <c r="O85" s="20">
        <f>1000000*(L85/0.05-1)</f>
        <v>-33.482878218804579</v>
      </c>
    </row>
    <row r="86" spans="3:15" x14ac:dyDescent="0.2">
      <c r="D86">
        <v>0.20038613265999999</v>
      </c>
      <c r="E86" s="1">
        <v>-1.0527192316666701E-6</v>
      </c>
      <c r="F86" s="1">
        <v>-1.03187268333333E-5</v>
      </c>
      <c r="G86" s="1">
        <v>1.6326578625003599E-7</v>
      </c>
      <c r="H86" s="1">
        <v>1.1314300267197899E-7</v>
      </c>
      <c r="I86" s="1">
        <v>5.1213441562141497E-8</v>
      </c>
      <c r="J86">
        <v>0.5</v>
      </c>
      <c r="L86" s="18">
        <f>0.1999902*0.5*(J86-E86/D86)</f>
        <v>4.9998075319608926E-2</v>
      </c>
      <c r="M86" s="18">
        <f>0.1999902*0.5*(-F86/D86)</f>
        <v>5.1491692956745879E-6</v>
      </c>
      <c r="N86" s="3">
        <f t="shared" si="10"/>
        <v>1.5462561249502335E-2</v>
      </c>
      <c r="O86" s="20">
        <f>1000000*(L86/0.05-1)</f>
        <v>-38.493607821488141</v>
      </c>
    </row>
    <row r="88" spans="3:15" x14ac:dyDescent="0.2">
      <c r="C88" t="s">
        <v>166</v>
      </c>
      <c r="D88">
        <v>0.20083071648</v>
      </c>
      <c r="E88" s="1">
        <v>-5.8042627833333302E-6</v>
      </c>
      <c r="F88" s="1">
        <v>4.4705123500000601E-6</v>
      </c>
      <c r="G88" s="1">
        <v>2.1291382683125601E-8</v>
      </c>
      <c r="H88" s="1">
        <v>9.9593693398493304E-8</v>
      </c>
      <c r="I88" s="1">
        <v>7.6991039119134403E-8</v>
      </c>
      <c r="J88">
        <v>0.5</v>
      </c>
      <c r="L88" s="18">
        <f t="shared" ref="L88:L94" si="22">0.1999902*0.5*(J88-E88/D88)</f>
        <v>5.000043998539476E-2</v>
      </c>
      <c r="M88" s="18">
        <f t="shared" ref="M88:M94" si="23">0.1999902*0.5*(-F88/D88)</f>
        <v>-2.2259011834676646E-6</v>
      </c>
      <c r="N88" s="3">
        <f t="shared" si="10"/>
        <v>-6.6842108713769553E-3</v>
      </c>
      <c r="O88" s="2">
        <f t="shared" ref="O88:O94" si="24">1000000*(L88/0.05-1)</f>
        <v>8.7997078950241558</v>
      </c>
    </row>
    <row r="89" spans="3:15" x14ac:dyDescent="0.2">
      <c r="D89">
        <v>0.60143416220000001</v>
      </c>
      <c r="E89" s="1">
        <v>-1.7537519333333399E-5</v>
      </c>
      <c r="F89" s="1">
        <v>1.3112292999999801E-5</v>
      </c>
      <c r="G89" s="1">
        <v>1.61858556352393E-6</v>
      </c>
      <c r="H89" s="1">
        <v>7.9655878583371896E-8</v>
      </c>
      <c r="I89" s="1">
        <v>3.3200289923433098E-8</v>
      </c>
      <c r="J89">
        <v>0.5</v>
      </c>
      <c r="L89" s="18">
        <f t="shared" si="22"/>
        <v>5.0000465807098604E-2</v>
      </c>
      <c r="M89" s="18">
        <f t="shared" si="23"/>
        <v>-2.180064140301141E-6</v>
      </c>
      <c r="N89" s="3">
        <f t="shared" si="10"/>
        <v>-6.546565739364337E-3</v>
      </c>
      <c r="O89" s="2">
        <f t="shared" si="24"/>
        <v>9.3161419720821925</v>
      </c>
    </row>
    <row r="90" spans="3:15" x14ac:dyDescent="0.2">
      <c r="D90">
        <v>0.59931374526000003</v>
      </c>
      <c r="E90" s="1">
        <v>-1.7526599833333399E-5</v>
      </c>
      <c r="F90" s="1">
        <v>1.32914058333334E-5</v>
      </c>
      <c r="G90" s="1">
        <v>1.1708921117682099E-6</v>
      </c>
      <c r="H90" s="1">
        <v>3.87553607041084E-8</v>
      </c>
      <c r="I90" s="1">
        <v>1.4094184184492E-7</v>
      </c>
      <c r="J90">
        <v>0.5</v>
      </c>
      <c r="L90" s="18">
        <f t="shared" si="22"/>
        <v>5.0000474301531303E-2</v>
      </c>
      <c r="M90" s="18">
        <f t="shared" si="23"/>
        <v>-2.2176622277671347E-6</v>
      </c>
      <c r="N90" s="3">
        <f t="shared" si="10"/>
        <v>-6.6594699180627199E-3</v>
      </c>
      <c r="O90" s="2">
        <f t="shared" si="24"/>
        <v>9.4860306258937044</v>
      </c>
    </row>
    <row r="91" spans="3:15" x14ac:dyDescent="0.2">
      <c r="D91">
        <v>0.2004520578</v>
      </c>
      <c r="E91" s="1">
        <v>-5.8358840833333103E-6</v>
      </c>
      <c r="F91" s="1">
        <v>4.4398446499999697E-6</v>
      </c>
      <c r="G91" s="1">
        <v>1.8893501737903599E-7</v>
      </c>
      <c r="H91" s="1">
        <v>7.5789003392047097E-8</v>
      </c>
      <c r="I91" s="1">
        <v>7.8832266793173907E-9</v>
      </c>
      <c r="J91">
        <v>0.5</v>
      </c>
      <c r="L91" s="18">
        <f t="shared" si="22"/>
        <v>5.0000461218866525E-2</v>
      </c>
      <c r="M91" s="18">
        <f t="shared" si="23"/>
        <v>-2.2148074439034868E-6</v>
      </c>
      <c r="N91" s="3">
        <f t="shared" si="10"/>
        <v>-6.6508972206408608E-3</v>
      </c>
      <c r="O91" s="2">
        <f t="shared" si="24"/>
        <v>9.2243773304190313</v>
      </c>
    </row>
    <row r="92" spans="3:15" x14ac:dyDescent="0.2">
      <c r="D92">
        <v>0.20094924927999999</v>
      </c>
      <c r="E92" s="1">
        <v>-5.8481454666666204E-6</v>
      </c>
      <c r="F92" s="1">
        <v>4.4705230833333903E-6</v>
      </c>
      <c r="G92" s="1">
        <v>7.3210711586196394E-8</v>
      </c>
      <c r="H92" s="1">
        <v>3.8914309893006001E-8</v>
      </c>
      <c r="I92" s="1">
        <v>7.5075550065648507E-8</v>
      </c>
      <c r="J92">
        <v>0.5</v>
      </c>
      <c r="L92" s="18">
        <f t="shared" si="22"/>
        <v>5.0000460117319914E-2</v>
      </c>
      <c r="M92" s="18">
        <f t="shared" si="23"/>
        <v>-2.2245935447479307E-6</v>
      </c>
      <c r="N92" s="3">
        <f t="shared" si="10"/>
        <v>-6.6802841323953706E-3</v>
      </c>
      <c r="O92" s="2">
        <f t="shared" si="24"/>
        <v>9.2023463982293663</v>
      </c>
    </row>
    <row r="93" spans="3:15" x14ac:dyDescent="0.2">
      <c r="D93">
        <v>0.60183595686000002</v>
      </c>
      <c r="E93" s="1">
        <v>-1.75342776666667E-5</v>
      </c>
      <c r="F93" s="1">
        <v>1.3325234666666701E-5</v>
      </c>
      <c r="G93" s="1">
        <v>1.27773583388189E-6</v>
      </c>
      <c r="H93" s="1">
        <v>7.1658238195075296E-8</v>
      </c>
      <c r="I93" s="1">
        <v>2.1901509376804E-7</v>
      </c>
      <c r="J93">
        <v>0.5</v>
      </c>
      <c r="L93" s="18">
        <f t="shared" si="22"/>
        <v>5.0000463321859097E-2</v>
      </c>
      <c r="M93" s="18">
        <f t="shared" si="23"/>
        <v>-2.213988974618148E-6</v>
      </c>
      <c r="N93" s="3">
        <f t="shared" si="10"/>
        <v>-6.6484394200270764E-3</v>
      </c>
      <c r="O93" s="2">
        <f t="shared" si="24"/>
        <v>9.2664371817985369</v>
      </c>
    </row>
    <row r="94" spans="3:15" x14ac:dyDescent="0.2">
      <c r="D94">
        <v>0.20063015366</v>
      </c>
      <c r="E94" s="1">
        <v>-5.8596547999999699E-6</v>
      </c>
      <c r="F94" s="1">
        <v>4.4492577333333996E-6</v>
      </c>
      <c r="G94" s="1">
        <v>1.5899860175060501E-7</v>
      </c>
      <c r="H94" s="1">
        <v>1.9901841505080301E-8</v>
      </c>
      <c r="I94" s="1">
        <v>1.99052829050207E-8</v>
      </c>
      <c r="J94">
        <v>0.5</v>
      </c>
      <c r="L94" s="18">
        <f t="shared" si="22"/>
        <v>5.0000470482076106E-2</v>
      </c>
      <c r="M94" s="18">
        <f t="shared" si="23"/>
        <v>-2.2175329274003739E-6</v>
      </c>
      <c r="N94" s="3">
        <f t="shared" si="10"/>
        <v>-6.6590816389586905E-3</v>
      </c>
      <c r="O94" s="2">
        <f t="shared" si="24"/>
        <v>9.4096415219624419</v>
      </c>
    </row>
    <row r="96" spans="3:15" x14ac:dyDescent="0.2">
      <c r="K96" t="s">
        <v>193</v>
      </c>
    </row>
    <row r="97" spans="2:16" x14ac:dyDescent="0.2">
      <c r="C97" s="5" t="s">
        <v>181</v>
      </c>
      <c r="K97" t="s">
        <v>59</v>
      </c>
    </row>
    <row r="98" spans="2:16" x14ac:dyDescent="0.2">
      <c r="B98" s="4">
        <v>36545</v>
      </c>
      <c r="D98">
        <v>5.0046886287999998E-2</v>
      </c>
      <c r="E98" s="1">
        <v>-6.3975955333333301E-7</v>
      </c>
      <c r="F98" s="1">
        <v>6.5354780166666601E-7</v>
      </c>
      <c r="G98" s="1">
        <v>1.12096764476534E-8</v>
      </c>
      <c r="H98" s="1">
        <v>6.8236020093059999E-8</v>
      </c>
      <c r="I98" s="1">
        <v>6.4318606009243798E-8</v>
      </c>
      <c r="J98">
        <v>0.5</v>
      </c>
      <c r="K98" s="6">
        <f>D98/0.2</f>
        <v>0.25023443143999996</v>
      </c>
      <c r="L98" s="18">
        <f t="shared" ref="L98:L104" si="25">0.1999902*0.5*(J98-E98/D98)</f>
        <v>4.9998828257755007E-2</v>
      </c>
      <c r="M98" s="18">
        <f t="shared" ref="M98:M104" si="26">0.1999902*0.5*(-F98/D98)</f>
        <v>-1.3058070667247109E-6</v>
      </c>
      <c r="N98" s="3">
        <f t="shared" ref="N98:N105" si="27">1000000*M98/(2*PI()*53)</f>
        <v>-3.9212386678031345E-3</v>
      </c>
      <c r="O98" s="2">
        <f t="shared" ref="O98:O104" si="28">1000000*(L98/0.05-1)</f>
        <v>-23.43484489986114</v>
      </c>
    </row>
    <row r="99" spans="2:16" x14ac:dyDescent="0.2">
      <c r="C99" t="s">
        <v>182</v>
      </c>
      <c r="D99">
        <v>9.9880726402000006E-2</v>
      </c>
      <c r="E99" s="1">
        <v>-1.32315005E-6</v>
      </c>
      <c r="F99" s="1">
        <v>1.3582243E-6</v>
      </c>
      <c r="G99" s="1">
        <v>1.47890881757355E-8</v>
      </c>
      <c r="H99" s="1">
        <v>1.58582203235682E-8</v>
      </c>
      <c r="I99" s="1">
        <v>4.3908477683814001E-8</v>
      </c>
      <c r="J99">
        <v>0.5</v>
      </c>
      <c r="K99" s="6">
        <f t="shared" ref="K99:K105" si="29">D99/0.2</f>
        <v>0.49940363200999999</v>
      </c>
      <c r="L99" s="18">
        <f t="shared" si="25"/>
        <v>4.9998874665191484E-2</v>
      </c>
      <c r="M99" s="18">
        <f t="shared" si="26"/>
        <v>-1.359779605069136E-6</v>
      </c>
      <c r="N99" s="3">
        <f t="shared" si="27"/>
        <v>-4.0833140690999673E-3</v>
      </c>
      <c r="O99" s="2">
        <f t="shared" si="28"/>
        <v>-22.506696170321305</v>
      </c>
    </row>
    <row r="100" spans="2:16" x14ac:dyDescent="0.2">
      <c r="D100">
        <v>0.20024125600000001</v>
      </c>
      <c r="E100" s="1">
        <v>-2.7571780333333302E-6</v>
      </c>
      <c r="F100" s="1">
        <v>2.7651616666666699E-6</v>
      </c>
      <c r="G100" s="1">
        <v>6.5507848522103298E-8</v>
      </c>
      <c r="H100" s="1">
        <v>5.0747087815941599E-8</v>
      </c>
      <c r="I100" s="1">
        <v>2.4840060679385601E-8</v>
      </c>
      <c r="J100">
        <v>0.5</v>
      </c>
      <c r="K100" s="6">
        <f t="shared" si="29"/>
        <v>1.0012062799999999</v>
      </c>
      <c r="L100" s="18">
        <f t="shared" si="25"/>
        <v>4.9998926860586421E-2</v>
      </c>
      <c r="M100" s="18">
        <f t="shared" si="26"/>
        <v>-1.3808473982729129E-6</v>
      </c>
      <c r="N100" s="3">
        <f t="shared" si="27"/>
        <v>-4.1465790394474948E-3</v>
      </c>
      <c r="O100" s="2">
        <f t="shared" si="28"/>
        <v>-21.462788271642275</v>
      </c>
    </row>
    <row r="101" spans="2:16" x14ac:dyDescent="0.2">
      <c r="D101">
        <v>0.29740987984</v>
      </c>
      <c r="E101" s="1">
        <v>-5.2849558333333197E-6</v>
      </c>
      <c r="F101" s="1">
        <v>5.0325172666666702E-6</v>
      </c>
      <c r="G101" s="1">
        <v>1.5026340502531399E-7</v>
      </c>
      <c r="H101" s="1">
        <v>1.2083742911923601E-6</v>
      </c>
      <c r="I101" s="1">
        <v>1.00744437153168E-6</v>
      </c>
      <c r="J101">
        <v>0.5</v>
      </c>
      <c r="K101" s="6">
        <f t="shared" si="29"/>
        <v>1.4870493992</v>
      </c>
      <c r="L101" s="18">
        <f t="shared" si="25"/>
        <v>4.9999326906965347E-2</v>
      </c>
      <c r="M101" s="18">
        <f t="shared" si="26"/>
        <v>-1.6920321127286877E-6</v>
      </c>
      <c r="N101" s="3">
        <f t="shared" si="27"/>
        <v>-5.0810429171885612E-3</v>
      </c>
      <c r="O101" s="2">
        <f t="shared" si="28"/>
        <v>-13.461860693064764</v>
      </c>
    </row>
    <row r="102" spans="2:16" x14ac:dyDescent="0.2">
      <c r="D102">
        <v>0.50027249675999996</v>
      </c>
      <c r="E102" s="1">
        <v>-7.4420770666666902E-6</v>
      </c>
      <c r="F102" s="1">
        <v>6.90610701666668E-6</v>
      </c>
      <c r="G102" s="1">
        <v>7.7934156159552101E-7</v>
      </c>
      <c r="H102" s="1">
        <v>1.2388494098448299E-7</v>
      </c>
      <c r="I102" s="1">
        <v>1.00510194298554E-7</v>
      </c>
      <c r="J102">
        <v>0.5</v>
      </c>
      <c r="K102" s="6">
        <f t="shared" si="29"/>
        <v>2.5013624837999995</v>
      </c>
      <c r="L102" s="18">
        <f t="shared" si="25"/>
        <v>4.9999037531785792E-2</v>
      </c>
      <c r="M102" s="18">
        <f t="shared" si="26"/>
        <v>-1.3804014136591298E-6</v>
      </c>
      <c r="N102" s="3">
        <f t="shared" si="27"/>
        <v>-4.1452397817903905E-3</v>
      </c>
      <c r="O102" s="2">
        <f t="shared" si="28"/>
        <v>-19.249364284212866</v>
      </c>
    </row>
    <row r="103" spans="2:16" x14ac:dyDescent="0.2">
      <c r="D103">
        <v>0.59623487434</v>
      </c>
      <c r="E103" s="1">
        <v>-9.0077403666666592E-6</v>
      </c>
      <c r="F103" s="1">
        <v>8.3099257499999901E-6</v>
      </c>
      <c r="G103" s="1">
        <v>1.2206070199484299E-6</v>
      </c>
      <c r="H103" s="1">
        <v>2.4762598487750799E-8</v>
      </c>
      <c r="I103" s="1">
        <v>2.79266422573645E-8</v>
      </c>
      <c r="J103">
        <v>0.5</v>
      </c>
      <c r="K103" s="6">
        <f t="shared" si="29"/>
        <v>2.9811743716999999</v>
      </c>
      <c r="L103" s="18">
        <f t="shared" si="25"/>
        <v>4.9999060696434415E-2</v>
      </c>
      <c r="M103" s="18">
        <f t="shared" si="26"/>
        <v>-1.3936653022580122E-6</v>
      </c>
      <c r="N103" s="3">
        <f t="shared" si="27"/>
        <v>-4.185070223962699E-3</v>
      </c>
      <c r="O103" s="2">
        <f t="shared" si="28"/>
        <v>-18.786071311782671</v>
      </c>
    </row>
    <row r="104" spans="2:16" x14ac:dyDescent="0.2">
      <c r="D104">
        <v>0.99674983900000003</v>
      </c>
      <c r="E104" s="1">
        <v>-1.74245235E-5</v>
      </c>
      <c r="F104" s="1">
        <v>1.42185483333332E-5</v>
      </c>
      <c r="G104" s="1">
        <v>6.3121170817949299E-6</v>
      </c>
      <c r="H104" s="1">
        <v>1.5425293286595899E-7</v>
      </c>
      <c r="I104" s="1">
        <v>5.6120106888905799E-8</v>
      </c>
      <c r="J104">
        <v>0.5</v>
      </c>
      <c r="K104" s="6">
        <f t="shared" si="29"/>
        <v>4.9837491949999997</v>
      </c>
      <c r="L104" s="18">
        <f t="shared" si="25"/>
        <v>4.9999298048408601E-2</v>
      </c>
      <c r="M104" s="18">
        <f t="shared" si="26"/>
        <v>-1.4264212611992071E-6</v>
      </c>
      <c r="N104" s="3">
        <f t="shared" si="27"/>
        <v>-4.2834338613439507E-3</v>
      </c>
      <c r="O104" s="2">
        <f t="shared" si="28"/>
        <v>-14.039031828061432</v>
      </c>
    </row>
    <row r="105" spans="2:16" x14ac:dyDescent="0.2">
      <c r="D105">
        <v>0.10027215378</v>
      </c>
      <c r="E105" s="1">
        <v>-1.36414175E-6</v>
      </c>
      <c r="F105" s="1">
        <v>1.3469589333333301E-6</v>
      </c>
      <c r="G105" s="1">
        <v>1.75903827068533E-7</v>
      </c>
      <c r="H105" s="1">
        <v>4.1263640578247902E-8</v>
      </c>
      <c r="I105" s="1">
        <v>4.0219425039760201E-8</v>
      </c>
      <c r="J105">
        <v>0.5</v>
      </c>
      <c r="K105" s="6">
        <f t="shared" si="29"/>
        <v>0.50136076889999992</v>
      </c>
      <c r="L105" s="18">
        <f>0.1999902*0.5*(J105-E105/D105)</f>
        <v>4.9998910372601596E-2</v>
      </c>
      <c r="M105" s="18">
        <f>0.1999902*0.5*(-F105/D105)</f>
        <v>-1.343237261364425E-6</v>
      </c>
      <c r="N105" s="3">
        <f t="shared" si="27"/>
        <v>-4.0336386771956303E-3</v>
      </c>
      <c r="O105" s="2">
        <f>1000000*(L105/0.05-1)</f>
        <v>-21.792547968080278</v>
      </c>
    </row>
    <row r="107" spans="2:16" x14ac:dyDescent="0.2">
      <c r="C107" s="5" t="s">
        <v>190</v>
      </c>
      <c r="J107" t="s">
        <v>191</v>
      </c>
      <c r="K107" t="s">
        <v>18</v>
      </c>
      <c r="L107" t="s">
        <v>192</v>
      </c>
    </row>
    <row r="108" spans="2:16" x14ac:dyDescent="0.2">
      <c r="D108">
        <v>9.9564818057999993E-2</v>
      </c>
      <c r="E108" s="1">
        <v>-5.9816935833333303E-6</v>
      </c>
      <c r="F108" s="1">
        <v>5.0490353833333299E-6</v>
      </c>
      <c r="G108" s="1">
        <v>1.12011114447522E-8</v>
      </c>
      <c r="H108" s="1">
        <v>1.7062678771027199E-7</v>
      </c>
      <c r="I108" s="1">
        <v>1.9260060404159301E-7</v>
      </c>
      <c r="J108">
        <v>1</v>
      </c>
      <c r="K108">
        <v>2</v>
      </c>
      <c r="L108" s="2">
        <f>D108*K108/0.2</f>
        <v>0.99564818057999993</v>
      </c>
      <c r="M108" s="18">
        <f>0.1999902*(J108-E108/D108)/K108</f>
        <v>0.100001107544228</v>
      </c>
      <c r="N108" s="18">
        <f>0.1999902*(-F108/D108)/K108</f>
        <v>-5.0708554277259371E-6</v>
      </c>
      <c r="O108" s="3">
        <f t="shared" ref="O108:O116" si="30">1000000*N108/(2*PI()*53)</f>
        <v>-1.5227390698621701E-2</v>
      </c>
      <c r="P108" s="2">
        <f>1000000*(M108/0.1-1)</f>
        <v>11.075442279961933</v>
      </c>
    </row>
    <row r="109" spans="2:16" x14ac:dyDescent="0.2">
      <c r="C109" t="s">
        <v>182</v>
      </c>
      <c r="D109">
        <v>0.19960207605999999</v>
      </c>
      <c r="E109" s="1">
        <v>-1.2374540666666699E-5</v>
      </c>
      <c r="F109" s="1">
        <v>9.9194510333333297E-6</v>
      </c>
      <c r="G109" s="1">
        <v>2.8261440958306E-8</v>
      </c>
      <c r="H109" s="1">
        <v>1.5314271365697501E-7</v>
      </c>
      <c r="I109" s="1">
        <v>1.9877770670676E-7</v>
      </c>
      <c r="J109">
        <v>1</v>
      </c>
      <c r="K109">
        <v>2</v>
      </c>
      <c r="L109" s="2">
        <f t="shared" ref="L109:L116" si="31">D109*K109/0.2</f>
        <v>1.9960207605999998</v>
      </c>
      <c r="M109" s="18">
        <f t="shared" ref="M109:M116" si="32">0.1999902*(J109-E109/D109)/K109</f>
        <v>0.1000012993014093</v>
      </c>
      <c r="N109" s="18">
        <f t="shared" ref="N109:N116" si="33">0.1999902*(-F109/D109)/K109</f>
        <v>-4.969369645860334E-6</v>
      </c>
      <c r="O109" s="3">
        <f t="shared" si="30"/>
        <v>-1.492263666395271E-2</v>
      </c>
      <c r="P109" s="2">
        <f t="shared" ref="P109:P116" si="34">1000000*(M109/0.1-1)</f>
        <v>12.993014092854693</v>
      </c>
    </row>
    <row r="110" spans="2:16" x14ac:dyDescent="0.2">
      <c r="D110">
        <v>0.39984800688</v>
      </c>
      <c r="E110" s="1">
        <v>-2.7246105166666601E-5</v>
      </c>
      <c r="F110" s="1">
        <v>1.97401609999999E-5</v>
      </c>
      <c r="G110" s="1">
        <v>1.5134406779229001E-8</v>
      </c>
      <c r="H110" s="1">
        <v>2.5023085992067201E-7</v>
      </c>
      <c r="I110" s="1">
        <v>5.9065383367362E-8</v>
      </c>
      <c r="J110">
        <v>1</v>
      </c>
      <c r="K110">
        <v>2</v>
      </c>
      <c r="L110" s="2">
        <f t="shared" si="31"/>
        <v>3.9984800687999997</v>
      </c>
      <c r="M110" s="18">
        <f t="shared" si="32"/>
        <v>0.10000191378164672</v>
      </c>
      <c r="N110" s="18">
        <f t="shared" si="33"/>
        <v>-4.9366742843449779E-6</v>
      </c>
      <c r="O110" s="3">
        <f t="shared" si="30"/>
        <v>-1.4824454996002795E-2</v>
      </c>
      <c r="P110" s="2">
        <f t="shared" si="34"/>
        <v>19.13781646711854</v>
      </c>
    </row>
    <row r="111" spans="2:16" x14ac:dyDescent="0.2">
      <c r="C111" t="s">
        <v>194</v>
      </c>
      <c r="D111">
        <v>0.59936167413999997</v>
      </c>
      <c r="E111" s="1">
        <v>-4.6894112000000002E-5</v>
      </c>
      <c r="F111" s="1">
        <v>2.94603519999999E-5</v>
      </c>
      <c r="G111" s="1">
        <v>7.3273874240620201E-8</v>
      </c>
      <c r="H111" s="1">
        <v>4.8290403238048697E-7</v>
      </c>
      <c r="I111" s="1">
        <v>2.9633023740415E-8</v>
      </c>
      <c r="J111">
        <v>1</v>
      </c>
      <c r="K111">
        <v>2</v>
      </c>
      <c r="L111" s="2">
        <f t="shared" si="31"/>
        <v>5.9936167413999994</v>
      </c>
      <c r="M111" s="18">
        <f t="shared" si="32"/>
        <v>0.10000292362573579</v>
      </c>
      <c r="N111" s="18">
        <f t="shared" si="33"/>
        <v>-4.9150470765454448E-6</v>
      </c>
      <c r="O111" s="3">
        <f t="shared" si="30"/>
        <v>-1.4759510146444846E-2</v>
      </c>
      <c r="P111" s="2">
        <f t="shared" si="34"/>
        <v>29.236257357734274</v>
      </c>
    </row>
    <row r="112" spans="2:16" x14ac:dyDescent="0.2">
      <c r="C112" t="s">
        <v>195</v>
      </c>
      <c r="D112">
        <v>1.0026598482</v>
      </c>
      <c r="E112">
        <v>-1.00635513666667E-4</v>
      </c>
      <c r="F112" s="1">
        <v>4.8253874000000201E-5</v>
      </c>
      <c r="G112" s="1">
        <v>5.0512487681377099E-7</v>
      </c>
      <c r="H112" s="1">
        <v>6.8871121987367902E-7</v>
      </c>
      <c r="I112" s="1">
        <v>2.95814687036775E-8</v>
      </c>
      <c r="J112">
        <v>1</v>
      </c>
      <c r="K112">
        <v>2</v>
      </c>
      <c r="L112" s="2">
        <f t="shared" si="31"/>
        <v>10.026598481999999</v>
      </c>
      <c r="M112" s="18">
        <f t="shared" si="32"/>
        <v>0.10000513636305046</v>
      </c>
      <c r="N112" s="18">
        <f t="shared" si="33"/>
        <v>-4.8123508333156567E-6</v>
      </c>
      <c r="O112" s="3">
        <f t="shared" si="30"/>
        <v>-1.4451121188954499E-2</v>
      </c>
      <c r="P112" s="2">
        <f t="shared" si="34"/>
        <v>51.363630504619451</v>
      </c>
    </row>
    <row r="113" spans="2:16" x14ac:dyDescent="0.2">
      <c r="D113">
        <v>1.1915758700000001</v>
      </c>
      <c r="E113">
        <v>-1.36028776666668E-4</v>
      </c>
      <c r="F113" s="1">
        <v>5.4931435333333299E-5</v>
      </c>
      <c r="G113" s="1">
        <v>3.1103272075004502E-6</v>
      </c>
      <c r="H113" s="1">
        <v>1.4432720968534001E-7</v>
      </c>
      <c r="I113" s="1">
        <v>1.4202632368058699E-7</v>
      </c>
      <c r="J113">
        <v>1</v>
      </c>
      <c r="K113">
        <v>2</v>
      </c>
      <c r="L113" s="2">
        <f t="shared" si="31"/>
        <v>11.9157587</v>
      </c>
      <c r="M113" s="18">
        <f t="shared" si="32"/>
        <v>0.10000651531266966</v>
      </c>
      <c r="N113" s="18">
        <f t="shared" si="33"/>
        <v>-4.6097562963407412E-6</v>
      </c>
      <c r="O113" s="3">
        <f t="shared" si="30"/>
        <v>-1.3842745302105979E-2</v>
      </c>
      <c r="P113" s="2">
        <f t="shared" si="34"/>
        <v>65.153126696415598</v>
      </c>
    </row>
    <row r="114" spans="2:16" x14ac:dyDescent="0.2">
      <c r="D114">
        <v>9.9976024115999998E-2</v>
      </c>
      <c r="E114" s="1">
        <v>-7.6680467333333406E-6</v>
      </c>
      <c r="F114" s="1">
        <v>4.8880627833333397E-6</v>
      </c>
      <c r="G114" s="1">
        <v>1.9681403735643999E-7</v>
      </c>
      <c r="H114" s="1">
        <v>1.6394219935695499E-7</v>
      </c>
      <c r="I114" s="1">
        <v>1.7954554809844801E-8</v>
      </c>
      <c r="J114">
        <v>1</v>
      </c>
      <c r="K114">
        <v>2</v>
      </c>
      <c r="L114" s="2">
        <f t="shared" si="31"/>
        <v>0.99976024115999995</v>
      </c>
      <c r="M114" s="18">
        <f t="shared" si="32"/>
        <v>0.10000276950983182</v>
      </c>
      <c r="N114" s="18">
        <f t="shared" si="33"/>
        <v>-4.8889954481343662E-6</v>
      </c>
      <c r="O114" s="3">
        <f t="shared" si="30"/>
        <v>-1.468127910045963E-2</v>
      </c>
      <c r="P114" s="2">
        <f t="shared" si="34"/>
        <v>27.695098318236688</v>
      </c>
    </row>
    <row r="115" spans="2:16" x14ac:dyDescent="0.2">
      <c r="D115">
        <v>0.10012252312</v>
      </c>
      <c r="E115" s="1">
        <v>2.9395231666666699E-6</v>
      </c>
      <c r="F115" s="1">
        <v>5.8608086499999904E-6</v>
      </c>
      <c r="G115" s="1">
        <v>7.7135732423840997E-8</v>
      </c>
      <c r="H115" s="1">
        <v>2.4404693216105399E-8</v>
      </c>
      <c r="I115" s="1">
        <v>3.5494192783385901E-8</v>
      </c>
      <c r="J115">
        <v>1.0001</v>
      </c>
      <c r="K115">
        <v>2</v>
      </c>
      <c r="L115" s="2">
        <f t="shared" si="31"/>
        <v>1.0012252311999998</v>
      </c>
      <c r="M115" s="18">
        <f t="shared" si="32"/>
        <v>0.10000216372788182</v>
      </c>
      <c r="N115" s="18">
        <f t="shared" si="33"/>
        <v>-5.8533497636212391E-6</v>
      </c>
      <c r="O115" s="3">
        <f t="shared" si="30"/>
        <v>-1.7577161292945231E-2</v>
      </c>
      <c r="P115" s="2">
        <f t="shared" si="34"/>
        <v>21.637278817987493</v>
      </c>
    </row>
    <row r="116" spans="2:16" x14ac:dyDescent="0.2">
      <c r="D116">
        <v>0.10017132500000001</v>
      </c>
      <c r="E116" s="1">
        <v>-6.9630669833333401E-6</v>
      </c>
      <c r="F116" s="1">
        <v>4.9123660333333402E-6</v>
      </c>
      <c r="G116" s="1">
        <v>4.2668762320915399E-8</v>
      </c>
      <c r="H116" s="1">
        <v>7.6364890137635E-8</v>
      </c>
      <c r="I116" s="1">
        <v>2.0337378221693698E-8</v>
      </c>
      <c r="J116">
        <v>1</v>
      </c>
      <c r="K116">
        <v>2</v>
      </c>
      <c r="L116" s="2">
        <f t="shared" si="31"/>
        <v>1.0017132499999999</v>
      </c>
      <c r="M116" s="18">
        <f t="shared" si="32"/>
        <v>0.10000205081730532</v>
      </c>
      <c r="N116" s="18">
        <f t="shared" si="33"/>
        <v>-4.9037240222166442E-6</v>
      </c>
      <c r="O116" s="3">
        <f t="shared" si="30"/>
        <v>-1.4725507881023586E-2</v>
      </c>
      <c r="P116" s="2">
        <f t="shared" si="34"/>
        <v>20.508173053102041</v>
      </c>
    </row>
    <row r="119" spans="2:16" x14ac:dyDescent="0.2">
      <c r="D119">
        <v>0.10058668168</v>
      </c>
      <c r="E119" s="1">
        <v>-3.2381181333333401E-6</v>
      </c>
      <c r="F119" s="1">
        <v>2.2807557166666701E-6</v>
      </c>
      <c r="G119" s="1">
        <v>2.6598566768917001E-8</v>
      </c>
      <c r="H119" s="1">
        <v>9.8353384074209096E-8</v>
      </c>
      <c r="I119" s="1">
        <v>9.8801817652745597E-8</v>
      </c>
      <c r="J119">
        <v>0.5</v>
      </c>
      <c r="K119">
        <v>1</v>
      </c>
      <c r="L119" s="2">
        <f t="shared" ref="L119:L125" si="35">D119*K119/0.2</f>
        <v>0.5029334084</v>
      </c>
      <c r="M119" s="18">
        <f t="shared" ref="M119:M125" si="36">0.1999902*(J119-E119/D119)/K119</f>
        <v>0.10000153814749919</v>
      </c>
      <c r="N119" s="18">
        <f t="shared" ref="N119:N125" si="37">0.1999902*(-F119/D119)/K119</f>
        <v>-4.5346837604048762E-6</v>
      </c>
      <c r="O119" s="3">
        <f t="shared" ref="O119:O125" si="38">1000000*N119/(2*PI()*53)</f>
        <v>-1.3617308223150567E-2</v>
      </c>
      <c r="P119" s="2">
        <f t="shared" ref="P119:P125" si="39">1000000*(M119/0.1-1)</f>
        <v>15.381474991915667</v>
      </c>
    </row>
    <row r="120" spans="2:16" x14ac:dyDescent="0.2">
      <c r="D120">
        <v>0.20224873962000001</v>
      </c>
      <c r="E120" s="1">
        <v>-6.7344624833333304E-6</v>
      </c>
      <c r="F120" s="1">
        <v>4.6886437166666701E-6</v>
      </c>
      <c r="G120" s="1">
        <v>3.4820290517982402E-8</v>
      </c>
      <c r="H120" s="1">
        <v>1.07485122844977E-7</v>
      </c>
      <c r="I120" s="1">
        <v>1.2945445891259601E-7</v>
      </c>
      <c r="J120">
        <v>0.5</v>
      </c>
      <c r="K120">
        <v>1</v>
      </c>
      <c r="L120" s="2">
        <f t="shared" si="35"/>
        <v>1.0112436980999999</v>
      </c>
      <c r="M120" s="18">
        <f t="shared" si="36"/>
        <v>0.1000017592578103</v>
      </c>
      <c r="N120" s="18">
        <f t="shared" si="37"/>
        <v>-4.6362849844537917E-6</v>
      </c>
      <c r="O120" s="3">
        <f t="shared" si="38"/>
        <v>-1.3922408921859475E-2</v>
      </c>
      <c r="P120" s="2">
        <f t="shared" si="39"/>
        <v>17.592578102965106</v>
      </c>
    </row>
    <row r="121" spans="2:16" x14ac:dyDescent="0.2">
      <c r="D121">
        <v>0.39979695871999998</v>
      </c>
      <c r="E121" s="1">
        <v>-1.32127933333334E-5</v>
      </c>
      <c r="F121" s="1">
        <v>9.1559567333333208E-6</v>
      </c>
      <c r="G121" s="1">
        <v>7.3898363368602306E-8</v>
      </c>
      <c r="H121" s="1">
        <v>1.09885666591335E-7</v>
      </c>
      <c r="I121" s="1">
        <v>1.1177206304347999E-7</v>
      </c>
      <c r="J121">
        <v>0.5</v>
      </c>
      <c r="K121">
        <v>1</v>
      </c>
      <c r="L121" s="2">
        <f t="shared" si="35"/>
        <v>1.9989847935999998</v>
      </c>
      <c r="M121" s="18">
        <f t="shared" si="36"/>
        <v>0.10000170942791999</v>
      </c>
      <c r="N121" s="18">
        <f t="shared" si="37"/>
        <v>-4.5800789084368688E-6</v>
      </c>
      <c r="O121" s="3">
        <f t="shared" si="38"/>
        <v>-1.3753626377899246E-2</v>
      </c>
      <c r="P121" s="2">
        <f t="shared" si="39"/>
        <v>17.09427919971418</v>
      </c>
    </row>
    <row r="122" spans="2:16" x14ac:dyDescent="0.2">
      <c r="D122">
        <v>0.59810390067999997</v>
      </c>
      <c r="E122" s="1">
        <v>-2.08258038333336E-5</v>
      </c>
      <c r="F122" s="1">
        <v>1.42053549999998E-5</v>
      </c>
      <c r="G122" s="1">
        <v>3.0737224293774399E-7</v>
      </c>
      <c r="H122" s="1">
        <v>2.37673957759831E-8</v>
      </c>
      <c r="I122" s="1">
        <v>6.02417421726833E-9</v>
      </c>
      <c r="J122">
        <v>0.5</v>
      </c>
      <c r="K122">
        <v>1</v>
      </c>
      <c r="L122" s="2">
        <f t="shared" si="35"/>
        <v>2.9905195033999998</v>
      </c>
      <c r="M122" s="18">
        <f t="shared" si="36"/>
        <v>0.10000206360058687</v>
      </c>
      <c r="N122" s="18">
        <f t="shared" si="37"/>
        <v>-4.7498967726026036E-6</v>
      </c>
      <c r="O122" s="3">
        <f t="shared" si="38"/>
        <v>-1.4263576425206504E-2</v>
      </c>
      <c r="P122" s="2">
        <f t="shared" si="39"/>
        <v>20.636005868768237</v>
      </c>
    </row>
    <row r="123" spans="2:16" x14ac:dyDescent="0.2">
      <c r="D123">
        <v>0.99558310222000002</v>
      </c>
      <c r="E123" s="1">
        <v>-3.6135997166666498E-5</v>
      </c>
      <c r="F123" s="1">
        <v>2.41364979999998E-5</v>
      </c>
      <c r="G123" s="1">
        <v>1.5353577298945901E-6</v>
      </c>
      <c r="H123" s="1">
        <v>8.3512991337893003E-10</v>
      </c>
      <c r="I123" s="1">
        <v>5.6320156249694797E-10</v>
      </c>
      <c r="J123">
        <v>0.5</v>
      </c>
      <c r="K123">
        <v>1</v>
      </c>
      <c r="L123" s="2">
        <f t="shared" si="35"/>
        <v>4.9779155111</v>
      </c>
      <c r="M123" s="18">
        <f t="shared" si="36"/>
        <v>0.10000235890715144</v>
      </c>
      <c r="N123" s="18">
        <f t="shared" si="37"/>
        <v>-4.8484782953386192E-6</v>
      </c>
      <c r="O123" s="3">
        <f t="shared" si="38"/>
        <v>-1.4559609192017126E-2</v>
      </c>
      <c r="P123" s="2">
        <f t="shared" si="39"/>
        <v>23.589071514340532</v>
      </c>
    </row>
    <row r="124" spans="2:16" x14ac:dyDescent="0.2">
      <c r="D124">
        <v>1.1914551586</v>
      </c>
      <c r="E124" s="1">
        <v>-4.49663000000002E-5</v>
      </c>
      <c r="F124" s="1">
        <v>2.9095743499999901E-5</v>
      </c>
      <c r="G124" s="1">
        <v>2.5956693274810802E-6</v>
      </c>
      <c r="H124" s="1">
        <v>2.23616698075135E-19</v>
      </c>
      <c r="I124" s="1">
        <v>3.7590688921294199E-7</v>
      </c>
      <c r="J124">
        <v>0.5</v>
      </c>
      <c r="K124">
        <v>1</v>
      </c>
      <c r="L124" s="2">
        <f t="shared" si="35"/>
        <v>5.9572757929999991</v>
      </c>
      <c r="M124" s="18">
        <f t="shared" si="36"/>
        <v>0.10000264776146241</v>
      </c>
      <c r="N124" s="18">
        <f t="shared" si="37"/>
        <v>-4.8838292567812972E-6</v>
      </c>
      <c r="O124" s="3">
        <f t="shared" si="38"/>
        <v>-1.4665765423274734E-2</v>
      </c>
      <c r="P124" s="2">
        <f t="shared" si="39"/>
        <v>26.477614623932055</v>
      </c>
    </row>
    <row r="125" spans="2:16" x14ac:dyDescent="0.2">
      <c r="D125">
        <v>0.10032821240000001</v>
      </c>
      <c r="E125" s="1">
        <v>-3.2322859833333299E-6</v>
      </c>
      <c r="F125" s="1">
        <v>2.2817048833333301E-6</v>
      </c>
      <c r="G125" s="1">
        <v>1.1496760942982E-7</v>
      </c>
      <c r="H125" s="1">
        <v>8.1344797590460893E-8</v>
      </c>
      <c r="I125" s="1">
        <v>8.4578933328497298E-8</v>
      </c>
      <c r="J125">
        <v>0.5</v>
      </c>
      <c r="K125">
        <v>1</v>
      </c>
      <c r="L125" s="2">
        <f t="shared" si="35"/>
        <v>0.50164106200000003</v>
      </c>
      <c r="M125" s="18">
        <f t="shared" si="36"/>
        <v>0.10000154310812284</v>
      </c>
      <c r="N125" s="18">
        <f t="shared" si="37"/>
        <v>-4.5482582121517931E-6</v>
      </c>
      <c r="O125" s="3">
        <f t="shared" si="38"/>
        <v>-1.3658071262684231E-2</v>
      </c>
      <c r="P125" s="2">
        <f t="shared" si="39"/>
        <v>15.43108122836756</v>
      </c>
    </row>
    <row r="126" spans="2:16" x14ac:dyDescent="0.2">
      <c r="B126" s="4">
        <v>36546</v>
      </c>
      <c r="E126" s="1"/>
      <c r="F126" s="1"/>
      <c r="G126" s="1"/>
      <c r="H126" s="1"/>
      <c r="I126" s="1"/>
    </row>
    <row r="127" spans="2:16" x14ac:dyDescent="0.2">
      <c r="C127" s="5" t="s">
        <v>196</v>
      </c>
      <c r="E127" s="1"/>
      <c r="F127" s="1"/>
      <c r="G127" s="1"/>
      <c r="H127" s="1"/>
      <c r="I127" s="1"/>
    </row>
    <row r="128" spans="2:16" x14ac:dyDescent="0.2">
      <c r="C128" t="s">
        <v>207</v>
      </c>
      <c r="E128" s="1"/>
      <c r="F128" s="1"/>
      <c r="G128" s="1"/>
      <c r="H128" s="1"/>
      <c r="I128" s="1"/>
    </row>
    <row r="129" spans="3:19" x14ac:dyDescent="0.2">
      <c r="E129" s="1"/>
      <c r="F129" s="1"/>
      <c r="G129" s="1"/>
      <c r="H129" s="1"/>
      <c r="I129" s="1"/>
      <c r="J129" t="s">
        <v>18</v>
      </c>
      <c r="K129" t="s">
        <v>198</v>
      </c>
      <c r="L129" t="s">
        <v>199</v>
      </c>
      <c r="M129" t="s">
        <v>203</v>
      </c>
      <c r="N129" t="s">
        <v>200</v>
      </c>
      <c r="O129" t="s">
        <v>204</v>
      </c>
      <c r="P129" t="s">
        <v>148</v>
      </c>
      <c r="Q129" t="s">
        <v>205</v>
      </c>
      <c r="R129" t="s">
        <v>206</v>
      </c>
    </row>
    <row r="130" spans="3:19" x14ac:dyDescent="0.2">
      <c r="C130" t="s">
        <v>201</v>
      </c>
      <c r="D130">
        <v>0.10013540410000001</v>
      </c>
      <c r="E130" s="1">
        <v>4.83144854999999E-6</v>
      </c>
      <c r="F130" s="1">
        <v>1.71006441666667E-6</v>
      </c>
      <c r="G130" s="1">
        <v>2.2527801890100501E-8</v>
      </c>
      <c r="H130" s="1">
        <v>2.11342765209545E-8</v>
      </c>
      <c r="I130" s="1">
        <v>4.86944030424412E-8</v>
      </c>
      <c r="J130">
        <v>5</v>
      </c>
      <c r="K130">
        <f t="shared" ref="K130:K135" si="40">1-0.0000072</f>
        <v>0.99999280000000002</v>
      </c>
      <c r="L130" s="2">
        <f t="shared" ref="L130:L135" si="41">D130/0.2</f>
        <v>0.50067702049999996</v>
      </c>
      <c r="M130">
        <v>1</v>
      </c>
      <c r="N130" s="18">
        <f t="shared" ref="N130:N135" si="42">K130/J130-E130/L130</f>
        <v>0.19998891016916659</v>
      </c>
      <c r="O130" s="18">
        <f t="shared" ref="O130:O135" si="43">-F130/(L130*M130)</f>
        <v>-3.415504100745263E-6</v>
      </c>
      <c r="P130" s="3">
        <f t="shared" ref="P130:P143" si="44">1000000*O130/(2*PI()*53)</f>
        <v>-1.0256497373287689E-2</v>
      </c>
      <c r="Q130" s="6">
        <f t="shared" ref="Q130:Q135" si="45">0.2*L130*L130</f>
        <v>5.0135495771351478E-2</v>
      </c>
      <c r="R130" s="2">
        <f>1000000*(N130/0.2-1)</f>
        <v>-55.449154167108716</v>
      </c>
    </row>
    <row r="131" spans="3:19" x14ac:dyDescent="0.2">
      <c r="C131" t="s">
        <v>202</v>
      </c>
      <c r="D131">
        <v>0.20002264225999999</v>
      </c>
      <c r="E131" s="1">
        <v>9.3141989333332507E-6</v>
      </c>
      <c r="F131" s="1">
        <v>3.36228963333334E-6</v>
      </c>
      <c r="G131" s="1">
        <v>1.36580247927114E-7</v>
      </c>
      <c r="H131" s="1">
        <v>3.1645692485532902E-9</v>
      </c>
      <c r="I131" s="1">
        <v>5.7970286867775799E-8</v>
      </c>
      <c r="J131">
        <v>5</v>
      </c>
      <c r="K131">
        <f t="shared" si="40"/>
        <v>0.99999280000000002</v>
      </c>
      <c r="L131" s="2">
        <f t="shared" si="41"/>
        <v>1.0001132113</v>
      </c>
      <c r="M131">
        <v>1</v>
      </c>
      <c r="N131" s="18">
        <f t="shared" si="42"/>
        <v>0.19998924685541986</v>
      </c>
      <c r="O131" s="18">
        <f t="shared" si="43"/>
        <v>-3.3619090272418844E-6</v>
      </c>
      <c r="P131" s="3">
        <f t="shared" si="44"/>
        <v>-1.0095555470015309E-2</v>
      </c>
      <c r="Q131" s="6">
        <f t="shared" si="45"/>
        <v>0.20004528708335967</v>
      </c>
      <c r="R131" s="2">
        <f t="shared" ref="R131:R143" si="46">1000000*(N131/0.2-1)</f>
        <v>-53.765722900722679</v>
      </c>
    </row>
    <row r="132" spans="3:19" x14ac:dyDescent="0.2">
      <c r="D132">
        <v>0.39969629091999997</v>
      </c>
      <c r="E132" s="1">
        <v>1.7989283833333302E-5</v>
      </c>
      <c r="F132" s="1">
        <v>6.4309462500000004E-6</v>
      </c>
      <c r="G132" s="1">
        <v>3.0958629261714E-8</v>
      </c>
      <c r="H132" s="1">
        <v>2.4839878998072501E-8</v>
      </c>
      <c r="I132" s="1">
        <v>1.5673877289970101E-7</v>
      </c>
      <c r="J132">
        <v>5</v>
      </c>
      <c r="K132">
        <f t="shared" si="40"/>
        <v>0.99999280000000002</v>
      </c>
      <c r="L132" s="2">
        <f t="shared" si="41"/>
        <v>1.9984814545999998</v>
      </c>
      <c r="M132">
        <v>1</v>
      </c>
      <c r="N132" s="18">
        <f t="shared" si="42"/>
        <v>0.19998955852350797</v>
      </c>
      <c r="O132" s="18">
        <f t="shared" si="43"/>
        <v>-3.2179164010742185E-6</v>
      </c>
      <c r="P132" s="3">
        <f t="shared" si="44"/>
        <v>-9.6631566356121489E-3</v>
      </c>
      <c r="Q132" s="6">
        <f t="shared" si="45"/>
        <v>0.79878562487602622</v>
      </c>
      <c r="R132" s="2">
        <f t="shared" si="46"/>
        <v>-52.207382460145446</v>
      </c>
    </row>
    <row r="133" spans="3:19" x14ac:dyDescent="0.2">
      <c r="D133">
        <v>0.60021545354000005</v>
      </c>
      <c r="E133" s="1">
        <v>2.52798086666669E-5</v>
      </c>
      <c r="F133" s="1">
        <v>9.8227268166666698E-6</v>
      </c>
      <c r="G133" s="1">
        <v>2.6880397449267898E-7</v>
      </c>
      <c r="H133" s="1">
        <v>1.1936107332329501E-7</v>
      </c>
      <c r="I133" s="1">
        <v>5.4357811677498501E-8</v>
      </c>
      <c r="J133">
        <v>5</v>
      </c>
      <c r="K133">
        <f t="shared" si="40"/>
        <v>0.99999280000000002</v>
      </c>
      <c r="L133" s="2">
        <f t="shared" si="41"/>
        <v>3.0010772676999999</v>
      </c>
      <c r="M133">
        <v>1</v>
      </c>
      <c r="N133" s="18">
        <f t="shared" si="42"/>
        <v>0.19999013642192728</v>
      </c>
      <c r="O133" s="18">
        <f t="shared" si="43"/>
        <v>-3.2730669491208148E-6</v>
      </c>
      <c r="P133" s="3">
        <f t="shared" si="44"/>
        <v>-9.8287695098733356E-3</v>
      </c>
      <c r="Q133" s="6">
        <f t="shared" si="45"/>
        <v>1.8012929533411397</v>
      </c>
      <c r="R133" s="2">
        <f t="shared" si="46"/>
        <v>-49.317890363664851</v>
      </c>
    </row>
    <row r="134" spans="3:19" x14ac:dyDescent="0.2">
      <c r="D134">
        <v>1.0025713545999999</v>
      </c>
      <c r="E134" s="1">
        <v>3.7390401166666597E-5</v>
      </c>
      <c r="F134" s="1">
        <v>1.6009855666666701E-5</v>
      </c>
      <c r="G134" s="1">
        <v>9.1355819640744996E-7</v>
      </c>
      <c r="H134" s="1">
        <v>7.1084634177528503E-7</v>
      </c>
      <c r="I134" s="1">
        <v>2.3601673210718701E-7</v>
      </c>
      <c r="J134">
        <v>5</v>
      </c>
      <c r="K134">
        <f t="shared" si="40"/>
        <v>0.99999280000000002</v>
      </c>
      <c r="L134" s="2">
        <f t="shared" si="41"/>
        <v>5.0128567729999993</v>
      </c>
      <c r="M134">
        <v>1</v>
      </c>
      <c r="N134" s="18">
        <f t="shared" si="42"/>
        <v>0.19999110109924542</v>
      </c>
      <c r="O134" s="18">
        <f t="shared" si="43"/>
        <v>-3.1937588468312504E-6</v>
      </c>
      <c r="P134" s="3">
        <f t="shared" si="44"/>
        <v>-9.5906133493710369E-3</v>
      </c>
      <c r="Q134" s="6">
        <f t="shared" si="45"/>
        <v>5.0257466053223938</v>
      </c>
      <c r="R134" s="2">
        <f t="shared" si="46"/>
        <v>-44.494503772973815</v>
      </c>
    </row>
    <row r="135" spans="3:19" x14ac:dyDescent="0.2">
      <c r="D135">
        <v>1.196900796</v>
      </c>
      <c r="E135" s="1">
        <v>3.6199035666666598E-5</v>
      </c>
      <c r="F135" s="1">
        <v>1.86212039999999E-5</v>
      </c>
      <c r="G135" s="1">
        <v>1.0117793712072999E-6</v>
      </c>
      <c r="H135" s="1">
        <v>7.3642048710494902E-7</v>
      </c>
      <c r="I135" s="1">
        <v>5.7059968454267502E-10</v>
      </c>
      <c r="J135">
        <v>5</v>
      </c>
      <c r="K135">
        <f t="shared" si="40"/>
        <v>0.99999280000000002</v>
      </c>
      <c r="L135" s="2">
        <f t="shared" si="41"/>
        <v>5.9845039799999995</v>
      </c>
      <c r="M135">
        <v>1</v>
      </c>
      <c r="N135" s="18">
        <f t="shared" si="42"/>
        <v>0.19999251120534839</v>
      </c>
      <c r="O135" s="18">
        <f t="shared" si="43"/>
        <v>-3.1115701589022755E-6</v>
      </c>
      <c r="P135" s="3">
        <f t="shared" si="44"/>
        <v>-9.3438070106892715E-3</v>
      </c>
      <c r="Q135" s="6">
        <f t="shared" si="45"/>
        <v>7.1628575773271672</v>
      </c>
      <c r="R135" s="2">
        <f t="shared" si="46"/>
        <v>-37.443973258111107</v>
      </c>
    </row>
    <row r="136" spans="3:19" x14ac:dyDescent="0.2">
      <c r="E136" s="1"/>
      <c r="F136" s="1"/>
      <c r="G136" s="1"/>
      <c r="H136" s="1"/>
      <c r="I136" s="1"/>
      <c r="P136" s="3"/>
      <c r="R136" s="2"/>
    </row>
    <row r="137" spans="3:19" x14ac:dyDescent="0.2">
      <c r="C137" t="s">
        <v>208</v>
      </c>
      <c r="M137" t="s">
        <v>203</v>
      </c>
      <c r="P137" s="3"/>
      <c r="R137" s="2"/>
    </row>
    <row r="138" spans="3:19" x14ac:dyDescent="0.2">
      <c r="D138">
        <v>0.10045032642</v>
      </c>
      <c r="E138" s="1">
        <v>-2.3188526999999999E-6</v>
      </c>
      <c r="F138" s="1">
        <v>-7.1898547000000099E-7</v>
      </c>
      <c r="G138" s="1">
        <v>2.6631302885174598E-8</v>
      </c>
      <c r="H138" s="1">
        <v>9.2440109299895599E-8</v>
      </c>
      <c r="I138" s="1">
        <v>4.4017014955231898E-8</v>
      </c>
      <c r="J138">
        <v>10</v>
      </c>
      <c r="K138">
        <f t="shared" ref="K138:K143" si="47">1-0.0000072</f>
        <v>0.99999280000000002</v>
      </c>
      <c r="L138" s="2">
        <f t="shared" ref="L138:L143" si="48">D138/0.2</f>
        <v>0.50225163210000001</v>
      </c>
      <c r="M138">
        <v>0.5</v>
      </c>
      <c r="N138" s="18">
        <f t="shared" ref="N138:N143" si="49">(E138/L138+K138/J138)/M138</f>
        <v>0.199989326171569</v>
      </c>
      <c r="O138" s="18">
        <f t="shared" ref="O138:O143" si="50">F138/(L138*M138)</f>
        <v>-2.8630488147695995E-6</v>
      </c>
      <c r="P138" s="3">
        <f t="shared" si="44"/>
        <v>-8.5975164374334709E-3</v>
      </c>
      <c r="Q138" s="6">
        <f t="shared" ref="Q138:Q143" si="51">0.2*L138*L138</f>
        <v>5.0451340389422755E-2</v>
      </c>
      <c r="R138" s="2">
        <f t="shared" si="46"/>
        <v>-53.369142155035298</v>
      </c>
      <c r="S138" s="20"/>
    </row>
    <row r="139" spans="3:19" x14ac:dyDescent="0.2">
      <c r="C139" t="s">
        <v>210</v>
      </c>
      <c r="D139">
        <v>0.2000108065</v>
      </c>
      <c r="E139" s="1">
        <v>-4.53844815E-6</v>
      </c>
      <c r="F139" s="1">
        <v>-1.6177755000000001E-6</v>
      </c>
      <c r="G139" s="1">
        <v>1.6318926839763699E-8</v>
      </c>
      <c r="H139" s="1">
        <v>3.59811012395512E-8</v>
      </c>
      <c r="I139" s="1">
        <v>9.3509793230887495E-8</v>
      </c>
      <c r="J139">
        <v>10</v>
      </c>
      <c r="K139">
        <f t="shared" si="47"/>
        <v>0.99999280000000002</v>
      </c>
      <c r="L139" s="2">
        <f t="shared" si="48"/>
        <v>1.0000540325</v>
      </c>
      <c r="M139">
        <v>0.5</v>
      </c>
      <c r="N139" s="18">
        <f t="shared" si="49"/>
        <v>0.19998948359412089</v>
      </c>
      <c r="O139" s="18">
        <f t="shared" si="50"/>
        <v>-3.2353761845363091E-6</v>
      </c>
      <c r="P139" s="3">
        <f t="shared" si="44"/>
        <v>-9.7155870288820698E-3</v>
      </c>
      <c r="Q139" s="6">
        <f t="shared" si="51"/>
        <v>0.20002161358390225</v>
      </c>
      <c r="R139" s="2">
        <f t="shared" si="46"/>
        <v>-52.582029395620289</v>
      </c>
      <c r="S139" s="20"/>
    </row>
    <row r="140" spans="3:19" x14ac:dyDescent="0.2">
      <c r="C140" t="s">
        <v>211</v>
      </c>
      <c r="D140">
        <v>0.39996125933999999</v>
      </c>
      <c r="E140" s="1">
        <v>-8.8211489333332893E-6</v>
      </c>
      <c r="F140" s="1">
        <v>-3.2061040500000002E-6</v>
      </c>
      <c r="G140" s="1">
        <v>3.6991024357769701E-8</v>
      </c>
      <c r="H140" s="1">
        <v>1.6627345615673001E-10</v>
      </c>
      <c r="I140" s="1">
        <v>1.4934707021151801E-7</v>
      </c>
      <c r="J140">
        <v>10</v>
      </c>
      <c r="K140">
        <f t="shared" si="47"/>
        <v>0.99999280000000002</v>
      </c>
      <c r="L140" s="2">
        <f t="shared" si="48"/>
        <v>1.9998062966999999</v>
      </c>
      <c r="M140">
        <v>0.5</v>
      </c>
      <c r="N140" s="18">
        <f t="shared" si="49"/>
        <v>0.19998973799664108</v>
      </c>
      <c r="O140" s="18">
        <f t="shared" si="50"/>
        <v>-3.2064145965442597E-6</v>
      </c>
      <c r="P140" s="3">
        <f t="shared" si="44"/>
        <v>-9.6286175970193254E-3</v>
      </c>
      <c r="Q140" s="6">
        <f t="shared" si="51"/>
        <v>0.79984504486419361</v>
      </c>
      <c r="R140" s="2">
        <f t="shared" si="46"/>
        <v>-51.310016794703373</v>
      </c>
      <c r="S140" s="20"/>
    </row>
    <row r="141" spans="3:19" x14ac:dyDescent="0.2">
      <c r="D141">
        <v>0.59913062362000002</v>
      </c>
      <c r="E141" s="1">
        <v>-1.2514461333333399E-5</v>
      </c>
      <c r="F141" s="1">
        <v>-4.8497104499999999E-6</v>
      </c>
      <c r="G141" s="1">
        <v>2.9190364117602002E-6</v>
      </c>
      <c r="H141" s="1">
        <v>1.2604997238485299E-7</v>
      </c>
      <c r="I141" s="1">
        <v>3.5340646230143601E-8</v>
      </c>
      <c r="J141">
        <v>10</v>
      </c>
      <c r="K141">
        <f t="shared" si="47"/>
        <v>0.99999280000000002</v>
      </c>
      <c r="L141" s="2">
        <f t="shared" si="48"/>
        <v>2.9956531180999999</v>
      </c>
      <c r="M141">
        <v>0.5</v>
      </c>
      <c r="N141" s="18">
        <f t="shared" si="49"/>
        <v>0.19999020491959518</v>
      </c>
      <c r="O141" s="18">
        <f t="shared" si="50"/>
        <v>-3.2378317908022275E-6</v>
      </c>
      <c r="P141" s="3">
        <f t="shared" si="44"/>
        <v>-9.7229610265331719E-3</v>
      </c>
      <c r="Q141" s="6">
        <f t="shared" si="51"/>
        <v>1.7947875207964505</v>
      </c>
      <c r="R141" s="2">
        <f t="shared" si="46"/>
        <v>-48.975402024087344</v>
      </c>
      <c r="S141" s="20"/>
    </row>
    <row r="142" spans="3:19" x14ac:dyDescent="0.2">
      <c r="D142">
        <v>1.0032392826000001</v>
      </c>
      <c r="E142" s="1">
        <v>-1.77871481666668E-5</v>
      </c>
      <c r="F142" s="1">
        <v>-7.7040779500000003E-6</v>
      </c>
      <c r="G142" s="1">
        <v>7.0393501420191104E-6</v>
      </c>
      <c r="H142" s="1">
        <v>3.00193173023592E-7</v>
      </c>
      <c r="I142" s="1">
        <v>3.7722937424916602E-8</v>
      </c>
      <c r="J142">
        <v>10</v>
      </c>
      <c r="K142">
        <f t="shared" si="47"/>
        <v>0.99999280000000002</v>
      </c>
      <c r="L142" s="2">
        <f t="shared" si="48"/>
        <v>5.0161964130000003</v>
      </c>
      <c r="M142">
        <v>0.5</v>
      </c>
      <c r="N142" s="18">
        <f t="shared" si="49"/>
        <v>0.19999146811335833</v>
      </c>
      <c r="O142" s="18">
        <f t="shared" si="50"/>
        <v>-3.0716811367410068E-6</v>
      </c>
      <c r="P142" s="3">
        <f t="shared" si="44"/>
        <v>-9.2240233304615726E-3</v>
      </c>
      <c r="Q142" s="6">
        <f t="shared" si="51"/>
        <v>5.0324452907588135</v>
      </c>
      <c r="R142" s="2">
        <f t="shared" si="46"/>
        <v>-42.659433208358521</v>
      </c>
      <c r="S142" s="20"/>
    </row>
    <row r="143" spans="3:19" x14ac:dyDescent="0.2">
      <c r="D143">
        <v>1.1991410182</v>
      </c>
      <c r="E143" s="1">
        <v>-1.83889855E-5</v>
      </c>
      <c r="F143" s="1">
        <v>-9.2108210833333196E-6</v>
      </c>
      <c r="G143" s="1">
        <v>1.1716295281945801E-6</v>
      </c>
      <c r="H143" s="1">
        <v>3.6573774849348502E-7</v>
      </c>
      <c r="I143" s="1">
        <v>1.35157463407167E-7</v>
      </c>
      <c r="J143">
        <v>10</v>
      </c>
      <c r="K143">
        <f t="shared" si="47"/>
        <v>0.99999280000000002</v>
      </c>
      <c r="L143" s="2">
        <f t="shared" si="48"/>
        <v>5.9957050909999996</v>
      </c>
      <c r="M143">
        <v>0.5</v>
      </c>
      <c r="N143" s="18">
        <f t="shared" si="49"/>
        <v>0.1999924259473003</v>
      </c>
      <c r="O143" s="18">
        <f t="shared" si="50"/>
        <v>-3.0724730264533689E-6</v>
      </c>
      <c r="P143" s="3">
        <f t="shared" si="44"/>
        <v>-9.2264013146522526E-3</v>
      </c>
      <c r="Q143" s="6">
        <f t="shared" si="51"/>
        <v>7.1896959076486633</v>
      </c>
      <c r="R143" s="2">
        <f t="shared" si="46"/>
        <v>-37.870263498551715</v>
      </c>
      <c r="S143" s="20"/>
    </row>
    <row r="145" spans="3:7" x14ac:dyDescent="0.2">
      <c r="C145" t="s">
        <v>209</v>
      </c>
    </row>
    <row r="146" spans="3:7" x14ac:dyDescent="0.2">
      <c r="C146" t="s">
        <v>213</v>
      </c>
    </row>
    <row r="147" spans="3:7" x14ac:dyDescent="0.2">
      <c r="D147" t="s">
        <v>197</v>
      </c>
      <c r="E147" s="2">
        <v>-7.2</v>
      </c>
    </row>
    <row r="148" spans="3:7" x14ac:dyDescent="0.2">
      <c r="D148" t="s">
        <v>212</v>
      </c>
      <c r="E148" s="2">
        <f>1000000*(0.1999902/0.2-1)</f>
        <v>-48.999999999965738</v>
      </c>
      <c r="G148" t="s">
        <v>214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rgb="FF00B0F0"/>
  </sheetPr>
  <dimension ref="A1:AL353"/>
  <sheetViews>
    <sheetView topLeftCell="B72" zoomScale="90" zoomScaleNormal="90" workbookViewId="0">
      <selection activeCell="C119" sqref="C119"/>
    </sheetView>
  </sheetViews>
  <sheetFormatPr defaultRowHeight="12.75" x14ac:dyDescent="0.2"/>
  <cols>
    <col min="2" max="2" width="11.7109375" customWidth="1"/>
    <col min="3" max="3" width="25.5703125" customWidth="1"/>
    <col min="5" max="5" width="10.42578125" customWidth="1"/>
    <col min="6" max="6" width="10.140625" customWidth="1"/>
    <col min="7" max="7" width="10.42578125" customWidth="1"/>
    <col min="12" max="12" width="14.42578125" bestFit="1" customWidth="1"/>
    <col min="13" max="13" width="12.140625" customWidth="1"/>
    <col min="14" max="14" width="9.42578125" customWidth="1"/>
    <col min="15" max="16" width="12.42578125" bestFit="1" customWidth="1"/>
    <col min="17" max="17" width="10.5703125" customWidth="1"/>
    <col min="19" max="19" width="9.42578125" customWidth="1"/>
    <col min="20" max="20" width="9.85546875" customWidth="1"/>
    <col min="21" max="21" width="9.42578125" customWidth="1"/>
    <col min="22" max="22" width="11.42578125" customWidth="1"/>
    <col min="23" max="23" width="12.42578125" bestFit="1" customWidth="1"/>
    <col min="24" max="24" width="10.42578125" bestFit="1" customWidth="1"/>
    <col min="25" max="25" width="11.42578125" customWidth="1"/>
    <col min="26" max="26" width="12.42578125" bestFit="1" customWidth="1"/>
    <col min="29" max="30" width="9.42578125" bestFit="1" customWidth="1"/>
    <col min="31" max="31" width="10.42578125" bestFit="1" customWidth="1"/>
  </cols>
  <sheetData>
    <row r="1" spans="1:38" x14ac:dyDescent="0.2">
      <c r="E1" s="1"/>
      <c r="F1" s="1"/>
      <c r="G1" s="1"/>
      <c r="H1" s="1"/>
      <c r="I1" s="1"/>
      <c r="J1" s="1"/>
      <c r="M1" s="1"/>
      <c r="N1" s="1"/>
    </row>
    <row r="2" spans="1:38" x14ac:dyDescent="0.2">
      <c r="E2" s="1"/>
      <c r="F2" s="1"/>
      <c r="G2" s="1"/>
      <c r="H2" s="1"/>
      <c r="I2" s="1"/>
      <c r="J2" s="1"/>
      <c r="M2" s="1"/>
      <c r="N2" s="1"/>
    </row>
    <row r="3" spans="1:38" x14ac:dyDescent="0.2">
      <c r="B3" s="5" t="s">
        <v>96</v>
      </c>
      <c r="C3" s="5"/>
      <c r="E3" s="1"/>
      <c r="F3" s="1"/>
      <c r="G3" s="1"/>
      <c r="H3" s="1"/>
      <c r="I3" s="1"/>
      <c r="M3" s="1"/>
      <c r="N3" s="1"/>
    </row>
    <row r="4" spans="1:38" x14ac:dyDescent="0.2">
      <c r="E4" s="1"/>
      <c r="F4" s="1"/>
      <c r="G4" s="1"/>
      <c r="H4" s="1"/>
      <c r="I4" s="1"/>
      <c r="M4" s="1"/>
      <c r="N4" s="1"/>
    </row>
    <row r="5" spans="1:38" x14ac:dyDescent="0.2">
      <c r="E5" s="1"/>
      <c r="F5" s="1"/>
      <c r="G5" s="1"/>
      <c r="H5" s="1"/>
      <c r="I5" s="1"/>
      <c r="J5" s="1"/>
      <c r="M5" s="1"/>
      <c r="N5" s="1"/>
    </row>
    <row r="6" spans="1:38" x14ac:dyDescent="0.2">
      <c r="E6" s="1"/>
      <c r="F6" s="1"/>
      <c r="G6" s="1"/>
      <c r="H6" s="1"/>
      <c r="I6" s="1"/>
      <c r="J6" s="1"/>
      <c r="M6" s="1"/>
      <c r="N6" s="1"/>
    </row>
    <row r="7" spans="1:38" x14ac:dyDescent="0.2">
      <c r="A7" s="5" t="s">
        <v>35</v>
      </c>
      <c r="B7" s="5" t="s">
        <v>34</v>
      </c>
      <c r="C7" s="5" t="s">
        <v>42</v>
      </c>
      <c r="D7" s="13" t="s">
        <v>2</v>
      </c>
      <c r="E7" s="14" t="s">
        <v>5</v>
      </c>
      <c r="F7" s="14" t="s">
        <v>6</v>
      </c>
      <c r="G7" s="14" t="s">
        <v>8</v>
      </c>
      <c r="H7" s="14" t="s">
        <v>10</v>
      </c>
      <c r="I7" s="14" t="s">
        <v>11</v>
      </c>
      <c r="J7" s="1"/>
      <c r="Q7" s="5" t="s">
        <v>15</v>
      </c>
      <c r="R7" s="5" t="s">
        <v>15</v>
      </c>
      <c r="S7" s="5" t="s">
        <v>15</v>
      </c>
      <c r="T7" s="5" t="s">
        <v>358</v>
      </c>
      <c r="U7" s="5" t="s">
        <v>358</v>
      </c>
    </row>
    <row r="8" spans="1:38" x14ac:dyDescent="0.2">
      <c r="D8" s="13" t="s">
        <v>7</v>
      </c>
      <c r="E8" s="14" t="s">
        <v>12</v>
      </c>
      <c r="F8" s="14" t="s">
        <v>12</v>
      </c>
      <c r="G8" s="14" t="s">
        <v>9</v>
      </c>
      <c r="H8" s="14" t="s">
        <v>12</v>
      </c>
      <c r="I8" s="14" t="s">
        <v>12</v>
      </c>
      <c r="J8" s="1"/>
      <c r="K8" s="5" t="s">
        <v>2</v>
      </c>
      <c r="L8" s="5" t="s">
        <v>3</v>
      </c>
      <c r="M8" s="5" t="s">
        <v>4</v>
      </c>
      <c r="N8" s="5" t="s">
        <v>0</v>
      </c>
      <c r="O8" s="5" t="s">
        <v>1</v>
      </c>
      <c r="Q8" s="5" t="s">
        <v>5</v>
      </c>
      <c r="R8" s="5" t="s">
        <v>6</v>
      </c>
      <c r="S8" s="5" t="s">
        <v>14</v>
      </c>
      <c r="T8" s="5" t="s">
        <v>5</v>
      </c>
      <c r="U8" s="5" t="s">
        <v>6</v>
      </c>
      <c r="AG8" s="3"/>
      <c r="AL8" s="3"/>
    </row>
    <row r="9" spans="1:38" x14ac:dyDescent="0.2">
      <c r="A9">
        <v>1</v>
      </c>
      <c r="B9" s="4">
        <v>36536</v>
      </c>
      <c r="C9" s="5" t="s">
        <v>13</v>
      </c>
      <c r="D9">
        <v>1.1938874371999999</v>
      </c>
      <c r="E9" s="1">
        <v>-1.15827936666667E-5</v>
      </c>
      <c r="F9" s="1">
        <v>-9.7468457000000006E-6</v>
      </c>
      <c r="G9" s="1">
        <v>1.43728572359718E-6</v>
      </c>
      <c r="H9" s="1">
        <v>2.5094686089533399E-7</v>
      </c>
      <c r="I9" s="1">
        <v>2.7219324811182699E-8</v>
      </c>
      <c r="K9">
        <v>0.2</v>
      </c>
      <c r="L9">
        <v>10</v>
      </c>
      <c r="M9" s="2">
        <f t="shared" ref="M9:M14" si="0">100*D9/(K9*5)</f>
        <v>119.38874371999999</v>
      </c>
      <c r="N9" s="3">
        <f t="shared" ref="N9:N14" si="1">1000000*E9*K9/(L9*D9)</f>
        <v>-0.19403493672454736</v>
      </c>
      <c r="O9" s="3">
        <f t="shared" ref="O9:O14" si="2">1000000*F9*K9/(D9*L9)</f>
        <v>-0.16327913999763802</v>
      </c>
      <c r="P9" s="3">
        <f t="shared" ref="P9:P14" si="3">O17</f>
        <v>-0.16223027441004417</v>
      </c>
      <c r="Q9" s="3">
        <f t="shared" ref="Q9:Q14" si="4">1000000*K9*H9/(L9*D9)</f>
        <v>4.2038613201906974E-3</v>
      </c>
      <c r="R9" s="3">
        <f t="shared" ref="R9:R14" si="5">1000000*K9*I9/(L9*D9)</f>
        <v>4.559780757056902E-4</v>
      </c>
      <c r="S9" s="1">
        <f t="shared" ref="S9:S14" si="6">G9*100/D9</f>
        <v>1.2038703807521563E-4</v>
      </c>
      <c r="T9" s="3">
        <f t="shared" ref="T9:T14" si="7">Comode_std*K9/(L9*D9)</f>
        <v>1.6751998033336878E-3</v>
      </c>
      <c r="U9" s="3">
        <f t="shared" ref="U9:U14" si="8">Comode_std*K9/(L9*D9)</f>
        <v>1.6751998033336878E-3</v>
      </c>
      <c r="Z9" s="2"/>
      <c r="AA9" s="3"/>
      <c r="AB9" s="3"/>
      <c r="AC9" s="18"/>
      <c r="AD9" s="21"/>
      <c r="AE9" s="18"/>
      <c r="AG9" s="3"/>
      <c r="AH9" s="18"/>
      <c r="AI9" s="21"/>
      <c r="AJ9" s="18"/>
      <c r="AL9" s="3"/>
    </row>
    <row r="10" spans="1:38" x14ac:dyDescent="0.2">
      <c r="A10">
        <v>2</v>
      </c>
      <c r="D10">
        <v>1.0042850182</v>
      </c>
      <c r="E10" s="1">
        <v>-1.0458637333333401E-5</v>
      </c>
      <c r="F10" s="1">
        <v>-8.3009704999999898E-6</v>
      </c>
      <c r="G10" s="1">
        <v>1.1978725514834801E-7</v>
      </c>
      <c r="H10" s="1">
        <v>3.0681187605581499E-8</v>
      </c>
      <c r="I10" s="1">
        <v>1.3385678245174399E-8</v>
      </c>
      <c r="K10">
        <v>0.2</v>
      </c>
      <c r="L10">
        <v>10</v>
      </c>
      <c r="M10" s="2">
        <f t="shared" si="0"/>
        <v>100.42850182000001</v>
      </c>
      <c r="N10" s="3">
        <f t="shared" si="1"/>
        <v>-0.20828026195349655</v>
      </c>
      <c r="O10" s="3">
        <f t="shared" si="2"/>
        <v>-0.16531104914574915</v>
      </c>
      <c r="P10" s="3">
        <f t="shared" si="3"/>
        <v>-0.16390115382295875</v>
      </c>
      <c r="Q10" s="3">
        <f t="shared" si="4"/>
        <v>6.1100558207214913E-4</v>
      </c>
      <c r="R10" s="3">
        <f t="shared" si="5"/>
        <v>2.6657130202272292E-4</v>
      </c>
      <c r="S10" s="1">
        <f t="shared" si="6"/>
        <v>1.1927615465482606E-5</v>
      </c>
      <c r="T10" s="3">
        <f t="shared" si="7"/>
        <v>1.9914665296756492E-3</v>
      </c>
      <c r="U10" s="3">
        <f t="shared" si="8"/>
        <v>1.9914665296756492E-3</v>
      </c>
      <c r="Z10" s="2"/>
      <c r="AA10" s="3"/>
      <c r="AB10" s="3"/>
      <c r="AC10" s="18"/>
      <c r="AD10" s="21"/>
      <c r="AE10" s="18"/>
      <c r="AG10" s="3"/>
      <c r="AH10" s="18"/>
      <c r="AI10" s="21"/>
      <c r="AJ10" s="18"/>
      <c r="AL10" s="3"/>
    </row>
    <row r="11" spans="1:38" x14ac:dyDescent="0.2">
      <c r="A11">
        <v>3</v>
      </c>
      <c r="D11">
        <v>0.59997054841999997</v>
      </c>
      <c r="E11" s="1">
        <v>-8.3212834333333005E-6</v>
      </c>
      <c r="F11" s="1">
        <v>-4.5466962333333297E-6</v>
      </c>
      <c r="G11" s="1">
        <v>8.3388163143580601E-7</v>
      </c>
      <c r="H11" s="1">
        <v>2.1047058287218101E-8</v>
      </c>
      <c r="I11" s="1">
        <v>8.4812745965129306E-8</v>
      </c>
      <c r="K11">
        <v>0.2</v>
      </c>
      <c r="L11">
        <v>10</v>
      </c>
      <c r="M11" s="2">
        <f t="shared" si="0"/>
        <v>59.997054841999997</v>
      </c>
      <c r="N11" s="3">
        <f t="shared" si="1"/>
        <v>-0.27738973038750286</v>
      </c>
      <c r="O11" s="3">
        <f t="shared" si="2"/>
        <v>-0.15156398077561919</v>
      </c>
      <c r="P11" s="3">
        <f t="shared" si="3"/>
        <v>-0.14859574222899571</v>
      </c>
      <c r="Q11" s="3">
        <f t="shared" si="4"/>
        <v>7.0160304843778555E-4</v>
      </c>
      <c r="R11" s="3">
        <f t="shared" si="5"/>
        <v>2.8272303095037078E-3</v>
      </c>
      <c r="S11" s="1">
        <f t="shared" si="6"/>
        <v>1.3898709422184176E-4</v>
      </c>
      <c r="T11" s="3">
        <f t="shared" si="7"/>
        <v>3.3334969612540577E-3</v>
      </c>
      <c r="U11" s="3">
        <f t="shared" si="8"/>
        <v>3.3334969612540577E-3</v>
      </c>
      <c r="Z11" s="2"/>
      <c r="AA11" s="3"/>
      <c r="AB11" s="3"/>
      <c r="AC11" s="18"/>
      <c r="AD11" s="21"/>
      <c r="AE11" s="18"/>
      <c r="AG11" s="3"/>
      <c r="AH11" s="18"/>
      <c r="AI11" s="21"/>
      <c r="AJ11" s="18"/>
      <c r="AL11" s="3"/>
    </row>
    <row r="12" spans="1:38" x14ac:dyDescent="0.2">
      <c r="A12">
        <v>4</v>
      </c>
      <c r="D12">
        <v>0.40020439085999998</v>
      </c>
      <c r="E12" s="1">
        <v>-6.36766933333333E-6</v>
      </c>
      <c r="F12" s="1">
        <v>-2.9629540999999799E-6</v>
      </c>
      <c r="G12" s="1">
        <v>5.7250613943317303E-7</v>
      </c>
      <c r="H12" s="1">
        <v>5.5402166740621001E-8</v>
      </c>
      <c r="I12" s="1">
        <v>1.35348798858111E-8</v>
      </c>
      <c r="J12" s="1"/>
      <c r="K12">
        <v>0.2</v>
      </c>
      <c r="L12">
        <v>10</v>
      </c>
      <c r="M12" s="2">
        <f t="shared" si="0"/>
        <v>40.020439085999996</v>
      </c>
      <c r="N12" s="3">
        <f t="shared" si="1"/>
        <v>-0.31822086307698089</v>
      </c>
      <c r="O12" s="3">
        <f t="shared" si="2"/>
        <v>-0.14807204356918133</v>
      </c>
      <c r="P12" s="3">
        <f t="shared" si="3"/>
        <v>-0.14671146448016104</v>
      </c>
      <c r="Q12" s="3">
        <f t="shared" si="4"/>
        <v>2.7686935978671885E-3</v>
      </c>
      <c r="R12" s="3">
        <f t="shared" si="5"/>
        <v>6.7639837017909618E-4</v>
      </c>
      <c r="S12" s="1">
        <f t="shared" si="6"/>
        <v>1.4305343782033812E-4</v>
      </c>
      <c r="T12" s="3">
        <f t="shared" si="7"/>
        <v>4.9974464190715058E-3</v>
      </c>
      <c r="U12" s="3">
        <f t="shared" si="8"/>
        <v>4.9974464190715058E-3</v>
      </c>
      <c r="Z12" s="2"/>
      <c r="AA12" s="3"/>
      <c r="AB12" s="3"/>
      <c r="AC12" s="18"/>
      <c r="AD12" s="21"/>
      <c r="AE12" s="18"/>
      <c r="AG12" s="3"/>
      <c r="AH12" s="18"/>
      <c r="AI12" s="21"/>
      <c r="AJ12" s="18"/>
      <c r="AL12" s="3"/>
    </row>
    <row r="13" spans="1:38" x14ac:dyDescent="0.2">
      <c r="A13">
        <v>5</v>
      </c>
      <c r="D13">
        <v>0.1995955901</v>
      </c>
      <c r="E13" s="1">
        <v>-3.7941043000000002E-6</v>
      </c>
      <c r="F13" s="1">
        <v>-1.38769243333333E-6</v>
      </c>
      <c r="G13" s="1">
        <v>2.54201321301823E-7</v>
      </c>
      <c r="H13" s="1">
        <v>1.1002405085555899E-9</v>
      </c>
      <c r="I13" s="1">
        <v>2.39934815400396E-8</v>
      </c>
      <c r="J13" s="1"/>
      <c r="K13">
        <v>0.2</v>
      </c>
      <c r="L13">
        <v>10</v>
      </c>
      <c r="M13" s="2">
        <f t="shared" si="0"/>
        <v>19.95955901</v>
      </c>
      <c r="N13" s="3">
        <f t="shared" si="1"/>
        <v>-0.380179171102839</v>
      </c>
      <c r="O13" s="3">
        <f t="shared" si="2"/>
        <v>-0.13905041014564282</v>
      </c>
      <c r="P13" s="3">
        <f t="shared" si="3"/>
        <v>-0.13820829639702845</v>
      </c>
      <c r="Q13" s="3">
        <f t="shared" si="4"/>
        <v>1.1024697569764494E-4</v>
      </c>
      <c r="R13" s="3">
        <f t="shared" si="5"/>
        <v>2.4042095847927858E-3</v>
      </c>
      <c r="S13" s="1">
        <f t="shared" si="6"/>
        <v>1.2735818520562744E-4</v>
      </c>
      <c r="T13" s="3">
        <f t="shared" si="7"/>
        <v>1.0020261464684536E-2</v>
      </c>
      <c r="U13" s="3">
        <f t="shared" si="8"/>
        <v>1.0020261464684536E-2</v>
      </c>
      <c r="Z13" s="2"/>
      <c r="AA13" s="3"/>
      <c r="AB13" s="3"/>
      <c r="AC13" s="18"/>
      <c r="AD13" s="21"/>
      <c r="AE13" s="18"/>
      <c r="AG13" s="3"/>
      <c r="AH13" s="18"/>
      <c r="AI13" s="21"/>
      <c r="AJ13" s="18"/>
      <c r="AL13" s="3"/>
    </row>
    <row r="14" spans="1:38" x14ac:dyDescent="0.2">
      <c r="A14">
        <v>6</v>
      </c>
      <c r="D14">
        <v>0.10021512168</v>
      </c>
      <c r="E14" s="1">
        <v>-2.0510868666666701E-6</v>
      </c>
      <c r="F14" s="1">
        <v>-6.67769683333333E-7</v>
      </c>
      <c r="G14" s="1">
        <v>8.8252593660282904E-8</v>
      </c>
      <c r="H14" s="1">
        <v>6.5873568438706004E-8</v>
      </c>
      <c r="I14" s="1">
        <v>2.26268165722973E-8</v>
      </c>
      <c r="J14" s="1"/>
      <c r="K14">
        <v>0.2</v>
      </c>
      <c r="L14">
        <v>10</v>
      </c>
      <c r="M14" s="2">
        <f t="shared" si="0"/>
        <v>10.021512168000001</v>
      </c>
      <c r="N14" s="3">
        <f t="shared" si="1"/>
        <v>-0.40933680112988524</v>
      </c>
      <c r="O14" s="3">
        <f t="shared" si="2"/>
        <v>-0.13326724991974945</v>
      </c>
      <c r="P14" s="3">
        <f t="shared" si="3"/>
        <v>-0.12472572770655944</v>
      </c>
      <c r="Q14" s="3">
        <f t="shared" si="4"/>
        <v>1.3146432860511596E-2</v>
      </c>
      <c r="R14" s="3">
        <f t="shared" si="5"/>
        <v>4.5156491740932451E-3</v>
      </c>
      <c r="S14" s="1">
        <f t="shared" si="6"/>
        <v>8.8063150730969509E-5</v>
      </c>
      <c r="T14" s="3">
        <f t="shared" si="7"/>
        <v>1.9957068019996645E-2</v>
      </c>
      <c r="U14" s="3">
        <f t="shared" si="8"/>
        <v>1.9957068019996645E-2</v>
      </c>
      <c r="Z14" s="2"/>
      <c r="AA14" s="3"/>
      <c r="AB14" s="3"/>
      <c r="AC14" s="18"/>
      <c r="AD14" s="21"/>
      <c r="AE14" s="18"/>
      <c r="AG14" s="3"/>
      <c r="AH14" s="18"/>
      <c r="AI14" s="21"/>
      <c r="AJ14" s="18"/>
      <c r="AL14" s="3"/>
    </row>
    <row r="15" spans="1:38" x14ac:dyDescent="0.2">
      <c r="A15">
        <v>7</v>
      </c>
      <c r="F15" s="1"/>
      <c r="G15" s="1"/>
      <c r="H15" s="1"/>
      <c r="I15" s="1"/>
      <c r="J15" s="1"/>
      <c r="L15" s="1"/>
      <c r="M15" s="1"/>
      <c r="U15" s="26"/>
      <c r="V15" s="26"/>
      <c r="AG15" s="21"/>
      <c r="AL15" s="21"/>
    </row>
    <row r="16" spans="1:38" x14ac:dyDescent="0.2">
      <c r="A16">
        <v>8</v>
      </c>
      <c r="F16" s="1"/>
      <c r="G16" s="1"/>
      <c r="H16" s="1"/>
      <c r="I16" s="1"/>
      <c r="J16" s="1"/>
      <c r="L16" s="1"/>
      <c r="M16" s="1"/>
    </row>
    <row r="17" spans="1:30" x14ac:dyDescent="0.2">
      <c r="A17">
        <v>9</v>
      </c>
      <c r="B17" s="4">
        <v>36536</v>
      </c>
      <c r="C17" s="4" t="s">
        <v>64</v>
      </c>
      <c r="D17">
        <v>1.1949377392</v>
      </c>
      <c r="E17" s="1">
        <v>-1.12290716666667E-5</v>
      </c>
      <c r="F17" s="1">
        <v>-9.6927538666666894E-6</v>
      </c>
      <c r="G17" s="1">
        <v>4.1849467984024703E-6</v>
      </c>
      <c r="H17" s="1">
        <v>1.4804532446930701E-7</v>
      </c>
      <c r="I17" s="1">
        <v>2.0795482034540101E-8</v>
      </c>
      <c r="K17">
        <v>0.2</v>
      </c>
      <c r="L17">
        <v>10</v>
      </c>
      <c r="M17" s="2">
        <f t="shared" ref="M17:M23" si="9">100*D17/(K17*5)</f>
        <v>119.49377392</v>
      </c>
      <c r="N17" s="3">
        <f t="shared" ref="N17:N23" si="10">1000000*E17*K17/(L17*D17)</f>
        <v>-0.18794404592467659</v>
      </c>
      <c r="O17" s="3">
        <f t="shared" ref="O17:O23" si="11">1000000*F17*K17/(D17*L17)</f>
        <v>-0.16223027441004417</v>
      </c>
      <c r="Q17" s="3">
        <f t="shared" ref="Q17:Q23" si="12">1000000*K17*H17/(L17*D17)</f>
        <v>2.4778751162118622E-3</v>
      </c>
      <c r="R17" s="3">
        <f t="shared" ref="R17:R23" si="13">1000000*K17*I17/(L17*D17)</f>
        <v>3.4805967461472076E-4</v>
      </c>
      <c r="S17" s="1">
        <f t="shared" ref="S17:S23" si="14">G17*100/D17</f>
        <v>3.5022300000368676E-4</v>
      </c>
      <c r="T17" s="3">
        <f t="shared" ref="T17:T23" si="15">Comode_std*K17/(L17*D17)</f>
        <v>1.6737273703808051E-3</v>
      </c>
      <c r="U17" s="3">
        <f t="shared" ref="U17:U23" si="16">Comode_std*K17/(L17*D17)</f>
        <v>1.6737273703808051E-3</v>
      </c>
      <c r="X17" s="3"/>
    </row>
    <row r="18" spans="1:30" x14ac:dyDescent="0.2">
      <c r="A18">
        <v>10</v>
      </c>
      <c r="D18">
        <v>1.0095587176</v>
      </c>
      <c r="E18" s="1">
        <v>-1.03871923333333E-5</v>
      </c>
      <c r="F18" s="1">
        <v>-8.2733919333333292E-6</v>
      </c>
      <c r="G18" s="1">
        <v>1.0039911873039101E-6</v>
      </c>
      <c r="H18" s="1">
        <v>1.2887426995159E-8</v>
      </c>
      <c r="I18" s="1">
        <v>3.30776920032554E-8</v>
      </c>
      <c r="J18" s="1"/>
      <c r="K18">
        <v>0.2</v>
      </c>
      <c r="L18">
        <v>10</v>
      </c>
      <c r="M18" s="2">
        <f t="shared" si="9"/>
        <v>100.95587176000001</v>
      </c>
      <c r="N18" s="3">
        <f t="shared" si="10"/>
        <v>-0.20577688354822046</v>
      </c>
      <c r="O18" s="3">
        <f t="shared" si="11"/>
        <v>-0.16390115382295875</v>
      </c>
      <c r="Q18" s="3">
        <f t="shared" si="12"/>
        <v>2.5530812166717703E-4</v>
      </c>
      <c r="R18" s="3">
        <f t="shared" si="13"/>
        <v>6.5529010698635163E-4</v>
      </c>
      <c r="S18" s="1">
        <f t="shared" si="14"/>
        <v>9.9448518427008829E-5</v>
      </c>
      <c r="T18" s="3">
        <f t="shared" si="15"/>
        <v>1.9810635727603373E-3</v>
      </c>
      <c r="U18" s="3">
        <f t="shared" si="16"/>
        <v>1.9810635727603373E-3</v>
      </c>
      <c r="X18" s="3"/>
    </row>
    <row r="19" spans="1:30" x14ac:dyDescent="0.2">
      <c r="A19">
        <v>11</v>
      </c>
      <c r="D19">
        <v>0.59647475315999998</v>
      </c>
      <c r="E19" s="1">
        <v>-8.3270701999999693E-6</v>
      </c>
      <c r="F19" s="1">
        <v>-4.4316804333333599E-6</v>
      </c>
      <c r="G19" s="1">
        <v>4.7077914186911001E-7</v>
      </c>
      <c r="H19" s="1">
        <v>1.9664765343122101E-9</v>
      </c>
      <c r="I19" s="1">
        <v>2.8294897021881501E-8</v>
      </c>
      <c r="J19" s="1"/>
      <c r="K19">
        <v>0.2</v>
      </c>
      <c r="L19">
        <v>10</v>
      </c>
      <c r="M19" s="2">
        <f t="shared" si="9"/>
        <v>59.647475315999998</v>
      </c>
      <c r="N19" s="3">
        <f t="shared" si="10"/>
        <v>-0.27920947721206546</v>
      </c>
      <c r="O19" s="3">
        <f t="shared" si="11"/>
        <v>-0.14859574222899571</v>
      </c>
      <c r="Q19" s="3">
        <f t="shared" si="12"/>
        <v>6.5936622594476096E-5</v>
      </c>
      <c r="R19" s="3">
        <f t="shared" si="13"/>
        <v>9.487374569327867E-4</v>
      </c>
      <c r="S19" s="1">
        <f t="shared" si="14"/>
        <v>7.8926918427816E-5</v>
      </c>
      <c r="T19" s="3">
        <f t="shared" si="15"/>
        <v>3.3530337862657453E-3</v>
      </c>
      <c r="U19" s="3">
        <f t="shared" si="16"/>
        <v>3.3530337862657453E-3</v>
      </c>
      <c r="X19" s="3"/>
    </row>
    <row r="20" spans="1:30" x14ac:dyDescent="0.2">
      <c r="A20">
        <v>12</v>
      </c>
      <c r="D20">
        <v>0.39966071413999998</v>
      </c>
      <c r="E20" s="1">
        <v>-6.3782731999999896E-6</v>
      </c>
      <c r="F20" s="1">
        <v>-2.93174043333332E-6</v>
      </c>
      <c r="G20" s="1">
        <v>6.9773216095290104E-7</v>
      </c>
      <c r="H20" s="1">
        <v>5.9331686574375997E-8</v>
      </c>
      <c r="I20" s="1">
        <v>5.8133628037584298E-8</v>
      </c>
      <c r="J20" s="1"/>
      <c r="K20">
        <v>0.2</v>
      </c>
      <c r="L20">
        <v>10</v>
      </c>
      <c r="M20" s="2">
        <f>100*D20/(K20*5)</f>
        <v>39.966071413999998</v>
      </c>
      <c r="N20" s="3">
        <f>1000000*E20*K20/(L20*D20)</f>
        <v>-0.31918439688148587</v>
      </c>
      <c r="O20" s="3">
        <f>1000000*F20*K20/(D20*L20)</f>
        <v>-0.14671146448016104</v>
      </c>
      <c r="Q20" s="3">
        <f>1000000*K20*H20/(L20*D20)</f>
        <v>2.9691027651815825E-3</v>
      </c>
      <c r="R20" s="3">
        <f>1000000*K20*I20/(L20*D20)</f>
        <v>2.9091489846670422E-3</v>
      </c>
      <c r="S20" s="1">
        <f t="shared" si="14"/>
        <v>1.7458112250394656E-4</v>
      </c>
      <c r="T20" s="3">
        <f t="shared" si="15"/>
        <v>5.0042446736443709E-3</v>
      </c>
      <c r="U20" s="3">
        <f t="shared" si="16"/>
        <v>5.0042446736443709E-3</v>
      </c>
      <c r="X20" s="3"/>
    </row>
    <row r="21" spans="1:30" x14ac:dyDescent="0.2">
      <c r="A21">
        <v>13</v>
      </c>
      <c r="D21">
        <v>0.19609880188000001</v>
      </c>
      <c r="E21" s="1">
        <v>-3.73511323333333E-6</v>
      </c>
      <c r="F21" s="1">
        <v>-1.35512406666666E-6</v>
      </c>
      <c r="G21" s="1">
        <v>1.6464711971776501E-7</v>
      </c>
      <c r="H21" s="1">
        <v>7.0400547927878795E-8</v>
      </c>
      <c r="I21" s="1">
        <v>7.9950890639997604E-8</v>
      </c>
      <c r="J21" s="1"/>
      <c r="K21">
        <v>0.2</v>
      </c>
      <c r="L21">
        <v>10</v>
      </c>
      <c r="M21" s="2">
        <f t="shared" si="9"/>
        <v>19.609880188000002</v>
      </c>
      <c r="N21" s="3">
        <f t="shared" si="10"/>
        <v>-0.38094197389527978</v>
      </c>
      <c r="O21" s="3">
        <f t="shared" si="11"/>
        <v>-0.13820829639702845</v>
      </c>
      <c r="Q21" s="3">
        <f t="shared" si="12"/>
        <v>7.1801099499791384E-3</v>
      </c>
      <c r="R21" s="3">
        <f t="shared" si="13"/>
        <v>8.1541437146487473E-3</v>
      </c>
      <c r="S21" s="1">
        <f t="shared" si="14"/>
        <v>8.3961308350327698E-5</v>
      </c>
      <c r="T21" s="3">
        <f t="shared" si="15"/>
        <v>1.019894043628004E-2</v>
      </c>
      <c r="U21" s="3">
        <f t="shared" si="16"/>
        <v>1.019894043628004E-2</v>
      </c>
      <c r="X21" s="3"/>
    </row>
    <row r="22" spans="1:30" x14ac:dyDescent="0.2">
      <c r="A22">
        <v>14</v>
      </c>
      <c r="D22">
        <v>0.10887478082</v>
      </c>
      <c r="E22" s="1">
        <v>-2.1978718999999999E-6</v>
      </c>
      <c r="F22" s="1">
        <v>-6.7897431333333295E-7</v>
      </c>
      <c r="G22" s="1">
        <v>6.3074156839064997E-8</v>
      </c>
      <c r="H22" s="1">
        <v>1.3748499280790599E-7</v>
      </c>
      <c r="I22" s="1">
        <v>7.0626849392671804E-8</v>
      </c>
      <c r="J22" s="1"/>
      <c r="K22">
        <v>0.2</v>
      </c>
      <c r="L22">
        <v>10</v>
      </c>
      <c r="M22" s="2">
        <f t="shared" si="9"/>
        <v>10.887478081999999</v>
      </c>
      <c r="N22" s="3">
        <f t="shared" si="10"/>
        <v>-0.40374306766847834</v>
      </c>
      <c r="O22" s="36">
        <f t="shared" si="11"/>
        <v>-0.12472572770655944</v>
      </c>
      <c r="P22" t="s">
        <v>267</v>
      </c>
      <c r="Q22" s="3">
        <f t="shared" si="12"/>
        <v>2.5255617834070605E-2</v>
      </c>
      <c r="R22" s="3">
        <f t="shared" si="13"/>
        <v>1.2973959416632479E-2</v>
      </c>
      <c r="S22" s="1">
        <f t="shared" si="14"/>
        <v>5.7932752069870017E-5</v>
      </c>
      <c r="T22" s="3">
        <f t="shared" si="15"/>
        <v>1.8369726992209071E-2</v>
      </c>
      <c r="U22" s="3">
        <f t="shared" si="16"/>
        <v>1.8369726992209071E-2</v>
      </c>
      <c r="X22" s="3"/>
    </row>
    <row r="23" spans="1:30" x14ac:dyDescent="0.2">
      <c r="A23">
        <v>15</v>
      </c>
      <c r="D23">
        <v>1.1959413383999999</v>
      </c>
      <c r="E23" s="1">
        <v>-1.1152458666666701E-5</v>
      </c>
      <c r="F23" s="1">
        <v>-9.6869797333333496E-6</v>
      </c>
      <c r="G23" s="1">
        <v>4.0827870800940103E-6</v>
      </c>
      <c r="H23" s="1">
        <v>5.3834922601927798E-8</v>
      </c>
      <c r="I23" s="1">
        <v>7.7854207719013099E-9</v>
      </c>
      <c r="J23" s="1"/>
      <c r="K23">
        <v>0.2</v>
      </c>
      <c r="L23">
        <v>10</v>
      </c>
      <c r="M23" s="2">
        <f t="shared" si="9"/>
        <v>119.59413384</v>
      </c>
      <c r="N23" s="3">
        <f t="shared" si="10"/>
        <v>-0.18650511205820697</v>
      </c>
      <c r="O23" s="3">
        <f t="shared" si="11"/>
        <v>-0.16199757333069792</v>
      </c>
      <c r="Q23" s="3">
        <f t="shared" si="12"/>
        <v>9.0029369958816369E-4</v>
      </c>
      <c r="R23" s="3">
        <f t="shared" si="13"/>
        <v>1.3019736874915789E-4</v>
      </c>
      <c r="S23" s="1">
        <f t="shared" si="14"/>
        <v>3.4138690159805002E-4</v>
      </c>
      <c r="T23" s="3">
        <f t="shared" si="15"/>
        <v>1.6723228270340727E-3</v>
      </c>
      <c r="U23" s="3">
        <f t="shared" si="16"/>
        <v>1.6723228270340727E-3</v>
      </c>
      <c r="X23" s="3"/>
    </row>
    <row r="24" spans="1:30" x14ac:dyDescent="0.2">
      <c r="A24">
        <v>16</v>
      </c>
    </row>
    <row r="25" spans="1:30" x14ac:dyDescent="0.2">
      <c r="A25">
        <v>17</v>
      </c>
    </row>
    <row r="26" spans="1:30" x14ac:dyDescent="0.2">
      <c r="A26">
        <v>18</v>
      </c>
      <c r="B26" s="9">
        <v>36537</v>
      </c>
      <c r="C26" s="9" t="s">
        <v>36</v>
      </c>
      <c r="D26" s="7">
        <v>1.1938802714000001</v>
      </c>
      <c r="E26" s="10">
        <v>-2.1064715999999999E-5</v>
      </c>
      <c r="F26" s="10">
        <v>-1.1238568333333299E-5</v>
      </c>
      <c r="G26" s="10">
        <v>1.31693663440151E-5</v>
      </c>
      <c r="H26" s="10">
        <v>1.9736821240709799E-6</v>
      </c>
      <c r="I26" s="10">
        <v>3.4765856712761099E-7</v>
      </c>
      <c r="J26" s="7"/>
      <c r="K26" s="7">
        <v>0.2</v>
      </c>
      <c r="L26" s="7">
        <v>10</v>
      </c>
      <c r="M26" s="11">
        <f t="shared" ref="M26:M31" si="17">100*D26/(K26*5)</f>
        <v>119.38802714000001</v>
      </c>
      <c r="N26" s="12">
        <f t="shared" ref="N26:N31" si="18">1000000*E26*K26/(L26*D26)</f>
        <v>-0.35287819900564271</v>
      </c>
      <c r="O26" s="12">
        <f t="shared" ref="O26:O31" si="19">1000000*F26*K26/(D26*L26)</f>
        <v>-0.18826960462550282</v>
      </c>
      <c r="P26" s="7"/>
      <c r="Q26" s="12">
        <f t="shared" ref="Q26:Q31" si="20">1000000*K26*H26/(L26*D26)</f>
        <v>3.3063317509326916E-2</v>
      </c>
      <c r="R26" s="12">
        <f t="shared" ref="R26:R31" si="21">1000000*K26*I26/(L26*D26)</f>
        <v>5.8240105889333475E-3</v>
      </c>
      <c r="S26" s="10">
        <f t="shared" ref="S26:S31" si="22">G26*100/D26</f>
        <v>1.1030726161989496E-3</v>
      </c>
    </row>
    <row r="27" spans="1:30" x14ac:dyDescent="0.2">
      <c r="A27">
        <v>19</v>
      </c>
      <c r="B27" s="7"/>
      <c r="C27" s="7" t="s">
        <v>37</v>
      </c>
      <c r="D27" s="7">
        <v>1.0009681122</v>
      </c>
      <c r="E27" s="10">
        <v>-1.3851488333333299E-5</v>
      </c>
      <c r="F27" s="10">
        <v>-9.0913221000000599E-6</v>
      </c>
      <c r="G27" s="10">
        <v>4.0201492142324697E-6</v>
      </c>
      <c r="H27" s="10">
        <v>4.1886812741468999E-7</v>
      </c>
      <c r="I27" s="10">
        <v>4.2549208836240298E-8</v>
      </c>
      <c r="J27" s="7"/>
      <c r="K27" s="7">
        <v>0.2</v>
      </c>
      <c r="L27" s="7">
        <v>10</v>
      </c>
      <c r="M27" s="11">
        <f t="shared" si="17"/>
        <v>100.09681122000001</v>
      </c>
      <c r="N27" s="12">
        <f t="shared" si="18"/>
        <v>-0.27676183016239148</v>
      </c>
      <c r="O27" s="12">
        <f t="shared" si="19"/>
        <v>-0.18165058385363536</v>
      </c>
      <c r="P27" s="7"/>
      <c r="Q27" s="12">
        <f t="shared" si="20"/>
        <v>8.3692601654226807E-3</v>
      </c>
      <c r="R27" s="12">
        <f t="shared" si="21"/>
        <v>8.5016112536737208E-4</v>
      </c>
      <c r="S27" s="10">
        <f t="shared" si="22"/>
        <v>4.0162610229377792E-4</v>
      </c>
    </row>
    <row r="28" spans="1:30" x14ac:dyDescent="0.2">
      <c r="A28">
        <v>20</v>
      </c>
      <c r="B28" s="7"/>
      <c r="C28" s="7" t="s">
        <v>38</v>
      </c>
      <c r="D28" s="7">
        <v>0.59698639923999997</v>
      </c>
      <c r="E28" s="10">
        <v>-9.2955788666666503E-6</v>
      </c>
      <c r="F28" s="10">
        <v>-5.3240515000000104E-6</v>
      </c>
      <c r="G28" s="10">
        <v>5.8232548131543403E-7</v>
      </c>
      <c r="H28" s="10">
        <v>5.7296202259680599E-8</v>
      </c>
      <c r="I28" s="10">
        <v>7.9567937471174105E-8</v>
      </c>
      <c r="J28" s="7"/>
      <c r="K28" s="7">
        <v>0.2</v>
      </c>
      <c r="L28" s="7">
        <v>10</v>
      </c>
      <c r="M28" s="11">
        <f t="shared" si="17"/>
        <v>59.698639923999998</v>
      </c>
      <c r="N28" s="12">
        <f t="shared" si="18"/>
        <v>-0.31141677192312883</v>
      </c>
      <c r="O28" s="12">
        <f t="shared" si="19"/>
        <v>-0.17836424772081413</v>
      </c>
      <c r="P28" s="7"/>
      <c r="Q28" s="12">
        <f t="shared" si="20"/>
        <v>1.919514492545296E-3</v>
      </c>
      <c r="R28" s="12">
        <f t="shared" si="21"/>
        <v>2.6656532735911211E-3</v>
      </c>
      <c r="S28" s="10">
        <f t="shared" si="22"/>
        <v>9.7544178905377044E-5</v>
      </c>
    </row>
    <row r="29" spans="1:30" x14ac:dyDescent="0.2">
      <c r="A29">
        <v>21</v>
      </c>
      <c r="B29" s="7"/>
      <c r="C29" s="7"/>
      <c r="D29" s="7">
        <v>0.39969355924</v>
      </c>
      <c r="E29" s="10">
        <v>-7.3407099999999802E-6</v>
      </c>
      <c r="F29" s="10">
        <v>-3.3902587666666599E-6</v>
      </c>
      <c r="G29" s="10">
        <v>2.0270307983513601E-7</v>
      </c>
      <c r="H29" s="10">
        <v>2.1175823681357499E-20</v>
      </c>
      <c r="I29" s="10">
        <v>2.9121089973113899E-9</v>
      </c>
      <c r="J29" s="7"/>
      <c r="K29" s="7">
        <v>0.2</v>
      </c>
      <c r="L29" s="7">
        <v>10</v>
      </c>
      <c r="M29" s="11">
        <f t="shared" si="17"/>
        <v>39.969355923999998</v>
      </c>
      <c r="N29" s="12">
        <f t="shared" si="18"/>
        <v>-0.36731690217665869</v>
      </c>
      <c r="O29" s="12">
        <f t="shared" si="19"/>
        <v>-0.16964290208294025</v>
      </c>
      <c r="P29" s="7"/>
      <c r="Q29" s="12">
        <f t="shared" si="20"/>
        <v>1.0596029478995065E-15</v>
      </c>
      <c r="R29" s="12">
        <f t="shared" si="21"/>
        <v>1.4571708400048475E-4</v>
      </c>
      <c r="S29" s="10">
        <f t="shared" si="22"/>
        <v>5.0714622527460072E-5</v>
      </c>
    </row>
    <row r="30" spans="1:30" x14ac:dyDescent="0.2">
      <c r="A30">
        <v>22</v>
      </c>
      <c r="B30" s="7"/>
      <c r="C30" s="7"/>
      <c r="D30" s="7">
        <v>0.19927772235999999</v>
      </c>
      <c r="E30" s="10">
        <v>-4.1725999333333296E-6</v>
      </c>
      <c r="F30" s="10">
        <v>-1.5562785E-6</v>
      </c>
      <c r="G30" s="10">
        <v>1.8146316723078899E-7</v>
      </c>
      <c r="H30" s="10">
        <v>1.9650764327685101E-8</v>
      </c>
      <c r="I30" s="10">
        <v>1.04067380422894E-7</v>
      </c>
      <c r="J30" s="7"/>
      <c r="K30" s="7">
        <v>0.2</v>
      </c>
      <c r="L30" s="7">
        <v>10</v>
      </c>
      <c r="M30" s="11">
        <f t="shared" si="17"/>
        <v>19.927772235999999</v>
      </c>
      <c r="N30" s="12">
        <f t="shared" si="18"/>
        <v>-0.41877234283071818</v>
      </c>
      <c r="O30" s="12">
        <f t="shared" si="19"/>
        <v>-0.15619191965557952</v>
      </c>
      <c r="P30" s="7"/>
      <c r="Q30" s="12">
        <f t="shared" si="20"/>
        <v>1.9721988082727604E-3</v>
      </c>
      <c r="R30" s="12">
        <f t="shared" si="21"/>
        <v>1.0444457031167165E-2</v>
      </c>
      <c r="S30" s="10">
        <f t="shared" si="22"/>
        <v>9.1060438207423607E-5</v>
      </c>
    </row>
    <row r="31" spans="1:30" x14ac:dyDescent="0.2">
      <c r="A31">
        <v>23</v>
      </c>
      <c r="B31" s="7"/>
      <c r="C31" s="7"/>
      <c r="D31" s="7">
        <v>9.9761947798000003E-2</v>
      </c>
      <c r="E31" s="10">
        <v>-2.3290110000000002E-6</v>
      </c>
      <c r="F31" s="10">
        <v>-6.9406421333332996E-7</v>
      </c>
      <c r="G31" s="10">
        <v>9.3678892696959203E-8</v>
      </c>
      <c r="H31" s="10">
        <v>9.6757728588814296E-8</v>
      </c>
      <c r="I31" s="10">
        <v>7.7102568578802395E-9</v>
      </c>
      <c r="J31" s="7"/>
      <c r="K31" s="7">
        <v>0.2</v>
      </c>
      <c r="L31" s="7">
        <v>10</v>
      </c>
      <c r="M31" s="11">
        <f t="shared" si="17"/>
        <v>9.9761947798000001</v>
      </c>
      <c r="N31" s="12">
        <f t="shared" si="18"/>
        <v>-0.4669136983403388</v>
      </c>
      <c r="O31" s="12">
        <f t="shared" si="19"/>
        <v>-0.13914407820879462</v>
      </c>
      <c r="P31" s="7"/>
      <c r="Q31" s="12">
        <f t="shared" si="20"/>
        <v>1.9397722423128965E-2</v>
      </c>
      <c r="R31" s="12">
        <f t="shared" si="21"/>
        <v>1.5457310183021131E-3</v>
      </c>
      <c r="S31" s="10">
        <f t="shared" si="22"/>
        <v>9.3902429498110955E-5</v>
      </c>
    </row>
    <row r="32" spans="1:30" x14ac:dyDescent="0.2">
      <c r="A32">
        <v>24</v>
      </c>
      <c r="E32" s="1"/>
      <c r="F32" s="1"/>
      <c r="G32" s="1"/>
      <c r="H32" s="1"/>
      <c r="I32" s="1"/>
      <c r="M32" s="2"/>
      <c r="N32" s="3"/>
      <c r="O32" s="3"/>
      <c r="Q32" s="3"/>
      <c r="R32" s="3"/>
      <c r="S32" s="1"/>
      <c r="W32" s="64" t="s">
        <v>259</v>
      </c>
      <c r="X32" s="64"/>
      <c r="Y32" s="308" t="s">
        <v>266</v>
      </c>
      <c r="Z32" s="308"/>
      <c r="AA32" s="308"/>
      <c r="AB32" s="308"/>
      <c r="AC32" s="308"/>
      <c r="AD32" s="308"/>
    </row>
    <row r="33" spans="1:30" x14ac:dyDescent="0.2">
      <c r="A33">
        <v>25</v>
      </c>
      <c r="D33" s="8"/>
      <c r="W33" s="33" t="s">
        <v>5</v>
      </c>
      <c r="X33" s="33" t="s">
        <v>6</v>
      </c>
      <c r="Y33" s="34" t="s">
        <v>260</v>
      </c>
      <c r="Z33" s="34" t="s">
        <v>261</v>
      </c>
      <c r="AA33" s="34" t="s">
        <v>262</v>
      </c>
      <c r="AB33" s="34" t="s">
        <v>263</v>
      </c>
      <c r="AC33" s="34" t="s">
        <v>264</v>
      </c>
      <c r="AD33" s="34" t="s">
        <v>265</v>
      </c>
    </row>
    <row r="34" spans="1:30" x14ac:dyDescent="0.2">
      <c r="A34">
        <v>26</v>
      </c>
      <c r="B34" s="4">
        <v>36537</v>
      </c>
      <c r="C34" s="4" t="s">
        <v>39</v>
      </c>
      <c r="D34">
        <v>1.1927891420000001</v>
      </c>
      <c r="E34" s="1">
        <v>-1.1114524666666599E-5</v>
      </c>
      <c r="F34" s="1">
        <v>-9.6954390000000106E-6</v>
      </c>
      <c r="G34" s="1">
        <v>2.64870321797688E-6</v>
      </c>
      <c r="H34" s="1">
        <v>8.0448812244529095E-8</v>
      </c>
      <c r="I34" s="1">
        <v>2.8949049040224499E-8</v>
      </c>
      <c r="J34" s="1"/>
      <c r="K34">
        <v>0.2</v>
      </c>
      <c r="L34">
        <v>10</v>
      </c>
      <c r="M34" s="2">
        <f t="shared" ref="M34:M39" si="23">100*D34/(K34*5)</f>
        <v>119.2789142</v>
      </c>
      <c r="N34" s="3">
        <f t="shared" ref="N34:N39" si="24">1000000*E34*K34/(L34*D34)</f>
        <v>-0.18636193565663087</v>
      </c>
      <c r="O34" s="3">
        <f t="shared" ref="O34:O39" si="25">1000000*F34*K34/(D34*L34)</f>
        <v>-0.16256752612189707</v>
      </c>
      <c r="Q34" s="3">
        <f t="shared" ref="Q34:Q39" si="26">1000000*K34*H34/(L34*D34)</f>
        <v>1.3489192584304911E-3</v>
      </c>
      <c r="R34" s="3">
        <f t="shared" ref="R34:R39" si="27">1000000*K34*I34/(L34*D34)</f>
        <v>4.8540094843057342E-4</v>
      </c>
      <c r="S34" s="1">
        <f t="shared" ref="S34:S39" si="28">G34*100/D34</f>
        <v>2.2205963524581446E-4</v>
      </c>
      <c r="T34" s="3" t="e">
        <f t="shared" ref="T34:T39" si="29">Noise_std*K34/(L34*D34)</f>
        <v>#NAME?</v>
      </c>
      <c r="U34" s="3" t="e">
        <f t="shared" ref="U34:U39" si="30">Noise_std*K34/(L34*D34)</f>
        <v>#NAME?</v>
      </c>
      <c r="W34" s="26">
        <f t="shared" ref="W34:X39" si="31">(N34+N17+N9)/3</f>
        <v>-0.18944697276861824</v>
      </c>
      <c r="X34" s="26">
        <f t="shared" si="31"/>
        <v>-0.16269231350985977</v>
      </c>
      <c r="Y34" s="3">
        <f t="shared" ref="Y34:Y39" si="32">N34-W34</f>
        <v>3.0850371119873765E-3</v>
      </c>
      <c r="Z34" s="3">
        <f t="shared" ref="Z34:Z39" si="33">W34-N17</f>
        <v>-1.5029268439416543E-3</v>
      </c>
      <c r="AA34" s="3">
        <f t="shared" ref="AA34:AA39" si="34">W34-N9</f>
        <v>4.5879639559291141E-3</v>
      </c>
      <c r="AB34" s="3">
        <f t="shared" ref="AB34:AB39" si="35">Q34-Z34</f>
        <v>2.8518461023721454E-3</v>
      </c>
      <c r="AC34" s="3">
        <f t="shared" ref="AC34:AC39" si="36">Z34-Q17</f>
        <v>-3.9808019601535165E-3</v>
      </c>
      <c r="AD34" s="3">
        <f t="shared" ref="AD34:AD39" si="37">Z34-Q9</f>
        <v>-5.7067881641323518E-3</v>
      </c>
    </row>
    <row r="35" spans="1:30" x14ac:dyDescent="0.2">
      <c r="A35">
        <v>27</v>
      </c>
      <c r="C35" t="s">
        <v>40</v>
      </c>
      <c r="D35">
        <v>1.0035614548</v>
      </c>
      <c r="E35" s="1">
        <v>-1.0381204666666699E-5</v>
      </c>
      <c r="F35" s="1">
        <v>-8.2867190999999899E-6</v>
      </c>
      <c r="G35" s="1">
        <v>2.3278342633463999E-7</v>
      </c>
      <c r="H35" s="1">
        <v>3.6049657726838898E-9</v>
      </c>
      <c r="I35" s="1">
        <v>2.9448284935911899E-9</v>
      </c>
      <c r="J35" s="1"/>
      <c r="K35">
        <v>0.2</v>
      </c>
      <c r="L35">
        <v>10</v>
      </c>
      <c r="M35" s="2">
        <f t="shared" si="23"/>
        <v>100.35614548000001</v>
      </c>
      <c r="N35" s="3">
        <f t="shared" si="24"/>
        <v>-0.20688727365950044</v>
      </c>
      <c r="O35" s="3">
        <f t="shared" si="25"/>
        <v>-0.165146221197813</v>
      </c>
      <c r="Q35" s="3">
        <f t="shared" si="26"/>
        <v>7.1843448260023592E-5</v>
      </c>
      <c r="R35" s="3">
        <f t="shared" si="27"/>
        <v>5.8687556790990256E-5</v>
      </c>
      <c r="S35" s="1">
        <f t="shared" si="28"/>
        <v>2.3195732082100687E-5</v>
      </c>
      <c r="T35" s="3" t="e">
        <f t="shared" si="29"/>
        <v>#NAME?</v>
      </c>
      <c r="U35" s="3" t="e">
        <f t="shared" si="30"/>
        <v>#NAME?</v>
      </c>
      <c r="W35" s="26">
        <f t="shared" si="31"/>
        <v>-0.20698147305373915</v>
      </c>
      <c r="X35" s="26">
        <f t="shared" si="31"/>
        <v>-0.16478614138884029</v>
      </c>
      <c r="Y35" s="3">
        <f t="shared" si="32"/>
        <v>9.4199394238714262E-5</v>
      </c>
      <c r="Z35" s="3">
        <f t="shared" si="33"/>
        <v>-1.2045895055186884E-3</v>
      </c>
      <c r="AA35" s="3">
        <f t="shared" si="34"/>
        <v>1.2987888997574026E-3</v>
      </c>
      <c r="AB35" s="3">
        <f t="shared" si="35"/>
        <v>1.2764329537787119E-3</v>
      </c>
      <c r="AC35" s="3">
        <f t="shared" si="36"/>
        <v>-1.4598976271858655E-3</v>
      </c>
      <c r="AD35" s="3">
        <f t="shared" si="37"/>
        <v>-1.8155950875908375E-3</v>
      </c>
    </row>
    <row r="36" spans="1:30" x14ac:dyDescent="0.2">
      <c r="A36">
        <v>28</v>
      </c>
      <c r="C36" t="s">
        <v>41</v>
      </c>
      <c r="D36">
        <v>0.59881596995999997</v>
      </c>
      <c r="E36" s="1">
        <v>-8.3081953333333103E-6</v>
      </c>
      <c r="F36" s="1">
        <v>-4.4688729333333401E-6</v>
      </c>
      <c r="G36" s="1">
        <v>6.3503531934908405E-7</v>
      </c>
      <c r="H36" s="1">
        <v>5.1641235334651697E-8</v>
      </c>
      <c r="I36" s="1">
        <v>4.0092823007726602E-8</v>
      </c>
      <c r="J36" s="1"/>
      <c r="K36">
        <v>0.2</v>
      </c>
      <c r="L36">
        <v>10</v>
      </c>
      <c r="M36" s="2">
        <f t="shared" si="23"/>
        <v>59.881596995999999</v>
      </c>
      <c r="N36" s="3">
        <f t="shared" si="24"/>
        <v>-0.27748743353949917</v>
      </c>
      <c r="O36" s="3">
        <f t="shared" si="25"/>
        <v>-0.14925697234266666</v>
      </c>
      <c r="Q36" s="3">
        <f t="shared" si="26"/>
        <v>1.7247781597441786E-3</v>
      </c>
      <c r="R36" s="3">
        <f t="shared" si="27"/>
        <v>1.3390699319660679E-3</v>
      </c>
      <c r="S36" s="1">
        <f t="shared" si="28"/>
        <v>1.0604849422962176E-4</v>
      </c>
      <c r="T36" s="3" t="e">
        <f t="shared" si="29"/>
        <v>#NAME?</v>
      </c>
      <c r="U36" s="3" t="e">
        <f t="shared" si="30"/>
        <v>#NAME?</v>
      </c>
      <c r="W36" s="26">
        <f t="shared" si="31"/>
        <v>-0.27802888037968915</v>
      </c>
      <c r="X36" s="26">
        <f t="shared" si="31"/>
        <v>-0.14980556511576051</v>
      </c>
      <c r="Y36" s="3">
        <f t="shared" si="32"/>
        <v>5.4144684018997413E-4</v>
      </c>
      <c r="Z36" s="3">
        <f t="shared" si="33"/>
        <v>1.1805968323763127E-3</v>
      </c>
      <c r="AA36" s="3">
        <f t="shared" si="34"/>
        <v>-6.391499921862831E-4</v>
      </c>
      <c r="AB36" s="3">
        <f t="shared" si="35"/>
        <v>5.4418132736786581E-4</v>
      </c>
      <c r="AC36" s="3">
        <f t="shared" si="36"/>
        <v>1.1146602097818366E-3</v>
      </c>
      <c r="AD36" s="3">
        <f t="shared" si="37"/>
        <v>4.789937839385272E-4</v>
      </c>
    </row>
    <row r="37" spans="1:30" x14ac:dyDescent="0.2">
      <c r="A37">
        <v>29</v>
      </c>
      <c r="C37" t="s">
        <v>65</v>
      </c>
      <c r="D37">
        <v>0.39952894160000002</v>
      </c>
      <c r="E37" s="1">
        <v>-6.3514814666666704E-6</v>
      </c>
      <c r="F37" s="1">
        <v>-2.91216639999998E-6</v>
      </c>
      <c r="G37" s="1">
        <v>4.9602342703750202E-7</v>
      </c>
      <c r="H37" s="1">
        <v>1.3963455226013701E-8</v>
      </c>
      <c r="I37" s="1">
        <v>9.8260072296466194E-8</v>
      </c>
      <c r="J37" s="1"/>
      <c r="K37">
        <v>0.2</v>
      </c>
      <c r="L37">
        <v>10</v>
      </c>
      <c r="M37" s="2">
        <f t="shared" si="23"/>
        <v>39.95289416</v>
      </c>
      <c r="N37" s="3">
        <f t="shared" si="24"/>
        <v>-0.31794850411741338</v>
      </c>
      <c r="O37" s="3">
        <f t="shared" si="25"/>
        <v>-0.14577999723061763</v>
      </c>
      <c r="Q37" s="3">
        <f t="shared" si="26"/>
        <v>6.9899593106291741E-4</v>
      </c>
      <c r="R37" s="3">
        <f t="shared" si="27"/>
        <v>4.918796215511321E-3</v>
      </c>
      <c r="S37" s="1">
        <f t="shared" si="28"/>
        <v>1.2415206394086721E-4</v>
      </c>
      <c r="T37" s="3" t="e">
        <f t="shared" si="29"/>
        <v>#NAME?</v>
      </c>
      <c r="U37" s="3" t="e">
        <f t="shared" si="30"/>
        <v>#NAME?</v>
      </c>
      <c r="W37" s="26">
        <f t="shared" si="31"/>
        <v>-0.31845125469196006</v>
      </c>
      <c r="X37" s="26">
        <f t="shared" si="31"/>
        <v>-0.14685450175998668</v>
      </c>
      <c r="Y37" s="3">
        <f t="shared" si="32"/>
        <v>5.0275057454668426E-4</v>
      </c>
      <c r="Z37" s="3">
        <f t="shared" si="33"/>
        <v>7.331421895258039E-4</v>
      </c>
      <c r="AA37" s="3">
        <f t="shared" si="34"/>
        <v>-2.3039161497917515E-4</v>
      </c>
      <c r="AB37" s="3">
        <f t="shared" si="35"/>
        <v>-3.4146258462886491E-5</v>
      </c>
      <c r="AC37" s="3">
        <f t="shared" si="36"/>
        <v>-2.2359605756557786E-3</v>
      </c>
      <c r="AD37" s="3">
        <f t="shared" si="37"/>
        <v>-2.0355514083413846E-3</v>
      </c>
    </row>
    <row r="38" spans="1:30" x14ac:dyDescent="0.2">
      <c r="A38">
        <v>30</v>
      </c>
      <c r="C38" t="s">
        <v>66</v>
      </c>
      <c r="D38">
        <v>0.20410588654</v>
      </c>
      <c r="E38" s="1">
        <v>-3.80751443333333E-6</v>
      </c>
      <c r="F38" s="1">
        <v>-1.39084636666666E-6</v>
      </c>
      <c r="G38" s="1">
        <v>1.6907350706666701E-7</v>
      </c>
      <c r="H38" s="1">
        <v>9.9817376916825306E-9</v>
      </c>
      <c r="I38" s="1">
        <v>1.46563328678158E-8</v>
      </c>
      <c r="J38" s="1"/>
      <c r="K38">
        <v>0.2</v>
      </c>
      <c r="L38">
        <v>10</v>
      </c>
      <c r="M38" s="2">
        <f t="shared" si="23"/>
        <v>20.410588654000001</v>
      </c>
      <c r="N38" s="3">
        <f t="shared" si="24"/>
        <v>-0.37309207469497901</v>
      </c>
      <c r="O38" s="3">
        <f t="shared" si="25"/>
        <v>-0.1362867470648953</v>
      </c>
      <c r="Q38" s="3">
        <f t="shared" si="26"/>
        <v>9.7809405313024553E-4</v>
      </c>
      <c r="R38" s="3">
        <f t="shared" si="27"/>
        <v>1.4361499431760384E-3</v>
      </c>
      <c r="S38" s="1">
        <f t="shared" si="28"/>
        <v>8.2836173876608171E-5</v>
      </c>
      <c r="T38" s="3" t="e">
        <f t="shared" si="29"/>
        <v>#NAME?</v>
      </c>
      <c r="U38" s="3" t="e">
        <f t="shared" si="30"/>
        <v>#NAME?</v>
      </c>
      <c r="W38" s="26">
        <f t="shared" si="31"/>
        <v>-0.37807107323103262</v>
      </c>
      <c r="X38" s="26">
        <f t="shared" si="31"/>
        <v>-0.13784848453585552</v>
      </c>
      <c r="Y38" s="3">
        <f t="shared" si="32"/>
        <v>4.9789985360536027E-3</v>
      </c>
      <c r="Z38" s="3">
        <f t="shared" si="33"/>
        <v>2.8709006642471668E-3</v>
      </c>
      <c r="AA38" s="3">
        <f t="shared" si="34"/>
        <v>2.1080978718063803E-3</v>
      </c>
      <c r="AB38" s="3">
        <f t="shared" si="35"/>
        <v>-1.8928066111169213E-3</v>
      </c>
      <c r="AC38" s="3">
        <f t="shared" si="36"/>
        <v>-4.3092092857319715E-3</v>
      </c>
      <c r="AD38" s="3">
        <f t="shared" si="37"/>
        <v>2.7606536885495217E-3</v>
      </c>
    </row>
    <row r="39" spans="1:30" x14ac:dyDescent="0.2">
      <c r="A39">
        <v>31</v>
      </c>
      <c r="D39">
        <v>0.10018823012</v>
      </c>
      <c r="E39" s="1">
        <v>-2.0617458333333301E-6</v>
      </c>
      <c r="F39" s="1">
        <v>-6.7352166333333003E-7</v>
      </c>
      <c r="G39" s="1">
        <v>7.4268264924922793E-8</v>
      </c>
      <c r="H39" s="1">
        <v>3.68011668787674E-8</v>
      </c>
      <c r="I39" s="1">
        <v>1.5927364808299502E-8</v>
      </c>
      <c r="J39" s="1"/>
      <c r="K39">
        <v>0.2</v>
      </c>
      <c r="L39">
        <v>10</v>
      </c>
      <c r="M39" s="2">
        <f t="shared" si="23"/>
        <v>10.018823012</v>
      </c>
      <c r="N39" s="3">
        <f t="shared" si="24"/>
        <v>-0.41157445956753275</v>
      </c>
      <c r="O39" s="3">
        <f t="shared" si="25"/>
        <v>-0.13445125490821078</v>
      </c>
      <c r="Q39" s="3">
        <f t="shared" si="26"/>
        <v>7.3464052283764214E-3</v>
      </c>
      <c r="R39" s="3">
        <f t="shared" si="27"/>
        <v>3.1794882071921166E-3</v>
      </c>
      <c r="S39" s="1">
        <f t="shared" si="28"/>
        <v>7.4128732323116515E-5</v>
      </c>
      <c r="T39" s="3" t="e">
        <f t="shared" si="29"/>
        <v>#NAME?</v>
      </c>
      <c r="U39" s="3" t="e">
        <f t="shared" si="30"/>
        <v>#NAME?</v>
      </c>
      <c r="W39" s="26">
        <f t="shared" si="31"/>
        <v>-0.40821810945529879</v>
      </c>
      <c r="X39" s="26">
        <f t="shared" si="31"/>
        <v>-0.13081474417817321</v>
      </c>
      <c r="Y39" s="3">
        <f t="shared" si="32"/>
        <v>-3.3563501122339523E-3</v>
      </c>
      <c r="Z39" s="3">
        <f t="shared" si="33"/>
        <v>-4.4750417868204551E-3</v>
      </c>
      <c r="AA39" s="3">
        <f t="shared" si="34"/>
        <v>1.1186916745864472E-3</v>
      </c>
      <c r="AB39" s="35">
        <f t="shared" si="35"/>
        <v>1.1821447015196877E-2</v>
      </c>
      <c r="AC39" s="35">
        <f t="shared" si="36"/>
        <v>-2.973065962089106E-2</v>
      </c>
      <c r="AD39" s="35">
        <f t="shared" si="37"/>
        <v>-1.7621474647332051E-2</v>
      </c>
    </row>
    <row r="40" spans="1:30" x14ac:dyDescent="0.2">
      <c r="A40">
        <v>32</v>
      </c>
      <c r="W40" s="26"/>
      <c r="X40" s="26"/>
      <c r="Y40">
        <f>SUMSQ(Y34:Y39)</f>
        <v>4.6127762827089867E-5</v>
      </c>
      <c r="Z40">
        <f>SUMSQ(Z34:Z39)</f>
        <v>3.3909200943489885E-5</v>
      </c>
      <c r="AA40">
        <f>SUMSQ(AA34:AA39)</f>
        <v>2.8893406575705827E-5</v>
      </c>
      <c r="AB40">
        <f>SUMSQ(AB34:AB38)</f>
        <v>1.3642323428218234E-5</v>
      </c>
      <c r="AC40">
        <f>SUMSQ(AC34:AC38)</f>
        <v>4.2789357075221455E-5</v>
      </c>
      <c r="AD40">
        <f>SUMSQ(AD34:AD38)</f>
        <v>4.7857930041519505E-5</v>
      </c>
    </row>
    <row r="41" spans="1:30" x14ac:dyDescent="0.2">
      <c r="A41">
        <v>33</v>
      </c>
      <c r="D41" t="s">
        <v>43</v>
      </c>
      <c r="X41" s="37" t="s">
        <v>268</v>
      </c>
      <c r="Y41" s="38">
        <f>SQRT(Y40:AA40)</f>
        <v>6.7917422526984836E-3</v>
      </c>
      <c r="AA41" s="37" t="s">
        <v>269</v>
      </c>
      <c r="AB41" s="38">
        <f>SQRT(AB40:AD40)</f>
        <v>3.6935516008603743E-3</v>
      </c>
    </row>
    <row r="42" spans="1:30" x14ac:dyDescent="0.2">
      <c r="A42">
        <v>34</v>
      </c>
      <c r="E42" t="s">
        <v>44</v>
      </c>
      <c r="H42" t="s">
        <v>50</v>
      </c>
      <c r="I42" t="s">
        <v>51</v>
      </c>
      <c r="J42" t="s">
        <v>53</v>
      </c>
      <c r="L42" t="s">
        <v>54</v>
      </c>
      <c r="M42" t="s">
        <v>58</v>
      </c>
      <c r="N42" t="s">
        <v>56</v>
      </c>
    </row>
    <row r="43" spans="1:30" x14ac:dyDescent="0.2">
      <c r="A43">
        <v>35</v>
      </c>
      <c r="D43" t="s">
        <v>14</v>
      </c>
      <c r="E43" t="s">
        <v>16</v>
      </c>
      <c r="F43" t="s">
        <v>47</v>
      </c>
      <c r="G43" t="s">
        <v>32</v>
      </c>
      <c r="H43" t="s">
        <v>16</v>
      </c>
      <c r="I43" t="s">
        <v>52</v>
      </c>
      <c r="J43" t="s">
        <v>54</v>
      </c>
      <c r="K43" t="s">
        <v>55</v>
      </c>
      <c r="L43" t="s">
        <v>57</v>
      </c>
      <c r="M43" t="s">
        <v>57</v>
      </c>
      <c r="N43" t="s">
        <v>59</v>
      </c>
    </row>
    <row r="44" spans="1:30" x14ac:dyDescent="0.2">
      <c r="A44">
        <v>36</v>
      </c>
      <c r="C44" t="s">
        <v>45</v>
      </c>
      <c r="D44">
        <v>1.0029999999999999</v>
      </c>
      <c r="E44">
        <v>1.071</v>
      </c>
      <c r="F44">
        <v>1.0589999999999999</v>
      </c>
      <c r="G44">
        <v>0.2</v>
      </c>
      <c r="H44">
        <f>0.268*D44/G44</f>
        <v>1.3440199999999998</v>
      </c>
      <c r="I44">
        <f>H44+E44</f>
        <v>2.4150199999999997</v>
      </c>
      <c r="J44">
        <f>F44-I44/4</f>
        <v>0.45524500000000001</v>
      </c>
      <c r="K44">
        <v>1</v>
      </c>
      <c r="L44">
        <f>J44</f>
        <v>0.45524500000000001</v>
      </c>
      <c r="M44" s="15">
        <f>1/(L44*G44/D44)</f>
        <v>11.016046304737008</v>
      </c>
      <c r="N44">
        <f>4*M44/SUM($M$44:$M$47)</f>
        <v>1.0226043995170726</v>
      </c>
    </row>
    <row r="45" spans="1:30" x14ac:dyDescent="0.2">
      <c r="A45">
        <v>37</v>
      </c>
      <c r="C45" t="s">
        <v>46</v>
      </c>
      <c r="D45">
        <v>1.0029999999999999</v>
      </c>
      <c r="E45">
        <v>1.071</v>
      </c>
      <c r="F45">
        <v>2.13</v>
      </c>
      <c r="G45">
        <v>0.2</v>
      </c>
      <c r="H45">
        <f>0.268*D45/G45</f>
        <v>1.3440199999999998</v>
      </c>
      <c r="I45">
        <f>H45+E45</f>
        <v>2.4150199999999997</v>
      </c>
      <c r="J45">
        <f>F45-I45/2</f>
        <v>0.92249000000000003</v>
      </c>
      <c r="K45">
        <v>2</v>
      </c>
      <c r="L45">
        <f>J45-J44</f>
        <v>0.46724500000000002</v>
      </c>
      <c r="M45" s="15">
        <f>1/(L45*G45/D45)</f>
        <v>10.733127160269236</v>
      </c>
      <c r="N45">
        <f>4*M45/SUM($M$44:$M$47)</f>
        <v>0.99634140516891501</v>
      </c>
      <c r="O45" s="3"/>
      <c r="P45" s="3"/>
    </row>
    <row r="46" spans="1:30" x14ac:dyDescent="0.2">
      <c r="A46">
        <v>38</v>
      </c>
      <c r="C46" t="s">
        <v>48</v>
      </c>
      <c r="D46">
        <v>1.0029999999999999</v>
      </c>
      <c r="E46">
        <v>1.071</v>
      </c>
      <c r="F46">
        <v>3.2149999999999999</v>
      </c>
      <c r="G46">
        <v>0.2</v>
      </c>
      <c r="H46">
        <f>0.268*D46/G46</f>
        <v>1.3440199999999998</v>
      </c>
      <c r="I46">
        <f>H46+E46</f>
        <v>2.4150199999999997</v>
      </c>
      <c r="J46">
        <f>F46-I46*3/4</f>
        <v>1.4037350000000002</v>
      </c>
      <c r="K46">
        <v>3</v>
      </c>
      <c r="L46">
        <f>J46-J45</f>
        <v>0.48124500000000014</v>
      </c>
      <c r="M46" s="15">
        <f>1/(L46*G46/D46)</f>
        <v>10.420887489740149</v>
      </c>
      <c r="N46">
        <f>4*M46/SUM($M$44:$M$47)</f>
        <v>0.96735662678708267</v>
      </c>
      <c r="O46" s="3"/>
      <c r="P46" s="3"/>
    </row>
    <row r="47" spans="1:30" x14ac:dyDescent="0.2">
      <c r="A47">
        <v>39</v>
      </c>
      <c r="C47" t="s">
        <v>49</v>
      </c>
      <c r="D47">
        <v>1.0029999999999999</v>
      </c>
      <c r="E47">
        <v>1.071</v>
      </c>
      <c r="F47">
        <v>4.2779999999999996</v>
      </c>
      <c r="G47">
        <v>0.2</v>
      </c>
      <c r="H47">
        <f>0.268*D47/G47</f>
        <v>1.3440199999999998</v>
      </c>
      <c r="I47">
        <f>H47+E47</f>
        <v>2.4150199999999997</v>
      </c>
      <c r="J47">
        <f>F47-I47</f>
        <v>1.8629799999999999</v>
      </c>
      <c r="K47">
        <v>4</v>
      </c>
      <c r="L47">
        <f>J47-J46</f>
        <v>0.45924499999999968</v>
      </c>
      <c r="M47" s="15">
        <f>1/(L47*G47/D47)</f>
        <v>10.920097115918523</v>
      </c>
      <c r="N47">
        <f>4*M47/SUM($M$44:$M$47)</f>
        <v>1.01369756852693</v>
      </c>
      <c r="O47" s="3"/>
      <c r="P47" s="3"/>
    </row>
    <row r="48" spans="1:30" x14ac:dyDescent="0.2">
      <c r="A48">
        <v>40</v>
      </c>
      <c r="E48" s="1"/>
      <c r="F48" s="1"/>
      <c r="G48" s="1"/>
      <c r="H48" s="1"/>
      <c r="I48" s="1"/>
      <c r="M48" s="3"/>
      <c r="N48" s="3"/>
      <c r="O48" s="3"/>
    </row>
    <row r="49" spans="1:19" x14ac:dyDescent="0.2">
      <c r="A49">
        <v>41</v>
      </c>
      <c r="C49" s="5" t="s">
        <v>17</v>
      </c>
      <c r="E49" s="1"/>
      <c r="F49" s="1"/>
      <c r="G49" s="1"/>
      <c r="H49" s="1"/>
      <c r="I49" s="1"/>
    </row>
    <row r="50" spans="1:19" x14ac:dyDescent="0.2">
      <c r="A50">
        <v>42</v>
      </c>
      <c r="D50" s="7">
        <v>1.196214243</v>
      </c>
      <c r="E50" s="10">
        <v>-7.92181070000001E-5</v>
      </c>
      <c r="F50" s="10">
        <v>-2.7027741666666701E-5</v>
      </c>
      <c r="G50" s="10">
        <v>6.2878004145452599E-6</v>
      </c>
      <c r="H50" s="10">
        <v>4.1376077378662898E-6</v>
      </c>
      <c r="I50" s="10">
        <v>6.6605333397350596E-7</v>
      </c>
      <c r="J50" s="7"/>
      <c r="K50" s="7">
        <v>0.2</v>
      </c>
      <c r="L50" s="7">
        <v>10</v>
      </c>
      <c r="M50" s="11">
        <f t="shared" ref="M50:M55" si="38">100*D50/(K50*5)</f>
        <v>119.6214243</v>
      </c>
      <c r="N50" s="12">
        <f t="shared" ref="N50:N55" si="39">1000000*E50*K50/(L50*D50)</f>
        <v>-1.3244802503158308</v>
      </c>
      <c r="O50" s="12">
        <f t="shared" ref="O50:O55" si="40">1000000*F50*K50/(D50*L50)</f>
        <v>-0.45188797616860843</v>
      </c>
      <c r="P50" s="7"/>
      <c r="Q50" s="12">
        <f t="shared" ref="Q50:Q55" si="41">1000000*K50*H50/(L50*D50)</f>
        <v>6.9178372721754824E-2</v>
      </c>
      <c r="R50" s="12">
        <f t="shared" ref="R50:R55" si="42">1000000*K50*I50/(L50*D50)</f>
        <v>1.1136020790107011E-2</v>
      </c>
      <c r="S50" s="10">
        <f t="shared" ref="S50:S55" si="43">G50*100/D50</f>
        <v>5.2564166087640035E-4</v>
      </c>
    </row>
    <row r="51" spans="1:19" x14ac:dyDescent="0.2">
      <c r="A51">
        <v>43</v>
      </c>
      <c r="D51" s="7">
        <v>1.005057313</v>
      </c>
      <c r="E51" s="10">
        <v>-5.17276086666664E-5</v>
      </c>
      <c r="F51" s="10">
        <v>-2.0557926333333299E-5</v>
      </c>
      <c r="G51" s="10">
        <v>1.6388309174620899E-5</v>
      </c>
      <c r="H51" s="10">
        <v>3.2978090660707201E-6</v>
      </c>
      <c r="I51" s="10">
        <v>4.35443389592596E-7</v>
      </c>
      <c r="J51" s="7"/>
      <c r="K51" s="7">
        <v>0.2</v>
      </c>
      <c r="L51" s="7">
        <v>10</v>
      </c>
      <c r="M51" s="11">
        <f t="shared" si="38"/>
        <v>100.50573130000001</v>
      </c>
      <c r="N51" s="12">
        <f t="shared" si="39"/>
        <v>-1.0293464461696107</v>
      </c>
      <c r="O51" s="12">
        <f t="shared" si="40"/>
        <v>-0.40908963235081303</v>
      </c>
      <c r="P51" s="7"/>
      <c r="Q51" s="12">
        <f t="shared" si="41"/>
        <v>6.562429870247051E-2</v>
      </c>
      <c r="R51" s="12">
        <f t="shared" si="42"/>
        <v>8.6650459423620145E-3</v>
      </c>
      <c r="S51" s="10">
        <f t="shared" si="43"/>
        <v>1.6305845410649628E-3</v>
      </c>
    </row>
    <row r="52" spans="1:19" x14ac:dyDescent="0.2">
      <c r="A52">
        <v>44</v>
      </c>
      <c r="D52" s="7">
        <v>0.60134235877999997</v>
      </c>
      <c r="E52" s="10">
        <v>-2.4180513000000199E-5</v>
      </c>
      <c r="F52" s="10">
        <v>-1.19937743333332E-5</v>
      </c>
      <c r="G52" s="10">
        <v>1.2825751888037699E-6</v>
      </c>
      <c r="H52" s="10">
        <v>1.13164128876307E-7</v>
      </c>
      <c r="I52" s="10">
        <v>1.9243528121307501E-8</v>
      </c>
      <c r="J52" s="7"/>
      <c r="K52" s="7">
        <v>0.2</v>
      </c>
      <c r="L52" s="7">
        <v>10</v>
      </c>
      <c r="M52" s="11">
        <f t="shared" si="38"/>
        <v>60.134235877999998</v>
      </c>
      <c r="N52" s="12">
        <f t="shared" si="39"/>
        <v>-0.80421785184258399</v>
      </c>
      <c r="O52" s="12">
        <f t="shared" si="40"/>
        <v>-0.39890003284206027</v>
      </c>
      <c r="P52" s="7"/>
      <c r="Q52" s="12">
        <f t="shared" si="41"/>
        <v>3.7637171978336516E-3</v>
      </c>
      <c r="R52" s="12">
        <f t="shared" si="42"/>
        <v>6.4001904540197908E-4</v>
      </c>
      <c r="S52" s="10">
        <f t="shared" si="43"/>
        <v>2.1328535568421476E-4</v>
      </c>
    </row>
    <row r="53" spans="1:19" x14ac:dyDescent="0.2">
      <c r="A53">
        <v>45</v>
      </c>
      <c r="D53" s="7">
        <v>0.40013985074000002</v>
      </c>
      <c r="E53" s="10">
        <v>-1.81898816666666E-5</v>
      </c>
      <c r="F53" s="10">
        <v>-6.69649589999999E-6</v>
      </c>
      <c r="G53" s="10">
        <v>2.7512261723582499E-7</v>
      </c>
      <c r="H53" s="10">
        <v>1.19662521338021E-6</v>
      </c>
      <c r="I53" s="10">
        <v>6.0515241146468503E-7</v>
      </c>
      <c r="J53" s="7"/>
      <c r="K53" s="7">
        <v>0.2</v>
      </c>
      <c r="L53" s="7">
        <v>10</v>
      </c>
      <c r="M53" s="11">
        <f t="shared" si="38"/>
        <v>40.013985074000004</v>
      </c>
      <c r="N53" s="12">
        <f t="shared" si="39"/>
        <v>-0.90917621091861156</v>
      </c>
      <c r="O53" s="12">
        <f t="shared" si="40"/>
        <v>-0.33470777217594311</v>
      </c>
      <c r="P53" s="7"/>
      <c r="Q53" s="12">
        <f t="shared" si="41"/>
        <v>5.981034936496462E-2</v>
      </c>
      <c r="R53" s="12">
        <f t="shared" si="42"/>
        <v>3.0247045394031325E-2</v>
      </c>
      <c r="S53" s="10">
        <f t="shared" si="43"/>
        <v>6.8756615150184619E-5</v>
      </c>
    </row>
    <row r="54" spans="1:19" x14ac:dyDescent="0.2">
      <c r="A54">
        <v>46</v>
      </c>
      <c r="D54" s="7">
        <v>0.19982781061999999</v>
      </c>
      <c r="E54" s="10">
        <v>-1.0947607666666699E-5</v>
      </c>
      <c r="F54" s="10">
        <v>-3.4672516E-6</v>
      </c>
      <c r="G54" s="10">
        <v>2.4868737726987798E-7</v>
      </c>
      <c r="H54" s="10">
        <v>1.5446546855059699E-7</v>
      </c>
      <c r="I54" s="10">
        <v>2.6633574890352199E-8</v>
      </c>
      <c r="J54" s="7"/>
      <c r="K54" s="7">
        <v>0.2</v>
      </c>
      <c r="L54" s="7">
        <v>10</v>
      </c>
      <c r="M54" s="11">
        <f t="shared" si="38"/>
        <v>19.982781062000001</v>
      </c>
      <c r="N54" s="12">
        <f t="shared" si="39"/>
        <v>-1.0957041097232536</v>
      </c>
      <c r="O54" s="12">
        <f t="shared" si="40"/>
        <v>-0.34702392917604996</v>
      </c>
      <c r="P54" s="7"/>
      <c r="Q54" s="12">
        <f t="shared" si="41"/>
        <v>1.545985697099332E-2</v>
      </c>
      <c r="R54" s="12">
        <f t="shared" si="42"/>
        <v>2.6656524742694194E-3</v>
      </c>
      <c r="S54" s="10">
        <f t="shared" si="43"/>
        <v>1.2445083419484145E-4</v>
      </c>
    </row>
    <row r="55" spans="1:19" x14ac:dyDescent="0.2">
      <c r="A55">
        <v>47</v>
      </c>
      <c r="D55" s="7">
        <v>0.1002218268</v>
      </c>
      <c r="E55" s="10">
        <v>-5.8590028333333301E-6</v>
      </c>
      <c r="F55" s="10">
        <v>-1.47570553333334E-6</v>
      </c>
      <c r="G55" s="10">
        <v>1.6276860737133501E-7</v>
      </c>
      <c r="H55" s="10">
        <v>2.71268963510183E-8</v>
      </c>
      <c r="I55" s="10">
        <v>1.1763598912842201E-8</v>
      </c>
      <c r="J55" s="7"/>
      <c r="K55" s="7">
        <v>0.2</v>
      </c>
      <c r="L55" s="7">
        <v>10</v>
      </c>
      <c r="M55" s="11">
        <f t="shared" si="38"/>
        <v>10.02218268</v>
      </c>
      <c r="N55" s="12">
        <f t="shared" si="39"/>
        <v>-1.1692069522990036</v>
      </c>
      <c r="O55" s="12">
        <f t="shared" si="40"/>
        <v>-0.29448785368445107</v>
      </c>
      <c r="P55" s="7"/>
      <c r="Q55" s="12">
        <f t="shared" si="41"/>
        <v>5.4133709626251391E-3</v>
      </c>
      <c r="R55" s="12">
        <f t="shared" si="42"/>
        <v>2.3475123709962549E-3</v>
      </c>
      <c r="S55" s="10">
        <f t="shared" si="43"/>
        <v>1.6240834214302608E-4</v>
      </c>
    </row>
    <row r="56" spans="1:19" x14ac:dyDescent="0.2">
      <c r="A56">
        <v>48</v>
      </c>
      <c r="E56" s="1"/>
      <c r="F56" s="1"/>
      <c r="G56" s="1"/>
      <c r="H56" s="1"/>
      <c r="I56" s="1"/>
      <c r="M56" s="2"/>
      <c r="N56" s="3"/>
      <c r="O56" s="3"/>
      <c r="Q56" s="3"/>
      <c r="R56" s="3"/>
      <c r="S56" s="1"/>
    </row>
    <row r="57" spans="1:19" x14ac:dyDescent="0.2">
      <c r="A57">
        <v>49</v>
      </c>
      <c r="C57" t="s">
        <v>61</v>
      </c>
      <c r="D57">
        <v>1.1944278298</v>
      </c>
      <c r="E57" s="1">
        <v>-3.3161841500000002E-5</v>
      </c>
      <c r="F57" s="1">
        <v>-2.3034880333333401E-5</v>
      </c>
      <c r="G57" s="1">
        <v>6.6427835098802904E-6</v>
      </c>
      <c r="H57" s="1">
        <v>3.3980776373406201E-6</v>
      </c>
      <c r="I57" s="1">
        <v>7.4271133842310596E-9</v>
      </c>
      <c r="K57">
        <v>0.2</v>
      </c>
      <c r="L57">
        <v>10</v>
      </c>
      <c r="M57" s="2">
        <f t="shared" ref="M57:M62" si="44">100*D57/(K57*5)</f>
        <v>119.44278297999999</v>
      </c>
      <c r="N57" s="3">
        <f t="shared" ref="N57:N62" si="45">1000000*E57*K57/(L57*D57)</f>
        <v>-0.55527576757069963</v>
      </c>
      <c r="O57" s="3">
        <f t="shared" ref="O57:O62" si="46">1000000*F57*K57/(D57*L57)</f>
        <v>-0.38570568700145674</v>
      </c>
      <c r="Q57" s="3">
        <f t="shared" ref="Q57:Q62" si="47">1000000*K57*H57/(L57*D57)</f>
        <v>5.6898835619220434E-2</v>
      </c>
      <c r="R57" s="3">
        <f t="shared" ref="R57:R62" si="48">1000000*K57*I57/(L57*D57)</f>
        <v>1.2436269817113499E-4</v>
      </c>
      <c r="S57" s="1">
        <f t="shared" ref="S57:S62" si="49">G57*100/D57</f>
        <v>5.5614775075967426E-4</v>
      </c>
    </row>
    <row r="58" spans="1:19" x14ac:dyDescent="0.2">
      <c r="A58">
        <v>50</v>
      </c>
      <c r="C58" t="s">
        <v>62</v>
      </c>
      <c r="D58">
        <v>1.0016225132000001</v>
      </c>
      <c r="E58" s="1">
        <v>-2.67742466666666E-5</v>
      </c>
      <c r="F58" s="1">
        <v>-1.7517261166666701E-5</v>
      </c>
      <c r="G58" s="1">
        <v>1.0855209565154E-5</v>
      </c>
      <c r="H58" s="1">
        <v>4.5533430940598099E-7</v>
      </c>
      <c r="I58" s="1">
        <v>4.5343623556374799E-9</v>
      </c>
      <c r="K58">
        <v>0.2</v>
      </c>
      <c r="L58">
        <v>10</v>
      </c>
      <c r="M58" s="2">
        <f t="shared" si="44"/>
        <v>100.16225132000001</v>
      </c>
      <c r="N58" s="3">
        <f t="shared" si="45"/>
        <v>-0.53461750936743213</v>
      </c>
      <c r="O58" s="3">
        <f t="shared" si="46"/>
        <v>-0.34977770439089406</v>
      </c>
      <c r="Q58" s="3">
        <f t="shared" si="47"/>
        <v>9.0919344045347281E-3</v>
      </c>
      <c r="R58" s="3">
        <f t="shared" si="48"/>
        <v>9.0540344209137712E-5</v>
      </c>
      <c r="S58" s="1">
        <f t="shared" si="49"/>
        <v>1.0837625374926526E-3</v>
      </c>
    </row>
    <row r="59" spans="1:19" x14ac:dyDescent="0.2">
      <c r="A59">
        <v>51</v>
      </c>
      <c r="C59" t="s">
        <v>63</v>
      </c>
      <c r="D59">
        <v>0.59934290057999995</v>
      </c>
      <c r="E59" s="1">
        <v>-2.1933416833333598E-5</v>
      </c>
      <c r="F59" s="1">
        <v>-9.7520136166667397E-6</v>
      </c>
      <c r="G59" s="1">
        <v>3.6153453837225698E-7</v>
      </c>
      <c r="H59" s="1">
        <v>3.96056392940277E-9</v>
      </c>
      <c r="I59" s="1">
        <v>1.21897077079068E-7</v>
      </c>
      <c r="K59">
        <v>0.2</v>
      </c>
      <c r="L59">
        <v>10</v>
      </c>
      <c r="M59" s="2">
        <f t="shared" si="44"/>
        <v>59.934290057999995</v>
      </c>
      <c r="N59" s="3">
        <f t="shared" si="45"/>
        <v>-0.73191546315500033</v>
      </c>
      <c r="O59" s="3">
        <f t="shared" si="46"/>
        <v>-0.32542351322521573</v>
      </c>
      <c r="Q59" s="3">
        <f t="shared" si="47"/>
        <v>1.321635386210474E-4</v>
      </c>
      <c r="R59" s="3">
        <f t="shared" si="48"/>
        <v>4.0676906979662218E-3</v>
      </c>
      <c r="S59" s="1">
        <f t="shared" si="49"/>
        <v>6.0321818782268122E-5</v>
      </c>
    </row>
    <row r="60" spans="1:19" x14ac:dyDescent="0.2">
      <c r="A60">
        <v>52</v>
      </c>
      <c r="D60">
        <v>0.40065637852000002</v>
      </c>
      <c r="E60" s="1">
        <v>-1.66601013333334E-5</v>
      </c>
      <c r="F60" s="1">
        <v>-6.1813777666667096E-6</v>
      </c>
      <c r="G60" s="1">
        <v>7.0019686155548403E-7</v>
      </c>
      <c r="H60" s="1">
        <v>8.7203420167380505E-9</v>
      </c>
      <c r="I60" s="1">
        <v>4.64052605891351E-8</v>
      </c>
      <c r="K60">
        <v>0.2</v>
      </c>
      <c r="L60">
        <v>10</v>
      </c>
      <c r="M60" s="2">
        <f t="shared" si="44"/>
        <v>40.065637852000002</v>
      </c>
      <c r="N60" s="3">
        <f t="shared" si="45"/>
        <v>-0.83164038944667695</v>
      </c>
      <c r="O60" s="3">
        <f t="shared" si="46"/>
        <v>-0.30856255375243691</v>
      </c>
      <c r="Q60" s="3">
        <f t="shared" si="47"/>
        <v>4.353027923304482E-4</v>
      </c>
      <c r="R60" s="3">
        <f t="shared" si="48"/>
        <v>2.316461839971363E-3</v>
      </c>
      <c r="S60" s="1">
        <f t="shared" si="49"/>
        <v>1.7476243961021365E-4</v>
      </c>
    </row>
    <row r="61" spans="1:19" x14ac:dyDescent="0.2">
      <c r="A61">
        <v>53</v>
      </c>
      <c r="D61">
        <v>0.20027039976</v>
      </c>
      <c r="E61" s="1">
        <v>-9.5439058999999899E-6</v>
      </c>
      <c r="F61" s="1">
        <v>-2.9429271499999901E-6</v>
      </c>
      <c r="G61" s="1">
        <v>2.4061336941541998E-7</v>
      </c>
      <c r="H61" s="1">
        <v>1.56484646869451E-7</v>
      </c>
      <c r="I61" s="1">
        <v>5.2105340072243399E-8</v>
      </c>
      <c r="K61">
        <v>0.2</v>
      </c>
      <c r="L61">
        <v>10</v>
      </c>
      <c r="M61" s="2">
        <f t="shared" si="44"/>
        <v>20.027039976000001</v>
      </c>
      <c r="N61" s="3">
        <f t="shared" si="45"/>
        <v>-0.95310199724344835</v>
      </c>
      <c r="O61" s="3">
        <f t="shared" si="46"/>
        <v>-0.29389536881403694</v>
      </c>
      <c r="Q61" s="3">
        <f t="shared" si="47"/>
        <v>1.5627336546686785E-2</v>
      </c>
      <c r="R61" s="3">
        <f t="shared" si="48"/>
        <v>5.2034988829787517E-3</v>
      </c>
      <c r="S61" s="1">
        <f t="shared" si="49"/>
        <v>1.2014424982611819E-4</v>
      </c>
    </row>
    <row r="62" spans="1:19" x14ac:dyDescent="0.2">
      <c r="A62">
        <v>54</v>
      </c>
      <c r="D62">
        <v>9.9936586970000005E-2</v>
      </c>
      <c r="E62" s="1">
        <v>-5.1866824833333599E-6</v>
      </c>
      <c r="F62" s="1">
        <v>-1.3974109500000001E-6</v>
      </c>
      <c r="G62" s="1">
        <v>1.16791512904026E-7</v>
      </c>
      <c r="H62" s="1">
        <v>1.6450189441656401E-8</v>
      </c>
      <c r="I62" s="1">
        <v>1.02461257596871E-9</v>
      </c>
      <c r="K62">
        <v>0.2</v>
      </c>
      <c r="L62">
        <v>10</v>
      </c>
      <c r="M62" s="2">
        <f t="shared" si="44"/>
        <v>9.9936586970000008</v>
      </c>
      <c r="N62" s="3">
        <f t="shared" si="45"/>
        <v>-1.0379947205702256</v>
      </c>
      <c r="O62" s="3">
        <f t="shared" si="46"/>
        <v>-0.27965953058202586</v>
      </c>
      <c r="Q62" s="3">
        <f t="shared" si="47"/>
        <v>3.2921255248780082E-3</v>
      </c>
      <c r="R62" s="3">
        <f t="shared" si="48"/>
        <v>2.0505254522576178E-4</v>
      </c>
      <c r="S62" s="1">
        <f t="shared" si="49"/>
        <v>1.1686562093528938E-4</v>
      </c>
    </row>
    <row r="63" spans="1:19" x14ac:dyDescent="0.2">
      <c r="A63">
        <v>55</v>
      </c>
    </row>
    <row r="64" spans="1:19" x14ac:dyDescent="0.2">
      <c r="A64">
        <v>56</v>
      </c>
      <c r="C64" t="s">
        <v>67</v>
      </c>
      <c r="D64">
        <v>1.1901001490000001</v>
      </c>
      <c r="E64" s="1">
        <v>-4.1588343166666601E-5</v>
      </c>
      <c r="F64" s="1">
        <v>-2.22423546666669E-5</v>
      </c>
      <c r="G64" s="1">
        <v>1.9732525378098699E-5</v>
      </c>
      <c r="H64" s="1">
        <v>4.1201879161740396E-6</v>
      </c>
      <c r="I64" s="1">
        <v>5.3568377106108496E-7</v>
      </c>
      <c r="K64">
        <v>0.2</v>
      </c>
      <c r="L64">
        <v>10</v>
      </c>
      <c r="M64" s="2">
        <f t="shared" ref="M64:M69" si="50">100*D64/(K64*5)</f>
        <v>119.0100149</v>
      </c>
      <c r="N64" s="3">
        <f t="shared" ref="N64:N69" si="51">1000000*E64*K64/(L64*D64)</f>
        <v>-0.69890493168346968</v>
      </c>
      <c r="O64" s="3">
        <f t="shared" ref="O64:O69" si="52">1000000*F64*K64/(D64*L64)</f>
        <v>-0.37378962913930192</v>
      </c>
      <c r="Q64" s="3">
        <f t="shared" ref="Q64:Q69" si="53">1000000*K64*H64/(L64*D64)</f>
        <v>6.9241028490519746E-2</v>
      </c>
      <c r="R64" s="3">
        <f t="shared" ref="R64:R69" si="54">1000000*K64*I64/(L64*D64)</f>
        <v>9.0023309636790057E-3</v>
      </c>
      <c r="S64" s="1">
        <f t="shared" ref="S64:S69" si="55">G64*100/D64</f>
        <v>1.6580558698929041E-3</v>
      </c>
    </row>
    <row r="65" spans="1:22" x14ac:dyDescent="0.2">
      <c r="A65">
        <v>57</v>
      </c>
      <c r="D65">
        <v>1.0040761484</v>
      </c>
      <c r="E65" s="1">
        <v>-3.8990718833333397E-5</v>
      </c>
      <c r="F65" s="1">
        <v>-1.8622162666666499E-5</v>
      </c>
      <c r="G65" s="1">
        <v>1.0019299698878201E-5</v>
      </c>
      <c r="H65" s="1">
        <v>1.14099925550457E-6</v>
      </c>
      <c r="I65" s="1">
        <v>1.9812806184108701E-9</v>
      </c>
      <c r="K65">
        <v>0.2</v>
      </c>
      <c r="L65">
        <v>10</v>
      </c>
      <c r="M65" s="2">
        <f t="shared" si="50"/>
        <v>100.40761484000001</v>
      </c>
      <c r="N65" s="3">
        <f t="shared" si="51"/>
        <v>-0.77664864154905555</v>
      </c>
      <c r="O65" s="3">
        <f t="shared" si="52"/>
        <v>-0.37093128238014617</v>
      </c>
      <c r="Q65" s="3">
        <f t="shared" si="53"/>
        <v>2.2727345078812151E-2</v>
      </c>
      <c r="R65" s="3">
        <f t="shared" si="54"/>
        <v>3.9464748197993748E-5</v>
      </c>
      <c r="S65" s="1">
        <f t="shared" si="55"/>
        <v>9.9786253411596345E-4</v>
      </c>
    </row>
    <row r="66" spans="1:22" x14ac:dyDescent="0.2">
      <c r="A66">
        <v>58</v>
      </c>
      <c r="D66">
        <v>0.60098375999999998</v>
      </c>
      <c r="E66" s="1">
        <v>-2.3082992666666901E-5</v>
      </c>
      <c r="F66" s="1">
        <v>-1.09108460000001E-5</v>
      </c>
      <c r="G66" s="1">
        <v>1.6839911598839E-6</v>
      </c>
      <c r="H66" s="1">
        <v>1.12101533350599E-7</v>
      </c>
      <c r="I66" s="1">
        <v>4.2249810855593099E-8</v>
      </c>
      <c r="K66">
        <v>0.2</v>
      </c>
      <c r="L66">
        <v>10</v>
      </c>
      <c r="M66" s="2">
        <f t="shared" si="50"/>
        <v>60.098375999999995</v>
      </c>
      <c r="N66" s="3">
        <f t="shared" si="51"/>
        <v>-0.7681735914683252</v>
      </c>
      <c r="O66" s="3">
        <f t="shared" si="52"/>
        <v>-0.36309952867944711</v>
      </c>
      <c r="Q66" s="3">
        <f t="shared" si="53"/>
        <v>3.730601084814638E-3</v>
      </c>
      <c r="R66" s="3">
        <f t="shared" si="54"/>
        <v>1.4060217153153388E-3</v>
      </c>
      <c r="S66" s="1">
        <f t="shared" si="55"/>
        <v>2.8020576793687404E-4</v>
      </c>
    </row>
    <row r="67" spans="1:22" x14ac:dyDescent="0.2">
      <c r="A67">
        <v>59</v>
      </c>
      <c r="D67">
        <v>0.39938316616000002</v>
      </c>
      <c r="E67" s="1">
        <v>-1.8055669499999899E-5</v>
      </c>
      <c r="F67" s="1">
        <v>-6.4697095666666702E-6</v>
      </c>
      <c r="G67" s="1">
        <v>4.23214960267595E-7</v>
      </c>
      <c r="H67" s="1">
        <v>1.55701130294543E-8</v>
      </c>
      <c r="I67" s="1">
        <v>1.52066867431663E-7</v>
      </c>
      <c r="K67">
        <v>0.2</v>
      </c>
      <c r="L67">
        <v>10</v>
      </c>
      <c r="M67" s="2">
        <f t="shared" si="50"/>
        <v>39.938316616000002</v>
      </c>
      <c r="N67" s="3">
        <f t="shared" si="51"/>
        <v>-0.9041777936512464</v>
      </c>
      <c r="O67" s="3">
        <f t="shared" si="52"/>
        <v>-0.32398509075241239</v>
      </c>
      <c r="Q67" s="3">
        <f t="shared" si="53"/>
        <v>7.7970802721397797E-4</v>
      </c>
      <c r="R67" s="3">
        <f t="shared" si="54"/>
        <v>7.6150864791703458E-3</v>
      </c>
      <c r="S67" s="1">
        <f t="shared" si="55"/>
        <v>1.0596715037760193E-4</v>
      </c>
    </row>
    <row r="68" spans="1:22" x14ac:dyDescent="0.2">
      <c r="A68">
        <v>60</v>
      </c>
      <c r="D68">
        <v>0.20006789225999999</v>
      </c>
      <c r="E68" s="1">
        <v>-1.03020696666666E-5</v>
      </c>
      <c r="F68" s="1">
        <v>-2.9689593500000102E-6</v>
      </c>
      <c r="G68" s="1">
        <v>2.0462998829356E-7</v>
      </c>
      <c r="H68" s="1">
        <v>5.0445999731262402E-10</v>
      </c>
      <c r="I68" s="1">
        <v>1.2048663373067599E-8</v>
      </c>
      <c r="K68">
        <v>0.2</v>
      </c>
      <c r="L68">
        <v>10</v>
      </c>
      <c r="M68" s="2">
        <f t="shared" si="50"/>
        <v>20.006789225999999</v>
      </c>
      <c r="N68" s="3">
        <f t="shared" si="51"/>
        <v>-1.029857369945044</v>
      </c>
      <c r="O68" s="3">
        <f t="shared" si="52"/>
        <v>-0.29679518452082992</v>
      </c>
      <c r="Q68" s="3">
        <f t="shared" si="53"/>
        <v>5.0428881077734222E-5</v>
      </c>
      <c r="R68" s="3">
        <f t="shared" si="54"/>
        <v>1.2044574706079928E-3</v>
      </c>
      <c r="S68" s="1">
        <f t="shared" si="55"/>
        <v>1.022802739520199E-4</v>
      </c>
    </row>
    <row r="69" spans="1:22" x14ac:dyDescent="0.2">
      <c r="A69">
        <v>61</v>
      </c>
      <c r="D69">
        <v>0.10029065254</v>
      </c>
      <c r="E69" s="1">
        <v>-5.4766230999999701E-6</v>
      </c>
      <c r="F69" s="1">
        <v>-1.47704324999999E-6</v>
      </c>
      <c r="G69" s="1">
        <v>1.02996683140007E-7</v>
      </c>
      <c r="H69" s="1">
        <v>9.0020835436711202E-8</v>
      </c>
      <c r="I69" s="1">
        <v>9.6828862228245997E-9</v>
      </c>
      <c r="K69">
        <v>0.2</v>
      </c>
      <c r="L69">
        <v>10</v>
      </c>
      <c r="M69" s="2">
        <f t="shared" si="50"/>
        <v>10.029065253999999</v>
      </c>
      <c r="N69" s="3">
        <f t="shared" si="51"/>
        <v>-1.0921502575358495</v>
      </c>
      <c r="O69" s="3">
        <f t="shared" si="52"/>
        <v>-0.29455252560269957</v>
      </c>
      <c r="Q69" s="3">
        <f t="shared" si="53"/>
        <v>1.7951989174825083E-2</v>
      </c>
      <c r="R69" s="3">
        <f t="shared" si="54"/>
        <v>1.9309648461929528E-3</v>
      </c>
      <c r="S69" s="1">
        <f t="shared" si="55"/>
        <v>1.0269818824733215E-4</v>
      </c>
    </row>
    <row r="70" spans="1:22" x14ac:dyDescent="0.2">
      <c r="A70">
        <v>62</v>
      </c>
    </row>
    <row r="71" spans="1:22" x14ac:dyDescent="0.2">
      <c r="A71">
        <v>63</v>
      </c>
    </row>
    <row r="72" spans="1:22" x14ac:dyDescent="0.2">
      <c r="A72">
        <v>64</v>
      </c>
      <c r="C72" s="5" t="s">
        <v>68</v>
      </c>
      <c r="G72" t="s">
        <v>70</v>
      </c>
    </row>
    <row r="73" spans="1:22" x14ac:dyDescent="0.2">
      <c r="A73">
        <v>65</v>
      </c>
      <c r="C73" s="5" t="s">
        <v>23</v>
      </c>
    </row>
    <row r="74" spans="1:22" x14ac:dyDescent="0.2">
      <c r="A74">
        <v>66</v>
      </c>
      <c r="C74" s="5"/>
      <c r="D74" s="13" t="s">
        <v>2</v>
      </c>
      <c r="E74" s="14" t="s">
        <v>5</v>
      </c>
      <c r="F74" s="14" t="s">
        <v>6</v>
      </c>
      <c r="G74" s="14" t="s">
        <v>8</v>
      </c>
      <c r="H74" s="14" t="s">
        <v>10</v>
      </c>
      <c r="I74" s="14" t="s">
        <v>11</v>
      </c>
      <c r="J74" s="5" t="s">
        <v>18</v>
      </c>
      <c r="K74" s="5" t="s">
        <v>2</v>
      </c>
      <c r="L74" s="5" t="s">
        <v>3</v>
      </c>
      <c r="M74" s="5" t="s">
        <v>180</v>
      </c>
      <c r="N74" s="307" t="s">
        <v>246</v>
      </c>
      <c r="O74" s="307"/>
      <c r="P74" s="307" t="s">
        <v>245</v>
      </c>
      <c r="Q74" s="307"/>
      <c r="S74" s="5" t="s">
        <v>318</v>
      </c>
      <c r="T74" s="5" t="s">
        <v>318</v>
      </c>
      <c r="U74" s="307" t="s">
        <v>109</v>
      </c>
      <c r="V74" s="307"/>
    </row>
    <row r="75" spans="1:22" x14ac:dyDescent="0.2">
      <c r="A75">
        <v>67</v>
      </c>
      <c r="C75" s="5"/>
      <c r="D75" s="13" t="s">
        <v>7</v>
      </c>
      <c r="E75" s="14" t="s">
        <v>12</v>
      </c>
      <c r="F75" s="14" t="s">
        <v>12</v>
      </c>
      <c r="G75" s="14" t="s">
        <v>9</v>
      </c>
      <c r="H75" s="14" t="s">
        <v>12</v>
      </c>
      <c r="I75" s="14" t="s">
        <v>12</v>
      </c>
      <c r="N75" t="s">
        <v>247</v>
      </c>
      <c r="O75" t="s">
        <v>248</v>
      </c>
      <c r="P75" t="s">
        <v>107</v>
      </c>
      <c r="Q75" t="s">
        <v>108</v>
      </c>
      <c r="R75" t="s">
        <v>320</v>
      </c>
      <c r="U75" t="s">
        <v>98</v>
      </c>
      <c r="V75" t="s">
        <v>99</v>
      </c>
    </row>
    <row r="76" spans="1:22" x14ac:dyDescent="0.2">
      <c r="A76">
        <v>68</v>
      </c>
      <c r="C76" t="s">
        <v>19</v>
      </c>
      <c r="D76">
        <v>0.25188847265999997</v>
      </c>
      <c r="E76" s="1">
        <v>1.05941340833333E-6</v>
      </c>
      <c r="F76" s="1">
        <v>1.6897284833333301E-6</v>
      </c>
      <c r="G76" s="1">
        <v>3.9483353664464201E-7</v>
      </c>
      <c r="H76" s="1">
        <v>4.1927928717839902E-8</v>
      </c>
      <c r="I76" s="1">
        <v>3.0283484231503497E-8</v>
      </c>
      <c r="J76">
        <v>4</v>
      </c>
      <c r="K76">
        <v>0.2</v>
      </c>
      <c r="L76">
        <v>10</v>
      </c>
      <c r="M76" s="2">
        <f>J76*D76/K76</f>
        <v>5.0377694531999992</v>
      </c>
      <c r="N76" s="3">
        <f>10^6*E76/10</f>
        <v>0.10594134083333299</v>
      </c>
      <c r="O76" s="3">
        <f>10^6*F76/L76</f>
        <v>0.16897284833333301</v>
      </c>
      <c r="P76" s="3">
        <f>J76*N76/M76</f>
        <v>8.411765708415965E-2</v>
      </c>
      <c r="Q76" s="26">
        <f>J76*O76/M76</f>
        <v>0.1341648123464651</v>
      </c>
    </row>
    <row r="77" spans="1:22" x14ac:dyDescent="0.2">
      <c r="A77">
        <v>69</v>
      </c>
      <c r="C77" t="s">
        <v>20</v>
      </c>
      <c r="D77">
        <v>0.25099903794</v>
      </c>
      <c r="E77" s="1">
        <v>1.0307741616666699E-6</v>
      </c>
      <c r="F77" s="1">
        <v>1.7438958499999999E-6</v>
      </c>
      <c r="G77" s="1">
        <v>1.1886079032147201E-7</v>
      </c>
      <c r="H77" s="1">
        <v>4.3526613780447001E-8</v>
      </c>
      <c r="I77" s="1">
        <v>1.0402856319820699E-8</v>
      </c>
      <c r="J77">
        <v>4</v>
      </c>
      <c r="K77">
        <v>0.2</v>
      </c>
      <c r="L77">
        <v>10</v>
      </c>
      <c r="M77" s="2">
        <f t="shared" ref="M77:M89" si="56">J77*D77/K77</f>
        <v>5.0199807588000001</v>
      </c>
      <c r="N77" s="3">
        <f t="shared" ref="N77:N89" si="57">10^6*E77/10</f>
        <v>0.10307741616666699</v>
      </c>
      <c r="O77" s="3">
        <f t="shared" ref="O77:O89" si="58">10^6*F77/L77</f>
        <v>0.17438958499999999</v>
      </c>
      <c r="P77" s="3">
        <f t="shared" ref="P77:P89" si="59">J77*N77/M77</f>
        <v>8.2133714146989764E-2</v>
      </c>
      <c r="Q77" s="26">
        <f t="shared" ref="Q77:Q89" si="60">J77*O77/M77</f>
        <v>0.13895637722857479</v>
      </c>
    </row>
    <row r="78" spans="1:22" x14ac:dyDescent="0.2">
      <c r="A78">
        <v>70</v>
      </c>
      <c r="C78" t="s">
        <v>21</v>
      </c>
      <c r="D78">
        <v>0.25087619315999998</v>
      </c>
      <c r="E78" s="1">
        <v>9.642181383333341E-7</v>
      </c>
      <c r="F78" s="1">
        <v>1.7759872E-6</v>
      </c>
      <c r="G78" s="1">
        <v>1.1903053664103201E-7</v>
      </c>
      <c r="H78" s="1">
        <v>4.2835925376283501E-8</v>
      </c>
      <c r="I78" s="1">
        <v>1.0970033705205E-8</v>
      </c>
      <c r="J78">
        <v>4</v>
      </c>
      <c r="K78">
        <v>0.2</v>
      </c>
      <c r="L78">
        <v>10</v>
      </c>
      <c r="M78" s="2">
        <f t="shared" si="56"/>
        <v>5.0175238631999992</v>
      </c>
      <c r="N78" s="3">
        <f t="shared" si="57"/>
        <v>9.6421813833333411E-2</v>
      </c>
      <c r="O78" s="3">
        <f t="shared" si="58"/>
        <v>0.17759871999999999</v>
      </c>
      <c r="P78" s="3">
        <f t="shared" si="59"/>
        <v>7.6868046042008448E-2</v>
      </c>
      <c r="Q78" s="26">
        <f t="shared" si="60"/>
        <v>0.14158276061430333</v>
      </c>
    </row>
    <row r="79" spans="1:22" x14ac:dyDescent="0.2">
      <c r="A79">
        <v>71</v>
      </c>
      <c r="C79" t="s">
        <v>22</v>
      </c>
      <c r="D79">
        <v>0.25077296731999998</v>
      </c>
      <c r="E79" s="1">
        <v>1.10146796666667E-6</v>
      </c>
      <c r="F79" s="1">
        <v>1.5418936666666599E-6</v>
      </c>
      <c r="G79" s="1">
        <v>6.88987154231372E-8</v>
      </c>
      <c r="H79" s="1">
        <v>2.28469513623928E-9</v>
      </c>
      <c r="I79" s="1">
        <v>3.6364128234046899E-9</v>
      </c>
      <c r="J79">
        <v>4</v>
      </c>
      <c r="K79">
        <v>0.2</v>
      </c>
      <c r="L79">
        <v>10</v>
      </c>
      <c r="M79" s="2">
        <f t="shared" si="56"/>
        <v>5.0154593463999992</v>
      </c>
      <c r="N79" s="3">
        <f t="shared" si="57"/>
        <v>0.110146796666667</v>
      </c>
      <c r="O79" s="3">
        <f t="shared" si="58"/>
        <v>0.15418936666666599</v>
      </c>
      <c r="P79" s="3">
        <f t="shared" si="59"/>
        <v>8.7845829511690302E-2</v>
      </c>
      <c r="Q79" s="26">
        <f t="shared" si="60"/>
        <v>0.1229712822035654</v>
      </c>
    </row>
    <row r="80" spans="1:22" x14ac:dyDescent="0.2">
      <c r="A80">
        <v>72</v>
      </c>
      <c r="E80" s="1"/>
      <c r="F80" s="1"/>
      <c r="G80" s="1"/>
      <c r="H80" s="1"/>
      <c r="I80" s="1"/>
      <c r="M80" s="2"/>
      <c r="N80" s="3"/>
      <c r="O80" s="3"/>
      <c r="P80" s="3"/>
      <c r="Q80" s="26"/>
    </row>
    <row r="81" spans="1:26" x14ac:dyDescent="0.2">
      <c r="A81">
        <v>73</v>
      </c>
      <c r="C81" t="s">
        <v>24</v>
      </c>
      <c r="D81">
        <v>0.25148047686000002</v>
      </c>
      <c r="E81" s="1">
        <v>1.0580880249999999E-6</v>
      </c>
      <c r="F81" s="1">
        <v>1.5776652333333301E-6</v>
      </c>
      <c r="G81" s="1">
        <v>2.2836678496626401E-7</v>
      </c>
      <c r="H81" s="1">
        <v>2.5695548432709301E-8</v>
      </c>
      <c r="I81" s="1">
        <v>3.35383116641087E-8</v>
      </c>
      <c r="J81">
        <v>4</v>
      </c>
      <c r="K81">
        <v>0.2</v>
      </c>
      <c r="L81">
        <v>10</v>
      </c>
      <c r="M81" s="2">
        <f t="shared" si="56"/>
        <v>5.0296095371999998</v>
      </c>
      <c r="N81" s="3">
        <f t="shared" si="57"/>
        <v>0.10580880249999999</v>
      </c>
      <c r="O81" s="3">
        <f t="shared" si="58"/>
        <v>0.15776652333333302</v>
      </c>
      <c r="P81" s="3">
        <f t="shared" si="59"/>
        <v>8.4148721062672474E-2</v>
      </c>
      <c r="Q81" s="26">
        <f t="shared" si="60"/>
        <v>0.12547019578077401</v>
      </c>
    </row>
    <row r="82" spans="1:26" x14ac:dyDescent="0.2">
      <c r="A82">
        <v>74</v>
      </c>
      <c r="C82" t="s">
        <v>25</v>
      </c>
      <c r="D82">
        <v>0.25072696960000002</v>
      </c>
      <c r="E82" s="1">
        <v>-1.0032908E-5</v>
      </c>
      <c r="F82" s="1">
        <v>-3.51194058333335E-6</v>
      </c>
      <c r="G82" s="1">
        <v>7.4516696998753595E-8</v>
      </c>
      <c r="H82" s="1">
        <v>1.3639039268096101E-7</v>
      </c>
      <c r="I82" s="1">
        <v>6.1649075111956797E-8</v>
      </c>
      <c r="J82">
        <v>4</v>
      </c>
      <c r="K82">
        <v>0.2</v>
      </c>
      <c r="L82">
        <v>10</v>
      </c>
      <c r="M82" s="2">
        <f t="shared" si="56"/>
        <v>5.0145393919999997</v>
      </c>
      <c r="N82" s="3">
        <f t="shared" si="57"/>
        <v>-1.0032908</v>
      </c>
      <c r="O82" s="3">
        <f t="shared" si="58"/>
        <v>-0.351194058333335</v>
      </c>
      <c r="P82" s="3">
        <f t="shared" si="59"/>
        <v>-0.80030544907124357</v>
      </c>
      <c r="Q82" s="26">
        <f t="shared" si="60"/>
        <v>-0.28014063177456838</v>
      </c>
      <c r="R82" s="1"/>
    </row>
    <row r="83" spans="1:26" x14ac:dyDescent="0.2">
      <c r="A83">
        <v>75</v>
      </c>
      <c r="C83" s="5" t="s">
        <v>69</v>
      </c>
      <c r="E83" s="1"/>
      <c r="F83" s="1"/>
      <c r="G83" s="1"/>
      <c r="H83" s="1"/>
      <c r="I83" s="1"/>
      <c r="M83" s="2"/>
      <c r="N83" s="3"/>
      <c r="O83" s="3"/>
      <c r="P83" s="3"/>
      <c r="Q83" s="26"/>
    </row>
    <row r="84" spans="1:26" x14ac:dyDescent="0.2">
      <c r="A84">
        <v>76</v>
      </c>
      <c r="C84" t="s">
        <v>26</v>
      </c>
      <c r="D84">
        <v>0.25266271142000002</v>
      </c>
      <c r="E84" s="1">
        <v>1.0538757066666699E-6</v>
      </c>
      <c r="F84" s="1">
        <v>1.5937165833333299E-6</v>
      </c>
      <c r="G84" s="1">
        <v>4.9984076390723499E-7</v>
      </c>
      <c r="H84" s="1">
        <v>3.1741842328813998E-8</v>
      </c>
      <c r="I84" s="1">
        <v>4.0832713880250301E-8</v>
      </c>
      <c r="J84">
        <v>4</v>
      </c>
      <c r="K84">
        <v>0.2</v>
      </c>
      <c r="L84">
        <v>10</v>
      </c>
      <c r="M84" s="2">
        <f t="shared" si="56"/>
        <v>5.0532542284000002</v>
      </c>
      <c r="N84" s="3">
        <f t="shared" si="57"/>
        <v>0.105387570666667</v>
      </c>
      <c r="O84" s="3">
        <f t="shared" si="58"/>
        <v>0.159371658333333</v>
      </c>
      <c r="P84" s="3">
        <f t="shared" si="59"/>
        <v>8.3421546515015224E-2</v>
      </c>
      <c r="Q84" s="26">
        <f t="shared" si="60"/>
        <v>0.1261536832543606</v>
      </c>
      <c r="R84" s="3">
        <f>1-N45</f>
        <v>3.6585948310849936E-3</v>
      </c>
      <c r="S84" s="3">
        <f>P84*R84</f>
        <v>3.0520563888095109E-4</v>
      </c>
      <c r="T84" s="3">
        <f>Q84*R84</f>
        <v>4.6154521347673721E-4</v>
      </c>
      <c r="W84" s="3"/>
      <c r="X84" s="3"/>
      <c r="Y84" s="3"/>
      <c r="Z84" s="3"/>
    </row>
    <row r="85" spans="1:26" x14ac:dyDescent="0.2">
      <c r="A85">
        <v>77</v>
      </c>
      <c r="C85" t="s">
        <v>27</v>
      </c>
      <c r="D85">
        <v>0.25304695844000002</v>
      </c>
      <c r="E85" s="1">
        <v>-6.4215301833333405E-7</v>
      </c>
      <c r="F85" s="1">
        <v>2.9812534666666701E-7</v>
      </c>
      <c r="G85" s="1">
        <v>4.0823769918454299E-7</v>
      </c>
      <c r="H85" s="1">
        <v>5.76555796087246E-8</v>
      </c>
      <c r="I85" s="1">
        <v>2.5061045481048E-8</v>
      </c>
      <c r="J85">
        <v>4</v>
      </c>
      <c r="K85">
        <v>0.2</v>
      </c>
      <c r="L85">
        <v>10</v>
      </c>
      <c r="M85" s="2">
        <f t="shared" si="56"/>
        <v>5.0609391688000001</v>
      </c>
      <c r="N85" s="3">
        <f t="shared" si="57"/>
        <v>-6.4215301833333405E-2</v>
      </c>
      <c r="O85" s="3">
        <f t="shared" si="58"/>
        <v>2.9812534666666703E-2</v>
      </c>
      <c r="P85" s="3">
        <f t="shared" si="59"/>
        <v>-5.0753664244148192E-2</v>
      </c>
      <c r="Q85" s="26">
        <f t="shared" si="60"/>
        <v>2.3562847663103254E-2</v>
      </c>
      <c r="R85" s="3">
        <f>1-N46</f>
        <v>3.2643373212917326E-2</v>
      </c>
      <c r="S85" s="3">
        <f>P85*R85</f>
        <v>-1.656770803844827E-3</v>
      </c>
      <c r="T85" s="3">
        <f>Q85*R85</f>
        <v>7.6917083022579643E-4</v>
      </c>
      <c r="Y85" s="3"/>
      <c r="Z85" s="3"/>
    </row>
    <row r="86" spans="1:26" x14ac:dyDescent="0.2">
      <c r="A86">
        <v>78</v>
      </c>
      <c r="C86" t="s">
        <v>28</v>
      </c>
      <c r="D86">
        <v>0.24852580724000001</v>
      </c>
      <c r="E86" s="1">
        <v>1.3933633833333201E-6</v>
      </c>
      <c r="F86" s="1">
        <v>1.7316768999999999E-6</v>
      </c>
      <c r="G86" s="1">
        <v>3.2461576409075698E-7</v>
      </c>
      <c r="H86" s="1">
        <v>6.7973530916861703E-9</v>
      </c>
      <c r="I86" s="1">
        <v>4.6037042553325097E-8</v>
      </c>
      <c r="J86">
        <v>4</v>
      </c>
      <c r="K86">
        <v>0.2</v>
      </c>
      <c r="L86">
        <v>10</v>
      </c>
      <c r="M86" s="2">
        <f t="shared" si="56"/>
        <v>4.9705161447999995</v>
      </c>
      <c r="N86" s="3">
        <f t="shared" si="57"/>
        <v>0.139336338333332</v>
      </c>
      <c r="O86" s="3">
        <f t="shared" si="58"/>
        <v>0.17316768999999999</v>
      </c>
      <c r="P86" s="3">
        <f t="shared" si="59"/>
        <v>0.11213027723819095</v>
      </c>
      <c r="Q86" s="26">
        <f t="shared" si="60"/>
        <v>0.13935590184626012</v>
      </c>
      <c r="R86" s="3">
        <f>1-N47</f>
        <v>-1.3697568526930048E-2</v>
      </c>
      <c r="S86" s="3">
        <f>P86*R86</f>
        <v>-1.5359121564137853E-3</v>
      </c>
      <c r="T86" s="3">
        <f>Q86*R86</f>
        <v>-1.9088370151712857E-3</v>
      </c>
      <c r="U86" s="40">
        <f>SUM(S84:S86)</f>
        <v>-2.8874773213776609E-3</v>
      </c>
      <c r="V86" s="40">
        <f>SUM(T84:T86)</f>
        <v>-6.7812097146875217E-4</v>
      </c>
      <c r="Z86" s="3"/>
    </row>
    <row r="87" spans="1:26" x14ac:dyDescent="0.2">
      <c r="A87">
        <v>79</v>
      </c>
      <c r="C87" t="s">
        <v>29</v>
      </c>
      <c r="D87">
        <v>0.24825182092</v>
      </c>
      <c r="E87" s="1">
        <v>-1.7025002500000001E-6</v>
      </c>
      <c r="F87" s="1">
        <v>-1.0665388016666701E-6</v>
      </c>
      <c r="G87" s="1">
        <v>3.2471159107018399E-7</v>
      </c>
      <c r="H87" s="1">
        <v>3.7426497482009098E-8</v>
      </c>
      <c r="I87" s="1">
        <v>3.9715986222204402E-8</v>
      </c>
      <c r="J87">
        <v>4</v>
      </c>
      <c r="K87">
        <v>0.2</v>
      </c>
      <c r="L87">
        <v>10</v>
      </c>
      <c r="M87" s="2">
        <f t="shared" si="56"/>
        <v>4.9650364183999995</v>
      </c>
      <c r="N87" s="3">
        <f t="shared" si="57"/>
        <v>-0.17025002500000003</v>
      </c>
      <c r="O87" s="3">
        <f t="shared" si="58"/>
        <v>-0.10665388016666702</v>
      </c>
      <c r="P87" s="3">
        <f t="shared" si="59"/>
        <v>-0.1371591349212006</v>
      </c>
      <c r="Q87" s="26">
        <f t="shared" si="60"/>
        <v>-8.5923945912192615E-2</v>
      </c>
      <c r="R87" s="3"/>
      <c r="V87" s="3"/>
      <c r="W87" s="3"/>
    </row>
    <row r="88" spans="1:26" x14ac:dyDescent="0.2">
      <c r="A88">
        <v>80</v>
      </c>
      <c r="C88" t="s">
        <v>30</v>
      </c>
      <c r="D88">
        <v>0.25769633234</v>
      </c>
      <c r="E88" s="1">
        <v>2.8134487716666698E-7</v>
      </c>
      <c r="F88" s="1">
        <v>3.4701915166666701E-7</v>
      </c>
      <c r="G88" s="1">
        <v>4.7319411192739599E-7</v>
      </c>
      <c r="H88" s="1">
        <v>6.2105850353827803E-8</v>
      </c>
      <c r="I88" s="1">
        <v>4.2783155805316601E-8</v>
      </c>
      <c r="J88">
        <v>4</v>
      </c>
      <c r="K88">
        <v>0.2</v>
      </c>
      <c r="L88">
        <v>10</v>
      </c>
      <c r="M88" s="2">
        <f t="shared" si="56"/>
        <v>5.1539266467999996</v>
      </c>
      <c r="N88" s="3">
        <f t="shared" si="57"/>
        <v>2.8134487716666701E-2</v>
      </c>
      <c r="O88" s="3">
        <f t="shared" si="58"/>
        <v>3.4701915166666701E-2</v>
      </c>
      <c r="P88" s="3">
        <f t="shared" si="59"/>
        <v>2.1835380784191026E-2</v>
      </c>
      <c r="Q88" s="26">
        <f t="shared" si="60"/>
        <v>2.6932409050262777E-2</v>
      </c>
      <c r="V88" s="3"/>
      <c r="W88" s="3"/>
      <c r="Y88" s="3"/>
      <c r="Z88" s="3"/>
    </row>
    <row r="89" spans="1:26" x14ac:dyDescent="0.2">
      <c r="A89">
        <v>81</v>
      </c>
      <c r="C89" t="s">
        <v>31</v>
      </c>
      <c r="D89">
        <v>0.25985231696</v>
      </c>
      <c r="E89" s="1">
        <v>1.8813443666666701E-6</v>
      </c>
      <c r="F89" s="1">
        <v>1.7370890833333301E-6</v>
      </c>
      <c r="G89" s="1">
        <v>5.0068011692277803E-7</v>
      </c>
      <c r="H89" s="1">
        <v>9.0920542749877001E-8</v>
      </c>
      <c r="I89" s="1">
        <v>2.0395172075593102E-8</v>
      </c>
      <c r="J89">
        <v>4</v>
      </c>
      <c r="K89">
        <v>0.2</v>
      </c>
      <c r="L89">
        <v>10</v>
      </c>
      <c r="M89" s="2">
        <f t="shared" si="56"/>
        <v>5.1970463391999999</v>
      </c>
      <c r="N89" s="3">
        <f t="shared" si="57"/>
        <v>0.18813443666666702</v>
      </c>
      <c r="O89" s="3">
        <f t="shared" si="58"/>
        <v>0.17370890833333302</v>
      </c>
      <c r="P89" s="3">
        <f t="shared" si="59"/>
        <v>0.14480104612315403</v>
      </c>
      <c r="Q89" s="26">
        <f t="shared" si="60"/>
        <v>0.13369817930857447</v>
      </c>
      <c r="V89" s="3"/>
      <c r="W89" s="3"/>
      <c r="X89" s="3"/>
      <c r="Y89" s="3"/>
      <c r="Z89" s="3"/>
    </row>
    <row r="90" spans="1:26" x14ac:dyDescent="0.2">
      <c r="A90">
        <v>82</v>
      </c>
    </row>
    <row r="91" spans="1:26" x14ac:dyDescent="0.2">
      <c r="A91">
        <v>83</v>
      </c>
    </row>
    <row r="92" spans="1:26" x14ac:dyDescent="0.2">
      <c r="A92">
        <v>84</v>
      </c>
      <c r="C92" s="5" t="s">
        <v>71</v>
      </c>
      <c r="G92" t="s">
        <v>72</v>
      </c>
    </row>
    <row r="93" spans="1:26" x14ac:dyDescent="0.2">
      <c r="A93">
        <v>85</v>
      </c>
      <c r="D93" s="13" t="s">
        <v>2</v>
      </c>
      <c r="E93" s="14" t="s">
        <v>5</v>
      </c>
      <c r="F93" s="14" t="s">
        <v>6</v>
      </c>
      <c r="G93" s="14" t="s">
        <v>8</v>
      </c>
      <c r="H93" s="14" t="s">
        <v>10</v>
      </c>
      <c r="I93" s="14" t="s">
        <v>11</v>
      </c>
      <c r="J93" s="1"/>
      <c r="Q93" s="5" t="s">
        <v>15</v>
      </c>
      <c r="R93" s="5" t="s">
        <v>15</v>
      </c>
      <c r="S93" s="5" t="s">
        <v>15</v>
      </c>
    </row>
    <row r="94" spans="1:26" x14ac:dyDescent="0.2">
      <c r="A94">
        <v>86</v>
      </c>
      <c r="D94" s="13" t="s">
        <v>7</v>
      </c>
      <c r="E94" s="14" t="s">
        <v>12</v>
      </c>
      <c r="F94" s="14" t="s">
        <v>12</v>
      </c>
      <c r="G94" s="14" t="s">
        <v>9</v>
      </c>
      <c r="H94" s="14" t="s">
        <v>12</v>
      </c>
      <c r="I94" s="14" t="s">
        <v>12</v>
      </c>
      <c r="J94" s="1"/>
      <c r="K94" s="5" t="s">
        <v>2</v>
      </c>
      <c r="L94" s="5" t="s">
        <v>3</v>
      </c>
      <c r="M94" s="5" t="s">
        <v>4</v>
      </c>
      <c r="N94" s="5" t="s">
        <v>0</v>
      </c>
      <c r="O94" s="5" t="s">
        <v>1</v>
      </c>
      <c r="Q94" s="5" t="s">
        <v>5</v>
      </c>
      <c r="R94" s="5" t="s">
        <v>6</v>
      </c>
      <c r="S94" s="5" t="s">
        <v>14</v>
      </c>
    </row>
    <row r="95" spans="1:26" x14ac:dyDescent="0.2">
      <c r="A95">
        <v>87</v>
      </c>
      <c r="C95" s="7"/>
      <c r="D95" s="7">
        <v>1.1918346101999999</v>
      </c>
      <c r="E95" s="10">
        <v>5.9208750333333302E-6</v>
      </c>
      <c r="F95" s="10">
        <v>-1.9102824666666699E-6</v>
      </c>
      <c r="G95" s="10">
        <v>5.1008767611870897E-6</v>
      </c>
      <c r="H95" s="10">
        <v>8.0746086604594404E-7</v>
      </c>
      <c r="I95" s="10">
        <v>5.83881478148509E-8</v>
      </c>
      <c r="J95" s="7"/>
      <c r="K95" s="7">
        <v>0.2</v>
      </c>
      <c r="L95" s="7">
        <v>10</v>
      </c>
      <c r="M95" s="11">
        <f>100*D95/(K95*5)</f>
        <v>119.18346102</v>
      </c>
      <c r="N95" s="12">
        <f>1000000*E95*K95/(L95*D95)</f>
        <v>9.9357326640141075E-2</v>
      </c>
      <c r="O95" s="12">
        <f>1000000*F95*K95/(D95*L95)</f>
        <v>-3.2056167027170124E-2</v>
      </c>
      <c r="P95" s="7"/>
      <c r="Q95" s="12">
        <f>1000000*K95*H95/(L95*D95)</f>
        <v>1.354988115188978E-2</v>
      </c>
      <c r="R95" s="12">
        <f>1000000*K95*I95/(L95*D95)</f>
        <v>9.7980285712717923E-4</v>
      </c>
      <c r="S95" s="10">
        <f>G95*100/D95</f>
        <v>4.2798528567072907E-4</v>
      </c>
    </row>
    <row r="96" spans="1:26" x14ac:dyDescent="0.2">
      <c r="A96">
        <v>88</v>
      </c>
      <c r="C96" s="7"/>
      <c r="D96" s="7">
        <v>1.1799833129999999</v>
      </c>
      <c r="E96" s="10">
        <v>2.8459923999999999E-6</v>
      </c>
      <c r="F96" s="10">
        <v>-2.0514191333333399E-6</v>
      </c>
      <c r="G96" s="10">
        <v>2.9255007868667598E-6</v>
      </c>
      <c r="H96" s="10">
        <v>4.5545163441567201E-7</v>
      </c>
      <c r="I96" s="10">
        <v>3.9154316248857601E-8</v>
      </c>
      <c r="J96" s="7"/>
      <c r="K96" s="7">
        <v>0.2</v>
      </c>
      <c r="L96" s="7">
        <v>10</v>
      </c>
      <c r="M96" s="11">
        <f t="shared" ref="M96:M101" si="61">100*D96/(K96*5)</f>
        <v>117.99833129999999</v>
      </c>
      <c r="N96" s="12">
        <f t="shared" ref="N96:N101" si="62">1000000*E96*K96/(L96*D96)</f>
        <v>4.8237841478695559E-2</v>
      </c>
      <c r="O96" s="12">
        <f t="shared" ref="O96:O101" si="63">1000000*F96*K96/(D96*L96)</f>
        <v>-3.4770307524397005E-2</v>
      </c>
      <c r="P96" s="7"/>
      <c r="Q96" s="12">
        <f t="shared" ref="Q96:Q101" si="64">1000000*K96*H96/(L96*D96)</f>
        <v>7.7196283947054767E-3</v>
      </c>
      <c r="R96" s="12">
        <f t="shared" ref="R96:R101" si="65">1000000*K96*I96/(L96*D96)</f>
        <v>6.6364186370248439E-4</v>
      </c>
      <c r="S96" s="10">
        <f t="shared" ref="S96:S101" si="66">G96*100/D96</f>
        <v>2.4792730156742137E-4</v>
      </c>
    </row>
    <row r="97" spans="1:21" x14ac:dyDescent="0.2">
      <c r="A97">
        <v>89</v>
      </c>
      <c r="C97" s="7" t="s">
        <v>76</v>
      </c>
      <c r="D97" s="7">
        <v>0.99781808025999996</v>
      </c>
      <c r="E97" s="10">
        <v>-2.4248995833333199E-6</v>
      </c>
      <c r="F97" s="10">
        <v>-1.5421321833333299E-6</v>
      </c>
      <c r="G97" s="10">
        <v>1.4577970814462099E-6</v>
      </c>
      <c r="H97" s="10">
        <v>7.2102327068269798E-8</v>
      </c>
      <c r="I97" s="10">
        <v>8.5689723505212202E-8</v>
      </c>
      <c r="J97" s="7"/>
      <c r="K97" s="7">
        <v>0.2</v>
      </c>
      <c r="L97" s="7">
        <v>10</v>
      </c>
      <c r="M97" s="11">
        <f t="shared" si="61"/>
        <v>99.781808025999993</v>
      </c>
      <c r="N97" s="12">
        <f t="shared" si="62"/>
        <v>-4.8604041784880619E-2</v>
      </c>
      <c r="O97" s="12">
        <f t="shared" si="63"/>
        <v>-3.0910086995647526E-2</v>
      </c>
      <c r="P97" s="7"/>
      <c r="Q97" s="12">
        <f t="shared" si="64"/>
        <v>1.4451998514495191E-3</v>
      </c>
      <c r="R97" s="12">
        <f t="shared" si="65"/>
        <v>1.7175420089177813E-3</v>
      </c>
      <c r="S97" s="10">
        <f t="shared" si="66"/>
        <v>1.4609848330933772E-4</v>
      </c>
    </row>
    <row r="98" spans="1:21" x14ac:dyDescent="0.2">
      <c r="A98">
        <v>90</v>
      </c>
      <c r="C98" s="7"/>
      <c r="D98" s="7">
        <v>0.59941003274000004</v>
      </c>
      <c r="E98" s="10">
        <v>-2.4410793000000001E-6</v>
      </c>
      <c r="F98" s="10">
        <v>-7.7593775333333404E-7</v>
      </c>
      <c r="G98" s="10">
        <v>1.2468635782794901E-6</v>
      </c>
      <c r="H98" s="10">
        <v>4.1521937854303901E-8</v>
      </c>
      <c r="I98" s="10">
        <v>6.6643574915409603E-8</v>
      </c>
      <c r="J98" s="7"/>
      <c r="K98" s="7">
        <v>0.2</v>
      </c>
      <c r="L98" s="7">
        <v>10</v>
      </c>
      <c r="M98" s="11">
        <f t="shared" si="61"/>
        <v>59.941003274000003</v>
      </c>
      <c r="N98" s="12">
        <f t="shared" si="62"/>
        <v>-8.1449397463083259E-2</v>
      </c>
      <c r="O98" s="12">
        <f t="shared" si="63"/>
        <v>-2.5890048913142057E-2</v>
      </c>
      <c r="P98" s="7"/>
      <c r="Q98" s="12">
        <f t="shared" si="64"/>
        <v>1.3854268559536924E-3</v>
      </c>
      <c r="R98" s="12">
        <f t="shared" si="65"/>
        <v>2.2236389541486672E-3</v>
      </c>
      <c r="S98" s="10">
        <f t="shared" si="66"/>
        <v>2.0801513324357875E-4</v>
      </c>
    </row>
    <row r="99" spans="1:21" x14ac:dyDescent="0.2">
      <c r="A99">
        <v>91</v>
      </c>
      <c r="C99" s="7"/>
      <c r="D99" s="7">
        <v>0.40017946201999999</v>
      </c>
      <c r="E99" s="10">
        <v>-1.7805139333333301E-6</v>
      </c>
      <c r="F99" s="10">
        <v>-7.4604947333333302E-7</v>
      </c>
      <c r="G99" s="10">
        <v>1.0254714564498001E-6</v>
      </c>
      <c r="H99" s="10">
        <v>4.6815499034638297E-8</v>
      </c>
      <c r="I99" s="10">
        <v>5.9727936447550395E-8</v>
      </c>
      <c r="J99" s="7"/>
      <c r="K99" s="7">
        <v>0.2</v>
      </c>
      <c r="L99" s="7">
        <v>10</v>
      </c>
      <c r="M99" s="11">
        <f t="shared" si="61"/>
        <v>40.017946201999997</v>
      </c>
      <c r="N99" s="12">
        <f t="shared" si="62"/>
        <v>-8.8985772750343917E-2</v>
      </c>
      <c r="O99" s="12">
        <f t="shared" si="63"/>
        <v>-3.728574522877675E-2</v>
      </c>
      <c r="P99" s="7"/>
      <c r="Q99" s="12">
        <f t="shared" si="64"/>
        <v>2.3397252221953645E-3</v>
      </c>
      <c r="R99" s="12">
        <f t="shared" si="65"/>
        <v>2.985057561228134E-3</v>
      </c>
      <c r="S99" s="10">
        <f t="shared" si="66"/>
        <v>2.5625289495705042E-4</v>
      </c>
    </row>
    <row r="100" spans="1:21" x14ac:dyDescent="0.2">
      <c r="A100">
        <v>92</v>
      </c>
      <c r="C100" s="7"/>
      <c r="D100" s="7">
        <v>0.20043602839999999</v>
      </c>
      <c r="E100" s="10">
        <v>-9.3220884500000302E-7</v>
      </c>
      <c r="F100" s="10">
        <v>-4.2836461999999998E-7</v>
      </c>
      <c r="G100" s="10">
        <v>4.1841966403699502E-7</v>
      </c>
      <c r="H100" s="10">
        <v>7.4891062916885999E-8</v>
      </c>
      <c r="I100" s="10">
        <v>6.8601292635408297E-8</v>
      </c>
      <c r="J100" s="7"/>
      <c r="K100" s="7">
        <v>0.2</v>
      </c>
      <c r="L100" s="7">
        <v>10</v>
      </c>
      <c r="M100" s="11">
        <f t="shared" si="61"/>
        <v>20.043602839999998</v>
      </c>
      <c r="N100" s="12">
        <f t="shared" si="62"/>
        <v>-9.3018091851195653E-2</v>
      </c>
      <c r="O100" s="12">
        <f t="shared" si="63"/>
        <v>-4.2743275589669387E-2</v>
      </c>
      <c r="P100" s="7"/>
      <c r="Q100" s="12">
        <f t="shared" si="64"/>
        <v>7.4728144949499503E-3</v>
      </c>
      <c r="R100" s="12">
        <f t="shared" si="65"/>
        <v>6.8452057430018693E-3</v>
      </c>
      <c r="S100" s="10">
        <f t="shared" si="66"/>
        <v>2.08754717092067E-4</v>
      </c>
    </row>
    <row r="101" spans="1:21" x14ac:dyDescent="0.2">
      <c r="A101">
        <v>93</v>
      </c>
      <c r="C101" s="7"/>
      <c r="D101" s="7">
        <v>0.10046300412</v>
      </c>
      <c r="E101" s="10">
        <v>-4.26225331666667E-7</v>
      </c>
      <c r="F101" s="10">
        <v>-2.12557117833333E-7</v>
      </c>
      <c r="G101" s="10">
        <v>1.7473785845021199E-7</v>
      </c>
      <c r="H101" s="10">
        <v>8.6413053187630994E-8</v>
      </c>
      <c r="I101" s="10">
        <v>1.05398817224338E-7</v>
      </c>
      <c r="J101" s="7"/>
      <c r="K101" s="7">
        <v>0.2</v>
      </c>
      <c r="L101" s="7">
        <v>10</v>
      </c>
      <c r="M101" s="11">
        <f t="shared" si="61"/>
        <v>10.046300412000001</v>
      </c>
      <c r="N101" s="12">
        <f t="shared" si="62"/>
        <v>-8.4852197164551002E-2</v>
      </c>
      <c r="O101" s="12">
        <f t="shared" si="63"/>
        <v>-4.2315501053390762E-2</v>
      </c>
      <c r="P101" s="7"/>
      <c r="Q101" s="12">
        <f t="shared" si="64"/>
        <v>1.7202960222932061E-2</v>
      </c>
      <c r="R101" s="12">
        <f t="shared" si="65"/>
        <v>2.0982613081815135E-2</v>
      </c>
      <c r="S101" s="10">
        <f t="shared" si="66"/>
        <v>1.7393254360728943E-4</v>
      </c>
    </row>
    <row r="102" spans="1:21" x14ac:dyDescent="0.2">
      <c r="A102">
        <v>94</v>
      </c>
      <c r="C102" s="5" t="s">
        <v>74</v>
      </c>
    </row>
    <row r="103" spans="1:21" x14ac:dyDescent="0.2">
      <c r="A103">
        <v>95</v>
      </c>
      <c r="C103" t="s">
        <v>73</v>
      </c>
      <c r="D103">
        <v>1.0587973956000001</v>
      </c>
      <c r="E103" s="1">
        <v>9.65979531633335E-8</v>
      </c>
      <c r="F103" s="1">
        <v>7.9123850166666697E-7</v>
      </c>
      <c r="G103" s="1">
        <v>4.92132956149233E-6</v>
      </c>
      <c r="H103" s="1">
        <v>6.4440360637162994E-8</v>
      </c>
      <c r="I103" s="1">
        <v>6.9440574257154103E-8</v>
      </c>
      <c r="K103">
        <v>0.2</v>
      </c>
      <c r="L103">
        <v>10</v>
      </c>
      <c r="M103" s="2">
        <f>100*D103/(K103*5)</f>
        <v>105.87973956</v>
      </c>
      <c r="N103" s="3">
        <f>1000000*E103*K103/(L103*D103)</f>
        <v>1.8246730406546441E-3</v>
      </c>
      <c r="O103" s="3">
        <f>1000000*F103*K103/(D103*L103)</f>
        <v>1.4945985038398918E-2</v>
      </c>
      <c r="Q103" s="3">
        <f>1000000*K103*H103/(L103*D103)</f>
        <v>1.2172368557942265E-3</v>
      </c>
      <c r="R103" s="3">
        <f>1000000*K103*I103/(L103*D103)</f>
        <v>1.3116876665115608E-3</v>
      </c>
      <c r="S103" s="1">
        <f>G103*100/D103</f>
        <v>4.6480370861731361E-4</v>
      </c>
    </row>
    <row r="104" spans="1:21" x14ac:dyDescent="0.2">
      <c r="A104">
        <v>96</v>
      </c>
    </row>
    <row r="105" spans="1:21" x14ac:dyDescent="0.2">
      <c r="A105">
        <v>97</v>
      </c>
      <c r="C105" t="s">
        <v>75</v>
      </c>
      <c r="D105">
        <v>1.1905886504000001</v>
      </c>
      <c r="E105" s="1">
        <v>-4.4818095000000197E-6</v>
      </c>
      <c r="F105" s="1">
        <v>-2.3390235500000001E-6</v>
      </c>
      <c r="G105" s="1">
        <v>4.9021565318937598E-6</v>
      </c>
      <c r="H105" s="1">
        <v>2.05007141684544E-8</v>
      </c>
      <c r="I105" s="1">
        <v>5.8107274753087802E-8</v>
      </c>
      <c r="K105">
        <v>0.2</v>
      </c>
      <c r="L105">
        <v>10</v>
      </c>
      <c r="M105" s="2">
        <f t="shared" ref="M105:M110" si="67">100*D105/(K105*5)</f>
        <v>119.05886504</v>
      </c>
      <c r="N105" s="3">
        <f t="shared" ref="N105:N110" si="68">1000000*E105*K105/(L105*D105)</f>
        <v>-7.5287287485804155E-2</v>
      </c>
      <c r="O105" s="3">
        <f t="shared" ref="O105:O110" si="69">1000000*F105*K105/(D105*L105)</f>
        <v>-3.9291883879695344E-2</v>
      </c>
      <c r="Q105" s="3">
        <f t="shared" ref="Q105:Q110" si="70">1000000*K105*H105/(L105*D105)</f>
        <v>3.4437946576370952E-4</v>
      </c>
      <c r="R105" s="3">
        <f t="shared" ref="R105:R110" si="71">1000000*K105*I105/(L105*D105)</f>
        <v>9.7611000631604532E-4</v>
      </c>
      <c r="S105" s="1">
        <f t="shared" ref="S105:S110" si="72">G105*100/D105</f>
        <v>4.1174225289706824E-4</v>
      </c>
    </row>
    <row r="106" spans="1:21" x14ac:dyDescent="0.2">
      <c r="A106">
        <v>98</v>
      </c>
      <c r="D106">
        <v>0.99786249189999998</v>
      </c>
      <c r="E106" s="1">
        <v>-3.9520842500000001E-6</v>
      </c>
      <c r="F106" s="1">
        <v>-2.0575519333333401E-6</v>
      </c>
      <c r="G106" s="1">
        <v>6.6203065457032295E-7</v>
      </c>
      <c r="H106" s="1">
        <v>9.3782609630486206E-8</v>
      </c>
      <c r="I106" s="1">
        <v>2.8488566465552802E-8</v>
      </c>
      <c r="K106">
        <v>0.2</v>
      </c>
      <c r="L106">
        <v>10</v>
      </c>
      <c r="M106" s="2">
        <f t="shared" si="67"/>
        <v>99.786249189999992</v>
      </c>
      <c r="N106" s="3">
        <f t="shared" si="68"/>
        <v>-7.9210999152297137E-2</v>
      </c>
      <c r="O106" s="3">
        <f t="shared" si="69"/>
        <v>-4.1239187764550954E-2</v>
      </c>
      <c r="Q106" s="3">
        <f t="shared" si="70"/>
        <v>1.8796700024653209E-3</v>
      </c>
      <c r="R106" s="3">
        <f t="shared" si="71"/>
        <v>5.7099182897051438E-4</v>
      </c>
      <c r="S106" s="1">
        <f t="shared" si="72"/>
        <v>6.6344878171517425E-5</v>
      </c>
    </row>
    <row r="107" spans="1:21" x14ac:dyDescent="0.2">
      <c r="A107">
        <v>99</v>
      </c>
      <c r="D107">
        <v>0.60016178850000002</v>
      </c>
      <c r="E107" s="1">
        <v>-3.10900865E-6</v>
      </c>
      <c r="F107" s="1">
        <v>-1.29350135E-6</v>
      </c>
      <c r="G107" s="1">
        <v>1.59453573295124E-6</v>
      </c>
      <c r="H107" s="1">
        <v>1.5811401498417801E-8</v>
      </c>
      <c r="I107" s="1">
        <v>8.9048028357421606E-8</v>
      </c>
      <c r="K107">
        <v>0.2</v>
      </c>
      <c r="L107">
        <v>10</v>
      </c>
      <c r="M107" s="2">
        <f t="shared" si="67"/>
        <v>60.016178850000003</v>
      </c>
      <c r="N107" s="3">
        <f t="shared" si="68"/>
        <v>-0.10360568465281425</v>
      </c>
      <c r="O107" s="3">
        <f t="shared" si="69"/>
        <v>-4.3105088487318782E-2</v>
      </c>
      <c r="Q107" s="3">
        <f t="shared" si="70"/>
        <v>5.2690463809552577E-4</v>
      </c>
      <c r="R107" s="3">
        <f t="shared" si="71"/>
        <v>2.9674674417370581E-3</v>
      </c>
      <c r="S107" s="1">
        <f t="shared" si="72"/>
        <v>2.6568431438071132E-4</v>
      </c>
    </row>
    <row r="108" spans="1:21" x14ac:dyDescent="0.2">
      <c r="A108">
        <v>100</v>
      </c>
      <c r="D108">
        <v>0.39991324942000001</v>
      </c>
      <c r="E108" s="1">
        <v>-2.1786061999999998E-6</v>
      </c>
      <c r="F108" s="1">
        <v>-9.2001563666666697E-7</v>
      </c>
      <c r="G108" s="1">
        <v>9.6820941271961097E-7</v>
      </c>
      <c r="H108" s="1">
        <v>6.1408768857224298E-8</v>
      </c>
      <c r="I108" s="1">
        <v>8.5806485313026604E-8</v>
      </c>
      <c r="K108">
        <v>0.2</v>
      </c>
      <c r="L108">
        <v>10</v>
      </c>
      <c r="M108" s="2">
        <f t="shared" si="67"/>
        <v>39.991324941999999</v>
      </c>
      <c r="N108" s="3">
        <f t="shared" si="68"/>
        <v>-0.10895393954362174</v>
      </c>
      <c r="O108" s="3">
        <f t="shared" si="69"/>
        <v>-4.601076048372886E-2</v>
      </c>
      <c r="Q108" s="3">
        <f t="shared" si="70"/>
        <v>3.071104493101258E-3</v>
      </c>
      <c r="R108" s="3">
        <f t="shared" si="71"/>
        <v>4.2912549377882823E-3</v>
      </c>
      <c r="S108" s="1">
        <f t="shared" si="72"/>
        <v>2.4210486002247217E-4</v>
      </c>
    </row>
    <row r="109" spans="1:21" x14ac:dyDescent="0.2">
      <c r="A109">
        <v>101</v>
      </c>
      <c r="D109">
        <v>0.20040443050000001</v>
      </c>
      <c r="E109" s="1">
        <v>-1.2505278833333301E-6</v>
      </c>
      <c r="F109" s="1">
        <v>-5.0141764500000099E-7</v>
      </c>
      <c r="G109" s="1">
        <v>4.8498061374130004E-7</v>
      </c>
      <c r="H109" s="1">
        <v>7.7931265777519501E-8</v>
      </c>
      <c r="I109" s="1">
        <v>4.5907612932885598E-8</v>
      </c>
      <c r="K109">
        <v>0.2</v>
      </c>
      <c r="L109">
        <v>10</v>
      </c>
      <c r="M109" s="2">
        <f t="shared" si="67"/>
        <v>20.04044305</v>
      </c>
      <c r="N109" s="3">
        <f t="shared" si="68"/>
        <v>-0.12480042284627337</v>
      </c>
      <c r="O109" s="3">
        <f t="shared" si="69"/>
        <v>-5.0040574826513237E-2</v>
      </c>
      <c r="Q109" s="3">
        <f t="shared" si="70"/>
        <v>7.7773994899298909E-3</v>
      </c>
      <c r="R109" s="3">
        <f t="shared" si="71"/>
        <v>4.5814968080643906E-3</v>
      </c>
      <c r="S109" s="1">
        <f t="shared" si="72"/>
        <v>2.4200094405662354E-4</v>
      </c>
    </row>
    <row r="110" spans="1:21" x14ac:dyDescent="0.2">
      <c r="A110">
        <v>102</v>
      </c>
      <c r="D110">
        <v>0.10037899574</v>
      </c>
      <c r="E110" s="1">
        <v>-6.3469095833333304E-7</v>
      </c>
      <c r="F110" s="1">
        <v>-2.1653147050000001E-7</v>
      </c>
      <c r="G110" s="1">
        <v>1.8231207038765999E-7</v>
      </c>
      <c r="H110" s="1">
        <v>4.2438475729066902E-8</v>
      </c>
      <c r="I110" s="1">
        <v>4.9915959104990798E-8</v>
      </c>
      <c r="K110">
        <v>0.2</v>
      </c>
      <c r="L110">
        <v>10</v>
      </c>
      <c r="M110" s="2">
        <f t="shared" si="67"/>
        <v>10.037899574000001</v>
      </c>
      <c r="N110" s="3">
        <f t="shared" si="68"/>
        <v>-0.12645891775552309</v>
      </c>
      <c r="O110" s="3">
        <f t="shared" si="69"/>
        <v>-4.3142784783552969E-2</v>
      </c>
      <c r="Q110" s="3">
        <f t="shared" si="70"/>
        <v>8.4556485978382039E-3</v>
      </c>
      <c r="R110" s="3">
        <f t="shared" si="71"/>
        <v>9.9454988042084573E-3</v>
      </c>
      <c r="S110" s="1">
        <f t="shared" si="72"/>
        <v>1.8162372421007446E-4</v>
      </c>
    </row>
    <row r="111" spans="1:21" x14ac:dyDescent="0.2">
      <c r="A111">
        <v>103</v>
      </c>
    </row>
    <row r="112" spans="1:21" x14ac:dyDescent="0.2">
      <c r="A112">
        <v>104</v>
      </c>
      <c r="C112" t="s">
        <v>77</v>
      </c>
      <c r="D112">
        <v>1.196338522</v>
      </c>
      <c r="E112" s="1">
        <v>-3.8452178666666703E-6</v>
      </c>
      <c r="F112" s="1">
        <v>-2.0632475499999999E-6</v>
      </c>
      <c r="G112" s="1">
        <v>6.0108138320958099E-6</v>
      </c>
      <c r="H112" s="1">
        <v>5.5907418578535302E-8</v>
      </c>
      <c r="I112" s="1">
        <v>3.9435787433465899E-8</v>
      </c>
      <c r="K112">
        <v>0.2</v>
      </c>
      <c r="L112">
        <v>10</v>
      </c>
      <c r="M112" s="2">
        <f t="shared" ref="M112:M117" si="73">100*D112/(K112*5)</f>
        <v>119.63385220000001</v>
      </c>
      <c r="N112" s="3">
        <f t="shared" ref="N112:N117" si="74">1000000*E112*K112/(L112*D112)</f>
        <v>-6.4283107096448924E-2</v>
      </c>
      <c r="O112" s="3">
        <f t="shared" ref="O112:O117" si="75">1000000*F112*K112/(D112*L112)</f>
        <v>-3.4492704398596641E-2</v>
      </c>
      <c r="Q112" s="3">
        <f t="shared" ref="Q112:Q117" si="76">1000000*K112*H112/(L112*D112)</f>
        <v>9.3464211927358305E-4</v>
      </c>
      <c r="R112" s="3">
        <f t="shared" ref="R112:R117" si="77">1000000*K112*I112/(L112*D112)</f>
        <v>6.5927472380540629E-4</v>
      </c>
      <c r="S112" s="1">
        <f t="shared" ref="S112:S117" si="78">G112*100/D112</f>
        <v>5.0243419580330202E-4</v>
      </c>
      <c r="T112" s="3"/>
      <c r="U112" s="3"/>
    </row>
    <row r="113" spans="1:22" x14ac:dyDescent="0.2">
      <c r="A113">
        <v>105</v>
      </c>
      <c r="C113" t="s">
        <v>78</v>
      </c>
      <c r="D113">
        <v>1.0013187366</v>
      </c>
      <c r="E113" s="1">
        <v>-3.8041021333333301E-6</v>
      </c>
      <c r="F113" s="1">
        <v>-1.7435088666666599E-6</v>
      </c>
      <c r="G113" s="1">
        <v>1.1301801612590201E-6</v>
      </c>
      <c r="H113" s="1">
        <v>1.4957514102134599E-8</v>
      </c>
      <c r="I113" s="1">
        <v>1.7039743881747699E-9</v>
      </c>
      <c r="K113">
        <v>0.2</v>
      </c>
      <c r="L113">
        <v>10</v>
      </c>
      <c r="M113" s="2">
        <f t="shared" si="73"/>
        <v>100.13187366</v>
      </c>
      <c r="N113" s="3">
        <f t="shared" si="74"/>
        <v>-7.5981842629855176E-2</v>
      </c>
      <c r="O113" s="3">
        <f t="shared" si="75"/>
        <v>-3.4824253315917826E-2</v>
      </c>
      <c r="Q113" s="3">
        <f t="shared" si="76"/>
        <v>2.9875630117385339E-4</v>
      </c>
      <c r="R113" s="3">
        <f t="shared" si="77"/>
        <v>3.4034605084104444E-5</v>
      </c>
      <c r="S113" s="1">
        <f t="shared" si="78"/>
        <v>1.1286917141854069E-4</v>
      </c>
      <c r="T113" s="3"/>
      <c r="U113" s="3"/>
    </row>
    <row r="114" spans="1:22" x14ac:dyDescent="0.2">
      <c r="A114">
        <v>106</v>
      </c>
      <c r="D114">
        <v>0.60037315034000005</v>
      </c>
      <c r="E114" s="1">
        <v>-2.7989448499999999E-6</v>
      </c>
      <c r="F114" s="1">
        <v>-1.0824431166666699E-6</v>
      </c>
      <c r="G114" s="1">
        <v>1.2625434012616499E-6</v>
      </c>
      <c r="H114" s="1">
        <v>3.8364165280169503E-8</v>
      </c>
      <c r="I114" s="1">
        <v>5.2250880044771102E-8</v>
      </c>
      <c r="K114">
        <v>0.2</v>
      </c>
      <c r="L114">
        <v>10</v>
      </c>
      <c r="M114" s="2">
        <f t="shared" si="73"/>
        <v>60.037315034000002</v>
      </c>
      <c r="N114" s="3">
        <f t="shared" si="74"/>
        <v>-9.3240173995619763E-2</v>
      </c>
      <c r="O114" s="3">
        <f t="shared" si="75"/>
        <v>-3.6059011501552544E-2</v>
      </c>
      <c r="Q114" s="3">
        <f t="shared" si="76"/>
        <v>1.2780106924649549E-3</v>
      </c>
      <c r="R114" s="3">
        <f t="shared" si="77"/>
        <v>1.7406134839701162E-3</v>
      </c>
      <c r="S114" s="1">
        <f t="shared" si="78"/>
        <v>2.1029311529781989E-4</v>
      </c>
      <c r="T114" s="3"/>
      <c r="U114" s="3"/>
    </row>
    <row r="115" spans="1:22" x14ac:dyDescent="0.2">
      <c r="A115">
        <v>107</v>
      </c>
      <c r="D115">
        <v>0.40011632355999999</v>
      </c>
      <c r="E115" s="1">
        <v>-2.0020842166666702E-6</v>
      </c>
      <c r="F115" s="1">
        <v>-8.2393366166666595E-7</v>
      </c>
      <c r="G115" s="1">
        <v>8.8797169107931195E-7</v>
      </c>
      <c r="H115" s="1">
        <v>4.6092749043492598E-8</v>
      </c>
      <c r="I115" s="1">
        <v>5.24691346071243E-8</v>
      </c>
      <c r="K115">
        <v>0.2</v>
      </c>
      <c r="L115">
        <v>10</v>
      </c>
      <c r="M115" s="2">
        <f t="shared" si="73"/>
        <v>40.011632356</v>
      </c>
      <c r="N115" s="3">
        <f t="shared" si="74"/>
        <v>-0.10007510810122923</v>
      </c>
      <c r="O115" s="3">
        <f t="shared" si="75"/>
        <v>-4.1184706204225222E-2</v>
      </c>
      <c r="Q115" s="3">
        <f t="shared" si="76"/>
        <v>2.3039674379383671E-3</v>
      </c>
      <c r="R115" s="3">
        <f t="shared" si="77"/>
        <v>2.6226940275910146E-3</v>
      </c>
      <c r="S115" s="1">
        <f t="shared" si="78"/>
        <v>2.2192838402059222E-4</v>
      </c>
      <c r="T115" s="3"/>
      <c r="U115" s="3"/>
    </row>
    <row r="116" spans="1:22" x14ac:dyDescent="0.2">
      <c r="A116">
        <v>108</v>
      </c>
      <c r="D116">
        <v>0.20017811465999999</v>
      </c>
      <c r="E116" s="1">
        <v>-1.12868806666667E-6</v>
      </c>
      <c r="F116" s="1">
        <v>-4.8623353666666702E-7</v>
      </c>
      <c r="G116" s="1">
        <v>3.01951613558605E-7</v>
      </c>
      <c r="H116" s="1">
        <v>5.7226585018930601E-8</v>
      </c>
      <c r="I116" s="1">
        <v>6.9235729532027001E-8</v>
      </c>
      <c r="K116">
        <v>0.2</v>
      </c>
      <c r="L116">
        <v>10</v>
      </c>
      <c r="M116" s="2">
        <f t="shared" si="73"/>
        <v>20.017811465999998</v>
      </c>
      <c r="N116" s="3">
        <f t="shared" si="74"/>
        <v>-0.11276837815999342</v>
      </c>
      <c r="O116" s="3">
        <f t="shared" si="75"/>
        <v>-4.8580089536014316E-2</v>
      </c>
      <c r="Q116" s="3">
        <f t="shared" si="76"/>
        <v>5.7175665897472592E-3</v>
      </c>
      <c r="R116" s="3">
        <f t="shared" si="77"/>
        <v>6.9174124903337228E-3</v>
      </c>
      <c r="S116" s="1">
        <f t="shared" si="78"/>
        <v>1.5084147139234776E-4</v>
      </c>
      <c r="T116" s="3"/>
      <c r="U116" s="3"/>
    </row>
    <row r="117" spans="1:22" x14ac:dyDescent="0.2">
      <c r="A117">
        <v>109</v>
      </c>
      <c r="D117">
        <v>0.1002345509</v>
      </c>
      <c r="E117" s="1">
        <v>-5.8636159000000001E-7</v>
      </c>
      <c r="F117" s="1">
        <v>-2.4429738000000001E-7</v>
      </c>
      <c r="G117" s="1">
        <v>1.00175996568022E-7</v>
      </c>
      <c r="H117" s="1">
        <v>8.3939806696635597E-8</v>
      </c>
      <c r="I117" s="1">
        <v>6.6316932810222804E-8</v>
      </c>
      <c r="K117">
        <v>0.2</v>
      </c>
      <c r="L117">
        <v>10</v>
      </c>
      <c r="M117" s="2">
        <f t="shared" si="73"/>
        <v>10.023455089999999</v>
      </c>
      <c r="N117" s="3">
        <f t="shared" si="74"/>
        <v>-0.11699789837637713</v>
      </c>
      <c r="O117" s="3">
        <f t="shared" si="75"/>
        <v>-4.8745143826448775E-2</v>
      </c>
      <c r="Q117" s="3">
        <f t="shared" si="76"/>
        <v>1.6748677166295477E-2</v>
      </c>
      <c r="R117" s="3">
        <f t="shared" si="77"/>
        <v>1.3232349966107905E-2</v>
      </c>
      <c r="S117" s="1">
        <f t="shared" si="78"/>
        <v>9.9941582686356899E-5</v>
      </c>
      <c r="T117" s="3"/>
      <c r="U117" s="3"/>
    </row>
    <row r="118" spans="1:22" x14ac:dyDescent="0.2">
      <c r="A118">
        <v>110</v>
      </c>
      <c r="E118" s="1"/>
      <c r="F118" s="1"/>
      <c r="G118" s="1"/>
      <c r="H118" s="1"/>
      <c r="I118" s="1"/>
      <c r="M118" s="2"/>
      <c r="N118" s="3"/>
      <c r="O118" s="3"/>
      <c r="Q118" s="3"/>
      <c r="R118" s="3"/>
      <c r="S118" s="1"/>
    </row>
    <row r="119" spans="1:22" x14ac:dyDescent="0.2">
      <c r="A119">
        <v>111</v>
      </c>
      <c r="C119" t="s">
        <v>89</v>
      </c>
      <c r="D119">
        <v>0.99669570048</v>
      </c>
      <c r="E119" s="1">
        <v>-3.4570008166666502E-6</v>
      </c>
      <c r="F119" s="1">
        <v>-2.0610621833333301E-6</v>
      </c>
      <c r="G119" s="1">
        <v>2.15924306592971E-6</v>
      </c>
      <c r="H119" s="1">
        <v>1.30660182725926E-8</v>
      </c>
      <c r="I119" s="1">
        <v>1.33799151491974E-8</v>
      </c>
      <c r="K119">
        <v>0.2</v>
      </c>
      <c r="L119">
        <v>10</v>
      </c>
      <c r="M119" s="2">
        <f>100*D119/(K119*5)</f>
        <v>99.669570047999997</v>
      </c>
      <c r="N119" s="3">
        <f>1000000*E119*K119/(L119*D119)</f>
        <v>-6.9369233056825449E-2</v>
      </c>
      <c r="O119" s="3">
        <f>1000000*F119*K119/(D119*L119)</f>
        <v>-4.1357902564257885E-2</v>
      </c>
      <c r="Q119" s="3">
        <f>1000000*K119*H119/(L119*D119)</f>
        <v>2.6218670886811528E-4</v>
      </c>
      <c r="R119" s="3">
        <f>1000000*K119*I119/(L119*D119)</f>
        <v>2.6848545935843307E-4</v>
      </c>
      <c r="S119" s="1">
        <f>G119*100/D119</f>
        <v>2.1664015053840779E-4</v>
      </c>
    </row>
    <row r="120" spans="1:22" x14ac:dyDescent="0.2">
      <c r="A120">
        <v>112</v>
      </c>
      <c r="C120" t="s">
        <v>90</v>
      </c>
      <c r="D120">
        <v>0.98931690983999998</v>
      </c>
      <c r="E120" s="1">
        <v>-3.7691146833333499E-6</v>
      </c>
      <c r="F120" s="1">
        <v>-3.8468065666666798E-6</v>
      </c>
      <c r="G120" s="1">
        <v>8.5917439848426298E-7</v>
      </c>
      <c r="H120" s="1">
        <v>3.7996171446165297E-8</v>
      </c>
      <c r="I120" s="1">
        <v>2.6596131477069299E-8</v>
      </c>
      <c r="K120">
        <v>0.2</v>
      </c>
      <c r="L120">
        <v>10</v>
      </c>
      <c r="M120" s="2">
        <f>100*D120/(K120*5)</f>
        <v>98.931690983999999</v>
      </c>
      <c r="N120" s="3">
        <f>1000000*E120*K120/(L120*D120)</f>
        <v>-7.6196305669998521E-2</v>
      </c>
      <c r="O120" s="3">
        <f>1000000*F120*K120/(D120*L120)</f>
        <v>-7.7766922376547989E-2</v>
      </c>
      <c r="Q120" s="3">
        <f>1000000*K120*H120/(L120*D120)</f>
        <v>7.6812942482324157E-4</v>
      </c>
      <c r="R120" s="3">
        <f>1000000*K120*I120/(L120*D120)</f>
        <v>5.3766656998454894E-4</v>
      </c>
      <c r="S120" s="1">
        <f>G120*100/D120</f>
        <v>8.684521511142627E-5</v>
      </c>
      <c r="U120" s="3"/>
      <c r="V120" s="3"/>
    </row>
    <row r="121" spans="1:22" x14ac:dyDescent="0.2">
      <c r="A121">
        <v>113</v>
      </c>
      <c r="E121" s="1"/>
      <c r="F121" s="1"/>
      <c r="G121" s="1"/>
      <c r="H121" s="1"/>
      <c r="I121" s="1"/>
      <c r="M121" s="2"/>
      <c r="N121" s="3"/>
      <c r="O121" s="3"/>
      <c r="Q121" s="3"/>
      <c r="R121" s="3"/>
      <c r="S121" s="1"/>
      <c r="U121" s="3"/>
      <c r="V121" s="3"/>
    </row>
    <row r="122" spans="1:22" x14ac:dyDescent="0.2">
      <c r="A122">
        <v>114</v>
      </c>
      <c r="E122" s="1"/>
      <c r="F122" s="1"/>
      <c r="G122" s="1"/>
      <c r="H122" s="1"/>
      <c r="I122" s="1"/>
      <c r="M122" s="2"/>
      <c r="N122" s="3"/>
      <c r="O122" s="3"/>
      <c r="Q122" s="3"/>
      <c r="R122" s="3"/>
      <c r="S122" s="1"/>
      <c r="U122" s="3"/>
      <c r="V122" s="3"/>
    </row>
    <row r="123" spans="1:22" x14ac:dyDescent="0.2">
      <c r="A123">
        <v>115</v>
      </c>
      <c r="C123" t="s">
        <v>81</v>
      </c>
      <c r="D123">
        <v>0.95007726307999996</v>
      </c>
      <c r="E123" s="1">
        <v>-5.0386376666666302E-3</v>
      </c>
      <c r="F123" s="1">
        <v>1.6838655833333299E-2</v>
      </c>
      <c r="G123" s="1">
        <v>3.65790112697714E-6</v>
      </c>
      <c r="H123" s="1">
        <v>6.0500247566070102E-6</v>
      </c>
      <c r="I123" s="1">
        <v>2.84304976971131E-5</v>
      </c>
      <c r="K123">
        <v>0.2</v>
      </c>
      <c r="L123">
        <v>10</v>
      </c>
      <c r="M123" s="2">
        <f>100*D123/(K123*5)</f>
        <v>95.007726308000002</v>
      </c>
      <c r="N123" s="3">
        <f>1000000*E123*K123/(L123*D123)</f>
        <v>-106.06795599617162</v>
      </c>
      <c r="O123" s="3">
        <f>1000000*F123*K123/(D123*L123)</f>
        <v>354.46918872145289</v>
      </c>
      <c r="Q123" s="3">
        <f>1000000*K123*H123/(L123*D123)</f>
        <v>0.12735858422700883</v>
      </c>
      <c r="R123" s="3">
        <f>1000000*K123*I123/(L123*D123)</f>
        <v>0.5984881188493224</v>
      </c>
      <c r="S123" s="1">
        <f>G123*100/D123</f>
        <v>3.8501091112514411E-4</v>
      </c>
      <c r="U123" s="3"/>
      <c r="V123" s="3"/>
    </row>
    <row r="124" spans="1:22" x14ac:dyDescent="0.2">
      <c r="A124">
        <v>116</v>
      </c>
      <c r="E124" s="1"/>
      <c r="F124" s="1"/>
      <c r="G124" s="1"/>
      <c r="H124" s="1"/>
      <c r="I124" s="1"/>
      <c r="M124" s="2"/>
      <c r="N124" s="3"/>
      <c r="O124" s="3"/>
      <c r="Q124" s="3"/>
      <c r="R124" s="3"/>
      <c r="S124" s="1"/>
      <c r="U124" s="3"/>
      <c r="V124" s="3"/>
    </row>
    <row r="125" spans="1:22" x14ac:dyDescent="0.2">
      <c r="A125">
        <v>117</v>
      </c>
      <c r="B125" s="4">
        <v>36538</v>
      </c>
      <c r="C125" s="5" t="s">
        <v>80</v>
      </c>
      <c r="H125" t="s">
        <v>50</v>
      </c>
      <c r="I125" t="s">
        <v>51</v>
      </c>
      <c r="J125" t="s">
        <v>53</v>
      </c>
      <c r="L125" t="s">
        <v>54</v>
      </c>
      <c r="M125" t="s">
        <v>58</v>
      </c>
      <c r="N125" t="s">
        <v>56</v>
      </c>
      <c r="U125" s="3"/>
      <c r="V125" s="3"/>
    </row>
    <row r="126" spans="1:22" x14ac:dyDescent="0.2">
      <c r="A126">
        <v>118</v>
      </c>
      <c r="D126" t="s">
        <v>14</v>
      </c>
      <c r="E126" t="s">
        <v>171</v>
      </c>
      <c r="F126" t="s">
        <v>172</v>
      </c>
      <c r="G126" t="s">
        <v>32</v>
      </c>
      <c r="H126" t="s">
        <v>16</v>
      </c>
      <c r="I126" t="s">
        <v>52</v>
      </c>
      <c r="J126" t="s">
        <v>54</v>
      </c>
      <c r="K126" t="s">
        <v>55</v>
      </c>
      <c r="L126" t="s">
        <v>57</v>
      </c>
      <c r="M126" t="s">
        <v>57</v>
      </c>
      <c r="N126" t="s">
        <v>59</v>
      </c>
      <c r="U126" s="3"/>
      <c r="V126" s="3"/>
    </row>
    <row r="127" spans="1:22" x14ac:dyDescent="0.2">
      <c r="A127">
        <v>119</v>
      </c>
      <c r="C127" t="s">
        <v>45</v>
      </c>
      <c r="D127">
        <v>1.0089999999999999</v>
      </c>
      <c r="E127" s="7">
        <v>0.435</v>
      </c>
      <c r="F127">
        <f>E127/D127</f>
        <v>0.43111992071357785</v>
      </c>
      <c r="G127">
        <v>0.2</v>
      </c>
      <c r="H127">
        <f>0.317/G127</f>
        <v>1.585</v>
      </c>
      <c r="I127">
        <f>H127+1</f>
        <v>2.585</v>
      </c>
      <c r="J127">
        <f>F127-K127*I127/20</f>
        <v>0.30186992071357788</v>
      </c>
      <c r="K127">
        <v>1</v>
      </c>
      <c r="L127">
        <f>J127</f>
        <v>0.30186992071357788</v>
      </c>
      <c r="M127" s="15">
        <f>1/L127</f>
        <v>3.3126851381420885</v>
      </c>
      <c r="N127">
        <f>5*M127/SUM($M$127:$M$131)</f>
        <v>0.94899614503987673</v>
      </c>
      <c r="U127" s="3"/>
      <c r="V127" s="3"/>
    </row>
    <row r="128" spans="1:22" x14ac:dyDescent="0.2">
      <c r="A128">
        <v>120</v>
      </c>
      <c r="C128" t="s">
        <v>46</v>
      </c>
      <c r="D128">
        <v>1.0058</v>
      </c>
      <c r="E128">
        <v>0.87070000000000003</v>
      </c>
      <c r="F128">
        <f>E128/D128</f>
        <v>0.86567906144362694</v>
      </c>
      <c r="G128">
        <v>0.2</v>
      </c>
      <c r="H128">
        <f>0.317/G128</f>
        <v>1.585</v>
      </c>
      <c r="I128">
        <f>H128+1</f>
        <v>2.585</v>
      </c>
      <c r="J128">
        <f>F128-K128*I128/20</f>
        <v>0.60717906144362699</v>
      </c>
      <c r="K128">
        <v>2</v>
      </c>
      <c r="L128">
        <f>J128-J127</f>
        <v>0.30530914073004911</v>
      </c>
      <c r="M128" s="15">
        <f>1/L128</f>
        <v>3.275368688958411</v>
      </c>
      <c r="N128">
        <f>5*M128/SUM($M$127:$M$131)</f>
        <v>0.93830597529988513</v>
      </c>
      <c r="O128" s="3"/>
    </row>
    <row r="129" spans="1:22" x14ac:dyDescent="0.2">
      <c r="A129">
        <v>121</v>
      </c>
      <c r="C129" t="s">
        <v>48</v>
      </c>
      <c r="D129">
        <v>1.0021</v>
      </c>
      <c r="E129">
        <v>1.2995000000000001</v>
      </c>
      <c r="F129">
        <f>E129/D129</f>
        <v>1.2967767687855505</v>
      </c>
      <c r="G129">
        <v>0.2</v>
      </c>
      <c r="H129">
        <f>0.317/G129</f>
        <v>1.585</v>
      </c>
      <c r="I129">
        <f>H129+1</f>
        <v>2.585</v>
      </c>
      <c r="J129">
        <f>F129-K129*I129/20</f>
        <v>0.90902676878555044</v>
      </c>
      <c r="K129">
        <v>3</v>
      </c>
      <c r="L129">
        <f>J129-J128</f>
        <v>0.30184770734192345</v>
      </c>
      <c r="M129" s="15">
        <f>1/L129</f>
        <v>3.3129289230188914</v>
      </c>
      <c r="N129">
        <f>5*M129/SUM($M$127:$M$131)</f>
        <v>0.94906598292022382</v>
      </c>
      <c r="O129" s="3"/>
    </row>
    <row r="130" spans="1:22" x14ac:dyDescent="0.2">
      <c r="A130">
        <v>122</v>
      </c>
      <c r="C130" t="s">
        <v>49</v>
      </c>
      <c r="D130">
        <v>1</v>
      </c>
      <c r="E130">
        <v>1.6904999999999999</v>
      </c>
      <c r="F130">
        <f>E130/D130</f>
        <v>1.6904999999999999</v>
      </c>
      <c r="G130">
        <v>0.2</v>
      </c>
      <c r="H130">
        <f>0.317/G130</f>
        <v>1.585</v>
      </c>
      <c r="I130">
        <f>H130+1</f>
        <v>2.585</v>
      </c>
      <c r="J130">
        <f>F130-K130*I130/20</f>
        <v>1.1734999999999998</v>
      </c>
      <c r="K130">
        <v>4</v>
      </c>
      <c r="L130">
        <f>J130-J129</f>
        <v>0.26447323121444932</v>
      </c>
      <c r="M130" s="15">
        <f>1/L130</f>
        <v>3.7811010037123398</v>
      </c>
      <c r="N130">
        <f>5*M130/SUM($M$127:$M$131)</f>
        <v>1.0831848264764095</v>
      </c>
      <c r="O130" s="3"/>
    </row>
    <row r="131" spans="1:22" x14ac:dyDescent="0.2">
      <c r="A131">
        <v>123</v>
      </c>
      <c r="C131" t="s">
        <v>79</v>
      </c>
      <c r="D131">
        <v>0.99890000000000001</v>
      </c>
      <c r="E131">
        <v>2.0825999999999998</v>
      </c>
      <c r="F131">
        <f>E131/D131</f>
        <v>2.0848933827209928</v>
      </c>
      <c r="G131">
        <v>0.2</v>
      </c>
      <c r="H131">
        <f>0.317/G131</f>
        <v>1.585</v>
      </c>
      <c r="I131">
        <f>H131+1</f>
        <v>2.585</v>
      </c>
      <c r="J131">
        <f>F131-K131*I131/20</f>
        <v>1.4386433827209928</v>
      </c>
      <c r="K131">
        <v>5</v>
      </c>
      <c r="L131">
        <f>J131-J130</f>
        <v>0.26514338272099303</v>
      </c>
      <c r="M131" s="15">
        <f>1/L131</f>
        <v>3.7715442480127335</v>
      </c>
      <c r="N131">
        <f>5*M131/SUM($M$127:$M$131)</f>
        <v>1.0804470702636049</v>
      </c>
      <c r="O131" s="3"/>
    </row>
    <row r="132" spans="1:22" x14ac:dyDescent="0.2">
      <c r="A132">
        <v>124</v>
      </c>
      <c r="M132" s="15"/>
    </row>
    <row r="133" spans="1:22" x14ac:dyDescent="0.2">
      <c r="A133">
        <v>125</v>
      </c>
      <c r="C133" s="5" t="s">
        <v>88</v>
      </c>
      <c r="J133" s="5" t="s">
        <v>18</v>
      </c>
      <c r="K133" s="5" t="s">
        <v>2</v>
      </c>
      <c r="L133" s="5" t="s">
        <v>3</v>
      </c>
      <c r="M133" s="5" t="s">
        <v>180</v>
      </c>
      <c r="N133" s="13" t="s">
        <v>246</v>
      </c>
      <c r="O133" s="13"/>
      <c r="P133" s="13" t="s">
        <v>245</v>
      </c>
      <c r="Q133" s="13"/>
      <c r="S133" s="5" t="s">
        <v>318</v>
      </c>
      <c r="T133" s="5" t="s">
        <v>318</v>
      </c>
      <c r="U133" s="307" t="s">
        <v>109</v>
      </c>
      <c r="V133" s="307"/>
    </row>
    <row r="134" spans="1:22" x14ac:dyDescent="0.2">
      <c r="A134">
        <v>126</v>
      </c>
      <c r="N134" t="s">
        <v>247</v>
      </c>
      <c r="O134" t="s">
        <v>248</v>
      </c>
      <c r="P134" t="s">
        <v>107</v>
      </c>
      <c r="Q134" t="s">
        <v>108</v>
      </c>
      <c r="R134" t="s">
        <v>320</v>
      </c>
      <c r="S134" t="s">
        <v>98</v>
      </c>
      <c r="T134" t="s">
        <v>99</v>
      </c>
      <c r="U134" t="s">
        <v>98</v>
      </c>
      <c r="V134" t="s">
        <v>99</v>
      </c>
    </row>
    <row r="135" spans="1:22" x14ac:dyDescent="0.2">
      <c r="A135">
        <v>127</v>
      </c>
      <c r="C135" t="s">
        <v>82</v>
      </c>
      <c r="D135">
        <v>0.97259576327999997</v>
      </c>
      <c r="E135" s="1">
        <v>-3.0677520666666699E-7</v>
      </c>
      <c r="F135" s="1">
        <v>4.2087876333333299E-7</v>
      </c>
      <c r="G135" s="1">
        <v>2.7803420698306398E-6</v>
      </c>
      <c r="H135" s="1">
        <v>3.3988399392792098E-8</v>
      </c>
      <c r="I135" s="1">
        <v>2.72637035566946E-8</v>
      </c>
      <c r="J135">
        <v>4</v>
      </c>
      <c r="K135">
        <v>0.2</v>
      </c>
      <c r="L135">
        <v>10</v>
      </c>
      <c r="M135" s="2">
        <f>J135*D135/K135</f>
        <v>19.451915265599997</v>
      </c>
      <c r="N135" s="3">
        <f>1000000*E135/L135</f>
        <v>-3.0677520666666701E-2</v>
      </c>
      <c r="O135" s="3">
        <f>1000000*F135/L135</f>
        <v>4.2087876333333295E-2</v>
      </c>
      <c r="P135" s="3">
        <f>J135*N135/M135</f>
        <v>-6.3083804854771868E-3</v>
      </c>
      <c r="Q135" s="3">
        <f>O135*J135/M135</f>
        <v>8.6547521431504827E-3</v>
      </c>
    </row>
    <row r="136" spans="1:22" x14ac:dyDescent="0.2">
      <c r="A136">
        <v>128</v>
      </c>
      <c r="C136" t="s">
        <v>83</v>
      </c>
      <c r="D136">
        <v>0.96793095652000005</v>
      </c>
      <c r="E136" s="1">
        <v>1.05463076833333E-6</v>
      </c>
      <c r="F136" s="1">
        <v>6.7654868999998996E-7</v>
      </c>
      <c r="G136" s="1">
        <v>1.81203049791564E-6</v>
      </c>
      <c r="H136" s="1">
        <v>4.4749207625141201E-8</v>
      </c>
      <c r="I136" s="1">
        <v>4.5935459094951101E-8</v>
      </c>
      <c r="J136">
        <v>4</v>
      </c>
      <c r="K136">
        <v>0.2</v>
      </c>
      <c r="L136">
        <v>10</v>
      </c>
      <c r="M136" s="2">
        <f>J136*D136/K136</f>
        <v>19.358619130400001</v>
      </c>
      <c r="N136" s="3">
        <f t="shared" ref="N136:N143" si="79">1000000*E136/L136</f>
        <v>0.105463076833333</v>
      </c>
      <c r="O136" s="3">
        <f t="shared" ref="O136:O143" si="80">1000000*F136/L136</f>
        <v>6.7654868999998993E-2</v>
      </c>
      <c r="P136" s="3">
        <f t="shared" ref="P136:P143" si="81">J136*N136/M136</f>
        <v>2.1791446202424222E-2</v>
      </c>
      <c r="Q136" s="3">
        <f t="shared" ref="Q136:Q143" si="82">O136*J136/M136</f>
        <v>1.3979275803563177E-2</v>
      </c>
    </row>
    <row r="137" spans="1:22" x14ac:dyDescent="0.2">
      <c r="A137">
        <v>129</v>
      </c>
      <c r="C137" t="s">
        <v>84</v>
      </c>
      <c r="D137">
        <v>0.96444640709999996</v>
      </c>
      <c r="E137" s="1">
        <v>-3.5899946499999898E-7</v>
      </c>
      <c r="F137" s="1">
        <v>3.22609996666666E-7</v>
      </c>
      <c r="G137" s="1">
        <v>1.31220760346075E-6</v>
      </c>
      <c r="H137" s="1">
        <v>5.97119077764682E-8</v>
      </c>
      <c r="I137" s="1">
        <v>2.3369687173772501E-8</v>
      </c>
      <c r="J137">
        <v>4</v>
      </c>
      <c r="K137">
        <v>0.2</v>
      </c>
      <c r="L137">
        <v>10</v>
      </c>
      <c r="M137" s="2">
        <f>J137*D137/K137</f>
        <v>19.288928142</v>
      </c>
      <c r="N137" s="3">
        <f t="shared" si="79"/>
        <v>-3.5899946499999898E-2</v>
      </c>
      <c r="O137" s="3">
        <f t="shared" si="80"/>
        <v>3.2260999666666602E-2</v>
      </c>
      <c r="P137" s="3">
        <f t="shared" si="81"/>
        <v>-7.4446742163616275E-3</v>
      </c>
      <c r="Q137" s="3">
        <f t="shared" si="82"/>
        <v>6.6900554409596294E-3</v>
      </c>
    </row>
    <row r="138" spans="1:22" x14ac:dyDescent="0.2">
      <c r="A138">
        <v>130</v>
      </c>
      <c r="M138" s="2"/>
      <c r="N138" s="3"/>
      <c r="O138" s="3"/>
      <c r="P138" s="3"/>
      <c r="Q138" s="3"/>
    </row>
    <row r="139" spans="1:22" x14ac:dyDescent="0.2">
      <c r="A139">
        <v>131</v>
      </c>
      <c r="C139" t="s">
        <v>26</v>
      </c>
      <c r="D139">
        <v>0.95960232357999997</v>
      </c>
      <c r="E139" s="1">
        <v>-3.3971788499999701E-7</v>
      </c>
      <c r="F139" s="1">
        <v>4.13561906666666E-7</v>
      </c>
      <c r="G139" s="1">
        <v>8.4089200340356998E-7</v>
      </c>
      <c r="H139" s="1">
        <v>6.3153613875758306E-8</v>
      </c>
      <c r="I139" s="1">
        <v>6.8852154055250506E-8</v>
      </c>
      <c r="J139">
        <v>4</v>
      </c>
      <c r="K139">
        <v>0.2</v>
      </c>
      <c r="L139">
        <v>10</v>
      </c>
      <c r="M139" s="2">
        <f>J139*D139/K139</f>
        <v>19.192046471599998</v>
      </c>
      <c r="N139" s="3">
        <f t="shared" si="79"/>
        <v>-3.3971788499999697E-2</v>
      </c>
      <c r="O139" s="3">
        <f t="shared" si="80"/>
        <v>4.1356190666666598E-2</v>
      </c>
      <c r="P139" s="3">
        <f t="shared" si="81"/>
        <v>-7.0803889622235881E-3</v>
      </c>
      <c r="Q139" s="3">
        <f t="shared" si="82"/>
        <v>8.6194436279350729E-3</v>
      </c>
      <c r="R139">
        <f>1-N128</f>
        <v>6.1694024700114869E-2</v>
      </c>
      <c r="S139" s="3">
        <f>P139*R139</f>
        <v>-4.3681769152184271E-4</v>
      </c>
      <c r="T139" s="3">
        <f>Q139*R139</f>
        <v>5.3176816808307411E-4</v>
      </c>
    </row>
    <row r="140" spans="1:22" x14ac:dyDescent="0.2">
      <c r="A140">
        <v>132</v>
      </c>
      <c r="C140" t="s">
        <v>85</v>
      </c>
      <c r="D140">
        <v>0.96411709966000003</v>
      </c>
      <c r="E140" s="1">
        <v>-1.6218182675E-7</v>
      </c>
      <c r="F140" s="1">
        <v>5.9510933666666704E-7</v>
      </c>
      <c r="G140" s="1">
        <v>2.9387874805348501E-6</v>
      </c>
      <c r="H140" s="1">
        <v>5.6048110890316201E-8</v>
      </c>
      <c r="I140" s="1">
        <v>6.6385901339917996E-8</v>
      </c>
      <c r="J140">
        <v>4</v>
      </c>
      <c r="K140">
        <v>0.2</v>
      </c>
      <c r="L140">
        <v>10</v>
      </c>
      <c r="M140" s="2">
        <f>J140*D140/K140</f>
        <v>19.282341993199999</v>
      </c>
      <c r="N140" s="3">
        <f t="shared" si="79"/>
        <v>-1.6218182675000001E-2</v>
      </c>
      <c r="O140" s="3">
        <f t="shared" si="80"/>
        <v>5.9510933666666696E-2</v>
      </c>
      <c r="P140" s="3">
        <f t="shared" si="81"/>
        <v>-3.3643595120798945E-3</v>
      </c>
      <c r="Q140" s="3">
        <f t="shared" si="82"/>
        <v>1.2345167135331068E-2</v>
      </c>
      <c r="R140">
        <f>1-N129</f>
        <v>5.0934017079776184E-2</v>
      </c>
      <c r="S140" s="3">
        <f>P140*R140</f>
        <v>-1.7136034485078482E-4</v>
      </c>
      <c r="T140" s="3">
        <f>Q140*R140</f>
        <v>6.2878895372364425E-4</v>
      </c>
    </row>
    <row r="141" spans="1:22" x14ac:dyDescent="0.2">
      <c r="A141">
        <v>133</v>
      </c>
      <c r="C141" t="s">
        <v>28</v>
      </c>
      <c r="D141">
        <v>0.97870984920000004</v>
      </c>
      <c r="E141" s="1">
        <v>1.0438817E-6</v>
      </c>
      <c r="F141" s="1">
        <v>6.65958280000005E-7</v>
      </c>
      <c r="G141" s="1">
        <v>3.7693516154594101E-6</v>
      </c>
      <c r="H141" s="1">
        <v>5.9473524512845198E-8</v>
      </c>
      <c r="I141" s="1">
        <v>1.31399279914922E-8</v>
      </c>
      <c r="J141">
        <v>4</v>
      </c>
      <c r="K141">
        <v>0.2</v>
      </c>
      <c r="L141">
        <v>10</v>
      </c>
      <c r="M141" s="2">
        <f>J141*D141/K141</f>
        <v>19.574196984</v>
      </c>
      <c r="N141" s="3">
        <f t="shared" si="79"/>
        <v>0.10438817</v>
      </c>
      <c r="O141" s="3">
        <f t="shared" si="80"/>
        <v>6.6595828000000495E-2</v>
      </c>
      <c r="P141" s="3">
        <f t="shared" si="81"/>
        <v>2.133179104825136E-2</v>
      </c>
      <c r="Q141" s="3">
        <f t="shared" si="82"/>
        <v>1.3608901157873521E-2</v>
      </c>
      <c r="R141">
        <f>1-N130</f>
        <v>-8.3184826476409457E-2</v>
      </c>
      <c r="S141" s="3">
        <f>P141*R141</f>
        <v>-1.774481336779814E-3</v>
      </c>
      <c r="T141" s="3">
        <f>Q141*R141</f>
        <v>-1.1320540813523166E-3</v>
      </c>
    </row>
    <row r="142" spans="1:22" x14ac:dyDescent="0.2">
      <c r="A142">
        <v>134</v>
      </c>
      <c r="C142" t="s">
        <v>86</v>
      </c>
      <c r="D142">
        <v>0.98711441830000002</v>
      </c>
      <c r="E142" s="1">
        <v>6.2334856166666702E-7</v>
      </c>
      <c r="F142" s="1">
        <v>4.6517564E-7</v>
      </c>
      <c r="G142" s="1">
        <v>3.9053386703223303E-6</v>
      </c>
      <c r="H142" s="1">
        <v>1.0089482631079901E-8</v>
      </c>
      <c r="I142" s="1">
        <v>1.99439690759822E-8</v>
      </c>
      <c r="J142">
        <v>4</v>
      </c>
      <c r="K142">
        <v>0.2</v>
      </c>
      <c r="L142">
        <v>10</v>
      </c>
      <c r="M142" s="2">
        <f>J142*D142/K142</f>
        <v>19.742288366</v>
      </c>
      <c r="N142" s="3">
        <f t="shared" si="79"/>
        <v>6.2334856166666709E-2</v>
      </c>
      <c r="O142" s="3">
        <f t="shared" si="80"/>
        <v>4.6517563999999997E-2</v>
      </c>
      <c r="P142" s="3">
        <f t="shared" si="81"/>
        <v>1.2629712424628396E-2</v>
      </c>
      <c r="Q142" s="3">
        <f t="shared" si="82"/>
        <v>9.4249588776369308E-3</v>
      </c>
      <c r="R142">
        <f>1-N131</f>
        <v>-8.044707026360487E-2</v>
      </c>
      <c r="S142" s="3">
        <f>P142*R142</f>
        <v>-1.016023362833204E-3</v>
      </c>
      <c r="T142" s="3">
        <f>Q142*R142</f>
        <v>-7.582103290608447E-4</v>
      </c>
      <c r="U142" s="40">
        <f>SUM(S139:S142)</f>
        <v>-3.3986827359856458E-3</v>
      </c>
      <c r="V142" s="40">
        <f>SUM(T139:T142)</f>
        <v>-7.297072886064429E-4</v>
      </c>
    </row>
    <row r="143" spans="1:22" x14ac:dyDescent="0.2">
      <c r="A143">
        <v>135</v>
      </c>
      <c r="C143" t="s">
        <v>87</v>
      </c>
      <c r="D143">
        <v>0.98409684149999999</v>
      </c>
      <c r="E143" s="1">
        <v>6.2589820333333399E-7</v>
      </c>
      <c r="F143" s="1">
        <v>4.6589509000000099E-7</v>
      </c>
      <c r="G143" s="1">
        <v>2.7641963554536998E-6</v>
      </c>
      <c r="H143" s="1">
        <v>3.27340133377941E-9</v>
      </c>
      <c r="I143" s="1">
        <v>4.4371411485211903E-9</v>
      </c>
      <c r="J143">
        <v>4</v>
      </c>
      <c r="K143">
        <v>0.2</v>
      </c>
      <c r="L143">
        <v>10</v>
      </c>
      <c r="M143" s="2">
        <f>J143*D143/K143</f>
        <v>19.681936829999998</v>
      </c>
      <c r="N143" s="3">
        <f t="shared" si="79"/>
        <v>6.2589820333333407E-2</v>
      </c>
      <c r="O143" s="3">
        <f t="shared" si="80"/>
        <v>4.6589509000000098E-2</v>
      </c>
      <c r="P143" s="3">
        <f t="shared" si="81"/>
        <v>1.2720256319069471E-2</v>
      </c>
      <c r="Q143" s="3">
        <f t="shared" si="82"/>
        <v>9.4684805468914016E-3</v>
      </c>
    </row>
    <row r="144" spans="1:22" x14ac:dyDescent="0.2">
      <c r="A144">
        <v>136</v>
      </c>
    </row>
    <row r="145" spans="1:22" x14ac:dyDescent="0.2">
      <c r="A145">
        <v>137</v>
      </c>
      <c r="C145" s="5" t="s">
        <v>91</v>
      </c>
      <c r="J145" s="5" t="s">
        <v>18</v>
      </c>
      <c r="K145" s="5" t="s">
        <v>2</v>
      </c>
      <c r="L145" s="5" t="s">
        <v>3</v>
      </c>
      <c r="M145" s="5" t="s">
        <v>180</v>
      </c>
      <c r="N145" s="13" t="s">
        <v>246</v>
      </c>
      <c r="O145" s="13"/>
      <c r="P145" s="13" t="s">
        <v>245</v>
      </c>
      <c r="Q145" s="13"/>
      <c r="S145" s="5" t="s">
        <v>318</v>
      </c>
      <c r="T145" s="5" t="s">
        <v>318</v>
      </c>
      <c r="U145" s="307" t="s">
        <v>109</v>
      </c>
      <c r="V145" s="307"/>
    </row>
    <row r="146" spans="1:22" x14ac:dyDescent="0.2">
      <c r="A146">
        <v>138</v>
      </c>
      <c r="N146" t="s">
        <v>247</v>
      </c>
      <c r="O146" t="s">
        <v>248</v>
      </c>
      <c r="P146" t="s">
        <v>107</v>
      </c>
      <c r="Q146" t="s">
        <v>108</v>
      </c>
      <c r="R146" t="s">
        <v>320</v>
      </c>
      <c r="S146" t="s">
        <v>98</v>
      </c>
      <c r="T146" t="s">
        <v>99</v>
      </c>
      <c r="U146" t="s">
        <v>98</v>
      </c>
      <c r="V146" t="s">
        <v>99</v>
      </c>
    </row>
    <row r="147" spans="1:22" x14ac:dyDescent="0.2">
      <c r="A147">
        <v>139</v>
      </c>
      <c r="C147" t="s">
        <v>26</v>
      </c>
      <c r="D147">
        <v>0.98952343241999996</v>
      </c>
      <c r="E147" s="1">
        <v>1.7341303000000001E-6</v>
      </c>
      <c r="F147" s="1">
        <v>-1.4762047000000001E-6</v>
      </c>
      <c r="G147" s="1">
        <v>6.2693576898570599E-6</v>
      </c>
      <c r="H147" s="1">
        <v>3.5820055107579001E-8</v>
      </c>
      <c r="I147" s="1">
        <v>4.2381696696923301E-8</v>
      </c>
      <c r="J147">
        <v>4</v>
      </c>
      <c r="K147">
        <v>0.2</v>
      </c>
      <c r="L147">
        <v>10</v>
      </c>
      <c r="M147" s="2">
        <f t="shared" ref="M147:M152" si="83">J147*D147/K147</f>
        <v>19.790468648399997</v>
      </c>
      <c r="N147" s="3">
        <f t="shared" ref="N147:N152" si="84">1000000*E147/L147</f>
        <v>0.17341303000000002</v>
      </c>
      <c r="O147" s="3">
        <f t="shared" ref="O147:O152" si="85">1000000*F147/L147</f>
        <v>-0.14762047</v>
      </c>
      <c r="P147" s="3">
        <f t="shared" ref="P147:P152" si="86">J147*N147/M147</f>
        <v>3.5049807678813098E-2</v>
      </c>
      <c r="Q147" s="3">
        <f t="shared" ref="Q147:Q152" si="87">O147*J147/M147</f>
        <v>-2.9836679994323368E-2</v>
      </c>
    </row>
    <row r="148" spans="1:22" x14ac:dyDescent="0.2">
      <c r="A148">
        <v>140</v>
      </c>
      <c r="C148" t="s">
        <v>83</v>
      </c>
      <c r="D148">
        <v>0.98063764980000001</v>
      </c>
      <c r="E148" s="1">
        <v>2.6043936166666701E-6</v>
      </c>
      <c r="F148" s="1">
        <v>-1.21357486333333E-6</v>
      </c>
      <c r="G148" s="1">
        <v>3.3736143589631298E-6</v>
      </c>
      <c r="H148" s="1">
        <v>3.3241642168918003E-8</v>
      </c>
      <c r="I148" s="1">
        <v>6.3245886363051205E-8</v>
      </c>
      <c r="J148">
        <v>4</v>
      </c>
      <c r="K148">
        <v>0.2</v>
      </c>
      <c r="L148">
        <v>10</v>
      </c>
      <c r="M148" s="2">
        <f t="shared" si="83"/>
        <v>19.612752995999998</v>
      </c>
      <c r="N148" s="3">
        <f t="shared" si="84"/>
        <v>0.26043936166666704</v>
      </c>
      <c r="O148" s="3">
        <f t="shared" si="85"/>
        <v>-0.12135748633333301</v>
      </c>
      <c r="P148" s="3">
        <f t="shared" si="86"/>
        <v>5.3116329302629446E-2</v>
      </c>
      <c r="Q148" s="3">
        <f t="shared" si="87"/>
        <v>-2.4750729560115044E-2</v>
      </c>
    </row>
    <row r="149" spans="1:22" x14ac:dyDescent="0.2">
      <c r="A149">
        <v>141</v>
      </c>
      <c r="J149">
        <v>4</v>
      </c>
      <c r="M149" s="2"/>
      <c r="N149" s="3"/>
      <c r="O149" s="3"/>
      <c r="P149" s="3"/>
      <c r="Q149" s="3"/>
    </row>
    <row r="150" spans="1:22" x14ac:dyDescent="0.2">
      <c r="A150">
        <v>142</v>
      </c>
      <c r="C150" t="s">
        <v>26</v>
      </c>
      <c r="D150">
        <v>0.97247649579999995</v>
      </c>
      <c r="E150" s="1">
        <v>1.7074271833333301E-6</v>
      </c>
      <c r="F150" s="1">
        <v>-1.43835163333333E-6</v>
      </c>
      <c r="G150" s="1">
        <v>2.2166375091490199E-6</v>
      </c>
      <c r="H150" s="1">
        <v>3.6869523492532297E-8</v>
      </c>
      <c r="I150" s="1">
        <v>4.2380964040461503E-8</v>
      </c>
      <c r="J150">
        <v>4</v>
      </c>
      <c r="K150">
        <v>0.2</v>
      </c>
      <c r="L150">
        <v>10</v>
      </c>
      <c r="M150" s="2">
        <f t="shared" si="83"/>
        <v>19.449529915999999</v>
      </c>
      <c r="N150" s="3">
        <f t="shared" si="84"/>
        <v>0.17074271833333302</v>
      </c>
      <c r="O150" s="3">
        <f t="shared" si="85"/>
        <v>-0.14383516333333299</v>
      </c>
      <c r="P150" s="3">
        <f t="shared" si="86"/>
        <v>3.5115032408649195E-2</v>
      </c>
      <c r="Q150" s="3">
        <f t="shared" si="87"/>
        <v>-2.9581211258994624E-2</v>
      </c>
      <c r="R150">
        <f>1-N158</f>
        <v>5.4376805673320039E-2</v>
      </c>
      <c r="S150" s="3">
        <f>P150*R150</f>
        <v>1.9094432934974525E-3</v>
      </c>
      <c r="T150" s="3">
        <f>Q150*R150</f>
        <v>-1.6085317762117774E-3</v>
      </c>
    </row>
    <row r="151" spans="1:22" x14ac:dyDescent="0.2">
      <c r="A151">
        <v>143</v>
      </c>
      <c r="C151" t="s">
        <v>85</v>
      </c>
      <c r="D151">
        <v>0.97491876631999996</v>
      </c>
      <c r="E151" s="1">
        <v>1.5425471166666599E-6</v>
      </c>
      <c r="F151" s="1">
        <v>-8.3071872833333299E-7</v>
      </c>
      <c r="G151" s="1">
        <v>4.8989313187490796E-6</v>
      </c>
      <c r="H151" s="1">
        <v>2.4711561099457401E-9</v>
      </c>
      <c r="I151" s="1">
        <v>3.5085440435426499E-8</v>
      </c>
      <c r="J151">
        <v>4</v>
      </c>
      <c r="K151">
        <v>0.2</v>
      </c>
      <c r="L151">
        <v>10</v>
      </c>
      <c r="M151" s="2">
        <f t="shared" si="83"/>
        <v>19.498375326399998</v>
      </c>
      <c r="N151" s="3">
        <f t="shared" si="84"/>
        <v>0.15425471166666599</v>
      </c>
      <c r="O151" s="3">
        <f t="shared" si="85"/>
        <v>-8.307187283333331E-2</v>
      </c>
      <c r="P151" s="3">
        <f t="shared" si="86"/>
        <v>3.1644628659457892E-2</v>
      </c>
      <c r="Q151" s="3">
        <f t="shared" si="87"/>
        <v>-1.7041804036022921E-2</v>
      </c>
      <c r="R151">
        <f>1-N159</f>
        <v>0.16064583553716649</v>
      </c>
      <c r="S151" s="3">
        <f>P151*R151</f>
        <v>5.0835778112619783E-3</v>
      </c>
      <c r="T151" s="3">
        <f>Q151*R151</f>
        <v>-2.7376948484275584E-3</v>
      </c>
    </row>
    <row r="152" spans="1:22" x14ac:dyDescent="0.2">
      <c r="A152">
        <v>144</v>
      </c>
      <c r="C152" t="s">
        <v>28</v>
      </c>
      <c r="D152">
        <v>0.98930084293999998</v>
      </c>
      <c r="E152" s="1">
        <v>7.6954993499999998E-7</v>
      </c>
      <c r="F152" s="1">
        <v>-3.1136317833333202E-7</v>
      </c>
      <c r="G152" s="1">
        <v>4.1638974283073997E-6</v>
      </c>
      <c r="H152" s="1">
        <v>1.38342185963203E-8</v>
      </c>
      <c r="I152" s="1">
        <v>2.1616303422568201E-8</v>
      </c>
      <c r="J152">
        <v>4</v>
      </c>
      <c r="K152">
        <v>0.2</v>
      </c>
      <c r="L152">
        <v>10</v>
      </c>
      <c r="M152" s="2">
        <f t="shared" si="83"/>
        <v>19.7860168588</v>
      </c>
      <c r="N152" s="3">
        <f t="shared" si="84"/>
        <v>7.6954993499999999E-2</v>
      </c>
      <c r="O152" s="3">
        <f t="shared" si="85"/>
        <v>-3.1136317833333205E-2</v>
      </c>
      <c r="P152" s="3">
        <f t="shared" si="86"/>
        <v>1.5557450304258405E-2</v>
      </c>
      <c r="Q152" s="3">
        <f t="shared" si="87"/>
        <v>-6.2946105940438557E-3</v>
      </c>
      <c r="R152">
        <f>1-N160</f>
        <v>-0.1353268224098807</v>
      </c>
      <c r="S152" s="3">
        <f>P152*R152</f>
        <v>-2.1053403144749216E-3</v>
      </c>
      <c r="T152" s="3">
        <f>Q152*R152</f>
        <v>8.5182964999952655E-4</v>
      </c>
      <c r="U152" s="40">
        <f>SUM(S150:S152)</f>
        <v>4.887680790284509E-3</v>
      </c>
      <c r="V152" s="40">
        <f>SUM(T150:T152)</f>
        <v>-3.4943969746398093E-3</v>
      </c>
    </row>
    <row r="153" spans="1:22" x14ac:dyDescent="0.2">
      <c r="A153">
        <v>145</v>
      </c>
      <c r="E153" s="1"/>
      <c r="F153" s="1"/>
      <c r="G153" s="1"/>
      <c r="H153" s="1"/>
      <c r="I153" s="1"/>
      <c r="M153" s="2"/>
      <c r="N153" s="3"/>
      <c r="O153" s="3"/>
    </row>
    <row r="154" spans="1:22" x14ac:dyDescent="0.2">
      <c r="A154">
        <v>146</v>
      </c>
      <c r="E154" s="1"/>
      <c r="F154" s="1"/>
      <c r="G154" s="1"/>
      <c r="H154" s="1"/>
      <c r="I154" s="1"/>
      <c r="M154" s="2"/>
      <c r="N154" s="3"/>
      <c r="O154" s="3"/>
    </row>
    <row r="155" spans="1:22" x14ac:dyDescent="0.2">
      <c r="A155">
        <v>147</v>
      </c>
      <c r="C155" s="5" t="s">
        <v>92</v>
      </c>
      <c r="E155" s="1"/>
      <c r="H155" t="s">
        <v>50</v>
      </c>
      <c r="I155" t="s">
        <v>51</v>
      </c>
      <c r="J155" t="s">
        <v>53</v>
      </c>
      <c r="L155" t="s">
        <v>54</v>
      </c>
      <c r="M155" t="s">
        <v>58</v>
      </c>
      <c r="N155" t="s">
        <v>56</v>
      </c>
    </row>
    <row r="156" spans="1:22" x14ac:dyDescent="0.2">
      <c r="A156">
        <v>148</v>
      </c>
      <c r="F156" t="s">
        <v>172</v>
      </c>
      <c r="G156" t="s">
        <v>32</v>
      </c>
      <c r="H156" t="s">
        <v>16</v>
      </c>
      <c r="I156" t="s">
        <v>52</v>
      </c>
      <c r="J156" t="s">
        <v>54</v>
      </c>
      <c r="K156" t="s">
        <v>55</v>
      </c>
      <c r="L156" t="s">
        <v>57</v>
      </c>
      <c r="M156" t="s">
        <v>57</v>
      </c>
      <c r="N156" t="s">
        <v>59</v>
      </c>
    </row>
    <row r="157" spans="1:22" x14ac:dyDescent="0.2">
      <c r="A157">
        <v>149</v>
      </c>
      <c r="C157" t="s">
        <v>45</v>
      </c>
      <c r="D157">
        <v>1.0049999999999999</v>
      </c>
      <c r="E157">
        <v>0.35149999999999998</v>
      </c>
      <c r="F157">
        <f>E157/D157</f>
        <v>0.34975124378109457</v>
      </c>
      <c r="G157">
        <v>0.2</v>
      </c>
      <c r="H157">
        <f>0.268/G157</f>
        <v>1.34</v>
      </c>
      <c r="I157">
        <f>H157+1</f>
        <v>2.34</v>
      </c>
      <c r="J157">
        <f>F157-K157*I157/20</f>
        <v>0.23275124378109457</v>
      </c>
      <c r="K157">
        <v>1</v>
      </c>
      <c r="L157">
        <f>J157</f>
        <v>0.23275124378109457</v>
      </c>
      <c r="M157" s="15">
        <f>1/L157</f>
        <v>4.2964324647842158</v>
      </c>
      <c r="N157">
        <f>4*M157/SUM($M$157:$M$160)</f>
        <v>1.0796958188006061</v>
      </c>
    </row>
    <row r="158" spans="1:22" x14ac:dyDescent="0.2">
      <c r="A158">
        <v>150</v>
      </c>
      <c r="C158" t="s">
        <v>46</v>
      </c>
      <c r="D158">
        <v>1.0029999999999999</v>
      </c>
      <c r="E158">
        <v>0.73470000000000002</v>
      </c>
      <c r="F158">
        <f>E158/D158</f>
        <v>0.73250249252243282</v>
      </c>
      <c r="G158">
        <v>0.2</v>
      </c>
      <c r="H158">
        <f>0.268/G158</f>
        <v>1.34</v>
      </c>
      <c r="I158">
        <f>H158+1</f>
        <v>2.34</v>
      </c>
      <c r="J158">
        <f>F158-K158*I158/20</f>
        <v>0.49850249252243284</v>
      </c>
      <c r="K158">
        <v>2</v>
      </c>
      <c r="L158">
        <f>J158-J157</f>
        <v>0.26575124874133826</v>
      </c>
      <c r="M158" s="15">
        <f>1/L158</f>
        <v>3.7629174076744332</v>
      </c>
      <c r="N158">
        <f>4*M158/SUM($M$157:$M$160)</f>
        <v>0.94562319432667996</v>
      </c>
      <c r="O158" s="3"/>
    </row>
    <row r="159" spans="1:22" x14ac:dyDescent="0.2">
      <c r="A159">
        <v>151</v>
      </c>
      <c r="C159" t="s">
        <v>48</v>
      </c>
      <c r="D159">
        <v>1</v>
      </c>
      <c r="E159">
        <v>1.1489</v>
      </c>
      <c r="F159">
        <f>E159/D159</f>
        <v>1.1489</v>
      </c>
      <c r="G159">
        <v>0.2</v>
      </c>
      <c r="H159">
        <f>0.268/G159</f>
        <v>1.34</v>
      </c>
      <c r="I159">
        <f>H159+1</f>
        <v>2.34</v>
      </c>
      <c r="J159">
        <f>F159-K159*I159/20</f>
        <v>0.79790000000000005</v>
      </c>
      <c r="K159">
        <v>3</v>
      </c>
      <c r="L159">
        <f>J159-J158</f>
        <v>0.29939750747756722</v>
      </c>
      <c r="M159" s="15">
        <f>1/L159</f>
        <v>3.3400411660906242</v>
      </c>
      <c r="N159">
        <f>4*M159/SUM($M$157:$M$160)</f>
        <v>0.83935416446283351</v>
      </c>
      <c r="O159" s="3"/>
    </row>
    <row r="160" spans="1:22" x14ac:dyDescent="0.2">
      <c r="A160">
        <v>152</v>
      </c>
      <c r="C160" t="s">
        <v>49</v>
      </c>
      <c r="D160">
        <v>0.99580000000000002</v>
      </c>
      <c r="E160">
        <v>1.4810000000000001</v>
      </c>
      <c r="F160">
        <f>E160/D160</f>
        <v>1.487246435027114</v>
      </c>
      <c r="G160">
        <v>0.2</v>
      </c>
      <c r="H160">
        <f>0.268/G160</f>
        <v>1.34</v>
      </c>
      <c r="I160">
        <f>H160+1</f>
        <v>2.34</v>
      </c>
      <c r="J160">
        <f>F160-K160*I160/20</f>
        <v>1.019246435027114</v>
      </c>
      <c r="K160">
        <v>4</v>
      </c>
      <c r="L160">
        <f>J160-J159</f>
        <v>0.22134643502711393</v>
      </c>
      <c r="M160" s="15">
        <f>1/L160</f>
        <v>4.5178048604103545</v>
      </c>
      <c r="N160">
        <f>4*M160/SUM($M$157:$M$160)</f>
        <v>1.1353268224098807</v>
      </c>
      <c r="O160" s="3"/>
    </row>
    <row r="161" spans="1:19" x14ac:dyDescent="0.2">
      <c r="A161">
        <v>153</v>
      </c>
    </row>
    <row r="162" spans="1:19" x14ac:dyDescent="0.2">
      <c r="A162">
        <v>154</v>
      </c>
    </row>
    <row r="163" spans="1:19" x14ac:dyDescent="0.2">
      <c r="A163">
        <v>155</v>
      </c>
      <c r="B163" s="4"/>
      <c r="C163" s="5" t="s">
        <v>93</v>
      </c>
    </row>
    <row r="164" spans="1:19" x14ac:dyDescent="0.2">
      <c r="A164">
        <v>156</v>
      </c>
      <c r="D164">
        <v>1.1926987710000001</v>
      </c>
      <c r="E164" s="1">
        <v>-2.7533414500000002E-6</v>
      </c>
      <c r="F164" s="1">
        <v>-4.2874496500000001E-6</v>
      </c>
      <c r="G164" s="1">
        <v>1.42728917761564E-5</v>
      </c>
      <c r="H164" s="1">
        <v>1.0986476523321799E-8</v>
      </c>
      <c r="I164" s="1">
        <v>5.8699171090491799E-8</v>
      </c>
      <c r="K164">
        <v>0.2</v>
      </c>
      <c r="L164">
        <v>10</v>
      </c>
      <c r="M164" s="2">
        <f t="shared" ref="M164:M169" si="88">100*D164/(K164*5)</f>
        <v>119.26987710000002</v>
      </c>
      <c r="N164" s="3">
        <f t="shared" ref="N164:N169" si="89">1000000*E164*K164/(L164*D164)</f>
        <v>-4.6169938578732722E-2</v>
      </c>
      <c r="O164" s="3">
        <f t="shared" ref="O164:O169" si="90">1000000*F164*K164/(D164*L164)</f>
        <v>-7.1894928614796072E-2</v>
      </c>
      <c r="Q164" s="3">
        <f t="shared" ref="Q164:Q169" si="91">1000000*K164*H164/(L164*D164)</f>
        <v>1.8422885627877953E-4</v>
      </c>
      <c r="R164" s="3">
        <f t="shared" ref="R164:R169" si="92">1000000*K164*I164/(L164*D164)</f>
        <v>9.843084023852288E-4</v>
      </c>
      <c r="S164" s="1">
        <f t="shared" ref="S164:S169" si="93">G164*100/D164</f>
        <v>1.1966887300629574E-3</v>
      </c>
    </row>
    <row r="165" spans="1:19" x14ac:dyDescent="0.2">
      <c r="A165">
        <v>157</v>
      </c>
      <c r="D165">
        <v>1.0000971487200001</v>
      </c>
      <c r="E165" s="1">
        <v>-2.5293723500000002E-6</v>
      </c>
      <c r="F165" s="1">
        <v>-3.50229915E-6</v>
      </c>
      <c r="G165" s="1">
        <v>4.690716839454E-6</v>
      </c>
      <c r="H165" s="1">
        <v>5.7961189437221701E-8</v>
      </c>
      <c r="I165" s="1">
        <v>3.5884136724242997E-8</v>
      </c>
      <c r="K165">
        <v>0.2</v>
      </c>
      <c r="L165">
        <v>10</v>
      </c>
      <c r="M165" s="2">
        <f t="shared" si="88"/>
        <v>100.00971487200002</v>
      </c>
      <c r="N165" s="3">
        <f t="shared" si="89"/>
        <v>-5.0582532971667447E-2</v>
      </c>
      <c r="O165" s="3">
        <f t="shared" si="90"/>
        <v>-7.0039178783431327E-2</v>
      </c>
      <c r="Q165" s="3">
        <f t="shared" si="91"/>
        <v>1.159111182576709E-3</v>
      </c>
      <c r="R165" s="3">
        <f t="shared" si="92"/>
        <v>7.1761301929857964E-4</v>
      </c>
      <c r="S165" s="1">
        <f t="shared" si="93"/>
        <v>4.6902611865832572E-4</v>
      </c>
    </row>
    <row r="166" spans="1:19" x14ac:dyDescent="0.2">
      <c r="A166">
        <v>158</v>
      </c>
      <c r="D166">
        <v>0.60197048628000005</v>
      </c>
      <c r="E166" s="1">
        <v>-1.8359939333333299E-6</v>
      </c>
      <c r="F166" s="1">
        <v>-2.2208754999999998E-6</v>
      </c>
      <c r="G166" s="1">
        <v>8.9813404921771402E-7</v>
      </c>
      <c r="H166" s="1">
        <v>9.1295274833160003E-8</v>
      </c>
      <c r="I166" s="1">
        <v>1.0523503923955201E-7</v>
      </c>
      <c r="K166">
        <v>0.2</v>
      </c>
      <c r="L166">
        <v>10</v>
      </c>
      <c r="M166" s="2">
        <f t="shared" si="88"/>
        <v>60.197048628000005</v>
      </c>
      <c r="N166" s="3">
        <f t="shared" si="89"/>
        <v>-6.0999466757223619E-2</v>
      </c>
      <c r="O166" s="3">
        <f t="shared" si="90"/>
        <v>-7.3786856685428392E-2</v>
      </c>
      <c r="Q166" s="3">
        <f t="shared" si="91"/>
        <v>3.0332143157827509E-3</v>
      </c>
      <c r="R166" s="3">
        <f t="shared" si="92"/>
        <v>3.49635211818684E-3</v>
      </c>
      <c r="S166" s="1">
        <f t="shared" si="93"/>
        <v>1.4919901717572856E-4</v>
      </c>
    </row>
    <row r="167" spans="1:19" x14ac:dyDescent="0.2">
      <c r="A167">
        <v>159</v>
      </c>
      <c r="D167">
        <v>0.40124291820000002</v>
      </c>
      <c r="E167" s="1">
        <v>-1.4747429166666701E-6</v>
      </c>
      <c r="F167" s="1">
        <v>-1.5292800999999999E-6</v>
      </c>
      <c r="G167" s="1">
        <v>1.05509771102391E-6</v>
      </c>
      <c r="H167" s="1">
        <v>9.4057668709111996E-8</v>
      </c>
      <c r="I167" s="1">
        <v>9.5112921566893401E-8</v>
      </c>
      <c r="K167">
        <v>0.2</v>
      </c>
      <c r="L167">
        <v>10</v>
      </c>
      <c r="M167" s="2">
        <f t="shared" si="88"/>
        <v>40.124291820000003</v>
      </c>
      <c r="N167" s="3">
        <f t="shared" si="89"/>
        <v>-7.3508732479688657E-2</v>
      </c>
      <c r="O167" s="3">
        <f t="shared" si="90"/>
        <v>-7.6227144736183416E-2</v>
      </c>
      <c r="Q167" s="3">
        <f t="shared" si="91"/>
        <v>4.6883154539429824E-3</v>
      </c>
      <c r="R167" s="3">
        <f t="shared" si="92"/>
        <v>4.740914655569535E-3</v>
      </c>
      <c r="S167" s="1">
        <f t="shared" si="93"/>
        <v>2.6295734159175745E-4</v>
      </c>
    </row>
    <row r="168" spans="1:19" x14ac:dyDescent="0.2">
      <c r="A168">
        <v>160</v>
      </c>
      <c r="D168">
        <v>0.20059537148000001</v>
      </c>
      <c r="E168" s="1">
        <v>-8.9422857833333305E-7</v>
      </c>
      <c r="F168" s="1">
        <v>-8.3229676166666603E-7</v>
      </c>
      <c r="G168" s="1">
        <v>6.3162672687986604E-7</v>
      </c>
      <c r="H168" s="1">
        <v>4.5912277317879402E-8</v>
      </c>
      <c r="I168" s="1">
        <v>8.1452090343147105E-8</v>
      </c>
      <c r="K168">
        <v>0.2</v>
      </c>
      <c r="L168">
        <v>10</v>
      </c>
      <c r="M168" s="2">
        <f t="shared" si="88"/>
        <v>20.059537148</v>
      </c>
      <c r="N168" s="3">
        <f t="shared" si="89"/>
        <v>-8.9157448822042296E-2</v>
      </c>
      <c r="O168" s="3">
        <f t="shared" si="90"/>
        <v>-8.298264865494652E-2</v>
      </c>
      <c r="Q168" s="3">
        <f t="shared" si="91"/>
        <v>4.5776008667734389E-3</v>
      </c>
      <c r="R168" s="3">
        <f t="shared" si="92"/>
        <v>8.1210338745296672E-3</v>
      </c>
      <c r="S168" s="1">
        <f t="shared" si="93"/>
        <v>3.1487602242250202E-4</v>
      </c>
    </row>
    <row r="169" spans="1:19" x14ac:dyDescent="0.2">
      <c r="A169">
        <v>161</v>
      </c>
      <c r="D169">
        <v>0.10052191638000001</v>
      </c>
      <c r="E169" s="1">
        <v>-5.3699603666666705E-7</v>
      </c>
      <c r="F169" s="1">
        <v>-4.19298781666667E-7</v>
      </c>
      <c r="G169" s="1">
        <v>2.1015112751484899E-7</v>
      </c>
      <c r="H169" s="1">
        <v>1.10079362479389E-7</v>
      </c>
      <c r="I169" s="1">
        <v>1.0779955344379099E-7</v>
      </c>
      <c r="K169">
        <v>0.2</v>
      </c>
      <c r="L169">
        <v>10</v>
      </c>
      <c r="M169" s="2">
        <f t="shared" si="88"/>
        <v>10.052191638</v>
      </c>
      <c r="N169" s="3">
        <f t="shared" si="89"/>
        <v>-0.10684158360783273</v>
      </c>
      <c r="O169" s="3">
        <f t="shared" si="90"/>
        <v>-8.3424350980656661E-2</v>
      </c>
      <c r="Q169" s="3">
        <f t="shared" si="91"/>
        <v>2.1901564642532134E-2</v>
      </c>
      <c r="R169" s="3">
        <f t="shared" si="92"/>
        <v>2.1447970219007673E-2</v>
      </c>
      <c r="S169" s="1">
        <f t="shared" si="93"/>
        <v>2.0906000908341315E-4</v>
      </c>
    </row>
    <row r="170" spans="1:19" x14ac:dyDescent="0.2">
      <c r="A170">
        <v>162</v>
      </c>
    </row>
    <row r="171" spans="1:19" x14ac:dyDescent="0.2">
      <c r="A171">
        <v>163</v>
      </c>
    </row>
    <row r="172" spans="1:19" x14ac:dyDescent="0.2">
      <c r="A172">
        <v>164</v>
      </c>
      <c r="C172" s="5" t="s">
        <v>95</v>
      </c>
    </row>
    <row r="173" spans="1:19" x14ac:dyDescent="0.2">
      <c r="A173">
        <v>165</v>
      </c>
      <c r="D173">
        <v>0.99114496261999996</v>
      </c>
      <c r="E173" s="1">
        <v>-1.8638193499999901E-5</v>
      </c>
      <c r="F173" s="1">
        <v>-1.31023171666665E-5</v>
      </c>
      <c r="G173" s="1">
        <v>4.9429314999755699E-6</v>
      </c>
      <c r="H173" s="1">
        <v>5.9490762653401801E-8</v>
      </c>
      <c r="I173" s="1">
        <v>1.0101924996696801E-8</v>
      </c>
      <c r="K173">
        <v>0.2</v>
      </c>
      <c r="L173">
        <v>10</v>
      </c>
      <c r="M173" s="2">
        <f>100*D173/(K173*5)</f>
        <v>99.114496261999989</v>
      </c>
      <c r="N173" s="3">
        <f>1000000*E173*K173/(L173*D173)</f>
        <v>-0.37609419818331241</v>
      </c>
      <c r="O173" s="3">
        <f>1000000*F173*K173/(D173*L173)</f>
        <v>-0.26438750456909432</v>
      </c>
      <c r="Q173" s="3">
        <f>1000000*K173*H173/(L173*D173)</f>
        <v>1.2004452405457115E-3</v>
      </c>
      <c r="R173" s="3">
        <f>1000000*K173*I173/(L173*D173)</f>
        <v>2.0384354211907201E-4</v>
      </c>
      <c r="S173" s="1">
        <f>G173*100/D173</f>
        <v>4.9870923895021244E-4</v>
      </c>
    </row>
    <row r="174" spans="1:19" x14ac:dyDescent="0.2">
      <c r="A174">
        <v>166</v>
      </c>
      <c r="D174">
        <v>0.59973402092000005</v>
      </c>
      <c r="E174" s="1">
        <v>-1.17803031666667E-5</v>
      </c>
      <c r="F174" s="1">
        <v>-7.9927808333333204E-6</v>
      </c>
      <c r="G174" s="1">
        <v>5.6074336305814601E-7</v>
      </c>
      <c r="H174" s="1">
        <v>1.4542571069297099E-8</v>
      </c>
      <c r="I174" s="1">
        <v>2.4039382862705199E-7</v>
      </c>
      <c r="K174">
        <v>0.2</v>
      </c>
      <c r="L174">
        <v>10</v>
      </c>
      <c r="M174" s="2">
        <f>100*D174/(K174*5)</f>
        <v>59.973402092000008</v>
      </c>
      <c r="N174" s="3">
        <f>1000000*E174*K174/(L174*D174)</f>
        <v>-0.39285092243376679</v>
      </c>
      <c r="O174" s="3">
        <f>1000000*F174*K174/(D174*L174)</f>
        <v>-0.26654418640691041</v>
      </c>
      <c r="Q174" s="3">
        <f>1000000*K174*H174/(L174*D174)</f>
        <v>4.8496735426109723E-4</v>
      </c>
      <c r="R174" s="3">
        <f>1000000*K174*I174/(L174*D174)</f>
        <v>8.0166814034756482E-3</v>
      </c>
      <c r="S174" s="1">
        <f>G174*100/D174</f>
        <v>9.3498674995618581E-5</v>
      </c>
    </row>
    <row r="175" spans="1:19" x14ac:dyDescent="0.2">
      <c r="A175">
        <v>167</v>
      </c>
      <c r="D175">
        <v>0.40030073453999998</v>
      </c>
      <c r="E175" s="1">
        <v>-8.1065126333333403E-6</v>
      </c>
      <c r="F175" s="1">
        <v>-5.3396559833333498E-6</v>
      </c>
      <c r="G175" s="1">
        <v>8.0565476145152E-7</v>
      </c>
      <c r="H175" s="1">
        <v>1.8425585913723E-7</v>
      </c>
      <c r="I175" s="1">
        <v>7.14272291405717E-8</v>
      </c>
      <c r="K175">
        <v>0.2</v>
      </c>
      <c r="L175">
        <v>10</v>
      </c>
      <c r="M175" s="2">
        <f>100*D175/(K175*5)</f>
        <v>40.030073453999997</v>
      </c>
      <c r="N175" s="3">
        <f>1000000*E175*K175/(L175*D175)</f>
        <v>-0.40502112206458113</v>
      </c>
      <c r="O175" s="3">
        <f>1000000*F175*K175/(D175*L175)</f>
        <v>-0.26678222259418743</v>
      </c>
      <c r="Q175" s="3">
        <f>1000000*K175*H175/(L175*D175)</f>
        <v>9.2058716479231587E-3</v>
      </c>
      <c r="R175" s="3">
        <f>1000000*K175*I175/(L175*D175)</f>
        <v>3.5686783948898474E-3</v>
      </c>
      <c r="S175" s="1">
        <f>G175*100/D175</f>
        <v>2.0126237399422387E-4</v>
      </c>
    </row>
    <row r="176" spans="1:19" x14ac:dyDescent="0.2">
      <c r="A176">
        <v>168</v>
      </c>
      <c r="D176">
        <v>0.19957763555999999</v>
      </c>
      <c r="E176" s="1">
        <v>-4.1586108499999996E-6</v>
      </c>
      <c r="F176" s="1">
        <v>-2.7084279333333301E-6</v>
      </c>
      <c r="G176" s="1">
        <v>4.0770263040191299E-7</v>
      </c>
      <c r="H176" s="1">
        <v>2.33499086103315E-8</v>
      </c>
      <c r="I176" s="1">
        <v>4.5733788541903598E-8</v>
      </c>
      <c r="K176">
        <v>0.2</v>
      </c>
      <c r="L176">
        <v>10</v>
      </c>
      <c r="M176" s="2">
        <f>100*D176/(K176*5)</f>
        <v>19.957763556</v>
      </c>
      <c r="N176" s="3">
        <f>1000000*E176*K176/(L176*D176)</f>
        <v>-0.4167411682507659</v>
      </c>
      <c r="O176" s="3">
        <f>1000000*F176*K176/(D176*L176)</f>
        <v>-0.27141597561607372</v>
      </c>
      <c r="Q176" s="3">
        <f>1000000*K176*H176/(L176*D176)</f>
        <v>2.3399323821843461E-3</v>
      </c>
      <c r="R176" s="3">
        <f>1000000*K176*I176/(L176*D176)</f>
        <v>4.5830574566712336E-3</v>
      </c>
      <c r="S176" s="1">
        <f>G176*100/D176</f>
        <v>2.0428272399256045E-4</v>
      </c>
    </row>
    <row r="177" spans="1:19" x14ac:dyDescent="0.2">
      <c r="A177">
        <v>169</v>
      </c>
      <c r="D177">
        <v>0.10093890178000001</v>
      </c>
      <c r="E177" s="1">
        <v>-2.13556301666667E-6</v>
      </c>
      <c r="F177" s="1">
        <v>-1.3564620666666701E-6</v>
      </c>
      <c r="G177" s="1">
        <v>2.2208675043359499E-7</v>
      </c>
      <c r="H177" s="1">
        <v>5.78699187407967E-8</v>
      </c>
      <c r="I177" s="1">
        <v>6.0941210331998505E-8</v>
      </c>
      <c r="K177">
        <v>0.2</v>
      </c>
      <c r="L177">
        <v>10</v>
      </c>
      <c r="M177" s="2">
        <f>100*D177/(K177*5)</f>
        <v>10.093890178000001</v>
      </c>
      <c r="N177" s="3">
        <f>1000000*E177*K177/(L177*D177)</f>
        <v>-0.42313973681251404</v>
      </c>
      <c r="O177" s="3">
        <f>1000000*F177*K177/(D177*L177)</f>
        <v>-0.26876893699975624</v>
      </c>
      <c r="Q177" s="3">
        <f>1000000*K177*H177/(L177*D177)</f>
        <v>1.1466326207298408E-2</v>
      </c>
      <c r="R177" s="3">
        <f>1000000*K177*I177/(L177*D177)</f>
        <v>1.207487088869306E-2</v>
      </c>
      <c r="S177" s="1">
        <f>G177*100/D177</f>
        <v>2.2002096963333434E-4</v>
      </c>
    </row>
    <row r="178" spans="1:19" x14ac:dyDescent="0.2">
      <c r="A178">
        <v>170</v>
      </c>
    </row>
    <row r="179" spans="1:19" x14ac:dyDescent="0.2">
      <c r="A179">
        <v>171</v>
      </c>
      <c r="C179" t="s">
        <v>94</v>
      </c>
      <c r="D179">
        <v>0.40237193042000002</v>
      </c>
      <c r="E179">
        <v>2.0982759833333099E-3</v>
      </c>
      <c r="F179">
        <v>-1.0338008333333501E-2</v>
      </c>
      <c r="G179" s="1">
        <v>1.2384144872433201E-7</v>
      </c>
      <c r="H179" s="1">
        <v>1.34955129569876E-6</v>
      </c>
      <c r="I179" s="1">
        <v>1.6744244450625299E-6</v>
      </c>
      <c r="K179">
        <v>0.2</v>
      </c>
      <c r="L179">
        <v>10</v>
      </c>
      <c r="M179" s="2">
        <f>100*D179/(K179*5)</f>
        <v>40.237193042000001</v>
      </c>
      <c r="N179" s="3">
        <f>1000000*E179*K179/(L179*D179)</f>
        <v>104.29534590760879</v>
      </c>
      <c r="O179" s="3">
        <f>1000000*F179*K179/(D179*L179)</f>
        <v>-513.85335565244725</v>
      </c>
      <c r="Q179" s="3">
        <f>1000000*K179*H179/(L179*D179)</f>
        <v>6.7079793279321662E-2</v>
      </c>
      <c r="R179" s="3">
        <f>1000000*K179*I179/(L179*D179)</f>
        <v>8.3227696490396255E-2</v>
      </c>
      <c r="S179" s="1">
        <f>G179*100/D179</f>
        <v>3.0777854855597165E-5</v>
      </c>
    </row>
    <row r="180" spans="1:19" x14ac:dyDescent="0.2">
      <c r="A180">
        <v>172</v>
      </c>
    </row>
    <row r="181" spans="1:19" x14ac:dyDescent="0.2">
      <c r="A181">
        <v>173</v>
      </c>
    </row>
    <row r="182" spans="1:19" x14ac:dyDescent="0.2">
      <c r="A182">
        <v>174</v>
      </c>
      <c r="B182" s="4">
        <v>36539</v>
      </c>
      <c r="C182" s="5" t="s">
        <v>113</v>
      </c>
    </row>
    <row r="183" spans="1:19" x14ac:dyDescent="0.2">
      <c r="A183">
        <v>175</v>
      </c>
    </row>
    <row r="184" spans="1:19" x14ac:dyDescent="0.2">
      <c r="A184">
        <v>176</v>
      </c>
      <c r="D184">
        <v>1.007677371</v>
      </c>
      <c r="E184" s="1">
        <v>-1.97137978333333E-5</v>
      </c>
      <c r="F184" s="1">
        <v>-1.09826608333333E-5</v>
      </c>
      <c r="G184" s="1">
        <v>5.9582029002543902E-6</v>
      </c>
      <c r="H184" s="1">
        <v>4.34735798538095E-8</v>
      </c>
      <c r="I184" s="1">
        <v>7.6190548950020995E-8</v>
      </c>
      <c r="K184">
        <v>0.2</v>
      </c>
      <c r="L184">
        <v>10</v>
      </c>
      <c r="M184" s="2">
        <f>100*D184/(K184*5)</f>
        <v>100.76773710000001</v>
      </c>
      <c r="N184" s="3">
        <f>1000000*E184*K184/(L184*D184)</f>
        <v>-0.39127201623610341</v>
      </c>
      <c r="O184" s="3">
        <f>1000000*F184*K184/(D184*L184)</f>
        <v>-0.2179797055963322</v>
      </c>
      <c r="Q184" s="3">
        <f>1000000*K184*H184/(L184*D184)</f>
        <v>8.6284719901305595E-4</v>
      </c>
      <c r="R184" s="3">
        <f>1000000*K184*I184/(L184*D184)</f>
        <v>1.5122012489852965E-3</v>
      </c>
      <c r="S184" s="1">
        <f>G184*100/D184</f>
        <v>5.9128080789802616E-4</v>
      </c>
    </row>
    <row r="185" spans="1:19" x14ac:dyDescent="0.2">
      <c r="A185">
        <v>177</v>
      </c>
      <c r="D185">
        <v>0.60019447110000002</v>
      </c>
      <c r="E185" s="1">
        <v>-1.1795546E-5</v>
      </c>
      <c r="F185" s="1">
        <v>-6.8300068999999202E-6</v>
      </c>
      <c r="G185" s="1">
        <v>6.4651385541437404E-8</v>
      </c>
      <c r="H185" s="1">
        <v>6.9331537922266602E-8</v>
      </c>
      <c r="I185" s="1">
        <v>9.4387063497723006E-8</v>
      </c>
      <c r="K185">
        <v>0.2</v>
      </c>
      <c r="L185">
        <v>10</v>
      </c>
      <c r="M185" s="2">
        <f>100*D185/(K185*5)</f>
        <v>60.019447110000002</v>
      </c>
      <c r="N185" s="3">
        <f>1000000*E185*K185/(L185*D185)</f>
        <v>-0.39305746946924852</v>
      </c>
      <c r="O185" s="3">
        <f>1000000*F185*K185/(D185*L185)</f>
        <v>-0.22759312952291275</v>
      </c>
      <c r="Q185" s="3">
        <f>1000000*K185*H185/(L185*D185)</f>
        <v>2.3103024523101643E-3</v>
      </c>
      <c r="R185" s="3">
        <f>1000000*K185*I185/(L185*D185)</f>
        <v>3.1452160272231809E-3</v>
      </c>
      <c r="S185" s="1">
        <f>G185*100/D185</f>
        <v>1.0771739603490227E-5</v>
      </c>
    </row>
    <row r="186" spans="1:19" x14ac:dyDescent="0.2">
      <c r="A186">
        <v>178</v>
      </c>
      <c r="D186">
        <v>0.40048553458000002</v>
      </c>
      <c r="E186" s="1">
        <v>-8.2518111500000003E-6</v>
      </c>
      <c r="F186" s="1">
        <v>-4.4470640333333299E-6</v>
      </c>
      <c r="G186" s="1">
        <v>4.1466560076104001E-7</v>
      </c>
      <c r="H186" s="1">
        <v>1.130611068236E-7</v>
      </c>
      <c r="I186" s="1">
        <v>4.4273048115065301E-8</v>
      </c>
      <c r="K186">
        <v>0.2</v>
      </c>
      <c r="L186">
        <v>10</v>
      </c>
      <c r="M186" s="2">
        <f>100*D186/(K186*5)</f>
        <v>40.048553458000001</v>
      </c>
      <c r="N186" s="3">
        <f>1000000*E186*K186/(L186*D186)</f>
        <v>-0.41209034721585625</v>
      </c>
      <c r="O186" s="3">
        <f>1000000*F186*K186/(D186*L186)</f>
        <v>-0.22208362846348925</v>
      </c>
      <c r="Q186" s="3">
        <f>1000000*K186*H186/(L186*D186)</f>
        <v>5.6462017756606477E-3</v>
      </c>
      <c r="R186" s="3">
        <f>1000000*K186*I186/(L186*D186)</f>
        <v>2.210968651414371E-3</v>
      </c>
      <c r="S186" s="1">
        <f>G186*100/D186</f>
        <v>1.0354071869185264E-4</v>
      </c>
    </row>
    <row r="187" spans="1:19" x14ac:dyDescent="0.2">
      <c r="A187">
        <v>179</v>
      </c>
      <c r="D187">
        <v>0.20028409268</v>
      </c>
      <c r="E187" s="1">
        <v>-4.2118507166666698E-6</v>
      </c>
      <c r="F187" s="1">
        <v>-2.21980883333333E-6</v>
      </c>
      <c r="G187" s="1">
        <v>3.1227935519942499E-7</v>
      </c>
      <c r="H187" s="1">
        <v>1.01586400065755E-7</v>
      </c>
      <c r="I187" s="1">
        <v>1.08887721142647E-7</v>
      </c>
      <c r="K187">
        <v>0.2</v>
      </c>
      <c r="L187">
        <v>10</v>
      </c>
      <c r="M187" s="2">
        <f>100*D187/(K187*5)</f>
        <v>20.028409268000001</v>
      </c>
      <c r="N187" s="3">
        <f>1000000*E187*K187/(L187*D187)</f>
        <v>-0.42058764231426737</v>
      </c>
      <c r="O187" s="3">
        <f>1000000*F187*K187/(D187*L187)</f>
        <v>-0.22166601487218321</v>
      </c>
      <c r="Q187" s="3">
        <f>1000000*K187*H187/(L187*D187)</f>
        <v>1.0144230498431316E-2</v>
      </c>
      <c r="R187" s="3">
        <f>1000000*K187*I187/(L187*D187)</f>
        <v>1.0873326951294154E-2</v>
      </c>
      <c r="S187" s="1">
        <f>G187*100/D187</f>
        <v>1.5591820150108636E-4</v>
      </c>
    </row>
    <row r="188" spans="1:19" x14ac:dyDescent="0.2">
      <c r="A188">
        <v>180</v>
      </c>
      <c r="D188">
        <v>0.10055878343999999</v>
      </c>
      <c r="E188" s="1">
        <v>-2.15135446666667E-6</v>
      </c>
      <c r="F188" s="1">
        <v>-1.1398556966666701E-6</v>
      </c>
      <c r="G188" s="1">
        <v>1.6829328474495699E-7</v>
      </c>
      <c r="H188" s="1">
        <v>1.02478385922995E-7</v>
      </c>
      <c r="I188" s="1">
        <v>1.3875686971604201E-7</v>
      </c>
      <c r="K188">
        <v>0.2</v>
      </c>
      <c r="L188">
        <v>10</v>
      </c>
      <c r="M188" s="2">
        <f>100*D188/(K188*5)</f>
        <v>10.055878344</v>
      </c>
      <c r="N188" s="3">
        <f>1000000*E188*K188/(L188*D188)</f>
        <v>-0.42787997091279656</v>
      </c>
      <c r="O188" s="3">
        <f>1000000*F188*K188/(D188*L188)</f>
        <v>-0.22670435295128313</v>
      </c>
      <c r="Q188" s="3">
        <f>1000000*K188*H188/(L188*D188)</f>
        <v>2.0381787133321946E-2</v>
      </c>
      <c r="R188" s="3">
        <f>1000000*K188*I188/(L188*D188)</f>
        <v>2.759716555219336E-2</v>
      </c>
      <c r="S188" s="1">
        <f>G188*100/D188</f>
        <v>1.6735811531110246E-4</v>
      </c>
    </row>
    <row r="189" spans="1:19" x14ac:dyDescent="0.2">
      <c r="A189">
        <v>181</v>
      </c>
    </row>
    <row r="190" spans="1:19" x14ac:dyDescent="0.2">
      <c r="A190">
        <v>182</v>
      </c>
      <c r="C190" t="s">
        <v>111</v>
      </c>
      <c r="D190">
        <v>0.20006660536000001</v>
      </c>
      <c r="E190">
        <v>-8.9071927000000195E-4</v>
      </c>
      <c r="F190">
        <v>5.1258901000000197E-3</v>
      </c>
      <c r="G190" s="1">
        <v>1.14025188130697E-7</v>
      </c>
      <c r="H190" s="1">
        <v>6.0980136930006506E-8</v>
      </c>
      <c r="I190" s="1">
        <v>1.3165783898677199E-6</v>
      </c>
      <c r="K190">
        <v>0.2</v>
      </c>
      <c r="L190">
        <v>10</v>
      </c>
      <c r="M190" s="2">
        <f>100*D190/(K190*5)</f>
        <v>20.006660536000002</v>
      </c>
      <c r="N190" s="3">
        <f>1000000*E190*K190/(L190*D190)</f>
        <v>-89.042273536579572</v>
      </c>
      <c r="O190" s="3">
        <f>1000000*F190*K190/(D190*L190)</f>
        <v>512.41836095299243</v>
      </c>
      <c r="Q190" s="3">
        <f>1000000*K190*H190/(L190*D190)</f>
        <v>6.0959835671004457E-3</v>
      </c>
      <c r="R190" s="3">
        <f>1000000*K190*I190/(L190*D190)</f>
        <v>0.13161400799485429</v>
      </c>
      <c r="S190" s="1">
        <f>G190*100/D190</f>
        <v>5.699361366456935E-5</v>
      </c>
    </row>
    <row r="191" spans="1:19" x14ac:dyDescent="0.2">
      <c r="A191">
        <v>183</v>
      </c>
      <c r="C191" t="s">
        <v>112</v>
      </c>
      <c r="D191">
        <v>0.20024713544</v>
      </c>
      <c r="E191">
        <v>1.03680701666667E-3</v>
      </c>
      <c r="F191">
        <v>-5.9380745166666303E-3</v>
      </c>
      <c r="G191" s="1">
        <v>1.3280223612368101E-7</v>
      </c>
      <c r="H191" s="1">
        <v>1.2312383737747799E-6</v>
      </c>
      <c r="I191" s="1">
        <v>5.0468799492560299E-8</v>
      </c>
      <c r="K191">
        <v>0.2</v>
      </c>
      <c r="L191">
        <v>10</v>
      </c>
      <c r="M191" s="2">
        <f>100*D191/(K191*5)</f>
        <v>20.024713544000001</v>
      </c>
      <c r="N191" s="3">
        <f>1000000*E191*K191/(L191*D191)</f>
        <v>103.55274390202983</v>
      </c>
      <c r="O191" s="3">
        <f>1000000*F191*K191/(D191*L191)</f>
        <v>-593.07460290195809</v>
      </c>
      <c r="Q191" s="3">
        <f>1000000*K191*H191/(L191*D191)</f>
        <v>0.12297188382439514</v>
      </c>
      <c r="R191" s="3">
        <f>1000000*K191*I191/(L191*D191)</f>
        <v>5.0406513313327522E-3</v>
      </c>
      <c r="S191" s="1">
        <f>G191*100/D191</f>
        <v>6.6319168976812902E-5</v>
      </c>
    </row>
    <row r="192" spans="1:19" x14ac:dyDescent="0.2">
      <c r="A192">
        <v>184</v>
      </c>
    </row>
    <row r="193" spans="1:22" x14ac:dyDescent="0.2">
      <c r="A193">
        <v>185</v>
      </c>
      <c r="C193" s="5" t="s">
        <v>114</v>
      </c>
    </row>
    <row r="194" spans="1:22" x14ac:dyDescent="0.2">
      <c r="A194">
        <v>186</v>
      </c>
    </row>
    <row r="195" spans="1:22" x14ac:dyDescent="0.2">
      <c r="A195">
        <v>187</v>
      </c>
      <c r="D195">
        <v>1.1766056873999999</v>
      </c>
      <c r="E195" s="1">
        <v>-7.9970733833333297E-7</v>
      </c>
      <c r="F195" s="1">
        <v>-4.9085018166666697E-7</v>
      </c>
      <c r="G195" s="1">
        <v>7.1695107352888097E-6</v>
      </c>
      <c r="H195" s="1">
        <v>7.0979217035626202E-8</v>
      </c>
      <c r="I195" s="1">
        <v>8.6244291705704598E-8</v>
      </c>
      <c r="K195">
        <v>0.2</v>
      </c>
      <c r="L195">
        <v>10</v>
      </c>
      <c r="M195" s="2">
        <f t="shared" ref="M195:M200" si="94">100*D195/(K195*5)</f>
        <v>117.66056873999999</v>
      </c>
      <c r="N195" s="3">
        <f t="shared" ref="N195:N200" si="95">1000000*E195*K195/(L195*D195)</f>
        <v>-1.3593463755907611E-2</v>
      </c>
      <c r="O195" s="3">
        <f t="shared" ref="O195:O200" si="96">1000000*F195*K195/(D195*L195)</f>
        <v>-8.3434949690124535E-3</v>
      </c>
      <c r="Q195" s="3">
        <f t="shared" ref="Q195:Q200" si="97">1000000*K195*H195/(L195*D195)</f>
        <v>1.2065081410998831E-3</v>
      </c>
      <c r="R195" s="3">
        <f t="shared" ref="R195:R200" si="98">1000000*K195*I195/(L195*D195)</f>
        <v>1.4659846136947136E-3</v>
      </c>
      <c r="S195" s="1">
        <f t="shared" ref="S195:S200" si="99">G195*100/D195</f>
        <v>6.0933843955247315E-4</v>
      </c>
    </row>
    <row r="196" spans="1:22" x14ac:dyDescent="0.2">
      <c r="A196">
        <v>188</v>
      </c>
      <c r="D196">
        <v>0.99915426539999996</v>
      </c>
      <c r="E196" s="1">
        <v>-7.7835609500000001E-7</v>
      </c>
      <c r="F196" s="1">
        <v>-4.8017388166666701E-7</v>
      </c>
      <c r="G196" s="1">
        <v>2.10507501007653E-6</v>
      </c>
      <c r="H196" s="1">
        <v>9.0358277770509999E-8</v>
      </c>
      <c r="I196" s="1">
        <v>9.2031338176067306E-8</v>
      </c>
      <c r="K196">
        <v>0.2</v>
      </c>
      <c r="L196">
        <v>10</v>
      </c>
      <c r="M196" s="2">
        <f t="shared" si="94"/>
        <v>99.915426539999999</v>
      </c>
      <c r="N196" s="3">
        <f t="shared" si="95"/>
        <v>-1.5580298697686972E-2</v>
      </c>
      <c r="O196" s="3">
        <f t="shared" si="96"/>
        <v>-9.6116065015132545E-3</v>
      </c>
      <c r="Q196" s="3">
        <f t="shared" si="97"/>
        <v>1.8086952315483754E-3</v>
      </c>
      <c r="R196" s="3">
        <f t="shared" si="98"/>
        <v>1.8421847629149363E-3</v>
      </c>
      <c r="S196" s="1">
        <f t="shared" si="99"/>
        <v>2.1068568518133558E-4</v>
      </c>
    </row>
    <row r="197" spans="1:22" x14ac:dyDescent="0.2">
      <c r="A197">
        <v>189</v>
      </c>
      <c r="D197">
        <v>0.60049026723999999</v>
      </c>
      <c r="E197" s="1">
        <v>-8.0686190333333302E-7</v>
      </c>
      <c r="F197" s="1">
        <v>-3.8920478666666698E-7</v>
      </c>
      <c r="G197" s="1">
        <v>1.6034253128776399E-6</v>
      </c>
      <c r="H197" s="1">
        <v>7.0504730070239395E-8</v>
      </c>
      <c r="I197" s="1">
        <v>6.4445759361687204E-8</v>
      </c>
      <c r="K197">
        <v>0.2</v>
      </c>
      <c r="L197">
        <v>10</v>
      </c>
      <c r="M197" s="2">
        <f t="shared" si="94"/>
        <v>60.049026724000001</v>
      </c>
      <c r="N197" s="3">
        <f t="shared" si="95"/>
        <v>-2.6873438167178541E-2</v>
      </c>
      <c r="O197" s="3">
        <f t="shared" si="96"/>
        <v>-1.2962900746270122E-2</v>
      </c>
      <c r="Q197" s="3">
        <f t="shared" si="97"/>
        <v>2.3482388946717276E-3</v>
      </c>
      <c r="R197" s="3">
        <f t="shared" si="98"/>
        <v>2.1464380982524718E-3</v>
      </c>
      <c r="S197" s="1">
        <f t="shared" si="99"/>
        <v>2.6701936739913782E-4</v>
      </c>
    </row>
    <row r="198" spans="1:22" x14ac:dyDescent="0.2">
      <c r="A198">
        <v>190</v>
      </c>
      <c r="D198">
        <v>0.40094040904</v>
      </c>
      <c r="E198" s="1">
        <v>-7.6240719333333303E-7</v>
      </c>
      <c r="F198" s="1">
        <v>-3.1594582333333299E-7</v>
      </c>
      <c r="G198" s="1">
        <v>1.1340148367872899E-6</v>
      </c>
      <c r="H198" s="1">
        <v>3.2192510702945898E-8</v>
      </c>
      <c r="I198" s="1">
        <v>2.2493362405135999E-8</v>
      </c>
      <c r="K198">
        <v>0.2</v>
      </c>
      <c r="L198">
        <v>10</v>
      </c>
      <c r="M198" s="2">
        <f t="shared" si="94"/>
        <v>40.094040904000003</v>
      </c>
      <c r="N198" s="3">
        <f t="shared" si="95"/>
        <v>-3.803094804830566E-2</v>
      </c>
      <c r="O198" s="3">
        <f t="shared" si="96"/>
        <v>-1.5760238489795748E-2</v>
      </c>
      <c r="Q198" s="3">
        <f t="shared" si="97"/>
        <v>1.6058501451638014E-3</v>
      </c>
      <c r="R198" s="3">
        <f t="shared" si="98"/>
        <v>1.1220302018942639E-3</v>
      </c>
      <c r="S198" s="1">
        <f t="shared" si="99"/>
        <v>2.8283874890598876E-4</v>
      </c>
    </row>
    <row r="199" spans="1:22" x14ac:dyDescent="0.2">
      <c r="A199">
        <v>191</v>
      </c>
      <c r="D199">
        <v>0.20242127337999999</v>
      </c>
      <c r="E199" s="1">
        <v>-5.2873191000000004E-7</v>
      </c>
      <c r="F199" s="1">
        <v>-2.0942182685000001E-7</v>
      </c>
      <c r="G199" s="1">
        <v>3.5828291853576501E-7</v>
      </c>
      <c r="H199" s="1">
        <v>1.01441746736614E-7</v>
      </c>
      <c r="I199" s="1">
        <v>9.8844956405708197E-8</v>
      </c>
      <c r="K199">
        <v>0.2</v>
      </c>
      <c r="L199">
        <v>10</v>
      </c>
      <c r="M199" s="2">
        <f t="shared" si="94"/>
        <v>20.242127338</v>
      </c>
      <c r="N199" s="3">
        <f t="shared" si="95"/>
        <v>-5.2240745369428243E-2</v>
      </c>
      <c r="O199" s="3">
        <f t="shared" si="96"/>
        <v>-2.0691681595822995E-2</v>
      </c>
      <c r="Q199" s="3">
        <f t="shared" si="97"/>
        <v>1.0022834561086883E-2</v>
      </c>
      <c r="R199" s="3">
        <f t="shared" si="98"/>
        <v>9.7662616932706718E-3</v>
      </c>
      <c r="S199" s="1">
        <f t="shared" si="99"/>
        <v>1.7699864868608457E-4</v>
      </c>
    </row>
    <row r="200" spans="1:22" x14ac:dyDescent="0.2">
      <c r="A200">
        <v>192</v>
      </c>
      <c r="D200">
        <v>0.10053527399999999</v>
      </c>
      <c r="E200" s="1">
        <v>-3.1971450000000001E-7</v>
      </c>
      <c r="F200" s="1">
        <v>-8.2457349383333406E-8</v>
      </c>
      <c r="G200" s="1">
        <v>1.33284823446652E-7</v>
      </c>
      <c r="H200" s="1">
        <v>9.9581864068380104E-8</v>
      </c>
      <c r="I200" s="1">
        <v>8.8662489521796797E-8</v>
      </c>
      <c r="K200">
        <v>0.2</v>
      </c>
      <c r="L200">
        <v>10</v>
      </c>
      <c r="M200" s="2">
        <f t="shared" si="94"/>
        <v>10.0535274</v>
      </c>
      <c r="N200" s="3">
        <f t="shared" si="95"/>
        <v>-6.3602452607827986E-2</v>
      </c>
      <c r="O200" s="3">
        <f t="shared" si="96"/>
        <v>-1.640366532115552E-2</v>
      </c>
      <c r="Q200" s="3">
        <f t="shared" si="97"/>
        <v>1.9810333250472885E-2</v>
      </c>
      <c r="R200" s="3">
        <f t="shared" si="98"/>
        <v>1.7638085816883892E-2</v>
      </c>
      <c r="S200" s="1">
        <f t="shared" si="99"/>
        <v>1.3257518296180503E-4</v>
      </c>
    </row>
    <row r="201" spans="1:22" x14ac:dyDescent="0.2">
      <c r="E201" s="1"/>
      <c r="F201" s="1"/>
      <c r="G201" s="1"/>
      <c r="H201" s="1"/>
      <c r="I201" s="1"/>
      <c r="M201" s="2"/>
      <c r="N201" s="3"/>
      <c r="O201" s="3"/>
      <c r="Q201" s="3"/>
      <c r="R201" s="3"/>
      <c r="S201" s="1"/>
    </row>
    <row r="202" spans="1:22" x14ac:dyDescent="0.2">
      <c r="A202">
        <v>193</v>
      </c>
      <c r="E202" s="1"/>
      <c r="H202" t="s">
        <v>50</v>
      </c>
      <c r="I202" t="s">
        <v>51</v>
      </c>
      <c r="J202" t="s">
        <v>53</v>
      </c>
      <c r="L202" t="s">
        <v>54</v>
      </c>
      <c r="M202" t="s">
        <v>58</v>
      </c>
      <c r="N202" t="s">
        <v>56</v>
      </c>
    </row>
    <row r="203" spans="1:22" x14ac:dyDescent="0.2">
      <c r="A203">
        <v>194</v>
      </c>
      <c r="C203" s="5" t="s">
        <v>115</v>
      </c>
      <c r="F203" t="s">
        <v>172</v>
      </c>
      <c r="G203" t="s">
        <v>32</v>
      </c>
      <c r="H203" t="s">
        <v>16</v>
      </c>
      <c r="I203" t="s">
        <v>52</v>
      </c>
      <c r="J203" t="s">
        <v>54</v>
      </c>
      <c r="K203" t="s">
        <v>55</v>
      </c>
      <c r="L203" t="s">
        <v>57</v>
      </c>
      <c r="M203" t="s">
        <v>57</v>
      </c>
      <c r="N203" t="s">
        <v>59</v>
      </c>
    </row>
    <row r="204" spans="1:22" x14ac:dyDescent="0.2">
      <c r="A204">
        <v>195</v>
      </c>
      <c r="C204" t="s">
        <v>45</v>
      </c>
      <c r="D204">
        <v>0.995</v>
      </c>
      <c r="E204">
        <v>0.2137</v>
      </c>
      <c r="F204">
        <f>E204/D204</f>
        <v>0.21477386934673368</v>
      </c>
      <c r="G204">
        <v>0.2</v>
      </c>
      <c r="H204">
        <f>0.317/G204</f>
        <v>1.585</v>
      </c>
      <c r="I204">
        <f>H204+1</f>
        <v>2.585</v>
      </c>
      <c r="J204">
        <f>F204-K204*I204/20</f>
        <v>8.5523869346733672E-2</v>
      </c>
      <c r="K204">
        <v>1</v>
      </c>
      <c r="L204">
        <f>J204</f>
        <v>8.5523869346733672E-2</v>
      </c>
      <c r="M204" s="15">
        <f>1/L204</f>
        <v>11.692642155206604</v>
      </c>
      <c r="N204">
        <f>2*M204/SUM(M204:M205)</f>
        <v>1.0102156161759788</v>
      </c>
    </row>
    <row r="205" spans="1:22" x14ac:dyDescent="0.2">
      <c r="A205">
        <v>196</v>
      </c>
      <c r="C205" t="s">
        <v>46</v>
      </c>
      <c r="D205">
        <v>0.99</v>
      </c>
      <c r="E205">
        <v>0.42699999999999999</v>
      </c>
      <c r="F205">
        <f>E205/D205</f>
        <v>0.43131313131313131</v>
      </c>
      <c r="G205">
        <v>0.2</v>
      </c>
      <c r="H205">
        <f>0.317/G205</f>
        <v>1.585</v>
      </c>
      <c r="I205">
        <f>H205+1</f>
        <v>2.585</v>
      </c>
      <c r="J205">
        <f>F205-K205*I205/20</f>
        <v>0.17281313131313131</v>
      </c>
      <c r="K205">
        <v>2</v>
      </c>
      <c r="L205">
        <f>J205-J204</f>
        <v>8.7289261966397635E-2</v>
      </c>
      <c r="M205" s="15">
        <f>1/L205</f>
        <v>11.456162848357616</v>
      </c>
      <c r="N205">
        <f>2*M205/SUM(M204:M205)</f>
        <v>0.98978438382402123</v>
      </c>
    </row>
    <row r="206" spans="1:22" x14ac:dyDescent="0.2">
      <c r="A206">
        <v>197</v>
      </c>
      <c r="J206" s="5" t="s">
        <v>18</v>
      </c>
      <c r="K206" s="5" t="s">
        <v>2</v>
      </c>
      <c r="L206" s="5" t="s">
        <v>3</v>
      </c>
      <c r="M206" s="5" t="s">
        <v>180</v>
      </c>
      <c r="N206" s="13" t="s">
        <v>246</v>
      </c>
      <c r="O206" s="13"/>
      <c r="P206" s="13" t="s">
        <v>245</v>
      </c>
      <c r="Q206" s="13"/>
      <c r="S206" s="5" t="s">
        <v>318</v>
      </c>
      <c r="T206" s="5" t="s">
        <v>318</v>
      </c>
      <c r="U206" s="307" t="s">
        <v>109</v>
      </c>
      <c r="V206" s="307"/>
    </row>
    <row r="207" spans="1:22" x14ac:dyDescent="0.2">
      <c r="A207">
        <v>198</v>
      </c>
      <c r="C207" s="5" t="s">
        <v>116</v>
      </c>
      <c r="N207" t="s">
        <v>247</v>
      </c>
      <c r="O207" t="s">
        <v>248</v>
      </c>
      <c r="P207" t="s">
        <v>107</v>
      </c>
      <c r="Q207" t="s">
        <v>108</v>
      </c>
      <c r="R207" t="s">
        <v>320</v>
      </c>
      <c r="S207" t="s">
        <v>98</v>
      </c>
      <c r="T207" t="s">
        <v>99</v>
      </c>
      <c r="U207" t="s">
        <v>98</v>
      </c>
      <c r="V207" t="s">
        <v>99</v>
      </c>
    </row>
    <row r="208" spans="1:22" x14ac:dyDescent="0.2">
      <c r="A208">
        <v>199</v>
      </c>
      <c r="C208" t="s">
        <v>26</v>
      </c>
      <c r="D208">
        <v>0.97038011627999998</v>
      </c>
      <c r="E208" s="1">
        <v>-2.3022052499999999E-6</v>
      </c>
      <c r="F208" s="1">
        <v>-8.6764899166666703E-7</v>
      </c>
      <c r="G208" s="1">
        <v>6.1893055880739999E-6</v>
      </c>
      <c r="H208" s="1">
        <v>8.0552707384280401E-8</v>
      </c>
      <c r="I208" s="1">
        <v>1.0562441345957E-7</v>
      </c>
      <c r="J208">
        <v>4</v>
      </c>
      <c r="K208">
        <v>0.2</v>
      </c>
      <c r="L208">
        <v>10</v>
      </c>
      <c r="M208" s="2">
        <f>J208*D208/K208</f>
        <v>19.407602325599999</v>
      </c>
      <c r="N208" s="3">
        <f>10^6*E208/L208</f>
        <v>-0.23022052500000001</v>
      </c>
      <c r="O208" s="3">
        <f>F208*10^6/L208</f>
        <v>-8.6764899166666701E-2</v>
      </c>
      <c r="P208" s="3">
        <f>J208*N208/M208</f>
        <v>-4.7449555310873796E-2</v>
      </c>
      <c r="Q208" s="3">
        <f>J208*O208/M208</f>
        <v>-1.7882662208554771E-2</v>
      </c>
      <c r="R208" s="3">
        <f>1-N205</f>
        <v>1.021561617597877E-2</v>
      </c>
      <c r="S208" s="3">
        <f>P208*R208</f>
        <v>-4.8472644477676169E-4</v>
      </c>
      <c r="T208" s="3">
        <f>Q208*R208</f>
        <v>-1.8268241332727636E-4</v>
      </c>
      <c r="U208" s="40">
        <f>S208</f>
        <v>-4.8472644477676169E-4</v>
      </c>
      <c r="V208" s="40">
        <f>T208</f>
        <v>-1.8268241332727636E-4</v>
      </c>
    </row>
    <row r="209" spans="1:22" x14ac:dyDescent="0.2">
      <c r="A209">
        <v>200</v>
      </c>
      <c r="C209" t="s">
        <v>117</v>
      </c>
      <c r="D209">
        <v>0.95818566423999996</v>
      </c>
      <c r="E209" s="1">
        <v>-5.4659012999999997E-7</v>
      </c>
      <c r="F209" s="1">
        <v>-3.3641600166666998E-7</v>
      </c>
      <c r="G209" s="1">
        <v>4.2805535275217001E-6</v>
      </c>
      <c r="H209" s="1">
        <v>5.8598980068226698E-8</v>
      </c>
      <c r="I209" s="1">
        <v>4.94707268964016E-8</v>
      </c>
      <c r="J209">
        <v>4</v>
      </c>
      <c r="K209">
        <v>0.2</v>
      </c>
      <c r="L209">
        <v>10</v>
      </c>
      <c r="M209" s="2">
        <f>J209*D209/K209</f>
        <v>19.163713284799996</v>
      </c>
      <c r="N209" s="3">
        <f>10^6*E209/L209</f>
        <v>-5.4659012999999999E-2</v>
      </c>
      <c r="O209" s="3">
        <f>F209*10^6/L209</f>
        <v>-3.3641600166666993E-2</v>
      </c>
      <c r="P209" s="3"/>
      <c r="Q209" s="3"/>
      <c r="R209" s="3"/>
      <c r="S209" s="3"/>
    </row>
    <row r="210" spans="1:22" x14ac:dyDescent="0.2">
      <c r="A210">
        <v>201</v>
      </c>
      <c r="C210" t="s">
        <v>118</v>
      </c>
      <c r="D210">
        <v>0.95114797188</v>
      </c>
      <c r="E210" s="1">
        <v>-3.5234936833333302E-6</v>
      </c>
      <c r="F210" s="1">
        <v>-1.3741890333333399E-6</v>
      </c>
      <c r="G210" s="1">
        <v>3.3232896501165301E-6</v>
      </c>
      <c r="H210" s="1">
        <v>4.4488849950667902E-8</v>
      </c>
      <c r="I210" s="1">
        <v>5.8867239562699201E-8</v>
      </c>
      <c r="J210">
        <v>4</v>
      </c>
      <c r="K210">
        <v>0.2</v>
      </c>
      <c r="L210">
        <v>10</v>
      </c>
      <c r="M210" s="2">
        <f>J210*D210/K210</f>
        <v>19.022959437599997</v>
      </c>
      <c r="N210" s="3">
        <f>10^6*E210/L210</f>
        <v>-0.35234936833333302</v>
      </c>
      <c r="O210" s="3">
        <f>F210*10^6/L210</f>
        <v>-0.13741890333333401</v>
      </c>
      <c r="P210" s="3"/>
      <c r="Q210" s="3"/>
      <c r="R210" s="3"/>
      <c r="S210" s="3"/>
    </row>
    <row r="211" spans="1:22" x14ac:dyDescent="0.2">
      <c r="A211">
        <v>202</v>
      </c>
    </row>
    <row r="212" spans="1:22" x14ac:dyDescent="0.2">
      <c r="A212">
        <v>203</v>
      </c>
    </row>
    <row r="213" spans="1:22" x14ac:dyDescent="0.2">
      <c r="A213">
        <v>204</v>
      </c>
      <c r="C213" s="5" t="s">
        <v>119</v>
      </c>
      <c r="J213" s="5" t="s">
        <v>18</v>
      </c>
      <c r="K213" s="5" t="s">
        <v>2</v>
      </c>
      <c r="L213" s="5" t="s">
        <v>3</v>
      </c>
      <c r="M213" s="5" t="s">
        <v>180</v>
      </c>
      <c r="N213" s="13" t="s">
        <v>246</v>
      </c>
      <c r="O213" s="13"/>
      <c r="P213" s="13" t="s">
        <v>245</v>
      </c>
      <c r="Q213" s="13"/>
      <c r="S213" s="5" t="s">
        <v>318</v>
      </c>
      <c r="T213" s="5" t="s">
        <v>318</v>
      </c>
      <c r="U213" s="307" t="s">
        <v>109</v>
      </c>
      <c r="V213" s="307"/>
    </row>
    <row r="214" spans="1:22" x14ac:dyDescent="0.2">
      <c r="A214">
        <v>205</v>
      </c>
      <c r="N214" t="s">
        <v>247</v>
      </c>
      <c r="O214" t="s">
        <v>248</v>
      </c>
      <c r="P214" t="s">
        <v>107</v>
      </c>
      <c r="Q214" t="s">
        <v>108</v>
      </c>
      <c r="R214" t="s">
        <v>249</v>
      </c>
      <c r="S214" t="s">
        <v>98</v>
      </c>
      <c r="T214" t="s">
        <v>99</v>
      </c>
      <c r="U214" t="s">
        <v>98</v>
      </c>
      <c r="V214" t="s">
        <v>99</v>
      </c>
    </row>
    <row r="215" spans="1:22" x14ac:dyDescent="0.2">
      <c r="A215">
        <v>206</v>
      </c>
      <c r="C215" s="7" t="s">
        <v>26</v>
      </c>
      <c r="D215" s="7">
        <v>0.98307499350000005</v>
      </c>
      <c r="E215" s="10">
        <v>1.9628659333333302E-6</v>
      </c>
      <c r="F215" s="10">
        <v>4.9653752166666698E-6</v>
      </c>
      <c r="G215" s="10">
        <v>7.0269303245206499E-6</v>
      </c>
      <c r="H215" s="10">
        <v>1.32259307723712E-8</v>
      </c>
      <c r="I215" s="10">
        <v>7.4291183429033598E-8</v>
      </c>
      <c r="J215">
        <v>4</v>
      </c>
      <c r="K215">
        <v>0.2</v>
      </c>
      <c r="L215">
        <v>10</v>
      </c>
      <c r="M215" s="2">
        <f>J215*D215/K215</f>
        <v>19.66149987</v>
      </c>
      <c r="N215" s="3">
        <f t="shared" ref="N215:N224" si="100">10^6*E215/L215</f>
        <v>0.19628659333333304</v>
      </c>
      <c r="O215" s="3">
        <f t="shared" ref="O215:O224" si="101">F215*10^6/L215</f>
        <v>0.49653752166666693</v>
      </c>
      <c r="P215" s="3">
        <f t="shared" ref="P215:P224" si="102">J215*N215/M215</f>
        <v>3.9933188135424388E-2</v>
      </c>
      <c r="Q215" s="3">
        <f t="shared" ref="Q215:Q224" si="103">J215*O215/M215</f>
        <v>0.10101722146321016</v>
      </c>
      <c r="R215" s="12"/>
      <c r="S215" s="10"/>
    </row>
    <row r="216" spans="1:22" x14ac:dyDescent="0.2">
      <c r="A216">
        <v>207</v>
      </c>
      <c r="C216" s="7" t="s">
        <v>117</v>
      </c>
      <c r="D216" s="7">
        <v>0.97091260213999997</v>
      </c>
      <c r="E216" s="10">
        <v>1.39477103333332E-6</v>
      </c>
      <c r="F216" s="10">
        <v>4.8491852999999802E-6</v>
      </c>
      <c r="G216" s="10">
        <v>4.7971940557991101E-6</v>
      </c>
      <c r="H216" s="10">
        <v>2.7065374433438199E-9</v>
      </c>
      <c r="I216" s="10">
        <v>1.9281714660354501E-8</v>
      </c>
      <c r="J216">
        <v>4</v>
      </c>
      <c r="K216">
        <v>0.2</v>
      </c>
      <c r="L216">
        <v>10</v>
      </c>
      <c r="M216" s="2">
        <f t="shared" ref="M216:M224" si="104">J216*D216/K216</f>
        <v>19.418252042799999</v>
      </c>
      <c r="N216" s="3">
        <f t="shared" si="100"/>
        <v>0.13947710333333202</v>
      </c>
      <c r="O216" s="3">
        <f t="shared" si="101"/>
        <v>0.48491852999999796</v>
      </c>
      <c r="P216" s="3">
        <f t="shared" si="102"/>
        <v>2.873113461003779E-2</v>
      </c>
      <c r="Q216" s="3">
        <f t="shared" si="103"/>
        <v>9.9889223588443141E-2</v>
      </c>
      <c r="R216" s="12"/>
      <c r="S216" s="10"/>
    </row>
    <row r="217" spans="1:22" x14ac:dyDescent="0.2">
      <c r="A217">
        <v>208</v>
      </c>
      <c r="C217" s="7" t="s">
        <v>118</v>
      </c>
      <c r="D217" s="7">
        <v>0.96487292414000003</v>
      </c>
      <c r="E217" s="10">
        <v>2.4639621666666499E-6</v>
      </c>
      <c r="F217" s="10">
        <v>4.9412147666667096E-6</v>
      </c>
      <c r="G217" s="10">
        <v>4.0530104527205703E-6</v>
      </c>
      <c r="H217" s="10">
        <v>1.25915988250985E-8</v>
      </c>
      <c r="I217" s="10">
        <v>2.9395052933197999E-8</v>
      </c>
      <c r="J217">
        <v>4</v>
      </c>
      <c r="K217">
        <v>0.2</v>
      </c>
      <c r="L217">
        <v>10</v>
      </c>
      <c r="M217" s="2">
        <f t="shared" si="104"/>
        <v>19.2974584828</v>
      </c>
      <c r="N217" s="3">
        <f t="shared" si="100"/>
        <v>0.24639621666666497</v>
      </c>
      <c r="O217" s="3">
        <f t="shared" si="101"/>
        <v>0.49412147666667094</v>
      </c>
      <c r="P217" s="3">
        <f t="shared" si="102"/>
        <v>5.1073298981061194E-2</v>
      </c>
      <c r="Q217" s="3">
        <f t="shared" si="103"/>
        <v>0.10242208363491719</v>
      </c>
      <c r="R217" s="12"/>
      <c r="S217" s="10"/>
    </row>
    <row r="218" spans="1:22" x14ac:dyDescent="0.2">
      <c r="A218">
        <v>209</v>
      </c>
      <c r="C218" t="s">
        <v>120</v>
      </c>
      <c r="J218">
        <v>4</v>
      </c>
      <c r="M218" s="2"/>
      <c r="N218" s="3"/>
      <c r="O218" s="3"/>
      <c r="P218" s="3"/>
      <c r="Q218" s="3"/>
      <c r="R218" s="3"/>
      <c r="S218" s="3"/>
      <c r="T218" s="3"/>
    </row>
    <row r="219" spans="1:22" x14ac:dyDescent="0.2">
      <c r="A219">
        <v>210</v>
      </c>
      <c r="C219" t="s">
        <v>26</v>
      </c>
      <c r="D219">
        <v>0.96212565344000001</v>
      </c>
      <c r="E219" s="1">
        <v>-2.7919756333333299E-7</v>
      </c>
      <c r="F219" s="1">
        <v>4.7957090166666695E-7</v>
      </c>
      <c r="G219" s="1">
        <v>4.29402176073499E-6</v>
      </c>
      <c r="H219" s="1">
        <v>7.8369126512715395E-8</v>
      </c>
      <c r="I219" s="1">
        <v>8.1575313474330799E-8</v>
      </c>
      <c r="J219">
        <v>4</v>
      </c>
      <c r="K219">
        <v>0.2</v>
      </c>
      <c r="L219">
        <v>10</v>
      </c>
      <c r="M219" s="2">
        <f>D219*J219/K219</f>
        <v>19.242513068799997</v>
      </c>
      <c r="N219" s="3">
        <f t="shared" si="100"/>
        <v>-2.7919756333333302E-2</v>
      </c>
      <c r="O219" s="3">
        <f t="shared" si="101"/>
        <v>4.7957090166666695E-2</v>
      </c>
      <c r="P219" s="3">
        <f t="shared" si="102"/>
        <v>-5.8037650765279036E-3</v>
      </c>
      <c r="Q219" s="3">
        <f t="shared" si="103"/>
        <v>9.9689868979587291E-3</v>
      </c>
      <c r="R219" s="3">
        <f>1-N268</f>
        <v>-1.9174690791570859E-2</v>
      </c>
      <c r="S219" s="3">
        <f>P219*R219</f>
        <v>1.1128540076934013E-4</v>
      </c>
      <c r="T219" s="3">
        <f>Q219*R219</f>
        <v>-1.9115224127357977E-4</v>
      </c>
    </row>
    <row r="220" spans="1:22" x14ac:dyDescent="0.2">
      <c r="A220">
        <v>211</v>
      </c>
      <c r="C220" t="s">
        <v>85</v>
      </c>
      <c r="D220">
        <v>0.95488522495999995</v>
      </c>
      <c r="E220" s="1">
        <v>-8.8159177166665798E-7</v>
      </c>
      <c r="F220" s="1">
        <v>-6.7539396666666602E-7</v>
      </c>
      <c r="G220" s="1">
        <v>5.0653566683016502E-6</v>
      </c>
      <c r="H220" s="1">
        <v>1.99403928500133E-8</v>
      </c>
      <c r="I220" s="1">
        <v>6.0270981542161406E-8</v>
      </c>
      <c r="J220">
        <v>4</v>
      </c>
      <c r="K220">
        <v>0.2</v>
      </c>
      <c r="L220">
        <v>10</v>
      </c>
      <c r="M220" s="2">
        <f t="shared" si="104"/>
        <v>19.097704499199999</v>
      </c>
      <c r="N220" s="3">
        <f t="shared" si="100"/>
        <v>-8.8159177166665798E-2</v>
      </c>
      <c r="O220" s="3">
        <f t="shared" si="101"/>
        <v>-6.7539396666666612E-2</v>
      </c>
      <c r="P220" s="3">
        <f t="shared" si="102"/>
        <v>-1.8464874073291643E-2</v>
      </c>
      <c r="Q220" s="3">
        <f t="shared" si="103"/>
        <v>-1.4146076387242421E-2</v>
      </c>
      <c r="R220" s="3">
        <f>1-N269</f>
        <v>4.0691645863167647E-2</v>
      </c>
      <c r="S220" s="3">
        <f>P220*R220</f>
        <v>-7.5136611669836945E-4</v>
      </c>
      <c r="T220" s="3">
        <f>Q220*R220</f>
        <v>-5.7562713070298662E-4</v>
      </c>
    </row>
    <row r="221" spans="1:22" x14ac:dyDescent="0.2">
      <c r="A221">
        <v>212</v>
      </c>
      <c r="C221" t="s">
        <v>28</v>
      </c>
      <c r="D221">
        <v>0.95098484126000005</v>
      </c>
      <c r="E221" s="1">
        <v>-2.4597698499999702E-6</v>
      </c>
      <c r="F221" s="1">
        <v>-1.89296651666667E-6</v>
      </c>
      <c r="G221" s="1">
        <v>5.6020485134032199E-6</v>
      </c>
      <c r="H221" s="1">
        <v>4.9795319507067098E-8</v>
      </c>
      <c r="I221" s="1">
        <v>9.5415285753208298E-8</v>
      </c>
      <c r="J221">
        <v>4</v>
      </c>
      <c r="K221">
        <v>0.2</v>
      </c>
      <c r="L221">
        <v>10</v>
      </c>
      <c r="M221" s="2">
        <f t="shared" si="104"/>
        <v>19.0196968252</v>
      </c>
      <c r="N221" s="3">
        <f t="shared" si="100"/>
        <v>-0.24597698499999701</v>
      </c>
      <c r="O221" s="3">
        <f t="shared" si="101"/>
        <v>-0.18929665166666701</v>
      </c>
      <c r="P221" s="3">
        <f t="shared" si="102"/>
        <v>-5.1731000185889754E-2</v>
      </c>
      <c r="Q221" s="3">
        <f t="shared" si="103"/>
        <v>-3.981065595448606E-2</v>
      </c>
      <c r="R221" s="3">
        <f>1-N270</f>
        <v>0.10374819133426083</v>
      </c>
      <c r="S221" s="3">
        <f>P221*R221</f>
        <v>-5.3669977051983729E-3</v>
      </c>
      <c r="T221" s="3">
        <f>Q221*R221</f>
        <v>-4.1302835511084499E-3</v>
      </c>
    </row>
    <row r="222" spans="1:22" x14ac:dyDescent="0.2">
      <c r="A222">
        <v>213</v>
      </c>
      <c r="C222" t="s">
        <v>86</v>
      </c>
      <c r="D222">
        <v>0.95900474144000003</v>
      </c>
      <c r="E222" s="1">
        <v>4.4643191E-7</v>
      </c>
      <c r="F222" s="1">
        <v>-5.9747542666666597E-7</v>
      </c>
      <c r="G222" s="1">
        <v>5.4269708926574998E-6</v>
      </c>
      <c r="H222" s="1">
        <v>6.9019440297874805E-8</v>
      </c>
      <c r="I222" s="1">
        <v>6.5202106877420894E-8</v>
      </c>
      <c r="J222">
        <v>4</v>
      </c>
      <c r="K222">
        <v>0.2</v>
      </c>
      <c r="L222">
        <v>10</v>
      </c>
      <c r="M222" s="2">
        <f t="shared" si="104"/>
        <v>19.180094828799998</v>
      </c>
      <c r="N222" s="3">
        <f t="shared" si="100"/>
        <v>4.4643190999999999E-2</v>
      </c>
      <c r="O222" s="3">
        <f t="shared" si="101"/>
        <v>-5.9747542666666598E-2</v>
      </c>
      <c r="P222" s="3">
        <f t="shared" si="102"/>
        <v>9.3103170549429654E-3</v>
      </c>
      <c r="Q222" s="3">
        <f t="shared" si="103"/>
        <v>-1.2460322683483771E-2</v>
      </c>
      <c r="R222" s="3">
        <f>1-N271</f>
        <v>-8.316377092181515E-2</v>
      </c>
      <c r="S222" s="3">
        <f>P222*R222</f>
        <v>-7.7428107476674546E-4</v>
      </c>
      <c r="T222" s="3">
        <f>Q222*R222</f>
        <v>1.0362474212611413E-3</v>
      </c>
      <c r="U222" s="42">
        <f>SUM(S219:S222)</f>
        <v>-6.7813594958941476E-3</v>
      </c>
      <c r="V222" s="42">
        <f>SUM(T219:T222)</f>
        <v>-3.8608155018238751E-3</v>
      </c>
    </row>
    <row r="223" spans="1:22" x14ac:dyDescent="0.2">
      <c r="A223">
        <v>214</v>
      </c>
      <c r="C223" t="s">
        <v>121</v>
      </c>
      <c r="D223">
        <v>0.94215534619999997</v>
      </c>
      <c r="E223" s="1">
        <v>-1.3308175599999999E-7</v>
      </c>
      <c r="F223" s="1">
        <v>-7.4230982666666695E-7</v>
      </c>
      <c r="G223" s="1">
        <v>2.1434552809321499E-6</v>
      </c>
      <c r="H223" s="1">
        <v>2.58038980541034E-8</v>
      </c>
      <c r="I223" s="1">
        <v>4.32609131040167E-8</v>
      </c>
      <c r="J223">
        <v>4</v>
      </c>
      <c r="K223">
        <v>0.2</v>
      </c>
      <c r="L223">
        <v>10</v>
      </c>
      <c r="M223" s="2">
        <f t="shared" si="104"/>
        <v>18.843106923999997</v>
      </c>
      <c r="N223" s="3">
        <f t="shared" si="100"/>
        <v>-1.33081756E-2</v>
      </c>
      <c r="O223" s="3">
        <f t="shared" si="101"/>
        <v>-7.4230982666666695E-2</v>
      </c>
      <c r="P223" s="3">
        <f t="shared" si="102"/>
        <v>-2.8250491075969444E-3</v>
      </c>
      <c r="Q223" s="3">
        <f t="shared" si="103"/>
        <v>-1.5757694941935619E-2</v>
      </c>
      <c r="R223" s="3"/>
      <c r="S223" s="3"/>
      <c r="T223" s="3"/>
      <c r="U223" s="7" t="s">
        <v>321</v>
      </c>
      <c r="V223" s="7"/>
    </row>
    <row r="224" spans="1:22" x14ac:dyDescent="0.2">
      <c r="A224">
        <v>215</v>
      </c>
      <c r="C224" t="s">
        <v>122</v>
      </c>
      <c r="D224">
        <v>0.93942705419999994</v>
      </c>
      <c r="E224" s="1">
        <v>9.0662064333333304E-7</v>
      </c>
      <c r="F224" s="1">
        <v>-5.2329517666666703E-7</v>
      </c>
      <c r="G224" s="1">
        <v>1.9063149564174099E-6</v>
      </c>
      <c r="H224" s="1">
        <v>4.3118739326764403E-8</v>
      </c>
      <c r="I224" s="1">
        <v>6.0249376100853698E-8</v>
      </c>
      <c r="J224">
        <v>4</v>
      </c>
      <c r="K224">
        <v>0.2</v>
      </c>
      <c r="L224">
        <v>10</v>
      </c>
      <c r="M224" s="2">
        <f t="shared" si="104"/>
        <v>18.788541083999998</v>
      </c>
      <c r="N224" s="3">
        <f t="shared" si="100"/>
        <v>9.0662064333333306E-2</v>
      </c>
      <c r="O224" s="3">
        <f t="shared" si="101"/>
        <v>-5.23295176666667E-2</v>
      </c>
      <c r="P224" s="3">
        <f t="shared" si="102"/>
        <v>1.9301565550619484E-2</v>
      </c>
      <c r="Q224" s="3">
        <f t="shared" si="103"/>
        <v>-1.1140730391510733E-2</v>
      </c>
      <c r="R224" s="3"/>
      <c r="S224" s="3"/>
      <c r="T224" s="3"/>
      <c r="U224" s="7" t="s">
        <v>322</v>
      </c>
    </row>
    <row r="225" spans="1:19" x14ac:dyDescent="0.2">
      <c r="A225">
        <v>216</v>
      </c>
    </row>
    <row r="226" spans="1:19" x14ac:dyDescent="0.2">
      <c r="A226">
        <v>217</v>
      </c>
    </row>
    <row r="227" spans="1:19" x14ac:dyDescent="0.2">
      <c r="A227">
        <v>218</v>
      </c>
      <c r="C227" s="17">
        <v>36542</v>
      </c>
    </row>
    <row r="228" spans="1:19" x14ac:dyDescent="0.2">
      <c r="A228">
        <v>219</v>
      </c>
      <c r="C228" s="5" t="s">
        <v>128</v>
      </c>
    </row>
    <row r="229" spans="1:19" x14ac:dyDescent="0.2">
      <c r="A229">
        <v>220</v>
      </c>
    </row>
    <row r="230" spans="1:19" x14ac:dyDescent="0.2">
      <c r="A230">
        <v>221</v>
      </c>
      <c r="D230">
        <v>0.99966542583999995</v>
      </c>
      <c r="E230" s="1">
        <v>-1.7612344666666701E-5</v>
      </c>
      <c r="F230" s="1">
        <v>-1.41731378333333E-5</v>
      </c>
      <c r="G230" s="1">
        <v>8.2259812379111094E-6</v>
      </c>
      <c r="H230" s="1">
        <v>1.4593637690750401E-7</v>
      </c>
      <c r="I230" s="1">
        <v>6.5961021712110698E-8</v>
      </c>
      <c r="K230">
        <v>0.2</v>
      </c>
      <c r="L230">
        <v>10</v>
      </c>
      <c r="M230" s="2">
        <f>100*D230/(K230*5)</f>
        <v>99.966542583999995</v>
      </c>
      <c r="N230" s="3">
        <f>1000000*E230*K230/(L230*D230)</f>
        <v>-0.35236478548545141</v>
      </c>
      <c r="O230" s="3">
        <f>1000000*F230*K230/(D230*L230)</f>
        <v>-0.28355762772177262</v>
      </c>
      <c r="Q230" s="3">
        <f>1000000*K230*H230/(L230*D230)</f>
        <v>2.919704395795752E-3</v>
      </c>
      <c r="R230" s="3">
        <f>1000000*K230*I230/(L230*D230)</f>
        <v>1.3196619590336417E-3</v>
      </c>
      <c r="S230" s="1">
        <f>G230*100/D230</f>
        <v>8.2287343597974027E-4</v>
      </c>
    </row>
    <row r="231" spans="1:19" x14ac:dyDescent="0.2">
      <c r="A231">
        <v>222</v>
      </c>
      <c r="D231">
        <v>0.59987152744000005</v>
      </c>
      <c r="E231" s="1">
        <v>-1.11241801666666E-5</v>
      </c>
      <c r="F231" s="1">
        <v>-8.3711948166666101E-6</v>
      </c>
      <c r="G231" s="1">
        <v>3.7303206718937399E-7</v>
      </c>
      <c r="H231" s="1">
        <v>4.5685660295533501E-8</v>
      </c>
      <c r="I231" s="1">
        <v>8.8090095148691698E-9</v>
      </c>
      <c r="K231">
        <v>0.2</v>
      </c>
      <c r="L231">
        <v>10</v>
      </c>
      <c r="M231" s="2">
        <f>100*D231/(K231*5)</f>
        <v>59.987152744000007</v>
      </c>
      <c r="N231" s="3">
        <f>1000000*E231*K231/(L231*D231)</f>
        <v>-0.37088541988781942</v>
      </c>
      <c r="O231" s="3">
        <f>1000000*F231*K231/(D231*L231)</f>
        <v>-0.27909958828655723</v>
      </c>
      <c r="Q231" s="3">
        <f>1000000*K231*H231/(L231*D231)</f>
        <v>1.523181488226345E-3</v>
      </c>
      <c r="R231" s="3">
        <f>1000000*K231*I231/(L231*D231)</f>
        <v>2.9369653707227362E-4</v>
      </c>
      <c r="S231" s="1">
        <f>G231*100/D231</f>
        <v>6.2185326378352758E-5</v>
      </c>
    </row>
    <row r="232" spans="1:19" x14ac:dyDescent="0.2">
      <c r="A232">
        <v>223</v>
      </c>
      <c r="D232">
        <v>0.40160367720000001</v>
      </c>
      <c r="E232" s="1">
        <v>-6.9692988166666703E-6</v>
      </c>
      <c r="F232" s="1">
        <v>-5.1776036333333398E-6</v>
      </c>
      <c r="G232" s="1">
        <v>2.5353156410117801E-7</v>
      </c>
      <c r="H232" s="1">
        <v>1.0219337480214199E-6</v>
      </c>
      <c r="I232" s="1">
        <v>7.9443862584477296E-7</v>
      </c>
      <c r="K232">
        <v>0.2</v>
      </c>
      <c r="L232">
        <v>10</v>
      </c>
      <c r="M232" s="2">
        <f>100*D232/(K232*5)</f>
        <v>40.160367720000004</v>
      </c>
      <c r="N232" s="3">
        <f>1000000*E232*K232/(L232*D232)</f>
        <v>-0.34707345636160286</v>
      </c>
      <c r="O232" s="3">
        <f>1000000*F232*K232/(D232*L232)</f>
        <v>-0.25784642558214804</v>
      </c>
      <c r="Q232" s="3">
        <f>1000000*K232*H232/(L232*D232)</f>
        <v>5.0892648949152602E-2</v>
      </c>
      <c r="R232" s="3">
        <f>1000000*K232*I232/(L232*D232)</f>
        <v>3.9563314329372531E-2</v>
      </c>
      <c r="S232" s="1">
        <f>G232*100/D232</f>
        <v>6.3129791507092803E-5</v>
      </c>
    </row>
    <row r="233" spans="1:19" x14ac:dyDescent="0.2">
      <c r="A233">
        <v>224</v>
      </c>
      <c r="D233">
        <v>0.20004313854</v>
      </c>
      <c r="E233" s="1">
        <v>-3.1793194333333399E-6</v>
      </c>
      <c r="F233" s="1">
        <v>-2.18903948333334E-6</v>
      </c>
      <c r="G233" s="1">
        <v>2.5027737550846699E-7</v>
      </c>
      <c r="H233" s="1">
        <v>8.3741929559212603E-7</v>
      </c>
      <c r="I233" s="1">
        <v>5.6252373282369096E-7</v>
      </c>
      <c r="K233">
        <v>0.2</v>
      </c>
      <c r="L233">
        <v>10</v>
      </c>
      <c r="M233" s="2">
        <f>100*D233/(K233*5)</f>
        <v>20.004313853999999</v>
      </c>
      <c r="N233" s="3">
        <f>1000000*E233*K233/(L233*D233)</f>
        <v>-0.3178633825221267</v>
      </c>
      <c r="O233" s="3">
        <f>1000000*F233*K233/(D233*L233)</f>
        <v>-0.21885674253162415</v>
      </c>
      <c r="Q233" s="3">
        <f>1000000*K233*H233/(L233*D233)</f>
        <v>8.3723870931436961E-2</v>
      </c>
      <c r="R233" s="3">
        <f>1000000*K233*I233/(L233*D233)</f>
        <v>5.6240242672578399E-2</v>
      </c>
      <c r="S233" s="1">
        <f>G233*100/D233</f>
        <v>1.2511170207341168E-4</v>
      </c>
    </row>
    <row r="234" spans="1:19" x14ac:dyDescent="0.2">
      <c r="A234">
        <v>225</v>
      </c>
      <c r="D234">
        <v>9.9091457635999997E-2</v>
      </c>
      <c r="E234" s="1">
        <v>-2.0861867166666502E-6</v>
      </c>
      <c r="F234" s="1">
        <v>-1.3887263833333401E-6</v>
      </c>
      <c r="G234" s="1">
        <v>3.4024360116235998E-7</v>
      </c>
      <c r="H234" s="1">
        <v>1.20875024186025E-8</v>
      </c>
      <c r="I234" s="1">
        <v>1.44022918229378E-8</v>
      </c>
      <c r="K234">
        <v>0.2</v>
      </c>
      <c r="L234">
        <v>10</v>
      </c>
      <c r="M234" s="2">
        <f>100*D234/(K234*5)</f>
        <v>9.9091457635999998</v>
      </c>
      <c r="N234" s="3">
        <f>1000000*E234*K234/(L234*D234)</f>
        <v>-0.4210628779586621</v>
      </c>
      <c r="O234" s="3">
        <f>1000000*F234*K234/(D234*L234)</f>
        <v>-0.28029184683802955</v>
      </c>
      <c r="Q234" s="3">
        <f>1000000*K234*H234/(L234*D234)</f>
        <v>2.4396658817966771E-3</v>
      </c>
      <c r="R234" s="3">
        <f>1000000*K234*I234/(L234*D234)</f>
        <v>2.9068684963426024E-3</v>
      </c>
      <c r="S234" s="1">
        <f>G234*100/D234</f>
        <v>3.4336320130863552E-4</v>
      </c>
    </row>
    <row r="235" spans="1:19" x14ac:dyDescent="0.2">
      <c r="A235">
        <v>226</v>
      </c>
    </row>
    <row r="236" spans="1:19" x14ac:dyDescent="0.2">
      <c r="A236">
        <v>227</v>
      </c>
      <c r="C236" s="5" t="s">
        <v>128</v>
      </c>
    </row>
    <row r="237" spans="1:19" x14ac:dyDescent="0.2">
      <c r="A237">
        <v>228</v>
      </c>
      <c r="C237" t="s">
        <v>129</v>
      </c>
      <c r="D237">
        <v>0.99611517662000004</v>
      </c>
      <c r="E237" s="1">
        <v>-2.08382141666669E-5</v>
      </c>
      <c r="F237" s="1">
        <v>-1.3114081333333199E-5</v>
      </c>
      <c r="G237" s="1">
        <v>5.4978334038787097E-6</v>
      </c>
      <c r="H237" s="1">
        <v>1.5499137050351201E-8</v>
      </c>
      <c r="I237" s="1">
        <v>2.0323901812616899E-8</v>
      </c>
      <c r="K237">
        <v>0.2</v>
      </c>
      <c r="L237">
        <v>10</v>
      </c>
      <c r="M237" s="2">
        <f>100*D237/(K237*5)</f>
        <v>99.611517662000011</v>
      </c>
      <c r="N237" s="3">
        <f>1000000*E237*K237/(L237*D237)</f>
        <v>-0.41838965324019567</v>
      </c>
      <c r="O237" s="3">
        <f>1000000*F237*K237/(D237*L237)</f>
        <v>-0.2633045182150856</v>
      </c>
      <c r="Q237" s="3">
        <f>1000000*K237*H237/(L237*D237)</f>
        <v>3.1119166566546236E-4</v>
      </c>
      <c r="R237" s="3">
        <f>1000000*K237*I237/(L237*D237)</f>
        <v>4.080632900620909E-4</v>
      </c>
      <c r="S237" s="1">
        <f>G237*100/D237</f>
        <v>5.5192748117078769E-4</v>
      </c>
    </row>
    <row r="238" spans="1:19" x14ac:dyDescent="0.2">
      <c r="A238">
        <v>229</v>
      </c>
      <c r="C238" t="s">
        <v>130</v>
      </c>
      <c r="D238">
        <v>0.59981850372000001</v>
      </c>
      <c r="E238" s="1">
        <v>-1.31810896666668E-5</v>
      </c>
      <c r="F238" s="1">
        <v>-7.6981320333333308E-6</v>
      </c>
      <c r="G238" s="1">
        <v>4.05892868955159E-7</v>
      </c>
      <c r="H238" s="1">
        <v>1.71261708083141E-8</v>
      </c>
      <c r="I238" s="1">
        <v>3.4527029395323599E-8</v>
      </c>
      <c r="K238">
        <v>0.2</v>
      </c>
      <c r="L238">
        <v>10</v>
      </c>
      <c r="M238" s="2">
        <f>100*D238/(K238*5)</f>
        <v>59.981850372000004</v>
      </c>
      <c r="N238" s="3">
        <f>1000000*E238*K238/(L238*D238)</f>
        <v>-0.43950260236786021</v>
      </c>
      <c r="O238" s="3">
        <f>1000000*F238*K238/(D238*L238)</f>
        <v>-0.25668204583854853</v>
      </c>
      <c r="Q238" s="3">
        <f>1000000*K238*H238/(L238*D238)</f>
        <v>5.7104509787876537E-4</v>
      </c>
      <c r="R238" s="3">
        <f>1000000*K238*I238/(L238*D238)</f>
        <v>1.1512492255971178E-3</v>
      </c>
      <c r="S238" s="1">
        <f>G238*100/D238</f>
        <v>6.7669281030488681E-5</v>
      </c>
    </row>
    <row r="239" spans="1:19" x14ac:dyDescent="0.2">
      <c r="A239">
        <v>230</v>
      </c>
      <c r="C239" t="s">
        <v>131</v>
      </c>
      <c r="D239">
        <v>0.40233165411999999</v>
      </c>
      <c r="E239" s="1">
        <v>-8.8434266833333001E-6</v>
      </c>
      <c r="F239" s="1">
        <v>-5.3677145000000296E-6</v>
      </c>
      <c r="G239" s="1">
        <v>6.4516318734383202E-7</v>
      </c>
      <c r="H239" s="1">
        <v>5.09801799411597E-8</v>
      </c>
      <c r="I239" s="1">
        <v>2.46352154783883E-9</v>
      </c>
      <c r="K239">
        <v>0.2</v>
      </c>
      <c r="L239">
        <v>10</v>
      </c>
      <c r="M239" s="2">
        <f>100*D239/(K239*5)</f>
        <v>40.233165411999998</v>
      </c>
      <c r="N239" s="3">
        <f>1000000*E239*K239/(L239*D239)</f>
        <v>-0.43960879502141526</v>
      </c>
      <c r="O239" s="3">
        <f>1000000*F239*K239/(D239*L239)</f>
        <v>-0.26683033487586577</v>
      </c>
      <c r="Q239" s="3">
        <f>1000000*K239*H239/(L239*D239)</f>
        <v>2.5342365890979228E-3</v>
      </c>
      <c r="R239" s="3">
        <f>1000000*K239*I239/(L239*D239)</f>
        <v>1.2246222849291677E-4</v>
      </c>
      <c r="S239" s="1">
        <f>G239*100/D239</f>
        <v>1.6035605966797847E-4</v>
      </c>
    </row>
    <row r="240" spans="1:19" x14ac:dyDescent="0.2">
      <c r="A240">
        <v>231</v>
      </c>
      <c r="D240">
        <v>0.20007466214</v>
      </c>
      <c r="E240" s="1">
        <v>-4.53353453333333E-6</v>
      </c>
      <c r="F240" s="1">
        <v>-2.7432379999999801E-6</v>
      </c>
      <c r="G240" s="1">
        <v>4.0889212319903599E-7</v>
      </c>
      <c r="H240" s="1">
        <v>3.5625111623995601E-9</v>
      </c>
      <c r="I240" s="1">
        <v>8.4078560287388704E-9</v>
      </c>
      <c r="K240">
        <v>0.2</v>
      </c>
      <c r="L240">
        <v>10</v>
      </c>
      <c r="M240" s="2">
        <f>100*D240/(K240*5)</f>
        <v>20.007466214000001</v>
      </c>
      <c r="N240" s="3">
        <f>1000000*E240*K240/(L240*D240)</f>
        <v>-0.45318427479448053</v>
      </c>
      <c r="O240" s="3">
        <f>1000000*F240*K240/(D240*L240)</f>
        <v>-0.27422143020593293</v>
      </c>
      <c r="Q240" s="3">
        <f>1000000*K240*H240/(L240*D240)</f>
        <v>3.5611817351531832E-4</v>
      </c>
      <c r="R240" s="3">
        <f>1000000*K240*I240/(L240*D240)</f>
        <v>8.4047184574082326E-4</v>
      </c>
      <c r="S240" s="1">
        <f>G240*100/D240</f>
        <v>2.0436976817830049E-4</v>
      </c>
    </row>
    <row r="241" spans="1:19" x14ac:dyDescent="0.2">
      <c r="A241">
        <v>232</v>
      </c>
      <c r="D241">
        <v>9.9802665545999994E-2</v>
      </c>
      <c r="E241" s="1">
        <v>-2.39939684999997E-6</v>
      </c>
      <c r="F241" s="1">
        <v>-1.38262526666668E-6</v>
      </c>
      <c r="G241" s="1">
        <v>1.6782945785749201E-7</v>
      </c>
      <c r="H241" s="1">
        <v>2.08633608130772E-9</v>
      </c>
      <c r="I241" s="1">
        <v>2.0124677378670099E-8</v>
      </c>
      <c r="K241">
        <v>0.2</v>
      </c>
      <c r="L241">
        <v>10</v>
      </c>
      <c r="M241" s="2">
        <f>100*D241/(K241*5)</f>
        <v>9.9802665546</v>
      </c>
      <c r="N241" s="3">
        <f>1000000*E241*K241/(L241*D241)</f>
        <v>-0.48082820972232754</v>
      </c>
      <c r="O241" s="3">
        <f>1000000*F241*K241/(D241*L241)</f>
        <v>-0.27707181147970744</v>
      </c>
      <c r="Q241" s="3">
        <f>1000000*K241*H241/(L241*D241)</f>
        <v>4.1809225633279468E-4</v>
      </c>
      <c r="R241" s="3">
        <f>1000000*K241*I241/(L241*D241)</f>
        <v>4.0328937646248418E-3</v>
      </c>
      <c r="S241" s="1">
        <f>G241*100/D241</f>
        <v>1.6816129803681228E-4</v>
      </c>
    </row>
    <row r="242" spans="1:19" x14ac:dyDescent="0.2">
      <c r="A242">
        <v>233</v>
      </c>
    </row>
    <row r="243" spans="1:19" x14ac:dyDescent="0.2">
      <c r="A243">
        <v>234</v>
      </c>
      <c r="C243" s="41" t="s">
        <v>132</v>
      </c>
      <c r="D243" s="7"/>
      <c r="E243" s="10"/>
      <c r="F243" s="7"/>
      <c r="G243" s="7"/>
      <c r="H243" s="7" t="s">
        <v>50</v>
      </c>
      <c r="I243" s="7" t="s">
        <v>51</v>
      </c>
      <c r="J243" s="7" t="s">
        <v>53</v>
      </c>
      <c r="K243" s="7"/>
      <c r="L243" s="7" t="s">
        <v>54</v>
      </c>
      <c r="M243" s="7" t="s">
        <v>58</v>
      </c>
      <c r="N243" s="7" t="s">
        <v>56</v>
      </c>
      <c r="O243" s="7" t="s">
        <v>33</v>
      </c>
    </row>
    <row r="244" spans="1:19" x14ac:dyDescent="0.2">
      <c r="A244">
        <v>235</v>
      </c>
      <c r="C244" s="7"/>
      <c r="D244" s="7"/>
      <c r="E244" s="7"/>
      <c r="F244" s="7" t="s">
        <v>172</v>
      </c>
      <c r="G244" s="7" t="s">
        <v>32</v>
      </c>
      <c r="H244" s="7" t="s">
        <v>16</v>
      </c>
      <c r="I244" s="7" t="s">
        <v>52</v>
      </c>
      <c r="J244" s="7" t="s">
        <v>54</v>
      </c>
      <c r="K244" s="7" t="s">
        <v>55</v>
      </c>
      <c r="L244" s="7" t="s">
        <v>57</v>
      </c>
      <c r="M244" s="7" t="s">
        <v>57</v>
      </c>
      <c r="N244" s="7" t="s">
        <v>59</v>
      </c>
      <c r="O244" s="7" t="s">
        <v>60</v>
      </c>
    </row>
    <row r="245" spans="1:19" x14ac:dyDescent="0.2">
      <c r="A245">
        <v>236</v>
      </c>
      <c r="C245" s="7" t="s">
        <v>45</v>
      </c>
      <c r="D245" s="7">
        <v>0.50900000000000001</v>
      </c>
      <c r="E245" s="7">
        <v>8.2229999999999998E-2</v>
      </c>
      <c r="F245" s="7">
        <f>E245/D245</f>
        <v>0.16155206286836934</v>
      </c>
      <c r="G245" s="7">
        <v>0.2</v>
      </c>
      <c r="H245" s="7">
        <f>0.268/G245</f>
        <v>1.34</v>
      </c>
      <c r="I245" s="7">
        <f>H245+1</f>
        <v>2.34</v>
      </c>
      <c r="J245" s="7">
        <f>F245-K245*I245/100</f>
        <v>0.13815206286836934</v>
      </c>
      <c r="K245" s="7">
        <v>1</v>
      </c>
      <c r="L245" s="7">
        <f>J245</f>
        <v>0.13815206286836934</v>
      </c>
      <c r="M245" s="22">
        <f>1/L245</f>
        <v>7.2384007827143009</v>
      </c>
      <c r="N245" s="7">
        <f>M245/SUM($M$245:$M$249)</f>
        <v>0.21333428352651218</v>
      </c>
      <c r="O245" s="7">
        <f>N245/N245</f>
        <v>1</v>
      </c>
    </row>
    <row r="246" spans="1:19" x14ac:dyDescent="0.2">
      <c r="A246">
        <v>237</v>
      </c>
      <c r="C246" s="7" t="s">
        <v>46</v>
      </c>
      <c r="D246" s="7">
        <v>0.50819999999999999</v>
      </c>
      <c r="E246" s="7">
        <v>0.1699</v>
      </c>
      <c r="F246" s="7">
        <f>E246/D246</f>
        <v>0.33431719795356157</v>
      </c>
      <c r="G246" s="7">
        <v>0.2</v>
      </c>
      <c r="H246" s="7">
        <f>0.268/G246</f>
        <v>1.34</v>
      </c>
      <c r="I246" s="7">
        <f>H246+1</f>
        <v>2.34</v>
      </c>
      <c r="J246" s="7">
        <f>F246-K246*I246/100</f>
        <v>0.28751719795356157</v>
      </c>
      <c r="K246" s="7">
        <v>2</v>
      </c>
      <c r="L246" s="7">
        <f>J246-J245</f>
        <v>0.14936513508519222</v>
      </c>
      <c r="M246" s="22">
        <f>1/L246</f>
        <v>6.6950028159492359</v>
      </c>
      <c r="N246" s="7">
        <f>M246/SUM($M$245:$M$249)</f>
        <v>0.19731894817972884</v>
      </c>
      <c r="O246" s="12">
        <f>N246/N245</f>
        <v>0.92492844993292866</v>
      </c>
    </row>
    <row r="247" spans="1:19" x14ac:dyDescent="0.2">
      <c r="A247">
        <v>238</v>
      </c>
      <c r="C247" s="7" t="s">
        <v>48</v>
      </c>
      <c r="D247" s="7">
        <v>0.50749999999999995</v>
      </c>
      <c r="E247" s="7">
        <v>0.26219999999999999</v>
      </c>
      <c r="F247" s="7">
        <f>E247/D247</f>
        <v>0.51665024630541878</v>
      </c>
      <c r="G247" s="7">
        <v>0.2</v>
      </c>
      <c r="H247" s="7">
        <f>0.268/G247</f>
        <v>1.34</v>
      </c>
      <c r="I247" s="7">
        <f>H247+1</f>
        <v>2.34</v>
      </c>
      <c r="J247" s="7">
        <f>F247-K247*I247/100</f>
        <v>0.4464502463054188</v>
      </c>
      <c r="K247" s="7">
        <v>3</v>
      </c>
      <c r="L247" s="7">
        <f>J247-J246</f>
        <v>0.15893304835185723</v>
      </c>
      <c r="M247" s="22">
        <f>1/L247</f>
        <v>6.2919575907594076</v>
      </c>
      <c r="N247" s="7">
        <f>M247/SUM($M$245:$M$249)</f>
        <v>0.18544016902315233</v>
      </c>
      <c r="O247" s="12">
        <f>N247/N245</f>
        <v>0.86924692064370745</v>
      </c>
    </row>
    <row r="248" spans="1:19" x14ac:dyDescent="0.2">
      <c r="A248">
        <v>239</v>
      </c>
      <c r="C248" s="7" t="s">
        <v>49</v>
      </c>
      <c r="D248" s="7">
        <v>0.50719999999999998</v>
      </c>
      <c r="E248" s="7">
        <v>0.35420000000000001</v>
      </c>
      <c r="F248" s="7">
        <f>E248/D248</f>
        <v>0.69834384858044174</v>
      </c>
      <c r="G248" s="7">
        <v>0.2</v>
      </c>
      <c r="H248" s="7">
        <f>0.268/G248</f>
        <v>1.34</v>
      </c>
      <c r="I248" s="7">
        <f>H248+1</f>
        <v>2.34</v>
      </c>
      <c r="J248" s="7">
        <f>F248-K248*I248/100</f>
        <v>0.60474384858044172</v>
      </c>
      <c r="K248" s="7">
        <v>4</v>
      </c>
      <c r="L248" s="7">
        <f>J248-J247</f>
        <v>0.15829360227502293</v>
      </c>
      <c r="M248" s="22">
        <f>1/L248</f>
        <v>6.3173747114717695</v>
      </c>
      <c r="N248" s="7">
        <f>M248/SUM($M$245:$M$249)</f>
        <v>0.18618927692685219</v>
      </c>
      <c r="O248" s="12">
        <f>N248/N245</f>
        <v>0.8727583483022946</v>
      </c>
    </row>
    <row r="249" spans="1:19" x14ac:dyDescent="0.2">
      <c r="A249">
        <v>240</v>
      </c>
      <c r="C249" s="7" t="s">
        <v>79</v>
      </c>
      <c r="D249" s="7">
        <v>0.50670000000000004</v>
      </c>
      <c r="E249" s="7">
        <v>0.43430000000000002</v>
      </c>
      <c r="F249" s="7">
        <f>E249/D249</f>
        <v>0.85711466350897969</v>
      </c>
      <c r="G249" s="7">
        <v>0.2</v>
      </c>
      <c r="H249" s="7">
        <f>0.268/G249</f>
        <v>1.34</v>
      </c>
      <c r="I249" s="7">
        <f>H249+1</f>
        <v>2.34</v>
      </c>
      <c r="J249" s="7">
        <f>F249-K249*I249/100</f>
        <v>0.7401146635089797</v>
      </c>
      <c r="K249" s="7">
        <v>5</v>
      </c>
      <c r="L249" s="7">
        <f>J249-J248</f>
        <v>0.13537081492853797</v>
      </c>
      <c r="M249" s="22">
        <f>1/L249</f>
        <v>7.3871166434796027</v>
      </c>
      <c r="N249" s="7">
        <f>M249/SUM($M$245:$M$249)</f>
        <v>0.21771732234375454</v>
      </c>
      <c r="O249" s="12">
        <f>N249/N246</f>
        <v>1.1033776753434026</v>
      </c>
    </row>
    <row r="250" spans="1:19" x14ac:dyDescent="0.2">
      <c r="A250">
        <v>241</v>
      </c>
      <c r="N250" s="3"/>
      <c r="O250" s="3"/>
    </row>
    <row r="251" spans="1:19" x14ac:dyDescent="0.2">
      <c r="A251">
        <v>242</v>
      </c>
      <c r="C251" s="5" t="s">
        <v>128</v>
      </c>
    </row>
    <row r="252" spans="1:19" x14ac:dyDescent="0.2">
      <c r="A252">
        <v>243</v>
      </c>
      <c r="C252" t="s">
        <v>133</v>
      </c>
      <c r="D252">
        <v>0.99919999839999996</v>
      </c>
      <c r="E252" s="1">
        <v>-2.08675896666669E-5</v>
      </c>
      <c r="F252" s="1">
        <v>-1.30682304999998E-5</v>
      </c>
      <c r="G252" s="1">
        <v>6.5217603292402198E-6</v>
      </c>
      <c r="H252" s="1">
        <v>8.0059412895812597E-8</v>
      </c>
      <c r="I252" s="1">
        <v>7.3427946903182804E-8</v>
      </c>
      <c r="K252">
        <v>0.2</v>
      </c>
      <c r="L252">
        <v>10</v>
      </c>
      <c r="M252" s="2">
        <f>100*D252/(K252*5)</f>
        <v>99.919999840000003</v>
      </c>
      <c r="N252" s="3">
        <f>1000000*E252*K252/(L252*D252)</f>
        <v>-0.4176859427558402</v>
      </c>
      <c r="O252" s="3">
        <f>1000000*F252*K252/(D252*L252)</f>
        <v>-0.26157386951412548</v>
      </c>
      <c r="Q252" s="3">
        <f>1000000*K252*H252/(L252*D252)</f>
        <v>1.6024702366695398E-3</v>
      </c>
      <c r="R252" s="3">
        <f>1000000*K252*I252/(L252*D252)</f>
        <v>1.4697347281977899E-3</v>
      </c>
      <c r="S252" s="1">
        <f>G252*100/D252</f>
        <v>6.5269819252235706E-4</v>
      </c>
    </row>
    <row r="253" spans="1:19" x14ac:dyDescent="0.2">
      <c r="A253">
        <v>244</v>
      </c>
      <c r="C253" t="s">
        <v>134</v>
      </c>
      <c r="D253">
        <v>0.59955345268000004</v>
      </c>
      <c r="E253" s="1">
        <v>-1.31798840000001E-5</v>
      </c>
      <c r="F253" s="1">
        <v>-7.6840942999998796E-6</v>
      </c>
      <c r="G253" s="1">
        <v>8.6043416132561396E-8</v>
      </c>
      <c r="H253" s="1">
        <v>1.45395395617147E-8</v>
      </c>
      <c r="I253" s="1">
        <v>3.2600093182535501E-8</v>
      </c>
      <c r="K253">
        <v>0.2</v>
      </c>
      <c r="L253">
        <v>10</v>
      </c>
      <c r="M253" s="2">
        <f>100*D253/(K253*5)</f>
        <v>59.955345268000002</v>
      </c>
      <c r="N253" s="3">
        <f>1000000*E253*K253/(L253*D253)</f>
        <v>-0.43965667918635465</v>
      </c>
      <c r="O253" s="3">
        <f>1000000*F253*K253/(D253*L253)</f>
        <v>-0.25632724707537013</v>
      </c>
      <c r="Q253" s="3">
        <f>1000000*K253*H253/(L253*D253)</f>
        <v>4.8501228695199911E-4</v>
      </c>
      <c r="R253" s="3">
        <f>1000000*K253*I253/(L253*D253)</f>
        <v>1.0874791242319862E-3</v>
      </c>
      <c r="S253" s="1">
        <f>G253*100/D253</f>
        <v>1.4351250209292914E-5</v>
      </c>
    </row>
    <row r="254" spans="1:19" x14ac:dyDescent="0.2">
      <c r="A254">
        <v>245</v>
      </c>
      <c r="D254">
        <v>0.40003070953999997</v>
      </c>
      <c r="E254" s="1">
        <v>-8.8233203666666398E-6</v>
      </c>
      <c r="F254" s="1">
        <v>-5.35592510000006E-6</v>
      </c>
      <c r="G254" s="1">
        <v>5.6510324202798301E-7</v>
      </c>
      <c r="H254" s="1">
        <v>5.5786310028139796E-9</v>
      </c>
      <c r="I254" s="1">
        <v>2.1079854418930999E-8</v>
      </c>
      <c r="K254">
        <v>0.2</v>
      </c>
      <c r="L254">
        <v>10</v>
      </c>
      <c r="M254" s="2">
        <f>100*D254/(K254*5)</f>
        <v>40.003070953999995</v>
      </c>
      <c r="N254" s="3">
        <f>1000000*E254*K254/(L254*D254)</f>
        <v>-0.44113215091974706</v>
      </c>
      <c r="O254" s="3">
        <f>1000000*F254*K254/(D254*L254)</f>
        <v>-0.26777569682882096</v>
      </c>
      <c r="Q254" s="3">
        <f>1000000*K254*H254/(L254*D254)</f>
        <v>2.7891013713566708E-4</v>
      </c>
      <c r="R254" s="3">
        <f>1000000*K254*I254/(L254*D254)</f>
        <v>1.0539118080794831E-3</v>
      </c>
      <c r="S254" s="1">
        <f>G254*100/D254</f>
        <v>1.4126496505175863E-4</v>
      </c>
    </row>
    <row r="255" spans="1:19" x14ac:dyDescent="0.2">
      <c r="A255">
        <v>246</v>
      </c>
      <c r="D255">
        <v>0.20024406480000001</v>
      </c>
      <c r="E255" s="1">
        <v>-4.5338045999999901E-6</v>
      </c>
      <c r="F255" s="1">
        <v>-2.7048938999999899E-6</v>
      </c>
      <c r="G255" s="1">
        <v>3.8853765506169198E-7</v>
      </c>
      <c r="H255" s="1">
        <v>3.4777726358498498E-9</v>
      </c>
      <c r="I255" s="1">
        <v>6.7746869918764494E-8</v>
      </c>
      <c r="K255">
        <v>0.2</v>
      </c>
      <c r="L255">
        <v>10</v>
      </c>
      <c r="M255" s="2">
        <f>100*D255/(K255*5)</f>
        <v>20.02440648</v>
      </c>
      <c r="N255" s="3">
        <f>1000000*E255*K255/(L255*D255)</f>
        <v>-0.4528278632905568</v>
      </c>
      <c r="O255" s="3">
        <f>1000000*F255*K255/(D255*L255)</f>
        <v>-0.27015970762495123</v>
      </c>
      <c r="Q255" s="3">
        <f>1000000*K255*H255/(L255*D255)</f>
        <v>3.4735337991898864E-4</v>
      </c>
      <c r="R255" s="3">
        <f>1000000*K255*I255/(L255*D255)</f>
        <v>6.7664297552518004E-3</v>
      </c>
      <c r="S255" s="1">
        <f>G255*100/D255</f>
        <v>1.940320455688692E-4</v>
      </c>
    </row>
    <row r="256" spans="1:19" x14ac:dyDescent="0.2">
      <c r="A256">
        <v>247</v>
      </c>
      <c r="D256">
        <v>0.10065456188000001</v>
      </c>
      <c r="E256" s="1">
        <v>-2.4038537499999798E-6</v>
      </c>
      <c r="F256" s="1">
        <v>-1.38282326666668E-6</v>
      </c>
      <c r="G256" s="1">
        <v>1.6903377058847999E-7</v>
      </c>
      <c r="H256" s="1">
        <v>8.7166344864766E-9</v>
      </c>
      <c r="I256" s="1">
        <v>1.853158419192E-8</v>
      </c>
      <c r="K256">
        <v>0.2</v>
      </c>
      <c r="L256">
        <v>10</v>
      </c>
      <c r="M256" s="2">
        <f>100*D256/(K256*5)</f>
        <v>10.065456188000001</v>
      </c>
      <c r="N256" s="3">
        <f>1000000*E256*K256/(L256*D256)</f>
        <v>-0.4776442726691007</v>
      </c>
      <c r="O256" s="3">
        <f>1000000*F256*K256/(D256*L256)</f>
        <v>-0.27476613892876045</v>
      </c>
      <c r="Q256" s="3">
        <f>1000000*K256*H256/(L256*D256)</f>
        <v>1.731989951308623E-3</v>
      </c>
      <c r="R256" s="3">
        <f>1000000*K256*I256/(L256*D256)</f>
        <v>3.6822144661487442E-3</v>
      </c>
      <c r="S256" s="1">
        <f>G256*100/D256</f>
        <v>1.679345351381107E-4</v>
      </c>
    </row>
    <row r="257" spans="1:15" x14ac:dyDescent="0.2">
      <c r="A257">
        <v>248</v>
      </c>
    </row>
    <row r="258" spans="1:15" x14ac:dyDescent="0.2">
      <c r="A258">
        <v>249</v>
      </c>
      <c r="C258" s="5" t="s">
        <v>132</v>
      </c>
      <c r="E258" s="1"/>
      <c r="H258" t="s">
        <v>50</v>
      </c>
      <c r="I258" t="s">
        <v>51</v>
      </c>
      <c r="J258" t="s">
        <v>53</v>
      </c>
      <c r="L258" t="s">
        <v>54</v>
      </c>
      <c r="M258" t="s">
        <v>58</v>
      </c>
      <c r="N258" t="s">
        <v>56</v>
      </c>
      <c r="O258" t="s">
        <v>33</v>
      </c>
    </row>
    <row r="259" spans="1:15" x14ac:dyDescent="0.2">
      <c r="A259">
        <v>250</v>
      </c>
      <c r="F259" t="s">
        <v>172</v>
      </c>
      <c r="G259" t="s">
        <v>32</v>
      </c>
      <c r="H259" t="s">
        <v>16</v>
      </c>
      <c r="I259" t="s">
        <v>52</v>
      </c>
      <c r="J259" t="s">
        <v>54</v>
      </c>
      <c r="K259" t="s">
        <v>55</v>
      </c>
      <c r="L259" t="s">
        <v>57</v>
      </c>
      <c r="M259" t="s">
        <v>57</v>
      </c>
      <c r="N259" t="s">
        <v>59</v>
      </c>
      <c r="O259" t="s">
        <v>60</v>
      </c>
    </row>
    <row r="260" spans="1:15" x14ac:dyDescent="0.2">
      <c r="A260">
        <v>251</v>
      </c>
      <c r="C260" s="7" t="s">
        <v>45</v>
      </c>
      <c r="D260" s="7">
        <v>0.50039999999999996</v>
      </c>
      <c r="E260" s="7">
        <v>8.3199999999999996E-2</v>
      </c>
      <c r="F260" s="7">
        <f>E260/D260</f>
        <v>0.16626698641087131</v>
      </c>
      <c r="G260" s="7">
        <v>0.2</v>
      </c>
      <c r="H260" s="7">
        <f>0.268/G260</f>
        <v>1.34</v>
      </c>
      <c r="I260" s="7">
        <f>H260+1</f>
        <v>2.34</v>
      </c>
      <c r="J260" s="7">
        <f>F260-K260*I260/100</f>
        <v>0.14286698641087131</v>
      </c>
      <c r="K260" s="7">
        <v>1</v>
      </c>
      <c r="L260" s="7">
        <f>J260</f>
        <v>0.14286698641087131</v>
      </c>
      <c r="M260" s="22">
        <f>1/L260</f>
        <v>6.9995176991001893</v>
      </c>
      <c r="N260" s="7">
        <f>M260/SUM($M$245:$M$249)</f>
        <v>0.20629378480045099</v>
      </c>
      <c r="O260" s="7">
        <f>N260/N260</f>
        <v>1</v>
      </c>
    </row>
    <row r="261" spans="1:15" x14ac:dyDescent="0.2">
      <c r="A261">
        <v>252</v>
      </c>
      <c r="C261" s="7" t="s">
        <v>46</v>
      </c>
      <c r="D261" s="7">
        <v>0.50029999999999997</v>
      </c>
      <c r="E261" s="7">
        <v>0.15939999999999999</v>
      </c>
      <c r="F261" s="7">
        <f>E261/D261</f>
        <v>0.3186088346991805</v>
      </c>
      <c r="G261" s="7">
        <v>0.2</v>
      </c>
      <c r="H261" s="7">
        <f>0.268/G261</f>
        <v>1.34</v>
      </c>
      <c r="I261" s="7">
        <f>H261+1</f>
        <v>2.34</v>
      </c>
      <c r="J261" s="7">
        <f>F261-K261*I261/100</f>
        <v>0.27180883469918049</v>
      </c>
      <c r="K261" s="7">
        <v>2</v>
      </c>
      <c r="L261" s="7">
        <f>J261-J260</f>
        <v>0.12894184828830918</v>
      </c>
      <c r="M261" s="22">
        <f>1/L261</f>
        <v>7.7554340446868508</v>
      </c>
      <c r="N261" s="7">
        <f>M261/SUM($M$245:$M$249)</f>
        <v>0.22857258323018348</v>
      </c>
      <c r="O261" s="12">
        <f>N261/N260</f>
        <v>1.107995490272685</v>
      </c>
    </row>
    <row r="262" spans="1:15" x14ac:dyDescent="0.2">
      <c r="A262">
        <v>253</v>
      </c>
      <c r="C262" s="7" t="s">
        <v>48</v>
      </c>
      <c r="D262" s="7">
        <v>0.50019999999999998</v>
      </c>
      <c r="E262" s="7">
        <v>0.249</v>
      </c>
      <c r="F262" s="7">
        <f>E262/D262</f>
        <v>0.49780087964814074</v>
      </c>
      <c r="G262" s="7">
        <v>0.2</v>
      </c>
      <c r="H262" s="7">
        <f>0.268/G262</f>
        <v>1.34</v>
      </c>
      <c r="I262" s="7">
        <f>H262+1</f>
        <v>2.34</v>
      </c>
      <c r="J262" s="7">
        <f>F262-K262*I262/100</f>
        <v>0.42760087964814075</v>
      </c>
      <c r="K262" s="7">
        <v>3</v>
      </c>
      <c r="L262" s="7">
        <f>J262-J261</f>
        <v>0.15579204494896026</v>
      </c>
      <c r="M262" s="22">
        <f>1/L262</f>
        <v>6.4188129780799432</v>
      </c>
      <c r="N262" s="7">
        <f>M262/SUM($M$245:$M$249)</f>
        <v>0.18917892347705487</v>
      </c>
      <c r="O262" s="12">
        <f>N262/N260</f>
        <v>0.91703646651327175</v>
      </c>
    </row>
    <row r="263" spans="1:15" x14ac:dyDescent="0.2">
      <c r="A263">
        <v>254</v>
      </c>
      <c r="C263" s="7" t="s">
        <v>49</v>
      </c>
      <c r="D263" s="7">
        <v>0.50009999999999999</v>
      </c>
      <c r="E263" s="7">
        <v>0.33839999999999998</v>
      </c>
      <c r="F263" s="7">
        <f>E263/D263</f>
        <v>0.67666466706658668</v>
      </c>
      <c r="G263" s="7">
        <v>0.2</v>
      </c>
      <c r="H263" s="7">
        <f>0.268/G263</f>
        <v>1.34</v>
      </c>
      <c r="I263" s="7">
        <f>H263+1</f>
        <v>2.34</v>
      </c>
      <c r="J263" s="7">
        <f>F263-K263*I263/100</f>
        <v>0.58306466706658666</v>
      </c>
      <c r="K263" s="7">
        <v>4</v>
      </c>
      <c r="L263" s="7">
        <f>J263-J262</f>
        <v>0.15546378741844591</v>
      </c>
      <c r="M263" s="22">
        <f>1/L263</f>
        <v>6.432366125935185</v>
      </c>
      <c r="N263" s="7">
        <f>M263/SUM($M$245:$M$249)</f>
        <v>0.18957836959423197</v>
      </c>
      <c r="O263" s="12">
        <f>N263/N260</f>
        <v>0.91897276390373117</v>
      </c>
    </row>
    <row r="264" spans="1:15" x14ac:dyDescent="0.2">
      <c r="A264">
        <v>255</v>
      </c>
      <c r="C264" s="7" t="s">
        <v>79</v>
      </c>
      <c r="D264" s="7">
        <v>0.5</v>
      </c>
      <c r="E264" s="7">
        <v>0.41120000000000001</v>
      </c>
      <c r="F264" s="7">
        <f>E264/D264</f>
        <v>0.82240000000000002</v>
      </c>
      <c r="G264" s="7">
        <v>0.2</v>
      </c>
      <c r="H264" s="7">
        <f>0.268/G264</f>
        <v>1.34</v>
      </c>
      <c r="I264" s="7">
        <f>H264+1</f>
        <v>2.34</v>
      </c>
      <c r="J264" s="7">
        <f>F264-K264*I264/100</f>
        <v>0.70540000000000003</v>
      </c>
      <c r="K264" s="7">
        <v>5</v>
      </c>
      <c r="L264" s="7">
        <f>J264-J263</f>
        <v>0.12233533293341337</v>
      </c>
      <c r="M264" s="22">
        <f>1/L264</f>
        <v>8.1742533086847118</v>
      </c>
      <c r="N264" s="7">
        <f>M264/SUM($M$245:$M$249)</f>
        <v>0.24091626387100321</v>
      </c>
      <c r="O264" s="12">
        <f>N264/N261</f>
        <v>1.0540033299986336</v>
      </c>
    </row>
    <row r="265" spans="1:15" x14ac:dyDescent="0.2">
      <c r="C265" s="7" t="s">
        <v>188</v>
      </c>
      <c r="D265" s="7"/>
      <c r="E265" s="10"/>
      <c r="F265" s="10"/>
      <c r="G265" s="10"/>
      <c r="H265" s="10"/>
      <c r="I265" s="10"/>
      <c r="J265" s="7"/>
      <c r="K265" s="7"/>
      <c r="L265" s="23"/>
      <c r="M265" s="23"/>
      <c r="N265" s="12"/>
      <c r="O265" s="7"/>
    </row>
    <row r="266" spans="1:15" x14ac:dyDescent="0.2">
      <c r="C266" s="5" t="s">
        <v>132</v>
      </c>
      <c r="D266" s="7"/>
      <c r="E266" s="24" t="s">
        <v>189</v>
      </c>
      <c r="F266" s="10"/>
      <c r="G266" s="10"/>
      <c r="H266" s="10"/>
      <c r="I266" s="10"/>
      <c r="J266" s="7"/>
      <c r="K266" s="7"/>
      <c r="L266" t="s">
        <v>227</v>
      </c>
      <c r="M266" t="s">
        <v>228</v>
      </c>
      <c r="N266" s="25" t="s">
        <v>317</v>
      </c>
      <c r="O266" s="7"/>
    </row>
    <row r="267" spans="1:15" x14ac:dyDescent="0.2">
      <c r="C267" t="s">
        <v>183</v>
      </c>
      <c r="D267">
        <v>0.50029999999999997</v>
      </c>
      <c r="E267" s="1">
        <v>6.7049999999999998E-2</v>
      </c>
      <c r="F267">
        <f>E267/D267</f>
        <v>0.13401958824705176</v>
      </c>
      <c r="G267">
        <v>0.2</v>
      </c>
      <c r="H267">
        <f>0.268/G267</f>
        <v>1.34</v>
      </c>
      <c r="I267">
        <f>H267+1</f>
        <v>2.34</v>
      </c>
      <c r="J267">
        <f>F267-I267/100</f>
        <v>0.11061958824705176</v>
      </c>
      <c r="K267">
        <v>1</v>
      </c>
      <c r="L267">
        <f>G267*J267/(D267*20)</f>
        <v>2.2110651258655158E-3</v>
      </c>
      <c r="M267" s="15">
        <f>1/L267</f>
        <v>452.2707125637254</v>
      </c>
      <c r="N267">
        <f>5*M267/(SUM($M$267:$M$271))</f>
        <v>1.0421013754840418</v>
      </c>
    </row>
    <row r="268" spans="1:15" x14ac:dyDescent="0.2">
      <c r="C268" t="s">
        <v>184</v>
      </c>
      <c r="D268">
        <v>0.50019999999999998</v>
      </c>
      <c r="E268">
        <v>6.8269999999999997E-2</v>
      </c>
      <c r="F268">
        <f>E268/D268</f>
        <v>0.13648540583766494</v>
      </c>
      <c r="G268">
        <v>0.2</v>
      </c>
      <c r="H268">
        <f>0.268/G268</f>
        <v>1.34</v>
      </c>
      <c r="I268">
        <f>H268+1</f>
        <v>2.34</v>
      </c>
      <c r="J268">
        <f>F268-I268/100</f>
        <v>0.11308540583766494</v>
      </c>
      <c r="K268">
        <v>2</v>
      </c>
      <c r="L268">
        <f>G268*J268/(D268*20)</f>
        <v>2.260803795235205E-3</v>
      </c>
      <c r="M268" s="15">
        <f>1/L268</f>
        <v>442.3205596644728</v>
      </c>
      <c r="N268">
        <f>5*M268/(SUM($M$267:$M$271))</f>
        <v>1.0191746907915709</v>
      </c>
      <c r="O268" s="3"/>
    </row>
    <row r="269" spans="1:15" x14ac:dyDescent="0.2">
      <c r="C269" t="s">
        <v>185</v>
      </c>
      <c r="D269">
        <v>0.50019999999999998</v>
      </c>
      <c r="E269" s="1">
        <v>7.1800000000000003E-2</v>
      </c>
      <c r="F269">
        <f>E269/D269</f>
        <v>0.1435425829668133</v>
      </c>
      <c r="G269">
        <v>0.2</v>
      </c>
      <c r="H269">
        <f>0.268/G269</f>
        <v>1.34</v>
      </c>
      <c r="I269">
        <f>H269+1</f>
        <v>2.34</v>
      </c>
      <c r="J269">
        <f>F269-I269/100</f>
        <v>0.12014258296681329</v>
      </c>
      <c r="K269">
        <v>3</v>
      </c>
      <c r="L269">
        <f>G269*J269/(D269*20)</f>
        <v>2.4018909029750761E-3</v>
      </c>
      <c r="M269" s="15">
        <f>1/L269</f>
        <v>416.33864334194402</v>
      </c>
      <c r="N269">
        <f>5*M269/(SUM($M$267:$M$271))</f>
        <v>0.95930835413683235</v>
      </c>
      <c r="O269" s="3"/>
    </row>
    <row r="270" spans="1:15" x14ac:dyDescent="0.2">
      <c r="C270" t="s">
        <v>186</v>
      </c>
      <c r="D270">
        <v>0.50009999999999999</v>
      </c>
      <c r="E270" s="1">
        <v>7.5999999999999998E-2</v>
      </c>
      <c r="F270">
        <f>E270/D270</f>
        <v>0.15196960607878424</v>
      </c>
      <c r="G270">
        <v>0.2</v>
      </c>
      <c r="H270">
        <f>0.268/G270</f>
        <v>1.34</v>
      </c>
      <c r="I270">
        <f>H270+1</f>
        <v>2.34</v>
      </c>
      <c r="J270">
        <f>F270-I270/100</f>
        <v>0.12856960607878423</v>
      </c>
      <c r="K270">
        <v>4</v>
      </c>
      <c r="L270">
        <f>G270*J270/(D270*20)</f>
        <v>2.5708779459864876E-3</v>
      </c>
      <c r="M270" s="15">
        <f>1/L270</f>
        <v>388.97218032506936</v>
      </c>
      <c r="N270">
        <f>5*M270/(SUM($M$267:$M$271))</f>
        <v>0.89625180866573917</v>
      </c>
      <c r="O270" s="3"/>
    </row>
    <row r="271" spans="1:15" x14ac:dyDescent="0.2">
      <c r="C271" t="s">
        <v>187</v>
      </c>
      <c r="D271">
        <v>0.50007999999999997</v>
      </c>
      <c r="E271" s="1">
        <v>6.4899999999999999E-2</v>
      </c>
      <c r="F271">
        <f>E271/D271</f>
        <v>0.12977923532234842</v>
      </c>
      <c r="G271">
        <v>0.2</v>
      </c>
      <c r="H271">
        <f>0.268/G271</f>
        <v>1.34</v>
      </c>
      <c r="I271">
        <f>H271+1</f>
        <v>2.34</v>
      </c>
      <c r="J271">
        <f>F271-I271/100</f>
        <v>0.10637923532234841</v>
      </c>
      <c r="K271">
        <v>5</v>
      </c>
      <c r="L271">
        <f>G271*J271/(D271*20)</f>
        <v>2.1272443473513924E-3</v>
      </c>
      <c r="M271" s="15">
        <f>1/L271</f>
        <v>470.09174157406437</v>
      </c>
      <c r="N271">
        <f>5*M271/(SUM($M$267:$M$271))</f>
        <v>1.0831637709218151</v>
      </c>
      <c r="O271" s="3"/>
    </row>
    <row r="272" spans="1:15" x14ac:dyDescent="0.2">
      <c r="E272" s="1"/>
      <c r="F272" s="1"/>
      <c r="G272" s="1"/>
      <c r="H272" s="1"/>
      <c r="I272" s="1"/>
      <c r="L272" s="18"/>
      <c r="M272" s="18"/>
      <c r="N272" s="3"/>
    </row>
    <row r="273" spans="2:21" x14ac:dyDescent="0.2">
      <c r="E273" s="1"/>
      <c r="F273" s="1"/>
      <c r="G273" s="1"/>
      <c r="H273" s="1"/>
      <c r="I273" s="1"/>
      <c r="L273" s="18"/>
      <c r="M273" s="18"/>
      <c r="N273" s="3"/>
    </row>
    <row r="274" spans="2:21" x14ac:dyDescent="0.2">
      <c r="E274" s="1"/>
      <c r="F274" s="1"/>
      <c r="G274" s="1"/>
      <c r="H274" s="1"/>
      <c r="I274" s="1"/>
      <c r="L274" s="18"/>
      <c r="M274" t="s">
        <v>232</v>
      </c>
      <c r="N274" s="18" t="s">
        <v>244</v>
      </c>
      <c r="O274" s="3"/>
      <c r="P274" t="s">
        <v>245</v>
      </c>
      <c r="R274" t="s">
        <v>318</v>
      </c>
      <c r="S274" t="s">
        <v>318</v>
      </c>
      <c r="T274" s="310" t="s">
        <v>319</v>
      </c>
      <c r="U274" s="310"/>
    </row>
    <row r="275" spans="2:21" x14ac:dyDescent="0.2">
      <c r="B275" s="4">
        <v>36551</v>
      </c>
      <c r="C275" s="5" t="s">
        <v>119</v>
      </c>
      <c r="J275" t="s">
        <v>18</v>
      </c>
      <c r="K275" t="s">
        <v>2</v>
      </c>
      <c r="L275" t="s">
        <v>229</v>
      </c>
      <c r="M275" t="s">
        <v>59</v>
      </c>
      <c r="N275" s="2" t="s">
        <v>98</v>
      </c>
      <c r="O275" s="25" t="s">
        <v>99</v>
      </c>
      <c r="P275" t="s">
        <v>107</v>
      </c>
      <c r="Q275" t="s">
        <v>108</v>
      </c>
      <c r="T275" t="s">
        <v>98</v>
      </c>
      <c r="U275" t="s">
        <v>99</v>
      </c>
    </row>
    <row r="276" spans="2:21" x14ac:dyDescent="0.2">
      <c r="C276" t="s">
        <v>26</v>
      </c>
      <c r="D276">
        <v>0.93706608130000002</v>
      </c>
      <c r="E276" s="1">
        <v>3.87882878333333E-7</v>
      </c>
      <c r="F276" s="1">
        <v>-5.3162559166666702E-7</v>
      </c>
      <c r="G276" s="1">
        <v>5.4788247105612601E-6</v>
      </c>
      <c r="H276" s="1">
        <v>7.67044148669218E-8</v>
      </c>
      <c r="I276" s="1">
        <v>7.78513217414768E-8</v>
      </c>
      <c r="J276">
        <v>20</v>
      </c>
      <c r="K276">
        <v>0.2</v>
      </c>
      <c r="L276">
        <v>10</v>
      </c>
      <c r="M276">
        <f>J276*0.5*(D276+D277)/K276</f>
        <v>93.437770074999989</v>
      </c>
      <c r="N276" s="6">
        <f>0.5*10^6*(E276+E277)/L276</f>
        <v>-5.8176029166666999E-3</v>
      </c>
      <c r="O276" s="6">
        <f>0.5*10^6*(F276+F277)/L276</f>
        <v>-6.8372583916666702E-2</v>
      </c>
      <c r="P276" s="26">
        <f>J276*N276/M276</f>
        <v>-1.2452358210169327E-3</v>
      </c>
      <c r="Q276" s="26">
        <f>J276*O276/M276</f>
        <v>-1.4634892048854731E-2</v>
      </c>
      <c r="R276" s="3">
        <f>P276*(1-$N268)</f>
        <v>2.3877011830587557E-5</v>
      </c>
      <c r="S276" s="3">
        <f>Q276*(1-$N268)</f>
        <v>2.8061952980480839E-4</v>
      </c>
    </row>
    <row r="277" spans="2:21" x14ac:dyDescent="0.2">
      <c r="C277" t="s">
        <v>230</v>
      </c>
      <c r="D277">
        <v>0.93168932019999995</v>
      </c>
      <c r="E277" s="1">
        <v>-5.0423493666666699E-7</v>
      </c>
      <c r="F277" s="1">
        <v>-8.35826086666667E-7</v>
      </c>
      <c r="G277" s="1">
        <v>9.0527633771215395E-6</v>
      </c>
      <c r="H277" s="1">
        <v>4.2499261994290197E-8</v>
      </c>
      <c r="I277" s="1">
        <v>5.99304713120058E-8</v>
      </c>
      <c r="N277" s="6"/>
      <c r="O277" s="6"/>
      <c r="P277" s="2"/>
    </row>
    <row r="278" spans="2:21" x14ac:dyDescent="0.2">
      <c r="C278" t="s">
        <v>85</v>
      </c>
      <c r="D278">
        <v>0.91829358908000003</v>
      </c>
      <c r="E278" s="1">
        <v>5.21671278333333E-7</v>
      </c>
      <c r="F278" s="1">
        <v>-7.9366691666666604E-7</v>
      </c>
      <c r="G278" s="1">
        <v>2.3158989676086498E-6</v>
      </c>
      <c r="H278" s="1">
        <v>4.2901092569586099E-8</v>
      </c>
      <c r="I278" s="1">
        <v>4.7809506426334503E-8</v>
      </c>
      <c r="J278">
        <v>20</v>
      </c>
      <c r="K278">
        <v>0.2</v>
      </c>
      <c r="L278">
        <v>10</v>
      </c>
      <c r="M278">
        <f>J278*0.5*(D278+D279)/K278</f>
        <v>91.723106897000008</v>
      </c>
      <c r="N278" s="6">
        <f t="shared" ref="N278:N294" si="105">0.5*10^6*(E278+E279)/L278</f>
        <v>-4.0993017749999847E-2</v>
      </c>
      <c r="O278" s="6">
        <f t="shared" ref="O278:O294" si="106">0.5*10^6*(F278+F279)/L278</f>
        <v>-0.1183569933333333</v>
      </c>
      <c r="P278" s="26">
        <f t="shared" ref="P278:P294" si="107">J278*N278/M278</f>
        <v>-8.938427651831015E-3</v>
      </c>
      <c r="Q278" s="26">
        <f t="shared" ref="Q278:Q294" si="108">J278*O278/M278</f>
        <v>-2.5807454051080425E-2</v>
      </c>
      <c r="R278" s="3">
        <f>P278*(1-$N269)</f>
        <v>-3.6371933258185282E-4</v>
      </c>
      <c r="S278" s="3">
        <f>Q278*(1-$N269)</f>
        <v>-1.0501477808765359E-3</v>
      </c>
    </row>
    <row r="279" spans="2:21" x14ac:dyDescent="0.2">
      <c r="C279" t="s">
        <v>231</v>
      </c>
      <c r="D279">
        <v>0.91616854885999999</v>
      </c>
      <c r="E279" s="1">
        <v>-1.34153163333333E-6</v>
      </c>
      <c r="F279" s="1">
        <v>-1.57347295E-6</v>
      </c>
      <c r="G279" s="1">
        <v>2.1040826354298499E-6</v>
      </c>
      <c r="H279" s="1">
        <v>2.3127222113032799E-8</v>
      </c>
      <c r="I279" s="1">
        <v>5.34961683126075E-8</v>
      </c>
      <c r="N279" s="6"/>
      <c r="O279" s="6"/>
      <c r="P279" s="26"/>
      <c r="Q279" s="26"/>
    </row>
    <row r="280" spans="2:21" x14ac:dyDescent="0.2">
      <c r="C280" t="s">
        <v>28</v>
      </c>
      <c r="D280">
        <v>0.91452276202000005</v>
      </c>
      <c r="E280" s="1">
        <v>7.2243289166666697E-7</v>
      </c>
      <c r="F280" s="1">
        <v>-1.0620516316666699E-6</v>
      </c>
      <c r="G280" s="1">
        <v>7.3360240623303996E-6</v>
      </c>
      <c r="H280" s="1">
        <v>5.47758230467597E-8</v>
      </c>
      <c r="I280" s="1">
        <v>3.4740122794822298E-8</v>
      </c>
      <c r="J280">
        <v>20</v>
      </c>
      <c r="K280">
        <v>0.2</v>
      </c>
      <c r="L280">
        <v>10</v>
      </c>
      <c r="M280">
        <f>J280*0.5*(D280+D281)/K280</f>
        <v>91.559736563000001</v>
      </c>
      <c r="N280" s="6">
        <f t="shared" si="105"/>
        <v>-5.1495882083334152E-2</v>
      </c>
      <c r="O280" s="6">
        <f t="shared" si="106"/>
        <v>-0.13061074408333351</v>
      </c>
      <c r="P280" s="26">
        <f t="shared" si="107"/>
        <v>-1.124858677327039E-2</v>
      </c>
      <c r="Q280" s="26">
        <f t="shared" si="108"/>
        <v>-2.8530170353529463E-2</v>
      </c>
      <c r="R280" s="3">
        <f>P280*(1-$N270)</f>
        <v>-1.1670205327932921E-3</v>
      </c>
      <c r="S280" s="3">
        <f>Q280*(1-$N270)</f>
        <v>-2.9599535726370307E-3</v>
      </c>
    </row>
    <row r="281" spans="2:21" x14ac:dyDescent="0.2">
      <c r="C281" t="s">
        <v>233</v>
      </c>
      <c r="D281">
        <v>0.91667196924000005</v>
      </c>
      <c r="E281" s="1">
        <v>-1.75235053333335E-6</v>
      </c>
      <c r="F281" s="1">
        <v>-1.5501632500000001E-6</v>
      </c>
      <c r="G281" s="1">
        <v>2.4772630566378402E-6</v>
      </c>
      <c r="H281" s="1">
        <v>1.39953489434487E-8</v>
      </c>
      <c r="I281" s="1">
        <v>1.1106758501292899E-7</v>
      </c>
      <c r="N281" s="6"/>
      <c r="O281" s="6"/>
      <c r="P281" s="26"/>
      <c r="Q281" s="26"/>
    </row>
    <row r="282" spans="2:21" x14ac:dyDescent="0.2">
      <c r="C282" t="s">
        <v>86</v>
      </c>
      <c r="D282">
        <v>0.92331774438000003</v>
      </c>
      <c r="E282" s="1">
        <v>-9.4412104833333203E-7</v>
      </c>
      <c r="F282" s="1">
        <v>-7.9787836833333299E-7</v>
      </c>
      <c r="G282" s="1">
        <v>3.2443497498433103E-5</v>
      </c>
      <c r="H282" s="1">
        <v>7.73601645050345E-8</v>
      </c>
      <c r="I282" s="1">
        <v>7.1709753843783294E-8</v>
      </c>
      <c r="J282">
        <v>20</v>
      </c>
      <c r="K282">
        <v>0.2</v>
      </c>
      <c r="L282">
        <v>10</v>
      </c>
      <c r="M282">
        <f>J282*0.5*(D282+D283)/K282</f>
        <v>92.126209129000003</v>
      </c>
      <c r="N282" s="6">
        <f t="shared" si="105"/>
        <v>-6.6638459416666601E-2</v>
      </c>
      <c r="O282" s="6">
        <f t="shared" si="106"/>
        <v>-0.12348010841666665</v>
      </c>
      <c r="P282" s="26">
        <f t="shared" si="107"/>
        <v>-1.4466775534713665E-2</v>
      </c>
      <c r="Q282" s="26">
        <f t="shared" si="108"/>
        <v>-2.6806727332883796E-2</v>
      </c>
      <c r="R282" s="3">
        <f>P282*(1-$N271)</f>
        <v>1.203111606546247E-3</v>
      </c>
      <c r="S282" s="3">
        <f>Q282*(1-$N271)</f>
        <v>2.229348531075509E-3</v>
      </c>
      <c r="T282" s="40">
        <f>SUM(R276:R282)</f>
        <v>-3.0375124699831037E-4</v>
      </c>
      <c r="U282" s="40">
        <f>SUM(S276:S282)</f>
        <v>-1.5001332926332491E-3</v>
      </c>
    </row>
    <row r="283" spans="2:21" x14ac:dyDescent="0.2">
      <c r="C283" t="s">
        <v>234</v>
      </c>
      <c r="D283">
        <v>0.91920643820000003</v>
      </c>
      <c r="E283" s="1">
        <v>-3.8864814000000001E-7</v>
      </c>
      <c r="F283" s="1">
        <v>-1.6717238E-6</v>
      </c>
      <c r="G283" s="1">
        <v>1.56515337327047E-5</v>
      </c>
      <c r="H283" s="1">
        <v>6.3309675956447596E-8</v>
      </c>
      <c r="I283" s="1">
        <v>4.7843270333733198E-8</v>
      </c>
      <c r="M283" s="6"/>
      <c r="N283" s="6"/>
      <c r="O283" s="6"/>
      <c r="P283" s="26"/>
      <c r="Q283" s="26"/>
    </row>
    <row r="284" spans="2:21" x14ac:dyDescent="0.2">
      <c r="C284" t="s">
        <v>29</v>
      </c>
      <c r="D284">
        <v>0.91859334837999995</v>
      </c>
      <c r="E284" s="1">
        <v>7.8156172399999905E-8</v>
      </c>
      <c r="F284" s="1">
        <v>-5.9901109E-7</v>
      </c>
      <c r="G284" s="1">
        <v>1.81690077869308E-5</v>
      </c>
      <c r="H284" s="1">
        <v>4.6257834824980798E-8</v>
      </c>
      <c r="I284" s="1">
        <v>6.0113335095871703E-8</v>
      </c>
      <c r="J284">
        <v>20</v>
      </c>
      <c r="K284">
        <v>0.2</v>
      </c>
      <c r="L284">
        <v>10</v>
      </c>
      <c r="M284">
        <f>J284*0.5*(D284+D285)/K284</f>
        <v>91.823404466999989</v>
      </c>
      <c r="N284" s="6">
        <f t="shared" si="105"/>
        <v>-4.5292481129999951E-2</v>
      </c>
      <c r="O284" s="6">
        <f t="shared" si="106"/>
        <v>-8.3538943333333004E-2</v>
      </c>
      <c r="P284" s="26">
        <f t="shared" si="107"/>
        <v>-9.8651278272474455E-3</v>
      </c>
      <c r="Q284" s="26">
        <f t="shared" si="108"/>
        <v>-1.8195566548255288E-2</v>
      </c>
    </row>
    <row r="285" spans="2:21" x14ac:dyDescent="0.2">
      <c r="C285" t="s">
        <v>235</v>
      </c>
      <c r="D285">
        <v>0.91787474095999999</v>
      </c>
      <c r="E285" s="1">
        <v>-9.8400579499999892E-7</v>
      </c>
      <c r="F285" s="1">
        <v>-1.0717677766666601E-6</v>
      </c>
      <c r="G285" s="1">
        <v>1.5936503828529601E-5</v>
      </c>
      <c r="H285" s="1">
        <v>6.3243923560156896E-8</v>
      </c>
      <c r="I285" s="1">
        <v>3.8377257166931499E-8</v>
      </c>
      <c r="M285" s="6"/>
      <c r="N285" s="6"/>
      <c r="O285" s="6"/>
      <c r="P285" s="26"/>
      <c r="Q285" s="26"/>
    </row>
    <row r="286" spans="2:21" x14ac:dyDescent="0.2">
      <c r="C286" t="s">
        <v>30</v>
      </c>
      <c r="D286">
        <v>0.9069585255</v>
      </c>
      <c r="E286" s="1">
        <v>2.9933932833333402E-7</v>
      </c>
      <c r="F286" s="1">
        <v>-9.3474778666666601E-7</v>
      </c>
      <c r="G286" s="1">
        <v>6.9419643457015698E-6</v>
      </c>
      <c r="H286" s="1">
        <v>3.0554166010009101E-8</v>
      </c>
      <c r="I286" s="1">
        <v>2.6625513636757399E-8</v>
      </c>
      <c r="J286">
        <v>20</v>
      </c>
      <c r="K286">
        <v>0.2</v>
      </c>
      <c r="L286">
        <v>10</v>
      </c>
      <c r="M286">
        <f>J286*0.5*(D286+D287)/K286</f>
        <v>90.572000724000006</v>
      </c>
      <c r="N286" s="6">
        <f t="shared" si="105"/>
        <v>-5.9868491083333295E-2</v>
      </c>
      <c r="O286" s="6">
        <f t="shared" si="106"/>
        <v>-0.10204714716666681</v>
      </c>
      <c r="P286" s="26">
        <f t="shared" si="107"/>
        <v>-1.3220088019424569E-2</v>
      </c>
      <c r="Q286" s="26">
        <f t="shared" si="108"/>
        <v>-2.2533928002238794E-2</v>
      </c>
    </row>
    <row r="287" spans="2:21" x14ac:dyDescent="0.2">
      <c r="C287" t="s">
        <v>237</v>
      </c>
      <c r="D287">
        <v>0.90448148898000003</v>
      </c>
      <c r="E287" s="1">
        <v>-1.4967091499999999E-6</v>
      </c>
      <c r="F287" s="1">
        <v>-1.1061951566666701E-6</v>
      </c>
      <c r="G287" s="1">
        <v>2.1625261944459002E-6</v>
      </c>
      <c r="H287" s="1">
        <v>3.5440058767504399E-8</v>
      </c>
      <c r="I287" s="1">
        <v>1.7726928135902599E-8</v>
      </c>
      <c r="L287" s="18"/>
      <c r="M287" s="18"/>
      <c r="N287" s="6"/>
      <c r="O287" s="6"/>
      <c r="P287" s="26"/>
      <c r="Q287" s="26"/>
    </row>
    <row r="288" spans="2:21" x14ac:dyDescent="0.2">
      <c r="C288" t="s">
        <v>236</v>
      </c>
      <c r="D288">
        <v>0.91845185896000003</v>
      </c>
      <c r="E288" s="1">
        <v>-1.3097581999999999E-6</v>
      </c>
      <c r="F288" s="1">
        <v>-7.6147665499999995E-7</v>
      </c>
      <c r="G288" s="1">
        <v>4.59150341487561E-6</v>
      </c>
      <c r="H288" s="1">
        <v>5.4514362548720401E-8</v>
      </c>
      <c r="I288" s="1">
        <v>6.5118395284993398E-8</v>
      </c>
      <c r="J288">
        <v>20</v>
      </c>
      <c r="K288">
        <v>0.2</v>
      </c>
      <c r="L288">
        <v>10</v>
      </c>
      <c r="M288">
        <f>J288*0.5*(D288+D289)/K288</f>
        <v>91.593339389999997</v>
      </c>
      <c r="N288" s="6">
        <f t="shared" si="105"/>
        <v>-7.4192152371666639E-2</v>
      </c>
      <c r="O288" s="6">
        <f t="shared" si="106"/>
        <v>-0.104115556916667</v>
      </c>
      <c r="P288" s="26">
        <f t="shared" si="107"/>
        <v>-1.6200337899191567E-2</v>
      </c>
      <c r="Q288" s="26">
        <f t="shared" si="108"/>
        <v>-2.2734307452935636E-2</v>
      </c>
    </row>
    <row r="289" spans="3:20" x14ac:dyDescent="0.2">
      <c r="C289" t="s">
        <v>238</v>
      </c>
      <c r="D289">
        <v>0.91341492883999997</v>
      </c>
      <c r="E289" s="1">
        <v>-1.7408484743333299E-7</v>
      </c>
      <c r="F289" s="1">
        <v>-1.32083448333334E-6</v>
      </c>
      <c r="G289" s="1">
        <v>2.34690442086667E-6</v>
      </c>
      <c r="H289" s="1">
        <v>7.54153485103813E-8</v>
      </c>
      <c r="I289" s="1">
        <v>5.8688473087188001E-9</v>
      </c>
      <c r="N289" s="6"/>
      <c r="O289" s="6"/>
      <c r="P289" s="26"/>
      <c r="Q289" s="26"/>
    </row>
    <row r="290" spans="3:20" x14ac:dyDescent="0.2">
      <c r="C290" t="s">
        <v>31</v>
      </c>
      <c r="D290">
        <v>0.91330453377999998</v>
      </c>
      <c r="E290" s="1">
        <v>1.6604193566666599E-7</v>
      </c>
      <c r="F290" s="1">
        <v>-8.26352883333333E-7</v>
      </c>
      <c r="G290" s="1">
        <v>1.9110448846278899E-5</v>
      </c>
      <c r="H290" s="1">
        <v>3.87799387679098E-8</v>
      </c>
      <c r="I290" s="1">
        <v>5.4805465519992202E-8</v>
      </c>
      <c r="J290">
        <v>20</v>
      </c>
      <c r="K290">
        <v>0.2</v>
      </c>
      <c r="L290">
        <v>10</v>
      </c>
      <c r="M290">
        <f>J290*0.5*(D290+D291)/K290</f>
        <v>91.301189726999993</v>
      </c>
      <c r="N290" s="6">
        <f t="shared" si="105"/>
        <v>-2.4467291216666697E-2</v>
      </c>
      <c r="O290" s="6">
        <f t="shared" si="106"/>
        <v>-7.0845276916666658E-2</v>
      </c>
      <c r="P290" s="26">
        <f t="shared" si="107"/>
        <v>-5.359687270193615E-3</v>
      </c>
      <c r="Q290" s="26">
        <f t="shared" si="108"/>
        <v>-1.5519026012366622E-2</v>
      </c>
      <c r="R290" s="6"/>
      <c r="S290" s="6"/>
    </row>
    <row r="291" spans="3:20" x14ac:dyDescent="0.2">
      <c r="C291" t="s">
        <v>239</v>
      </c>
      <c r="D291">
        <v>0.91271926075999998</v>
      </c>
      <c r="E291" s="1">
        <v>-6.5538775999999997E-7</v>
      </c>
      <c r="F291" s="1">
        <v>-5.90552655E-7</v>
      </c>
      <c r="G291" s="1">
        <v>4.0603999950570403E-6</v>
      </c>
      <c r="H291" s="1">
        <v>3.0988791000119197E-8</v>
      </c>
      <c r="I291" s="1">
        <v>3.4957786232721302E-8</v>
      </c>
      <c r="L291" s="18"/>
      <c r="M291" s="18"/>
      <c r="N291" s="6"/>
      <c r="O291" s="6"/>
      <c r="P291" s="26"/>
      <c r="Q291" s="26"/>
    </row>
    <row r="292" spans="3:20" x14ac:dyDescent="0.2">
      <c r="C292" t="s">
        <v>240</v>
      </c>
      <c r="D292">
        <v>0.91912951765999995</v>
      </c>
      <c r="E292" s="1">
        <v>-1.52264125E-6</v>
      </c>
      <c r="F292" s="1">
        <v>-6.5578357833333295E-7</v>
      </c>
      <c r="G292" s="1">
        <v>5.6062968724552299E-6</v>
      </c>
      <c r="H292" s="1">
        <v>2.76081499549952E-8</v>
      </c>
      <c r="I292" s="1">
        <v>9.9133546799522205E-9</v>
      </c>
      <c r="J292">
        <v>20</v>
      </c>
      <c r="K292">
        <v>0.2</v>
      </c>
      <c r="L292">
        <v>10</v>
      </c>
      <c r="M292">
        <f>J292*0.5*(D292+D293)/K292</f>
        <v>91.690575357</v>
      </c>
      <c r="N292" s="6">
        <f t="shared" si="105"/>
        <v>-3.7754769249999952E-2</v>
      </c>
      <c r="O292" s="6">
        <f t="shared" si="106"/>
        <v>-6.8633288333333348E-2</v>
      </c>
      <c r="P292" s="26">
        <f t="shared" si="107"/>
        <v>-8.2352562633619935E-3</v>
      </c>
      <c r="Q292" s="26">
        <f t="shared" si="108"/>
        <v>-1.4970630965310795E-2</v>
      </c>
      <c r="R292" s="6"/>
      <c r="S292" s="6"/>
    </row>
    <row r="293" spans="3:20" x14ac:dyDescent="0.2">
      <c r="C293" t="s">
        <v>242</v>
      </c>
      <c r="D293">
        <v>0.91468198948000001</v>
      </c>
      <c r="E293" s="1">
        <v>7.6754586500000095E-7</v>
      </c>
      <c r="F293" s="1">
        <v>-7.1688218833333398E-7</v>
      </c>
      <c r="G293" s="1">
        <v>3.21506686194223E-6</v>
      </c>
      <c r="H293" s="1">
        <v>2.3655220146867701E-8</v>
      </c>
      <c r="I293" s="1">
        <v>4.4810977460694397E-8</v>
      </c>
      <c r="L293" s="18"/>
      <c r="M293" s="18"/>
      <c r="N293" s="6"/>
      <c r="O293" s="6"/>
      <c r="P293" s="26"/>
      <c r="Q293" s="26"/>
    </row>
    <row r="294" spans="3:20" x14ac:dyDescent="0.2">
      <c r="C294" t="s">
        <v>241</v>
      </c>
      <c r="D294">
        <v>0.94320547495999996</v>
      </c>
      <c r="E294" s="1">
        <v>-1.7562902E-6</v>
      </c>
      <c r="F294" s="1">
        <v>-2.6976514833333398E-7</v>
      </c>
      <c r="G294" s="1">
        <v>6.4709819263709998E-6</v>
      </c>
      <c r="H294" s="1">
        <v>4.21367562898079E-8</v>
      </c>
      <c r="I294" s="1">
        <v>4.4034832150314E-8</v>
      </c>
      <c r="J294">
        <v>20</v>
      </c>
      <c r="K294">
        <v>0.2</v>
      </c>
      <c r="L294">
        <v>10</v>
      </c>
      <c r="M294">
        <f>J294*0.5*(D294+D295)/K294</f>
        <v>93.947392571999984</v>
      </c>
      <c r="N294" s="6">
        <f t="shared" si="105"/>
        <v>-2.3264677500000004E-2</v>
      </c>
      <c r="O294" s="6">
        <f t="shared" si="106"/>
        <v>-4.3648314500000049E-2</v>
      </c>
      <c r="P294" s="26">
        <f t="shared" si="107"/>
        <v>-4.9527031805955178E-3</v>
      </c>
      <c r="Q294" s="26">
        <f t="shared" si="108"/>
        <v>-9.2920757681589916E-3</v>
      </c>
      <c r="R294" s="6"/>
      <c r="S294" s="6"/>
    </row>
    <row r="295" spans="3:20" x14ac:dyDescent="0.2">
      <c r="C295" t="s">
        <v>243</v>
      </c>
      <c r="D295">
        <v>0.93574237648000003</v>
      </c>
      <c r="E295" s="1">
        <v>1.2909966499999999E-6</v>
      </c>
      <c r="F295" s="1">
        <v>-6.0320114166666703E-7</v>
      </c>
      <c r="G295" s="1">
        <v>5.23730555625782E-6</v>
      </c>
      <c r="H295" s="1">
        <v>3.34572549822033E-8</v>
      </c>
      <c r="I295" s="1">
        <v>7.2474965996599601E-8</v>
      </c>
      <c r="L295" s="18"/>
      <c r="M295" s="18"/>
      <c r="N295" s="3"/>
      <c r="P295" s="2"/>
      <c r="R295" s="20"/>
    </row>
    <row r="296" spans="3:20" x14ac:dyDescent="0.2">
      <c r="E296" s="1"/>
      <c r="F296" s="1"/>
      <c r="G296" s="1"/>
      <c r="H296" s="1"/>
      <c r="I296" s="1"/>
      <c r="L296" s="18"/>
      <c r="M296" s="18"/>
      <c r="N296" s="3"/>
      <c r="P296" s="2"/>
      <c r="R296" s="20"/>
    </row>
    <row r="298" spans="3:20" x14ac:dyDescent="0.2">
      <c r="E298" s="1"/>
      <c r="F298" s="1"/>
      <c r="G298" s="1"/>
      <c r="H298" s="1"/>
      <c r="I298" s="1"/>
      <c r="L298" s="18"/>
      <c r="M298" s="18"/>
      <c r="N298" s="3"/>
      <c r="P298" s="2"/>
      <c r="R298" s="20"/>
    </row>
    <row r="299" spans="3:20" x14ac:dyDescent="0.2">
      <c r="E299" s="1"/>
      <c r="F299" s="1"/>
      <c r="G299" s="1"/>
      <c r="H299" s="1"/>
      <c r="I299" s="1"/>
      <c r="L299" s="18"/>
      <c r="M299" s="18"/>
      <c r="N299" s="3"/>
      <c r="P299" s="2"/>
      <c r="R299" s="20"/>
    </row>
    <row r="300" spans="3:20" x14ac:dyDescent="0.2">
      <c r="E300" s="1"/>
      <c r="F300" s="1"/>
      <c r="G300" s="1"/>
      <c r="H300" s="1"/>
      <c r="I300" s="1"/>
      <c r="L300" s="18"/>
      <c r="M300" s="18"/>
      <c r="N300" s="3"/>
      <c r="P300" s="2"/>
      <c r="R300" s="20"/>
    </row>
    <row r="301" spans="3:20" x14ac:dyDescent="0.2">
      <c r="E301" s="1"/>
      <c r="F301" s="1"/>
      <c r="G301" s="1"/>
      <c r="H301" s="1"/>
      <c r="I301" s="1"/>
      <c r="L301" s="18"/>
      <c r="M301" s="18"/>
      <c r="N301" s="3"/>
      <c r="P301" s="2"/>
      <c r="R301" s="20"/>
    </row>
    <row r="303" spans="3:20" x14ac:dyDescent="0.2">
      <c r="E303" s="1"/>
      <c r="F303" s="1"/>
      <c r="G303" s="1"/>
      <c r="H303" s="1"/>
      <c r="I303" s="1"/>
      <c r="L303" s="18"/>
      <c r="M303" s="18"/>
      <c r="N303" s="3"/>
      <c r="P303" s="2"/>
      <c r="R303" s="20"/>
      <c r="T303" s="20"/>
    </row>
    <row r="304" spans="3:20" x14ac:dyDescent="0.2">
      <c r="E304" s="1"/>
      <c r="F304" s="1"/>
      <c r="G304" s="1"/>
      <c r="H304" s="1"/>
      <c r="I304" s="1"/>
      <c r="L304" s="18"/>
      <c r="M304" s="18"/>
      <c r="N304" s="3"/>
      <c r="P304" s="2"/>
      <c r="R304" s="20"/>
      <c r="T304" s="20"/>
    </row>
    <row r="305" spans="3:22" x14ac:dyDescent="0.2">
      <c r="E305" s="1"/>
      <c r="F305" s="1"/>
      <c r="G305" s="1"/>
      <c r="H305" s="1"/>
      <c r="I305" s="1"/>
      <c r="L305" s="18"/>
      <c r="M305" s="18"/>
      <c r="N305" s="3"/>
      <c r="P305" s="2"/>
      <c r="R305" s="20"/>
      <c r="T305" s="20"/>
    </row>
    <row r="306" spans="3:22" x14ac:dyDescent="0.2">
      <c r="E306" s="1"/>
      <c r="F306" s="1"/>
      <c r="G306" s="1"/>
      <c r="H306" s="1"/>
      <c r="I306" s="1"/>
      <c r="L306" s="18"/>
      <c r="M306" s="18"/>
      <c r="N306" s="3"/>
      <c r="P306" s="2"/>
      <c r="R306" s="20"/>
      <c r="T306" s="20"/>
    </row>
    <row r="308" spans="3:22" x14ac:dyDescent="0.2">
      <c r="E308" s="1"/>
      <c r="F308" s="1"/>
      <c r="G308" s="1"/>
      <c r="H308" s="1"/>
      <c r="I308" s="1"/>
      <c r="L308" s="18"/>
      <c r="M308" s="18"/>
      <c r="N308" s="3"/>
      <c r="P308" s="2"/>
      <c r="R308" s="20"/>
    </row>
    <row r="309" spans="3:22" x14ac:dyDescent="0.2">
      <c r="E309" s="1"/>
      <c r="F309" s="1"/>
      <c r="G309" s="1"/>
      <c r="H309" s="1"/>
      <c r="I309" s="1"/>
      <c r="L309" s="18"/>
      <c r="M309" s="18"/>
      <c r="N309" s="3"/>
      <c r="P309" s="2"/>
      <c r="R309" s="20"/>
    </row>
    <row r="310" spans="3:22" x14ac:dyDescent="0.2">
      <c r="E310" s="1"/>
      <c r="F310" s="1"/>
      <c r="G310" s="1"/>
      <c r="H310" s="1"/>
      <c r="I310" s="1"/>
      <c r="L310" s="18"/>
      <c r="M310" s="18"/>
      <c r="N310" s="3"/>
      <c r="P310" s="2"/>
      <c r="R310" s="20"/>
    </row>
    <row r="311" spans="3:22" x14ac:dyDescent="0.2">
      <c r="E311" s="1"/>
      <c r="F311" s="1"/>
      <c r="G311" s="1"/>
      <c r="H311" s="1"/>
      <c r="I311" s="1"/>
      <c r="L311" s="18"/>
      <c r="M311" s="18"/>
      <c r="N311" s="3"/>
      <c r="P311" s="2"/>
      <c r="R311" s="20"/>
    </row>
    <row r="312" spans="3:22" x14ac:dyDescent="0.2">
      <c r="E312" s="1"/>
      <c r="F312" s="1"/>
      <c r="G312" s="1"/>
      <c r="H312" s="1"/>
      <c r="I312" s="1"/>
      <c r="L312" s="18"/>
      <c r="M312" s="18"/>
      <c r="N312" s="3"/>
      <c r="P312" s="2"/>
      <c r="R312" s="20"/>
    </row>
    <row r="313" spans="3:22" x14ac:dyDescent="0.2">
      <c r="E313" s="1"/>
      <c r="F313" s="1"/>
      <c r="G313" s="1"/>
      <c r="H313" s="1"/>
      <c r="I313" s="1"/>
      <c r="L313" s="18"/>
      <c r="M313" s="18"/>
      <c r="N313" s="3"/>
      <c r="P313" s="2"/>
      <c r="R313" s="20"/>
    </row>
    <row r="314" spans="3:22" x14ac:dyDescent="0.2">
      <c r="E314" s="1"/>
      <c r="F314" s="1"/>
      <c r="G314" s="1"/>
      <c r="H314" s="1"/>
      <c r="I314" s="1"/>
    </row>
    <row r="315" spans="3:22" x14ac:dyDescent="0.2">
      <c r="C315" s="1"/>
      <c r="E315" s="1"/>
      <c r="F315" s="1"/>
      <c r="G315" s="1"/>
      <c r="H315" s="1"/>
      <c r="I315" s="1"/>
      <c r="L315" s="18"/>
      <c r="M315" s="18"/>
      <c r="N315" s="3"/>
      <c r="O315" s="20"/>
      <c r="P315" s="21"/>
      <c r="R315" s="20"/>
      <c r="S315" s="20"/>
      <c r="V315" s="1"/>
    </row>
    <row r="316" spans="3:22" x14ac:dyDescent="0.2">
      <c r="C316" s="1"/>
      <c r="E316" s="1"/>
      <c r="F316" s="1"/>
      <c r="G316" s="1"/>
      <c r="H316" s="1"/>
      <c r="I316" s="1"/>
      <c r="L316" s="18"/>
      <c r="M316" s="18"/>
      <c r="N316" s="3"/>
      <c r="O316" s="20"/>
      <c r="P316" s="2"/>
      <c r="R316" s="20"/>
      <c r="S316" s="20"/>
      <c r="V316" s="1"/>
    </row>
    <row r="317" spans="3:22" x14ac:dyDescent="0.2">
      <c r="C317" s="1"/>
      <c r="E317" s="1"/>
      <c r="F317" s="1"/>
      <c r="G317" s="1"/>
      <c r="H317" s="1"/>
      <c r="I317" s="1"/>
      <c r="L317" s="18"/>
      <c r="M317" s="18"/>
      <c r="N317" s="3"/>
      <c r="O317" s="20"/>
      <c r="P317" s="2"/>
      <c r="R317" s="20"/>
      <c r="S317" s="20"/>
      <c r="V317" s="1"/>
    </row>
    <row r="318" spans="3:22" x14ac:dyDescent="0.2">
      <c r="C318" s="1"/>
      <c r="E318" s="1"/>
      <c r="F318" s="1"/>
      <c r="G318" s="1"/>
      <c r="H318" s="1"/>
      <c r="I318" s="1"/>
      <c r="L318" s="18"/>
      <c r="M318" s="18"/>
      <c r="N318" s="3"/>
      <c r="O318" s="20"/>
      <c r="P318" s="2"/>
      <c r="R318" s="20"/>
      <c r="S318" s="20"/>
      <c r="V318" s="1"/>
    </row>
    <row r="319" spans="3:22" x14ac:dyDescent="0.2">
      <c r="C319" s="1"/>
      <c r="E319" s="1"/>
      <c r="F319" s="1"/>
      <c r="G319" s="1"/>
      <c r="H319" s="1"/>
      <c r="I319" s="1"/>
      <c r="L319" s="18"/>
      <c r="M319" s="18"/>
      <c r="N319" s="3"/>
      <c r="O319" s="20"/>
      <c r="P319" s="2"/>
      <c r="R319" s="20"/>
      <c r="S319" s="20"/>
      <c r="V319" s="1"/>
    </row>
    <row r="320" spans="3:22" x14ac:dyDescent="0.2">
      <c r="C320" s="1"/>
      <c r="E320" s="1"/>
      <c r="F320" s="1"/>
      <c r="G320" s="1"/>
      <c r="H320" s="1"/>
      <c r="I320" s="1"/>
      <c r="L320" s="18"/>
      <c r="M320" s="18"/>
      <c r="N320" s="3"/>
      <c r="O320" s="20"/>
      <c r="P320" s="2"/>
      <c r="R320" s="20"/>
      <c r="S320" s="20"/>
      <c r="V320" s="1"/>
    </row>
    <row r="321" spans="2:22" x14ac:dyDescent="0.2">
      <c r="C321" s="1"/>
      <c r="L321" s="18"/>
      <c r="M321" s="18"/>
      <c r="O321" s="20"/>
      <c r="V321" s="1"/>
    </row>
    <row r="322" spans="2:22" x14ac:dyDescent="0.2">
      <c r="B322" s="1"/>
      <c r="C322" s="1"/>
      <c r="E322" s="1"/>
      <c r="F322" s="1"/>
      <c r="G322" s="1"/>
      <c r="H322" s="1"/>
      <c r="I322" s="1"/>
      <c r="L322" s="18"/>
      <c r="M322" s="18"/>
      <c r="N322" s="3"/>
      <c r="O322" s="20"/>
      <c r="P322" s="2"/>
      <c r="R322" s="20"/>
      <c r="S322" s="20"/>
      <c r="T322" s="20"/>
      <c r="U322" s="20"/>
      <c r="V322" s="1"/>
    </row>
    <row r="323" spans="2:22" x14ac:dyDescent="0.2">
      <c r="B323" s="1"/>
      <c r="C323" s="1"/>
      <c r="E323" s="1"/>
      <c r="F323" s="1"/>
      <c r="G323" s="1"/>
      <c r="H323" s="1"/>
      <c r="I323" s="1"/>
      <c r="L323" s="18"/>
      <c r="M323" s="18"/>
      <c r="N323" s="3"/>
      <c r="O323" s="20"/>
      <c r="P323" s="2"/>
      <c r="R323" s="20"/>
      <c r="S323" s="20"/>
      <c r="T323" s="20"/>
      <c r="U323" s="20"/>
      <c r="V323" s="1"/>
    </row>
    <row r="324" spans="2:22" x14ac:dyDescent="0.2">
      <c r="B324" s="1"/>
      <c r="C324" s="1"/>
      <c r="E324" s="1"/>
      <c r="F324" s="1"/>
      <c r="G324" s="1"/>
      <c r="H324" s="1"/>
      <c r="I324" s="1"/>
      <c r="L324" s="18"/>
      <c r="M324" s="18"/>
      <c r="N324" s="3"/>
      <c r="O324" s="20"/>
      <c r="P324" s="2"/>
      <c r="R324" s="20"/>
      <c r="S324" s="20"/>
      <c r="T324" s="20"/>
      <c r="U324" s="20"/>
      <c r="V324" s="1"/>
    </row>
    <row r="325" spans="2:22" x14ac:dyDescent="0.2">
      <c r="B325" s="1"/>
      <c r="C325" s="1"/>
      <c r="E325" s="1"/>
      <c r="F325" s="1"/>
      <c r="G325" s="1"/>
      <c r="H325" s="1"/>
      <c r="I325" s="1"/>
      <c r="L325" s="18"/>
      <c r="M325" s="18"/>
      <c r="N325" s="3"/>
      <c r="O325" s="20"/>
      <c r="P325" s="2"/>
      <c r="R325" s="20"/>
      <c r="S325" s="20"/>
      <c r="T325" s="20"/>
      <c r="U325" s="20"/>
      <c r="V325" s="1"/>
    </row>
    <row r="326" spans="2:22" x14ac:dyDescent="0.2">
      <c r="B326" s="1"/>
      <c r="C326" s="1"/>
      <c r="E326" s="1"/>
      <c r="F326" s="1"/>
      <c r="G326" s="1"/>
      <c r="H326" s="1"/>
      <c r="I326" s="1"/>
      <c r="L326" s="18"/>
      <c r="M326" s="18"/>
      <c r="N326" s="3"/>
      <c r="O326" s="20"/>
      <c r="P326" s="2"/>
      <c r="R326" s="20"/>
      <c r="S326" s="20"/>
      <c r="T326" s="20"/>
      <c r="U326" s="20"/>
      <c r="V326" s="1"/>
    </row>
    <row r="327" spans="2:22" x14ac:dyDescent="0.2">
      <c r="B327" s="1"/>
      <c r="C327" s="1"/>
      <c r="E327" s="1"/>
      <c r="F327" s="1"/>
      <c r="G327" s="1"/>
      <c r="H327" s="1"/>
      <c r="I327" s="1"/>
      <c r="L327" s="18"/>
      <c r="M327" s="18"/>
      <c r="N327" s="3"/>
      <c r="O327" s="20"/>
      <c r="P327" s="2"/>
      <c r="R327" s="20"/>
      <c r="S327" s="20"/>
      <c r="T327" s="20"/>
      <c r="U327" s="20"/>
      <c r="V327" s="1"/>
    </row>
    <row r="329" spans="2:22" x14ac:dyDescent="0.2">
      <c r="E329" s="1"/>
      <c r="F329" s="1"/>
      <c r="G329" s="1"/>
      <c r="H329" s="1"/>
      <c r="I329" s="1"/>
      <c r="L329" s="18"/>
      <c r="M329" s="18"/>
      <c r="N329" s="3"/>
      <c r="O329" s="20"/>
    </row>
    <row r="330" spans="2:22" x14ac:dyDescent="0.2">
      <c r="E330" s="1"/>
      <c r="F330" s="1"/>
      <c r="G330" s="1"/>
      <c r="H330" s="1"/>
      <c r="I330" s="1"/>
      <c r="L330" s="18"/>
      <c r="M330" s="18"/>
      <c r="N330" s="3"/>
      <c r="O330" s="20"/>
    </row>
    <row r="331" spans="2:22" x14ac:dyDescent="0.2">
      <c r="E331" s="1"/>
      <c r="F331" s="1"/>
      <c r="G331" s="1"/>
      <c r="H331" s="1"/>
      <c r="I331" s="1"/>
      <c r="L331" s="18"/>
      <c r="M331" s="18"/>
      <c r="N331" s="3"/>
      <c r="O331" s="20"/>
    </row>
    <row r="333" spans="2:22" x14ac:dyDescent="0.2">
      <c r="E333" s="1"/>
      <c r="F333" s="1"/>
      <c r="G333" s="1"/>
      <c r="H333" s="1"/>
      <c r="I333" s="1"/>
      <c r="L333" s="18"/>
      <c r="M333" s="18"/>
      <c r="N333" s="3"/>
      <c r="O333" s="20"/>
    </row>
    <row r="334" spans="2:22" x14ac:dyDescent="0.2">
      <c r="E334" s="1"/>
      <c r="F334" s="1"/>
      <c r="G334" s="1"/>
      <c r="H334" s="1"/>
      <c r="I334" s="1"/>
      <c r="L334" s="18"/>
      <c r="M334" s="18"/>
      <c r="N334" s="3"/>
      <c r="O334" s="20"/>
    </row>
    <row r="335" spans="2:22" x14ac:dyDescent="0.2">
      <c r="E335" s="1"/>
      <c r="F335" s="1"/>
      <c r="G335" s="1"/>
      <c r="H335" s="1"/>
      <c r="I335" s="1"/>
      <c r="L335" s="18"/>
      <c r="M335" s="18"/>
      <c r="N335" s="3"/>
      <c r="O335" s="20"/>
    </row>
    <row r="337" spans="5:15" x14ac:dyDescent="0.2">
      <c r="E337" s="1"/>
      <c r="F337" s="1"/>
      <c r="G337" s="1"/>
      <c r="H337" s="1"/>
      <c r="I337" s="1"/>
      <c r="L337" s="18"/>
      <c r="M337" s="18"/>
      <c r="N337" s="3"/>
      <c r="O337" s="20"/>
    </row>
    <row r="338" spans="5:15" x14ac:dyDescent="0.2">
      <c r="E338" s="1"/>
      <c r="F338" s="1"/>
      <c r="G338" s="1"/>
      <c r="H338" s="1"/>
      <c r="I338" s="1"/>
      <c r="L338" s="18"/>
      <c r="M338" s="18"/>
      <c r="N338" s="3"/>
      <c r="O338" s="20"/>
    </row>
    <row r="339" spans="5:15" x14ac:dyDescent="0.2">
      <c r="E339" s="1"/>
      <c r="F339" s="1"/>
      <c r="G339" s="1"/>
      <c r="H339" s="1"/>
      <c r="I339" s="1"/>
      <c r="L339" s="18"/>
      <c r="M339" s="18"/>
      <c r="N339" s="3"/>
      <c r="O339" s="20"/>
    </row>
    <row r="340" spans="5:15" x14ac:dyDescent="0.2">
      <c r="E340" s="1"/>
      <c r="F340" s="1"/>
      <c r="G340" s="1"/>
      <c r="H340" s="1"/>
      <c r="I340" s="1"/>
      <c r="L340" s="18"/>
      <c r="M340" s="18"/>
      <c r="N340" s="3"/>
      <c r="O340" s="20"/>
    </row>
    <row r="341" spans="5:15" x14ac:dyDescent="0.2">
      <c r="E341" s="1"/>
      <c r="F341" s="1"/>
      <c r="G341" s="1"/>
      <c r="H341" s="1"/>
      <c r="I341" s="1"/>
      <c r="L341" s="18"/>
      <c r="M341" s="18"/>
      <c r="N341" s="3"/>
      <c r="O341" s="20"/>
    </row>
    <row r="343" spans="5:15" x14ac:dyDescent="0.2">
      <c r="E343" s="1"/>
      <c r="F343" s="1"/>
      <c r="G343" s="1"/>
      <c r="H343" s="1"/>
      <c r="I343" s="1"/>
      <c r="L343" s="18"/>
      <c r="M343" s="18"/>
      <c r="N343" s="3"/>
      <c r="O343" s="20"/>
    </row>
    <row r="344" spans="5:15" x14ac:dyDescent="0.2">
      <c r="E344" s="1"/>
      <c r="F344" s="1"/>
      <c r="G344" s="1"/>
      <c r="H344" s="1"/>
      <c r="I344" s="1"/>
      <c r="L344" s="18"/>
      <c r="M344" s="18"/>
      <c r="N344" s="3"/>
      <c r="O344" s="20"/>
    </row>
    <row r="345" spans="5:15" x14ac:dyDescent="0.2">
      <c r="E345" s="1"/>
      <c r="F345" s="1"/>
      <c r="G345" s="1"/>
      <c r="H345" s="1"/>
      <c r="I345" s="1"/>
      <c r="L345" s="18"/>
      <c r="M345" s="18"/>
      <c r="N345" s="3"/>
      <c r="O345" s="20"/>
    </row>
    <row r="347" spans="5:15" x14ac:dyDescent="0.2">
      <c r="E347" s="1"/>
      <c r="F347" s="1"/>
      <c r="G347" s="1"/>
      <c r="H347" s="1"/>
      <c r="I347" s="1"/>
      <c r="L347" s="18"/>
      <c r="M347" s="18"/>
      <c r="N347" s="3"/>
      <c r="O347" s="2"/>
    </row>
    <row r="348" spans="5:15" x14ac:dyDescent="0.2">
      <c r="E348" s="1"/>
      <c r="F348" s="1"/>
      <c r="G348" s="1"/>
      <c r="H348" s="1"/>
      <c r="I348" s="1"/>
      <c r="L348" s="18"/>
      <c r="M348" s="18"/>
      <c r="N348" s="3"/>
      <c r="O348" s="2"/>
    </row>
    <row r="349" spans="5:15" x14ac:dyDescent="0.2">
      <c r="E349" s="1"/>
      <c r="F349" s="1"/>
      <c r="G349" s="1"/>
      <c r="H349" s="1"/>
      <c r="I349" s="1"/>
      <c r="L349" s="18"/>
      <c r="M349" s="18"/>
      <c r="N349" s="3"/>
      <c r="O349" s="2"/>
    </row>
    <row r="350" spans="5:15" x14ac:dyDescent="0.2">
      <c r="E350" s="1"/>
      <c r="F350" s="1"/>
      <c r="G350" s="1"/>
      <c r="H350" s="1"/>
      <c r="I350" s="1"/>
      <c r="L350" s="18"/>
      <c r="M350" s="18"/>
      <c r="N350" s="3"/>
      <c r="O350" s="2"/>
    </row>
    <row r="351" spans="5:15" x14ac:dyDescent="0.2">
      <c r="E351" s="1"/>
      <c r="F351" s="1"/>
      <c r="G351" s="1"/>
      <c r="H351" s="1"/>
      <c r="I351" s="1"/>
      <c r="L351" s="18"/>
      <c r="M351" s="18"/>
      <c r="N351" s="3"/>
      <c r="O351" s="2"/>
    </row>
    <row r="352" spans="5:15" x14ac:dyDescent="0.2">
      <c r="E352" s="1"/>
      <c r="F352" s="1"/>
      <c r="G352" s="1"/>
      <c r="H352" s="1"/>
      <c r="I352" s="1"/>
      <c r="L352" s="18"/>
      <c r="M352" s="18"/>
      <c r="N352" s="3"/>
      <c r="O352" s="2"/>
    </row>
    <row r="353" spans="5:15" x14ac:dyDescent="0.2">
      <c r="E353" s="1"/>
      <c r="F353" s="1"/>
      <c r="G353" s="1"/>
      <c r="H353" s="1"/>
      <c r="I353" s="1"/>
      <c r="L353" s="18"/>
      <c r="M353" s="18"/>
      <c r="N353" s="3"/>
      <c r="O353" s="2"/>
    </row>
  </sheetData>
  <sheetProtection sheet="1"/>
  <mergeCells count="9">
    <mergeCell ref="T274:U274"/>
    <mergeCell ref="U74:V74"/>
    <mergeCell ref="U213:V213"/>
    <mergeCell ref="Y32:AD32"/>
    <mergeCell ref="U145:V145"/>
    <mergeCell ref="U206:V206"/>
    <mergeCell ref="N74:O74"/>
    <mergeCell ref="P74:Q74"/>
    <mergeCell ref="U133:V133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rgb="FF00B0F0"/>
  </sheetPr>
  <dimension ref="A3:W137"/>
  <sheetViews>
    <sheetView topLeftCell="A25" zoomScaleNormal="100" workbookViewId="0">
      <selection activeCell="P18" sqref="P18"/>
    </sheetView>
  </sheetViews>
  <sheetFormatPr defaultRowHeight="12.75" x14ac:dyDescent="0.2"/>
  <cols>
    <col min="4" max="4" width="14.140625" customWidth="1"/>
    <col min="5" max="5" width="9.140625" customWidth="1"/>
    <col min="6" max="6" width="8" customWidth="1"/>
    <col min="7" max="7" width="10.7109375" customWidth="1"/>
    <col min="9" max="9" width="10.7109375" customWidth="1"/>
    <col min="10" max="10" width="8.28515625" customWidth="1"/>
    <col min="11" max="11" width="8.42578125" customWidth="1"/>
    <col min="14" max="14" width="36.140625" customWidth="1"/>
    <col min="15" max="15" width="14" customWidth="1"/>
    <col min="16" max="16" width="14.42578125" customWidth="1"/>
    <col min="17" max="17" width="15" customWidth="1"/>
    <col min="18" max="18" width="9.42578125" bestFit="1" customWidth="1"/>
    <col min="19" max="19" width="9.5703125" customWidth="1"/>
    <col min="20" max="20" width="8" customWidth="1"/>
    <col min="21" max="21" width="10.140625" customWidth="1"/>
  </cols>
  <sheetData>
    <row r="3" spans="1:18" x14ac:dyDescent="0.2">
      <c r="E3" s="69"/>
      <c r="F3" s="16"/>
      <c r="G3" s="16"/>
      <c r="H3" s="16"/>
      <c r="I3" s="16"/>
      <c r="J3" s="16"/>
      <c r="K3" s="16"/>
    </row>
    <row r="4" spans="1:18" x14ac:dyDescent="0.2">
      <c r="E4" s="69" t="s">
        <v>370</v>
      </c>
      <c r="F4" s="16"/>
      <c r="G4" s="16"/>
      <c r="H4" s="16"/>
      <c r="I4" s="16"/>
      <c r="J4" s="16"/>
      <c r="K4" s="16"/>
    </row>
    <row r="5" spans="1:18" x14ac:dyDescent="0.2">
      <c r="E5" s="16"/>
      <c r="F5" s="16"/>
      <c r="G5" s="16"/>
      <c r="H5" s="16"/>
      <c r="I5" s="16"/>
      <c r="J5" s="16"/>
      <c r="K5" s="16"/>
    </row>
    <row r="6" spans="1:18" ht="28.9" customHeight="1" x14ac:dyDescent="0.2">
      <c r="E6" s="118" t="s">
        <v>365</v>
      </c>
      <c r="F6" s="330" t="s">
        <v>326</v>
      </c>
      <c r="G6" s="331"/>
      <c r="H6" s="330" t="s">
        <v>327</v>
      </c>
      <c r="I6" s="331"/>
      <c r="J6" s="330" t="s">
        <v>334</v>
      </c>
      <c r="K6" s="331"/>
    </row>
    <row r="7" spans="1:18" ht="64.900000000000006" customHeight="1" x14ac:dyDescent="0.2">
      <c r="E7" s="118" t="s">
        <v>325</v>
      </c>
      <c r="F7" s="123" t="s">
        <v>408</v>
      </c>
      <c r="G7" s="119" t="s">
        <v>409</v>
      </c>
      <c r="H7" s="123" t="s">
        <v>410</v>
      </c>
      <c r="I7" s="124" t="s">
        <v>411</v>
      </c>
      <c r="J7" s="123" t="s">
        <v>408</v>
      </c>
      <c r="K7" s="119" t="s">
        <v>410</v>
      </c>
    </row>
    <row r="8" spans="1:18" ht="20.45" customHeight="1" x14ac:dyDescent="0.2">
      <c r="E8" s="125" t="s">
        <v>387</v>
      </c>
      <c r="F8" s="96"/>
      <c r="G8" s="96"/>
      <c r="H8" s="81"/>
      <c r="I8" s="81"/>
      <c r="J8" s="81"/>
      <c r="K8" s="70"/>
    </row>
    <row r="9" spans="1:18" x14ac:dyDescent="0.2">
      <c r="A9">
        <v>26</v>
      </c>
      <c r="B9">
        <v>1</v>
      </c>
      <c r="E9" s="85">
        <v>120</v>
      </c>
      <c r="F9" s="71" t="e">
        <f>VLOOKUP($A9,summary!$A$5:$M$109,8,FALSE)</f>
        <v>#N/A</v>
      </c>
      <c r="G9" s="82" t="e">
        <f>VLOOKUP($B9,uncertainties!$A$16:$AX$77,21,FALSE)</f>
        <v>#N/A</v>
      </c>
      <c r="H9" s="71" t="e">
        <f>VLOOKUP($A9,summary!$A$5:$M$109,9,FALSE)</f>
        <v>#N/A</v>
      </c>
      <c r="I9" s="82" t="e">
        <f>VLOOKUP($B9,uncertainties!$A$16:$AX$77,31,FALSE)</f>
        <v>#N/A</v>
      </c>
      <c r="J9" s="71" t="e">
        <f>VLOOKUP($A9,summary!$A$5:$M$109,12,FALSE)</f>
        <v>#N/A</v>
      </c>
      <c r="K9" s="72" t="e">
        <f>VLOOKUP($A9,summary!$A$5:$M$109,13,FALSE)</f>
        <v>#N/A</v>
      </c>
      <c r="Q9" s="3"/>
      <c r="R9" s="3"/>
    </row>
    <row r="10" spans="1:18" x14ac:dyDescent="0.2">
      <c r="A10">
        <v>27</v>
      </c>
      <c r="B10">
        <v>2</v>
      </c>
      <c r="E10" s="85" t="e">
        <f>VLOOKUP($A10,summary!$A$5:$M$109,3,FALSE)</f>
        <v>#N/A</v>
      </c>
      <c r="F10" s="71" t="e">
        <f>VLOOKUP($A10,summary!$A$5:$M$109,8,FALSE)</f>
        <v>#N/A</v>
      </c>
      <c r="G10" s="82" t="e">
        <f>VLOOKUP($B10,uncertainties!$A$16:$AX$77,21,FALSE)</f>
        <v>#N/A</v>
      </c>
      <c r="H10" s="71" t="e">
        <f>VLOOKUP($A10,summary!$A$5:$M$109,9,FALSE)</f>
        <v>#N/A</v>
      </c>
      <c r="I10" s="82" t="e">
        <f>VLOOKUP($B10,uncertainties!$A$16:$AX$77,31,FALSE)</f>
        <v>#N/A</v>
      </c>
      <c r="J10" s="71" t="e">
        <f>VLOOKUP($A10,summary!$A$5:$M$109,12,FALSE)</f>
        <v>#N/A</v>
      </c>
      <c r="K10" s="72" t="e">
        <f>VLOOKUP($A10,summary!$A$5:$M$109,13,FALSE)</f>
        <v>#N/A</v>
      </c>
      <c r="Q10" s="3"/>
      <c r="R10" s="3"/>
    </row>
    <row r="11" spans="1:18" x14ac:dyDescent="0.2">
      <c r="A11">
        <v>28</v>
      </c>
      <c r="B11">
        <v>3</v>
      </c>
      <c r="E11" s="85" t="e">
        <f>VLOOKUP($A11,summary!$A$5:$M$109,3,FALSE)</f>
        <v>#N/A</v>
      </c>
      <c r="F11" s="71" t="e">
        <f>VLOOKUP($A11,summary!$A$5:$M$109,8,FALSE)</f>
        <v>#N/A</v>
      </c>
      <c r="G11" s="82" t="e">
        <f>VLOOKUP($B11,uncertainties!$A$16:$AX$77,21,FALSE)</f>
        <v>#N/A</v>
      </c>
      <c r="H11" s="71" t="e">
        <f>VLOOKUP($A11,summary!$A$5:$M$109,9,FALSE)</f>
        <v>#N/A</v>
      </c>
      <c r="I11" s="82" t="e">
        <f>VLOOKUP($B11,uncertainties!$A$16:$AX$77,31,FALSE)</f>
        <v>#N/A</v>
      </c>
      <c r="J11" s="71" t="e">
        <f>VLOOKUP($A11,summary!$A$5:$M$109,12,FALSE)</f>
        <v>#N/A</v>
      </c>
      <c r="K11" s="72" t="e">
        <f>VLOOKUP($A11,summary!$A$5:$M$109,13,FALSE)</f>
        <v>#N/A</v>
      </c>
    </row>
    <row r="12" spans="1:18" x14ac:dyDescent="0.2">
      <c r="A12">
        <v>29</v>
      </c>
      <c r="B12">
        <v>4</v>
      </c>
      <c r="E12" s="85" t="e">
        <f>VLOOKUP($A12,summary!$A$5:$M$109,3,FALSE)</f>
        <v>#N/A</v>
      </c>
      <c r="F12" s="71" t="e">
        <f>VLOOKUP($A12,summary!$A$5:$M$109,8,FALSE)</f>
        <v>#N/A</v>
      </c>
      <c r="G12" s="82" t="e">
        <f>VLOOKUP($B12,uncertainties!$A$16:$AX$77,21,FALSE)</f>
        <v>#N/A</v>
      </c>
      <c r="H12" s="71" t="e">
        <f>VLOOKUP($A12,summary!$A$5:$M$109,9,FALSE)</f>
        <v>#N/A</v>
      </c>
      <c r="I12" s="82" t="e">
        <f>VLOOKUP($B12,uncertainties!$A$16:$AX$77,31,FALSE)</f>
        <v>#N/A</v>
      </c>
      <c r="J12" s="71" t="e">
        <f>VLOOKUP($A12,summary!$A$5:$M$109,12,FALSE)</f>
        <v>#N/A</v>
      </c>
      <c r="K12" s="72" t="e">
        <f>VLOOKUP($A12,summary!$A$5:$M$109,13,FALSE)</f>
        <v>#N/A</v>
      </c>
      <c r="Q12" s="3"/>
      <c r="R12" s="3"/>
    </row>
    <row r="13" spans="1:18" x14ac:dyDescent="0.2">
      <c r="A13">
        <v>30</v>
      </c>
      <c r="B13">
        <v>5</v>
      </c>
      <c r="E13" s="85" t="e">
        <f>VLOOKUP($A13,summary!$A$5:$M$109,3,FALSE)</f>
        <v>#N/A</v>
      </c>
      <c r="F13" s="71" t="e">
        <f>VLOOKUP($A13,summary!$A$5:$M$109,8,FALSE)</f>
        <v>#N/A</v>
      </c>
      <c r="G13" s="82" t="e">
        <f>VLOOKUP($B13,uncertainties!$A$16:$AX$77,21,FALSE)</f>
        <v>#N/A</v>
      </c>
      <c r="H13" s="71" t="e">
        <f>VLOOKUP($A13,summary!$A$5:$M$109,9,FALSE)</f>
        <v>#N/A</v>
      </c>
      <c r="I13" s="82" t="e">
        <f>VLOOKUP($B13,uncertainties!$A$16:$AX$77,31,FALSE)</f>
        <v>#N/A</v>
      </c>
      <c r="J13" s="71" t="e">
        <f>VLOOKUP($A13,summary!$A$5:$M$109,12,FALSE)</f>
        <v>#N/A</v>
      </c>
      <c r="K13" s="72" t="e">
        <f>VLOOKUP($A13,summary!$A$5:$M$109,13,FALSE)</f>
        <v>#N/A</v>
      </c>
      <c r="Q13" s="3"/>
      <c r="R13" s="3"/>
    </row>
    <row r="14" spans="1:18" x14ac:dyDescent="0.2">
      <c r="A14">
        <v>31</v>
      </c>
      <c r="B14">
        <v>6</v>
      </c>
      <c r="E14" s="85" t="e">
        <f>VLOOKUP($A14,summary!$A$5:$M$109,3,FALSE)</f>
        <v>#N/A</v>
      </c>
      <c r="F14" s="71" t="e">
        <f>VLOOKUP($A14,summary!$A$5:$M$109,8,FALSE)</f>
        <v>#N/A</v>
      </c>
      <c r="G14" s="82" t="e">
        <f>VLOOKUP($B14,uncertainties!$A$16:$AX$77,21,FALSE)</f>
        <v>#N/A</v>
      </c>
      <c r="H14" s="71" t="e">
        <f>VLOOKUP($A14,summary!$A$5:$M$109,9,FALSE)</f>
        <v>#N/A</v>
      </c>
      <c r="I14" s="82" t="e">
        <f>VLOOKUP($B14,uncertainties!$A$16:$AX$77,31,FALSE)</f>
        <v>#N/A</v>
      </c>
      <c r="J14" s="71" t="e">
        <f>VLOOKUP($A14,summary!$A$5:$M$109,12,FALSE)</f>
        <v>#N/A</v>
      </c>
      <c r="K14" s="72" t="e">
        <f>VLOOKUP($A14,summary!$A$5:$M$109,13,FALSE)</f>
        <v>#N/A</v>
      </c>
      <c r="Q14" s="3"/>
      <c r="R14" s="3"/>
    </row>
    <row r="15" spans="1:18" ht="18" customHeight="1" x14ac:dyDescent="0.2">
      <c r="E15" s="126" t="s">
        <v>388</v>
      </c>
      <c r="F15" s="83"/>
      <c r="G15" s="74"/>
      <c r="H15" s="74"/>
      <c r="I15" s="74"/>
      <c r="J15" s="74"/>
      <c r="K15" s="73"/>
    </row>
    <row r="16" spans="1:18" x14ac:dyDescent="0.2">
      <c r="A16">
        <v>104</v>
      </c>
      <c r="B16">
        <v>104</v>
      </c>
      <c r="E16" s="85" t="e">
        <f>VLOOKUP($A16,summary!$A$5:$M$109,3,FALSE)</f>
        <v>#N/A</v>
      </c>
      <c r="F16" s="71" t="e">
        <f>VLOOKUP($A16,summary!$A$5:$M$109,8,FALSE)</f>
        <v>#N/A</v>
      </c>
      <c r="G16" s="82" t="e">
        <f>VLOOKUP($B16,uncertainties!$A$16:$AX$77,21,FALSE)</f>
        <v>#N/A</v>
      </c>
      <c r="H16" s="71" t="e">
        <f>VLOOKUP($A16,summary!$A$5:$M$109,9,FALSE)</f>
        <v>#N/A</v>
      </c>
      <c r="I16" s="82" t="e">
        <f>VLOOKUP($B16,uncertainties!$A$16:$AX$77,31,FALSE)</f>
        <v>#N/A</v>
      </c>
      <c r="J16" s="71" t="e">
        <f>VLOOKUP($A16,summary!$A$5:$M$109,12,FALSE)</f>
        <v>#N/A</v>
      </c>
      <c r="K16" s="72" t="e">
        <f>VLOOKUP($A16,summary!$A$5:$M$109,13,FALSE)</f>
        <v>#N/A</v>
      </c>
      <c r="O16" s="20"/>
      <c r="P16" s="6"/>
      <c r="Q16" s="6"/>
    </row>
    <row r="17" spans="1:20" x14ac:dyDescent="0.2">
      <c r="A17">
        <v>105</v>
      </c>
      <c r="B17">
        <v>105</v>
      </c>
      <c r="E17" s="85" t="e">
        <f>VLOOKUP($A17,summary!$A$5:$M$109,3,FALSE)</f>
        <v>#N/A</v>
      </c>
      <c r="F17" s="71" t="e">
        <f>VLOOKUP($A17,summary!$A$5:$M$109,8,FALSE)</f>
        <v>#N/A</v>
      </c>
      <c r="G17" s="82" t="e">
        <f>VLOOKUP($B17,uncertainties!$A$16:$AX$77,21,FALSE)</f>
        <v>#N/A</v>
      </c>
      <c r="H17" s="71" t="e">
        <f>VLOOKUP($A17,summary!$A$5:$M$109,9,FALSE)</f>
        <v>#N/A</v>
      </c>
      <c r="I17" s="82" t="e">
        <f>VLOOKUP($B17,uncertainties!$A$16:$AX$77,31,FALSE)</f>
        <v>#N/A</v>
      </c>
      <c r="J17" s="71" t="e">
        <f>VLOOKUP($A17,summary!$A$5:$M$109,12,FALSE)</f>
        <v>#N/A</v>
      </c>
      <c r="K17" s="72" t="e">
        <f>VLOOKUP($A17,summary!$A$5:$M$109,13,FALSE)</f>
        <v>#N/A</v>
      </c>
    </row>
    <row r="18" spans="1:20" x14ac:dyDescent="0.2">
      <c r="A18">
        <v>106</v>
      </c>
      <c r="B18">
        <v>106</v>
      </c>
      <c r="E18" s="85" t="e">
        <f>VLOOKUP($A18,summary!$A$5:$M$109,3,FALSE)</f>
        <v>#N/A</v>
      </c>
      <c r="F18" s="71" t="e">
        <f>VLOOKUP($A18,summary!$A$5:$M$109,8,FALSE)</f>
        <v>#N/A</v>
      </c>
      <c r="G18" s="82" t="e">
        <f>VLOOKUP($B18,uncertainties!$A$16:$AX$77,21,FALSE)</f>
        <v>#N/A</v>
      </c>
      <c r="H18" s="71" t="e">
        <f>VLOOKUP($A18,summary!$A$5:$M$109,9,FALSE)</f>
        <v>#N/A</v>
      </c>
      <c r="I18" s="82" t="e">
        <f>VLOOKUP($B18,uncertainties!$A$16:$AX$77,31,FALSE)</f>
        <v>#N/A</v>
      </c>
      <c r="J18" s="71" t="e">
        <f>VLOOKUP($A18,summary!$A$5:$M$109,12,FALSE)</f>
        <v>#N/A</v>
      </c>
      <c r="K18" s="72" t="e">
        <f>VLOOKUP($A18,summary!$A$5:$M$109,13,FALSE)</f>
        <v>#N/A</v>
      </c>
    </row>
    <row r="19" spans="1:20" x14ac:dyDescent="0.2">
      <c r="A19">
        <v>107</v>
      </c>
      <c r="B19">
        <v>107</v>
      </c>
      <c r="E19" s="85" t="e">
        <f>VLOOKUP($A19,summary!$A$5:$M$109,3,FALSE)</f>
        <v>#N/A</v>
      </c>
      <c r="F19" s="71" t="e">
        <f>VLOOKUP($A19,summary!$A$5:$M$109,8,FALSE)</f>
        <v>#N/A</v>
      </c>
      <c r="G19" s="82" t="e">
        <f>VLOOKUP($B19,uncertainties!$A$16:$AX$77,21,FALSE)</f>
        <v>#N/A</v>
      </c>
      <c r="H19" s="71" t="e">
        <f>VLOOKUP($A19,summary!$A$5:$M$109,9,FALSE)</f>
        <v>#N/A</v>
      </c>
      <c r="I19" s="82" t="e">
        <f>VLOOKUP($B19,uncertainties!$A$16:$AX$77,31,FALSE)</f>
        <v>#N/A</v>
      </c>
      <c r="J19" s="71" t="e">
        <f>VLOOKUP($A19,summary!$A$5:$M$109,12,FALSE)</f>
        <v>#N/A</v>
      </c>
      <c r="K19" s="72" t="e">
        <f>VLOOKUP($A19,summary!$A$5:$M$109,13,FALSE)</f>
        <v>#N/A</v>
      </c>
    </row>
    <row r="20" spans="1:20" x14ac:dyDescent="0.2">
      <c r="A20">
        <v>108</v>
      </c>
      <c r="B20">
        <v>108</v>
      </c>
      <c r="E20" s="85" t="e">
        <f>VLOOKUP($A20,summary!$A$5:$M$109,3,FALSE)</f>
        <v>#N/A</v>
      </c>
      <c r="F20" s="71" t="e">
        <f>VLOOKUP($A20,summary!$A$5:$M$109,8,FALSE)</f>
        <v>#N/A</v>
      </c>
      <c r="G20" s="82" t="e">
        <f>VLOOKUP($B20,uncertainties!$A$16:$AX$77,21,FALSE)</f>
        <v>#N/A</v>
      </c>
      <c r="H20" s="71" t="e">
        <f>VLOOKUP($A20,summary!$A$5:$M$109,9,FALSE)</f>
        <v>#N/A</v>
      </c>
      <c r="I20" s="82" t="e">
        <f>VLOOKUP($B20,uncertainties!$A$16:$AX$77,31,FALSE)</f>
        <v>#N/A</v>
      </c>
      <c r="J20" s="71" t="e">
        <f>VLOOKUP($A20,summary!$A$5:$M$109,12,FALSE)</f>
        <v>#N/A</v>
      </c>
      <c r="K20" s="72" t="e">
        <f>VLOOKUP($A20,summary!$A$5:$M$109,13,FALSE)</f>
        <v>#N/A</v>
      </c>
    </row>
    <row r="21" spans="1:20" x14ac:dyDescent="0.2">
      <c r="A21">
        <v>109</v>
      </c>
      <c r="B21">
        <v>109</v>
      </c>
      <c r="E21" s="85" t="e">
        <f>VLOOKUP($A21,summary!$A$5:$M$109,3,FALSE)</f>
        <v>#N/A</v>
      </c>
      <c r="F21" s="71" t="e">
        <f>VLOOKUP($A21,summary!$A$5:$M$109,8,FALSE)</f>
        <v>#N/A</v>
      </c>
      <c r="G21" s="82" t="e">
        <f>VLOOKUP($B21,uncertainties!$A$16:$AX$77,21,FALSE)</f>
        <v>#N/A</v>
      </c>
      <c r="H21" s="71" t="e">
        <f>VLOOKUP($A21,summary!$A$5:$M$109,9,FALSE)</f>
        <v>#N/A</v>
      </c>
      <c r="I21" s="82" t="e">
        <f>VLOOKUP($B21,uncertainties!$A$16:$AX$77,31,FALSE)</f>
        <v>#N/A</v>
      </c>
      <c r="J21" s="71" t="e">
        <f>VLOOKUP($A21,summary!$A$5:$M$109,12,FALSE)</f>
        <v>#N/A</v>
      </c>
      <c r="K21" s="72" t="e">
        <f>VLOOKUP($A21,summary!$A$5:$M$109,13,FALSE)</f>
        <v>#N/A</v>
      </c>
    </row>
    <row r="22" spans="1:20" ht="18.75" customHeight="1" x14ac:dyDescent="0.2">
      <c r="E22" s="126" t="s">
        <v>389</v>
      </c>
      <c r="F22" s="74"/>
      <c r="G22" s="74"/>
      <c r="H22" s="74"/>
      <c r="I22" s="74"/>
      <c r="J22" s="74"/>
      <c r="K22" s="73"/>
      <c r="O22" t="s">
        <v>383</v>
      </c>
      <c r="P22" t="s">
        <v>384</v>
      </c>
      <c r="Q22" t="s">
        <v>385</v>
      </c>
      <c r="R22" t="s">
        <v>386</v>
      </c>
    </row>
    <row r="23" spans="1:20" x14ac:dyDescent="0.2">
      <c r="A23">
        <v>156</v>
      </c>
      <c r="B23">
        <v>156</v>
      </c>
      <c r="E23" s="85">
        <v>120</v>
      </c>
      <c r="F23" s="71" t="e">
        <f>VLOOKUP($A23,summary!$A$5:$M$109,8,FALSE)</f>
        <v>#N/A</v>
      </c>
      <c r="G23" s="82" t="e">
        <f>VLOOKUP($B23,uncertainties!$A$16:$AX$77,21,FALSE)</f>
        <v>#N/A</v>
      </c>
      <c r="H23" s="71" t="e">
        <f>VLOOKUP($A23,summary!$A$5:$M$109,9,FALSE)</f>
        <v>#N/A</v>
      </c>
      <c r="I23" s="82" t="e">
        <f>VLOOKUP($B23,uncertainties!$A$16:$AX$77,31,FALSE)</f>
        <v>#N/A</v>
      </c>
      <c r="J23" s="71" t="e">
        <f>VLOOKUP($A23,summary!$A$5:$M$109,12,FALSE)</f>
        <v>#N/A</v>
      </c>
      <c r="K23" s="72" t="e">
        <f>VLOOKUP($A23,summary!$A$5:$M$109,13,FALSE)</f>
        <v>#N/A</v>
      </c>
      <c r="O23" s="20">
        <f t="shared" ref="O23:P28" si="0">E23</f>
        <v>120</v>
      </c>
      <c r="P23" s="6" t="e">
        <f t="shared" si="0"/>
        <v>#N/A</v>
      </c>
      <c r="Q23" s="3" t="e">
        <f t="shared" ref="Q23:Q28" si="1">J23</f>
        <v>#N/A</v>
      </c>
      <c r="R23" s="3" t="e">
        <f t="shared" ref="R23:R28" si="2">G23</f>
        <v>#N/A</v>
      </c>
      <c r="S23" s="20" t="e">
        <f t="shared" ref="S23:S28" si="3">100*R23/P23</f>
        <v>#N/A</v>
      </c>
    </row>
    <row r="24" spans="1:20" x14ac:dyDescent="0.2">
      <c r="A24">
        <v>157</v>
      </c>
      <c r="B24">
        <v>157</v>
      </c>
      <c r="E24" s="85" t="e">
        <f>VLOOKUP($A24,summary!$A$5:$M$109,3,FALSE)</f>
        <v>#N/A</v>
      </c>
      <c r="F24" s="71" t="e">
        <f>VLOOKUP($A24,summary!$A$5:$M$109,8,FALSE)</f>
        <v>#N/A</v>
      </c>
      <c r="G24" s="82" t="e">
        <f>VLOOKUP($B24,uncertainties!$A$16:$AX$77,21,FALSE)</f>
        <v>#N/A</v>
      </c>
      <c r="H24" s="71" t="e">
        <f>VLOOKUP($A24,summary!$A$5:$M$109,9,FALSE)</f>
        <v>#N/A</v>
      </c>
      <c r="I24" s="82" t="e">
        <f>VLOOKUP($B24,uncertainties!$A$16:$AX$77,31,FALSE)</f>
        <v>#N/A</v>
      </c>
      <c r="J24" s="71" t="e">
        <f>VLOOKUP($A24,summary!$A$5:$M$109,12,FALSE)</f>
        <v>#N/A</v>
      </c>
      <c r="K24" s="72" t="e">
        <f>VLOOKUP($A24,summary!$A$5:$M$109,13,FALSE)</f>
        <v>#N/A</v>
      </c>
      <c r="O24" s="20" t="e">
        <f t="shared" si="0"/>
        <v>#N/A</v>
      </c>
      <c r="P24" s="6" t="e">
        <f t="shared" si="0"/>
        <v>#N/A</v>
      </c>
      <c r="Q24" s="3" t="e">
        <f t="shared" si="1"/>
        <v>#N/A</v>
      </c>
      <c r="R24" s="3" t="e">
        <f t="shared" si="2"/>
        <v>#N/A</v>
      </c>
      <c r="S24" s="20" t="e">
        <f t="shared" si="3"/>
        <v>#N/A</v>
      </c>
    </row>
    <row r="25" spans="1:20" x14ac:dyDescent="0.2">
      <c r="A25">
        <v>158</v>
      </c>
      <c r="B25">
        <v>158</v>
      </c>
      <c r="E25" s="85" t="e">
        <f>VLOOKUP($A25,summary!$A$5:$M$109,3,FALSE)</f>
        <v>#N/A</v>
      </c>
      <c r="F25" s="71" t="e">
        <f>VLOOKUP($A25,summary!$A$5:$M$109,8,FALSE)</f>
        <v>#N/A</v>
      </c>
      <c r="G25" s="82" t="e">
        <f>VLOOKUP($B25,uncertainties!$A$16:$AX$77,21,FALSE)</f>
        <v>#N/A</v>
      </c>
      <c r="H25" s="71" t="e">
        <f>VLOOKUP($A25,summary!$A$5:$M$109,9,FALSE)</f>
        <v>#N/A</v>
      </c>
      <c r="I25" s="82" t="e">
        <f>VLOOKUP($B25,uncertainties!$A$16:$AX$77,31,FALSE)</f>
        <v>#N/A</v>
      </c>
      <c r="J25" s="71" t="e">
        <f>VLOOKUP($A25,summary!$A$5:$M$109,12,FALSE)</f>
        <v>#N/A</v>
      </c>
      <c r="K25" s="72" t="e">
        <f>VLOOKUP($A25,summary!$A$5:$M$109,13,FALSE)</f>
        <v>#N/A</v>
      </c>
      <c r="O25" s="20" t="e">
        <f t="shared" si="0"/>
        <v>#N/A</v>
      </c>
      <c r="P25" s="6" t="e">
        <f t="shared" si="0"/>
        <v>#N/A</v>
      </c>
      <c r="Q25" s="3" t="e">
        <f t="shared" si="1"/>
        <v>#N/A</v>
      </c>
      <c r="R25" s="3" t="e">
        <f t="shared" si="2"/>
        <v>#N/A</v>
      </c>
      <c r="S25" s="20" t="e">
        <f t="shared" si="3"/>
        <v>#N/A</v>
      </c>
    </row>
    <row r="26" spans="1:20" x14ac:dyDescent="0.2">
      <c r="A26">
        <v>159</v>
      </c>
      <c r="B26">
        <v>159</v>
      </c>
      <c r="E26" s="85">
        <f>VLOOKUP($A26,summary!$A$5:$M$109,3,FALSE)</f>
        <v>119.92392908000001</v>
      </c>
      <c r="F26" s="71">
        <f>VLOOKUP($A26,summary!$A$5:$M$109,8,FALSE)</f>
        <v>0.1351880117726019</v>
      </c>
      <c r="G26" s="82">
        <f>VLOOKUP($B26,uncertainties!$A$16:$AX$77,21,FALSE)</f>
        <v>2.5852230269718425E-2</v>
      </c>
      <c r="H26" s="71">
        <f>VLOOKUP($A26,summary!$A$5:$M$109,9,FALSE)</f>
        <v>8.4429064204047777E-2</v>
      </c>
      <c r="I26" s="82">
        <f>VLOOKUP($B26,uncertainties!$A$16:$AX$77,31,FALSE)</f>
        <v>1.7940091386283434E-2</v>
      </c>
      <c r="J26" s="71">
        <f>VLOOKUP($A26,summary!$A$5:$M$109,12,FALSE)</f>
        <v>-2.8284705733240822E-3</v>
      </c>
      <c r="K26" s="72">
        <f>VLOOKUP($A26,summary!$A$5:$M$109,13,FALSE)</f>
        <v>7.6073254519321704E-3</v>
      </c>
      <c r="O26" s="20">
        <f t="shared" si="0"/>
        <v>119.92392908000001</v>
      </c>
      <c r="P26" s="6">
        <f t="shared" si="0"/>
        <v>0.1351880117726019</v>
      </c>
      <c r="Q26" s="3">
        <f t="shared" si="1"/>
        <v>-2.8284705733240822E-3</v>
      </c>
      <c r="R26" s="3">
        <f t="shared" si="2"/>
        <v>2.5852230269718425E-2</v>
      </c>
      <c r="S26" s="20">
        <f t="shared" si="3"/>
        <v>19.123167750409813</v>
      </c>
    </row>
    <row r="27" spans="1:20" x14ac:dyDescent="0.2">
      <c r="A27">
        <v>160</v>
      </c>
      <c r="B27">
        <v>160</v>
      </c>
      <c r="E27" s="85">
        <f>VLOOKUP($A27,summary!$A$5:$M$109,3,FALSE)</f>
        <v>100.09320314000001</v>
      </c>
      <c r="F27" s="71">
        <f>VLOOKUP($A27,summary!$A$5:$M$109,8,FALSE)</f>
        <v>0.1503019718467504</v>
      </c>
      <c r="G27" s="82">
        <f>VLOOKUP($B27,uncertainties!$A$16:$AX$77,21,FALSE)</f>
        <v>2.6279044994077291E-2</v>
      </c>
      <c r="H27" s="71">
        <f>VLOOKUP($A27,summary!$A$5:$M$109,9,FALSE)</f>
        <v>8.3871606677233645E-2</v>
      </c>
      <c r="I27" s="82">
        <f>VLOOKUP($B27,uncertainties!$A$16:$AX$77,31,FALSE)</f>
        <v>1.7827168476466308E-2</v>
      </c>
      <c r="J27" s="71">
        <f>VLOOKUP($A27,summary!$A$5:$M$109,12,FALSE)</f>
        <v>-4.1125932687116062E-3</v>
      </c>
      <c r="K27" s="72">
        <f>VLOOKUP($A27,summary!$A$5:$M$109,13,FALSE)</f>
        <v>8.769453982085243E-3</v>
      </c>
      <c r="O27" s="20">
        <f t="shared" si="0"/>
        <v>100.09320314000001</v>
      </c>
      <c r="P27" s="6">
        <f t="shared" si="0"/>
        <v>0.1503019718467504</v>
      </c>
      <c r="Q27" s="3">
        <f t="shared" si="1"/>
        <v>-4.1125932687116062E-3</v>
      </c>
      <c r="R27" s="3">
        <f t="shared" si="2"/>
        <v>2.6279044994077291E-2</v>
      </c>
      <c r="S27" s="20">
        <f t="shared" si="3"/>
        <v>17.484165158439641</v>
      </c>
    </row>
    <row r="28" spans="1:20" x14ac:dyDescent="0.2">
      <c r="A28">
        <v>161</v>
      </c>
      <c r="B28">
        <v>161</v>
      </c>
      <c r="E28" s="85">
        <f>VLOOKUP($A28,summary!$A$5:$M$109,3,FALSE)</f>
        <v>60.035549210000006</v>
      </c>
      <c r="F28" s="71">
        <f>VLOOKUP($A28,summary!$A$5:$M$109,8,FALSE)</f>
        <v>0.2025501789952302</v>
      </c>
      <c r="G28" s="82">
        <f>VLOOKUP($B28,uncertainties!$A$16:$AX$77,21,FALSE)</f>
        <v>2.8357630696622595E-2</v>
      </c>
      <c r="H28" s="71">
        <f>VLOOKUP($A28,summary!$A$5:$M$109,9,FALSE)</f>
        <v>6.3994896945218094E-2</v>
      </c>
      <c r="I28" s="82">
        <f>VLOOKUP($B28,uncertainties!$A$16:$AX$77,31,FALSE)</f>
        <v>1.7624361396986383E-2</v>
      </c>
      <c r="J28" s="71">
        <f>VLOOKUP($A28,summary!$A$5:$M$109,12,FALSE)</f>
        <v>3.1199705344872042E-3</v>
      </c>
      <c r="K28" s="72">
        <f>VLOOKUP($A28,summary!$A$5:$M$109,13,FALSE)</f>
        <v>-2.0745404495301073E-3</v>
      </c>
      <c r="O28" s="20">
        <f t="shared" si="0"/>
        <v>60.035549210000006</v>
      </c>
      <c r="P28" s="6">
        <f t="shared" si="0"/>
        <v>0.2025501789952302</v>
      </c>
      <c r="Q28" s="3">
        <f t="shared" si="1"/>
        <v>3.1199705344872042E-3</v>
      </c>
      <c r="R28" s="3">
        <f t="shared" si="2"/>
        <v>2.8357630696622595E-2</v>
      </c>
      <c r="S28" s="20">
        <f t="shared" si="3"/>
        <v>14.000299006050437</v>
      </c>
    </row>
    <row r="29" spans="1:20" ht="20.45" customHeight="1" x14ac:dyDescent="0.2">
      <c r="E29" s="126" t="s">
        <v>390</v>
      </c>
      <c r="F29" s="76"/>
      <c r="G29" s="76"/>
      <c r="H29" s="76"/>
      <c r="I29" s="76"/>
      <c r="J29" s="76"/>
      <c r="K29" s="75"/>
    </row>
    <row r="30" spans="1:20" x14ac:dyDescent="0.2">
      <c r="E30" s="85" t="e">
        <f>VLOOKUP($A30,summary!$A$5:$M$109,3,FALSE)</f>
        <v>#N/A</v>
      </c>
      <c r="F30" s="71" t="e">
        <f>VLOOKUP($A30,summary!$A$5:$M$109,8,FALSE)</f>
        <v>#N/A</v>
      </c>
      <c r="G30" s="82" t="e">
        <f>VLOOKUP($B30,uncertainties!$A$16:$AX$77,21,FALSE)</f>
        <v>#N/A</v>
      </c>
      <c r="H30" s="71" t="e">
        <f>VLOOKUP($A30,summary!$A$5:$M$109,9,FALSE)</f>
        <v>#N/A</v>
      </c>
      <c r="I30" s="82" t="e">
        <f>VLOOKUP($B30,uncertainties!$A$16:$AX$77,31,FALSE)</f>
        <v>#N/A</v>
      </c>
      <c r="J30" s="71" t="e">
        <f>VLOOKUP($A30,summary!$A$5:$M$109,12,FALSE)</f>
        <v>#N/A</v>
      </c>
      <c r="K30" s="72" t="e">
        <f>VLOOKUP($A30,summary!$A$5:$M$109,13,FALSE)</f>
        <v>#N/A</v>
      </c>
      <c r="N30" s="3" t="e">
        <f t="shared" ref="N30:N35" si="4">I23</f>
        <v>#N/A</v>
      </c>
      <c r="O30" s="20">
        <f t="shared" ref="O30:O35" si="5">O23</f>
        <v>120</v>
      </c>
      <c r="P30" s="6" t="e">
        <f t="shared" ref="P30:P35" si="6">H23</f>
        <v>#N/A</v>
      </c>
      <c r="Q30" s="6" t="e">
        <f t="shared" ref="Q30:Q35" si="7">K23</f>
        <v>#N/A</v>
      </c>
      <c r="R30" s="3" t="e">
        <f>P30</f>
        <v>#N/A</v>
      </c>
      <c r="S30" s="20"/>
    </row>
    <row r="31" spans="1:20" x14ac:dyDescent="0.2">
      <c r="A31">
        <v>228</v>
      </c>
      <c r="B31">
        <v>243</v>
      </c>
      <c r="E31" s="85">
        <f>VLOOKUP($A31,summary!$A$5:$M$109,3,FALSE)</f>
        <v>39.994777622000001</v>
      </c>
      <c r="F31" s="71">
        <f>VLOOKUP($A31,summary!$A$5:$M$109,8,FALSE)</f>
        <v>-2.2641724138600196E-2</v>
      </c>
      <c r="G31" s="82">
        <f>VLOOKUP($B31,uncertainties!$A$16:$AX$77,21,FALSE)</f>
        <v>5.3819978895484025E-2</v>
      </c>
      <c r="H31" s="71">
        <f>VLOOKUP($A31,summary!$A$5:$M$109,9,FALSE)</f>
        <v>3.3655722228551127E-3</v>
      </c>
      <c r="I31" s="82">
        <f>VLOOKUP($B31,uncertainties!$A$16:$AX$77,31,FALSE)</f>
        <v>3.1146236409978659E-2</v>
      </c>
      <c r="J31" s="71">
        <f>VLOOKUP($A31,summary!$A$5:$M$109,12,FALSE)</f>
        <v>-0.31483453450359622</v>
      </c>
      <c r="K31" s="72">
        <f>VLOOKUP($A31,summary!$A$5:$M$109,13,FALSE)</f>
        <v>-9.6576725409574002E-2</v>
      </c>
      <c r="N31" s="3" t="e">
        <f t="shared" si="4"/>
        <v>#N/A</v>
      </c>
      <c r="O31" s="20" t="e">
        <f t="shared" si="5"/>
        <v>#N/A</v>
      </c>
      <c r="P31" s="6" t="e">
        <f t="shared" si="6"/>
        <v>#N/A</v>
      </c>
      <c r="Q31" s="6" t="e">
        <f t="shared" si="7"/>
        <v>#N/A</v>
      </c>
      <c r="R31" s="3"/>
      <c r="S31" s="3" t="e">
        <f>P31</f>
        <v>#N/A</v>
      </c>
    </row>
    <row r="32" spans="1:20" x14ac:dyDescent="0.2">
      <c r="A32">
        <v>229</v>
      </c>
      <c r="B32">
        <v>244</v>
      </c>
      <c r="E32" s="85">
        <f>VLOOKUP($A32,summary!$A$5:$M$109,3,FALSE)</f>
        <v>20.065449086000001</v>
      </c>
      <c r="F32" s="71">
        <f>VLOOKUP($A32,summary!$A$5:$M$109,8,FALSE)</f>
        <v>1.3675507374786754E-2</v>
      </c>
      <c r="G32" s="82">
        <f>VLOOKUP($B32,uncertainties!$A$16:$AX$77,21,FALSE)</f>
        <v>6.6847773537888497E-2</v>
      </c>
      <c r="H32" s="71">
        <f>VLOOKUP($A32,summary!$A$5:$M$109,9,FALSE)</f>
        <v>-2.3310098395082544E-2</v>
      </c>
      <c r="I32" s="82">
        <f>VLOOKUP($B32,uncertainties!$A$16:$AX$77,31,FALSE)</f>
        <v>4.9705416772177879E-2</v>
      </c>
      <c r="J32" s="71">
        <f>VLOOKUP($A32,summary!$A$5:$M$109,12,FALSE)</f>
        <v>-0.33144672368279826</v>
      </c>
      <c r="K32" s="72">
        <f>VLOOKUP($A32,summary!$A$5:$M$109,13,FALSE)</f>
        <v>-0.11352718744078025</v>
      </c>
      <c r="N32" s="3" t="e">
        <f t="shared" si="4"/>
        <v>#N/A</v>
      </c>
      <c r="O32" s="20" t="e">
        <f t="shared" si="5"/>
        <v>#N/A</v>
      </c>
      <c r="P32" s="6" t="e">
        <f t="shared" si="6"/>
        <v>#N/A</v>
      </c>
      <c r="Q32" s="6" t="e">
        <f t="shared" si="7"/>
        <v>#N/A</v>
      </c>
      <c r="R32" s="3"/>
      <c r="S32" s="20"/>
      <c r="T32" s="3" t="e">
        <f>P32</f>
        <v>#N/A</v>
      </c>
    </row>
    <row r="33" spans="1:23" x14ac:dyDescent="0.2">
      <c r="A33">
        <v>230</v>
      </c>
      <c r="B33">
        <v>245</v>
      </c>
      <c r="E33" s="85">
        <f>VLOOKUP($A33,summary!$A$5:$M$109,3,FALSE)</f>
        <v>10.04010508</v>
      </c>
      <c r="F33" s="71">
        <f>VLOOKUP($A33,summary!$A$5:$M$109,8,FALSE)</f>
        <v>4.065818114307692E-2</v>
      </c>
      <c r="G33" s="82" t="e">
        <f>VLOOKUP($B33,uncertainties!$A$16:$AX$77,21,FALSE)</f>
        <v>#N/A</v>
      </c>
      <c r="H33" s="71">
        <f>VLOOKUP($A33,summary!$A$5:$M$109,9,FALSE)</f>
        <v>-3.461801728400541E-2</v>
      </c>
      <c r="I33" s="82" t="e">
        <f>VLOOKUP($B33,uncertainties!$A$16:$AX$77,31,FALSE)</f>
        <v>#N/A</v>
      </c>
      <c r="J33" s="71">
        <f>VLOOKUP($A33,summary!$A$5:$M$109,12,FALSE)</f>
        <v>-0.33653544541028207</v>
      </c>
      <c r="K33" s="72">
        <f>VLOOKUP($A33,summary!$A$5:$M$109,13,FALSE)</f>
        <v>-0.12083304831209762</v>
      </c>
      <c r="N33" s="3">
        <f t="shared" si="4"/>
        <v>1.7940091386283434E-2</v>
      </c>
      <c r="O33" s="20">
        <f t="shared" si="5"/>
        <v>119.92392908000001</v>
      </c>
      <c r="P33" s="6">
        <f t="shared" si="6"/>
        <v>8.4429064204047777E-2</v>
      </c>
      <c r="Q33" s="6">
        <f t="shared" si="7"/>
        <v>7.6073254519321704E-3</v>
      </c>
      <c r="R33" s="3"/>
      <c r="S33" s="20"/>
      <c r="U33" s="3">
        <f>P33</f>
        <v>8.4429064204047777E-2</v>
      </c>
    </row>
    <row r="34" spans="1:23" x14ac:dyDescent="0.2">
      <c r="A34">
        <v>231</v>
      </c>
      <c r="B34">
        <v>246</v>
      </c>
      <c r="E34" s="85">
        <f>VLOOKUP($A34,summary!$A$5:$M$109,3,FALSE)</f>
        <v>5.0360189100000001</v>
      </c>
      <c r="F34" s="71">
        <f>VLOOKUP($A34,summary!$A$5:$M$109,8,FALSE)</f>
        <v>5.3843761277378742E-2</v>
      </c>
      <c r="G34" s="82" t="e">
        <f>VLOOKUP($B34,uncertainties!$A$16:$AX$77,21,FALSE)</f>
        <v>#N/A</v>
      </c>
      <c r="H34" s="71">
        <f>VLOOKUP($A34,summary!$A$5:$M$109,9,FALSE)</f>
        <v>-1.5906875863885818E-2</v>
      </c>
      <c r="I34" s="82" t="e">
        <f>VLOOKUP($B34,uncertainties!$A$16:$AX$77,31,FALSE)</f>
        <v>#N/A</v>
      </c>
      <c r="J34" s="71">
        <f>VLOOKUP($A34,summary!$A$5:$M$109,12,FALSE)</f>
        <v>-0.34267255360985871</v>
      </c>
      <c r="K34" s="72">
        <f>VLOOKUP($A34,summary!$A$5:$M$109,13,FALSE)</f>
        <v>-8.1134440445005535E-2</v>
      </c>
      <c r="N34" s="3">
        <f t="shared" si="4"/>
        <v>1.7827168476466308E-2</v>
      </c>
      <c r="O34" s="20">
        <f t="shared" si="5"/>
        <v>100.09320314000001</v>
      </c>
      <c r="P34" s="6">
        <f t="shared" si="6"/>
        <v>8.3871606677233645E-2</v>
      </c>
      <c r="Q34" s="6">
        <f t="shared" si="7"/>
        <v>8.769453982085243E-3</v>
      </c>
      <c r="R34" s="3"/>
      <c r="S34" s="20"/>
      <c r="V34" s="3">
        <f>P34</f>
        <v>8.3871606677233645E-2</v>
      </c>
    </row>
    <row r="35" spans="1:23" x14ac:dyDescent="0.2">
      <c r="A35">
        <v>232</v>
      </c>
      <c r="B35">
        <v>247</v>
      </c>
      <c r="E35" s="85" t="e">
        <f>VLOOKUP($A35,summary!$A$5:$M$109,3,FALSE)</f>
        <v>#N/A</v>
      </c>
      <c r="F35" s="71" t="e">
        <f>VLOOKUP($A35,summary!$A$5:$M$109,8,FALSE)</f>
        <v>#N/A</v>
      </c>
      <c r="G35" s="82" t="e">
        <f>VLOOKUP($B35,uncertainties!$A$16:$AX$77,21,FALSE)</f>
        <v>#N/A</v>
      </c>
      <c r="H35" s="71" t="e">
        <f>VLOOKUP($A35,summary!$A$5:$M$109,9,FALSE)</f>
        <v>#N/A</v>
      </c>
      <c r="I35" s="82" t="e">
        <f>VLOOKUP($B35,uncertainties!$A$16:$AX$77,31,FALSE)</f>
        <v>#N/A</v>
      </c>
      <c r="J35" s="71" t="e">
        <f>VLOOKUP($A35,summary!$A$5:$M$109,12,FALSE)</f>
        <v>#N/A</v>
      </c>
      <c r="K35" s="72" t="e">
        <f>VLOOKUP($A35,summary!$A$5:$M$109,13,FALSE)</f>
        <v>#N/A</v>
      </c>
      <c r="N35" s="3">
        <f t="shared" si="4"/>
        <v>1.7624361396986383E-2</v>
      </c>
      <c r="O35" s="20">
        <f t="shared" si="5"/>
        <v>60.035549210000006</v>
      </c>
      <c r="P35" s="6">
        <f t="shared" si="6"/>
        <v>6.3994896945218094E-2</v>
      </c>
      <c r="Q35" s="6">
        <f t="shared" si="7"/>
        <v>-2.0745404495301073E-3</v>
      </c>
      <c r="R35" s="3"/>
      <c r="S35" s="20"/>
      <c r="W35" s="3">
        <f>P35</f>
        <v>6.3994896945218094E-2</v>
      </c>
    </row>
    <row r="36" spans="1:23" ht="19.899999999999999" customHeight="1" x14ac:dyDescent="0.2">
      <c r="E36" s="126" t="s">
        <v>391</v>
      </c>
      <c r="F36" s="76"/>
      <c r="G36" s="76"/>
      <c r="H36" s="76"/>
      <c r="I36" s="76"/>
      <c r="J36" s="76"/>
      <c r="K36" s="75"/>
    </row>
    <row r="37" spans="1:23" x14ac:dyDescent="0.2">
      <c r="A37">
        <v>228</v>
      </c>
      <c r="B37">
        <v>243</v>
      </c>
      <c r="E37" s="85">
        <f>VLOOKUP($A37,summary!$A$5:$M$109,3,FALSE)</f>
        <v>39.994777622000001</v>
      </c>
      <c r="F37" s="71">
        <f>VLOOKUP($A37,summary!$A$5:$M$109,8,FALSE)</f>
        <v>-2.2641724138600196E-2</v>
      </c>
      <c r="G37" s="82">
        <f>VLOOKUP($B37,uncertainties!$A$16:$AX$77,21,FALSE)</f>
        <v>5.3819978895484025E-2</v>
      </c>
      <c r="H37" s="71">
        <f>VLOOKUP($A37,summary!$A$5:$M$109,9,FALSE)</f>
        <v>3.3655722228551127E-3</v>
      </c>
      <c r="I37" s="82">
        <f>VLOOKUP($B37,uncertainties!$A$16:$AX$77,31,FALSE)</f>
        <v>3.1146236409978659E-2</v>
      </c>
      <c r="J37" s="71">
        <f>VLOOKUP($A37,summary!$A$5:$M$109,12,FALSE)</f>
        <v>-0.31483453450359622</v>
      </c>
      <c r="K37" s="72">
        <f>VLOOKUP($A37,summary!$A$5:$M$109,13,FALSE)</f>
        <v>-9.6576725409574002E-2</v>
      </c>
      <c r="N37" s="2">
        <f>100*G37/P37</f>
        <v>-237.70265270448346</v>
      </c>
      <c r="O37" s="20">
        <f t="shared" ref="O37:P41" si="8">E37</f>
        <v>39.994777622000001</v>
      </c>
      <c r="P37" s="6">
        <f t="shared" si="8"/>
        <v>-2.2641724138600196E-2</v>
      </c>
      <c r="Q37" s="6">
        <f>J37</f>
        <v>-0.31483453450359622</v>
      </c>
    </row>
    <row r="38" spans="1:23" x14ac:dyDescent="0.2">
      <c r="A38">
        <v>229</v>
      </c>
      <c r="B38">
        <v>244</v>
      </c>
      <c r="E38" s="85">
        <f>VLOOKUP($A38,summary!$A$5:$M$109,3,FALSE)</f>
        <v>20.065449086000001</v>
      </c>
      <c r="F38" s="71">
        <f>VLOOKUP($A38,summary!$A$5:$M$109,8,FALSE)</f>
        <v>1.3675507374786754E-2</v>
      </c>
      <c r="G38" s="82">
        <f>VLOOKUP($B38,uncertainties!$A$16:$AX$77,21,FALSE)</f>
        <v>6.6847773537888497E-2</v>
      </c>
      <c r="H38" s="71">
        <f>VLOOKUP($A38,summary!$A$5:$M$109,9,FALSE)</f>
        <v>-2.3310098395082544E-2</v>
      </c>
      <c r="I38" s="82">
        <f>VLOOKUP($B38,uncertainties!$A$16:$AX$77,31,FALSE)</f>
        <v>4.9705416772177879E-2</v>
      </c>
      <c r="J38" s="71">
        <f>VLOOKUP($A38,summary!$A$5:$M$109,12,FALSE)</f>
        <v>-0.33144672368279826</v>
      </c>
      <c r="K38" s="72">
        <f>VLOOKUP($A38,summary!$A$5:$M$109,13,FALSE)</f>
        <v>-0.11352718744078025</v>
      </c>
      <c r="N38" s="2">
        <f>100*G38/P38</f>
        <v>488.81384584775503</v>
      </c>
      <c r="O38" s="20">
        <f t="shared" si="8"/>
        <v>20.065449086000001</v>
      </c>
      <c r="P38" s="6">
        <f t="shared" si="8"/>
        <v>1.3675507374786754E-2</v>
      </c>
      <c r="Q38" s="6">
        <f>J38</f>
        <v>-0.33144672368279826</v>
      </c>
    </row>
    <row r="39" spans="1:23" x14ac:dyDescent="0.2">
      <c r="A39">
        <v>230</v>
      </c>
      <c r="B39">
        <v>245</v>
      </c>
      <c r="E39" s="85">
        <f>VLOOKUP($A39,summary!$A$5:$M$109,3,FALSE)</f>
        <v>10.04010508</v>
      </c>
      <c r="F39" s="71">
        <f>VLOOKUP($A39,summary!$A$5:$M$109,8,FALSE)</f>
        <v>4.065818114307692E-2</v>
      </c>
      <c r="G39" s="82" t="e">
        <f>VLOOKUP($B39,uncertainties!$A$16:$AX$77,21,FALSE)</f>
        <v>#N/A</v>
      </c>
      <c r="H39" s="71">
        <f>VLOOKUP($A39,summary!$A$5:$M$109,9,FALSE)</f>
        <v>-3.461801728400541E-2</v>
      </c>
      <c r="I39" s="82" t="e">
        <f>VLOOKUP($B39,uncertainties!$A$16:$AX$77,31,FALSE)</f>
        <v>#N/A</v>
      </c>
      <c r="J39" s="71">
        <f>VLOOKUP($A39,summary!$A$5:$M$109,12,FALSE)</f>
        <v>-0.33653544541028207</v>
      </c>
      <c r="K39" s="72">
        <f>VLOOKUP($A39,summary!$A$5:$M$109,13,FALSE)</f>
        <v>-0.12083304831209762</v>
      </c>
      <c r="N39" s="2" t="e">
        <f>100*G39/P39</f>
        <v>#N/A</v>
      </c>
      <c r="O39" s="20">
        <f t="shared" si="8"/>
        <v>10.04010508</v>
      </c>
      <c r="P39" s="6">
        <f t="shared" si="8"/>
        <v>4.065818114307692E-2</v>
      </c>
      <c r="Q39" s="6">
        <f>J39</f>
        <v>-0.33653544541028207</v>
      </c>
    </row>
    <row r="40" spans="1:23" x14ac:dyDescent="0.2">
      <c r="A40">
        <v>231</v>
      </c>
      <c r="B40">
        <v>246</v>
      </c>
      <c r="E40" s="85">
        <f>VLOOKUP($A40,summary!$A$5:$M$109,3,FALSE)</f>
        <v>5.0360189100000001</v>
      </c>
      <c r="F40" s="71">
        <f>VLOOKUP($A40,summary!$A$5:$M$109,8,FALSE)</f>
        <v>5.3843761277378742E-2</v>
      </c>
      <c r="G40" s="82" t="e">
        <f>VLOOKUP($B40,uncertainties!$A$16:$AX$77,21,FALSE)</f>
        <v>#N/A</v>
      </c>
      <c r="H40" s="71">
        <f>VLOOKUP($A40,summary!$A$5:$M$109,9,FALSE)</f>
        <v>-1.5906875863885818E-2</v>
      </c>
      <c r="I40" s="82" t="e">
        <f>VLOOKUP($B40,uncertainties!$A$16:$AX$77,31,FALSE)</f>
        <v>#N/A</v>
      </c>
      <c r="J40" s="71">
        <f>VLOOKUP($A40,summary!$A$5:$M$109,12,FALSE)</f>
        <v>-0.34267255360985871</v>
      </c>
      <c r="K40" s="72">
        <f>VLOOKUP($A40,summary!$A$5:$M$109,13,FALSE)</f>
        <v>-8.1134440445005535E-2</v>
      </c>
      <c r="N40" s="2" t="e">
        <f>100*G40/P40</f>
        <v>#N/A</v>
      </c>
      <c r="O40" s="20">
        <f t="shared" si="8"/>
        <v>5.0360189100000001</v>
      </c>
      <c r="P40" s="6">
        <f t="shared" si="8"/>
        <v>5.3843761277378742E-2</v>
      </c>
      <c r="Q40" s="6">
        <f>J40</f>
        <v>-0.34267255360985871</v>
      </c>
    </row>
    <row r="41" spans="1:23" x14ac:dyDescent="0.2">
      <c r="A41">
        <v>232</v>
      </c>
      <c r="B41">
        <v>247</v>
      </c>
      <c r="E41" s="85" t="e">
        <f>VLOOKUP($A41,summary!$A$5:$M$109,3,FALSE)</f>
        <v>#N/A</v>
      </c>
      <c r="F41" s="71" t="e">
        <f>VLOOKUP($A41,summary!$A$5:$M$109,8,FALSE)</f>
        <v>#N/A</v>
      </c>
      <c r="G41" s="82" t="e">
        <f>VLOOKUP($B41,uncertainties!$A$16:$AX$77,21,FALSE)</f>
        <v>#N/A</v>
      </c>
      <c r="H41" s="71" t="e">
        <f>VLOOKUP($A41,summary!$A$5:$M$109,9,FALSE)</f>
        <v>#N/A</v>
      </c>
      <c r="I41" s="82" t="e">
        <f>VLOOKUP($B41,uncertainties!$A$16:$AX$77,31,FALSE)</f>
        <v>#N/A</v>
      </c>
      <c r="J41" s="71" t="e">
        <f>VLOOKUP($A41,summary!$A$5:$M$109,12,FALSE)</f>
        <v>#N/A</v>
      </c>
      <c r="K41" s="72" t="e">
        <f>VLOOKUP($A41,summary!$A$5:$M$109,13,FALSE)</f>
        <v>#N/A</v>
      </c>
      <c r="N41" s="2" t="e">
        <f>100*G41/P41</f>
        <v>#N/A</v>
      </c>
      <c r="O41" s="20" t="e">
        <f t="shared" si="8"/>
        <v>#N/A</v>
      </c>
      <c r="P41" s="6" t="e">
        <f t="shared" si="8"/>
        <v>#N/A</v>
      </c>
      <c r="Q41" s="6" t="e">
        <f>J41</f>
        <v>#N/A</v>
      </c>
    </row>
    <row r="42" spans="1:23" x14ac:dyDescent="0.2">
      <c r="E42" s="77"/>
      <c r="F42" s="78"/>
      <c r="G42" s="78"/>
      <c r="H42" s="78"/>
      <c r="I42" s="78"/>
      <c r="J42" s="78"/>
      <c r="K42" s="79"/>
      <c r="O42" s="20"/>
      <c r="P42" s="6"/>
    </row>
    <row r="44" spans="1:23" x14ac:dyDescent="0.2">
      <c r="N44" s="5" t="s">
        <v>341</v>
      </c>
    </row>
    <row r="45" spans="1:23" ht="23.45" customHeight="1" x14ac:dyDescent="0.25">
      <c r="N45" s="5" t="s">
        <v>368</v>
      </c>
    </row>
    <row r="46" spans="1:23" x14ac:dyDescent="0.2">
      <c r="N46" s="5" t="s">
        <v>381</v>
      </c>
      <c r="O46" s="3"/>
      <c r="P46" s="3"/>
    </row>
    <row r="47" spans="1:23" ht="49.35" customHeight="1" x14ac:dyDescent="0.2">
      <c r="N47" s="122" t="s">
        <v>403</v>
      </c>
      <c r="O47" s="116" t="s">
        <v>419</v>
      </c>
      <c r="P47" s="117" t="s">
        <v>405</v>
      </c>
    </row>
    <row r="48" spans="1:23" ht="16.149999999999999" customHeight="1" x14ac:dyDescent="0.2">
      <c r="N48" s="120" t="s">
        <v>395</v>
      </c>
      <c r="O48" s="114">
        <f>uncertainties!M31</f>
        <v>7.1530929344832631E-4</v>
      </c>
      <c r="P48" s="115">
        <f>uncertainties!V31</f>
        <v>6.4390924388795813E-4</v>
      </c>
    </row>
    <row r="49" spans="14:23" ht="16.149999999999999" customHeight="1" x14ac:dyDescent="0.2">
      <c r="N49" s="121" t="s">
        <v>367</v>
      </c>
      <c r="O49" s="114">
        <f>uncertainties!O30</f>
        <v>1.6578916996768757E-2</v>
      </c>
      <c r="P49" s="115">
        <f>uncertainties!X30</f>
        <v>9.8744979504769414E-3</v>
      </c>
      <c r="S49" s="3">
        <f>I37</f>
        <v>3.1146236409978659E-2</v>
      </c>
      <c r="T49" s="20">
        <f>E37</f>
        <v>39.994777622000001</v>
      </c>
      <c r="U49" s="3">
        <f>H37</f>
        <v>3.3655722228551127E-3</v>
      </c>
      <c r="V49" s="6">
        <f>K37</f>
        <v>-9.6576725409574002E-2</v>
      </c>
    </row>
    <row r="50" spans="14:23" ht="16.149999999999999" customHeight="1" x14ac:dyDescent="0.2">
      <c r="N50" s="121" t="s">
        <v>369</v>
      </c>
      <c r="O50" s="114">
        <f>SQRT(SUMSQ(uncertainties!P30,uncertainties!Q30))</f>
        <v>2.0278201765890282E-3</v>
      </c>
      <c r="P50" s="115">
        <f>uncertainties!Y30</f>
        <v>1.2664359630607167E-3</v>
      </c>
      <c r="S50" s="3">
        <f>I38</f>
        <v>4.9705416772177879E-2</v>
      </c>
      <c r="T50" s="20">
        <f>E38</f>
        <v>20.065449086000001</v>
      </c>
      <c r="U50" s="3">
        <f>H38</f>
        <v>-2.3310098395082544E-2</v>
      </c>
      <c r="V50" s="6">
        <f>K38</f>
        <v>-0.11352718744078025</v>
      </c>
    </row>
    <row r="51" spans="14:23" ht="16.149999999999999" customHeight="1" x14ac:dyDescent="0.2">
      <c r="N51" s="120" t="s">
        <v>392</v>
      </c>
      <c r="O51" s="114">
        <f>ABS(uncertainties!R30)</f>
        <v>1.0150895934617763E-4</v>
      </c>
      <c r="P51" s="115">
        <v>1.4E-3</v>
      </c>
      <c r="S51" s="3" t="e">
        <f>I39</f>
        <v>#N/A</v>
      </c>
      <c r="T51" s="20">
        <f>E39</f>
        <v>10.04010508</v>
      </c>
      <c r="U51" s="3">
        <f>H39</f>
        <v>-3.461801728400541E-2</v>
      </c>
      <c r="V51" s="6">
        <f>K39</f>
        <v>-0.12083304831209762</v>
      </c>
    </row>
    <row r="52" spans="14:23" ht="16.149999999999999" customHeight="1" x14ac:dyDescent="0.2">
      <c r="N52" s="120" t="s">
        <v>393</v>
      </c>
      <c r="O52" s="114">
        <v>0</v>
      </c>
      <c r="P52" s="115">
        <f>ABS(uncertainties!AB30)</f>
        <v>6.6000000000000008E-3</v>
      </c>
      <c r="S52" s="3" t="e">
        <f>I40</f>
        <v>#N/A</v>
      </c>
      <c r="T52" s="20">
        <f>E40</f>
        <v>5.0360189100000001</v>
      </c>
      <c r="U52" s="3">
        <f>H40</f>
        <v>-1.5906875863885818E-2</v>
      </c>
      <c r="V52" s="6">
        <f>K40</f>
        <v>-8.1134440445005535E-2</v>
      </c>
    </row>
    <row r="53" spans="14:23" ht="16.149999999999999" customHeight="1" x14ac:dyDescent="0.2">
      <c r="N53" s="121" t="s">
        <v>382</v>
      </c>
      <c r="O53" s="114">
        <f>uncertainties!S30</f>
        <v>5.5419636694445844E-3</v>
      </c>
      <c r="P53" s="115">
        <f>uncertainties!AC30</f>
        <v>3.4611264736335544E-3</v>
      </c>
      <c r="S53" s="3" t="e">
        <f>I41</f>
        <v>#N/A</v>
      </c>
      <c r="T53" s="20" t="e">
        <f>E41</f>
        <v>#N/A</v>
      </c>
      <c r="U53" s="3" t="e">
        <f>H41</f>
        <v>#N/A</v>
      </c>
      <c r="V53" s="6" t="e">
        <f>K41</f>
        <v>#N/A</v>
      </c>
      <c r="W53">
        <v>0.32900000000000001</v>
      </c>
    </row>
    <row r="54" spans="14:23" ht="16.149999999999999" customHeight="1" x14ac:dyDescent="0.2">
      <c r="N54" s="121" t="s">
        <v>396</v>
      </c>
      <c r="O54" s="114">
        <f>uncertainties!U19</f>
        <v>1.8935157502670767E-2</v>
      </c>
      <c r="P54" s="115">
        <f>uncertainties!AE19</f>
        <v>1.2908377373303465E-2</v>
      </c>
      <c r="S54" s="3"/>
      <c r="T54" s="20"/>
      <c r="U54" s="3"/>
      <c r="V54" s="6"/>
    </row>
    <row r="55" spans="14:23" ht="19.899999999999999" customHeight="1" x14ac:dyDescent="0.2">
      <c r="N55" s="112" t="s">
        <v>394</v>
      </c>
      <c r="O55" s="90">
        <f>SQRT(SUMSQ(O48:O54))</f>
        <v>2.5860163686118529E-2</v>
      </c>
      <c r="P55" s="91">
        <f>SQRT(SUMSQ(P48:P54))</f>
        <v>1.7990269364714113E-2</v>
      </c>
    </row>
    <row r="56" spans="14:23" x14ac:dyDescent="0.2">
      <c r="N56" s="132" t="s">
        <v>397</v>
      </c>
      <c r="O56" s="133">
        <v>24</v>
      </c>
      <c r="P56" s="134">
        <v>20</v>
      </c>
    </row>
    <row r="57" spans="14:23" x14ac:dyDescent="0.2">
      <c r="N57" s="16"/>
      <c r="O57" s="16"/>
      <c r="P57" s="16"/>
    </row>
    <row r="58" spans="14:23" x14ac:dyDescent="0.2">
      <c r="N58" s="16"/>
      <c r="O58" s="16"/>
      <c r="P58" s="16"/>
    </row>
    <row r="62" spans="14:23" x14ac:dyDescent="0.2">
      <c r="N62" s="5" t="s">
        <v>340</v>
      </c>
    </row>
    <row r="63" spans="14:23" x14ac:dyDescent="0.2">
      <c r="N63" s="5" t="s">
        <v>366</v>
      </c>
    </row>
    <row r="64" spans="14:23" ht="37.9" customHeight="1" x14ac:dyDescent="0.2">
      <c r="N64" s="112" t="s">
        <v>404</v>
      </c>
      <c r="O64" s="118" t="s">
        <v>406</v>
      </c>
      <c r="P64" s="119" t="s">
        <v>407</v>
      </c>
    </row>
    <row r="65" spans="14:21" ht="16.149999999999999" customHeight="1" x14ac:dyDescent="0.2">
      <c r="N65" s="113" t="s">
        <v>398</v>
      </c>
      <c r="O65" s="94">
        <f>summary!F17</f>
        <v>-2.0301791869235526E-4</v>
      </c>
      <c r="P65" s="93">
        <f>summary!G17</f>
        <v>-3.2367958206133592E-2</v>
      </c>
    </row>
    <row r="66" spans="14:21" ht="16.149999999999999" customHeight="1" x14ac:dyDescent="0.2">
      <c r="N66" s="121" t="s">
        <v>399</v>
      </c>
      <c r="O66" s="95">
        <f>summary!F29</f>
        <v>3.9673108367433534E-3</v>
      </c>
      <c r="P66" s="92">
        <f>summary!G29</f>
        <v>2.4485463460984262E-3</v>
      </c>
    </row>
    <row r="67" spans="14:21" ht="16.149999999999999" customHeight="1" x14ac:dyDescent="0.2">
      <c r="N67" s="121" t="s">
        <v>400</v>
      </c>
      <c r="O67" s="95">
        <f>'Data(2000)'!U152</f>
        <v>4.887680790284509E-3</v>
      </c>
      <c r="P67" s="92">
        <f>'Data(2000)'!V152</f>
        <v>-3.4943969746398093E-3</v>
      </c>
    </row>
    <row r="68" spans="14:21" ht="16.149999999999999" customHeight="1" x14ac:dyDescent="0.2">
      <c r="N68" s="121" t="s">
        <v>401</v>
      </c>
      <c r="O68" s="95">
        <f>'Data(2000)'!U208</f>
        <v>-4.8472644477676169E-4</v>
      </c>
      <c r="P68" s="92">
        <f>'Data(2000)'!V208</f>
        <v>-1.8268241332727636E-4</v>
      </c>
    </row>
    <row r="69" spans="14:21" ht="16.149999999999999" customHeight="1" x14ac:dyDescent="0.2">
      <c r="N69" s="121" t="s">
        <v>402</v>
      </c>
      <c r="O69" s="95">
        <f>'Data(2000)'!T282</f>
        <v>-3.0375124699831037E-4</v>
      </c>
      <c r="P69" s="92">
        <f>'Data(2000)'!U282</f>
        <v>-1.5001332926332491E-3</v>
      </c>
    </row>
    <row r="70" spans="14:21" x14ac:dyDescent="0.2">
      <c r="N70" s="87"/>
      <c r="O70" s="89"/>
      <c r="P70" s="88"/>
    </row>
    <row r="73" spans="14:21" ht="19.899999999999999" customHeight="1" x14ac:dyDescent="0.2">
      <c r="Q73" s="84"/>
      <c r="R73" s="327" t="s">
        <v>371</v>
      </c>
      <c r="S73" s="329"/>
      <c r="T73" s="327" t="s">
        <v>374</v>
      </c>
      <c r="U73" s="328"/>
    </row>
    <row r="74" spans="14:21" ht="18.75" customHeight="1" x14ac:dyDescent="0.2">
      <c r="Q74" s="86"/>
      <c r="R74" s="109" t="s">
        <v>372</v>
      </c>
      <c r="S74" s="110" t="s">
        <v>373</v>
      </c>
      <c r="T74" s="109" t="s">
        <v>372</v>
      </c>
      <c r="U74" s="111" t="s">
        <v>373</v>
      </c>
    </row>
    <row r="75" spans="14:21" ht="20.45" customHeight="1" x14ac:dyDescent="0.3">
      <c r="Q75" s="102" t="s">
        <v>375</v>
      </c>
      <c r="R75" s="103">
        <v>0.81399999999999995</v>
      </c>
      <c r="S75" s="104"/>
      <c r="T75" s="102"/>
      <c r="U75" s="105"/>
    </row>
    <row r="76" spans="14:21" ht="15.75" x14ac:dyDescent="0.3">
      <c r="Q76" s="98" t="s">
        <v>376</v>
      </c>
      <c r="R76" s="101">
        <v>-13.164</v>
      </c>
      <c r="S76" s="39"/>
      <c r="T76" s="98"/>
      <c r="U76" s="97"/>
    </row>
    <row r="77" spans="14:21" ht="15.75" x14ac:dyDescent="0.3">
      <c r="Q77" s="98" t="s">
        <v>377</v>
      </c>
      <c r="R77" s="101">
        <v>58.569000000000003</v>
      </c>
      <c r="S77" s="99">
        <v>-15.228</v>
      </c>
      <c r="T77" s="101">
        <v>16.207000000000001</v>
      </c>
      <c r="U77" s="100">
        <v>-38.814</v>
      </c>
    </row>
    <row r="78" spans="14:21" ht="15.75" x14ac:dyDescent="0.3">
      <c r="Q78" s="98" t="s">
        <v>378</v>
      </c>
      <c r="R78" s="101">
        <v>54.125</v>
      </c>
      <c r="S78" s="99">
        <v>158.81</v>
      </c>
      <c r="T78" s="101">
        <v>74.518000000000001</v>
      </c>
      <c r="U78" s="100">
        <v>189.67</v>
      </c>
    </row>
    <row r="79" spans="14:21" ht="15.75" x14ac:dyDescent="0.3">
      <c r="Q79" s="98" t="s">
        <v>379</v>
      </c>
      <c r="R79" s="101">
        <v>64.822999999999993</v>
      </c>
      <c r="S79" s="99">
        <v>421.48</v>
      </c>
      <c r="T79" s="101">
        <v>7.1741000000000001</v>
      </c>
      <c r="U79" s="100">
        <v>339.83</v>
      </c>
    </row>
    <row r="80" spans="14:21" x14ac:dyDescent="0.2">
      <c r="Q80" s="98"/>
      <c r="R80" s="98"/>
      <c r="S80" s="39"/>
      <c r="T80" s="98"/>
      <c r="U80" s="97"/>
    </row>
    <row r="81" spans="1:21" ht="38.450000000000003" customHeight="1" x14ac:dyDescent="0.2">
      <c r="Q81" s="80" t="s">
        <v>380</v>
      </c>
      <c r="R81" s="106">
        <v>0.26812859591789245</v>
      </c>
      <c r="S81" s="107">
        <v>2.3475901491535355E-3</v>
      </c>
      <c r="T81" s="108">
        <v>0.12609417887003813</v>
      </c>
      <c r="U81" s="107">
        <v>3.0192584404297668E-3</v>
      </c>
    </row>
    <row r="82" spans="1:21" x14ac:dyDescent="0.2">
      <c r="Q82" s="16"/>
      <c r="R82" s="16"/>
      <c r="S82" s="16"/>
      <c r="T82" s="16"/>
      <c r="U82" s="16"/>
    </row>
    <row r="83" spans="1:21" ht="25.9" customHeight="1" x14ac:dyDescent="0.2">
      <c r="E83" s="118" t="s">
        <v>365</v>
      </c>
      <c r="F83" s="330" t="s">
        <v>326</v>
      </c>
      <c r="G83" s="331"/>
      <c r="H83" s="330" t="s">
        <v>327</v>
      </c>
      <c r="I83" s="331"/>
      <c r="J83" s="330" t="s">
        <v>334</v>
      </c>
      <c r="K83" s="331"/>
    </row>
    <row r="84" spans="1:21" ht="61.15" customHeight="1" x14ac:dyDescent="0.2">
      <c r="E84" s="118" t="s">
        <v>325</v>
      </c>
      <c r="F84" s="123" t="s">
        <v>408</v>
      </c>
      <c r="G84" s="119" t="s">
        <v>409</v>
      </c>
      <c r="H84" s="123" t="s">
        <v>410</v>
      </c>
      <c r="I84" s="124" t="s">
        <v>411</v>
      </c>
      <c r="J84" s="123" t="s">
        <v>408</v>
      </c>
      <c r="K84" s="119" t="s">
        <v>410</v>
      </c>
    </row>
    <row r="85" spans="1:21" ht="17.45" customHeight="1" x14ac:dyDescent="0.2">
      <c r="E85" s="125" t="s">
        <v>387</v>
      </c>
      <c r="F85" s="96"/>
      <c r="G85" s="96"/>
      <c r="H85" s="81"/>
      <c r="I85" s="81"/>
      <c r="J85" s="81"/>
      <c r="K85" s="70"/>
    </row>
    <row r="86" spans="1:21" x14ac:dyDescent="0.2">
      <c r="A86">
        <v>26</v>
      </c>
      <c r="B86">
        <v>1</v>
      </c>
      <c r="E86" s="85">
        <v>120</v>
      </c>
      <c r="F86" s="71" t="e">
        <f>VLOOKUP($A86,summary!$A$5:$M$109,8,FALSE)</f>
        <v>#N/A</v>
      </c>
      <c r="G86" s="82" t="e">
        <f>VLOOKUP($B86,uncertainties!$A$16:$AX$77,21,FALSE)</f>
        <v>#N/A</v>
      </c>
      <c r="H86" s="71" t="e">
        <f>VLOOKUP($A86,summary!$A$5:$M$109,9,FALSE)</f>
        <v>#N/A</v>
      </c>
      <c r="I86" s="82" t="e">
        <f>VLOOKUP($B86,uncertainties!$A$16:$AX$77,31,FALSE)</f>
        <v>#N/A</v>
      </c>
      <c r="J86" s="71" t="e">
        <f>VLOOKUP($A86,summary!$A$5:$M$109,12,FALSE)</f>
        <v>#N/A</v>
      </c>
      <c r="K86" s="72" t="e">
        <f>VLOOKUP($A86,summary!$A$5:$M$109,13,FALSE)</f>
        <v>#N/A</v>
      </c>
    </row>
    <row r="87" spans="1:21" x14ac:dyDescent="0.2">
      <c r="A87">
        <v>27</v>
      </c>
      <c r="B87">
        <v>2</v>
      </c>
      <c r="E87" s="85" t="e">
        <f>VLOOKUP($A87,summary!$A$5:$M$109,3,FALSE)</f>
        <v>#N/A</v>
      </c>
      <c r="F87" s="71" t="e">
        <f>VLOOKUP($A87,summary!$A$5:$M$109,8,FALSE)</f>
        <v>#N/A</v>
      </c>
      <c r="G87" s="82" t="e">
        <f>VLOOKUP($B87,uncertainties!$A$16:$AX$77,21,FALSE)</f>
        <v>#N/A</v>
      </c>
      <c r="H87" s="71" t="e">
        <f>VLOOKUP($A87,summary!$A$5:$M$109,9,FALSE)</f>
        <v>#N/A</v>
      </c>
      <c r="I87" s="82" t="e">
        <f>VLOOKUP($B87,uncertainties!$A$16:$AX$77,31,FALSE)</f>
        <v>#N/A</v>
      </c>
      <c r="J87" s="71" t="e">
        <f>VLOOKUP($A87,summary!$A$5:$M$109,12,FALSE)</f>
        <v>#N/A</v>
      </c>
      <c r="K87" s="72" t="e">
        <f>VLOOKUP($A87,summary!$A$5:$M$109,13,FALSE)</f>
        <v>#N/A</v>
      </c>
    </row>
    <row r="88" spans="1:21" x14ac:dyDescent="0.2">
      <c r="A88">
        <v>28</v>
      </c>
      <c r="B88">
        <v>3</v>
      </c>
      <c r="E88" s="85" t="e">
        <f>VLOOKUP($A88,summary!$A$5:$M$109,3,FALSE)</f>
        <v>#N/A</v>
      </c>
      <c r="F88" s="71" t="e">
        <f>VLOOKUP($A88,summary!$A$5:$M$109,8,FALSE)</f>
        <v>#N/A</v>
      </c>
      <c r="G88" s="82" t="e">
        <f>VLOOKUP($B88,uncertainties!$A$16:$AX$77,21,FALSE)</f>
        <v>#N/A</v>
      </c>
      <c r="H88" s="71" t="e">
        <f>VLOOKUP($A88,summary!$A$5:$M$109,9,FALSE)</f>
        <v>#N/A</v>
      </c>
      <c r="I88" s="82" t="e">
        <f>VLOOKUP($B88,uncertainties!$A$16:$AX$77,31,FALSE)</f>
        <v>#N/A</v>
      </c>
      <c r="J88" s="71" t="e">
        <f>VLOOKUP($A88,summary!$A$5:$M$109,12,FALSE)</f>
        <v>#N/A</v>
      </c>
      <c r="K88" s="72" t="e">
        <f>VLOOKUP($A88,summary!$A$5:$M$109,13,FALSE)</f>
        <v>#N/A</v>
      </c>
    </row>
    <row r="89" spans="1:21" x14ac:dyDescent="0.2">
      <c r="A89">
        <v>29</v>
      </c>
      <c r="B89">
        <v>4</v>
      </c>
      <c r="E89" s="85" t="e">
        <f>VLOOKUP($A89,summary!$A$5:$M$109,3,FALSE)</f>
        <v>#N/A</v>
      </c>
      <c r="F89" s="71" t="e">
        <f>VLOOKUP($A89,summary!$A$5:$M$109,8,FALSE)</f>
        <v>#N/A</v>
      </c>
      <c r="G89" s="82" t="e">
        <f>VLOOKUP($B89,uncertainties!$A$16:$AX$77,21,FALSE)</f>
        <v>#N/A</v>
      </c>
      <c r="H89" s="71" t="e">
        <f>VLOOKUP($A89,summary!$A$5:$M$109,9,FALSE)</f>
        <v>#N/A</v>
      </c>
      <c r="I89" s="82" t="e">
        <f>VLOOKUP($B89,uncertainties!$A$16:$AX$77,31,FALSE)</f>
        <v>#N/A</v>
      </c>
      <c r="J89" s="71" t="e">
        <f>VLOOKUP($A89,summary!$A$5:$M$109,12,FALSE)</f>
        <v>#N/A</v>
      </c>
      <c r="K89" s="72" t="e">
        <f>VLOOKUP($A89,summary!$A$5:$M$109,13,FALSE)</f>
        <v>#N/A</v>
      </c>
    </row>
    <row r="90" spans="1:21" x14ac:dyDescent="0.2">
      <c r="A90">
        <v>30</v>
      </c>
      <c r="B90">
        <v>5</v>
      </c>
      <c r="E90" s="85" t="e">
        <f>VLOOKUP($A90,summary!$A$5:$M$109,3,FALSE)</f>
        <v>#N/A</v>
      </c>
      <c r="F90" s="71" t="e">
        <f>VLOOKUP($A90,summary!$A$5:$M$109,8,FALSE)</f>
        <v>#N/A</v>
      </c>
      <c r="G90" s="82" t="e">
        <f>VLOOKUP($B90,uncertainties!$A$16:$AX$77,21,FALSE)</f>
        <v>#N/A</v>
      </c>
      <c r="H90" s="71" t="e">
        <f>VLOOKUP($A90,summary!$A$5:$M$109,9,FALSE)</f>
        <v>#N/A</v>
      </c>
      <c r="I90" s="82" t="e">
        <f>VLOOKUP($B90,uncertainties!$A$16:$AX$77,31,FALSE)</f>
        <v>#N/A</v>
      </c>
      <c r="J90" s="71" t="e">
        <f>VLOOKUP($A90,summary!$A$5:$M$109,12,FALSE)</f>
        <v>#N/A</v>
      </c>
      <c r="K90" s="72" t="e">
        <f>VLOOKUP($A90,summary!$A$5:$M$109,13,FALSE)</f>
        <v>#N/A</v>
      </c>
    </row>
    <row r="91" spans="1:21" x14ac:dyDescent="0.2">
      <c r="A91">
        <v>31</v>
      </c>
      <c r="B91">
        <v>6</v>
      </c>
      <c r="E91" s="85" t="e">
        <f>VLOOKUP($A91,summary!$A$5:$M$109,3,FALSE)</f>
        <v>#N/A</v>
      </c>
      <c r="F91" s="71" t="e">
        <f>VLOOKUP($A91,summary!$A$5:$M$109,8,FALSE)</f>
        <v>#N/A</v>
      </c>
      <c r="G91" s="82" t="e">
        <f>VLOOKUP($B91,uncertainties!$A$16:$AX$77,21,FALSE)</f>
        <v>#N/A</v>
      </c>
      <c r="H91" s="71" t="e">
        <f>VLOOKUP($A91,summary!$A$5:$M$109,9,FALSE)</f>
        <v>#N/A</v>
      </c>
      <c r="I91" s="82" t="e">
        <f>VLOOKUP($B91,uncertainties!$A$16:$AX$77,31,FALSE)</f>
        <v>#N/A</v>
      </c>
      <c r="J91" s="71" t="e">
        <f>VLOOKUP($A91,summary!$A$5:$M$109,12,FALSE)</f>
        <v>#N/A</v>
      </c>
      <c r="K91" s="72" t="e">
        <f>VLOOKUP($A91,summary!$A$5:$M$109,13,FALSE)</f>
        <v>#N/A</v>
      </c>
    </row>
    <row r="92" spans="1:21" ht="17.45" customHeight="1" x14ac:dyDescent="0.2">
      <c r="E92" s="126" t="s">
        <v>388</v>
      </c>
      <c r="F92" s="83"/>
      <c r="G92" s="74"/>
      <c r="H92" s="74"/>
      <c r="I92" s="74"/>
      <c r="J92" s="74"/>
      <c r="K92" s="73"/>
    </row>
    <row r="93" spans="1:21" x14ac:dyDescent="0.2">
      <c r="A93">
        <v>104</v>
      </c>
      <c r="B93">
        <v>104</v>
      </c>
      <c r="E93" s="85" t="e">
        <f>VLOOKUP($A93,summary!$A$5:$M$109,3,FALSE)</f>
        <v>#N/A</v>
      </c>
      <c r="F93" s="71" t="e">
        <f>VLOOKUP($A93,summary!$A$5:$M$109,8,FALSE)</f>
        <v>#N/A</v>
      </c>
      <c r="G93" s="82" t="e">
        <f>VLOOKUP($B93,uncertainties!$A$16:$AX$77,21,FALSE)</f>
        <v>#N/A</v>
      </c>
      <c r="H93" s="71" t="e">
        <f>VLOOKUP($A93,summary!$A$5:$M$109,9,FALSE)</f>
        <v>#N/A</v>
      </c>
      <c r="I93" s="82" t="e">
        <f>VLOOKUP($B93,uncertainties!$A$16:$AX$77,31,FALSE)</f>
        <v>#N/A</v>
      </c>
      <c r="J93" s="71" t="e">
        <f>VLOOKUP($A93,summary!$A$5:$M$109,12,FALSE)</f>
        <v>#N/A</v>
      </c>
      <c r="K93" s="72" t="e">
        <f>VLOOKUP($A93,summary!$A$5:$M$109,13,FALSE)</f>
        <v>#N/A</v>
      </c>
    </row>
    <row r="94" spans="1:21" x14ac:dyDescent="0.2">
      <c r="A94">
        <v>105</v>
      </c>
      <c r="B94">
        <v>105</v>
      </c>
      <c r="E94" s="85" t="e">
        <f>VLOOKUP($A94,summary!$A$5:$M$109,3,FALSE)</f>
        <v>#N/A</v>
      </c>
      <c r="F94" s="71" t="e">
        <f>VLOOKUP($A94,summary!$A$5:$M$109,8,FALSE)</f>
        <v>#N/A</v>
      </c>
      <c r="G94" s="82" t="e">
        <f>VLOOKUP($B94,uncertainties!$A$16:$AX$77,21,FALSE)</f>
        <v>#N/A</v>
      </c>
      <c r="H94" s="71" t="e">
        <f>VLOOKUP($A94,summary!$A$5:$M$109,9,FALSE)</f>
        <v>#N/A</v>
      </c>
      <c r="I94" s="82" t="e">
        <f>VLOOKUP($B94,uncertainties!$A$16:$AX$77,31,FALSE)</f>
        <v>#N/A</v>
      </c>
      <c r="J94" s="71" t="e">
        <f>VLOOKUP($A94,summary!$A$5:$M$109,12,FALSE)</f>
        <v>#N/A</v>
      </c>
      <c r="K94" s="72" t="e">
        <f>VLOOKUP($A94,summary!$A$5:$M$109,13,FALSE)</f>
        <v>#N/A</v>
      </c>
    </row>
    <row r="95" spans="1:21" x14ac:dyDescent="0.2">
      <c r="A95">
        <v>106</v>
      </c>
      <c r="B95">
        <v>106</v>
      </c>
      <c r="E95" s="85" t="e">
        <f>VLOOKUP($A95,summary!$A$5:$M$109,3,FALSE)</f>
        <v>#N/A</v>
      </c>
      <c r="F95" s="71" t="e">
        <f>VLOOKUP($A95,summary!$A$5:$M$109,8,FALSE)</f>
        <v>#N/A</v>
      </c>
      <c r="G95" s="82" t="e">
        <f>VLOOKUP($B95,uncertainties!$A$16:$AX$77,21,FALSE)</f>
        <v>#N/A</v>
      </c>
      <c r="H95" s="71" t="e">
        <f>VLOOKUP($A95,summary!$A$5:$M$109,9,FALSE)</f>
        <v>#N/A</v>
      </c>
      <c r="I95" s="82" t="e">
        <f>VLOOKUP($B95,uncertainties!$A$16:$AX$77,31,FALSE)</f>
        <v>#N/A</v>
      </c>
      <c r="J95" s="71" t="e">
        <f>VLOOKUP($A95,summary!$A$5:$M$109,12,FALSE)</f>
        <v>#N/A</v>
      </c>
      <c r="K95" s="72" t="e">
        <f>VLOOKUP($A95,summary!$A$5:$M$109,13,FALSE)</f>
        <v>#N/A</v>
      </c>
    </row>
    <row r="96" spans="1:21" x14ac:dyDescent="0.2">
      <c r="A96">
        <v>107</v>
      </c>
      <c r="B96">
        <v>107</v>
      </c>
      <c r="E96" s="85" t="e">
        <f>VLOOKUP($A96,summary!$A$5:$M$109,3,FALSE)</f>
        <v>#N/A</v>
      </c>
      <c r="F96" s="71" t="e">
        <f>VLOOKUP($A96,summary!$A$5:$M$109,8,FALSE)</f>
        <v>#N/A</v>
      </c>
      <c r="G96" s="82" t="e">
        <f>VLOOKUP($B96,uncertainties!$A$16:$AX$77,21,FALSE)</f>
        <v>#N/A</v>
      </c>
      <c r="H96" s="71" t="e">
        <f>VLOOKUP($A96,summary!$A$5:$M$109,9,FALSE)</f>
        <v>#N/A</v>
      </c>
      <c r="I96" s="82" t="e">
        <f>VLOOKUP($B96,uncertainties!$A$16:$AX$77,31,FALSE)</f>
        <v>#N/A</v>
      </c>
      <c r="J96" s="71" t="e">
        <f>VLOOKUP($A96,summary!$A$5:$M$109,12,FALSE)</f>
        <v>#N/A</v>
      </c>
      <c r="K96" s="72" t="e">
        <f>VLOOKUP($A96,summary!$A$5:$M$109,13,FALSE)</f>
        <v>#N/A</v>
      </c>
    </row>
    <row r="97" spans="1:11" x14ac:dyDescent="0.2">
      <c r="A97">
        <v>108</v>
      </c>
      <c r="B97">
        <v>108</v>
      </c>
      <c r="E97" s="85" t="e">
        <f>VLOOKUP($A97,summary!$A$5:$M$109,3,FALSE)</f>
        <v>#N/A</v>
      </c>
      <c r="F97" s="71" t="e">
        <f>VLOOKUP($A97,summary!$A$5:$M$109,8,FALSE)</f>
        <v>#N/A</v>
      </c>
      <c r="G97" s="82" t="e">
        <f>VLOOKUP($B97,uncertainties!$A$16:$AX$77,21,FALSE)</f>
        <v>#N/A</v>
      </c>
      <c r="H97" s="71" t="e">
        <f>VLOOKUP($A97,summary!$A$5:$M$109,9,FALSE)</f>
        <v>#N/A</v>
      </c>
      <c r="I97" s="82" t="e">
        <f>VLOOKUP($B97,uncertainties!$A$16:$AX$77,31,FALSE)</f>
        <v>#N/A</v>
      </c>
      <c r="J97" s="71" t="e">
        <f>VLOOKUP($A97,summary!$A$5:$M$109,12,FALSE)</f>
        <v>#N/A</v>
      </c>
      <c r="K97" s="72" t="e">
        <f>VLOOKUP($A97,summary!$A$5:$M$109,13,FALSE)</f>
        <v>#N/A</v>
      </c>
    </row>
    <row r="98" spans="1:11" x14ac:dyDescent="0.2">
      <c r="A98">
        <v>109</v>
      </c>
      <c r="B98">
        <v>109</v>
      </c>
      <c r="E98" s="85" t="e">
        <f>VLOOKUP($A98,summary!$A$5:$M$109,3,FALSE)</f>
        <v>#N/A</v>
      </c>
      <c r="F98" s="71" t="e">
        <f>VLOOKUP($A98,summary!$A$5:$M$109,8,FALSE)</f>
        <v>#N/A</v>
      </c>
      <c r="G98" s="82" t="e">
        <f>VLOOKUP($B98,uncertainties!$A$16:$AX$77,21,FALSE)</f>
        <v>#N/A</v>
      </c>
      <c r="H98" s="71" t="e">
        <f>VLOOKUP($A98,summary!$A$5:$M$109,9,FALSE)</f>
        <v>#N/A</v>
      </c>
      <c r="I98" s="82" t="e">
        <f>VLOOKUP($B98,uncertainties!$A$16:$AX$77,31,FALSE)</f>
        <v>#N/A</v>
      </c>
      <c r="J98" s="71" t="e">
        <f>VLOOKUP($A98,summary!$A$5:$M$109,12,FALSE)</f>
        <v>#N/A</v>
      </c>
      <c r="K98" s="72" t="e">
        <f>VLOOKUP($A98,summary!$A$5:$M$109,13,FALSE)</f>
        <v>#N/A</v>
      </c>
    </row>
    <row r="99" spans="1:11" x14ac:dyDescent="0.2">
      <c r="E99" s="126" t="s">
        <v>389</v>
      </c>
      <c r="F99" s="74"/>
      <c r="G99" s="74"/>
      <c r="H99" s="74"/>
      <c r="I99" s="74"/>
      <c r="J99" s="74"/>
      <c r="K99" s="73"/>
    </row>
    <row r="100" spans="1:11" x14ac:dyDescent="0.2">
      <c r="A100">
        <v>156</v>
      </c>
      <c r="B100">
        <v>156</v>
      </c>
      <c r="E100" s="85">
        <v>120</v>
      </c>
      <c r="F100" s="71" t="e">
        <f>VLOOKUP($A100,summary!$A$5:$M$109,8,FALSE)</f>
        <v>#N/A</v>
      </c>
      <c r="G100" s="82" t="e">
        <f>VLOOKUP($B100,uncertainties!$A$16:$AX$77,21,FALSE)</f>
        <v>#N/A</v>
      </c>
      <c r="H100" s="71" t="e">
        <f>VLOOKUP($A100,summary!$A$5:$M$109,9,FALSE)</f>
        <v>#N/A</v>
      </c>
      <c r="I100" s="82" t="e">
        <f>VLOOKUP($B100,uncertainties!$A$16:$AX$77,31,FALSE)</f>
        <v>#N/A</v>
      </c>
      <c r="J100" s="71" t="e">
        <f>VLOOKUP($A100,summary!$A$5:$M$109,12,FALSE)</f>
        <v>#N/A</v>
      </c>
      <c r="K100" s="72" t="e">
        <f>VLOOKUP($A100,summary!$A$5:$M$109,13,FALSE)</f>
        <v>#N/A</v>
      </c>
    </row>
    <row r="101" spans="1:11" x14ac:dyDescent="0.2">
      <c r="A101">
        <v>157</v>
      </c>
      <c r="B101">
        <v>157</v>
      </c>
      <c r="E101" s="85" t="e">
        <f>VLOOKUP($A101,summary!$A$5:$M$109,3,FALSE)</f>
        <v>#N/A</v>
      </c>
      <c r="F101" s="71" t="e">
        <f>VLOOKUP($A101,summary!$A$5:$M$109,8,FALSE)</f>
        <v>#N/A</v>
      </c>
      <c r="G101" s="82" t="e">
        <f>VLOOKUP($B101,uncertainties!$A$16:$AX$77,21,FALSE)</f>
        <v>#N/A</v>
      </c>
      <c r="H101" s="71" t="e">
        <f>VLOOKUP($A101,summary!$A$5:$M$109,9,FALSE)</f>
        <v>#N/A</v>
      </c>
      <c r="I101" s="82" t="e">
        <f>VLOOKUP($B101,uncertainties!$A$16:$AX$77,31,FALSE)</f>
        <v>#N/A</v>
      </c>
      <c r="J101" s="71" t="e">
        <f>VLOOKUP($A101,summary!$A$5:$M$109,12,FALSE)</f>
        <v>#N/A</v>
      </c>
      <c r="K101" s="72" t="e">
        <f>VLOOKUP($A101,summary!$A$5:$M$109,13,FALSE)</f>
        <v>#N/A</v>
      </c>
    </row>
    <row r="102" spans="1:11" x14ac:dyDescent="0.2">
      <c r="A102">
        <v>158</v>
      </c>
      <c r="B102">
        <v>158</v>
      </c>
      <c r="E102" s="85" t="e">
        <f>VLOOKUP($A102,summary!$A$5:$M$109,3,FALSE)</f>
        <v>#N/A</v>
      </c>
      <c r="F102" s="71" t="e">
        <f>VLOOKUP($A102,summary!$A$5:$M$109,8,FALSE)</f>
        <v>#N/A</v>
      </c>
      <c r="G102" s="82" t="e">
        <f>VLOOKUP($B102,uncertainties!$A$16:$AX$77,21,FALSE)</f>
        <v>#N/A</v>
      </c>
      <c r="H102" s="71" t="e">
        <f>VLOOKUP($A102,summary!$A$5:$M$109,9,FALSE)</f>
        <v>#N/A</v>
      </c>
      <c r="I102" s="82" t="e">
        <f>VLOOKUP($B102,uncertainties!$A$16:$AX$77,31,FALSE)</f>
        <v>#N/A</v>
      </c>
      <c r="J102" s="71" t="e">
        <f>VLOOKUP($A102,summary!$A$5:$M$109,12,FALSE)</f>
        <v>#N/A</v>
      </c>
      <c r="K102" s="72" t="e">
        <f>VLOOKUP($A102,summary!$A$5:$M$109,13,FALSE)</f>
        <v>#N/A</v>
      </c>
    </row>
    <row r="103" spans="1:11" x14ac:dyDescent="0.2">
      <c r="A103">
        <v>159</v>
      </c>
      <c r="B103">
        <v>159</v>
      </c>
      <c r="E103" s="85">
        <f>VLOOKUP($A103,summary!$A$5:$M$109,3,FALSE)</f>
        <v>119.92392908000001</v>
      </c>
      <c r="F103" s="71">
        <f>VLOOKUP($A103,summary!$A$5:$M$109,8,FALSE)</f>
        <v>0.1351880117726019</v>
      </c>
      <c r="G103" s="82">
        <f>VLOOKUP($B103,uncertainties!$A$16:$AX$77,21,FALSE)</f>
        <v>2.5852230269718425E-2</v>
      </c>
      <c r="H103" s="71">
        <f>VLOOKUP($A103,summary!$A$5:$M$109,9,FALSE)</f>
        <v>8.4429064204047777E-2</v>
      </c>
      <c r="I103" s="82">
        <f>VLOOKUP($B103,uncertainties!$A$16:$AX$77,31,FALSE)</f>
        <v>1.7940091386283434E-2</v>
      </c>
      <c r="J103" s="71">
        <f>VLOOKUP($A103,summary!$A$5:$M$109,12,FALSE)</f>
        <v>-2.8284705733240822E-3</v>
      </c>
      <c r="K103" s="72">
        <f>VLOOKUP($A103,summary!$A$5:$M$109,13,FALSE)</f>
        <v>7.6073254519321704E-3</v>
      </c>
    </row>
    <row r="104" spans="1:11" x14ac:dyDescent="0.2">
      <c r="A104">
        <v>160</v>
      </c>
      <c r="B104">
        <v>160</v>
      </c>
      <c r="E104" s="85">
        <f>VLOOKUP($A104,summary!$A$5:$M$109,3,FALSE)</f>
        <v>100.09320314000001</v>
      </c>
      <c r="F104" s="71">
        <f>VLOOKUP($A104,summary!$A$5:$M$109,8,FALSE)</f>
        <v>0.1503019718467504</v>
      </c>
      <c r="G104" s="82">
        <f>VLOOKUP($B104,uncertainties!$A$16:$AX$77,21,FALSE)</f>
        <v>2.6279044994077291E-2</v>
      </c>
      <c r="H104" s="71">
        <f>VLOOKUP($A104,summary!$A$5:$M$109,9,FALSE)</f>
        <v>8.3871606677233645E-2</v>
      </c>
      <c r="I104" s="82">
        <f>VLOOKUP($B104,uncertainties!$A$16:$AX$77,31,FALSE)</f>
        <v>1.7827168476466308E-2</v>
      </c>
      <c r="J104" s="71">
        <f>VLOOKUP($A104,summary!$A$5:$M$109,12,FALSE)</f>
        <v>-4.1125932687116062E-3</v>
      </c>
      <c r="K104" s="72">
        <f>VLOOKUP($A104,summary!$A$5:$M$109,13,FALSE)</f>
        <v>8.769453982085243E-3</v>
      </c>
    </row>
    <row r="105" spans="1:11" x14ac:dyDescent="0.2">
      <c r="A105">
        <v>161</v>
      </c>
      <c r="B105">
        <v>161</v>
      </c>
      <c r="E105" s="85">
        <f>VLOOKUP($A105,summary!$A$5:$M$109,3,FALSE)</f>
        <v>60.035549210000006</v>
      </c>
      <c r="F105" s="71">
        <f>VLOOKUP($A105,summary!$A$5:$M$109,8,FALSE)</f>
        <v>0.2025501789952302</v>
      </c>
      <c r="G105" s="82">
        <f>VLOOKUP($B105,uncertainties!$A$16:$AX$77,21,FALSE)</f>
        <v>2.8357630696622595E-2</v>
      </c>
      <c r="H105" s="71">
        <f>VLOOKUP($A105,summary!$A$5:$M$109,9,FALSE)</f>
        <v>6.3994896945218094E-2</v>
      </c>
      <c r="I105" s="82">
        <f>VLOOKUP($B105,uncertainties!$A$16:$AX$77,31,FALSE)</f>
        <v>1.7624361396986383E-2</v>
      </c>
      <c r="J105" s="71">
        <f>VLOOKUP($A105,summary!$A$5:$M$109,12,FALSE)</f>
        <v>3.1199705344872042E-3</v>
      </c>
      <c r="K105" s="72">
        <f>VLOOKUP($A105,summary!$A$5:$M$109,13,FALSE)</f>
        <v>-2.0745404495301073E-3</v>
      </c>
    </row>
    <row r="106" spans="1:11" ht="17.45" customHeight="1" x14ac:dyDescent="0.2">
      <c r="E106" s="126" t="s">
        <v>391</v>
      </c>
      <c r="F106" s="76"/>
      <c r="G106" s="76"/>
      <c r="H106" s="76"/>
      <c r="I106" s="76"/>
      <c r="J106" s="76"/>
      <c r="K106" s="75"/>
    </row>
    <row r="107" spans="1:11" x14ac:dyDescent="0.2">
      <c r="A107">
        <v>228</v>
      </c>
      <c r="B107">
        <v>243</v>
      </c>
      <c r="E107" s="85">
        <f>VLOOKUP($A107,summary!$A$5:$M$109,3,FALSE)</f>
        <v>39.994777622000001</v>
      </c>
      <c r="F107" s="71">
        <f>VLOOKUP($A107,summary!$A$5:$M$109,8,FALSE)</f>
        <v>-2.2641724138600196E-2</v>
      </c>
      <c r="G107" s="82">
        <f>VLOOKUP($B107,uncertainties!$A$16:$AX$77,21,FALSE)</f>
        <v>5.3819978895484025E-2</v>
      </c>
      <c r="H107" s="71">
        <f>VLOOKUP($A107,summary!$A$5:$M$109,9,FALSE)</f>
        <v>3.3655722228551127E-3</v>
      </c>
      <c r="I107" s="82">
        <f>VLOOKUP($B107,uncertainties!$A$16:$AX$77,31,FALSE)</f>
        <v>3.1146236409978659E-2</v>
      </c>
      <c r="J107" s="71">
        <f>VLOOKUP($A107,summary!$A$5:$M$109,12,FALSE)</f>
        <v>-0.31483453450359622</v>
      </c>
      <c r="K107" s="72">
        <f>VLOOKUP($A107,summary!$A$5:$M$109,13,FALSE)</f>
        <v>-9.6576725409574002E-2</v>
      </c>
    </row>
    <row r="108" spans="1:11" x14ac:dyDescent="0.2">
      <c r="A108">
        <v>229</v>
      </c>
      <c r="B108">
        <v>244</v>
      </c>
      <c r="E108" s="85">
        <f>VLOOKUP($A108,summary!$A$5:$M$109,3,FALSE)</f>
        <v>20.065449086000001</v>
      </c>
      <c r="F108" s="71">
        <f>VLOOKUP($A108,summary!$A$5:$M$109,8,FALSE)</f>
        <v>1.3675507374786754E-2</v>
      </c>
      <c r="G108" s="82">
        <f>VLOOKUP($B108,uncertainties!$A$16:$AX$77,21,FALSE)</f>
        <v>6.6847773537888497E-2</v>
      </c>
      <c r="H108" s="71">
        <f>VLOOKUP($A108,summary!$A$5:$M$109,9,FALSE)</f>
        <v>-2.3310098395082544E-2</v>
      </c>
      <c r="I108" s="82">
        <f>VLOOKUP($B108,uncertainties!$A$16:$AX$77,31,FALSE)</f>
        <v>4.9705416772177879E-2</v>
      </c>
      <c r="J108" s="71">
        <f>VLOOKUP($A108,summary!$A$5:$M$109,12,FALSE)</f>
        <v>-0.33144672368279826</v>
      </c>
      <c r="K108" s="72">
        <f>VLOOKUP($A108,summary!$A$5:$M$109,13,FALSE)</f>
        <v>-0.11352718744078025</v>
      </c>
    </row>
    <row r="109" spans="1:11" x14ac:dyDescent="0.2">
      <c r="A109">
        <v>230</v>
      </c>
      <c r="B109">
        <v>245</v>
      </c>
      <c r="E109" s="85">
        <f>VLOOKUP($A109,summary!$A$5:$M$109,3,FALSE)</f>
        <v>10.04010508</v>
      </c>
      <c r="F109" s="71">
        <f>VLOOKUP($A109,summary!$A$5:$M$109,8,FALSE)</f>
        <v>4.065818114307692E-2</v>
      </c>
      <c r="G109" s="82" t="e">
        <f>VLOOKUP($B109,uncertainties!$A$16:$AX$77,21,FALSE)</f>
        <v>#N/A</v>
      </c>
      <c r="H109" s="71">
        <f>VLOOKUP($A109,summary!$A$5:$M$109,9,FALSE)</f>
        <v>-3.461801728400541E-2</v>
      </c>
      <c r="I109" s="82" t="e">
        <f>VLOOKUP($B109,uncertainties!$A$16:$AX$77,31,FALSE)</f>
        <v>#N/A</v>
      </c>
      <c r="J109" s="71">
        <f>VLOOKUP($A109,summary!$A$5:$M$109,12,FALSE)</f>
        <v>-0.33653544541028207</v>
      </c>
      <c r="K109" s="72">
        <f>VLOOKUP($A109,summary!$A$5:$M$109,13,FALSE)</f>
        <v>-0.12083304831209762</v>
      </c>
    </row>
    <row r="110" spans="1:11" x14ac:dyDescent="0.2">
      <c r="A110">
        <v>231</v>
      </c>
      <c r="B110">
        <v>246</v>
      </c>
      <c r="E110" s="85">
        <f>VLOOKUP($A110,summary!$A$5:$M$109,3,FALSE)</f>
        <v>5.0360189100000001</v>
      </c>
      <c r="F110" s="71">
        <f>VLOOKUP($A110,summary!$A$5:$M$109,8,FALSE)</f>
        <v>5.3843761277378742E-2</v>
      </c>
      <c r="G110" s="82" t="e">
        <f>VLOOKUP($B110,uncertainties!$A$16:$AX$77,21,FALSE)</f>
        <v>#N/A</v>
      </c>
      <c r="H110" s="71">
        <f>VLOOKUP($A110,summary!$A$5:$M$109,9,FALSE)</f>
        <v>-1.5906875863885818E-2</v>
      </c>
      <c r="I110" s="82" t="e">
        <f>VLOOKUP($B110,uncertainties!$A$16:$AX$77,31,FALSE)</f>
        <v>#N/A</v>
      </c>
      <c r="J110" s="71">
        <f>VLOOKUP($A110,summary!$A$5:$M$109,12,FALSE)</f>
        <v>-0.34267255360985871</v>
      </c>
      <c r="K110" s="72">
        <f>VLOOKUP($A110,summary!$A$5:$M$109,13,FALSE)</f>
        <v>-8.1134440445005535E-2</v>
      </c>
    </row>
    <row r="111" spans="1:11" x14ac:dyDescent="0.2">
      <c r="A111">
        <v>232</v>
      </c>
      <c r="B111">
        <v>247</v>
      </c>
      <c r="E111" s="85" t="e">
        <f>VLOOKUP($A111,summary!$A$5:$M$109,3,FALSE)</f>
        <v>#N/A</v>
      </c>
      <c r="F111" s="71" t="e">
        <f>VLOOKUP($A111,summary!$A$5:$M$109,8,FALSE)</f>
        <v>#N/A</v>
      </c>
      <c r="G111" s="82" t="e">
        <f>VLOOKUP($B111,uncertainties!$A$16:$AX$77,21,FALSE)</f>
        <v>#N/A</v>
      </c>
      <c r="H111" s="71" t="e">
        <f>VLOOKUP($A111,summary!$A$5:$M$109,9,FALSE)</f>
        <v>#N/A</v>
      </c>
      <c r="I111" s="82" t="e">
        <f>VLOOKUP($B111,uncertainties!$A$16:$AX$77,31,FALSE)</f>
        <v>#N/A</v>
      </c>
      <c r="J111" s="71" t="e">
        <f>VLOOKUP($A111,summary!$A$5:$M$109,12,FALSE)</f>
        <v>#N/A</v>
      </c>
      <c r="K111" s="72" t="e">
        <f>VLOOKUP($A111,summary!$A$5:$M$109,13,FALSE)</f>
        <v>#N/A</v>
      </c>
    </row>
    <row r="112" spans="1:11" x14ac:dyDescent="0.2">
      <c r="E112" s="129"/>
      <c r="F112" s="130"/>
      <c r="G112" s="131"/>
      <c r="H112" s="130"/>
      <c r="I112" s="131"/>
      <c r="J112" s="130"/>
      <c r="K112" s="79"/>
    </row>
    <row r="113" spans="1:11" x14ac:dyDescent="0.2">
      <c r="E113" s="16"/>
      <c r="F113" s="76"/>
      <c r="G113" s="76"/>
      <c r="H113" s="76"/>
      <c r="I113" s="76"/>
      <c r="J113" s="76"/>
      <c r="K113" s="76"/>
    </row>
    <row r="114" spans="1:11" x14ac:dyDescent="0.2">
      <c r="D114" s="5" t="s">
        <v>412</v>
      </c>
      <c r="E114" s="127"/>
      <c r="F114" s="71"/>
      <c r="G114" s="82"/>
      <c r="H114" s="71"/>
      <c r="I114" s="82"/>
      <c r="J114" s="71"/>
      <c r="K114" s="71"/>
    </row>
    <row r="115" spans="1:11" x14ac:dyDescent="0.2">
      <c r="E115" s="128"/>
      <c r="F115" s="71"/>
      <c r="G115" s="82"/>
      <c r="H115" s="71"/>
      <c r="I115" s="82"/>
      <c r="J115" s="71"/>
      <c r="K115" s="71"/>
    </row>
    <row r="116" spans="1:11" ht="27" customHeight="1" x14ac:dyDescent="0.2">
      <c r="E116" s="118" t="s">
        <v>365</v>
      </c>
      <c r="F116" s="330" t="s">
        <v>413</v>
      </c>
      <c r="G116" s="331"/>
      <c r="H116" s="330" t="s">
        <v>414</v>
      </c>
      <c r="I116" s="331"/>
      <c r="J116" s="330" t="s">
        <v>418</v>
      </c>
      <c r="K116" s="331"/>
    </row>
    <row r="117" spans="1:11" ht="54" customHeight="1" x14ac:dyDescent="0.2">
      <c r="E117" s="118" t="s">
        <v>325</v>
      </c>
      <c r="F117" s="123" t="s">
        <v>416</v>
      </c>
      <c r="G117" s="119" t="s">
        <v>417</v>
      </c>
      <c r="H117" s="123" t="s">
        <v>410</v>
      </c>
      <c r="I117" s="124" t="s">
        <v>415</v>
      </c>
      <c r="J117" s="123" t="s">
        <v>416</v>
      </c>
      <c r="K117" s="119" t="s">
        <v>410</v>
      </c>
    </row>
    <row r="118" spans="1:11" x14ac:dyDescent="0.2">
      <c r="E118" s="125" t="s">
        <v>387</v>
      </c>
      <c r="F118" s="96"/>
      <c r="G118" s="96"/>
      <c r="H118" s="81"/>
      <c r="I118" s="81"/>
      <c r="J118" s="81"/>
      <c r="K118" s="70"/>
    </row>
    <row r="119" spans="1:11" x14ac:dyDescent="0.2">
      <c r="A119">
        <v>26</v>
      </c>
      <c r="B119">
        <v>1</v>
      </c>
      <c r="E119" s="85">
        <v>120</v>
      </c>
      <c r="F119" s="71" t="e">
        <f>VLOOKUP($A119,summary!$A$5:$M$109,8,FALSE)</f>
        <v>#N/A</v>
      </c>
      <c r="G119" s="82" t="e">
        <f>VLOOKUP($B119,uncertainties!$A$16:$AX$77,21,FALSE)</f>
        <v>#N/A</v>
      </c>
      <c r="H119" s="71" t="e">
        <f>VLOOKUP($A119,summary!$A$5:$M$109,9,FALSE)</f>
        <v>#N/A</v>
      </c>
      <c r="I119" s="82" t="e">
        <f>VLOOKUP($B119,uncertainties!$A$16:$AX$77,31,FALSE)</f>
        <v>#N/A</v>
      </c>
      <c r="J119" s="71" t="e">
        <f>VLOOKUP($A119,summary!$A$5:$M$109,12,FALSE)</f>
        <v>#N/A</v>
      </c>
      <c r="K119" s="72" t="e">
        <f>VLOOKUP($A119,summary!$A$5:$M$109,13,FALSE)</f>
        <v>#N/A</v>
      </c>
    </row>
    <row r="120" spans="1:11" x14ac:dyDescent="0.2">
      <c r="A120">
        <v>27</v>
      </c>
      <c r="B120">
        <v>2</v>
      </c>
      <c r="E120" s="85" t="e">
        <f>VLOOKUP($A120,summary!$A$5:$M$109,3,FALSE)</f>
        <v>#N/A</v>
      </c>
      <c r="F120" s="71" t="e">
        <f>VLOOKUP($A120,summary!$A$5:$M$109,8,FALSE)</f>
        <v>#N/A</v>
      </c>
      <c r="G120" s="82" t="e">
        <f>VLOOKUP($B120,uncertainties!$A$16:$AX$77,21,FALSE)</f>
        <v>#N/A</v>
      </c>
      <c r="H120" s="71" t="e">
        <f>VLOOKUP($A120,summary!$A$5:$M$109,9,FALSE)</f>
        <v>#N/A</v>
      </c>
      <c r="I120" s="82" t="e">
        <f>VLOOKUP($B120,uncertainties!$A$16:$AX$77,31,FALSE)</f>
        <v>#N/A</v>
      </c>
      <c r="J120" s="71" t="e">
        <f>VLOOKUP($A120,summary!$A$5:$M$109,12,FALSE)</f>
        <v>#N/A</v>
      </c>
      <c r="K120" s="72" t="e">
        <f>VLOOKUP($A120,summary!$A$5:$M$109,13,FALSE)</f>
        <v>#N/A</v>
      </c>
    </row>
    <row r="121" spans="1:11" x14ac:dyDescent="0.2">
      <c r="A121">
        <v>28</v>
      </c>
      <c r="B121">
        <v>3</v>
      </c>
      <c r="E121" s="85" t="e">
        <f>VLOOKUP($A121,summary!$A$5:$M$109,3,FALSE)</f>
        <v>#N/A</v>
      </c>
      <c r="F121" s="71" t="e">
        <f>VLOOKUP($A121,summary!$A$5:$M$109,8,FALSE)</f>
        <v>#N/A</v>
      </c>
      <c r="G121" s="82" t="e">
        <f>VLOOKUP($B121,uncertainties!$A$16:$AX$77,21,FALSE)</f>
        <v>#N/A</v>
      </c>
      <c r="H121" s="71" t="e">
        <f>VLOOKUP($A121,summary!$A$5:$M$109,9,FALSE)</f>
        <v>#N/A</v>
      </c>
      <c r="I121" s="82" t="e">
        <f>VLOOKUP($B121,uncertainties!$A$16:$AX$77,31,FALSE)</f>
        <v>#N/A</v>
      </c>
      <c r="J121" s="71" t="e">
        <f>VLOOKUP($A121,summary!$A$5:$M$109,12,FALSE)</f>
        <v>#N/A</v>
      </c>
      <c r="K121" s="72" t="e">
        <f>VLOOKUP($A121,summary!$A$5:$M$109,13,FALSE)</f>
        <v>#N/A</v>
      </c>
    </row>
    <row r="122" spans="1:11" x14ac:dyDescent="0.2">
      <c r="A122">
        <v>29</v>
      </c>
      <c r="B122">
        <v>4</v>
      </c>
      <c r="E122" s="85" t="e">
        <f>VLOOKUP($A122,summary!$A$5:$M$109,3,FALSE)</f>
        <v>#N/A</v>
      </c>
      <c r="F122" s="71" t="e">
        <f>VLOOKUP($A122,summary!$A$5:$M$109,8,FALSE)</f>
        <v>#N/A</v>
      </c>
      <c r="G122" s="82" t="e">
        <f>VLOOKUP($B122,uncertainties!$A$16:$AX$77,21,FALSE)</f>
        <v>#N/A</v>
      </c>
      <c r="H122" s="71" t="e">
        <f>VLOOKUP($A122,summary!$A$5:$M$109,9,FALSE)</f>
        <v>#N/A</v>
      </c>
      <c r="I122" s="82" t="e">
        <f>VLOOKUP($B122,uncertainties!$A$16:$AX$77,31,FALSE)</f>
        <v>#N/A</v>
      </c>
      <c r="J122" s="71" t="e">
        <f>VLOOKUP($A122,summary!$A$5:$M$109,12,FALSE)</f>
        <v>#N/A</v>
      </c>
      <c r="K122" s="72" t="e">
        <f>VLOOKUP($A122,summary!$A$5:$M$109,13,FALSE)</f>
        <v>#N/A</v>
      </c>
    </row>
    <row r="123" spans="1:11" x14ac:dyDescent="0.2">
      <c r="A123">
        <v>30</v>
      </c>
      <c r="B123">
        <v>5</v>
      </c>
      <c r="E123" s="85" t="e">
        <f>VLOOKUP($A123,summary!$A$5:$M$109,3,FALSE)</f>
        <v>#N/A</v>
      </c>
      <c r="F123" s="71" t="e">
        <f>VLOOKUP($A123,summary!$A$5:$M$109,8,FALSE)</f>
        <v>#N/A</v>
      </c>
      <c r="G123" s="82" t="e">
        <f>VLOOKUP($B123,uncertainties!$A$16:$AX$77,21,FALSE)</f>
        <v>#N/A</v>
      </c>
      <c r="H123" s="71" t="e">
        <f>VLOOKUP($A123,summary!$A$5:$M$109,9,FALSE)</f>
        <v>#N/A</v>
      </c>
      <c r="I123" s="82" t="e">
        <f>VLOOKUP($B123,uncertainties!$A$16:$AX$77,31,FALSE)</f>
        <v>#N/A</v>
      </c>
      <c r="J123" s="71" t="e">
        <f>VLOOKUP($A123,summary!$A$5:$M$109,12,FALSE)</f>
        <v>#N/A</v>
      </c>
      <c r="K123" s="72" t="e">
        <f>VLOOKUP($A123,summary!$A$5:$M$109,13,FALSE)</f>
        <v>#N/A</v>
      </c>
    </row>
    <row r="124" spans="1:11" x14ac:dyDescent="0.2">
      <c r="A124">
        <v>31</v>
      </c>
      <c r="B124">
        <v>6</v>
      </c>
      <c r="E124" s="85" t="e">
        <f>VLOOKUP($A124,summary!$A$5:$M$109,3,FALSE)</f>
        <v>#N/A</v>
      </c>
      <c r="F124" s="71" t="e">
        <f>VLOOKUP($A124,summary!$A$5:$M$109,8,FALSE)</f>
        <v>#N/A</v>
      </c>
      <c r="G124" s="82" t="e">
        <f>VLOOKUP($B124,uncertainties!$A$16:$AX$77,21,FALSE)</f>
        <v>#N/A</v>
      </c>
      <c r="H124" s="71" t="e">
        <f>VLOOKUP($A124,summary!$A$5:$M$109,9,FALSE)</f>
        <v>#N/A</v>
      </c>
      <c r="I124" s="82" t="e">
        <f>VLOOKUP($B124,uncertainties!$A$16:$AX$77,31,FALSE)</f>
        <v>#N/A</v>
      </c>
      <c r="J124" s="71" t="e">
        <f>VLOOKUP($A124,summary!$A$5:$M$109,12,FALSE)</f>
        <v>#N/A</v>
      </c>
      <c r="K124" s="72" t="e">
        <f>VLOOKUP($A124,summary!$A$5:$M$109,13,FALSE)</f>
        <v>#N/A</v>
      </c>
    </row>
    <row r="125" spans="1:11" x14ac:dyDescent="0.2">
      <c r="E125" s="126" t="s">
        <v>388</v>
      </c>
      <c r="F125" s="83"/>
      <c r="G125" s="74"/>
      <c r="H125" s="74"/>
      <c r="I125" s="74"/>
      <c r="J125" s="74"/>
      <c r="K125" s="73"/>
    </row>
    <row r="126" spans="1:11" x14ac:dyDescent="0.2">
      <c r="A126">
        <v>105</v>
      </c>
      <c r="B126">
        <v>105</v>
      </c>
      <c r="E126" s="85" t="e">
        <f>VLOOKUP($A126,summary!$A$5:$M$109,3,FALSE)</f>
        <v>#N/A</v>
      </c>
      <c r="F126" s="71" t="e">
        <f>VLOOKUP($A126,summary!$A$5:$M$109,8,FALSE)</f>
        <v>#N/A</v>
      </c>
      <c r="G126" s="82" t="e">
        <f>VLOOKUP($B126,uncertainties!$A$16:$AX$77,21,FALSE)</f>
        <v>#N/A</v>
      </c>
      <c r="H126" s="71" t="e">
        <f>VLOOKUP($A126,summary!$A$5:$M$109,9,FALSE)</f>
        <v>#N/A</v>
      </c>
      <c r="I126" s="82" t="e">
        <f>VLOOKUP($B126,uncertainties!$A$16:$AX$77,31,FALSE)</f>
        <v>#N/A</v>
      </c>
      <c r="J126" s="71" t="e">
        <f>VLOOKUP($A126,summary!$A$5:$M$109,12,FALSE)</f>
        <v>#N/A</v>
      </c>
      <c r="K126" s="72" t="e">
        <f>VLOOKUP($A126,summary!$A$5:$M$109,13,FALSE)</f>
        <v>#N/A</v>
      </c>
    </row>
    <row r="127" spans="1:11" x14ac:dyDescent="0.2">
      <c r="A127">
        <v>107</v>
      </c>
      <c r="B127">
        <v>107</v>
      </c>
      <c r="E127" s="85" t="e">
        <f>VLOOKUP($A127,summary!$A$5:$M$109,3,FALSE)</f>
        <v>#N/A</v>
      </c>
      <c r="F127" s="71" t="e">
        <f>VLOOKUP($A127,summary!$A$5:$M$109,8,FALSE)</f>
        <v>#N/A</v>
      </c>
      <c r="G127" s="82" t="e">
        <f>VLOOKUP($B127,uncertainties!$A$16:$AX$77,21,FALSE)</f>
        <v>#N/A</v>
      </c>
      <c r="H127" s="71" t="e">
        <f>VLOOKUP($A127,summary!$A$5:$M$109,9,FALSE)</f>
        <v>#N/A</v>
      </c>
      <c r="I127" s="82" t="e">
        <f>VLOOKUP($B127,uncertainties!$A$16:$AX$77,31,FALSE)</f>
        <v>#N/A</v>
      </c>
      <c r="J127" s="71" t="e">
        <f>VLOOKUP($A127,summary!$A$5:$M$109,12,FALSE)</f>
        <v>#N/A</v>
      </c>
      <c r="K127" s="72" t="e">
        <f>VLOOKUP($A127,summary!$A$5:$M$109,13,FALSE)</f>
        <v>#N/A</v>
      </c>
    </row>
    <row r="128" spans="1:11" x14ac:dyDescent="0.2">
      <c r="A128">
        <v>109</v>
      </c>
      <c r="B128">
        <v>109</v>
      </c>
      <c r="E128" s="85" t="e">
        <f>VLOOKUP($A128,summary!$A$5:$M$109,3,FALSE)</f>
        <v>#N/A</v>
      </c>
      <c r="F128" s="71" t="e">
        <f>VLOOKUP($A128,summary!$A$5:$M$109,8,FALSE)</f>
        <v>#N/A</v>
      </c>
      <c r="G128" s="82" t="e">
        <f>VLOOKUP($B128,uncertainties!$A$16:$AX$77,21,FALSE)</f>
        <v>#N/A</v>
      </c>
      <c r="H128" s="71" t="e">
        <f>VLOOKUP($A128,summary!$A$5:$M$109,9,FALSE)</f>
        <v>#N/A</v>
      </c>
      <c r="I128" s="82" t="e">
        <f>VLOOKUP($B128,uncertainties!$A$16:$AX$77,31,FALSE)</f>
        <v>#N/A</v>
      </c>
      <c r="J128" s="71" t="e">
        <f>VLOOKUP($A128,summary!$A$5:$M$109,12,FALSE)</f>
        <v>#N/A</v>
      </c>
      <c r="K128" s="72" t="e">
        <f>VLOOKUP($A128,summary!$A$5:$M$109,13,FALSE)</f>
        <v>#N/A</v>
      </c>
    </row>
    <row r="129" spans="1:11" x14ac:dyDescent="0.2">
      <c r="E129" s="126" t="s">
        <v>389</v>
      </c>
      <c r="F129" s="74"/>
      <c r="G129" s="74"/>
      <c r="H129" s="74"/>
      <c r="I129" s="74"/>
      <c r="J129" s="74"/>
      <c r="K129" s="73"/>
    </row>
    <row r="130" spans="1:11" x14ac:dyDescent="0.2">
      <c r="A130">
        <v>157</v>
      </c>
      <c r="B130">
        <v>157</v>
      </c>
      <c r="E130" s="85" t="e">
        <f>VLOOKUP($A130,summary!$A$5:$M$109,3,FALSE)</f>
        <v>#N/A</v>
      </c>
      <c r="F130" s="71" t="e">
        <f>VLOOKUP($A130,summary!$A$5:$M$109,8,FALSE)</f>
        <v>#N/A</v>
      </c>
      <c r="G130" s="82" t="e">
        <f>VLOOKUP($B130,uncertainties!$A$16:$AX$77,21,FALSE)</f>
        <v>#N/A</v>
      </c>
      <c r="H130" s="71" t="e">
        <f>VLOOKUP($A130,summary!$A$5:$M$109,9,FALSE)</f>
        <v>#N/A</v>
      </c>
      <c r="I130" s="82" t="e">
        <f>VLOOKUP($B130,uncertainties!$A$16:$AX$77,31,FALSE)</f>
        <v>#N/A</v>
      </c>
      <c r="J130" s="71" t="e">
        <f>VLOOKUP($A130,summary!$A$5:$M$109,12,FALSE)</f>
        <v>#N/A</v>
      </c>
      <c r="K130" s="72" t="e">
        <f>VLOOKUP($A130,summary!$A$5:$M$109,13,FALSE)</f>
        <v>#N/A</v>
      </c>
    </row>
    <row r="131" spans="1:11" x14ac:dyDescent="0.2">
      <c r="A131">
        <v>159</v>
      </c>
      <c r="B131">
        <v>159</v>
      </c>
      <c r="E131" s="85">
        <f>VLOOKUP($A131,summary!$A$5:$M$109,3,FALSE)</f>
        <v>119.92392908000001</v>
      </c>
      <c r="F131" s="71">
        <f>VLOOKUP($A131,summary!$A$5:$M$109,8,FALSE)</f>
        <v>0.1351880117726019</v>
      </c>
      <c r="G131" s="82">
        <f>VLOOKUP($B131,uncertainties!$A$16:$AX$77,21,FALSE)</f>
        <v>2.5852230269718425E-2</v>
      </c>
      <c r="H131" s="71">
        <f>VLOOKUP($A131,summary!$A$5:$M$109,9,FALSE)</f>
        <v>8.4429064204047777E-2</v>
      </c>
      <c r="I131" s="82">
        <f>VLOOKUP($B131,uncertainties!$A$16:$AX$77,31,FALSE)</f>
        <v>1.7940091386283434E-2</v>
      </c>
      <c r="J131" s="71">
        <f>VLOOKUP($A131,summary!$A$5:$M$109,12,FALSE)</f>
        <v>-2.8284705733240822E-3</v>
      </c>
      <c r="K131" s="72">
        <f>VLOOKUP($A131,summary!$A$5:$M$109,13,FALSE)</f>
        <v>7.6073254519321704E-3</v>
      </c>
    </row>
    <row r="132" spans="1:11" x14ac:dyDescent="0.2">
      <c r="A132">
        <v>161</v>
      </c>
      <c r="B132">
        <v>161</v>
      </c>
      <c r="E132" s="85">
        <f>VLOOKUP($A132,summary!$A$5:$M$109,3,FALSE)</f>
        <v>60.035549210000006</v>
      </c>
      <c r="F132" s="71">
        <f>VLOOKUP($A132,summary!$A$5:$M$109,8,FALSE)</f>
        <v>0.2025501789952302</v>
      </c>
      <c r="G132" s="82">
        <f>VLOOKUP($B132,uncertainties!$A$16:$AX$77,21,FALSE)</f>
        <v>2.8357630696622595E-2</v>
      </c>
      <c r="H132" s="71">
        <f>VLOOKUP($A132,summary!$A$5:$M$109,9,FALSE)</f>
        <v>6.3994896945218094E-2</v>
      </c>
      <c r="I132" s="82">
        <f>VLOOKUP($B132,uncertainties!$A$16:$AX$77,31,FALSE)</f>
        <v>1.7624361396986383E-2</v>
      </c>
      <c r="J132" s="71">
        <f>VLOOKUP($A132,summary!$A$5:$M$109,12,FALSE)</f>
        <v>3.1199705344872042E-3</v>
      </c>
      <c r="K132" s="72">
        <f>VLOOKUP($A132,summary!$A$5:$M$109,13,FALSE)</f>
        <v>-2.0745404495301073E-3</v>
      </c>
    </row>
    <row r="133" spans="1:11" x14ac:dyDescent="0.2">
      <c r="E133" s="126" t="s">
        <v>391</v>
      </c>
      <c r="F133" s="76"/>
      <c r="G133" s="76"/>
      <c r="H133" s="76"/>
      <c r="I133" s="76"/>
      <c r="J133" s="76"/>
      <c r="K133" s="75"/>
    </row>
    <row r="134" spans="1:11" x14ac:dyDescent="0.2">
      <c r="A134">
        <v>228</v>
      </c>
      <c r="B134">
        <v>243</v>
      </c>
      <c r="E134" s="85">
        <f>VLOOKUP($A134,summary!$A$5:$M$109,3,FALSE)</f>
        <v>39.994777622000001</v>
      </c>
      <c r="F134" s="71">
        <f>VLOOKUP($A134,summary!$A$5:$M$109,8,FALSE)</f>
        <v>-2.2641724138600196E-2</v>
      </c>
      <c r="G134" s="82">
        <f>VLOOKUP($B134,uncertainties!$A$16:$AX$77,21,FALSE)</f>
        <v>5.3819978895484025E-2</v>
      </c>
      <c r="H134" s="71">
        <f>VLOOKUP($A134,summary!$A$5:$M$109,9,FALSE)</f>
        <v>3.3655722228551127E-3</v>
      </c>
      <c r="I134" s="82">
        <f>VLOOKUP($B134,uncertainties!$A$16:$AX$77,31,FALSE)</f>
        <v>3.1146236409978659E-2</v>
      </c>
      <c r="J134" s="71">
        <f>VLOOKUP($A134,summary!$A$5:$M$109,12,FALSE)</f>
        <v>-0.31483453450359622</v>
      </c>
      <c r="K134" s="72">
        <f>VLOOKUP($A134,summary!$A$5:$M$109,13,FALSE)</f>
        <v>-9.6576725409574002E-2</v>
      </c>
    </row>
    <row r="135" spans="1:11" x14ac:dyDescent="0.2">
      <c r="A135">
        <v>230</v>
      </c>
      <c r="B135">
        <v>245</v>
      </c>
      <c r="E135" s="85">
        <f>VLOOKUP($A135,summary!$A$5:$M$109,3,FALSE)</f>
        <v>10.04010508</v>
      </c>
      <c r="F135" s="71">
        <f>VLOOKUP($A135,summary!$A$5:$M$109,8,FALSE)</f>
        <v>4.065818114307692E-2</v>
      </c>
      <c r="G135" s="82" t="e">
        <f>VLOOKUP($B135,uncertainties!$A$16:$AX$77,21,FALSE)</f>
        <v>#N/A</v>
      </c>
      <c r="H135" s="71">
        <f>VLOOKUP($A135,summary!$A$5:$M$109,9,FALSE)</f>
        <v>-3.461801728400541E-2</v>
      </c>
      <c r="I135" s="82" t="e">
        <f>VLOOKUP($B135,uncertainties!$A$16:$AX$77,31,FALSE)</f>
        <v>#N/A</v>
      </c>
      <c r="J135" s="71">
        <f>VLOOKUP($A135,summary!$A$5:$M$109,12,FALSE)</f>
        <v>-0.33653544541028207</v>
      </c>
      <c r="K135" s="72">
        <f>VLOOKUP($A135,summary!$A$5:$M$109,13,FALSE)</f>
        <v>-0.12083304831209762</v>
      </c>
    </row>
    <row r="136" spans="1:11" x14ac:dyDescent="0.2">
      <c r="A136">
        <v>232</v>
      </c>
      <c r="B136">
        <v>247</v>
      </c>
      <c r="E136" s="129" t="e">
        <f>VLOOKUP($A136,summary!$A$5:$M$109,3,FALSE)</f>
        <v>#N/A</v>
      </c>
      <c r="F136" s="130" t="e">
        <f>VLOOKUP($A136,summary!$A$5:$M$109,8,FALSE)</f>
        <v>#N/A</v>
      </c>
      <c r="G136" s="131" t="e">
        <f>VLOOKUP($B136,uncertainties!$A$16:$AX$77,21,FALSE)</f>
        <v>#N/A</v>
      </c>
      <c r="H136" s="130" t="e">
        <f>VLOOKUP($A136,summary!$A$5:$M$109,9,FALSE)</f>
        <v>#N/A</v>
      </c>
      <c r="I136" s="131" t="e">
        <f>VLOOKUP($B136,uncertainties!$A$16:$AX$77,31,FALSE)</f>
        <v>#N/A</v>
      </c>
      <c r="J136" s="130" t="e">
        <f>VLOOKUP($A136,summary!$A$5:$M$109,12,FALSE)</f>
        <v>#N/A</v>
      </c>
      <c r="K136" s="79" t="e">
        <f>VLOOKUP($A136,summary!$A$5:$M$109,13,FALSE)</f>
        <v>#N/A</v>
      </c>
    </row>
    <row r="137" spans="1:11" x14ac:dyDescent="0.2">
      <c r="E137" s="128"/>
      <c r="F137" s="71"/>
      <c r="G137" s="82"/>
      <c r="H137" s="71"/>
      <c r="I137" s="82"/>
      <c r="J137" s="71"/>
      <c r="K137" s="71"/>
    </row>
  </sheetData>
  <mergeCells count="11">
    <mergeCell ref="F116:G116"/>
    <mergeCell ref="H116:I116"/>
    <mergeCell ref="J116:K116"/>
    <mergeCell ref="J6:K6"/>
    <mergeCell ref="F6:G6"/>
    <mergeCell ref="H6:I6"/>
    <mergeCell ref="T73:U73"/>
    <mergeCell ref="R73:S73"/>
    <mergeCell ref="F83:G83"/>
    <mergeCell ref="H83:I83"/>
    <mergeCell ref="J83:K83"/>
  </mergeCells>
  <phoneticPr fontId="0" type="noConversion"/>
  <pageMargins left="0.75" right="0.75" top="1" bottom="1" header="0.5" footer="0.5"/>
  <pageSetup paperSize="9" scale="7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Ambient conditions</vt:lpstr>
      <vt:lpstr>SelfCals2013</vt:lpstr>
      <vt:lpstr>Data(2013)b</vt:lpstr>
      <vt:lpstr>Data(2013)</vt:lpstr>
      <vt:lpstr>Data2013</vt:lpstr>
      <vt:lpstr>Data (2012)</vt:lpstr>
      <vt:lpstr>summary</vt:lpstr>
      <vt:lpstr>Python2018</vt:lpstr>
      <vt:lpstr>SR830</vt:lpstr>
      <vt:lpstr>uncertainties</vt:lpstr>
      <vt:lpstr>uncert_summary</vt:lpstr>
      <vt:lpstr>ReportTables</vt:lpstr>
      <vt:lpstr>shunts</vt:lpstr>
      <vt:lpstr>Data(2000)</vt:lpstr>
      <vt:lpstr>PaperTables</vt:lpstr>
      <vt:lpstr>Burden1_dfm</vt:lpstr>
      <vt:lpstr>Burden1_std</vt:lpstr>
      <vt:lpstr>Burden2_dfm</vt:lpstr>
      <vt:lpstr>Burden2_std</vt:lpstr>
      <vt:lpstr>Comode_dfm</vt:lpstr>
      <vt:lpstr>Comode_std</vt:lpstr>
      <vt:lpstr>S_P_dfm</vt:lpstr>
      <vt:lpstr>S_P_std</vt:lpstr>
      <vt:lpstr>SPelect_dfm</vt:lpstr>
      <vt:lpstr>SPelect_std</vt:lpstr>
      <vt:lpstr>SR830_dfm</vt:lpstr>
      <vt:lpstr>SR830_std</vt:lpstr>
      <vt:lpstr>X_stability_dfm</vt:lpstr>
      <vt:lpstr>X_stability_std</vt:lpstr>
      <vt:lpstr>Y_stability_dfm</vt:lpstr>
      <vt:lpstr>Y_stability_std</vt:lpstr>
    </vt:vector>
  </TitlesOfParts>
  <Company>INDUSTRIAL RESEARCH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G.K. WOOLLETT</dc:creator>
  <cp:lastModifiedBy>Keith Jones</cp:lastModifiedBy>
  <cp:lastPrinted>2018-05-31T04:34:37Z</cp:lastPrinted>
  <dcterms:created xsi:type="dcterms:W3CDTF">2000-01-11T01:05:14Z</dcterms:created>
  <dcterms:modified xsi:type="dcterms:W3CDTF">2018-06-01T03:43:00Z</dcterms:modified>
</cp:coreProperties>
</file>