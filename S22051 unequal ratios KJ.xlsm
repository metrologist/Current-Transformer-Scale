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Y:\Staff\KJ\PycharmProjects\CTs\"/>
    </mc:Choice>
  </mc:AlternateContent>
  <xr:revisionPtr revIDLastSave="0" documentId="13_ncr:1_{5D93C26A-6C1A-46C3-8613-D303C3A38CA3}" xr6:coauthVersionLast="36" xr6:coauthVersionMax="36" xr10:uidLastSave="{00000000-0000-0000-0000-000000000000}"/>
  <bookViews>
    <workbookView xWindow="360" yWindow="255" windowWidth="12390" windowHeight="8385" tabRatio="595" activeTab="3" xr2:uid="{00000000-000D-0000-FFFF-FFFF00000000}"/>
  </bookViews>
  <sheets>
    <sheet name="Sheet2" sheetId="20" r:id="rId1"/>
    <sheet name="Data (1A)" sheetId="19" r:id="rId2"/>
    <sheet name=" Data (5A)" sheetId="13" r:id="rId3"/>
    <sheet name=" Data (5A) (2)" sheetId="22" r:id="rId4"/>
    <sheet name="Calculations" sheetId="14" r:id="rId5"/>
    <sheet name="Constants" sheetId="21" r:id="rId6"/>
    <sheet name="Uncertainties" sheetId="16" r:id="rId7"/>
    <sheet name="Previous Cal" sheetId="15" r:id="rId8"/>
    <sheet name="tables" sheetId="5" r:id="rId9"/>
    <sheet name="New Format" sheetId="18" r:id="rId10"/>
  </sheets>
  <functionGroups builtInGroupCount="19"/>
  <externalReferences>
    <externalReference r:id="rId11"/>
    <externalReference r:id="rId12"/>
  </externalReferences>
  <definedNames>
    <definedName name="BurdenUnc">Uncertainties!$C$5</definedName>
    <definedName name="high_burden">'[1]5 A calc'!$N$3</definedName>
    <definedName name="MSL0.2">Constants!$D$5</definedName>
    <definedName name="Summary">'[2]Template Sheet'!$AO$1:$FJ$4</definedName>
    <definedName name="Ti_122">Constants!$D$3</definedName>
    <definedName name="Ti_969">Constants!$D$4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3" i="22" l="1"/>
  <c r="K34" i="22"/>
  <c r="K35" i="22"/>
  <c r="K36" i="22"/>
  <c r="K37" i="22"/>
  <c r="K38" i="22"/>
  <c r="K32" i="22"/>
  <c r="J33" i="22"/>
  <c r="J34" i="22"/>
  <c r="J35" i="22"/>
  <c r="J36" i="22"/>
  <c r="J37" i="22"/>
  <c r="J38" i="22"/>
  <c r="J32" i="22"/>
  <c r="AG75" i="19" l="1"/>
  <c r="AG54" i="22"/>
  <c r="AH52" i="22"/>
  <c r="AG55" i="22"/>
  <c r="AB93" i="22"/>
  <c r="AA93" i="22"/>
  <c r="K93" i="22"/>
  <c r="J93" i="22"/>
  <c r="K92" i="22"/>
  <c r="J92" i="22"/>
  <c r="K91" i="22"/>
  <c r="J91" i="22"/>
  <c r="K90" i="22"/>
  <c r="J90" i="22"/>
  <c r="K89" i="22"/>
  <c r="J89" i="22"/>
  <c r="K88" i="22"/>
  <c r="J88" i="22"/>
  <c r="K87" i="22"/>
  <c r="J87" i="22"/>
  <c r="K86" i="22"/>
  <c r="J86" i="22"/>
  <c r="K85" i="22"/>
  <c r="J85" i="22"/>
  <c r="K84" i="22"/>
  <c r="J84" i="22"/>
  <c r="K82" i="22"/>
  <c r="J82" i="22"/>
  <c r="K81" i="22"/>
  <c r="J81" i="22"/>
  <c r="K80" i="22"/>
  <c r="J80" i="22"/>
  <c r="K79" i="22"/>
  <c r="J79" i="22"/>
  <c r="K78" i="22"/>
  <c r="J78" i="22"/>
  <c r="K77" i="22"/>
  <c r="J77" i="22"/>
  <c r="K76" i="22"/>
  <c r="J76" i="22"/>
  <c r="K71" i="22"/>
  <c r="J71" i="22"/>
  <c r="K70" i="22"/>
  <c r="J70" i="22"/>
  <c r="K69" i="22"/>
  <c r="J69" i="22"/>
  <c r="K68" i="22"/>
  <c r="J68" i="22"/>
  <c r="K67" i="22"/>
  <c r="J67" i="22"/>
  <c r="K66" i="22"/>
  <c r="J66" i="22"/>
  <c r="K65" i="22"/>
  <c r="J65" i="22"/>
  <c r="K64" i="22"/>
  <c r="J64" i="22"/>
  <c r="K63" i="22"/>
  <c r="J63" i="22"/>
  <c r="K62" i="22"/>
  <c r="J62" i="22"/>
  <c r="K60" i="22"/>
  <c r="J60" i="22"/>
  <c r="K59" i="22"/>
  <c r="J59" i="22"/>
  <c r="K58" i="22"/>
  <c r="J58" i="22"/>
  <c r="K57" i="22"/>
  <c r="J57" i="22"/>
  <c r="K56" i="22"/>
  <c r="J56" i="22"/>
  <c r="K55" i="22"/>
  <c r="J55" i="22"/>
  <c r="K54" i="22"/>
  <c r="J54" i="22"/>
  <c r="H93" i="22"/>
  <c r="G93" i="22"/>
  <c r="F93" i="22"/>
  <c r="E93" i="22"/>
  <c r="D93" i="22"/>
  <c r="C93" i="22"/>
  <c r="H92" i="22"/>
  <c r="G92" i="22"/>
  <c r="F92" i="22"/>
  <c r="E92" i="22"/>
  <c r="D92" i="22"/>
  <c r="C92" i="22"/>
  <c r="H91" i="22"/>
  <c r="G91" i="22"/>
  <c r="F91" i="22"/>
  <c r="E91" i="22"/>
  <c r="D91" i="22"/>
  <c r="C91" i="22"/>
  <c r="H90" i="22"/>
  <c r="G90" i="22"/>
  <c r="F90" i="22"/>
  <c r="E90" i="22"/>
  <c r="D90" i="22"/>
  <c r="C90" i="22"/>
  <c r="H89" i="22"/>
  <c r="G89" i="22"/>
  <c r="F89" i="22"/>
  <c r="E89" i="22"/>
  <c r="D89" i="22"/>
  <c r="C89" i="22"/>
  <c r="H88" i="22"/>
  <c r="G88" i="22"/>
  <c r="F88" i="22"/>
  <c r="E88" i="22"/>
  <c r="D88" i="22"/>
  <c r="C88" i="22"/>
  <c r="H87" i="22"/>
  <c r="G87" i="22"/>
  <c r="F87" i="22"/>
  <c r="E87" i="22"/>
  <c r="D87" i="22"/>
  <c r="C87" i="22"/>
  <c r="H86" i="22"/>
  <c r="G86" i="22"/>
  <c r="F86" i="22"/>
  <c r="E86" i="22"/>
  <c r="D86" i="22"/>
  <c r="C86" i="22"/>
  <c r="H85" i="22"/>
  <c r="G85" i="22"/>
  <c r="F85" i="22"/>
  <c r="E85" i="22"/>
  <c r="D85" i="22"/>
  <c r="C85" i="22"/>
  <c r="H84" i="22"/>
  <c r="G84" i="22"/>
  <c r="F84" i="22"/>
  <c r="E84" i="22"/>
  <c r="D84" i="22"/>
  <c r="C84" i="22"/>
  <c r="H82" i="22"/>
  <c r="G82" i="22"/>
  <c r="F82" i="22"/>
  <c r="E82" i="22"/>
  <c r="D82" i="22"/>
  <c r="C82" i="22"/>
  <c r="H81" i="22"/>
  <c r="G81" i="22"/>
  <c r="F81" i="22"/>
  <c r="E81" i="22"/>
  <c r="D81" i="22"/>
  <c r="C81" i="22"/>
  <c r="H80" i="22"/>
  <c r="G80" i="22"/>
  <c r="F80" i="22"/>
  <c r="E80" i="22"/>
  <c r="D80" i="22"/>
  <c r="C80" i="22"/>
  <c r="H79" i="22"/>
  <c r="G79" i="22"/>
  <c r="F79" i="22"/>
  <c r="E79" i="22"/>
  <c r="D79" i="22"/>
  <c r="C79" i="22"/>
  <c r="H78" i="22"/>
  <c r="G78" i="22"/>
  <c r="F78" i="22"/>
  <c r="E78" i="22"/>
  <c r="D78" i="22"/>
  <c r="C78" i="22"/>
  <c r="H77" i="22"/>
  <c r="G77" i="22"/>
  <c r="F77" i="22"/>
  <c r="E77" i="22"/>
  <c r="D77" i="22"/>
  <c r="C77" i="22"/>
  <c r="H76" i="22"/>
  <c r="G76" i="22"/>
  <c r="F76" i="22"/>
  <c r="E76" i="22"/>
  <c r="D76" i="22"/>
  <c r="C76" i="22"/>
  <c r="AH58" i="22" l="1"/>
  <c r="AG60" i="22"/>
  <c r="AG58" i="22"/>
  <c r="AG56" i="22"/>
  <c r="AH54" i="22"/>
  <c r="AH59" i="22"/>
  <c r="AH57" i="22"/>
  <c r="AH55" i="22"/>
  <c r="AH60" i="22"/>
  <c r="AH56" i="22"/>
  <c r="AG59" i="22"/>
  <c r="AG57" i="22"/>
  <c r="C54" i="22"/>
  <c r="C32" i="22"/>
  <c r="H71" i="22"/>
  <c r="G71" i="22"/>
  <c r="F71" i="22"/>
  <c r="E71" i="22"/>
  <c r="D71" i="22"/>
  <c r="C71" i="22"/>
  <c r="H70" i="22"/>
  <c r="G70" i="22"/>
  <c r="F70" i="22"/>
  <c r="E70" i="22"/>
  <c r="D70" i="22"/>
  <c r="C70" i="22"/>
  <c r="H69" i="22"/>
  <c r="G69" i="22"/>
  <c r="F69" i="22"/>
  <c r="E69" i="22"/>
  <c r="D69" i="22"/>
  <c r="C69" i="22"/>
  <c r="H68" i="22"/>
  <c r="G68" i="22"/>
  <c r="F68" i="22"/>
  <c r="E68" i="22"/>
  <c r="D68" i="22"/>
  <c r="C68" i="22"/>
  <c r="H67" i="22"/>
  <c r="G67" i="22"/>
  <c r="F67" i="22"/>
  <c r="E67" i="22"/>
  <c r="D67" i="22"/>
  <c r="C67" i="22"/>
  <c r="H66" i="22"/>
  <c r="G66" i="22"/>
  <c r="F66" i="22"/>
  <c r="E66" i="22"/>
  <c r="D66" i="22"/>
  <c r="C66" i="22"/>
  <c r="H65" i="22"/>
  <c r="G65" i="22"/>
  <c r="F65" i="22"/>
  <c r="E65" i="22"/>
  <c r="D65" i="22"/>
  <c r="C65" i="22"/>
  <c r="H64" i="22"/>
  <c r="G64" i="22"/>
  <c r="F64" i="22"/>
  <c r="E64" i="22"/>
  <c r="D64" i="22"/>
  <c r="C64" i="22"/>
  <c r="H63" i="22"/>
  <c r="G63" i="22"/>
  <c r="F63" i="22"/>
  <c r="E63" i="22"/>
  <c r="D63" i="22"/>
  <c r="C63" i="22"/>
  <c r="H62" i="22"/>
  <c r="G62" i="22"/>
  <c r="F62" i="22"/>
  <c r="E62" i="22"/>
  <c r="D62" i="22"/>
  <c r="C62" i="22"/>
  <c r="H60" i="22"/>
  <c r="G60" i="22"/>
  <c r="F60" i="22"/>
  <c r="E60" i="22"/>
  <c r="D60" i="22"/>
  <c r="C60" i="22"/>
  <c r="H59" i="22"/>
  <c r="G59" i="22"/>
  <c r="F59" i="22"/>
  <c r="E59" i="22"/>
  <c r="D59" i="22"/>
  <c r="C59" i="22"/>
  <c r="H58" i="22"/>
  <c r="G58" i="22"/>
  <c r="F58" i="22"/>
  <c r="E58" i="22"/>
  <c r="D58" i="22"/>
  <c r="C58" i="22"/>
  <c r="H57" i="22"/>
  <c r="G57" i="22"/>
  <c r="F57" i="22"/>
  <c r="E57" i="22"/>
  <c r="D57" i="22"/>
  <c r="C57" i="22"/>
  <c r="H56" i="22"/>
  <c r="G56" i="22"/>
  <c r="F56" i="22"/>
  <c r="E56" i="22"/>
  <c r="D56" i="22"/>
  <c r="C56" i="22"/>
  <c r="H55" i="22"/>
  <c r="G55" i="22"/>
  <c r="F55" i="22"/>
  <c r="E55" i="22"/>
  <c r="D55" i="22"/>
  <c r="C55" i="22"/>
  <c r="H54" i="22"/>
  <c r="G54" i="22"/>
  <c r="F54" i="22"/>
  <c r="E54" i="22"/>
  <c r="D54" i="22"/>
  <c r="AB48" i="22"/>
  <c r="AB49" i="22"/>
  <c r="AA49" i="22"/>
  <c r="AA48" i="22"/>
  <c r="C40" i="22"/>
  <c r="K40" i="22" s="1"/>
  <c r="D47" i="22"/>
  <c r="E47" i="22"/>
  <c r="F47" i="22"/>
  <c r="G47" i="22"/>
  <c r="H47" i="22"/>
  <c r="D48" i="22"/>
  <c r="E48" i="22"/>
  <c r="F48" i="22"/>
  <c r="G48" i="22"/>
  <c r="H48" i="22"/>
  <c r="D49" i="22"/>
  <c r="E49" i="22"/>
  <c r="F49" i="22"/>
  <c r="G49" i="22"/>
  <c r="H49" i="22"/>
  <c r="C48" i="22"/>
  <c r="K48" i="22" s="1"/>
  <c r="C49" i="22"/>
  <c r="J49" i="22" s="1"/>
  <c r="C47" i="22"/>
  <c r="K47" i="22" s="1"/>
  <c r="H46" i="22"/>
  <c r="G46" i="22"/>
  <c r="F46" i="22"/>
  <c r="E46" i="22"/>
  <c r="D46" i="22"/>
  <c r="C46" i="22"/>
  <c r="K46" i="22" s="1"/>
  <c r="H45" i="22"/>
  <c r="G45" i="22"/>
  <c r="F45" i="22"/>
  <c r="E45" i="22"/>
  <c r="D45" i="22"/>
  <c r="C45" i="22"/>
  <c r="H44" i="22"/>
  <c r="G44" i="22"/>
  <c r="F44" i="22"/>
  <c r="E44" i="22"/>
  <c r="D44" i="22"/>
  <c r="C44" i="22"/>
  <c r="K44" i="22" s="1"/>
  <c r="H43" i="22"/>
  <c r="G43" i="22"/>
  <c r="F43" i="22"/>
  <c r="E43" i="22"/>
  <c r="D43" i="22"/>
  <c r="C43" i="22"/>
  <c r="H42" i="22"/>
  <c r="G42" i="22"/>
  <c r="F42" i="22"/>
  <c r="E42" i="22"/>
  <c r="D42" i="22"/>
  <c r="C42" i="22"/>
  <c r="K42" i="22" s="1"/>
  <c r="H41" i="22"/>
  <c r="G41" i="22"/>
  <c r="F41" i="22"/>
  <c r="E41" i="22"/>
  <c r="D41" i="22"/>
  <c r="C41" i="22"/>
  <c r="H40" i="22"/>
  <c r="G40" i="22"/>
  <c r="F40" i="22"/>
  <c r="E40" i="22"/>
  <c r="D40" i="22"/>
  <c r="C37" i="22"/>
  <c r="H38" i="22"/>
  <c r="G38" i="22"/>
  <c r="F38" i="22"/>
  <c r="E38" i="22"/>
  <c r="D38" i="22"/>
  <c r="C38" i="22"/>
  <c r="H37" i="22"/>
  <c r="G37" i="22"/>
  <c r="F37" i="22"/>
  <c r="E37" i="22"/>
  <c r="D37" i="22"/>
  <c r="H36" i="22"/>
  <c r="G36" i="22"/>
  <c r="F36" i="22"/>
  <c r="E36" i="22"/>
  <c r="D36" i="22"/>
  <c r="C36" i="22"/>
  <c r="H35" i="22"/>
  <c r="G35" i="22"/>
  <c r="F35" i="22"/>
  <c r="E35" i="22"/>
  <c r="D35" i="22"/>
  <c r="C35" i="22"/>
  <c r="H34" i="22"/>
  <c r="G34" i="22"/>
  <c r="F34" i="22"/>
  <c r="E34" i="22"/>
  <c r="D34" i="22"/>
  <c r="C34" i="22"/>
  <c r="H33" i="22"/>
  <c r="G33" i="22"/>
  <c r="F33" i="22"/>
  <c r="E33" i="22"/>
  <c r="D33" i="22"/>
  <c r="C33" i="22"/>
  <c r="H32" i="22"/>
  <c r="G32" i="22"/>
  <c r="F32" i="22"/>
  <c r="E32" i="22"/>
  <c r="D32" i="22"/>
  <c r="V49" i="22"/>
  <c r="U49" i="22"/>
  <c r="T49" i="22" s="1"/>
  <c r="K49" i="22"/>
  <c r="J48" i="22"/>
  <c r="J47" i="22"/>
  <c r="K45" i="22"/>
  <c r="J45" i="22"/>
  <c r="K43" i="22"/>
  <c r="J43" i="22"/>
  <c r="J42" i="22"/>
  <c r="K41" i="22"/>
  <c r="J41" i="22"/>
  <c r="AV19" i="22"/>
  <c r="AV20" i="22"/>
  <c r="AV21" i="22"/>
  <c r="AV22" i="22"/>
  <c r="AV23" i="22"/>
  <c r="AV24" i="22"/>
  <c r="AV25" i="22"/>
  <c r="AV26" i="22"/>
  <c r="AV27" i="22"/>
  <c r="AV28" i="22"/>
  <c r="H26" i="22"/>
  <c r="G26" i="22"/>
  <c r="F26" i="22"/>
  <c r="E26" i="22"/>
  <c r="D26" i="22"/>
  <c r="C26" i="22"/>
  <c r="H25" i="22"/>
  <c r="G25" i="22"/>
  <c r="F25" i="22"/>
  <c r="E25" i="22"/>
  <c r="D25" i="22"/>
  <c r="C25" i="22"/>
  <c r="H24" i="22"/>
  <c r="G24" i="22"/>
  <c r="F24" i="22"/>
  <c r="E24" i="22"/>
  <c r="D24" i="22"/>
  <c r="C24" i="22"/>
  <c r="H23" i="22"/>
  <c r="G23" i="22"/>
  <c r="F23" i="22"/>
  <c r="E23" i="22"/>
  <c r="D23" i="22"/>
  <c r="C23" i="22"/>
  <c r="H22" i="22"/>
  <c r="G22" i="22"/>
  <c r="F22" i="22"/>
  <c r="E22" i="22"/>
  <c r="D22" i="22"/>
  <c r="C22" i="22"/>
  <c r="H21" i="22"/>
  <c r="G21" i="22"/>
  <c r="F21" i="22"/>
  <c r="E21" i="22"/>
  <c r="D21" i="22"/>
  <c r="C21" i="22"/>
  <c r="H20" i="22"/>
  <c r="G20" i="22"/>
  <c r="F20" i="22"/>
  <c r="E20" i="22"/>
  <c r="D20" i="22"/>
  <c r="C20" i="22"/>
  <c r="H19" i="22"/>
  <c r="G19" i="22"/>
  <c r="F19" i="22"/>
  <c r="E19" i="22"/>
  <c r="D19" i="22"/>
  <c r="C19" i="22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39" i="21"/>
  <c r="AV11" i="22"/>
  <c r="AV12" i="22"/>
  <c r="AV13" i="22"/>
  <c r="AV14" i="22"/>
  <c r="AV15" i="22"/>
  <c r="AV16" i="22"/>
  <c r="AV17" i="22"/>
  <c r="AV10" i="22"/>
  <c r="AW46" i="19"/>
  <c r="AX46" i="19"/>
  <c r="AW47" i="19"/>
  <c r="AX47" i="19"/>
  <c r="AW48" i="19"/>
  <c r="AX48" i="19"/>
  <c r="O11" i="22"/>
  <c r="O12" i="22"/>
  <c r="O13" i="22"/>
  <c r="O14" i="22"/>
  <c r="O15" i="22"/>
  <c r="O16" i="22"/>
  <c r="O17" i="22"/>
  <c r="O19" i="22"/>
  <c r="O20" i="22"/>
  <c r="O21" i="22"/>
  <c r="O22" i="22"/>
  <c r="O23" i="22"/>
  <c r="O24" i="22"/>
  <c r="O25" i="22"/>
  <c r="O26" i="22"/>
  <c r="O10" i="22"/>
  <c r="P11" i="22"/>
  <c r="P12" i="22"/>
  <c r="P13" i="22"/>
  <c r="P14" i="22"/>
  <c r="P15" i="22"/>
  <c r="P16" i="22"/>
  <c r="P17" i="22"/>
  <c r="P19" i="22"/>
  <c r="P20" i="22"/>
  <c r="P21" i="22"/>
  <c r="P22" i="22"/>
  <c r="P23" i="22"/>
  <c r="P24" i="22"/>
  <c r="P25" i="22"/>
  <c r="P26" i="22"/>
  <c r="P10" i="22"/>
  <c r="D10" i="22"/>
  <c r="E10" i="22"/>
  <c r="F10" i="22"/>
  <c r="G10" i="22"/>
  <c r="H10" i="22"/>
  <c r="D11" i="22"/>
  <c r="E11" i="22"/>
  <c r="F11" i="22"/>
  <c r="G11" i="22"/>
  <c r="H11" i="22"/>
  <c r="D12" i="22"/>
  <c r="E12" i="22"/>
  <c r="F12" i="22"/>
  <c r="G12" i="22"/>
  <c r="H12" i="22"/>
  <c r="D13" i="22"/>
  <c r="E13" i="22"/>
  <c r="F13" i="22"/>
  <c r="G13" i="22"/>
  <c r="H13" i="22"/>
  <c r="D14" i="22"/>
  <c r="E14" i="22"/>
  <c r="F14" i="22"/>
  <c r="G14" i="22"/>
  <c r="H14" i="22"/>
  <c r="D15" i="22"/>
  <c r="E15" i="22"/>
  <c r="F15" i="22"/>
  <c r="G15" i="22"/>
  <c r="H15" i="22"/>
  <c r="D16" i="22"/>
  <c r="E16" i="22"/>
  <c r="F16" i="22"/>
  <c r="G16" i="22"/>
  <c r="H16" i="22"/>
  <c r="D17" i="22"/>
  <c r="E17" i="22"/>
  <c r="F17" i="22"/>
  <c r="G17" i="22"/>
  <c r="H17" i="22"/>
  <c r="C11" i="22"/>
  <c r="C12" i="22"/>
  <c r="C13" i="22"/>
  <c r="C14" i="22"/>
  <c r="C15" i="22"/>
  <c r="C16" i="22"/>
  <c r="C17" i="22"/>
  <c r="C10" i="22"/>
  <c r="J40" i="22" l="1"/>
  <c r="J46" i="22"/>
  <c r="J44" i="22"/>
  <c r="R49" i="22"/>
  <c r="W49" i="22" s="1"/>
  <c r="X49" i="22" s="1"/>
  <c r="S49" i="22"/>
  <c r="Y49" i="22" s="1"/>
  <c r="S180" i="22"/>
  <c r="R180" i="22"/>
  <c r="K180" i="22"/>
  <c r="J180" i="22"/>
  <c r="S179" i="22"/>
  <c r="R179" i="22"/>
  <c r="K179" i="22"/>
  <c r="J179" i="22"/>
  <c r="S178" i="22"/>
  <c r="R178" i="22"/>
  <c r="K178" i="22"/>
  <c r="J178" i="22"/>
  <c r="S177" i="22"/>
  <c r="R177" i="22"/>
  <c r="K177" i="22"/>
  <c r="J177" i="22"/>
  <c r="S176" i="22"/>
  <c r="R176" i="22"/>
  <c r="K176" i="22"/>
  <c r="J176" i="22"/>
  <c r="S175" i="22"/>
  <c r="R175" i="22"/>
  <c r="K175" i="22"/>
  <c r="J175" i="22"/>
  <c r="S174" i="22"/>
  <c r="R174" i="22"/>
  <c r="K174" i="22"/>
  <c r="J174" i="22"/>
  <c r="S173" i="22"/>
  <c r="R173" i="22"/>
  <c r="K173" i="22"/>
  <c r="J173" i="22"/>
  <c r="S172" i="22"/>
  <c r="R172" i="22"/>
  <c r="K172" i="22"/>
  <c r="J172" i="22"/>
  <c r="S171" i="22"/>
  <c r="R171" i="22"/>
  <c r="K171" i="22"/>
  <c r="J171" i="22"/>
  <c r="S169" i="22"/>
  <c r="R169" i="22"/>
  <c r="K169" i="22"/>
  <c r="J169" i="22"/>
  <c r="S168" i="22"/>
  <c r="R168" i="22"/>
  <c r="K168" i="22"/>
  <c r="J168" i="22"/>
  <c r="S167" i="22"/>
  <c r="R167" i="22"/>
  <c r="K167" i="22"/>
  <c r="J167" i="22"/>
  <c r="S166" i="22"/>
  <c r="R166" i="22"/>
  <c r="K166" i="22"/>
  <c r="J166" i="22"/>
  <c r="S165" i="22"/>
  <c r="R165" i="22"/>
  <c r="K165" i="22"/>
  <c r="J165" i="22"/>
  <c r="S164" i="22"/>
  <c r="R164" i="22"/>
  <c r="K164" i="22"/>
  <c r="J164" i="22"/>
  <c r="S163" i="22"/>
  <c r="R163" i="22"/>
  <c r="K163" i="22"/>
  <c r="J163" i="22"/>
  <c r="C161" i="22"/>
  <c r="S158" i="22"/>
  <c r="R158" i="22"/>
  <c r="K158" i="22"/>
  <c r="J158" i="22"/>
  <c r="S157" i="22"/>
  <c r="R157" i="22"/>
  <c r="K157" i="22"/>
  <c r="J157" i="22"/>
  <c r="S156" i="22"/>
  <c r="R156" i="22"/>
  <c r="K156" i="22"/>
  <c r="J156" i="22"/>
  <c r="S155" i="22"/>
  <c r="R155" i="22"/>
  <c r="K155" i="22"/>
  <c r="J155" i="22"/>
  <c r="S154" i="22"/>
  <c r="R154" i="22"/>
  <c r="K154" i="22"/>
  <c r="J154" i="22"/>
  <c r="S153" i="22"/>
  <c r="R153" i="22"/>
  <c r="K153" i="22"/>
  <c r="J153" i="22"/>
  <c r="S152" i="22"/>
  <c r="R152" i="22"/>
  <c r="K152" i="22"/>
  <c r="J152" i="22"/>
  <c r="S151" i="22"/>
  <c r="R151" i="22"/>
  <c r="K151" i="22"/>
  <c r="J151" i="22"/>
  <c r="S150" i="22"/>
  <c r="R150" i="22"/>
  <c r="K150" i="22"/>
  <c r="J150" i="22"/>
  <c r="S149" i="22"/>
  <c r="R149" i="22"/>
  <c r="K149" i="22"/>
  <c r="J149" i="22"/>
  <c r="S147" i="22"/>
  <c r="R147" i="22"/>
  <c r="K147" i="22"/>
  <c r="J147" i="22"/>
  <c r="S146" i="22"/>
  <c r="R146" i="22"/>
  <c r="K146" i="22"/>
  <c r="J146" i="22"/>
  <c r="S145" i="22"/>
  <c r="R145" i="22"/>
  <c r="K145" i="22"/>
  <c r="J145" i="22"/>
  <c r="S144" i="22"/>
  <c r="R144" i="22"/>
  <c r="K144" i="22"/>
  <c r="J144" i="22"/>
  <c r="S143" i="22"/>
  <c r="R143" i="22"/>
  <c r="K143" i="22"/>
  <c r="J143" i="22"/>
  <c r="S142" i="22"/>
  <c r="R142" i="22"/>
  <c r="K142" i="22"/>
  <c r="J142" i="22"/>
  <c r="S141" i="22"/>
  <c r="R141" i="22"/>
  <c r="K141" i="22"/>
  <c r="J141" i="22"/>
  <c r="C139" i="22"/>
  <c r="S136" i="22"/>
  <c r="R136" i="22"/>
  <c r="K136" i="22"/>
  <c r="J136" i="22"/>
  <c r="S135" i="22"/>
  <c r="R135" i="22"/>
  <c r="K135" i="22"/>
  <c r="J135" i="22"/>
  <c r="S134" i="22"/>
  <c r="R134" i="22"/>
  <c r="K134" i="22"/>
  <c r="J134" i="22"/>
  <c r="S133" i="22"/>
  <c r="R133" i="22"/>
  <c r="K133" i="22"/>
  <c r="J133" i="22"/>
  <c r="S132" i="22"/>
  <c r="R132" i="22"/>
  <c r="K132" i="22"/>
  <c r="J132" i="22"/>
  <c r="S131" i="22"/>
  <c r="R131" i="22"/>
  <c r="K131" i="22"/>
  <c r="J131" i="22"/>
  <c r="S130" i="22"/>
  <c r="R130" i="22"/>
  <c r="K130" i="22"/>
  <c r="J130" i="22"/>
  <c r="S129" i="22"/>
  <c r="R129" i="22"/>
  <c r="K129" i="22"/>
  <c r="J129" i="22"/>
  <c r="S128" i="22"/>
  <c r="R128" i="22"/>
  <c r="K128" i="22"/>
  <c r="J128" i="22"/>
  <c r="S127" i="22"/>
  <c r="R127" i="22"/>
  <c r="K127" i="22"/>
  <c r="J127" i="22"/>
  <c r="S125" i="22"/>
  <c r="R125" i="22"/>
  <c r="K125" i="22"/>
  <c r="J125" i="22"/>
  <c r="S124" i="22"/>
  <c r="R124" i="22"/>
  <c r="K124" i="22"/>
  <c r="J124" i="22"/>
  <c r="S123" i="22"/>
  <c r="R123" i="22"/>
  <c r="K123" i="22"/>
  <c r="J123" i="22"/>
  <c r="S122" i="22"/>
  <c r="R122" i="22"/>
  <c r="K122" i="22"/>
  <c r="J122" i="22"/>
  <c r="S121" i="22"/>
  <c r="R121" i="22"/>
  <c r="K121" i="22"/>
  <c r="J121" i="22"/>
  <c r="S120" i="22"/>
  <c r="R120" i="22"/>
  <c r="K120" i="22"/>
  <c r="J120" i="22"/>
  <c r="S119" i="22"/>
  <c r="R119" i="22"/>
  <c r="K119" i="22"/>
  <c r="J119" i="22"/>
  <c r="C117" i="22"/>
  <c r="A117" i="22"/>
  <c r="S115" i="22"/>
  <c r="R115" i="22"/>
  <c r="K115" i="22"/>
  <c r="J115" i="22"/>
  <c r="S114" i="22"/>
  <c r="R114" i="22"/>
  <c r="K114" i="22"/>
  <c r="J114" i="22"/>
  <c r="A114" i="22"/>
  <c r="S113" i="22"/>
  <c r="R113" i="22"/>
  <c r="K113" i="22"/>
  <c r="J113" i="22"/>
  <c r="A113" i="22"/>
  <c r="S112" i="22"/>
  <c r="R112" i="22"/>
  <c r="K112" i="22"/>
  <c r="J112" i="22"/>
  <c r="A112" i="22"/>
  <c r="S111" i="22"/>
  <c r="R111" i="22"/>
  <c r="K111" i="22"/>
  <c r="J111" i="22"/>
  <c r="A111" i="22"/>
  <c r="S110" i="22"/>
  <c r="R110" i="22"/>
  <c r="K110" i="22"/>
  <c r="J110" i="22"/>
  <c r="A110" i="22"/>
  <c r="S109" i="22"/>
  <c r="R109" i="22"/>
  <c r="K109" i="22"/>
  <c r="J109" i="22"/>
  <c r="A109" i="22"/>
  <c r="S108" i="22"/>
  <c r="R108" i="22"/>
  <c r="K108" i="22"/>
  <c r="J108" i="22"/>
  <c r="A108" i="22"/>
  <c r="S107" i="22"/>
  <c r="R107" i="22"/>
  <c r="K107" i="22"/>
  <c r="J107" i="22"/>
  <c r="A107" i="22"/>
  <c r="S106" i="22"/>
  <c r="R106" i="22"/>
  <c r="K106" i="22"/>
  <c r="J106" i="22"/>
  <c r="A106" i="22"/>
  <c r="A105" i="22"/>
  <c r="S104" i="22"/>
  <c r="R104" i="22"/>
  <c r="K104" i="22"/>
  <c r="J104" i="22"/>
  <c r="A104" i="22"/>
  <c r="S103" i="22"/>
  <c r="R103" i="22"/>
  <c r="K103" i="22"/>
  <c r="J103" i="22"/>
  <c r="A103" i="22"/>
  <c r="S102" i="22"/>
  <c r="R102" i="22"/>
  <c r="K102" i="22"/>
  <c r="J102" i="22"/>
  <c r="A102" i="22"/>
  <c r="S101" i="22"/>
  <c r="R101" i="22"/>
  <c r="K101" i="22"/>
  <c r="J101" i="22"/>
  <c r="A101" i="22"/>
  <c r="S100" i="22"/>
  <c r="R100" i="22"/>
  <c r="K100" i="22"/>
  <c r="J100" i="22"/>
  <c r="A100" i="22"/>
  <c r="S99" i="22"/>
  <c r="R99" i="22"/>
  <c r="K99" i="22"/>
  <c r="J99" i="22"/>
  <c r="A99" i="22"/>
  <c r="S98" i="22"/>
  <c r="R98" i="22"/>
  <c r="K98" i="22"/>
  <c r="J98" i="22"/>
  <c r="A98" i="22"/>
  <c r="A97" i="22"/>
  <c r="C96" i="22"/>
  <c r="A96" i="22"/>
  <c r="A95" i="22"/>
  <c r="S93" i="22"/>
  <c r="R93" i="22"/>
  <c r="S92" i="22"/>
  <c r="R92" i="22"/>
  <c r="S91" i="22"/>
  <c r="R91" i="22"/>
  <c r="S90" i="22"/>
  <c r="R90" i="22"/>
  <c r="S89" i="22"/>
  <c r="R89" i="22"/>
  <c r="S88" i="22"/>
  <c r="R88" i="22"/>
  <c r="S87" i="22"/>
  <c r="R87" i="22"/>
  <c r="S86" i="22"/>
  <c r="R86" i="22"/>
  <c r="S85" i="22"/>
  <c r="R85" i="22"/>
  <c r="S84" i="22"/>
  <c r="R84" i="22"/>
  <c r="A84" i="22"/>
  <c r="A83" i="22"/>
  <c r="S82" i="22"/>
  <c r="R82" i="22"/>
  <c r="A82" i="22"/>
  <c r="S81" i="22"/>
  <c r="R81" i="22"/>
  <c r="A81" i="22"/>
  <c r="S80" i="22"/>
  <c r="R80" i="22"/>
  <c r="A80" i="22"/>
  <c r="S79" i="22"/>
  <c r="R79" i="22"/>
  <c r="A79" i="22"/>
  <c r="S78" i="22"/>
  <c r="R78" i="22"/>
  <c r="A78" i="22"/>
  <c r="S77" i="22"/>
  <c r="R77" i="22"/>
  <c r="A77" i="22"/>
  <c r="S76" i="22"/>
  <c r="R76" i="22"/>
  <c r="A76" i="22"/>
  <c r="A75" i="22"/>
  <c r="C74" i="22"/>
  <c r="A74" i="22"/>
  <c r="A73" i="22"/>
  <c r="A72" i="22"/>
  <c r="S71" i="22"/>
  <c r="R71" i="22"/>
  <c r="S70" i="22"/>
  <c r="R70" i="22"/>
  <c r="A70" i="22"/>
  <c r="S69" i="22"/>
  <c r="R69" i="22"/>
  <c r="A69" i="22"/>
  <c r="S68" i="22"/>
  <c r="R68" i="22"/>
  <c r="A68" i="22"/>
  <c r="S67" i="22"/>
  <c r="R67" i="22"/>
  <c r="A67" i="22"/>
  <c r="S66" i="22"/>
  <c r="R66" i="22"/>
  <c r="A66" i="22"/>
  <c r="S65" i="22"/>
  <c r="R65" i="22"/>
  <c r="A65" i="22"/>
  <c r="S64" i="22"/>
  <c r="R64" i="22"/>
  <c r="A64" i="22"/>
  <c r="S63" i="22"/>
  <c r="R63" i="22"/>
  <c r="A63" i="22"/>
  <c r="S62" i="22"/>
  <c r="R62" i="22"/>
  <c r="A62" i="22"/>
  <c r="A61" i="22"/>
  <c r="S60" i="22"/>
  <c r="R60" i="22"/>
  <c r="A60" i="22"/>
  <c r="S59" i="22"/>
  <c r="R59" i="22"/>
  <c r="A59" i="22"/>
  <c r="S58" i="22"/>
  <c r="R58" i="22"/>
  <c r="A58" i="22"/>
  <c r="S57" i="22"/>
  <c r="R57" i="22"/>
  <c r="A57" i="22"/>
  <c r="S56" i="22"/>
  <c r="R56" i="22"/>
  <c r="A56" i="22"/>
  <c r="S55" i="22"/>
  <c r="R55" i="22"/>
  <c r="A55" i="22"/>
  <c r="S54" i="22"/>
  <c r="R54" i="22"/>
  <c r="A54" i="22"/>
  <c r="A53" i="22"/>
  <c r="C52" i="22"/>
  <c r="A52" i="22"/>
  <c r="A51" i="22"/>
  <c r="A49" i="22"/>
  <c r="S48" i="22"/>
  <c r="R48" i="22"/>
  <c r="A48" i="22"/>
  <c r="S47" i="22"/>
  <c r="R47" i="22"/>
  <c r="A47" i="22"/>
  <c r="S46" i="22"/>
  <c r="R46" i="22"/>
  <c r="A46" i="22"/>
  <c r="S45" i="22"/>
  <c r="R45" i="22"/>
  <c r="A45" i="22"/>
  <c r="S44" i="22"/>
  <c r="R44" i="22"/>
  <c r="A44" i="22"/>
  <c r="S43" i="22"/>
  <c r="R43" i="22"/>
  <c r="A43" i="22"/>
  <c r="S42" i="22"/>
  <c r="R42" i="22"/>
  <c r="A42" i="22"/>
  <c r="S41" i="22"/>
  <c r="R41" i="22"/>
  <c r="A41" i="22"/>
  <c r="S40" i="22"/>
  <c r="R40" i="22"/>
  <c r="A40" i="22"/>
  <c r="A39" i="22"/>
  <c r="S38" i="22"/>
  <c r="R38" i="22"/>
  <c r="A38" i="22"/>
  <c r="S37" i="22"/>
  <c r="R37" i="22"/>
  <c r="A37" i="22"/>
  <c r="S36" i="22"/>
  <c r="R36" i="22"/>
  <c r="A36" i="22"/>
  <c r="S35" i="22"/>
  <c r="R35" i="22"/>
  <c r="A35" i="22"/>
  <c r="S34" i="22"/>
  <c r="R34" i="22"/>
  <c r="A34" i="22"/>
  <c r="S33" i="22"/>
  <c r="R33" i="22"/>
  <c r="A33" i="22"/>
  <c r="S32" i="22"/>
  <c r="R32" i="22"/>
  <c r="A32" i="22"/>
  <c r="A31" i="22"/>
  <c r="C29" i="22"/>
  <c r="A30" i="22"/>
  <c r="A29" i="22"/>
  <c r="A28" i="22"/>
  <c r="A27" i="22"/>
  <c r="T26" i="22"/>
  <c r="S26" i="22"/>
  <c r="R26" i="22"/>
  <c r="K26" i="22"/>
  <c r="J26" i="22"/>
  <c r="A26" i="22"/>
  <c r="T25" i="22"/>
  <c r="W25" i="22" s="1"/>
  <c r="S25" i="22"/>
  <c r="R25" i="22"/>
  <c r="K25" i="22"/>
  <c r="J25" i="22"/>
  <c r="A25" i="22"/>
  <c r="T24" i="22"/>
  <c r="S24" i="22"/>
  <c r="R24" i="22"/>
  <c r="K24" i="22"/>
  <c r="J24" i="22"/>
  <c r="A24" i="22"/>
  <c r="T23" i="22"/>
  <c r="S23" i="22"/>
  <c r="R23" i="22"/>
  <c r="K23" i="22"/>
  <c r="J23" i="22"/>
  <c r="A23" i="22"/>
  <c r="T22" i="22"/>
  <c r="S22" i="22"/>
  <c r="R22" i="22"/>
  <c r="K22" i="22"/>
  <c r="Z22" i="22" s="1"/>
  <c r="AA22" i="22" s="1"/>
  <c r="J22" i="22"/>
  <c r="A22" i="22"/>
  <c r="T21" i="22"/>
  <c r="S21" i="22"/>
  <c r="R21" i="22"/>
  <c r="K21" i="22"/>
  <c r="Z21" i="22" s="1"/>
  <c r="AA21" i="22" s="1"/>
  <c r="J21" i="22"/>
  <c r="A21" i="22"/>
  <c r="T20" i="22"/>
  <c r="S20" i="22"/>
  <c r="R20" i="22"/>
  <c r="K20" i="22"/>
  <c r="AB20" i="22" s="1"/>
  <c r="J20" i="22"/>
  <c r="A20" i="22"/>
  <c r="T19" i="22"/>
  <c r="S19" i="22"/>
  <c r="R19" i="22"/>
  <c r="K19" i="22"/>
  <c r="Z19" i="22" s="1"/>
  <c r="AA19" i="22" s="1"/>
  <c r="J19" i="22"/>
  <c r="A19" i="22"/>
  <c r="A18" i="22"/>
  <c r="T17" i="22"/>
  <c r="S17" i="22"/>
  <c r="R17" i="22"/>
  <c r="K17" i="22"/>
  <c r="J17" i="22"/>
  <c r="A17" i="22"/>
  <c r="T16" i="22"/>
  <c r="S16" i="22"/>
  <c r="W16" i="22" s="1"/>
  <c r="R16" i="22"/>
  <c r="K16" i="22"/>
  <c r="J16" i="22"/>
  <c r="A16" i="22"/>
  <c r="T15" i="22"/>
  <c r="S15" i="22"/>
  <c r="R15" i="22"/>
  <c r="K15" i="22"/>
  <c r="J15" i="22"/>
  <c r="A15" i="22"/>
  <c r="T14" i="22"/>
  <c r="U14" i="22" s="1"/>
  <c r="V14" i="22" s="1"/>
  <c r="S14" i="22"/>
  <c r="W14" i="22" s="1"/>
  <c r="R14" i="22"/>
  <c r="K14" i="22"/>
  <c r="J14" i="22"/>
  <c r="A14" i="22"/>
  <c r="T13" i="22"/>
  <c r="S13" i="22"/>
  <c r="R13" i="22"/>
  <c r="U13" i="22" s="1"/>
  <c r="V13" i="22" s="1"/>
  <c r="K13" i="22"/>
  <c r="Z13" i="22" s="1"/>
  <c r="AA13" i="22" s="1"/>
  <c r="J13" i="22"/>
  <c r="A13" i="22"/>
  <c r="T12" i="22"/>
  <c r="S12" i="22"/>
  <c r="W12" i="22" s="1"/>
  <c r="R12" i="22"/>
  <c r="K12" i="22"/>
  <c r="AB12" i="22" s="1"/>
  <c r="J12" i="22"/>
  <c r="A12" i="22"/>
  <c r="T11" i="22"/>
  <c r="S11" i="22"/>
  <c r="R11" i="22"/>
  <c r="K11" i="22"/>
  <c r="AB11" i="22" s="1"/>
  <c r="J11" i="22"/>
  <c r="A11" i="22"/>
  <c r="T10" i="22"/>
  <c r="S10" i="22"/>
  <c r="R10" i="22"/>
  <c r="K10" i="22"/>
  <c r="Z10" i="22" s="1"/>
  <c r="AA78" i="22" s="1"/>
  <c r="J10" i="22"/>
  <c r="A10" i="22"/>
  <c r="A9" i="22"/>
  <c r="A8" i="22"/>
  <c r="A7" i="22"/>
  <c r="A6" i="22"/>
  <c r="A5" i="22"/>
  <c r="A4" i="22"/>
  <c r="A3" i="22"/>
  <c r="D143" i="19"/>
  <c r="E143" i="19"/>
  <c r="D144" i="19"/>
  <c r="E144" i="19"/>
  <c r="D145" i="19"/>
  <c r="E145" i="19"/>
  <c r="D146" i="19"/>
  <c r="E146" i="19"/>
  <c r="D147" i="19"/>
  <c r="E147" i="19"/>
  <c r="D148" i="19"/>
  <c r="E148" i="19"/>
  <c r="D149" i="19"/>
  <c r="E149" i="19"/>
  <c r="D151" i="19"/>
  <c r="E151" i="19"/>
  <c r="D152" i="19"/>
  <c r="E152" i="19"/>
  <c r="D153" i="19"/>
  <c r="E153" i="19"/>
  <c r="D154" i="19"/>
  <c r="E154" i="19"/>
  <c r="D155" i="19"/>
  <c r="E155" i="19"/>
  <c r="D156" i="19"/>
  <c r="E156" i="19"/>
  <c r="D157" i="19"/>
  <c r="E157" i="19"/>
  <c r="D158" i="19"/>
  <c r="D159" i="19"/>
  <c r="D160" i="19"/>
  <c r="D161" i="19"/>
  <c r="AH53" i="13"/>
  <c r="AH54" i="13"/>
  <c r="AH55" i="13"/>
  <c r="AH56" i="13"/>
  <c r="AH57" i="13"/>
  <c r="AH58" i="13"/>
  <c r="AH59" i="13"/>
  <c r="AG54" i="13"/>
  <c r="AG55" i="13"/>
  <c r="AG56" i="13"/>
  <c r="AG57" i="13"/>
  <c r="AG58" i="13"/>
  <c r="AG59" i="13"/>
  <c r="AG53" i="13"/>
  <c r="U143" i="19"/>
  <c r="U144" i="19"/>
  <c r="U145" i="19"/>
  <c r="U146" i="19"/>
  <c r="U147" i="19"/>
  <c r="U148" i="19"/>
  <c r="U149" i="19"/>
  <c r="U151" i="19"/>
  <c r="U152" i="19"/>
  <c r="U153" i="19"/>
  <c r="U154" i="19"/>
  <c r="U155" i="19"/>
  <c r="U156" i="19"/>
  <c r="U157" i="19"/>
  <c r="U158" i="19"/>
  <c r="U159" i="19"/>
  <c r="U160" i="19"/>
  <c r="W24" i="22" l="1"/>
  <c r="W21" i="22"/>
  <c r="Y21" i="22" s="1"/>
  <c r="AB22" i="22"/>
  <c r="W23" i="22"/>
  <c r="W26" i="22"/>
  <c r="U26" i="22"/>
  <c r="V26" i="22" s="1"/>
  <c r="X22" i="22" s="1"/>
  <c r="AC22" i="22" s="1"/>
  <c r="W19" i="22"/>
  <c r="U24" i="22"/>
  <c r="V24" i="22" s="1"/>
  <c r="W11" i="22"/>
  <c r="U19" i="22"/>
  <c r="V19" i="22" s="1"/>
  <c r="X19" i="22" s="1"/>
  <c r="U20" i="22"/>
  <c r="V20" i="22" s="1"/>
  <c r="U22" i="22"/>
  <c r="V22" i="22" s="1"/>
  <c r="U12" i="22"/>
  <c r="V12" i="22" s="1"/>
  <c r="U17" i="22"/>
  <c r="V17" i="22" s="1"/>
  <c r="X13" i="22" s="1"/>
  <c r="AC13" i="22" s="1"/>
  <c r="W20" i="22"/>
  <c r="U21" i="22"/>
  <c r="V21" i="22" s="1"/>
  <c r="W22" i="22"/>
  <c r="Y22" i="22" s="1"/>
  <c r="AB19" i="22"/>
  <c r="Z20" i="22"/>
  <c r="AA20" i="22" s="1"/>
  <c r="U11" i="22"/>
  <c r="V11" i="22" s="1"/>
  <c r="W13" i="22"/>
  <c r="U16" i="22"/>
  <c r="V16" i="22" s="1"/>
  <c r="Z11" i="22"/>
  <c r="AA11" i="22" s="1"/>
  <c r="Z12" i="22"/>
  <c r="AA12" i="22" s="1"/>
  <c r="U15" i="22"/>
  <c r="V15" i="22" s="1"/>
  <c r="Y12" i="22"/>
  <c r="AA32" i="22"/>
  <c r="AA63" i="22"/>
  <c r="AA82" i="22"/>
  <c r="AA36" i="22"/>
  <c r="U10" i="22"/>
  <c r="V10" i="22" s="1"/>
  <c r="X10" i="22" s="1"/>
  <c r="AA55" i="22"/>
  <c r="AB10" i="22"/>
  <c r="AA59" i="22"/>
  <c r="Y20" i="22"/>
  <c r="W10" i="22"/>
  <c r="Y10" i="22" s="1"/>
  <c r="AA64" i="22"/>
  <c r="AA10" i="22"/>
  <c r="U23" i="22"/>
  <c r="V23" i="22" s="1"/>
  <c r="U25" i="22"/>
  <c r="V25" i="22" s="1"/>
  <c r="AA35" i="22"/>
  <c r="AA43" i="22"/>
  <c r="AA56" i="22"/>
  <c r="AA60" i="22"/>
  <c r="AA67" i="22"/>
  <c r="AA168" i="22"/>
  <c r="AA166" i="22"/>
  <c r="AA164" i="22"/>
  <c r="AA147" i="22"/>
  <c r="AA145" i="22"/>
  <c r="AA143" i="22"/>
  <c r="AA141" i="22"/>
  <c r="AA169" i="22"/>
  <c r="AA165" i="22"/>
  <c r="AA133" i="22"/>
  <c r="AA131" i="22"/>
  <c r="AA129" i="22"/>
  <c r="AA125" i="22"/>
  <c r="AA123" i="22"/>
  <c r="AA121" i="22"/>
  <c r="AA119" i="22"/>
  <c r="AA155" i="22"/>
  <c r="AA154" i="22"/>
  <c r="AA153" i="22"/>
  <c r="AA152" i="22"/>
  <c r="AA151" i="22"/>
  <c r="AA150" i="22"/>
  <c r="AA149" i="22"/>
  <c r="AA144" i="22"/>
  <c r="AA167" i="22"/>
  <c r="AA103" i="22"/>
  <c r="AA99" i="22"/>
  <c r="AA90" i="22"/>
  <c r="AA146" i="22"/>
  <c r="AA130" i="22"/>
  <c r="AA124" i="22"/>
  <c r="AA120" i="22"/>
  <c r="AA102" i="22"/>
  <c r="AA98" i="22"/>
  <c r="AA79" i="22"/>
  <c r="AA142" i="22"/>
  <c r="AA132" i="22"/>
  <c r="AA127" i="22"/>
  <c r="AA80" i="22"/>
  <c r="AA76" i="22"/>
  <c r="AA68" i="22"/>
  <c r="AA65" i="22"/>
  <c r="AA57" i="22"/>
  <c r="AA44" i="22"/>
  <c r="AA40" i="22"/>
  <c r="AA38" i="22"/>
  <c r="AA34" i="22"/>
  <c r="AA100" i="22"/>
  <c r="AA163" i="22"/>
  <c r="AA122" i="22"/>
  <c r="AA104" i="22"/>
  <c r="AA89" i="22"/>
  <c r="AA88" i="22"/>
  <c r="AA87" i="22"/>
  <c r="AA86" i="22"/>
  <c r="AA85" i="22"/>
  <c r="AA84" i="22"/>
  <c r="AA81" i="22"/>
  <c r="AA77" i="22"/>
  <c r="AA66" i="22"/>
  <c r="AA62" i="22"/>
  <c r="AA58" i="22"/>
  <c r="AA54" i="22"/>
  <c r="AA45" i="22"/>
  <c r="AA41" i="22"/>
  <c r="AA37" i="22"/>
  <c r="AA33" i="22"/>
  <c r="AA128" i="22"/>
  <c r="AA101" i="22"/>
  <c r="AB13" i="22"/>
  <c r="W15" i="22"/>
  <c r="W17" i="22"/>
  <c r="AB21" i="22"/>
  <c r="AA42" i="22"/>
  <c r="AA46" i="22"/>
  <c r="X20" i="22" l="1"/>
  <c r="Y19" i="22"/>
  <c r="AA26" i="22" s="1"/>
  <c r="X12" i="22"/>
  <c r="AC12" i="22" s="1"/>
  <c r="AC20" i="22"/>
  <c r="Z23" i="22" s="1"/>
  <c r="Y13" i="22"/>
  <c r="AA17" i="22" s="1"/>
  <c r="Y11" i="22"/>
  <c r="X21" i="22"/>
  <c r="AC21" i="22" s="1"/>
  <c r="X11" i="22"/>
  <c r="AA16" i="22" s="1"/>
  <c r="AC10" i="22"/>
  <c r="AA25" i="22"/>
  <c r="AC19" i="22"/>
  <c r="V154" i="22" l="1"/>
  <c r="Y154" i="22" s="1"/>
  <c r="V150" i="22"/>
  <c r="Y150" i="22" s="1"/>
  <c r="V177" i="22"/>
  <c r="Y177" i="22" s="1"/>
  <c r="V158" i="22"/>
  <c r="Y158" i="22" s="1"/>
  <c r="V129" i="22"/>
  <c r="Y129" i="22" s="1"/>
  <c r="V136" i="22"/>
  <c r="Y136" i="22" s="1"/>
  <c r="V108" i="22"/>
  <c r="Y108" i="22" s="1"/>
  <c r="V107" i="22"/>
  <c r="Y107" i="22" s="1"/>
  <c r="V114" i="22"/>
  <c r="Y114" i="22" s="1"/>
  <c r="V88" i="22"/>
  <c r="Y88" i="22" s="1"/>
  <c r="V84" i="22"/>
  <c r="Y84" i="22" s="1"/>
  <c r="V69" i="22"/>
  <c r="Y69" i="22" s="1"/>
  <c r="V66" i="22"/>
  <c r="Y66" i="22" s="1"/>
  <c r="V134" i="22"/>
  <c r="Y134" i="22" s="1"/>
  <c r="V46" i="22"/>
  <c r="Y46" i="22" s="1"/>
  <c r="V64" i="22"/>
  <c r="Y64" i="22" s="1"/>
  <c r="V65" i="22"/>
  <c r="Y65" i="22" s="1"/>
  <c r="V153" i="22"/>
  <c r="Y153" i="22" s="1"/>
  <c r="V149" i="22"/>
  <c r="Y149" i="22" s="1"/>
  <c r="V175" i="22"/>
  <c r="Y175" i="22" s="1"/>
  <c r="V157" i="22"/>
  <c r="Y157" i="22" s="1"/>
  <c r="V178" i="22"/>
  <c r="Y178" i="22" s="1"/>
  <c r="V128" i="22"/>
  <c r="Y128" i="22" s="1"/>
  <c r="V176" i="22"/>
  <c r="Y176" i="22" s="1"/>
  <c r="V93" i="22"/>
  <c r="Y93" i="22" s="1"/>
  <c r="V110" i="22"/>
  <c r="Y110" i="22" s="1"/>
  <c r="V87" i="22"/>
  <c r="Y87" i="22" s="1"/>
  <c r="V130" i="22"/>
  <c r="Y130" i="22" s="1"/>
  <c r="V71" i="22"/>
  <c r="Y71" i="22" s="1"/>
  <c r="V62" i="22"/>
  <c r="Y62" i="22" s="1"/>
  <c r="V113" i="22"/>
  <c r="Y113" i="22" s="1"/>
  <c r="V42" i="22"/>
  <c r="Y42" i="22" s="1"/>
  <c r="V44" i="22"/>
  <c r="Y44" i="22" s="1"/>
  <c r="V47" i="22"/>
  <c r="Y47" i="22" s="1"/>
  <c r="V156" i="22"/>
  <c r="Y156" i="22" s="1"/>
  <c r="V152" i="22"/>
  <c r="Y152" i="22" s="1"/>
  <c r="V180" i="22"/>
  <c r="Y180" i="22" s="1"/>
  <c r="V173" i="22"/>
  <c r="Y173" i="22" s="1"/>
  <c r="V133" i="22"/>
  <c r="Y133" i="22" s="1"/>
  <c r="V174" i="22"/>
  <c r="Y174" i="22" s="1"/>
  <c r="V127" i="22"/>
  <c r="Y127" i="22" s="1"/>
  <c r="V132" i="22"/>
  <c r="Y132" i="22" s="1"/>
  <c r="V92" i="22"/>
  <c r="Y92" i="22" s="1"/>
  <c r="V106" i="22"/>
  <c r="Y106" i="22" s="1"/>
  <c r="V86" i="22"/>
  <c r="Y86" i="22" s="1"/>
  <c r="V91" i="22"/>
  <c r="Y91" i="22" s="1"/>
  <c r="V70" i="22"/>
  <c r="Y70" i="22" s="1"/>
  <c r="V45" i="22"/>
  <c r="Y45" i="22" s="1"/>
  <c r="V63" i="22"/>
  <c r="Y63" i="22" s="1"/>
  <c r="V109" i="22"/>
  <c r="Y109" i="22" s="1"/>
  <c r="V40" i="22"/>
  <c r="Y40" i="22" s="1"/>
  <c r="V43" i="22"/>
  <c r="Y43" i="22" s="1"/>
  <c r="V155" i="22"/>
  <c r="Y155" i="22" s="1"/>
  <c r="V151" i="22"/>
  <c r="Y151" i="22" s="1"/>
  <c r="V179" i="22"/>
  <c r="Y179" i="22" s="1"/>
  <c r="V171" i="22"/>
  <c r="Y171" i="22" s="1"/>
  <c r="V131" i="22"/>
  <c r="Y131" i="22" s="1"/>
  <c r="V135" i="22"/>
  <c r="Y135" i="22" s="1"/>
  <c r="V112" i="22"/>
  <c r="Y112" i="22" s="1"/>
  <c r="V111" i="22"/>
  <c r="Y111" i="22" s="1"/>
  <c r="V115" i="22"/>
  <c r="Y115" i="22" s="1"/>
  <c r="V89" i="22"/>
  <c r="Y89" i="22" s="1"/>
  <c r="V85" i="22"/>
  <c r="Y85" i="22" s="1"/>
  <c r="V90" i="22"/>
  <c r="Y90" i="22" s="1"/>
  <c r="V67" i="22"/>
  <c r="Y67" i="22" s="1"/>
  <c r="V41" i="22"/>
  <c r="Y41" i="22" s="1"/>
  <c r="V48" i="22"/>
  <c r="Y48" i="22" s="1"/>
  <c r="V172" i="22"/>
  <c r="Y172" i="22" s="1"/>
  <c r="V68" i="22"/>
  <c r="Y68" i="22" s="1"/>
  <c r="AC11" i="22"/>
  <c r="U174" i="22"/>
  <c r="T174" i="22" s="1"/>
  <c r="W174" i="22" s="1"/>
  <c r="X174" i="22" s="1"/>
  <c r="U131" i="22"/>
  <c r="T131" i="22" s="1"/>
  <c r="W131" i="22" s="1"/>
  <c r="X131" i="22" s="1"/>
  <c r="U142" i="22"/>
  <c r="T142" i="22" s="1"/>
  <c r="W142" i="22" s="1"/>
  <c r="X142" i="22" s="1"/>
  <c r="U180" i="22"/>
  <c r="T180" i="22" s="1"/>
  <c r="W180" i="22" s="1"/>
  <c r="X180" i="22" s="1"/>
  <c r="U110" i="22"/>
  <c r="T110" i="22" s="1"/>
  <c r="W110" i="22" s="1"/>
  <c r="X110" i="22" s="1"/>
  <c r="U89" i="22"/>
  <c r="T89" i="22" s="1"/>
  <c r="W89" i="22" s="1"/>
  <c r="X89" i="22" s="1"/>
  <c r="U48" i="22"/>
  <c r="T48" i="22" s="1"/>
  <c r="W48" i="22" s="1"/>
  <c r="X48" i="22" s="1"/>
  <c r="U98" i="22"/>
  <c r="T98" i="22" s="1"/>
  <c r="W98" i="22" s="1"/>
  <c r="X98" i="22" s="1"/>
  <c r="U58" i="22"/>
  <c r="T58" i="22" s="1"/>
  <c r="W58" i="22" s="1"/>
  <c r="X58" i="22" s="1"/>
  <c r="U176" i="22"/>
  <c r="T176" i="22" s="1"/>
  <c r="W176" i="22" s="1"/>
  <c r="X176" i="22" s="1"/>
  <c r="U154" i="22"/>
  <c r="T154" i="22" s="1"/>
  <c r="W154" i="22" s="1"/>
  <c r="X154" i="22" s="1"/>
  <c r="U136" i="22"/>
  <c r="T136" i="22" s="1"/>
  <c r="W136" i="22" s="1"/>
  <c r="X136" i="22" s="1"/>
  <c r="U101" i="22"/>
  <c r="T101" i="22" s="1"/>
  <c r="W101" i="22" s="1"/>
  <c r="X101" i="22" s="1"/>
  <c r="U109" i="22"/>
  <c r="T109" i="22" s="1"/>
  <c r="W109" i="22" s="1"/>
  <c r="X109" i="22" s="1"/>
  <c r="U84" i="22"/>
  <c r="T84" i="22" s="1"/>
  <c r="W84" i="22" s="1"/>
  <c r="X84" i="22" s="1"/>
  <c r="U102" i="22"/>
  <c r="T102" i="22" s="1"/>
  <c r="W102" i="22" s="1"/>
  <c r="X102" i="22" s="1"/>
  <c r="U90" i="22"/>
  <c r="T90" i="22" s="1"/>
  <c r="W90" i="22" s="1"/>
  <c r="X90" i="22" s="1"/>
  <c r="U40" i="22"/>
  <c r="T40" i="22" s="1"/>
  <c r="W40" i="22" s="1"/>
  <c r="X40" i="22" s="1"/>
  <c r="U134" i="22"/>
  <c r="T134" i="22" s="1"/>
  <c r="W134" i="22" s="1"/>
  <c r="X134" i="22" s="1"/>
  <c r="U144" i="22"/>
  <c r="T144" i="22" s="1"/>
  <c r="W144" i="22" s="1"/>
  <c r="X144" i="22" s="1"/>
  <c r="U147" i="22"/>
  <c r="T147" i="22" s="1"/>
  <c r="W147" i="22" s="1"/>
  <c r="X147" i="22" s="1"/>
  <c r="U115" i="22"/>
  <c r="T115" i="22" s="1"/>
  <c r="W115" i="22" s="1"/>
  <c r="X115" i="22" s="1"/>
  <c r="U55" i="22"/>
  <c r="T55" i="22" s="1"/>
  <c r="W55" i="22" s="1"/>
  <c r="X55" i="22" s="1"/>
  <c r="U43" i="22"/>
  <c r="T43" i="22" s="1"/>
  <c r="W43" i="22" s="1"/>
  <c r="X43" i="22" s="1"/>
  <c r="U65" i="22"/>
  <c r="T65" i="22" s="1"/>
  <c r="W65" i="22" s="1"/>
  <c r="X65" i="22" s="1"/>
  <c r="U179" i="22"/>
  <c r="T179" i="22" s="1"/>
  <c r="W179" i="22" s="1"/>
  <c r="X179" i="22" s="1"/>
  <c r="U172" i="22"/>
  <c r="T172" i="22" s="1"/>
  <c r="W172" i="22" s="1"/>
  <c r="X172" i="22" s="1"/>
  <c r="U153" i="22"/>
  <c r="T153" i="22" s="1"/>
  <c r="W153" i="22" s="1"/>
  <c r="X153" i="22" s="1"/>
  <c r="U124" i="22"/>
  <c r="T124" i="22" s="1"/>
  <c r="W124" i="22" s="1"/>
  <c r="X124" i="22" s="1"/>
  <c r="U93" i="22"/>
  <c r="T93" i="22" s="1"/>
  <c r="W93" i="22" s="1"/>
  <c r="X93" i="22" s="1"/>
  <c r="U108" i="22"/>
  <c r="T108" i="22" s="1"/>
  <c r="W108" i="22" s="1"/>
  <c r="X108" i="22" s="1"/>
  <c r="U91" i="22"/>
  <c r="T91" i="22" s="1"/>
  <c r="W91" i="22" s="1"/>
  <c r="X91" i="22" s="1"/>
  <c r="U68" i="22"/>
  <c r="T68" i="22" s="1"/>
  <c r="W68" i="22" s="1"/>
  <c r="X68" i="22" s="1"/>
  <c r="U69" i="22"/>
  <c r="T69" i="22" s="1"/>
  <c r="W69" i="22" s="1"/>
  <c r="X69" i="22" s="1"/>
  <c r="U33" i="22"/>
  <c r="T33" i="22" s="1"/>
  <c r="W33" i="22" s="1"/>
  <c r="X33" i="22" s="1"/>
  <c r="Z24" i="22"/>
  <c r="U41" i="22"/>
  <c r="T41" i="22" s="1"/>
  <c r="W41" i="22" s="1"/>
  <c r="X41" i="22" s="1"/>
  <c r="U70" i="22"/>
  <c r="T70" i="22" s="1"/>
  <c r="W70" i="22" s="1"/>
  <c r="X70" i="22" s="1"/>
  <c r="AA70" i="22" s="1"/>
  <c r="U34" i="22"/>
  <c r="T34" i="22" s="1"/>
  <c r="W34" i="22" s="1"/>
  <c r="X34" i="22" s="1"/>
  <c r="U47" i="22"/>
  <c r="T47" i="22" s="1"/>
  <c r="W47" i="22" s="1"/>
  <c r="X47" i="22" s="1"/>
  <c r="U32" i="22"/>
  <c r="T32" i="22" s="1"/>
  <c r="W32" i="22" s="1"/>
  <c r="X32" i="22" s="1"/>
  <c r="U76" i="22"/>
  <c r="T76" i="22" s="1"/>
  <c r="W76" i="22" s="1"/>
  <c r="X76" i="22" s="1"/>
  <c r="U85" i="22"/>
  <c r="T85" i="22" s="1"/>
  <c r="W85" i="22" s="1"/>
  <c r="X85" i="22" s="1"/>
  <c r="U77" i="22"/>
  <c r="T77" i="22" s="1"/>
  <c r="W77" i="22" s="1"/>
  <c r="X77" i="22" s="1"/>
  <c r="U100" i="22"/>
  <c r="T100" i="22" s="1"/>
  <c r="W100" i="22" s="1"/>
  <c r="X100" i="22" s="1"/>
  <c r="U123" i="22"/>
  <c r="T123" i="22" s="1"/>
  <c r="W123" i="22" s="1"/>
  <c r="X123" i="22" s="1"/>
  <c r="U107" i="22"/>
  <c r="T107" i="22" s="1"/>
  <c r="W107" i="22" s="1"/>
  <c r="X107" i="22" s="1"/>
  <c r="U158" i="22"/>
  <c r="T158" i="22" s="1"/>
  <c r="W158" i="22" s="1"/>
  <c r="X158" i="22" s="1"/>
  <c r="U164" i="22"/>
  <c r="T164" i="22" s="1"/>
  <c r="W164" i="22" s="1"/>
  <c r="X164" i="22" s="1"/>
  <c r="U149" i="22"/>
  <c r="T149" i="22" s="1"/>
  <c r="W149" i="22" s="1"/>
  <c r="X149" i="22" s="1"/>
  <c r="U129" i="22"/>
  <c r="T129" i="22" s="1"/>
  <c r="W129" i="22" s="1"/>
  <c r="X129" i="22" s="1"/>
  <c r="U163" i="22"/>
  <c r="T163" i="22" s="1"/>
  <c r="W163" i="22" s="1"/>
  <c r="X163" i="22" s="1"/>
  <c r="U178" i="22"/>
  <c r="T178" i="22" s="1"/>
  <c r="W178" i="22" s="1"/>
  <c r="X178" i="22" s="1"/>
  <c r="U45" i="22"/>
  <c r="T45" i="22" s="1"/>
  <c r="W45" i="22" s="1"/>
  <c r="X45" i="22" s="1"/>
  <c r="U67" i="22"/>
  <c r="T67" i="22" s="1"/>
  <c r="W67" i="22" s="1"/>
  <c r="X67" i="22" s="1"/>
  <c r="U79" i="22"/>
  <c r="T79" i="22" s="1"/>
  <c r="W79" i="22" s="1"/>
  <c r="X79" i="22" s="1"/>
  <c r="U56" i="22"/>
  <c r="T56" i="22" s="1"/>
  <c r="W56" i="22" s="1"/>
  <c r="X56" i="22" s="1"/>
  <c r="U42" i="22"/>
  <c r="T42" i="22" s="1"/>
  <c r="W42" i="22" s="1"/>
  <c r="X42" i="22" s="1"/>
  <c r="U80" i="22"/>
  <c r="T80" i="22" s="1"/>
  <c r="W80" i="22" s="1"/>
  <c r="X80" i="22" s="1"/>
  <c r="U87" i="22"/>
  <c r="T87" i="22" s="1"/>
  <c r="W87" i="22" s="1"/>
  <c r="X87" i="22" s="1"/>
  <c r="U103" i="22"/>
  <c r="T103" i="22" s="1"/>
  <c r="W103" i="22" s="1"/>
  <c r="X103" i="22" s="1"/>
  <c r="U104" i="22"/>
  <c r="T104" i="22" s="1"/>
  <c r="W104" i="22" s="1"/>
  <c r="X104" i="22" s="1"/>
  <c r="U135" i="22"/>
  <c r="T135" i="22" s="1"/>
  <c r="W135" i="22" s="1"/>
  <c r="X135" i="22" s="1"/>
  <c r="U175" i="22"/>
  <c r="T175" i="22" s="1"/>
  <c r="W175" i="22" s="1"/>
  <c r="X175" i="22" s="1"/>
  <c r="U122" i="22"/>
  <c r="T122" i="22" s="1"/>
  <c r="W122" i="22" s="1"/>
  <c r="X122" i="22" s="1"/>
  <c r="U168" i="22"/>
  <c r="T168" i="22" s="1"/>
  <c r="W168" i="22" s="1"/>
  <c r="X168" i="22" s="1"/>
  <c r="U151" i="22"/>
  <c r="T151" i="22" s="1"/>
  <c r="W151" i="22" s="1"/>
  <c r="X151" i="22" s="1"/>
  <c r="U130" i="22"/>
  <c r="T130" i="22" s="1"/>
  <c r="W130" i="22" s="1"/>
  <c r="X130" i="22" s="1"/>
  <c r="U167" i="22"/>
  <c r="T167" i="22" s="1"/>
  <c r="W167" i="22" s="1"/>
  <c r="X167" i="22" s="1"/>
  <c r="Z14" i="22"/>
  <c r="AA135" i="22"/>
  <c r="U37" i="22"/>
  <c r="T37" i="22" s="1"/>
  <c r="W37" i="22" s="1"/>
  <c r="X37" i="22" s="1"/>
  <c r="U54" i="22"/>
  <c r="T54" i="22" s="1"/>
  <c r="W54" i="22" s="1"/>
  <c r="X54" i="22" s="1"/>
  <c r="U66" i="22"/>
  <c r="T66" i="22" s="1"/>
  <c r="W66" i="22" s="1"/>
  <c r="X66" i="22" s="1"/>
  <c r="U141" i="22"/>
  <c r="T141" i="22" s="1"/>
  <c r="W141" i="22" s="1"/>
  <c r="X141" i="22" s="1"/>
  <c r="U121" i="22"/>
  <c r="T121" i="22" s="1"/>
  <c r="W121" i="22" s="1"/>
  <c r="X121" i="22" s="1"/>
  <c r="U64" i="22"/>
  <c r="T64" i="22" s="1"/>
  <c r="W64" i="22" s="1"/>
  <c r="X64" i="22" s="1"/>
  <c r="U36" i="22"/>
  <c r="T36" i="22" s="1"/>
  <c r="W36" i="22" s="1"/>
  <c r="X36" i="22" s="1"/>
  <c r="U59" i="22"/>
  <c r="T59" i="22" s="1"/>
  <c r="W59" i="22" s="1"/>
  <c r="X59" i="22" s="1"/>
  <c r="U82" i="22"/>
  <c r="T82" i="22" s="1"/>
  <c r="W82" i="22" s="1"/>
  <c r="X82" i="22" s="1"/>
  <c r="U88" i="22"/>
  <c r="T88" i="22" s="1"/>
  <c r="W88" i="22" s="1"/>
  <c r="X88" i="22" s="1"/>
  <c r="U81" i="22"/>
  <c r="T81" i="22" s="1"/>
  <c r="W81" i="22" s="1"/>
  <c r="X81" i="22" s="1"/>
  <c r="U113" i="22"/>
  <c r="T113" i="22" s="1"/>
  <c r="W113" i="22" s="1"/>
  <c r="X113" i="22" s="1"/>
  <c r="U114" i="22"/>
  <c r="T114" i="22" s="1"/>
  <c r="W114" i="22" s="1"/>
  <c r="X114" i="22" s="1"/>
  <c r="AA114" i="22" s="1"/>
  <c r="U145" i="22"/>
  <c r="T145" i="22" s="1"/>
  <c r="W145" i="22" s="1"/>
  <c r="X145" i="22" s="1"/>
  <c r="U166" i="22"/>
  <c r="T166" i="22" s="1"/>
  <c r="W166" i="22" s="1"/>
  <c r="X166" i="22" s="1"/>
  <c r="U157" i="22"/>
  <c r="T157" i="22" s="1"/>
  <c r="W157" i="22" s="1"/>
  <c r="X157" i="22" s="1"/>
  <c r="U127" i="22"/>
  <c r="T127" i="22" s="1"/>
  <c r="W127" i="22" s="1"/>
  <c r="X127" i="22" s="1"/>
  <c r="U177" i="22"/>
  <c r="T177" i="22" s="1"/>
  <c r="W177" i="22" s="1"/>
  <c r="X177" i="22" s="1"/>
  <c r="U150" i="22"/>
  <c r="T150" i="22" s="1"/>
  <c r="W150" i="22" s="1"/>
  <c r="X150" i="22" s="1"/>
  <c r="U155" i="22"/>
  <c r="T155" i="22" s="1"/>
  <c r="W155" i="22" s="1"/>
  <c r="X155" i="22" s="1"/>
  <c r="U133" i="22"/>
  <c r="T133" i="22" s="1"/>
  <c r="W133" i="22" s="1"/>
  <c r="X133" i="22" s="1"/>
  <c r="U169" i="22"/>
  <c r="T169" i="22" s="1"/>
  <c r="W169" i="22" s="1"/>
  <c r="X169" i="22" s="1"/>
  <c r="U44" i="22"/>
  <c r="T44" i="22" s="1"/>
  <c r="W44" i="22" s="1"/>
  <c r="X44" i="22" s="1"/>
  <c r="U57" i="22"/>
  <c r="T57" i="22" s="1"/>
  <c r="W57" i="22" s="1"/>
  <c r="X57" i="22" s="1"/>
  <c r="U62" i="22"/>
  <c r="T62" i="22" s="1"/>
  <c r="W62" i="22" s="1"/>
  <c r="X62" i="22" s="1"/>
  <c r="U71" i="22"/>
  <c r="T71" i="22" s="1"/>
  <c r="W71" i="22" s="1"/>
  <c r="X71" i="22" s="1"/>
  <c r="U38" i="22"/>
  <c r="T38" i="22" s="1"/>
  <c r="W38" i="22" s="1"/>
  <c r="X38" i="22" s="1"/>
  <c r="U35" i="22"/>
  <c r="T35" i="22" s="1"/>
  <c r="W35" i="22" s="1"/>
  <c r="X35" i="22" s="1"/>
  <c r="U60" i="22"/>
  <c r="T60" i="22" s="1"/>
  <c r="W60" i="22" s="1"/>
  <c r="X60" i="22" s="1"/>
  <c r="U171" i="22"/>
  <c r="T171" i="22" s="1"/>
  <c r="W171" i="22" s="1"/>
  <c r="X171" i="22" s="1"/>
  <c r="U46" i="22"/>
  <c r="T46" i="22" s="1"/>
  <c r="W46" i="22" s="1"/>
  <c r="X46" i="22" s="1"/>
  <c r="U63" i="22"/>
  <c r="T63" i="22" s="1"/>
  <c r="W63" i="22" s="1"/>
  <c r="X63" i="22" s="1"/>
  <c r="U78" i="22"/>
  <c r="T78" i="22" s="1"/>
  <c r="W78" i="22" s="1"/>
  <c r="X78" i="22" s="1"/>
  <c r="U86" i="22"/>
  <c r="T86" i="22" s="1"/>
  <c r="W86" i="22" s="1"/>
  <c r="X86" i="22" s="1"/>
  <c r="U125" i="22"/>
  <c r="T125" i="22" s="1"/>
  <c r="W125" i="22" s="1"/>
  <c r="X125" i="22" s="1"/>
  <c r="U99" i="22"/>
  <c r="T99" i="22" s="1"/>
  <c r="W99" i="22" s="1"/>
  <c r="X99" i="22" s="1"/>
  <c r="U112" i="22"/>
  <c r="T112" i="22" s="1"/>
  <c r="W112" i="22" s="1"/>
  <c r="X112" i="22" s="1"/>
  <c r="U106" i="22"/>
  <c r="T106" i="22" s="1"/>
  <c r="W106" i="22" s="1"/>
  <c r="X106" i="22" s="1"/>
  <c r="U119" i="22"/>
  <c r="T119" i="22" s="1"/>
  <c r="W119" i="22" s="1"/>
  <c r="X119" i="22" s="1"/>
  <c r="U92" i="22"/>
  <c r="T92" i="22" s="1"/>
  <c r="W92" i="22" s="1"/>
  <c r="X92" i="22" s="1"/>
  <c r="U111" i="22"/>
  <c r="T111" i="22" s="1"/>
  <c r="W111" i="22" s="1"/>
  <c r="X111" i="22" s="1"/>
  <c r="U143" i="22"/>
  <c r="T143" i="22" s="1"/>
  <c r="W143" i="22" s="1"/>
  <c r="X143" i="22" s="1"/>
  <c r="U120" i="22"/>
  <c r="T120" i="22" s="1"/>
  <c r="W120" i="22" s="1"/>
  <c r="X120" i="22" s="1"/>
  <c r="U128" i="22"/>
  <c r="T128" i="22" s="1"/>
  <c r="W128" i="22" s="1"/>
  <c r="X128" i="22" s="1"/>
  <c r="U173" i="22"/>
  <c r="T173" i="22" s="1"/>
  <c r="W173" i="22" s="1"/>
  <c r="X173" i="22" s="1"/>
  <c r="U146" i="22"/>
  <c r="T146" i="22" s="1"/>
  <c r="W146" i="22" s="1"/>
  <c r="X146" i="22" s="1"/>
  <c r="U152" i="22"/>
  <c r="T152" i="22" s="1"/>
  <c r="W152" i="22" s="1"/>
  <c r="X152" i="22" s="1"/>
  <c r="U156" i="22"/>
  <c r="T156" i="22" s="1"/>
  <c r="W156" i="22" s="1"/>
  <c r="X156" i="22" s="1"/>
  <c r="AA157" i="22" s="1"/>
  <c r="U132" i="22"/>
  <c r="T132" i="22" s="1"/>
  <c r="W132" i="22" s="1"/>
  <c r="X132" i="22" s="1"/>
  <c r="U165" i="22"/>
  <c r="T165" i="22" s="1"/>
  <c r="W165" i="22" s="1"/>
  <c r="X165" i="22" s="1"/>
  <c r="Z15" i="22"/>
  <c r="V146" i="22"/>
  <c r="Y146" i="22" s="1"/>
  <c r="AC146" i="22" s="1"/>
  <c r="V144" i="22"/>
  <c r="Y144" i="22" s="1"/>
  <c r="V142" i="22"/>
  <c r="Y142" i="22" s="1"/>
  <c r="AC142" i="22" s="1"/>
  <c r="V168" i="22"/>
  <c r="Y168" i="22" s="1"/>
  <c r="AC168" i="22" s="1"/>
  <c r="V166" i="22"/>
  <c r="Y166" i="22" s="1"/>
  <c r="V164" i="22"/>
  <c r="Y164" i="22" s="1"/>
  <c r="V147" i="22"/>
  <c r="Y147" i="22" s="1"/>
  <c r="AC147" i="22" s="1"/>
  <c r="V143" i="22"/>
  <c r="Y143" i="22" s="1"/>
  <c r="AC143" i="22" s="1"/>
  <c r="V167" i="22"/>
  <c r="Y167" i="22" s="1"/>
  <c r="V163" i="22"/>
  <c r="Y163" i="22" s="1"/>
  <c r="V125" i="22"/>
  <c r="Y125" i="22" s="1"/>
  <c r="AC125" i="22" s="1"/>
  <c r="V123" i="22"/>
  <c r="Y123" i="22" s="1"/>
  <c r="AC123" i="22" s="1"/>
  <c r="V121" i="22"/>
  <c r="Y121" i="22" s="1"/>
  <c r="AC121" i="22" s="1"/>
  <c r="V119" i="22"/>
  <c r="Y119" i="22" s="1"/>
  <c r="AC119" i="22" s="1"/>
  <c r="V141" i="22"/>
  <c r="Y141" i="22" s="1"/>
  <c r="AC141" i="22" s="1"/>
  <c r="V122" i="22"/>
  <c r="Y122" i="22" s="1"/>
  <c r="AC122" i="22" s="1"/>
  <c r="V102" i="22"/>
  <c r="Y102" i="22" s="1"/>
  <c r="V98" i="22"/>
  <c r="Y98" i="22" s="1"/>
  <c r="V165" i="22"/>
  <c r="Y165" i="22" s="1"/>
  <c r="AC165" i="22" s="1"/>
  <c r="V101" i="22"/>
  <c r="Y101" i="22" s="1"/>
  <c r="V169" i="22"/>
  <c r="Y169" i="22" s="1"/>
  <c r="AC169" i="22" s="1"/>
  <c r="V124" i="22"/>
  <c r="Y124" i="22" s="1"/>
  <c r="AC124" i="22" s="1"/>
  <c r="V82" i="22"/>
  <c r="Y82" i="22" s="1"/>
  <c r="V78" i="22"/>
  <c r="Y78" i="22" s="1"/>
  <c r="V79" i="22"/>
  <c r="Y79" i="22" s="1"/>
  <c r="V104" i="22"/>
  <c r="Y104" i="22" s="1"/>
  <c r="V58" i="22"/>
  <c r="Y58" i="22" s="1"/>
  <c r="V54" i="22"/>
  <c r="Y54" i="22" s="1"/>
  <c r="V37" i="22"/>
  <c r="Y37" i="22" s="1"/>
  <c r="V33" i="22"/>
  <c r="Y33" i="22" s="1"/>
  <c r="AC33" i="22" s="1"/>
  <c r="V145" i="22"/>
  <c r="Y145" i="22" s="1"/>
  <c r="AC145" i="22" s="1"/>
  <c r="V103" i="22"/>
  <c r="Y103" i="22" s="1"/>
  <c r="V80" i="22"/>
  <c r="Y80" i="22" s="1"/>
  <c r="V76" i="22"/>
  <c r="Y76" i="22" s="1"/>
  <c r="AC76" i="22" s="1"/>
  <c r="V59" i="22"/>
  <c r="Y59" i="22" s="1"/>
  <c r="V55" i="22"/>
  <c r="Y55" i="22" s="1"/>
  <c r="V36" i="22"/>
  <c r="Y36" i="22" s="1"/>
  <c r="AC36" i="22" s="1"/>
  <c r="V32" i="22"/>
  <c r="Y32" i="22" s="1"/>
  <c r="AC32" i="22" s="1"/>
  <c r="V99" i="22"/>
  <c r="Y99" i="22" s="1"/>
  <c r="V81" i="22"/>
  <c r="Y81" i="22" s="1"/>
  <c r="V120" i="22"/>
  <c r="Y120" i="22" s="1"/>
  <c r="AC120" i="22" s="1"/>
  <c r="V100" i="22"/>
  <c r="Y100" i="22" s="1"/>
  <c r="V77" i="22"/>
  <c r="Y77" i="22" s="1"/>
  <c r="AC77" i="22" s="1"/>
  <c r="V38" i="22"/>
  <c r="Y38" i="22" s="1"/>
  <c r="AC38" i="22" s="1"/>
  <c r="V34" i="22"/>
  <c r="Y34" i="22" s="1"/>
  <c r="V60" i="22"/>
  <c r="Y60" i="22" s="1"/>
  <c r="V57" i="22"/>
  <c r="Y57" i="22" s="1"/>
  <c r="V56" i="22"/>
  <c r="Y56" i="22" s="1"/>
  <c r="AC56" i="22" s="1"/>
  <c r="V35" i="22"/>
  <c r="Y35" i="22" s="1"/>
  <c r="AB92" i="22"/>
  <c r="AB157" i="22"/>
  <c r="AB135" i="22"/>
  <c r="AB179" i="22"/>
  <c r="AB114" i="22"/>
  <c r="AC80" i="22" l="1"/>
  <c r="AC79" i="22"/>
  <c r="AC81" i="22"/>
  <c r="AC78" i="22"/>
  <c r="AA71" i="22"/>
  <c r="AB71" i="22"/>
  <c r="AC60" i="22"/>
  <c r="AC55" i="22"/>
  <c r="AC54" i="22"/>
  <c r="AC57" i="22"/>
  <c r="AC59" i="22"/>
  <c r="AC58" i="22"/>
  <c r="AB70" i="22"/>
  <c r="AC82" i="22"/>
  <c r="AC164" i="22"/>
  <c r="AA92" i="22"/>
  <c r="AC163" i="22"/>
  <c r="AC144" i="22"/>
  <c r="AC35" i="22"/>
  <c r="AC34" i="22"/>
  <c r="AC37" i="22"/>
  <c r="AC167" i="22"/>
  <c r="AC166" i="22"/>
  <c r="Z28" i="22"/>
  <c r="Z41" i="22" s="1"/>
  <c r="AA179" i="22"/>
  <c r="Z130" i="22"/>
  <c r="Z85" i="22"/>
  <c r="Z119" i="22"/>
  <c r="AB119" i="22" s="1"/>
  <c r="Z143" i="22"/>
  <c r="AB143" i="22" s="1"/>
  <c r="Z167" i="22"/>
  <c r="AB167" i="22" s="1"/>
  <c r="Z59" i="22"/>
  <c r="AB59" i="22" s="1"/>
  <c r="Z152" i="22"/>
  <c r="Z98" i="22"/>
  <c r="AB98" i="22" s="1"/>
  <c r="Z63" i="22"/>
  <c r="Z38" i="22"/>
  <c r="AB38" i="22" s="1"/>
  <c r="Z101" i="22"/>
  <c r="AB101" i="22" s="1"/>
  <c r="Z100" i="22"/>
  <c r="AB100" i="22" s="1"/>
  <c r="Z66" i="22"/>
  <c r="Z76" i="22"/>
  <c r="AB76" i="22" s="1"/>
  <c r="Z82" i="22"/>
  <c r="AB82" i="22" s="1"/>
  <c r="Z128" i="22"/>
  <c r="Z81" i="22"/>
  <c r="AB81" i="22" s="1"/>
  <c r="Z77" i="22"/>
  <c r="AB77" i="22" s="1"/>
  <c r="Z146" i="22"/>
  <c r="AB146" i="22" s="1"/>
  <c r="Z147" i="22"/>
  <c r="AB147" i="22" s="1"/>
  <c r="Z45" i="22"/>
  <c r="Z65" i="22"/>
  <c r="Z129" i="22"/>
  <c r="Z89" i="22"/>
  <c r="Z62" i="22"/>
  <c r="Z37" i="22"/>
  <c r="AB37" i="22" s="1"/>
  <c r="Z169" i="22"/>
  <c r="AB169" i="22" s="1"/>
  <c r="Z164" i="22"/>
  <c r="AB164" i="22" s="1"/>
  <c r="Z102" i="22"/>
  <c r="AB102" i="22" s="1"/>
  <c r="Z35" i="22"/>
  <c r="AB35" i="22" s="1"/>
  <c r="Z121" i="22"/>
  <c r="AB121" i="22" s="1"/>
  <c r="Z120" i="22"/>
  <c r="AB120" i="22" s="1"/>
  <c r="Z33" i="22"/>
  <c r="AB33" i="22" s="1"/>
  <c r="AC103" i="22"/>
  <c r="AC101" i="22"/>
  <c r="AC100" i="22"/>
  <c r="AC104" i="22"/>
  <c r="AC98" i="22"/>
  <c r="AC99" i="22"/>
  <c r="AC102" i="22"/>
  <c r="Z122" i="22" l="1"/>
  <c r="AB122" i="22" s="1"/>
  <c r="Z127" i="22"/>
  <c r="Z90" i="22"/>
  <c r="Z67" i="22"/>
  <c r="Z124" i="22"/>
  <c r="AB124" i="22" s="1"/>
  <c r="Z123" i="22"/>
  <c r="AB123" i="22" s="1"/>
  <c r="Z141" i="22"/>
  <c r="AB141" i="22" s="1"/>
  <c r="Z144" i="22"/>
  <c r="AB144" i="22" s="1"/>
  <c r="Z131" i="22"/>
  <c r="Z154" i="22"/>
  <c r="Z88" i="22"/>
  <c r="Z125" i="22"/>
  <c r="AB125" i="22" s="1"/>
  <c r="Z168" i="22"/>
  <c r="AB168" i="22" s="1"/>
  <c r="Z145" i="22"/>
  <c r="AB145" i="22" s="1"/>
  <c r="Z163" i="22"/>
  <c r="AB163" i="22" s="1"/>
  <c r="Z155" i="22"/>
  <c r="Z153" i="22"/>
  <c r="Z142" i="22"/>
  <c r="AB142" i="22" s="1"/>
  <c r="Z58" i="22"/>
  <c r="AB58" i="22" s="1"/>
  <c r="Z78" i="22"/>
  <c r="AB78" i="22" s="1"/>
  <c r="Z79" i="22"/>
  <c r="AB79" i="22" s="1"/>
  <c r="Z60" i="22"/>
  <c r="AB60" i="22" s="1"/>
  <c r="Z68" i="22"/>
  <c r="Z40" i="22"/>
  <c r="Z43" i="22"/>
  <c r="Z42" i="22"/>
  <c r="Z56" i="22"/>
  <c r="AB56" i="22" s="1"/>
  <c r="Z149" i="22"/>
  <c r="Z55" i="22"/>
  <c r="AB55" i="22" s="1"/>
  <c r="Z132" i="22"/>
  <c r="Z32" i="22"/>
  <c r="AB32" i="22" s="1"/>
  <c r="Z46" i="22"/>
  <c r="Z54" i="22"/>
  <c r="AB54" i="22" s="1"/>
  <c r="Z80" i="22"/>
  <c r="AB80" i="22" s="1"/>
  <c r="Z34" i="22"/>
  <c r="AB34" i="22" s="1"/>
  <c r="Z150" i="22"/>
  <c r="Z99" i="22"/>
  <c r="AB99" i="22" s="1"/>
  <c r="Z86" i="22"/>
  <c r="Z87" i="22"/>
  <c r="Z44" i="22"/>
  <c r="Z133" i="22"/>
  <c r="Z166" i="22"/>
  <c r="AB166" i="22" s="1"/>
  <c r="Z64" i="22"/>
  <c r="Z151" i="22"/>
  <c r="Z84" i="22"/>
  <c r="Z103" i="22"/>
  <c r="AB103" i="22" s="1"/>
  <c r="Z104" i="22"/>
  <c r="AB104" i="22" s="1"/>
  <c r="Z57" i="22"/>
  <c r="AB57" i="22" s="1"/>
  <c r="Z165" i="22"/>
  <c r="AB165" i="22" s="1"/>
  <c r="Z36" i="22"/>
  <c r="AB36" i="22" s="1"/>
  <c r="AA25" i="19"/>
  <c r="T10" i="19"/>
  <c r="K13" i="13"/>
  <c r="R98" i="19"/>
  <c r="J53" i="19"/>
  <c r="J54" i="19"/>
  <c r="J55" i="19"/>
  <c r="J56" i="19"/>
  <c r="J57" i="19"/>
  <c r="J58" i="19"/>
  <c r="J59" i="19"/>
  <c r="J33" i="13"/>
  <c r="J34" i="13"/>
  <c r="J35" i="13"/>
  <c r="J36" i="13"/>
  <c r="J37" i="13"/>
  <c r="J38" i="13"/>
  <c r="J32" i="13"/>
  <c r="R53" i="19"/>
  <c r="D53" i="19"/>
  <c r="R75" i="19"/>
  <c r="R76" i="19"/>
  <c r="R77" i="19"/>
  <c r="R78" i="19"/>
  <c r="R79" i="19"/>
  <c r="R80" i="19"/>
  <c r="R81" i="19"/>
  <c r="R83" i="19"/>
  <c r="R84" i="19"/>
  <c r="R85" i="19"/>
  <c r="R86" i="19"/>
  <c r="R87" i="19"/>
  <c r="R88" i="19"/>
  <c r="R89" i="19"/>
  <c r="R57" i="19"/>
  <c r="R54" i="19"/>
  <c r="R55" i="19"/>
  <c r="R56" i="19"/>
  <c r="R58" i="19"/>
  <c r="R59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67" i="19"/>
  <c r="E185" i="19"/>
  <c r="D185" i="19"/>
  <c r="E184" i="19"/>
  <c r="D184" i="19"/>
  <c r="E183" i="19"/>
  <c r="D183" i="19"/>
  <c r="E182" i="19"/>
  <c r="D182" i="19"/>
  <c r="E181" i="19"/>
  <c r="E180" i="19"/>
  <c r="E179" i="19"/>
  <c r="E178" i="19"/>
  <c r="E177" i="19"/>
  <c r="E176" i="19"/>
  <c r="E175" i="19"/>
  <c r="E173" i="19"/>
  <c r="E172" i="19"/>
  <c r="E171" i="19"/>
  <c r="E170" i="19"/>
  <c r="E169" i="19"/>
  <c r="E168" i="19"/>
  <c r="E167" i="19"/>
  <c r="J118" i="13" l="1"/>
  <c r="J119" i="13"/>
  <c r="J120" i="13"/>
  <c r="J121" i="13"/>
  <c r="J122" i="13"/>
  <c r="J123" i="13"/>
  <c r="J124" i="13"/>
  <c r="J105" i="13"/>
  <c r="J106" i="13"/>
  <c r="J107" i="13"/>
  <c r="J108" i="13"/>
  <c r="J109" i="13"/>
  <c r="J110" i="13"/>
  <c r="J111" i="13"/>
  <c r="J97" i="13"/>
  <c r="J98" i="13"/>
  <c r="J99" i="13"/>
  <c r="J100" i="13"/>
  <c r="J101" i="13"/>
  <c r="J102" i="13"/>
  <c r="J103" i="13"/>
  <c r="S58" i="19"/>
  <c r="S59" i="19"/>
  <c r="C73" i="19" l="1"/>
  <c r="AW26" i="19"/>
  <c r="AW27" i="19"/>
  <c r="AW28" i="19"/>
  <c r="AW29" i="19"/>
  <c r="AW30" i="19"/>
  <c r="AW31" i="19"/>
  <c r="AW32" i="19"/>
  <c r="AW33" i="19"/>
  <c r="AW34" i="19"/>
  <c r="AW35" i="19"/>
  <c r="AW36" i="19"/>
  <c r="AW37" i="19"/>
  <c r="AW38" i="19"/>
  <c r="AW39" i="19"/>
  <c r="AW40" i="19"/>
  <c r="AW41" i="19"/>
  <c r="AW42" i="19"/>
  <c r="AW43" i="19"/>
  <c r="AW44" i="19"/>
  <c r="AW45" i="19"/>
  <c r="AX33" i="19"/>
  <c r="AX44" i="19"/>
  <c r="AX45" i="19"/>
  <c r="AX43" i="19"/>
  <c r="AX42" i="19"/>
  <c r="AX41" i="19"/>
  <c r="AX40" i="19"/>
  <c r="AX39" i="19"/>
  <c r="AX38" i="19"/>
  <c r="AX37" i="19"/>
  <c r="AX36" i="19"/>
  <c r="AX35" i="19"/>
  <c r="AX34" i="19"/>
  <c r="AX32" i="19"/>
  <c r="AX31" i="19"/>
  <c r="AX30" i="19"/>
  <c r="AX29" i="19"/>
  <c r="AX28" i="19"/>
  <c r="AX27" i="19"/>
  <c r="AX26" i="19"/>
  <c r="AX68" i="19"/>
  <c r="AW68" i="19"/>
  <c r="AX67" i="19"/>
  <c r="AW67" i="19"/>
  <c r="AX66" i="19"/>
  <c r="AW66" i="19"/>
  <c r="AX65" i="19"/>
  <c r="AW65" i="19"/>
  <c r="AX64" i="19"/>
  <c r="AW64" i="19"/>
  <c r="AX63" i="19"/>
  <c r="AW63" i="19"/>
  <c r="AX62" i="19"/>
  <c r="AW62" i="19"/>
  <c r="AX61" i="19"/>
  <c r="AW61" i="19"/>
  <c r="AX60" i="19"/>
  <c r="AW60" i="19"/>
  <c r="AX59" i="19"/>
  <c r="AW59" i="19"/>
  <c r="AX57" i="19"/>
  <c r="AW57" i="19"/>
  <c r="AX56" i="19"/>
  <c r="AW56" i="19"/>
  <c r="AX55" i="19"/>
  <c r="AW55" i="19"/>
  <c r="AX54" i="19"/>
  <c r="AW54" i="19"/>
  <c r="AX53" i="19"/>
  <c r="AW53" i="19"/>
  <c r="AX52" i="19"/>
  <c r="AW52" i="19"/>
  <c r="AX51" i="19"/>
  <c r="AW51" i="19"/>
  <c r="AX93" i="19"/>
  <c r="AW93" i="19"/>
  <c r="AX92" i="19"/>
  <c r="AW92" i="19"/>
  <c r="AX91" i="19"/>
  <c r="AW91" i="19"/>
  <c r="AX90" i="19"/>
  <c r="AW90" i="19"/>
  <c r="AX89" i="19"/>
  <c r="AW89" i="19"/>
  <c r="AX88" i="19"/>
  <c r="AW88" i="19"/>
  <c r="AX87" i="19"/>
  <c r="AW87" i="19"/>
  <c r="AX86" i="19"/>
  <c r="AW86" i="19"/>
  <c r="AX85" i="19"/>
  <c r="AW85" i="19"/>
  <c r="AX84" i="19"/>
  <c r="AW84" i="19"/>
  <c r="AX83" i="19"/>
  <c r="AW83" i="19"/>
  <c r="AX81" i="19"/>
  <c r="AW81" i="19"/>
  <c r="AX80" i="19"/>
  <c r="AW80" i="19"/>
  <c r="AX79" i="19"/>
  <c r="AW79" i="19"/>
  <c r="AX78" i="19"/>
  <c r="AW78" i="19"/>
  <c r="AX77" i="19"/>
  <c r="AW77" i="19"/>
  <c r="AX76" i="19"/>
  <c r="AW76" i="19"/>
  <c r="AX75" i="19"/>
  <c r="AW75" i="19"/>
  <c r="AX116" i="19"/>
  <c r="AW116" i="19"/>
  <c r="AX115" i="19"/>
  <c r="AW115" i="19"/>
  <c r="AX114" i="19"/>
  <c r="AW114" i="19"/>
  <c r="AX113" i="19"/>
  <c r="AW113" i="19"/>
  <c r="AX112" i="19"/>
  <c r="AW112" i="19"/>
  <c r="AX111" i="19"/>
  <c r="AW111" i="19"/>
  <c r="AX110" i="19"/>
  <c r="AW110" i="19"/>
  <c r="AX109" i="19"/>
  <c r="AW109" i="19"/>
  <c r="AX108" i="19"/>
  <c r="AW108" i="19"/>
  <c r="AX107" i="19"/>
  <c r="AW107" i="19"/>
  <c r="AX106" i="19"/>
  <c r="AW106" i="19"/>
  <c r="AX104" i="19"/>
  <c r="AW104" i="19"/>
  <c r="AX103" i="19"/>
  <c r="AW103" i="19"/>
  <c r="AX102" i="19"/>
  <c r="AW102" i="19"/>
  <c r="AX101" i="19"/>
  <c r="AW101" i="19"/>
  <c r="AX100" i="19"/>
  <c r="AW100" i="19"/>
  <c r="AX99" i="19"/>
  <c r="AW99" i="19"/>
  <c r="AX98" i="19"/>
  <c r="AW98" i="19"/>
  <c r="AX138" i="19"/>
  <c r="AW138" i="19"/>
  <c r="AX137" i="19"/>
  <c r="AW137" i="19"/>
  <c r="AX136" i="19"/>
  <c r="AW136" i="19"/>
  <c r="AX135" i="19"/>
  <c r="AW135" i="19"/>
  <c r="AX134" i="19"/>
  <c r="AW134" i="19"/>
  <c r="AX133" i="19"/>
  <c r="AW133" i="19"/>
  <c r="AX132" i="19"/>
  <c r="AW132" i="19"/>
  <c r="AX131" i="19"/>
  <c r="AW131" i="19"/>
  <c r="AX130" i="19"/>
  <c r="AW130" i="19"/>
  <c r="AX129" i="19"/>
  <c r="AW129" i="19"/>
  <c r="AX128" i="19"/>
  <c r="AW128" i="19"/>
  <c r="AX126" i="19"/>
  <c r="AW126" i="19"/>
  <c r="AX125" i="19"/>
  <c r="AW125" i="19"/>
  <c r="AX124" i="19"/>
  <c r="AW124" i="19"/>
  <c r="AX123" i="19"/>
  <c r="AW123" i="19"/>
  <c r="AX122" i="19"/>
  <c r="AW122" i="19"/>
  <c r="AX121" i="19"/>
  <c r="AW121" i="19"/>
  <c r="AX120" i="19"/>
  <c r="AW120" i="19"/>
  <c r="E158" i="19"/>
  <c r="E159" i="19"/>
  <c r="E160" i="19"/>
  <c r="E161" i="19"/>
  <c r="D32" i="19"/>
  <c r="E32" i="19"/>
  <c r="F32" i="19"/>
  <c r="G32" i="19"/>
  <c r="H32" i="19"/>
  <c r="D33" i="19"/>
  <c r="E33" i="19"/>
  <c r="F33" i="19"/>
  <c r="G33" i="19"/>
  <c r="H33" i="19"/>
  <c r="D34" i="19"/>
  <c r="E34" i="19"/>
  <c r="F34" i="19"/>
  <c r="G34" i="19"/>
  <c r="H34" i="19"/>
  <c r="D35" i="19"/>
  <c r="E35" i="19"/>
  <c r="F35" i="19"/>
  <c r="G35" i="19"/>
  <c r="H35" i="19"/>
  <c r="D36" i="19"/>
  <c r="E36" i="19"/>
  <c r="F36" i="19"/>
  <c r="G36" i="19"/>
  <c r="H36" i="19"/>
  <c r="D37" i="19"/>
  <c r="E37" i="19"/>
  <c r="F37" i="19"/>
  <c r="G37" i="19"/>
  <c r="H37" i="19"/>
  <c r="D38" i="19"/>
  <c r="E38" i="19"/>
  <c r="F38" i="19"/>
  <c r="G38" i="19"/>
  <c r="H38" i="19"/>
  <c r="C38" i="19"/>
  <c r="C37" i="19"/>
  <c r="C36" i="19"/>
  <c r="C35" i="19"/>
  <c r="C34" i="19"/>
  <c r="C33" i="19"/>
  <c r="C32" i="19"/>
  <c r="O25" i="19"/>
  <c r="K25" i="19" s="1"/>
  <c r="J25" i="19" s="1"/>
  <c r="P25" i="19"/>
  <c r="O26" i="19"/>
  <c r="K26" i="19" s="1"/>
  <c r="J26" i="19" s="1"/>
  <c r="P26" i="19"/>
  <c r="O17" i="19"/>
  <c r="K17" i="19" s="1"/>
  <c r="J17" i="19" s="1"/>
  <c r="P17" i="19"/>
  <c r="O185" i="19"/>
  <c r="O184" i="19"/>
  <c r="O183" i="19"/>
  <c r="O182" i="19"/>
  <c r="O181" i="19"/>
  <c r="O180" i="19"/>
  <c r="O179" i="19"/>
  <c r="O178" i="19"/>
  <c r="O177" i="19"/>
  <c r="O176" i="19"/>
  <c r="O175" i="19"/>
  <c r="O173" i="19"/>
  <c r="O172" i="19"/>
  <c r="O171" i="19"/>
  <c r="O170" i="19"/>
  <c r="O169" i="19"/>
  <c r="O168" i="19"/>
  <c r="O167" i="19"/>
  <c r="O138" i="19"/>
  <c r="O137" i="19"/>
  <c r="O136" i="19"/>
  <c r="O135" i="19"/>
  <c r="O134" i="19"/>
  <c r="O133" i="19"/>
  <c r="O132" i="19"/>
  <c r="O131" i="19"/>
  <c r="O130" i="19"/>
  <c r="O129" i="19"/>
  <c r="O128" i="19"/>
  <c r="O126" i="19"/>
  <c r="O125" i="19"/>
  <c r="O124" i="19"/>
  <c r="O123" i="19"/>
  <c r="O122" i="19"/>
  <c r="O121" i="19"/>
  <c r="O120" i="19"/>
  <c r="O116" i="19"/>
  <c r="O115" i="19"/>
  <c r="O114" i="19"/>
  <c r="O113" i="19"/>
  <c r="O112" i="19"/>
  <c r="O111" i="19"/>
  <c r="O110" i="19"/>
  <c r="O109" i="19"/>
  <c r="O108" i="19"/>
  <c r="O107" i="19"/>
  <c r="O106" i="19"/>
  <c r="O104" i="19"/>
  <c r="O103" i="19"/>
  <c r="O102" i="19"/>
  <c r="O101" i="19"/>
  <c r="O100" i="19"/>
  <c r="O99" i="19"/>
  <c r="O98" i="19"/>
  <c r="O93" i="19"/>
  <c r="O92" i="19"/>
  <c r="O91" i="19"/>
  <c r="O90" i="19"/>
  <c r="O89" i="19"/>
  <c r="O88" i="19"/>
  <c r="O87" i="19"/>
  <c r="O86" i="19"/>
  <c r="O85" i="19"/>
  <c r="O84" i="19"/>
  <c r="O83" i="19"/>
  <c r="O81" i="19"/>
  <c r="O80" i="19"/>
  <c r="O79" i="19"/>
  <c r="O78" i="19"/>
  <c r="O77" i="19"/>
  <c r="O76" i="19"/>
  <c r="O75" i="19"/>
  <c r="O70" i="19"/>
  <c r="O69" i="19"/>
  <c r="O68" i="19"/>
  <c r="O67" i="19"/>
  <c r="O66" i="19"/>
  <c r="O65" i="19"/>
  <c r="O64" i="19"/>
  <c r="O63" i="19"/>
  <c r="O62" i="19"/>
  <c r="O61" i="19"/>
  <c r="O59" i="19"/>
  <c r="O58" i="19"/>
  <c r="O57" i="19"/>
  <c r="O56" i="19"/>
  <c r="O55" i="19"/>
  <c r="O54" i="19"/>
  <c r="O53" i="19"/>
  <c r="O49" i="19"/>
  <c r="O48" i="19"/>
  <c r="O47" i="19"/>
  <c r="O46" i="19"/>
  <c r="O45" i="19"/>
  <c r="O44" i="19"/>
  <c r="O43" i="19"/>
  <c r="O42" i="19"/>
  <c r="O41" i="19"/>
  <c r="O40" i="19"/>
  <c r="O38" i="19"/>
  <c r="O37" i="19"/>
  <c r="O36" i="19"/>
  <c r="O35" i="19"/>
  <c r="O34" i="19"/>
  <c r="O33" i="19"/>
  <c r="O32" i="19"/>
  <c r="O24" i="19"/>
  <c r="K24" i="19" s="1"/>
  <c r="J24" i="19" s="1"/>
  <c r="O23" i="19"/>
  <c r="K23" i="19" s="1"/>
  <c r="J23" i="19" s="1"/>
  <c r="O22" i="19"/>
  <c r="K22" i="19" s="1"/>
  <c r="J22" i="19" s="1"/>
  <c r="O21" i="19"/>
  <c r="K21" i="19" s="1"/>
  <c r="J21" i="19" s="1"/>
  <c r="O20" i="19"/>
  <c r="K20" i="19" s="1"/>
  <c r="J20" i="19" s="1"/>
  <c r="O19" i="19"/>
  <c r="K19" i="19" s="1"/>
  <c r="J19" i="19" s="1"/>
  <c r="O16" i="19"/>
  <c r="K16" i="19" s="1"/>
  <c r="J16" i="19" s="1"/>
  <c r="O15" i="19"/>
  <c r="K15" i="19" s="1"/>
  <c r="J15" i="19" s="1"/>
  <c r="O14" i="19"/>
  <c r="K14" i="19" s="1"/>
  <c r="J14" i="19" s="1"/>
  <c r="O13" i="19"/>
  <c r="K13" i="19" s="1"/>
  <c r="J13" i="19" s="1"/>
  <c r="O12" i="19"/>
  <c r="K12" i="19" s="1"/>
  <c r="J12" i="19" s="1"/>
  <c r="O11" i="19"/>
  <c r="K11" i="19" s="1"/>
  <c r="J11" i="19" s="1"/>
  <c r="O10" i="19"/>
  <c r="K10" i="19" s="1"/>
  <c r="J10" i="19" s="1"/>
  <c r="O161" i="19"/>
  <c r="O160" i="19"/>
  <c r="O159" i="19"/>
  <c r="O158" i="19"/>
  <c r="O157" i="19"/>
  <c r="O156" i="19"/>
  <c r="O155" i="19"/>
  <c r="O154" i="19"/>
  <c r="O153" i="19"/>
  <c r="O152" i="19"/>
  <c r="O151" i="19"/>
  <c r="O149" i="19"/>
  <c r="O148" i="19"/>
  <c r="O147" i="19"/>
  <c r="O146" i="19"/>
  <c r="O145" i="19"/>
  <c r="O144" i="19"/>
  <c r="O143" i="19"/>
  <c r="P24" i="19"/>
  <c r="P23" i="19"/>
  <c r="P22" i="19"/>
  <c r="P21" i="19"/>
  <c r="P20" i="19"/>
  <c r="P19" i="19"/>
  <c r="P16" i="19"/>
  <c r="P15" i="19"/>
  <c r="P14" i="19"/>
  <c r="P13" i="19"/>
  <c r="P12" i="19"/>
  <c r="P11" i="19"/>
  <c r="P10" i="19"/>
  <c r="P49" i="19"/>
  <c r="P48" i="19"/>
  <c r="P47" i="19"/>
  <c r="P46" i="19"/>
  <c r="P45" i="19"/>
  <c r="P44" i="19"/>
  <c r="P43" i="19"/>
  <c r="P42" i="19"/>
  <c r="P41" i="19"/>
  <c r="P40" i="19"/>
  <c r="P38" i="19"/>
  <c r="P37" i="19"/>
  <c r="P36" i="19"/>
  <c r="P35" i="19"/>
  <c r="P34" i="19"/>
  <c r="P33" i="19"/>
  <c r="P32" i="19"/>
  <c r="P70" i="19"/>
  <c r="P69" i="19"/>
  <c r="P68" i="19"/>
  <c r="P67" i="19"/>
  <c r="P66" i="19"/>
  <c r="P65" i="19"/>
  <c r="P64" i="19"/>
  <c r="P63" i="19"/>
  <c r="P62" i="19"/>
  <c r="P61" i="19"/>
  <c r="P59" i="19"/>
  <c r="P58" i="19"/>
  <c r="P57" i="19"/>
  <c r="P56" i="19"/>
  <c r="P55" i="19"/>
  <c r="P54" i="19"/>
  <c r="P53" i="19"/>
  <c r="P93" i="19"/>
  <c r="P92" i="19"/>
  <c r="P91" i="19"/>
  <c r="P90" i="19"/>
  <c r="P89" i="19"/>
  <c r="P88" i="19"/>
  <c r="P87" i="19"/>
  <c r="P86" i="19"/>
  <c r="P85" i="19"/>
  <c r="P84" i="19"/>
  <c r="P83" i="19"/>
  <c r="P81" i="19"/>
  <c r="P80" i="19"/>
  <c r="P79" i="19"/>
  <c r="P78" i="19"/>
  <c r="P77" i="19"/>
  <c r="P76" i="19"/>
  <c r="P75" i="19"/>
  <c r="P116" i="19"/>
  <c r="P115" i="19"/>
  <c r="P114" i="19"/>
  <c r="P113" i="19"/>
  <c r="P112" i="19"/>
  <c r="P111" i="19"/>
  <c r="P110" i="19"/>
  <c r="P109" i="19"/>
  <c r="P108" i="19"/>
  <c r="P107" i="19"/>
  <c r="P106" i="19"/>
  <c r="P104" i="19"/>
  <c r="P103" i="19"/>
  <c r="P102" i="19"/>
  <c r="P101" i="19"/>
  <c r="P100" i="19"/>
  <c r="P99" i="19"/>
  <c r="P98" i="19"/>
  <c r="P138" i="19"/>
  <c r="P137" i="19"/>
  <c r="P136" i="19"/>
  <c r="P135" i="19"/>
  <c r="P134" i="19"/>
  <c r="P133" i="19"/>
  <c r="P132" i="19"/>
  <c r="P131" i="19"/>
  <c r="P130" i="19"/>
  <c r="P129" i="19"/>
  <c r="P128" i="19"/>
  <c r="P126" i="19"/>
  <c r="P125" i="19"/>
  <c r="P124" i="19"/>
  <c r="P123" i="19"/>
  <c r="P122" i="19"/>
  <c r="P121" i="19"/>
  <c r="P120" i="19"/>
  <c r="P185" i="19"/>
  <c r="P184" i="19"/>
  <c r="P183" i="19"/>
  <c r="P182" i="19"/>
  <c r="P181" i="19"/>
  <c r="P180" i="19"/>
  <c r="P179" i="19"/>
  <c r="P178" i="19"/>
  <c r="P177" i="19"/>
  <c r="P176" i="19"/>
  <c r="P175" i="19"/>
  <c r="P173" i="19"/>
  <c r="P172" i="19"/>
  <c r="P171" i="19"/>
  <c r="P170" i="19"/>
  <c r="P169" i="19"/>
  <c r="P168" i="19"/>
  <c r="P167" i="19"/>
  <c r="P144" i="19"/>
  <c r="P145" i="19"/>
  <c r="P146" i="19"/>
  <c r="P147" i="19"/>
  <c r="P148" i="19"/>
  <c r="P149" i="19"/>
  <c r="P151" i="19"/>
  <c r="P152" i="19"/>
  <c r="P153" i="19"/>
  <c r="P154" i="19"/>
  <c r="P155" i="19"/>
  <c r="P156" i="19"/>
  <c r="P157" i="19"/>
  <c r="P158" i="19"/>
  <c r="P159" i="19"/>
  <c r="P160" i="19"/>
  <c r="P161" i="19"/>
  <c r="P143" i="19"/>
  <c r="AX161" i="19" l="1"/>
  <c r="AW161" i="19"/>
  <c r="AX160" i="19"/>
  <c r="AW160" i="19"/>
  <c r="AX159" i="19"/>
  <c r="AW159" i="19"/>
  <c r="AX158" i="19"/>
  <c r="AW158" i="19"/>
  <c r="AX157" i="19"/>
  <c r="AW157" i="19"/>
  <c r="AX156" i="19"/>
  <c r="AW156" i="19"/>
  <c r="AX155" i="19"/>
  <c r="AW155" i="19"/>
  <c r="AX154" i="19"/>
  <c r="AW154" i="19"/>
  <c r="AX153" i="19"/>
  <c r="AW153" i="19"/>
  <c r="AX152" i="19"/>
  <c r="AW152" i="19"/>
  <c r="AX151" i="19"/>
  <c r="AW151" i="19"/>
  <c r="AX149" i="19"/>
  <c r="AW149" i="19"/>
  <c r="AX148" i="19"/>
  <c r="AW148" i="19"/>
  <c r="AX147" i="19"/>
  <c r="AW147" i="19"/>
  <c r="AX146" i="19"/>
  <c r="AW146" i="19"/>
  <c r="AX145" i="19"/>
  <c r="AW145" i="19"/>
  <c r="AX144" i="19"/>
  <c r="AW144" i="19"/>
  <c r="AX143" i="19"/>
  <c r="AW143" i="19"/>
  <c r="AW184" i="19"/>
  <c r="AX184" i="19"/>
  <c r="AW173" i="19"/>
  <c r="AX173" i="19"/>
  <c r="AW171" i="19"/>
  <c r="AX171" i="19"/>
  <c r="AW169" i="19"/>
  <c r="AX169" i="19"/>
  <c r="AX167" i="19"/>
  <c r="AW168" i="19"/>
  <c r="AX168" i="19"/>
  <c r="AW170" i="19"/>
  <c r="AX170" i="19"/>
  <c r="AW172" i="19"/>
  <c r="AX172" i="19"/>
  <c r="AW175" i="19"/>
  <c r="AX175" i="19"/>
  <c r="AW177" i="19"/>
  <c r="AX177" i="19"/>
  <c r="AW179" i="19"/>
  <c r="AX179" i="19"/>
  <c r="AW181" i="19"/>
  <c r="AX181" i="19"/>
  <c r="AW183" i="19"/>
  <c r="AX183" i="19"/>
  <c r="AW185" i="19"/>
  <c r="AX185" i="19"/>
  <c r="C141" i="19"/>
  <c r="AW167" i="19" l="1"/>
  <c r="AX182" i="19"/>
  <c r="AX180" i="19"/>
  <c r="AX178" i="19"/>
  <c r="AX176" i="19"/>
  <c r="AW182" i="19"/>
  <c r="AW180" i="19"/>
  <c r="AW178" i="19"/>
  <c r="AW176" i="19"/>
  <c r="C138" i="13" l="1"/>
  <c r="C73" i="13"/>
  <c r="AH51" i="13"/>
  <c r="C30" i="19" l="1"/>
  <c r="C51" i="19"/>
  <c r="C96" i="19"/>
  <c r="C118" i="19"/>
  <c r="C165" i="19"/>
  <c r="H185" i="19"/>
  <c r="G185" i="19"/>
  <c r="F185" i="19"/>
  <c r="C185" i="19"/>
  <c r="J185" i="19" s="1"/>
  <c r="H184" i="19"/>
  <c r="G184" i="19"/>
  <c r="F184" i="19"/>
  <c r="C184" i="19"/>
  <c r="J184" i="19" s="1"/>
  <c r="H183" i="19"/>
  <c r="G183" i="19"/>
  <c r="F183" i="19"/>
  <c r="C183" i="19"/>
  <c r="J183" i="19" s="1"/>
  <c r="H182" i="19"/>
  <c r="G182" i="19"/>
  <c r="F182" i="19"/>
  <c r="C182" i="19"/>
  <c r="J182" i="19" s="1"/>
  <c r="H181" i="19"/>
  <c r="G181" i="19"/>
  <c r="F181" i="19"/>
  <c r="C181" i="19"/>
  <c r="J181" i="19" s="1"/>
  <c r="H180" i="19"/>
  <c r="G180" i="19"/>
  <c r="F180" i="19"/>
  <c r="C180" i="19"/>
  <c r="J180" i="19" s="1"/>
  <c r="H179" i="19"/>
  <c r="G179" i="19"/>
  <c r="F179" i="19"/>
  <c r="C179" i="19"/>
  <c r="J179" i="19" s="1"/>
  <c r="H178" i="19"/>
  <c r="G178" i="19"/>
  <c r="F178" i="19"/>
  <c r="C178" i="19"/>
  <c r="J178" i="19" s="1"/>
  <c r="H177" i="19"/>
  <c r="G177" i="19"/>
  <c r="F177" i="19"/>
  <c r="C177" i="19"/>
  <c r="J177" i="19" s="1"/>
  <c r="H176" i="19"/>
  <c r="G176" i="19"/>
  <c r="F176" i="19"/>
  <c r="C176" i="19"/>
  <c r="J176" i="19" s="1"/>
  <c r="H175" i="19"/>
  <c r="G175" i="19"/>
  <c r="F175" i="19"/>
  <c r="C175" i="19"/>
  <c r="J175" i="19" s="1"/>
  <c r="H173" i="19"/>
  <c r="G173" i="19"/>
  <c r="F173" i="19"/>
  <c r="C173" i="19"/>
  <c r="J173" i="19" s="1"/>
  <c r="H172" i="19"/>
  <c r="G172" i="19"/>
  <c r="F172" i="19"/>
  <c r="C172" i="19"/>
  <c r="J172" i="19" s="1"/>
  <c r="H171" i="19"/>
  <c r="G171" i="19"/>
  <c r="F171" i="19"/>
  <c r="C171" i="19"/>
  <c r="J171" i="19" s="1"/>
  <c r="H170" i="19"/>
  <c r="G170" i="19"/>
  <c r="F170" i="19"/>
  <c r="C170" i="19"/>
  <c r="J170" i="19" s="1"/>
  <c r="H169" i="19"/>
  <c r="G169" i="19"/>
  <c r="F169" i="19"/>
  <c r="C169" i="19"/>
  <c r="J169" i="19" s="1"/>
  <c r="H168" i="19"/>
  <c r="G168" i="19"/>
  <c r="F168" i="19"/>
  <c r="C168" i="19"/>
  <c r="J168" i="19" s="1"/>
  <c r="H167" i="19"/>
  <c r="G167" i="19"/>
  <c r="F167" i="19"/>
  <c r="C167" i="19"/>
  <c r="J167" i="19" s="1"/>
  <c r="H161" i="19"/>
  <c r="G161" i="19"/>
  <c r="F161" i="19"/>
  <c r="C161" i="19"/>
  <c r="J161" i="19" s="1"/>
  <c r="H160" i="19"/>
  <c r="G160" i="19"/>
  <c r="F160" i="19"/>
  <c r="C160" i="19"/>
  <c r="K160" i="19" s="1"/>
  <c r="H159" i="19"/>
  <c r="G159" i="19"/>
  <c r="F159" i="19"/>
  <c r="C159" i="19"/>
  <c r="J159" i="19" s="1"/>
  <c r="H158" i="19"/>
  <c r="G158" i="19"/>
  <c r="F158" i="19"/>
  <c r="C158" i="19"/>
  <c r="K158" i="19" s="1"/>
  <c r="H157" i="19"/>
  <c r="G157" i="19"/>
  <c r="F157" i="19"/>
  <c r="C157" i="19"/>
  <c r="J157" i="19" s="1"/>
  <c r="H156" i="19"/>
  <c r="G156" i="19"/>
  <c r="F156" i="19"/>
  <c r="C156" i="19"/>
  <c r="K156" i="19" s="1"/>
  <c r="H155" i="19"/>
  <c r="G155" i="19"/>
  <c r="F155" i="19"/>
  <c r="C155" i="19"/>
  <c r="J155" i="19" s="1"/>
  <c r="H154" i="19"/>
  <c r="G154" i="19"/>
  <c r="F154" i="19"/>
  <c r="C154" i="19"/>
  <c r="K154" i="19" s="1"/>
  <c r="H153" i="19"/>
  <c r="G153" i="19"/>
  <c r="F153" i="19"/>
  <c r="C153" i="19"/>
  <c r="J153" i="19" s="1"/>
  <c r="H152" i="19"/>
  <c r="G152" i="19"/>
  <c r="F152" i="19"/>
  <c r="C152" i="19"/>
  <c r="K152" i="19" s="1"/>
  <c r="H151" i="19"/>
  <c r="G151" i="19"/>
  <c r="F151" i="19"/>
  <c r="C151" i="19"/>
  <c r="J151" i="19" s="1"/>
  <c r="H149" i="19"/>
  <c r="G149" i="19"/>
  <c r="F149" i="19"/>
  <c r="C149" i="19"/>
  <c r="K149" i="19" s="1"/>
  <c r="H148" i="19"/>
  <c r="G148" i="19"/>
  <c r="F148" i="19"/>
  <c r="C148" i="19"/>
  <c r="J148" i="19" s="1"/>
  <c r="H147" i="19"/>
  <c r="G147" i="19"/>
  <c r="F147" i="19"/>
  <c r="C147" i="19"/>
  <c r="K147" i="19" s="1"/>
  <c r="H146" i="19"/>
  <c r="G146" i="19"/>
  <c r="F146" i="19"/>
  <c r="C146" i="19"/>
  <c r="J146" i="19" s="1"/>
  <c r="H145" i="19"/>
  <c r="G145" i="19"/>
  <c r="F145" i="19"/>
  <c r="C145" i="19"/>
  <c r="K145" i="19" s="1"/>
  <c r="H144" i="19"/>
  <c r="G144" i="19"/>
  <c r="F144" i="19"/>
  <c r="C144" i="19"/>
  <c r="J144" i="19" s="1"/>
  <c r="H143" i="19"/>
  <c r="G143" i="19"/>
  <c r="F143" i="19"/>
  <c r="C143" i="19"/>
  <c r="K143" i="19" s="1"/>
  <c r="K161" i="19"/>
  <c r="K155" i="19"/>
  <c r="K148" i="19"/>
  <c r="K146" i="19"/>
  <c r="K144" i="19"/>
  <c r="K130" i="19"/>
  <c r="H138" i="19"/>
  <c r="G138" i="19"/>
  <c r="F138" i="19"/>
  <c r="E138" i="19"/>
  <c r="D138" i="19"/>
  <c r="C138" i="19"/>
  <c r="K138" i="19" s="1"/>
  <c r="H137" i="19"/>
  <c r="G137" i="19"/>
  <c r="F137" i="19"/>
  <c r="E137" i="19"/>
  <c r="D137" i="19"/>
  <c r="C137" i="19"/>
  <c r="J137" i="19" s="1"/>
  <c r="H136" i="19"/>
  <c r="G136" i="19"/>
  <c r="F136" i="19"/>
  <c r="E136" i="19"/>
  <c r="D136" i="19"/>
  <c r="C136" i="19"/>
  <c r="K136" i="19" s="1"/>
  <c r="H135" i="19"/>
  <c r="G135" i="19"/>
  <c r="F135" i="19"/>
  <c r="E135" i="19"/>
  <c r="D135" i="19"/>
  <c r="C135" i="19"/>
  <c r="K135" i="19" s="1"/>
  <c r="H134" i="19"/>
  <c r="G134" i="19"/>
  <c r="F134" i="19"/>
  <c r="E134" i="19"/>
  <c r="D134" i="19"/>
  <c r="C134" i="19"/>
  <c r="J134" i="19" s="1"/>
  <c r="H133" i="19"/>
  <c r="G133" i="19"/>
  <c r="F133" i="19"/>
  <c r="E133" i="19"/>
  <c r="D133" i="19"/>
  <c r="C133" i="19"/>
  <c r="J133" i="19" s="1"/>
  <c r="H132" i="19"/>
  <c r="G132" i="19"/>
  <c r="F132" i="19"/>
  <c r="E132" i="19"/>
  <c r="D132" i="19"/>
  <c r="C132" i="19"/>
  <c r="J132" i="19" s="1"/>
  <c r="H131" i="19"/>
  <c r="G131" i="19"/>
  <c r="F131" i="19"/>
  <c r="E131" i="19"/>
  <c r="D131" i="19"/>
  <c r="C131" i="19"/>
  <c r="K131" i="19" s="1"/>
  <c r="H130" i="19"/>
  <c r="G130" i="19"/>
  <c r="F130" i="19"/>
  <c r="E130" i="19"/>
  <c r="D130" i="19"/>
  <c r="C130" i="19"/>
  <c r="J130" i="19" s="1"/>
  <c r="H129" i="19"/>
  <c r="G129" i="19"/>
  <c r="F129" i="19"/>
  <c r="E129" i="19"/>
  <c r="D129" i="19"/>
  <c r="C129" i="19"/>
  <c r="J129" i="19" s="1"/>
  <c r="H128" i="19"/>
  <c r="G128" i="19"/>
  <c r="F128" i="19"/>
  <c r="E128" i="19"/>
  <c r="D128" i="19"/>
  <c r="C128" i="19"/>
  <c r="K128" i="19" s="1"/>
  <c r="H126" i="19"/>
  <c r="G126" i="19"/>
  <c r="F126" i="19"/>
  <c r="E126" i="19"/>
  <c r="D126" i="19"/>
  <c r="C126" i="19"/>
  <c r="J126" i="19" s="1"/>
  <c r="H125" i="19"/>
  <c r="G125" i="19"/>
  <c r="F125" i="19"/>
  <c r="E125" i="19"/>
  <c r="D125" i="19"/>
  <c r="C125" i="19"/>
  <c r="K125" i="19" s="1"/>
  <c r="H124" i="19"/>
  <c r="G124" i="19"/>
  <c r="F124" i="19"/>
  <c r="E124" i="19"/>
  <c r="D124" i="19"/>
  <c r="C124" i="19"/>
  <c r="K124" i="19" s="1"/>
  <c r="H123" i="19"/>
  <c r="G123" i="19"/>
  <c r="F123" i="19"/>
  <c r="E123" i="19"/>
  <c r="D123" i="19"/>
  <c r="C123" i="19"/>
  <c r="K123" i="19" s="1"/>
  <c r="H122" i="19"/>
  <c r="G122" i="19"/>
  <c r="F122" i="19"/>
  <c r="E122" i="19"/>
  <c r="D122" i="19"/>
  <c r="C122" i="19"/>
  <c r="J122" i="19" s="1"/>
  <c r="H121" i="19"/>
  <c r="G121" i="19"/>
  <c r="F121" i="19"/>
  <c r="E121" i="19"/>
  <c r="D121" i="19"/>
  <c r="C121" i="19"/>
  <c r="K121" i="19" s="1"/>
  <c r="H120" i="19"/>
  <c r="G120" i="19"/>
  <c r="F120" i="19"/>
  <c r="E120" i="19"/>
  <c r="D120" i="19"/>
  <c r="C120" i="19"/>
  <c r="K120" i="19" s="1"/>
  <c r="J125" i="19"/>
  <c r="H116" i="19"/>
  <c r="G116" i="19"/>
  <c r="F116" i="19"/>
  <c r="E116" i="19"/>
  <c r="D116" i="19"/>
  <c r="C116" i="19"/>
  <c r="J116" i="19" s="1"/>
  <c r="H115" i="19"/>
  <c r="G115" i="19"/>
  <c r="F115" i="19"/>
  <c r="E115" i="19"/>
  <c r="D115" i="19"/>
  <c r="C115" i="19"/>
  <c r="K115" i="19" s="1"/>
  <c r="H114" i="19"/>
  <c r="G114" i="19"/>
  <c r="F114" i="19"/>
  <c r="E114" i="19"/>
  <c r="D114" i="19"/>
  <c r="C114" i="19"/>
  <c r="K114" i="19" s="1"/>
  <c r="H113" i="19"/>
  <c r="G113" i="19"/>
  <c r="F113" i="19"/>
  <c r="E113" i="19"/>
  <c r="D113" i="19"/>
  <c r="C113" i="19"/>
  <c r="K113" i="19" s="1"/>
  <c r="H112" i="19"/>
  <c r="G112" i="19"/>
  <c r="F112" i="19"/>
  <c r="E112" i="19"/>
  <c r="D112" i="19"/>
  <c r="C112" i="19"/>
  <c r="K112" i="19" s="1"/>
  <c r="H111" i="19"/>
  <c r="G111" i="19"/>
  <c r="F111" i="19"/>
  <c r="E111" i="19"/>
  <c r="D111" i="19"/>
  <c r="C111" i="19"/>
  <c r="J111" i="19" s="1"/>
  <c r="H110" i="19"/>
  <c r="G110" i="19"/>
  <c r="F110" i="19"/>
  <c r="E110" i="19"/>
  <c r="D110" i="19"/>
  <c r="C110" i="19"/>
  <c r="K110" i="19" s="1"/>
  <c r="H109" i="19"/>
  <c r="G109" i="19"/>
  <c r="F109" i="19"/>
  <c r="E109" i="19"/>
  <c r="D109" i="19"/>
  <c r="C109" i="19"/>
  <c r="K109" i="19" s="1"/>
  <c r="H108" i="19"/>
  <c r="G108" i="19"/>
  <c r="F108" i="19"/>
  <c r="E108" i="19"/>
  <c r="D108" i="19"/>
  <c r="C108" i="19"/>
  <c r="K108" i="19" s="1"/>
  <c r="H107" i="19"/>
  <c r="G107" i="19"/>
  <c r="F107" i="19"/>
  <c r="E107" i="19"/>
  <c r="D107" i="19"/>
  <c r="C107" i="19"/>
  <c r="J107" i="19" s="1"/>
  <c r="H106" i="19"/>
  <c r="G106" i="19"/>
  <c r="F106" i="19"/>
  <c r="E106" i="19"/>
  <c r="D106" i="19"/>
  <c r="C106" i="19"/>
  <c r="K106" i="19" s="1"/>
  <c r="H104" i="19"/>
  <c r="G104" i="19"/>
  <c r="F104" i="19"/>
  <c r="E104" i="19"/>
  <c r="D104" i="19"/>
  <c r="C104" i="19"/>
  <c r="K104" i="19" s="1"/>
  <c r="H103" i="19"/>
  <c r="G103" i="19"/>
  <c r="F103" i="19"/>
  <c r="E103" i="19"/>
  <c r="D103" i="19"/>
  <c r="C103" i="19"/>
  <c r="K103" i="19" s="1"/>
  <c r="H102" i="19"/>
  <c r="G102" i="19"/>
  <c r="F102" i="19"/>
  <c r="E102" i="19"/>
  <c r="D102" i="19"/>
  <c r="C102" i="19"/>
  <c r="J102" i="19" s="1"/>
  <c r="H101" i="19"/>
  <c r="G101" i="19"/>
  <c r="F101" i="19"/>
  <c r="E101" i="19"/>
  <c r="D101" i="19"/>
  <c r="C101" i="19"/>
  <c r="J101" i="19" s="1"/>
  <c r="H100" i="19"/>
  <c r="G100" i="19"/>
  <c r="F100" i="19"/>
  <c r="E100" i="19"/>
  <c r="D100" i="19"/>
  <c r="C100" i="19"/>
  <c r="K100" i="19" s="1"/>
  <c r="H99" i="19"/>
  <c r="G99" i="19"/>
  <c r="F99" i="19"/>
  <c r="E99" i="19"/>
  <c r="D99" i="19"/>
  <c r="C99" i="19"/>
  <c r="K99" i="19" s="1"/>
  <c r="H98" i="19"/>
  <c r="G98" i="19"/>
  <c r="F98" i="19"/>
  <c r="E98" i="19"/>
  <c r="D98" i="19"/>
  <c r="C98" i="19"/>
  <c r="J98" i="19" s="1"/>
  <c r="D83" i="19"/>
  <c r="E83" i="19"/>
  <c r="F83" i="19"/>
  <c r="G83" i="19"/>
  <c r="H83" i="19"/>
  <c r="D84" i="19"/>
  <c r="E84" i="19"/>
  <c r="F84" i="19"/>
  <c r="G84" i="19"/>
  <c r="H84" i="19"/>
  <c r="D85" i="19"/>
  <c r="E85" i="19"/>
  <c r="F85" i="19"/>
  <c r="G85" i="19"/>
  <c r="H85" i="19"/>
  <c r="D86" i="19"/>
  <c r="E86" i="19"/>
  <c r="F86" i="19"/>
  <c r="G86" i="19"/>
  <c r="H86" i="19"/>
  <c r="D87" i="19"/>
  <c r="E87" i="19"/>
  <c r="F87" i="19"/>
  <c r="G87" i="19"/>
  <c r="H87" i="19"/>
  <c r="D88" i="19"/>
  <c r="E88" i="19"/>
  <c r="F88" i="19"/>
  <c r="G88" i="19"/>
  <c r="H88" i="19"/>
  <c r="D89" i="19"/>
  <c r="E89" i="19"/>
  <c r="F89" i="19"/>
  <c r="G89" i="19"/>
  <c r="H89" i="19"/>
  <c r="D90" i="19"/>
  <c r="E90" i="19"/>
  <c r="F90" i="19"/>
  <c r="G90" i="19"/>
  <c r="H90" i="19"/>
  <c r="D91" i="19"/>
  <c r="E91" i="19"/>
  <c r="F91" i="19"/>
  <c r="G91" i="19"/>
  <c r="H91" i="19"/>
  <c r="D92" i="19"/>
  <c r="E92" i="19"/>
  <c r="F92" i="19"/>
  <c r="G92" i="19"/>
  <c r="H92" i="19"/>
  <c r="D93" i="19"/>
  <c r="E93" i="19"/>
  <c r="F93" i="19"/>
  <c r="G93" i="19"/>
  <c r="H93" i="19"/>
  <c r="C84" i="19"/>
  <c r="K84" i="19" s="1"/>
  <c r="C85" i="19"/>
  <c r="K85" i="19" s="1"/>
  <c r="C86" i="19"/>
  <c r="K86" i="19" s="1"/>
  <c r="C87" i="19"/>
  <c r="K87" i="19" s="1"/>
  <c r="C88" i="19"/>
  <c r="K88" i="19" s="1"/>
  <c r="C89" i="19"/>
  <c r="K89" i="19" s="1"/>
  <c r="C90" i="19"/>
  <c r="K90" i="19" s="1"/>
  <c r="C91" i="19"/>
  <c r="K91" i="19" s="1"/>
  <c r="C92" i="19"/>
  <c r="K92" i="19" s="1"/>
  <c r="C93" i="19"/>
  <c r="C83" i="19"/>
  <c r="K83" i="19" s="1"/>
  <c r="D75" i="19"/>
  <c r="E75" i="19"/>
  <c r="F75" i="19"/>
  <c r="G75" i="19"/>
  <c r="H75" i="19"/>
  <c r="D76" i="19"/>
  <c r="E76" i="19"/>
  <c r="F76" i="19"/>
  <c r="G76" i="19"/>
  <c r="H76" i="19"/>
  <c r="D77" i="19"/>
  <c r="E77" i="19"/>
  <c r="F77" i="19"/>
  <c r="G77" i="19"/>
  <c r="H77" i="19"/>
  <c r="D78" i="19"/>
  <c r="E78" i="19"/>
  <c r="F78" i="19"/>
  <c r="G78" i="19"/>
  <c r="H78" i="19"/>
  <c r="D79" i="19"/>
  <c r="E79" i="19"/>
  <c r="F79" i="19"/>
  <c r="G79" i="19"/>
  <c r="H79" i="19"/>
  <c r="D80" i="19"/>
  <c r="E80" i="19"/>
  <c r="F80" i="19"/>
  <c r="G80" i="19"/>
  <c r="H80" i="19"/>
  <c r="D81" i="19"/>
  <c r="E81" i="19"/>
  <c r="F81" i="19"/>
  <c r="G81" i="19"/>
  <c r="H81" i="19"/>
  <c r="C76" i="19"/>
  <c r="K76" i="19" s="1"/>
  <c r="C77" i="19"/>
  <c r="K77" i="19" s="1"/>
  <c r="C78" i="19"/>
  <c r="K78" i="19" s="1"/>
  <c r="C79" i="19"/>
  <c r="K79" i="19" s="1"/>
  <c r="C80" i="19"/>
  <c r="K80" i="19" s="1"/>
  <c r="C81" i="19"/>
  <c r="K81" i="19" s="1"/>
  <c r="C75" i="19"/>
  <c r="K75" i="19" s="1"/>
  <c r="J88" i="19" l="1"/>
  <c r="J128" i="19"/>
  <c r="J123" i="19"/>
  <c r="R138" i="19"/>
  <c r="K172" i="19"/>
  <c r="S93" i="19"/>
  <c r="S138" i="19"/>
  <c r="J136" i="19"/>
  <c r="K153" i="19"/>
  <c r="J84" i="19"/>
  <c r="J115" i="19"/>
  <c r="K132" i="19"/>
  <c r="J138" i="19"/>
  <c r="K157" i="19"/>
  <c r="S161" i="19"/>
  <c r="K151" i="19"/>
  <c r="K159" i="19"/>
  <c r="R185" i="19"/>
  <c r="S185" i="19"/>
  <c r="K185" i="19"/>
  <c r="J103" i="19"/>
  <c r="J114" i="19"/>
  <c r="K126" i="19"/>
  <c r="R116" i="19"/>
  <c r="J108" i="19"/>
  <c r="J124" i="19"/>
  <c r="J143" i="19"/>
  <c r="J145" i="19"/>
  <c r="J147" i="19"/>
  <c r="J149" i="19"/>
  <c r="J152" i="19"/>
  <c r="J154" i="19"/>
  <c r="J156" i="19"/>
  <c r="J158" i="19"/>
  <c r="J160" i="19"/>
  <c r="S116" i="19"/>
  <c r="J75" i="19"/>
  <c r="J92" i="19"/>
  <c r="J112" i="19"/>
  <c r="K116" i="19"/>
  <c r="K122" i="19"/>
  <c r="K134" i="19"/>
  <c r="K171" i="19"/>
  <c r="K177" i="19"/>
  <c r="K182" i="19"/>
  <c r="R93" i="19"/>
  <c r="J99" i="19"/>
  <c r="J113" i="19"/>
  <c r="J120" i="19"/>
  <c r="J121" i="19"/>
  <c r="R161" i="19"/>
  <c r="K168" i="19"/>
  <c r="K181" i="19"/>
  <c r="K167" i="19"/>
  <c r="K176" i="19"/>
  <c r="K180" i="19"/>
  <c r="K184" i="19"/>
  <c r="K170" i="19"/>
  <c r="K175" i="19"/>
  <c r="K179" i="19"/>
  <c r="K183" i="19"/>
  <c r="K169" i="19"/>
  <c r="K173" i="19"/>
  <c r="K178" i="19"/>
  <c r="J78" i="19"/>
  <c r="J100" i="19"/>
  <c r="J109" i="19"/>
  <c r="K101" i="19"/>
  <c r="J104" i="19"/>
  <c r="J76" i="19"/>
  <c r="J80" i="19"/>
  <c r="J83" i="19"/>
  <c r="J85" i="19"/>
  <c r="J87" i="19"/>
  <c r="J89" i="19"/>
  <c r="J91" i="19"/>
  <c r="K93" i="19"/>
  <c r="K111" i="19"/>
  <c r="K107" i="19"/>
  <c r="J93" i="19"/>
  <c r="J106" i="19"/>
  <c r="J110" i="19"/>
  <c r="K98" i="19"/>
  <c r="K102" i="19"/>
  <c r="K129" i="19"/>
  <c r="K133" i="19"/>
  <c r="K137" i="19"/>
  <c r="J131" i="19"/>
  <c r="J135" i="19"/>
  <c r="J77" i="19"/>
  <c r="J79" i="19"/>
  <c r="J81" i="19"/>
  <c r="J86" i="19"/>
  <c r="J90" i="19"/>
  <c r="R32" i="19"/>
  <c r="K56" i="19"/>
  <c r="H70" i="19"/>
  <c r="G70" i="19"/>
  <c r="F70" i="19"/>
  <c r="E70" i="19"/>
  <c r="D70" i="19"/>
  <c r="H69" i="19"/>
  <c r="G69" i="19"/>
  <c r="F69" i="19"/>
  <c r="E69" i="19"/>
  <c r="D69" i="19"/>
  <c r="H68" i="19"/>
  <c r="G68" i="19"/>
  <c r="F68" i="19"/>
  <c r="E68" i="19"/>
  <c r="D68" i="19"/>
  <c r="H67" i="19"/>
  <c r="G67" i="19"/>
  <c r="F67" i="19"/>
  <c r="E67" i="19"/>
  <c r="D67" i="19"/>
  <c r="H66" i="19"/>
  <c r="G66" i="19"/>
  <c r="F66" i="19"/>
  <c r="E66" i="19"/>
  <c r="D66" i="19"/>
  <c r="H65" i="19"/>
  <c r="G65" i="19"/>
  <c r="F65" i="19"/>
  <c r="E65" i="19"/>
  <c r="D65" i="19"/>
  <c r="H64" i="19"/>
  <c r="G64" i="19"/>
  <c r="F64" i="19"/>
  <c r="E64" i="19"/>
  <c r="D64" i="19"/>
  <c r="H63" i="19"/>
  <c r="G63" i="19"/>
  <c r="F63" i="19"/>
  <c r="E63" i="19"/>
  <c r="D63" i="19"/>
  <c r="H62" i="19"/>
  <c r="G62" i="19"/>
  <c r="F62" i="19"/>
  <c r="E62" i="19"/>
  <c r="D62" i="19"/>
  <c r="H61" i="19"/>
  <c r="G61" i="19"/>
  <c r="F61" i="19"/>
  <c r="E61" i="19"/>
  <c r="D61" i="19"/>
  <c r="C62" i="19"/>
  <c r="K62" i="19" s="1"/>
  <c r="C63" i="19"/>
  <c r="J63" i="19" s="1"/>
  <c r="C64" i="19"/>
  <c r="K64" i="19" s="1"/>
  <c r="C65" i="19"/>
  <c r="J65" i="19" s="1"/>
  <c r="C66" i="19"/>
  <c r="K66" i="19" s="1"/>
  <c r="C67" i="19"/>
  <c r="J67" i="19" s="1"/>
  <c r="C68" i="19"/>
  <c r="K68" i="19" s="1"/>
  <c r="C69" i="19"/>
  <c r="J69" i="19" s="1"/>
  <c r="C70" i="19"/>
  <c r="K70" i="19" s="1"/>
  <c r="C61" i="19"/>
  <c r="K61" i="19" s="1"/>
  <c r="E53" i="19"/>
  <c r="F53" i="19"/>
  <c r="G53" i="19"/>
  <c r="H53" i="19"/>
  <c r="D54" i="19"/>
  <c r="E54" i="19"/>
  <c r="F54" i="19"/>
  <c r="G54" i="19"/>
  <c r="H54" i="19"/>
  <c r="D55" i="19"/>
  <c r="E55" i="19"/>
  <c r="F55" i="19"/>
  <c r="G55" i="19"/>
  <c r="H55" i="19"/>
  <c r="D56" i="19"/>
  <c r="E56" i="19"/>
  <c r="F56" i="19"/>
  <c r="G56" i="19"/>
  <c r="H56" i="19"/>
  <c r="D57" i="19"/>
  <c r="E57" i="19"/>
  <c r="F57" i="19"/>
  <c r="G57" i="19"/>
  <c r="H57" i="19"/>
  <c r="D58" i="19"/>
  <c r="E58" i="19"/>
  <c r="F58" i="19"/>
  <c r="G58" i="19"/>
  <c r="H58" i="19"/>
  <c r="D59" i="19"/>
  <c r="E59" i="19"/>
  <c r="F59" i="19"/>
  <c r="G59" i="19"/>
  <c r="H59" i="19"/>
  <c r="C54" i="19"/>
  <c r="C55" i="19"/>
  <c r="K55" i="19" s="1"/>
  <c r="C56" i="19"/>
  <c r="C57" i="19"/>
  <c r="K57" i="19" s="1"/>
  <c r="C58" i="19"/>
  <c r="C59" i="19"/>
  <c r="K59" i="19" s="1"/>
  <c r="C53" i="19"/>
  <c r="K53" i="19" s="1"/>
  <c r="D47" i="19"/>
  <c r="E47" i="19"/>
  <c r="F47" i="19"/>
  <c r="G47" i="19"/>
  <c r="H47" i="19"/>
  <c r="D48" i="19"/>
  <c r="E48" i="19"/>
  <c r="F48" i="19"/>
  <c r="G48" i="19"/>
  <c r="H48" i="19"/>
  <c r="D49" i="19"/>
  <c r="E49" i="19"/>
  <c r="F49" i="19"/>
  <c r="G49" i="19"/>
  <c r="H49" i="19"/>
  <c r="C48" i="19"/>
  <c r="J48" i="19" s="1"/>
  <c r="C49" i="19"/>
  <c r="C47" i="19"/>
  <c r="J47" i="19" s="1"/>
  <c r="D40" i="19"/>
  <c r="E40" i="19"/>
  <c r="F40" i="19"/>
  <c r="G40" i="19"/>
  <c r="H40" i="19"/>
  <c r="D41" i="19"/>
  <c r="E41" i="19"/>
  <c r="F41" i="19"/>
  <c r="G41" i="19"/>
  <c r="H41" i="19"/>
  <c r="D42" i="19"/>
  <c r="E42" i="19"/>
  <c r="F42" i="19"/>
  <c r="G42" i="19"/>
  <c r="H42" i="19"/>
  <c r="D43" i="19"/>
  <c r="E43" i="19"/>
  <c r="F43" i="19"/>
  <c r="G43" i="19"/>
  <c r="H43" i="19"/>
  <c r="D44" i="19"/>
  <c r="E44" i="19"/>
  <c r="F44" i="19"/>
  <c r="G44" i="19"/>
  <c r="H44" i="19"/>
  <c r="D45" i="19"/>
  <c r="E45" i="19"/>
  <c r="F45" i="19"/>
  <c r="G45" i="19"/>
  <c r="H45" i="19"/>
  <c r="D46" i="19"/>
  <c r="E46" i="19"/>
  <c r="F46" i="19"/>
  <c r="G46" i="19"/>
  <c r="H46" i="19"/>
  <c r="J33" i="19"/>
  <c r="J34" i="19"/>
  <c r="J35" i="19"/>
  <c r="J36" i="19"/>
  <c r="J37" i="19"/>
  <c r="J38" i="19"/>
  <c r="J32" i="19"/>
  <c r="C44" i="19"/>
  <c r="J44" i="19" s="1"/>
  <c r="C45" i="19"/>
  <c r="J45" i="19" s="1"/>
  <c r="C46" i="19"/>
  <c r="J46" i="19" s="1"/>
  <c r="C43" i="19"/>
  <c r="J43" i="19" s="1"/>
  <c r="C42" i="19"/>
  <c r="J42" i="19" s="1"/>
  <c r="C41" i="19"/>
  <c r="J41" i="19" s="1"/>
  <c r="C40" i="19"/>
  <c r="J40" i="19" s="1"/>
  <c r="R49" i="19" l="1"/>
  <c r="K65" i="19"/>
  <c r="K69" i="19"/>
  <c r="J70" i="19"/>
  <c r="J66" i="19"/>
  <c r="J62" i="19"/>
  <c r="K58" i="19"/>
  <c r="K54" i="19"/>
  <c r="J61" i="19"/>
  <c r="K63" i="19"/>
  <c r="K67" i="19"/>
  <c r="J68" i="19"/>
  <c r="J64" i="19"/>
  <c r="K49" i="19"/>
  <c r="S49" i="19"/>
  <c r="J49" i="19"/>
  <c r="J63" i="20"/>
  <c r="J64" i="20"/>
  <c r="J65" i="20"/>
  <c r="J66" i="20"/>
  <c r="J67" i="20"/>
  <c r="J68" i="20"/>
  <c r="J69" i="20"/>
  <c r="J62" i="20"/>
  <c r="T69" i="20" l="1"/>
  <c r="U69" i="20" s="1"/>
  <c r="V69" i="20" s="1"/>
  <c r="S69" i="20"/>
  <c r="W69" i="20" s="1"/>
  <c r="R69" i="20"/>
  <c r="K69" i="20"/>
  <c r="T68" i="20"/>
  <c r="U68" i="20" s="1"/>
  <c r="V68" i="20" s="1"/>
  <c r="S68" i="20"/>
  <c r="R68" i="20"/>
  <c r="K68" i="20"/>
  <c r="U67" i="20"/>
  <c r="V67" i="20" s="1"/>
  <c r="T67" i="20"/>
  <c r="W67" i="20" s="1"/>
  <c r="S67" i="20"/>
  <c r="R67" i="20"/>
  <c r="K67" i="20"/>
  <c r="T66" i="20"/>
  <c r="S66" i="20"/>
  <c r="W66" i="20" s="1"/>
  <c r="R66" i="20"/>
  <c r="U66" i="20" s="1"/>
  <c r="V66" i="20" s="1"/>
  <c r="K66" i="20"/>
  <c r="AB65" i="20"/>
  <c r="T65" i="20"/>
  <c r="U65" i="20" s="1"/>
  <c r="V65" i="20" s="1"/>
  <c r="S65" i="20"/>
  <c r="R65" i="20"/>
  <c r="K65" i="20"/>
  <c r="Z65" i="20" s="1"/>
  <c r="AA65" i="20" s="1"/>
  <c r="Z64" i="20"/>
  <c r="AA64" i="20" s="1"/>
  <c r="T64" i="20"/>
  <c r="S64" i="20"/>
  <c r="W64" i="20" s="1"/>
  <c r="R64" i="20"/>
  <c r="U64" i="20" s="1"/>
  <c r="V64" i="20" s="1"/>
  <c r="K64" i="20"/>
  <c r="AB64" i="20" s="1"/>
  <c r="AB63" i="20"/>
  <c r="T63" i="20"/>
  <c r="U63" i="20" s="1"/>
  <c r="V63" i="20" s="1"/>
  <c r="X63" i="20" s="1"/>
  <c r="S63" i="20"/>
  <c r="R63" i="20"/>
  <c r="K63" i="20"/>
  <c r="Z63" i="20" s="1"/>
  <c r="AA63" i="20" s="1"/>
  <c r="Z62" i="20"/>
  <c r="AA62" i="20" s="1"/>
  <c r="T62" i="20"/>
  <c r="S62" i="20"/>
  <c r="W62" i="20" s="1"/>
  <c r="Y62" i="20" s="1"/>
  <c r="R62" i="20"/>
  <c r="U62" i="20" s="1"/>
  <c r="V62" i="20" s="1"/>
  <c r="X62" i="20" s="1"/>
  <c r="K62" i="20"/>
  <c r="AB62" i="20" s="1"/>
  <c r="T60" i="20"/>
  <c r="U60" i="20" s="1"/>
  <c r="V60" i="20" s="1"/>
  <c r="S60" i="20"/>
  <c r="W60" i="20" s="1"/>
  <c r="R60" i="20"/>
  <c r="K60" i="20"/>
  <c r="J60" i="20"/>
  <c r="T59" i="20"/>
  <c r="U59" i="20" s="1"/>
  <c r="V59" i="20" s="1"/>
  <c r="S59" i="20"/>
  <c r="R59" i="20"/>
  <c r="K59" i="20"/>
  <c r="J59" i="20"/>
  <c r="U58" i="20"/>
  <c r="V58" i="20" s="1"/>
  <c r="T58" i="20"/>
  <c r="W58" i="20" s="1"/>
  <c r="S58" i="20"/>
  <c r="R58" i="20"/>
  <c r="K58" i="20"/>
  <c r="J58" i="20"/>
  <c r="T57" i="20"/>
  <c r="S57" i="20"/>
  <c r="W57" i="20" s="1"/>
  <c r="R57" i="20"/>
  <c r="U57" i="20" s="1"/>
  <c r="V57" i="20" s="1"/>
  <c r="K57" i="20"/>
  <c r="J57" i="20"/>
  <c r="AB56" i="20"/>
  <c r="T56" i="20"/>
  <c r="U56" i="20" s="1"/>
  <c r="V56" i="20" s="1"/>
  <c r="S56" i="20"/>
  <c r="W56" i="20" s="1"/>
  <c r="Y56" i="20" s="1"/>
  <c r="R56" i="20"/>
  <c r="K56" i="20"/>
  <c r="Z56" i="20" s="1"/>
  <c r="AA56" i="20" s="1"/>
  <c r="J56" i="20"/>
  <c r="U55" i="20"/>
  <c r="V55" i="20" s="1"/>
  <c r="X55" i="20" s="1"/>
  <c r="T55" i="20"/>
  <c r="S55" i="20"/>
  <c r="W55" i="20" s="1"/>
  <c r="R55" i="20"/>
  <c r="K55" i="20"/>
  <c r="AB55" i="20" s="1"/>
  <c r="J55" i="20"/>
  <c r="AB54" i="20"/>
  <c r="T54" i="20"/>
  <c r="U54" i="20" s="1"/>
  <c r="V54" i="20" s="1"/>
  <c r="X54" i="20" s="1"/>
  <c r="AC54" i="20" s="1"/>
  <c r="S54" i="20"/>
  <c r="W54" i="20" s="1"/>
  <c r="Y54" i="20" s="1"/>
  <c r="R54" i="20"/>
  <c r="K54" i="20"/>
  <c r="Z54" i="20" s="1"/>
  <c r="AA54" i="20" s="1"/>
  <c r="J54" i="20"/>
  <c r="U53" i="20"/>
  <c r="V53" i="20" s="1"/>
  <c r="X53" i="20" s="1"/>
  <c r="T53" i="20"/>
  <c r="S53" i="20"/>
  <c r="W53" i="20" s="1"/>
  <c r="Y53" i="20" s="1"/>
  <c r="R53" i="20"/>
  <c r="K53" i="20"/>
  <c r="AB53" i="20" s="1"/>
  <c r="J53" i="20"/>
  <c r="T49" i="20"/>
  <c r="W49" i="20" s="1"/>
  <c r="S49" i="20"/>
  <c r="R49" i="20"/>
  <c r="K49" i="20"/>
  <c r="J49" i="20"/>
  <c r="U48" i="20"/>
  <c r="V48" i="20" s="1"/>
  <c r="T48" i="20"/>
  <c r="S48" i="20"/>
  <c r="W48" i="20" s="1"/>
  <c r="R48" i="20"/>
  <c r="K48" i="20"/>
  <c r="J48" i="20"/>
  <c r="T47" i="20"/>
  <c r="U47" i="20" s="1"/>
  <c r="V47" i="20" s="1"/>
  <c r="S47" i="20"/>
  <c r="R47" i="20"/>
  <c r="K47" i="20"/>
  <c r="J47" i="20"/>
  <c r="U46" i="20"/>
  <c r="V46" i="20" s="1"/>
  <c r="T46" i="20"/>
  <c r="S46" i="20"/>
  <c r="W46" i="20" s="1"/>
  <c r="R46" i="20"/>
  <c r="K46" i="20"/>
  <c r="J46" i="20"/>
  <c r="U45" i="20"/>
  <c r="V45" i="20" s="1"/>
  <c r="T45" i="20"/>
  <c r="S45" i="20"/>
  <c r="W45" i="20" s="1"/>
  <c r="Y45" i="20" s="1"/>
  <c r="R45" i="20"/>
  <c r="K45" i="20"/>
  <c r="AB45" i="20" s="1"/>
  <c r="J45" i="20"/>
  <c r="T44" i="20"/>
  <c r="U44" i="20" s="1"/>
  <c r="V44" i="20" s="1"/>
  <c r="S44" i="20"/>
  <c r="W44" i="20" s="1"/>
  <c r="Y44" i="20" s="1"/>
  <c r="R44" i="20"/>
  <c r="K44" i="20"/>
  <c r="Z44" i="20" s="1"/>
  <c r="AA44" i="20" s="1"/>
  <c r="J44" i="20"/>
  <c r="U43" i="20"/>
  <c r="V43" i="20" s="1"/>
  <c r="X43" i="20" s="1"/>
  <c r="T43" i="20"/>
  <c r="S43" i="20"/>
  <c r="W43" i="20" s="1"/>
  <c r="R43" i="20"/>
  <c r="K43" i="20"/>
  <c r="AB43" i="20" s="1"/>
  <c r="J43" i="20"/>
  <c r="AB42" i="20"/>
  <c r="T42" i="20"/>
  <c r="U42" i="20" s="1"/>
  <c r="V42" i="20" s="1"/>
  <c r="X42" i="20" s="1"/>
  <c r="S42" i="20"/>
  <c r="W42" i="20" s="1"/>
  <c r="Y42" i="20" s="1"/>
  <c r="R42" i="20"/>
  <c r="K42" i="20"/>
  <c r="Z42" i="20" s="1"/>
  <c r="AA42" i="20" s="1"/>
  <c r="J42" i="20"/>
  <c r="AA59" i="20" l="1"/>
  <c r="X56" i="20"/>
  <c r="AC56" i="20" s="1"/>
  <c r="AC62" i="20"/>
  <c r="Z67" i="20" s="1"/>
  <c r="AC63" i="20"/>
  <c r="X64" i="20"/>
  <c r="AC64" i="20" s="1"/>
  <c r="X65" i="20"/>
  <c r="AC65" i="20" s="1"/>
  <c r="Z66" i="20" s="1"/>
  <c r="W59" i="20"/>
  <c r="Y55" i="20" s="1"/>
  <c r="AA60" i="20" s="1"/>
  <c r="W63" i="20"/>
  <c r="Y63" i="20" s="1"/>
  <c r="W65" i="20"/>
  <c r="Y65" i="20" s="1"/>
  <c r="W68" i="20"/>
  <c r="Y64" i="20" s="1"/>
  <c r="Z53" i="20"/>
  <c r="AA53" i="20" s="1"/>
  <c r="AC53" i="20" s="1"/>
  <c r="Z55" i="20"/>
  <c r="AA55" i="20" s="1"/>
  <c r="AC55" i="20" s="1"/>
  <c r="AC43" i="20"/>
  <c r="AC42" i="20"/>
  <c r="X44" i="20"/>
  <c r="AC44" i="20" s="1"/>
  <c r="Z43" i="20"/>
  <c r="AA43" i="20" s="1"/>
  <c r="AB44" i="20"/>
  <c r="Z46" i="20" s="1"/>
  <c r="Z45" i="20"/>
  <c r="AA45" i="20" s="1"/>
  <c r="W47" i="20"/>
  <c r="Y43" i="20" s="1"/>
  <c r="AA49" i="20" s="1"/>
  <c r="U49" i="20"/>
  <c r="V49" i="20" s="1"/>
  <c r="X45" i="20" s="1"/>
  <c r="AC45" i="20" s="1"/>
  <c r="Z58" i="20" l="1"/>
  <c r="Z57" i="20"/>
  <c r="Z71" i="20"/>
  <c r="AA69" i="20"/>
  <c r="AA68" i="20"/>
  <c r="Z47" i="20"/>
  <c r="AA48" i="20"/>
  <c r="T26" i="19" l="1"/>
  <c r="S26" i="19"/>
  <c r="R26" i="19"/>
  <c r="T25" i="19"/>
  <c r="S25" i="19"/>
  <c r="R25" i="19"/>
  <c r="T24" i="19"/>
  <c r="S24" i="19"/>
  <c r="R24" i="19"/>
  <c r="T23" i="19"/>
  <c r="S23" i="19"/>
  <c r="R23" i="19"/>
  <c r="T22" i="19"/>
  <c r="S22" i="19"/>
  <c r="R22" i="19"/>
  <c r="AB22" i="19"/>
  <c r="T21" i="19"/>
  <c r="S21" i="19"/>
  <c r="R21" i="19"/>
  <c r="Z21" i="19"/>
  <c r="AA21" i="19" s="1"/>
  <c r="T20" i="19"/>
  <c r="S20" i="19"/>
  <c r="R20" i="19"/>
  <c r="AB20" i="19"/>
  <c r="T19" i="19"/>
  <c r="S19" i="19"/>
  <c r="R19" i="19"/>
  <c r="Z19" i="19"/>
  <c r="AA19" i="19" s="1"/>
  <c r="U38" i="20"/>
  <c r="V38" i="20" s="1"/>
  <c r="T38" i="20"/>
  <c r="W38" i="20" s="1"/>
  <c r="S38" i="20"/>
  <c r="R38" i="20"/>
  <c r="K38" i="20"/>
  <c r="J38" i="20"/>
  <c r="T37" i="20"/>
  <c r="W37" i="20" s="1"/>
  <c r="S37" i="20"/>
  <c r="R37" i="20"/>
  <c r="U37" i="20" s="1"/>
  <c r="V37" i="20" s="1"/>
  <c r="K37" i="20"/>
  <c r="J37" i="20"/>
  <c r="T36" i="20"/>
  <c r="U36" i="20" s="1"/>
  <c r="V36" i="20" s="1"/>
  <c r="S36" i="20"/>
  <c r="W36" i="20" s="1"/>
  <c r="R36" i="20"/>
  <c r="K36" i="20"/>
  <c r="J36" i="20"/>
  <c r="T35" i="20"/>
  <c r="W35" i="20" s="1"/>
  <c r="S35" i="20"/>
  <c r="R35" i="20"/>
  <c r="K35" i="20"/>
  <c r="J35" i="20"/>
  <c r="Z34" i="20"/>
  <c r="AA34" i="20" s="1"/>
  <c r="T34" i="20"/>
  <c r="S34" i="20"/>
  <c r="W34" i="20" s="1"/>
  <c r="Y34" i="20" s="1"/>
  <c r="R34" i="20"/>
  <c r="U34" i="20" s="1"/>
  <c r="V34" i="20" s="1"/>
  <c r="X34" i="20" s="1"/>
  <c r="AC34" i="20" s="1"/>
  <c r="K34" i="20"/>
  <c r="AB34" i="20" s="1"/>
  <c r="J34" i="20"/>
  <c r="AB33" i="20"/>
  <c r="T33" i="20"/>
  <c r="W33" i="20" s="1"/>
  <c r="Y33" i="20" s="1"/>
  <c r="S33" i="20"/>
  <c r="R33" i="20"/>
  <c r="K33" i="20"/>
  <c r="Z33" i="20" s="1"/>
  <c r="AA33" i="20" s="1"/>
  <c r="J33" i="20"/>
  <c r="Z32" i="20"/>
  <c r="AA32" i="20" s="1"/>
  <c r="T32" i="20"/>
  <c r="U32" i="20" s="1"/>
  <c r="V32" i="20" s="1"/>
  <c r="S32" i="20"/>
  <c r="W32" i="20" s="1"/>
  <c r="Y32" i="20" s="1"/>
  <c r="R32" i="20"/>
  <c r="K32" i="20"/>
  <c r="AB32" i="20" s="1"/>
  <c r="J32" i="20"/>
  <c r="AB31" i="20"/>
  <c r="T31" i="20"/>
  <c r="W31" i="20" s="1"/>
  <c r="Y31" i="20" s="1"/>
  <c r="S31" i="20"/>
  <c r="R31" i="20"/>
  <c r="K31" i="20"/>
  <c r="Z31" i="20" s="1"/>
  <c r="AA31" i="20" s="1"/>
  <c r="J31" i="20"/>
  <c r="Z13" i="19"/>
  <c r="AA13" i="19" s="1"/>
  <c r="Z12" i="19"/>
  <c r="AA12" i="19" s="1"/>
  <c r="AB11" i="19"/>
  <c r="Z10" i="19"/>
  <c r="T17" i="19"/>
  <c r="S17" i="19"/>
  <c r="R17" i="19"/>
  <c r="T16" i="19"/>
  <c r="S16" i="19"/>
  <c r="R16" i="19"/>
  <c r="T15" i="19"/>
  <c r="S15" i="19"/>
  <c r="R15" i="19"/>
  <c r="T14" i="19"/>
  <c r="S14" i="19"/>
  <c r="R14" i="19"/>
  <c r="T13" i="19"/>
  <c r="S13" i="19"/>
  <c r="R13" i="19"/>
  <c r="T12" i="19"/>
  <c r="S12" i="19"/>
  <c r="R12" i="19"/>
  <c r="T11" i="19"/>
  <c r="S11" i="19"/>
  <c r="R11" i="19"/>
  <c r="U10" i="19"/>
  <c r="V10" i="19" s="1"/>
  <c r="S10" i="19"/>
  <c r="R10" i="19"/>
  <c r="T26" i="20"/>
  <c r="U26" i="20" s="1"/>
  <c r="V26" i="20" s="1"/>
  <c r="S26" i="20"/>
  <c r="W26" i="20" s="1"/>
  <c r="R26" i="20"/>
  <c r="K26" i="20"/>
  <c r="J26" i="20"/>
  <c r="T25" i="20"/>
  <c r="U25" i="20" s="1"/>
  <c r="V25" i="20" s="1"/>
  <c r="S25" i="20"/>
  <c r="R25" i="20"/>
  <c r="K25" i="20"/>
  <c r="J25" i="20"/>
  <c r="U24" i="20"/>
  <c r="V24" i="20" s="1"/>
  <c r="T24" i="20"/>
  <c r="W24" i="20" s="1"/>
  <c r="S24" i="20"/>
  <c r="R24" i="20"/>
  <c r="K24" i="20"/>
  <c r="J24" i="20"/>
  <c r="T23" i="20"/>
  <c r="S23" i="20"/>
  <c r="W23" i="20" s="1"/>
  <c r="R23" i="20"/>
  <c r="U23" i="20" s="1"/>
  <c r="V23" i="20" s="1"/>
  <c r="K23" i="20"/>
  <c r="J23" i="20"/>
  <c r="T22" i="20"/>
  <c r="W22" i="20" s="1"/>
  <c r="S22" i="20"/>
  <c r="R22" i="20"/>
  <c r="K22" i="20"/>
  <c r="Z22" i="20" s="1"/>
  <c r="AA22" i="20" s="1"/>
  <c r="J22" i="20"/>
  <c r="T21" i="20"/>
  <c r="U21" i="20" s="1"/>
  <c r="V21" i="20" s="1"/>
  <c r="S21" i="20"/>
  <c r="W21" i="20" s="1"/>
  <c r="R21" i="20"/>
  <c r="K21" i="20"/>
  <c r="AB21" i="20" s="1"/>
  <c r="J21" i="20"/>
  <c r="T20" i="20"/>
  <c r="U20" i="20" s="1"/>
  <c r="V20" i="20" s="1"/>
  <c r="X20" i="20" s="1"/>
  <c r="S20" i="20"/>
  <c r="R20" i="20"/>
  <c r="K20" i="20"/>
  <c r="Z20" i="20" s="1"/>
  <c r="AA20" i="20" s="1"/>
  <c r="J20" i="20"/>
  <c r="T19" i="20"/>
  <c r="U19" i="20" s="1"/>
  <c r="V19" i="20" s="1"/>
  <c r="X19" i="20" s="1"/>
  <c r="S19" i="20"/>
  <c r="W19" i="20" s="1"/>
  <c r="Y19" i="20" s="1"/>
  <c r="R19" i="20"/>
  <c r="K19" i="20"/>
  <c r="AB19" i="20" s="1"/>
  <c r="J19" i="20"/>
  <c r="T17" i="20"/>
  <c r="U17" i="20" s="1"/>
  <c r="V17" i="20" s="1"/>
  <c r="S17" i="20"/>
  <c r="W17" i="20" s="1"/>
  <c r="R17" i="20"/>
  <c r="K17" i="20"/>
  <c r="J17" i="20"/>
  <c r="T16" i="20"/>
  <c r="W16" i="20" s="1"/>
  <c r="S16" i="20"/>
  <c r="R16" i="20"/>
  <c r="K16" i="20"/>
  <c r="J16" i="20"/>
  <c r="U15" i="20"/>
  <c r="V15" i="20" s="1"/>
  <c r="T15" i="20"/>
  <c r="W15" i="20" s="1"/>
  <c r="S15" i="20"/>
  <c r="R15" i="20"/>
  <c r="K15" i="20"/>
  <c r="J15" i="20"/>
  <c r="T14" i="20"/>
  <c r="S14" i="20"/>
  <c r="W14" i="20" s="1"/>
  <c r="R14" i="20"/>
  <c r="U14" i="20" s="1"/>
  <c r="V14" i="20" s="1"/>
  <c r="K14" i="20"/>
  <c r="J14" i="20"/>
  <c r="T13" i="20"/>
  <c r="W13" i="20" s="1"/>
  <c r="Y13" i="20" s="1"/>
  <c r="S13" i="20"/>
  <c r="R13" i="20"/>
  <c r="K13" i="20"/>
  <c r="Z13" i="20" s="1"/>
  <c r="AA13" i="20" s="1"/>
  <c r="J13" i="20"/>
  <c r="T12" i="20"/>
  <c r="U12" i="20" s="1"/>
  <c r="V12" i="20" s="1"/>
  <c r="S12" i="20"/>
  <c r="W12" i="20" s="1"/>
  <c r="Y12" i="20" s="1"/>
  <c r="R12" i="20"/>
  <c r="K12" i="20"/>
  <c r="AB12" i="20" s="1"/>
  <c r="J12" i="20"/>
  <c r="T11" i="20"/>
  <c r="U11" i="20" s="1"/>
  <c r="V11" i="20" s="1"/>
  <c r="X11" i="20" s="1"/>
  <c r="AC11" i="20" s="1"/>
  <c r="S11" i="20"/>
  <c r="R11" i="20"/>
  <c r="K11" i="20"/>
  <c r="Z11" i="20" s="1"/>
  <c r="AA11" i="20" s="1"/>
  <c r="J11" i="20"/>
  <c r="T10" i="20"/>
  <c r="U10" i="20" s="1"/>
  <c r="V10" i="20" s="1"/>
  <c r="X10" i="20" s="1"/>
  <c r="S10" i="20"/>
  <c r="W10" i="20" s="1"/>
  <c r="Y10" i="20" s="1"/>
  <c r="R10" i="20"/>
  <c r="K10" i="20"/>
  <c r="AB10" i="20" s="1"/>
  <c r="J10" i="20"/>
  <c r="T11" i="13"/>
  <c r="T12" i="13"/>
  <c r="T13" i="13"/>
  <c r="T14" i="13"/>
  <c r="T15" i="13"/>
  <c r="T16" i="13"/>
  <c r="T17" i="13"/>
  <c r="S184" i="19"/>
  <c r="R184" i="19"/>
  <c r="S183" i="19"/>
  <c r="R183" i="19"/>
  <c r="S182" i="19"/>
  <c r="R182" i="19"/>
  <c r="S181" i="19"/>
  <c r="R181" i="19"/>
  <c r="S180" i="19"/>
  <c r="R180" i="19"/>
  <c r="S179" i="19"/>
  <c r="R179" i="19"/>
  <c r="S178" i="19"/>
  <c r="R178" i="19"/>
  <c r="S177" i="19"/>
  <c r="R177" i="19"/>
  <c r="S176" i="19"/>
  <c r="R176" i="19"/>
  <c r="S175" i="19"/>
  <c r="R175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4" i="19"/>
  <c r="R154" i="19"/>
  <c r="S153" i="19"/>
  <c r="R153" i="19"/>
  <c r="S152" i="19"/>
  <c r="R152" i="19"/>
  <c r="S151" i="19"/>
  <c r="R151" i="19"/>
  <c r="S149" i="19"/>
  <c r="R149" i="19"/>
  <c r="S148" i="19"/>
  <c r="R148" i="19"/>
  <c r="S147" i="19"/>
  <c r="R147" i="19"/>
  <c r="S146" i="19"/>
  <c r="R146" i="19"/>
  <c r="S145" i="19"/>
  <c r="R145" i="19"/>
  <c r="S144" i="19"/>
  <c r="R144" i="19"/>
  <c r="S143" i="19"/>
  <c r="R143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6" i="19"/>
  <c r="R126" i="19"/>
  <c r="S125" i="19"/>
  <c r="R125" i="19"/>
  <c r="S124" i="19"/>
  <c r="R124" i="19"/>
  <c r="S123" i="19"/>
  <c r="R123" i="19"/>
  <c r="S122" i="19"/>
  <c r="R122" i="19"/>
  <c r="S121" i="19"/>
  <c r="R121" i="19"/>
  <c r="S120" i="19"/>
  <c r="R120" i="19"/>
  <c r="A118" i="19"/>
  <c r="S115" i="19"/>
  <c r="R115" i="19"/>
  <c r="S114" i="19"/>
  <c r="R114" i="19"/>
  <c r="A114" i="19"/>
  <c r="S113" i="19"/>
  <c r="R113" i="19"/>
  <c r="A113" i="19"/>
  <c r="S112" i="19"/>
  <c r="R112" i="19"/>
  <c r="A112" i="19"/>
  <c r="S111" i="19"/>
  <c r="R111" i="19"/>
  <c r="A111" i="19"/>
  <c r="S110" i="19"/>
  <c r="R110" i="19"/>
  <c r="A110" i="19"/>
  <c r="S109" i="19"/>
  <c r="R109" i="19"/>
  <c r="A109" i="19"/>
  <c r="S108" i="19"/>
  <c r="R108" i="19"/>
  <c r="A108" i="19"/>
  <c r="S107" i="19"/>
  <c r="R107" i="19"/>
  <c r="A107" i="19"/>
  <c r="S106" i="19"/>
  <c r="R106" i="19"/>
  <c r="A106" i="19"/>
  <c r="A105" i="19"/>
  <c r="S104" i="19"/>
  <c r="R104" i="19"/>
  <c r="A104" i="19"/>
  <c r="S103" i="19"/>
  <c r="R103" i="19"/>
  <c r="A103" i="19"/>
  <c r="S102" i="19"/>
  <c r="R102" i="19"/>
  <c r="A102" i="19"/>
  <c r="S101" i="19"/>
  <c r="R101" i="19"/>
  <c r="A101" i="19"/>
  <c r="S100" i="19"/>
  <c r="R100" i="19"/>
  <c r="A100" i="19"/>
  <c r="S99" i="19"/>
  <c r="R99" i="19"/>
  <c r="A99" i="19"/>
  <c r="S98" i="19"/>
  <c r="A98" i="19"/>
  <c r="A97" i="19"/>
  <c r="A96" i="19"/>
  <c r="A95" i="19"/>
  <c r="S92" i="19"/>
  <c r="R92" i="19"/>
  <c r="S91" i="19"/>
  <c r="R91" i="19"/>
  <c r="S90" i="19"/>
  <c r="R90" i="19"/>
  <c r="S89" i="19"/>
  <c r="S88" i="19"/>
  <c r="S87" i="19"/>
  <c r="S86" i="19"/>
  <c r="S85" i="19"/>
  <c r="S84" i="19"/>
  <c r="S83" i="19"/>
  <c r="A83" i="19"/>
  <c r="A82" i="19"/>
  <c r="S81" i="19"/>
  <c r="A81" i="19"/>
  <c r="S80" i="19"/>
  <c r="A80" i="19"/>
  <c r="S79" i="19"/>
  <c r="A79" i="19"/>
  <c r="S78" i="19"/>
  <c r="A78" i="19"/>
  <c r="S77" i="19"/>
  <c r="A77" i="19"/>
  <c r="S76" i="19"/>
  <c r="A76" i="19"/>
  <c r="S75" i="19"/>
  <c r="A75" i="19"/>
  <c r="A74" i="19"/>
  <c r="A73" i="19"/>
  <c r="A72" i="19"/>
  <c r="A71" i="19"/>
  <c r="S70" i="19"/>
  <c r="R70" i="19"/>
  <c r="S69" i="19"/>
  <c r="R69" i="19"/>
  <c r="A69" i="19"/>
  <c r="S68" i="19"/>
  <c r="R68" i="19"/>
  <c r="A68" i="19"/>
  <c r="S67" i="19"/>
  <c r="R67" i="19"/>
  <c r="A67" i="19"/>
  <c r="S66" i="19"/>
  <c r="R66" i="19"/>
  <c r="A66" i="19"/>
  <c r="S65" i="19"/>
  <c r="R65" i="19"/>
  <c r="A65" i="19"/>
  <c r="S64" i="19"/>
  <c r="R64" i="19"/>
  <c r="A64" i="19"/>
  <c r="S63" i="19"/>
  <c r="R63" i="19"/>
  <c r="A63" i="19"/>
  <c r="S62" i="19"/>
  <c r="R62" i="19"/>
  <c r="A62" i="19"/>
  <c r="S61" i="19"/>
  <c r="R61" i="19"/>
  <c r="A61" i="19"/>
  <c r="A60" i="19"/>
  <c r="A59" i="19"/>
  <c r="A58" i="19"/>
  <c r="S57" i="19"/>
  <c r="A57" i="19"/>
  <c r="S56" i="19"/>
  <c r="A56" i="19"/>
  <c r="S55" i="19"/>
  <c r="A55" i="19"/>
  <c r="S54" i="19"/>
  <c r="A54" i="19"/>
  <c r="S53" i="19"/>
  <c r="A53" i="19"/>
  <c r="A52" i="19"/>
  <c r="A51" i="19"/>
  <c r="A50" i="19"/>
  <c r="A49" i="19"/>
  <c r="S48" i="19"/>
  <c r="R48" i="19"/>
  <c r="K48" i="19"/>
  <c r="A48" i="19"/>
  <c r="S47" i="19"/>
  <c r="R47" i="19"/>
  <c r="K47" i="19"/>
  <c r="A47" i="19"/>
  <c r="S46" i="19"/>
  <c r="R46" i="19"/>
  <c r="K46" i="19"/>
  <c r="A46" i="19"/>
  <c r="S45" i="19"/>
  <c r="R45" i="19"/>
  <c r="K45" i="19"/>
  <c r="A45" i="19"/>
  <c r="S44" i="19"/>
  <c r="R44" i="19"/>
  <c r="K44" i="19"/>
  <c r="A44" i="19"/>
  <c r="S43" i="19"/>
  <c r="R43" i="19"/>
  <c r="K43" i="19"/>
  <c r="A43" i="19"/>
  <c r="S42" i="19"/>
  <c r="R42" i="19"/>
  <c r="K42" i="19"/>
  <c r="A42" i="19"/>
  <c r="S41" i="19"/>
  <c r="R41" i="19"/>
  <c r="K41" i="19"/>
  <c r="A41" i="19"/>
  <c r="S40" i="19"/>
  <c r="R40" i="19"/>
  <c r="K40" i="19"/>
  <c r="A40" i="19"/>
  <c r="A39" i="19"/>
  <c r="S38" i="19"/>
  <c r="R38" i="19"/>
  <c r="K38" i="19"/>
  <c r="A38" i="19"/>
  <c r="S37" i="19"/>
  <c r="R37" i="19"/>
  <c r="K37" i="19"/>
  <c r="A37" i="19"/>
  <c r="S36" i="19"/>
  <c r="R36" i="19"/>
  <c r="K36" i="19"/>
  <c r="A36" i="19"/>
  <c r="S35" i="19"/>
  <c r="R35" i="19"/>
  <c r="K35" i="19"/>
  <c r="A35" i="19"/>
  <c r="S34" i="19"/>
  <c r="R34" i="19"/>
  <c r="K34" i="19"/>
  <c r="A34" i="19"/>
  <c r="S33" i="19"/>
  <c r="R33" i="19"/>
  <c r="K33" i="19"/>
  <c r="A33" i="19"/>
  <c r="S32" i="19"/>
  <c r="K32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S179" i="13"/>
  <c r="R179" i="13"/>
  <c r="K179" i="13"/>
  <c r="J179" i="13"/>
  <c r="S178" i="13"/>
  <c r="R178" i="13"/>
  <c r="K178" i="13"/>
  <c r="J178" i="13"/>
  <c r="S177" i="13"/>
  <c r="R177" i="13"/>
  <c r="K177" i="13"/>
  <c r="J177" i="13"/>
  <c r="S176" i="13"/>
  <c r="R176" i="13"/>
  <c r="K176" i="13"/>
  <c r="J176" i="13"/>
  <c r="S175" i="13"/>
  <c r="R175" i="13"/>
  <c r="K175" i="13"/>
  <c r="J175" i="13"/>
  <c r="S174" i="13"/>
  <c r="R174" i="13"/>
  <c r="K174" i="13"/>
  <c r="J174" i="13"/>
  <c r="S173" i="13"/>
  <c r="R173" i="13"/>
  <c r="K173" i="13"/>
  <c r="J173" i="13"/>
  <c r="S172" i="13"/>
  <c r="R172" i="13"/>
  <c r="K172" i="13"/>
  <c r="J172" i="13"/>
  <c r="S171" i="13"/>
  <c r="R171" i="13"/>
  <c r="K171" i="13"/>
  <c r="J171" i="13"/>
  <c r="S170" i="13"/>
  <c r="R170" i="13"/>
  <c r="K170" i="13"/>
  <c r="J170" i="13"/>
  <c r="AA168" i="13"/>
  <c r="S168" i="13"/>
  <c r="R168" i="13"/>
  <c r="K168" i="13"/>
  <c r="J168" i="13"/>
  <c r="AA167" i="13"/>
  <c r="S167" i="13"/>
  <c r="R167" i="13"/>
  <c r="K167" i="13"/>
  <c r="J167" i="13"/>
  <c r="AA166" i="13"/>
  <c r="S166" i="13"/>
  <c r="R166" i="13"/>
  <c r="K166" i="13"/>
  <c r="J166" i="13"/>
  <c r="AA165" i="13"/>
  <c r="S165" i="13"/>
  <c r="R165" i="13"/>
  <c r="K165" i="13"/>
  <c r="J165" i="13"/>
  <c r="AA164" i="13"/>
  <c r="S164" i="13"/>
  <c r="R164" i="13"/>
  <c r="K164" i="13"/>
  <c r="J164" i="13"/>
  <c r="AA163" i="13"/>
  <c r="S163" i="13"/>
  <c r="R163" i="13"/>
  <c r="K163" i="13"/>
  <c r="J163" i="13"/>
  <c r="AA162" i="13"/>
  <c r="S162" i="13"/>
  <c r="R162" i="13"/>
  <c r="K162" i="13"/>
  <c r="J162" i="13"/>
  <c r="C160" i="13"/>
  <c r="S157" i="13"/>
  <c r="R157" i="13"/>
  <c r="K157" i="13"/>
  <c r="J157" i="13"/>
  <c r="S156" i="13"/>
  <c r="R156" i="13"/>
  <c r="K156" i="13"/>
  <c r="J156" i="13"/>
  <c r="S155" i="13"/>
  <c r="R155" i="13"/>
  <c r="K155" i="13"/>
  <c r="J155" i="13"/>
  <c r="AA154" i="13"/>
  <c r="S154" i="13"/>
  <c r="R154" i="13"/>
  <c r="K154" i="13"/>
  <c r="J154" i="13"/>
  <c r="AA153" i="13"/>
  <c r="S153" i="13"/>
  <c r="R153" i="13"/>
  <c r="K153" i="13"/>
  <c r="J153" i="13"/>
  <c r="AA152" i="13"/>
  <c r="S152" i="13"/>
  <c r="R152" i="13"/>
  <c r="K152" i="13"/>
  <c r="J152" i="13"/>
  <c r="AA151" i="13"/>
  <c r="S151" i="13"/>
  <c r="R151" i="13"/>
  <c r="K151" i="13"/>
  <c r="J151" i="13"/>
  <c r="AA150" i="13"/>
  <c r="S150" i="13"/>
  <c r="R150" i="13"/>
  <c r="K150" i="13"/>
  <c r="J150" i="13"/>
  <c r="AA149" i="13"/>
  <c r="S149" i="13"/>
  <c r="R149" i="13"/>
  <c r="K149" i="13"/>
  <c r="J149" i="13"/>
  <c r="AA148" i="13"/>
  <c r="S148" i="13"/>
  <c r="R148" i="13"/>
  <c r="K148" i="13"/>
  <c r="J148" i="13"/>
  <c r="AA146" i="13"/>
  <c r="S146" i="13"/>
  <c r="R146" i="13"/>
  <c r="K146" i="13"/>
  <c r="J146" i="13"/>
  <c r="AA145" i="13"/>
  <c r="S145" i="13"/>
  <c r="R145" i="13"/>
  <c r="K145" i="13"/>
  <c r="J145" i="13"/>
  <c r="AA144" i="13"/>
  <c r="S144" i="13"/>
  <c r="R144" i="13"/>
  <c r="K144" i="13"/>
  <c r="J144" i="13"/>
  <c r="AA143" i="13"/>
  <c r="S143" i="13"/>
  <c r="R143" i="13"/>
  <c r="K143" i="13"/>
  <c r="J143" i="13"/>
  <c r="AA142" i="13"/>
  <c r="S142" i="13"/>
  <c r="R142" i="13"/>
  <c r="K142" i="13"/>
  <c r="J142" i="13"/>
  <c r="AA141" i="13"/>
  <c r="S141" i="13"/>
  <c r="R141" i="13"/>
  <c r="K141" i="13"/>
  <c r="J141" i="13"/>
  <c r="AA140" i="13"/>
  <c r="S140" i="13"/>
  <c r="R140" i="13"/>
  <c r="K140" i="13"/>
  <c r="J140" i="13"/>
  <c r="S135" i="13"/>
  <c r="R135" i="13"/>
  <c r="K135" i="13"/>
  <c r="J135" i="13"/>
  <c r="S134" i="13"/>
  <c r="R134" i="13"/>
  <c r="K134" i="13"/>
  <c r="J134" i="13"/>
  <c r="S133" i="13"/>
  <c r="R133" i="13"/>
  <c r="K133" i="13"/>
  <c r="J133" i="13"/>
  <c r="AA132" i="13"/>
  <c r="S132" i="13"/>
  <c r="R132" i="13"/>
  <c r="K132" i="13"/>
  <c r="J132" i="13"/>
  <c r="AA131" i="13"/>
  <c r="S131" i="13"/>
  <c r="R131" i="13"/>
  <c r="K131" i="13"/>
  <c r="J131" i="13"/>
  <c r="AA130" i="13"/>
  <c r="S130" i="13"/>
  <c r="R130" i="13"/>
  <c r="K130" i="13"/>
  <c r="J130" i="13"/>
  <c r="AA129" i="13"/>
  <c r="S129" i="13"/>
  <c r="R129" i="13"/>
  <c r="K129" i="13"/>
  <c r="J129" i="13"/>
  <c r="AA128" i="13"/>
  <c r="S128" i="13"/>
  <c r="R128" i="13"/>
  <c r="K128" i="13"/>
  <c r="J128" i="13"/>
  <c r="AA127" i="13"/>
  <c r="S127" i="13"/>
  <c r="R127" i="13"/>
  <c r="K127" i="13"/>
  <c r="J127" i="13"/>
  <c r="AA126" i="13"/>
  <c r="S126" i="13"/>
  <c r="R126" i="13"/>
  <c r="K126" i="13"/>
  <c r="J126" i="13"/>
  <c r="AA124" i="13"/>
  <c r="S124" i="13"/>
  <c r="R124" i="13"/>
  <c r="K124" i="13"/>
  <c r="AA123" i="13"/>
  <c r="S123" i="13"/>
  <c r="R123" i="13"/>
  <c r="K123" i="13"/>
  <c r="AA122" i="13"/>
  <c r="S122" i="13"/>
  <c r="R122" i="13"/>
  <c r="K122" i="13"/>
  <c r="AA121" i="13"/>
  <c r="S121" i="13"/>
  <c r="R121" i="13"/>
  <c r="K121" i="13"/>
  <c r="AA120" i="13"/>
  <c r="S120" i="13"/>
  <c r="R120" i="13"/>
  <c r="K120" i="13"/>
  <c r="AA119" i="13"/>
  <c r="S119" i="13"/>
  <c r="R119" i="13"/>
  <c r="K119" i="13"/>
  <c r="AA118" i="13"/>
  <c r="S118" i="13"/>
  <c r="R118" i="13"/>
  <c r="K118" i="13"/>
  <c r="C116" i="13"/>
  <c r="S114" i="13"/>
  <c r="R114" i="13"/>
  <c r="K114" i="13"/>
  <c r="J114" i="13"/>
  <c r="S113" i="13"/>
  <c r="R113" i="13"/>
  <c r="K113" i="13"/>
  <c r="J113" i="13"/>
  <c r="S112" i="13"/>
  <c r="R112" i="13"/>
  <c r="K112" i="13"/>
  <c r="J112" i="13"/>
  <c r="AA59" i="19" l="1"/>
  <c r="AA58" i="19"/>
  <c r="AA10" i="19"/>
  <c r="AA143" i="19"/>
  <c r="W13" i="19"/>
  <c r="W11" i="19"/>
  <c r="W25" i="19"/>
  <c r="U22" i="19"/>
  <c r="V22" i="19" s="1"/>
  <c r="W16" i="19"/>
  <c r="W21" i="19"/>
  <c r="W23" i="19"/>
  <c r="W24" i="19"/>
  <c r="Z11" i="19"/>
  <c r="AA11" i="19" s="1"/>
  <c r="AB21" i="19"/>
  <c r="AB19" i="19"/>
  <c r="U20" i="19"/>
  <c r="V20" i="19" s="1"/>
  <c r="W19" i="19"/>
  <c r="AB13" i="19"/>
  <c r="W17" i="19"/>
  <c r="W14" i="19"/>
  <c r="W12" i="19"/>
  <c r="U13" i="19"/>
  <c r="V13" i="19" s="1"/>
  <c r="AB12" i="19"/>
  <c r="U11" i="19"/>
  <c r="V11" i="19" s="1"/>
  <c r="U16" i="19"/>
  <c r="V16" i="19" s="1"/>
  <c r="W10" i="19"/>
  <c r="U25" i="19"/>
  <c r="V25" i="19" s="1"/>
  <c r="W20" i="19"/>
  <c r="Y20" i="19" s="1"/>
  <c r="W22" i="19"/>
  <c r="U24" i="19"/>
  <c r="V24" i="19" s="1"/>
  <c r="U19" i="19"/>
  <c r="V19" i="19" s="1"/>
  <c r="U21" i="19"/>
  <c r="V21" i="19" s="1"/>
  <c r="U23" i="19"/>
  <c r="V23" i="19" s="1"/>
  <c r="W26" i="19"/>
  <c r="Z20" i="19"/>
  <c r="AA20" i="19" s="1"/>
  <c r="Z22" i="19"/>
  <c r="AA22" i="19" s="1"/>
  <c r="U26" i="19"/>
  <c r="V26" i="19" s="1"/>
  <c r="X32" i="20"/>
  <c r="AC32" i="20" s="1"/>
  <c r="AA38" i="20"/>
  <c r="U31" i="20"/>
  <c r="V31" i="20" s="1"/>
  <c r="X31" i="20" s="1"/>
  <c r="U33" i="20"/>
  <c r="V33" i="20" s="1"/>
  <c r="X33" i="20" s="1"/>
  <c r="AC33" i="20" s="1"/>
  <c r="U35" i="20"/>
  <c r="V35" i="20" s="1"/>
  <c r="AB10" i="19"/>
  <c r="U12" i="19"/>
  <c r="V12" i="19" s="1"/>
  <c r="U14" i="19"/>
  <c r="V14" i="19" s="1"/>
  <c r="X10" i="19" s="1"/>
  <c r="U15" i="19"/>
  <c r="V15" i="19" s="1"/>
  <c r="W15" i="19"/>
  <c r="U17" i="19"/>
  <c r="V17" i="19" s="1"/>
  <c r="Z19" i="20"/>
  <c r="AA19" i="20" s="1"/>
  <c r="AC19" i="20" s="1"/>
  <c r="Z24" i="20" s="1"/>
  <c r="AB11" i="20"/>
  <c r="AB13" i="20"/>
  <c r="Z21" i="20"/>
  <c r="AA21" i="20" s="1"/>
  <c r="AB20" i="20"/>
  <c r="AB22" i="20"/>
  <c r="Z12" i="20"/>
  <c r="AA12" i="20" s="1"/>
  <c r="Z10" i="20"/>
  <c r="AA10" i="20" s="1"/>
  <c r="AC10" i="20" s="1"/>
  <c r="AA17" i="20"/>
  <c r="AC20" i="20"/>
  <c r="Y22" i="20"/>
  <c r="X21" i="20"/>
  <c r="AC21" i="20" s="1"/>
  <c r="U13" i="20"/>
  <c r="V13" i="20" s="1"/>
  <c r="X13" i="20" s="1"/>
  <c r="AC13" i="20" s="1"/>
  <c r="U16" i="20"/>
  <c r="V16" i="20" s="1"/>
  <c r="X12" i="20" s="1"/>
  <c r="U22" i="20"/>
  <c r="V22" i="20" s="1"/>
  <c r="X22" i="20" s="1"/>
  <c r="AC22" i="20" s="1"/>
  <c r="W11" i="20"/>
  <c r="Y11" i="20" s="1"/>
  <c r="W20" i="20"/>
  <c r="Y20" i="20" s="1"/>
  <c r="W25" i="20"/>
  <c r="Y21" i="20" s="1"/>
  <c r="AA173" i="19"/>
  <c r="Y12" i="19" l="1"/>
  <c r="X13" i="19"/>
  <c r="AC13" i="19" s="1"/>
  <c r="X19" i="19"/>
  <c r="AC19" i="19" s="1"/>
  <c r="Y21" i="19"/>
  <c r="X22" i="19"/>
  <c r="AC22" i="19" s="1"/>
  <c r="Y19" i="19"/>
  <c r="Y11" i="19"/>
  <c r="Y13" i="19"/>
  <c r="X21" i="19"/>
  <c r="AC21" i="19" s="1"/>
  <c r="Y22" i="19"/>
  <c r="X20" i="19"/>
  <c r="AC20" i="19" s="1"/>
  <c r="Y10" i="19"/>
  <c r="X11" i="19"/>
  <c r="AC11" i="19" s="1"/>
  <c r="X12" i="19"/>
  <c r="AC12" i="19" s="1"/>
  <c r="AA37" i="20"/>
  <c r="AC31" i="20"/>
  <c r="Z14" i="20"/>
  <c r="AC12" i="20"/>
  <c r="AA16" i="20"/>
  <c r="AA26" i="20"/>
  <c r="Z23" i="20"/>
  <c r="AA25" i="20"/>
  <c r="Z15" i="20"/>
  <c r="Z28" i="20" s="1"/>
  <c r="AA170" i="19"/>
  <c r="AA99" i="19"/>
  <c r="AA146" i="19"/>
  <c r="AA103" i="19"/>
  <c r="AA120" i="19"/>
  <c r="AA155" i="19"/>
  <c r="AA125" i="19"/>
  <c r="AA56" i="19"/>
  <c r="AA62" i="19"/>
  <c r="AA172" i="19"/>
  <c r="AA101" i="19"/>
  <c r="AA81" i="19"/>
  <c r="AA121" i="19"/>
  <c r="AA169" i="19"/>
  <c r="AA98" i="19"/>
  <c r="AA53" i="19"/>
  <c r="AA87" i="19"/>
  <c r="AA66" i="19"/>
  <c r="AA156" i="19"/>
  <c r="AA67" i="19"/>
  <c r="AA83" i="19"/>
  <c r="AA46" i="19"/>
  <c r="AA124" i="19"/>
  <c r="AA157" i="19"/>
  <c r="AA145" i="19"/>
  <c r="AA131" i="19"/>
  <c r="AA126" i="19"/>
  <c r="AA167" i="19"/>
  <c r="AA55" i="19"/>
  <c r="AA32" i="19"/>
  <c r="AA44" i="19"/>
  <c r="AA86" i="19"/>
  <c r="AA42" i="19"/>
  <c r="AA100" i="19"/>
  <c r="AA134" i="19"/>
  <c r="AA122" i="19"/>
  <c r="AA43" i="19"/>
  <c r="AA34" i="19"/>
  <c r="AA61" i="19"/>
  <c r="AA129" i="19"/>
  <c r="AA57" i="19"/>
  <c r="AA38" i="19"/>
  <c r="AA64" i="19"/>
  <c r="AA84" i="19"/>
  <c r="AA88" i="19"/>
  <c r="AA123" i="19"/>
  <c r="AA54" i="19"/>
  <c r="AA75" i="19"/>
  <c r="AA128" i="19"/>
  <c r="AA132" i="19"/>
  <c r="AA151" i="19"/>
  <c r="AA168" i="19"/>
  <c r="AA152" i="19"/>
  <c r="AA148" i="19"/>
  <c r="AA147" i="19"/>
  <c r="AA171" i="19"/>
  <c r="AA37" i="19"/>
  <c r="AA36" i="19"/>
  <c r="AA65" i="19"/>
  <c r="AA63" i="19"/>
  <c r="AA40" i="19"/>
  <c r="AA77" i="19"/>
  <c r="AA85" i="19"/>
  <c r="AA89" i="19"/>
  <c r="AA130" i="19"/>
  <c r="AA79" i="19"/>
  <c r="AA102" i="19"/>
  <c r="AA133" i="19"/>
  <c r="AA153" i="19"/>
  <c r="AA104" i="19"/>
  <c r="AA154" i="19"/>
  <c r="AA144" i="19"/>
  <c r="AA149" i="19"/>
  <c r="AA80" i="19"/>
  <c r="AA76" i="19"/>
  <c r="AA33" i="19"/>
  <c r="AA41" i="19"/>
  <c r="AA78" i="19"/>
  <c r="AA45" i="19"/>
  <c r="AA35" i="19"/>
  <c r="AA16" i="19" l="1"/>
  <c r="AC10" i="19"/>
  <c r="AA26" i="19"/>
  <c r="V107" i="19" s="1"/>
  <c r="Y107" i="19" s="1"/>
  <c r="AA17" i="19"/>
  <c r="Z23" i="19"/>
  <c r="Z24" i="19"/>
  <c r="Z35" i="20"/>
  <c r="Z36" i="20"/>
  <c r="V114" i="19"/>
  <c r="Y114" i="19" s="1"/>
  <c r="V178" i="19" l="1"/>
  <c r="Y178" i="19" s="1"/>
  <c r="V68" i="19"/>
  <c r="Y68" i="19" s="1"/>
  <c r="V159" i="19"/>
  <c r="Y159" i="19" s="1"/>
  <c r="V168" i="19"/>
  <c r="Y168" i="19" s="1"/>
  <c r="V58" i="19"/>
  <c r="Y58" i="19" s="1"/>
  <c r="V59" i="19"/>
  <c r="Y59" i="19" s="1"/>
  <c r="U53" i="19"/>
  <c r="T53" i="19" s="1"/>
  <c r="W53" i="19" s="1"/>
  <c r="X53" i="19" s="1"/>
  <c r="U57" i="19"/>
  <c r="T57" i="19" s="1"/>
  <c r="W57" i="19" s="1"/>
  <c r="X57" i="19" s="1"/>
  <c r="U54" i="19"/>
  <c r="T54" i="19" s="1"/>
  <c r="W54" i="19" s="1"/>
  <c r="X54" i="19" s="1"/>
  <c r="U58" i="19"/>
  <c r="T58" i="19" s="1"/>
  <c r="W58" i="19" s="1"/>
  <c r="X58" i="19" s="1"/>
  <c r="U55" i="19"/>
  <c r="T55" i="19" s="1"/>
  <c r="W55" i="19" s="1"/>
  <c r="X55" i="19" s="1"/>
  <c r="U59" i="19"/>
  <c r="T59" i="19" s="1"/>
  <c r="W59" i="19" s="1"/>
  <c r="X59" i="19" s="1"/>
  <c r="U56" i="19"/>
  <c r="T56" i="19" s="1"/>
  <c r="W56" i="19" s="1"/>
  <c r="X56" i="19" s="1"/>
  <c r="V180" i="19"/>
  <c r="Y180" i="19" s="1"/>
  <c r="V41" i="19"/>
  <c r="Y41" i="19" s="1"/>
  <c r="V115" i="19"/>
  <c r="Y115" i="19" s="1"/>
  <c r="V138" i="19"/>
  <c r="Y138" i="19" s="1"/>
  <c r="V185" i="19"/>
  <c r="Y185" i="19" s="1"/>
  <c r="V161" i="19"/>
  <c r="Y161" i="19" s="1"/>
  <c r="V156" i="19"/>
  <c r="Y156" i="19" s="1"/>
  <c r="V45" i="19"/>
  <c r="Y45" i="19" s="1"/>
  <c r="V176" i="19"/>
  <c r="Y176" i="19" s="1"/>
  <c r="V133" i="19"/>
  <c r="Y133" i="19" s="1"/>
  <c r="V48" i="19"/>
  <c r="Y48" i="19" s="1"/>
  <c r="V43" i="19"/>
  <c r="Y43" i="19" s="1"/>
  <c r="V69" i="19"/>
  <c r="Y69" i="19" s="1"/>
  <c r="AB69" i="19" s="1"/>
  <c r="V113" i="19"/>
  <c r="Y113" i="19" s="1"/>
  <c r="AB114" i="19" s="1"/>
  <c r="V152" i="19"/>
  <c r="Y152" i="19" s="1"/>
  <c r="V84" i="19"/>
  <c r="Y84" i="19" s="1"/>
  <c r="V155" i="19"/>
  <c r="Y155" i="19" s="1"/>
  <c r="V111" i="19"/>
  <c r="Y111" i="19" s="1"/>
  <c r="V92" i="19"/>
  <c r="Y92" i="19" s="1"/>
  <c r="V90" i="19"/>
  <c r="Y90" i="19" s="1"/>
  <c r="V44" i="19"/>
  <c r="Y44" i="19" s="1"/>
  <c r="V160" i="19"/>
  <c r="Y160" i="19" s="1"/>
  <c r="V93" i="19"/>
  <c r="Y93" i="19" s="1"/>
  <c r="V184" i="19"/>
  <c r="Y184" i="19" s="1"/>
  <c r="V63" i="19"/>
  <c r="Y63" i="19" s="1"/>
  <c r="V91" i="19"/>
  <c r="Y91" i="19" s="1"/>
  <c r="V151" i="19"/>
  <c r="Y151" i="19" s="1"/>
  <c r="V110" i="19"/>
  <c r="Y110" i="19" s="1"/>
  <c r="V179" i="19"/>
  <c r="Y179" i="19" s="1"/>
  <c r="V46" i="19"/>
  <c r="Y46" i="19" s="1"/>
  <c r="V182" i="19"/>
  <c r="Y182" i="19" s="1"/>
  <c r="V62" i="19"/>
  <c r="Y62" i="19" s="1"/>
  <c r="U138" i="19"/>
  <c r="T138" i="19" s="1"/>
  <c r="W138" i="19" s="1"/>
  <c r="X138" i="19" s="1"/>
  <c r="U185" i="19"/>
  <c r="T185" i="19" s="1"/>
  <c r="W185" i="19" s="1"/>
  <c r="X185" i="19" s="1"/>
  <c r="U161" i="19"/>
  <c r="T161" i="19" s="1"/>
  <c r="W161" i="19" s="1"/>
  <c r="X161" i="19" s="1"/>
  <c r="V136" i="19"/>
  <c r="Y136" i="19" s="1"/>
  <c r="V131" i="19"/>
  <c r="Y131" i="19" s="1"/>
  <c r="V183" i="19"/>
  <c r="Y183" i="19" s="1"/>
  <c r="V116" i="19"/>
  <c r="Y116" i="19" s="1"/>
  <c r="V177" i="19"/>
  <c r="Y177" i="19" s="1"/>
  <c r="V130" i="19"/>
  <c r="Y130" i="19" s="1"/>
  <c r="V88" i="19"/>
  <c r="Y88" i="19" s="1"/>
  <c r="V175" i="19"/>
  <c r="Y175" i="19" s="1"/>
  <c r="V47" i="19"/>
  <c r="Y47" i="19" s="1"/>
  <c r="V154" i="19"/>
  <c r="Y154" i="19" s="1"/>
  <c r="V86" i="19"/>
  <c r="Y86" i="19" s="1"/>
  <c r="V153" i="19"/>
  <c r="Y153" i="19" s="1"/>
  <c r="V85" i="19"/>
  <c r="Y85" i="19" s="1"/>
  <c r="V61" i="19"/>
  <c r="Y61" i="19" s="1"/>
  <c r="V128" i="19"/>
  <c r="Y128" i="19" s="1"/>
  <c r="V83" i="19"/>
  <c r="Y83" i="19" s="1"/>
  <c r="V49" i="19"/>
  <c r="Y49" i="19" s="1"/>
  <c r="U49" i="19"/>
  <c r="T49" i="19" s="1"/>
  <c r="W49" i="19" s="1"/>
  <c r="X49" i="19" s="1"/>
  <c r="U93" i="19"/>
  <c r="T93" i="19" s="1"/>
  <c r="W93" i="19" s="1"/>
  <c r="X93" i="19" s="1"/>
  <c r="U116" i="19"/>
  <c r="T116" i="19" s="1"/>
  <c r="W116" i="19" s="1"/>
  <c r="X116" i="19" s="1"/>
  <c r="U63" i="19"/>
  <c r="T63" i="19" s="1"/>
  <c r="W63" i="19" s="1"/>
  <c r="X63" i="19" s="1"/>
  <c r="U67" i="19"/>
  <c r="T67" i="19" s="1"/>
  <c r="W67" i="19" s="1"/>
  <c r="X67" i="19" s="1"/>
  <c r="U61" i="19"/>
  <c r="T61" i="19" s="1"/>
  <c r="W61" i="19" s="1"/>
  <c r="X61" i="19" s="1"/>
  <c r="U69" i="19"/>
  <c r="T69" i="19" s="1"/>
  <c r="W69" i="19" s="1"/>
  <c r="X69" i="19" s="1"/>
  <c r="U66" i="19"/>
  <c r="T66" i="19" s="1"/>
  <c r="W66" i="19" s="1"/>
  <c r="X66" i="19" s="1"/>
  <c r="U64" i="19"/>
  <c r="U68" i="19"/>
  <c r="T68" i="19" s="1"/>
  <c r="W68" i="19" s="1"/>
  <c r="X68" i="19" s="1"/>
  <c r="U65" i="19"/>
  <c r="T65" i="19" s="1"/>
  <c r="W65" i="19" s="1"/>
  <c r="X65" i="19" s="1"/>
  <c r="U62" i="19"/>
  <c r="T62" i="19" s="1"/>
  <c r="W62" i="19" s="1"/>
  <c r="X62" i="19" s="1"/>
  <c r="U70" i="19"/>
  <c r="T70" i="19" s="1"/>
  <c r="W70" i="19" s="1"/>
  <c r="X70" i="19" s="1"/>
  <c r="Z14" i="19"/>
  <c r="Z15" i="19"/>
  <c r="Z28" i="19" s="1"/>
  <c r="V135" i="19"/>
  <c r="Y135" i="19" s="1"/>
  <c r="AB138" i="19" s="1"/>
  <c r="V109" i="19"/>
  <c r="Y109" i="19" s="1"/>
  <c r="V108" i="19"/>
  <c r="Y108" i="19" s="1"/>
  <c r="V129" i="19"/>
  <c r="Y129" i="19" s="1"/>
  <c r="V134" i="19"/>
  <c r="Y134" i="19" s="1"/>
  <c r="V137" i="19"/>
  <c r="Y137" i="19" s="1"/>
  <c r="V181" i="19"/>
  <c r="Y181" i="19" s="1"/>
  <c r="V67" i="19"/>
  <c r="Y67" i="19" s="1"/>
  <c r="V40" i="19"/>
  <c r="Y40" i="19" s="1"/>
  <c r="V132" i="19"/>
  <c r="Y132" i="19" s="1"/>
  <c r="V106" i="19"/>
  <c r="Y106" i="19" s="1"/>
  <c r="V66" i="19"/>
  <c r="Y66" i="19" s="1"/>
  <c r="V157" i="19"/>
  <c r="Y157" i="19" s="1"/>
  <c r="V64" i="19"/>
  <c r="Y64" i="19" s="1"/>
  <c r="V89" i="19"/>
  <c r="Y89" i="19" s="1"/>
  <c r="V112" i="19"/>
  <c r="Y112" i="19" s="1"/>
  <c r="V65" i="19"/>
  <c r="Y65" i="19" s="1"/>
  <c r="V158" i="19"/>
  <c r="Y158" i="19" s="1"/>
  <c r="V42" i="19"/>
  <c r="Y42" i="19" s="1"/>
  <c r="V87" i="19"/>
  <c r="Y87" i="19" s="1"/>
  <c r="V70" i="19"/>
  <c r="Y70" i="19" s="1"/>
  <c r="V170" i="19"/>
  <c r="Y170" i="19" s="1"/>
  <c r="AC170" i="19" s="1"/>
  <c r="V172" i="19"/>
  <c r="Y172" i="19" s="1"/>
  <c r="V57" i="19"/>
  <c r="Y57" i="19" s="1"/>
  <c r="V76" i="19"/>
  <c r="Y76" i="19" s="1"/>
  <c r="V79" i="19"/>
  <c r="Y79" i="19" s="1"/>
  <c r="V103" i="19"/>
  <c r="Y103" i="19" s="1"/>
  <c r="AC103" i="19" s="1"/>
  <c r="V99" i="19"/>
  <c r="Y99" i="19" s="1"/>
  <c r="AC99" i="19" s="1"/>
  <c r="V120" i="19"/>
  <c r="Y120" i="19" s="1"/>
  <c r="V54" i="19"/>
  <c r="Y54" i="19" s="1"/>
  <c r="V104" i="19"/>
  <c r="Y104" i="19" s="1"/>
  <c r="V148" i="19"/>
  <c r="Y148" i="19" s="1"/>
  <c r="V56" i="19"/>
  <c r="Y56" i="19" s="1"/>
  <c r="V35" i="19"/>
  <c r="Y35" i="19" s="1"/>
  <c r="V100" i="19"/>
  <c r="Y100" i="19" s="1"/>
  <c r="V167" i="19"/>
  <c r="Y167" i="19" s="1"/>
  <c r="V32" i="19"/>
  <c r="Y32" i="19" s="1"/>
  <c r="V75" i="19"/>
  <c r="Y75" i="19" s="1"/>
  <c r="V33" i="19"/>
  <c r="Y33" i="19" s="1"/>
  <c r="V125" i="19"/>
  <c r="Y125" i="19" s="1"/>
  <c r="V98" i="19"/>
  <c r="Y98" i="19" s="1"/>
  <c r="V102" i="19"/>
  <c r="Y102" i="19" s="1"/>
  <c r="V126" i="19"/>
  <c r="Y126" i="19" s="1"/>
  <c r="V147" i="19"/>
  <c r="Y147" i="19" s="1"/>
  <c r="V38" i="19"/>
  <c r="Y38" i="19" s="1"/>
  <c r="V77" i="19"/>
  <c r="Y77" i="19" s="1"/>
  <c r="V36" i="19"/>
  <c r="Y36" i="19" s="1"/>
  <c r="V53" i="19"/>
  <c r="Y53" i="19" s="1"/>
  <c r="V55" i="19"/>
  <c r="Y55" i="19" s="1"/>
  <c r="V123" i="19"/>
  <c r="Y123" i="19" s="1"/>
  <c r="AC123" i="19" s="1"/>
  <c r="V146" i="19"/>
  <c r="Y146" i="19" s="1"/>
  <c r="V169" i="19"/>
  <c r="Y169" i="19" s="1"/>
  <c r="V34" i="19"/>
  <c r="Y34" i="19" s="1"/>
  <c r="V81" i="19"/>
  <c r="Y81" i="19" s="1"/>
  <c r="V145" i="19"/>
  <c r="Y145" i="19" s="1"/>
  <c r="V37" i="19"/>
  <c r="Y37" i="19" s="1"/>
  <c r="V80" i="19"/>
  <c r="Y80" i="19" s="1"/>
  <c r="V78" i="19"/>
  <c r="Y78" i="19" s="1"/>
  <c r="V101" i="19"/>
  <c r="Y101" i="19" s="1"/>
  <c r="V121" i="19"/>
  <c r="Y121" i="19" s="1"/>
  <c r="V149" i="19"/>
  <c r="Y149" i="19" s="1"/>
  <c r="V171" i="19"/>
  <c r="Y171" i="19" s="1"/>
  <c r="AC171" i="19" s="1"/>
  <c r="V173" i="19"/>
  <c r="Y173" i="19" s="1"/>
  <c r="V124" i="19"/>
  <c r="Y124" i="19" s="1"/>
  <c r="V122" i="19"/>
  <c r="Y122" i="19" s="1"/>
  <c r="V143" i="19"/>
  <c r="Y143" i="19" s="1"/>
  <c r="V144" i="19"/>
  <c r="Y144" i="19" s="1"/>
  <c r="U184" i="19"/>
  <c r="T184" i="19" s="1"/>
  <c r="W184" i="19" s="1"/>
  <c r="X184" i="19" s="1"/>
  <c r="U183" i="19"/>
  <c r="T183" i="19" s="1"/>
  <c r="W183" i="19" s="1"/>
  <c r="X183" i="19" s="1"/>
  <c r="U181" i="19"/>
  <c r="T181" i="19" s="1"/>
  <c r="W181" i="19" s="1"/>
  <c r="X181" i="19" s="1"/>
  <c r="U179" i="19"/>
  <c r="T179" i="19" s="1"/>
  <c r="W179" i="19" s="1"/>
  <c r="X179" i="19" s="1"/>
  <c r="U177" i="19"/>
  <c r="T177" i="19" s="1"/>
  <c r="W177" i="19" s="1"/>
  <c r="X177" i="19" s="1"/>
  <c r="U175" i="19"/>
  <c r="T175" i="19" s="1"/>
  <c r="W175" i="19" s="1"/>
  <c r="X175" i="19" s="1"/>
  <c r="U172" i="19"/>
  <c r="T172" i="19" s="1"/>
  <c r="W172" i="19" s="1"/>
  <c r="X172" i="19" s="1"/>
  <c r="U170" i="19"/>
  <c r="T170" i="19" s="1"/>
  <c r="W170" i="19" s="1"/>
  <c r="X170" i="19" s="1"/>
  <c r="U168" i="19"/>
  <c r="T168" i="19" s="1"/>
  <c r="W168" i="19" s="1"/>
  <c r="X168" i="19" s="1"/>
  <c r="T158" i="19"/>
  <c r="W158" i="19" s="1"/>
  <c r="X158" i="19" s="1"/>
  <c r="T157" i="19"/>
  <c r="W157" i="19" s="1"/>
  <c r="X157" i="19" s="1"/>
  <c r="T156" i="19"/>
  <c r="W156" i="19" s="1"/>
  <c r="X156" i="19" s="1"/>
  <c r="T155" i="19"/>
  <c r="W155" i="19" s="1"/>
  <c r="X155" i="19" s="1"/>
  <c r="T154" i="19"/>
  <c r="W154" i="19" s="1"/>
  <c r="X154" i="19" s="1"/>
  <c r="T153" i="19"/>
  <c r="W153" i="19" s="1"/>
  <c r="X153" i="19" s="1"/>
  <c r="T152" i="19"/>
  <c r="W152" i="19" s="1"/>
  <c r="X152" i="19" s="1"/>
  <c r="T151" i="19"/>
  <c r="W151" i="19" s="1"/>
  <c r="X151" i="19" s="1"/>
  <c r="T148" i="19"/>
  <c r="W148" i="19" s="1"/>
  <c r="X148" i="19" s="1"/>
  <c r="T146" i="19"/>
  <c r="W146" i="19" s="1"/>
  <c r="X146" i="19" s="1"/>
  <c r="T144" i="19"/>
  <c r="W144" i="19" s="1"/>
  <c r="X144" i="19" s="1"/>
  <c r="U137" i="19"/>
  <c r="T137" i="19" s="1"/>
  <c r="W137" i="19" s="1"/>
  <c r="X137" i="19" s="1"/>
  <c r="T149" i="19"/>
  <c r="W149" i="19" s="1"/>
  <c r="X149" i="19" s="1"/>
  <c r="T145" i="19"/>
  <c r="W145" i="19" s="1"/>
  <c r="X145" i="19" s="1"/>
  <c r="U182" i="19"/>
  <c r="T182" i="19" s="1"/>
  <c r="W182" i="19" s="1"/>
  <c r="X182" i="19" s="1"/>
  <c r="U169" i="19"/>
  <c r="T169" i="19" s="1"/>
  <c r="W169" i="19" s="1"/>
  <c r="X169" i="19" s="1"/>
  <c r="T159" i="19"/>
  <c r="W159" i="19" s="1"/>
  <c r="X159" i="19" s="1"/>
  <c r="AA159" i="19" s="1"/>
  <c r="T143" i="19"/>
  <c r="W143" i="19" s="1"/>
  <c r="X143" i="19" s="1"/>
  <c r="U130" i="19"/>
  <c r="T130" i="19" s="1"/>
  <c r="W130" i="19" s="1"/>
  <c r="X130" i="19" s="1"/>
  <c r="U128" i="19"/>
  <c r="T128" i="19" s="1"/>
  <c r="W128" i="19" s="1"/>
  <c r="X128" i="19" s="1"/>
  <c r="U123" i="19"/>
  <c r="T123" i="19" s="1"/>
  <c r="W123" i="19" s="1"/>
  <c r="X123" i="19" s="1"/>
  <c r="U112" i="19"/>
  <c r="T112" i="19" s="1"/>
  <c r="W112" i="19" s="1"/>
  <c r="X112" i="19" s="1"/>
  <c r="U108" i="19"/>
  <c r="T108" i="19" s="1"/>
  <c r="W108" i="19" s="1"/>
  <c r="X108" i="19" s="1"/>
  <c r="U178" i="19"/>
  <c r="T178" i="19" s="1"/>
  <c r="W178" i="19" s="1"/>
  <c r="X178" i="19" s="1"/>
  <c r="U173" i="19"/>
  <c r="T173" i="19" s="1"/>
  <c r="W173" i="19" s="1"/>
  <c r="X173" i="19" s="1"/>
  <c r="T160" i="19"/>
  <c r="W160" i="19" s="1"/>
  <c r="X160" i="19" s="1"/>
  <c r="U136" i="19"/>
  <c r="T136" i="19" s="1"/>
  <c r="W136" i="19" s="1"/>
  <c r="X136" i="19" s="1"/>
  <c r="U131" i="19"/>
  <c r="T131" i="19" s="1"/>
  <c r="W131" i="19" s="1"/>
  <c r="X131" i="19" s="1"/>
  <c r="U129" i="19"/>
  <c r="T129" i="19" s="1"/>
  <c r="W129" i="19" s="1"/>
  <c r="X129" i="19" s="1"/>
  <c r="U125" i="19"/>
  <c r="T125" i="19" s="1"/>
  <c r="W125" i="19" s="1"/>
  <c r="X125" i="19" s="1"/>
  <c r="U115" i="19"/>
  <c r="T115" i="19" s="1"/>
  <c r="W115" i="19" s="1"/>
  <c r="X115" i="19" s="1"/>
  <c r="U114" i="19"/>
  <c r="T114" i="19" s="1"/>
  <c r="W114" i="19" s="1"/>
  <c r="X114" i="19" s="1"/>
  <c r="U110" i="19"/>
  <c r="T110" i="19" s="1"/>
  <c r="W110" i="19" s="1"/>
  <c r="X110" i="19" s="1"/>
  <c r="U106" i="19"/>
  <c r="T106" i="19" s="1"/>
  <c r="W106" i="19" s="1"/>
  <c r="X106" i="19" s="1"/>
  <c r="U104" i="19"/>
  <c r="T104" i="19" s="1"/>
  <c r="W104" i="19" s="1"/>
  <c r="X104" i="19" s="1"/>
  <c r="U171" i="19"/>
  <c r="T171" i="19" s="1"/>
  <c r="W171" i="19" s="1"/>
  <c r="X171" i="19" s="1"/>
  <c r="U124" i="19"/>
  <c r="T124" i="19" s="1"/>
  <c r="W124" i="19" s="1"/>
  <c r="X124" i="19" s="1"/>
  <c r="U103" i="19"/>
  <c r="T103" i="19" s="1"/>
  <c r="W103" i="19" s="1"/>
  <c r="X103" i="19" s="1"/>
  <c r="U99" i="19"/>
  <c r="T99" i="19" s="1"/>
  <c r="W99" i="19" s="1"/>
  <c r="X99" i="19" s="1"/>
  <c r="U90" i="19"/>
  <c r="T90" i="19" s="1"/>
  <c r="W90" i="19" s="1"/>
  <c r="X90" i="19" s="1"/>
  <c r="U89" i="19"/>
  <c r="T89" i="19" s="1"/>
  <c r="W89" i="19" s="1"/>
  <c r="X89" i="19" s="1"/>
  <c r="U88" i="19"/>
  <c r="T88" i="19" s="1"/>
  <c r="W88" i="19" s="1"/>
  <c r="X88" i="19" s="1"/>
  <c r="U87" i="19"/>
  <c r="T87" i="19" s="1"/>
  <c r="W87" i="19" s="1"/>
  <c r="X87" i="19" s="1"/>
  <c r="U86" i="19"/>
  <c r="T86" i="19" s="1"/>
  <c r="W86" i="19" s="1"/>
  <c r="X86" i="19" s="1"/>
  <c r="U85" i="19"/>
  <c r="T85" i="19" s="1"/>
  <c r="W85" i="19" s="1"/>
  <c r="X85" i="19" s="1"/>
  <c r="U84" i="19"/>
  <c r="T84" i="19" s="1"/>
  <c r="W84" i="19" s="1"/>
  <c r="X84" i="19" s="1"/>
  <c r="U83" i="19"/>
  <c r="T83" i="19" s="1"/>
  <c r="W83" i="19" s="1"/>
  <c r="X83" i="19" s="1"/>
  <c r="U81" i="19"/>
  <c r="T81" i="19" s="1"/>
  <c r="W81" i="19" s="1"/>
  <c r="X81" i="19" s="1"/>
  <c r="U77" i="19"/>
  <c r="T77" i="19" s="1"/>
  <c r="W77" i="19" s="1"/>
  <c r="X77" i="19" s="1"/>
  <c r="T64" i="19"/>
  <c r="W64" i="19" s="1"/>
  <c r="X64" i="19" s="1"/>
  <c r="U44" i="19"/>
  <c r="T44" i="19" s="1"/>
  <c r="W44" i="19" s="1"/>
  <c r="X44" i="19" s="1"/>
  <c r="U40" i="19"/>
  <c r="U38" i="19"/>
  <c r="T38" i="19" s="1"/>
  <c r="W38" i="19" s="1"/>
  <c r="X38" i="19" s="1"/>
  <c r="U176" i="19"/>
  <c r="T176" i="19" s="1"/>
  <c r="W176" i="19" s="1"/>
  <c r="X176" i="19" s="1"/>
  <c r="T147" i="19"/>
  <c r="W147" i="19" s="1"/>
  <c r="X147" i="19" s="1"/>
  <c r="U92" i="19"/>
  <c r="T92" i="19" s="1"/>
  <c r="W92" i="19" s="1"/>
  <c r="X92" i="19" s="1"/>
  <c r="U91" i="19"/>
  <c r="T91" i="19" s="1"/>
  <c r="W91" i="19" s="1"/>
  <c r="X91" i="19" s="1"/>
  <c r="U79" i="19"/>
  <c r="T79" i="19" s="1"/>
  <c r="W79" i="19" s="1"/>
  <c r="X79" i="19" s="1"/>
  <c r="U75" i="19"/>
  <c r="T75" i="19" s="1"/>
  <c r="W75" i="19" s="1"/>
  <c r="X75" i="19" s="1"/>
  <c r="U48" i="19"/>
  <c r="T48" i="19" s="1"/>
  <c r="W48" i="19" s="1"/>
  <c r="X48" i="19" s="1"/>
  <c r="U46" i="19"/>
  <c r="T46" i="19" s="1"/>
  <c r="W46" i="19" s="1"/>
  <c r="X46" i="19" s="1"/>
  <c r="U42" i="19"/>
  <c r="T42" i="19" s="1"/>
  <c r="W42" i="19" s="1"/>
  <c r="X42" i="19" s="1"/>
  <c r="U36" i="19"/>
  <c r="T36" i="19" s="1"/>
  <c r="W36" i="19" s="1"/>
  <c r="X36" i="19" s="1"/>
  <c r="U134" i="19"/>
  <c r="T134" i="19" s="1"/>
  <c r="W134" i="19" s="1"/>
  <c r="X134" i="19" s="1"/>
  <c r="U101" i="19"/>
  <c r="T101" i="19" s="1"/>
  <c r="W101" i="19" s="1"/>
  <c r="X101" i="19" s="1"/>
  <c r="U45" i="19"/>
  <c r="T45" i="19" s="1"/>
  <c r="W45" i="19" s="1"/>
  <c r="X45" i="19" s="1"/>
  <c r="U41" i="19"/>
  <c r="T41" i="19" s="1"/>
  <c r="W41" i="19" s="1"/>
  <c r="X41" i="19" s="1"/>
  <c r="U34" i="19"/>
  <c r="T34" i="19" s="1"/>
  <c r="W34" i="19" s="1"/>
  <c r="X34" i="19" s="1"/>
  <c r="U180" i="19"/>
  <c r="T180" i="19" s="1"/>
  <c r="W180" i="19" s="1"/>
  <c r="X180" i="19" s="1"/>
  <c r="U167" i="19"/>
  <c r="T167" i="19" s="1"/>
  <c r="W167" i="19" s="1"/>
  <c r="X167" i="19" s="1"/>
  <c r="U133" i="19"/>
  <c r="T133" i="19" s="1"/>
  <c r="W133" i="19" s="1"/>
  <c r="X133" i="19" s="1"/>
  <c r="U120" i="19"/>
  <c r="T120" i="19" s="1"/>
  <c r="W120" i="19" s="1"/>
  <c r="X120" i="19" s="1"/>
  <c r="U111" i="19"/>
  <c r="T111" i="19" s="1"/>
  <c r="W111" i="19" s="1"/>
  <c r="X111" i="19" s="1"/>
  <c r="U107" i="19"/>
  <c r="T107" i="19" s="1"/>
  <c r="W107" i="19" s="1"/>
  <c r="X107" i="19" s="1"/>
  <c r="U132" i="19"/>
  <c r="T132" i="19" s="1"/>
  <c r="W132" i="19" s="1"/>
  <c r="X132" i="19" s="1"/>
  <c r="U126" i="19"/>
  <c r="T126" i="19" s="1"/>
  <c r="W126" i="19" s="1"/>
  <c r="X126" i="19" s="1"/>
  <c r="U121" i="19"/>
  <c r="T121" i="19" s="1"/>
  <c r="W121" i="19" s="1"/>
  <c r="X121" i="19" s="1"/>
  <c r="U102" i="19"/>
  <c r="T102" i="19" s="1"/>
  <c r="W102" i="19" s="1"/>
  <c r="X102" i="19" s="1"/>
  <c r="U100" i="19"/>
  <c r="T100" i="19" s="1"/>
  <c r="W100" i="19" s="1"/>
  <c r="X100" i="19" s="1"/>
  <c r="U98" i="19"/>
  <c r="T98" i="19" s="1"/>
  <c r="W98" i="19" s="1"/>
  <c r="X98" i="19" s="1"/>
  <c r="U80" i="19"/>
  <c r="T80" i="19" s="1"/>
  <c r="W80" i="19" s="1"/>
  <c r="X80" i="19" s="1"/>
  <c r="U78" i="19"/>
  <c r="T78" i="19" s="1"/>
  <c r="W78" i="19" s="1"/>
  <c r="X78" i="19" s="1"/>
  <c r="U76" i="19"/>
  <c r="T76" i="19" s="1"/>
  <c r="W76" i="19" s="1"/>
  <c r="X76" i="19" s="1"/>
  <c r="U47" i="19"/>
  <c r="T47" i="19" s="1"/>
  <c r="W47" i="19" s="1"/>
  <c r="X47" i="19" s="1"/>
  <c r="U43" i="19"/>
  <c r="T43" i="19" s="1"/>
  <c r="W43" i="19" s="1"/>
  <c r="X43" i="19" s="1"/>
  <c r="U37" i="19"/>
  <c r="T37" i="19" s="1"/>
  <c r="W37" i="19" s="1"/>
  <c r="X37" i="19" s="1"/>
  <c r="U32" i="19"/>
  <c r="U135" i="19"/>
  <c r="T135" i="19" s="1"/>
  <c r="W135" i="19" s="1"/>
  <c r="X135" i="19" s="1"/>
  <c r="U122" i="19"/>
  <c r="T122" i="19" s="1"/>
  <c r="W122" i="19" s="1"/>
  <c r="X122" i="19" s="1"/>
  <c r="U113" i="19"/>
  <c r="T113" i="19" s="1"/>
  <c r="W113" i="19" s="1"/>
  <c r="X113" i="19" s="1"/>
  <c r="U109" i="19"/>
  <c r="T109" i="19" s="1"/>
  <c r="W109" i="19" s="1"/>
  <c r="X109" i="19" s="1"/>
  <c r="U35" i="19"/>
  <c r="T35" i="19" s="1"/>
  <c r="W35" i="19" s="1"/>
  <c r="X35" i="19" s="1"/>
  <c r="U33" i="19"/>
  <c r="T33" i="19" s="1"/>
  <c r="W33" i="19" s="1"/>
  <c r="X33" i="19" s="1"/>
  <c r="AB70" i="19" l="1"/>
  <c r="AC143" i="19"/>
  <c r="AB159" i="19"/>
  <c r="AA138" i="19"/>
  <c r="AC59" i="19"/>
  <c r="AC172" i="19"/>
  <c r="AC168" i="19"/>
  <c r="AC122" i="19"/>
  <c r="AC55" i="19"/>
  <c r="AC58" i="19"/>
  <c r="T32" i="19"/>
  <c r="W32" i="19" s="1"/>
  <c r="X32" i="19" s="1"/>
  <c r="T40" i="19"/>
  <c r="W40" i="19" s="1"/>
  <c r="X40" i="19" s="1"/>
  <c r="Z58" i="19"/>
  <c r="AB58" i="19" s="1"/>
  <c r="Z59" i="19"/>
  <c r="AB59" i="19" s="1"/>
  <c r="AC102" i="19"/>
  <c r="AC36" i="19"/>
  <c r="AC35" i="19"/>
  <c r="AB91" i="19"/>
  <c r="Z148" i="19"/>
  <c r="AB148" i="19" s="1"/>
  <c r="Z143" i="19"/>
  <c r="AB143" i="19" s="1"/>
  <c r="Z149" i="19"/>
  <c r="AB149" i="19" s="1"/>
  <c r="Z147" i="19"/>
  <c r="AB147" i="19" s="1"/>
  <c r="AA183" i="19"/>
  <c r="AC76" i="19"/>
  <c r="AA160" i="19"/>
  <c r="AC78" i="19"/>
  <c r="AC33" i="19"/>
  <c r="AB93" i="19"/>
  <c r="AB92" i="19"/>
  <c r="AB48" i="19"/>
  <c r="AC80" i="19"/>
  <c r="AC77" i="19"/>
  <c r="AA184" i="19"/>
  <c r="AC37" i="19"/>
  <c r="AC54" i="19"/>
  <c r="AB116" i="19"/>
  <c r="AA161" i="19"/>
  <c r="AC75" i="19"/>
  <c r="AB183" i="19"/>
  <c r="AB160" i="19"/>
  <c r="AB161" i="19"/>
  <c r="AB115" i="19"/>
  <c r="AC38" i="19"/>
  <c r="AB185" i="19"/>
  <c r="AA185" i="19"/>
  <c r="AC144" i="19"/>
  <c r="AC53" i="19"/>
  <c r="AC147" i="19"/>
  <c r="AC125" i="19"/>
  <c r="AC148" i="19"/>
  <c r="AC120" i="19"/>
  <c r="AB184" i="19"/>
  <c r="AC169" i="19"/>
  <c r="AC167" i="19"/>
  <c r="AC145" i="19"/>
  <c r="AA93" i="19"/>
  <c r="AC146" i="19"/>
  <c r="AA48" i="19"/>
  <c r="AA137" i="19"/>
  <c r="AA136" i="19"/>
  <c r="AB136" i="19"/>
  <c r="AB137" i="19"/>
  <c r="AA114" i="19"/>
  <c r="AA116" i="19"/>
  <c r="AA115" i="19"/>
  <c r="AA91" i="19"/>
  <c r="AA92" i="19"/>
  <c r="AA70" i="19"/>
  <c r="AA69" i="19"/>
  <c r="AC121" i="19"/>
  <c r="AC149" i="19"/>
  <c r="AC173" i="19"/>
  <c r="AC81" i="19"/>
  <c r="AC126" i="19"/>
  <c r="AC100" i="19"/>
  <c r="AC57" i="19"/>
  <c r="AC32" i="19"/>
  <c r="AC34" i="19"/>
  <c r="AC98" i="19"/>
  <c r="AC79" i="19"/>
  <c r="AC124" i="19"/>
  <c r="AC56" i="19"/>
  <c r="AC101" i="19"/>
  <c r="AC104" i="19"/>
  <c r="Z38" i="19"/>
  <c r="AB38" i="19" s="1"/>
  <c r="Z32" i="19"/>
  <c r="Z171" i="19"/>
  <c r="AB171" i="19" s="1"/>
  <c r="Z155" i="19"/>
  <c r="Z151" i="19"/>
  <c r="Z133" i="19"/>
  <c r="Z169" i="19"/>
  <c r="AB169" i="19" s="1"/>
  <c r="Z128" i="19"/>
  <c r="Z103" i="19"/>
  <c r="AB103" i="19" s="1"/>
  <c r="Z101" i="19"/>
  <c r="AB101" i="19" s="1"/>
  <c r="Z98" i="19"/>
  <c r="AB98" i="19" s="1"/>
  <c r="Z61" i="19"/>
  <c r="Z41" i="19"/>
  <c r="Z100" i="19"/>
  <c r="AB100" i="19" s="1"/>
  <c r="Z126" i="19"/>
  <c r="AB126" i="19" s="1"/>
  <c r="Z87" i="19"/>
  <c r="Z83" i="19"/>
  <c r="Z81" i="19"/>
  <c r="AB81" i="19" s="1"/>
  <c r="AG81" i="19" s="1"/>
  <c r="Z123" i="19"/>
  <c r="AB123" i="19" s="1"/>
  <c r="Z78" i="19"/>
  <c r="AB78" i="19" s="1"/>
  <c r="Z55" i="19"/>
  <c r="AB55" i="19" s="1"/>
  <c r="Z80" i="19"/>
  <c r="AB80" i="19" s="1"/>
  <c r="AG80" i="19" s="1"/>
  <c r="Z57" i="19"/>
  <c r="AB57" i="19" s="1"/>
  <c r="Z37" i="19"/>
  <c r="AB37" i="19" s="1"/>
  <c r="Z46" i="19"/>
  <c r="Z122" i="19"/>
  <c r="AB122" i="19" s="1"/>
  <c r="Z86" i="19"/>
  <c r="Z44" i="19"/>
  <c r="Z144" i="19"/>
  <c r="AB144" i="19" s="1"/>
  <c r="Z56" i="19"/>
  <c r="AB56" i="19" s="1"/>
  <c r="Z75" i="19"/>
  <c r="AB75" i="19" s="1"/>
  <c r="Z65" i="19"/>
  <c r="Z84" i="19"/>
  <c r="Z62" i="19"/>
  <c r="Z34" i="19"/>
  <c r="AB34" i="19" s="1"/>
  <c r="Z64" i="19"/>
  <c r="Z54" i="19"/>
  <c r="AB54" i="19" s="1"/>
  <c r="Z172" i="19"/>
  <c r="AB172" i="19" s="1"/>
  <c r="Z167" i="19"/>
  <c r="AB167" i="19" s="1"/>
  <c r="Z154" i="19"/>
  <c r="Z132" i="19"/>
  <c r="Z145" i="19"/>
  <c r="AB145" i="19" s="1"/>
  <c r="Z66" i="19"/>
  <c r="Z170" i="19"/>
  <c r="AB170" i="19" s="1"/>
  <c r="Z157" i="19"/>
  <c r="Z153" i="19"/>
  <c r="Z146" i="19"/>
  <c r="AB146" i="19" s="1"/>
  <c r="Z131" i="19"/>
  <c r="Z121" i="19"/>
  <c r="AB121" i="19" s="1"/>
  <c r="Z129" i="19"/>
  <c r="Z67" i="19"/>
  <c r="Z43" i="19"/>
  <c r="Z76" i="19"/>
  <c r="AB76" i="19" s="1"/>
  <c r="AG76" i="19" s="1"/>
  <c r="Z53" i="19"/>
  <c r="AB53" i="19" s="1"/>
  <c r="Z104" i="19"/>
  <c r="AB104" i="19" s="1"/>
  <c r="AG104" i="19" s="1"/>
  <c r="Z42" i="19"/>
  <c r="Z89" i="19"/>
  <c r="Z85" i="19"/>
  <c r="Z40" i="19"/>
  <c r="Z99" i="19"/>
  <c r="AB99" i="19" s="1"/>
  <c r="AG99" i="19" s="1"/>
  <c r="Z77" i="19"/>
  <c r="AB77" i="19" s="1"/>
  <c r="AG77" i="19" s="1"/>
  <c r="Z36" i="19"/>
  <c r="AB36" i="19" s="1"/>
  <c r="Z168" i="19"/>
  <c r="AB168" i="19" s="1"/>
  <c r="Z156" i="19"/>
  <c r="Z152" i="19"/>
  <c r="Z134" i="19"/>
  <c r="Z173" i="19"/>
  <c r="AB173" i="19" s="1"/>
  <c r="Z130" i="19"/>
  <c r="Z120" i="19"/>
  <c r="AB120" i="19" s="1"/>
  <c r="Z125" i="19"/>
  <c r="AB125" i="19" s="1"/>
  <c r="Z63" i="19"/>
  <c r="Z124" i="19"/>
  <c r="AB124" i="19" s="1"/>
  <c r="Z45" i="19"/>
  <c r="Z102" i="19"/>
  <c r="AB102" i="19" s="1"/>
  <c r="AG102" i="19" s="1"/>
  <c r="Z35" i="19"/>
  <c r="AB35" i="19" s="1"/>
  <c r="Z88" i="19"/>
  <c r="Z33" i="19"/>
  <c r="AB33" i="19" s="1"/>
  <c r="Z79" i="19"/>
  <c r="AB79" i="19" s="1"/>
  <c r="AG78" i="19" l="1"/>
  <c r="AG98" i="19"/>
  <c r="AG100" i="19"/>
  <c r="AG101" i="19"/>
  <c r="AG79" i="19"/>
  <c r="AG145" i="19"/>
  <c r="AG103" i="19"/>
  <c r="AH79" i="19"/>
  <c r="AH75" i="19"/>
  <c r="AH98" i="19"/>
  <c r="AH80" i="19"/>
  <c r="AH76" i="19"/>
  <c r="AH100" i="19"/>
  <c r="AH102" i="19"/>
  <c r="AH104" i="19"/>
  <c r="AH78" i="19"/>
  <c r="AH101" i="19"/>
  <c r="AH77" i="19"/>
  <c r="AH99" i="19"/>
  <c r="AH81" i="19"/>
  <c r="AH103" i="19"/>
  <c r="AG146" i="19"/>
  <c r="AG148" i="19"/>
  <c r="AG147" i="19"/>
  <c r="AG149" i="19"/>
  <c r="AH148" i="19"/>
  <c r="AH144" i="19"/>
  <c r="AH147" i="19"/>
  <c r="AH143" i="19"/>
  <c r="AH146" i="19"/>
  <c r="AH149" i="19"/>
  <c r="AH145" i="19"/>
  <c r="AG144" i="19"/>
  <c r="AG143" i="19"/>
  <c r="AB32" i="19"/>
  <c r="S92" i="13"/>
  <c r="R92" i="13"/>
  <c r="K92" i="13"/>
  <c r="J92" i="13"/>
  <c r="S91" i="13"/>
  <c r="R91" i="13"/>
  <c r="K91" i="13"/>
  <c r="J91" i="13"/>
  <c r="S90" i="13"/>
  <c r="R90" i="13"/>
  <c r="K90" i="13"/>
  <c r="J90" i="13"/>
  <c r="S89" i="13"/>
  <c r="R89" i="13"/>
  <c r="K89" i="13"/>
  <c r="J89" i="13"/>
  <c r="S88" i="13"/>
  <c r="R88" i="13"/>
  <c r="K88" i="13"/>
  <c r="J88" i="13"/>
  <c r="S87" i="13"/>
  <c r="R87" i="13"/>
  <c r="K87" i="13"/>
  <c r="J87" i="13"/>
  <c r="S86" i="13"/>
  <c r="R86" i="13"/>
  <c r="K86" i="13"/>
  <c r="J86" i="13"/>
  <c r="S85" i="13"/>
  <c r="R85" i="13"/>
  <c r="K85" i="13"/>
  <c r="J85" i="13"/>
  <c r="S84" i="13"/>
  <c r="R84" i="13"/>
  <c r="K84" i="13"/>
  <c r="J84" i="13"/>
  <c r="S83" i="13"/>
  <c r="R83" i="13"/>
  <c r="K83" i="13"/>
  <c r="J83" i="13"/>
  <c r="S81" i="13"/>
  <c r="R81" i="13"/>
  <c r="K81" i="13"/>
  <c r="J81" i="13"/>
  <c r="S80" i="13"/>
  <c r="R80" i="13"/>
  <c r="K80" i="13"/>
  <c r="J80" i="13"/>
  <c r="S79" i="13"/>
  <c r="R79" i="13"/>
  <c r="K79" i="13"/>
  <c r="J79" i="13"/>
  <c r="S78" i="13"/>
  <c r="R78" i="13"/>
  <c r="K78" i="13"/>
  <c r="J78" i="13"/>
  <c r="S77" i="13"/>
  <c r="R77" i="13"/>
  <c r="K77" i="13"/>
  <c r="J77" i="13"/>
  <c r="S76" i="13"/>
  <c r="R76" i="13"/>
  <c r="K76" i="13"/>
  <c r="J76" i="13"/>
  <c r="S75" i="13"/>
  <c r="R75" i="13"/>
  <c r="K75" i="13"/>
  <c r="J75" i="13"/>
  <c r="S70" i="13"/>
  <c r="R70" i="13"/>
  <c r="K70" i="13"/>
  <c r="J70" i="13"/>
  <c r="J26" i="13"/>
  <c r="J25" i="13"/>
  <c r="J24" i="13"/>
  <c r="J23" i="13"/>
  <c r="J22" i="13"/>
  <c r="J21" i="13"/>
  <c r="J20" i="13"/>
  <c r="J19" i="13"/>
  <c r="J17" i="13"/>
  <c r="J16" i="13"/>
  <c r="J15" i="13"/>
  <c r="J14" i="13"/>
  <c r="J13" i="13"/>
  <c r="J12" i="13"/>
  <c r="J11" i="13"/>
  <c r="J10" i="13"/>
  <c r="AV26" i="13"/>
  <c r="AU26" i="13"/>
  <c r="AV25" i="13"/>
  <c r="AU25" i="13"/>
  <c r="AV24" i="13"/>
  <c r="AU24" i="13"/>
  <c r="AV23" i="13"/>
  <c r="AU23" i="13"/>
  <c r="AV22" i="13"/>
  <c r="AU22" i="13"/>
  <c r="AV21" i="13"/>
  <c r="AU21" i="13"/>
  <c r="AV20" i="13"/>
  <c r="AU20" i="13"/>
  <c r="AV19" i="13"/>
  <c r="AU19" i="13"/>
  <c r="AV17" i="13"/>
  <c r="AU17" i="13"/>
  <c r="AV16" i="13"/>
  <c r="AU16" i="13"/>
  <c r="AV15" i="13"/>
  <c r="AU15" i="13"/>
  <c r="AV14" i="13"/>
  <c r="AU14" i="13"/>
  <c r="AV13" i="13"/>
  <c r="AU13" i="13"/>
  <c r="AV12" i="13"/>
  <c r="AU12" i="13"/>
  <c r="AV11" i="13"/>
  <c r="AU11" i="13"/>
  <c r="AV10" i="13"/>
  <c r="AU10" i="13"/>
  <c r="P54" i="14" l="1"/>
  <c r="P55" i="14"/>
  <c r="P44" i="14"/>
  <c r="P45" i="14"/>
  <c r="F35" i="15"/>
  <c r="D35" i="15"/>
  <c r="F21" i="15"/>
  <c r="D21" i="15"/>
  <c r="D7" i="15"/>
  <c r="F7" i="15"/>
  <c r="Y76" i="15" l="1"/>
  <c r="X76" i="15"/>
  <c r="V76" i="15"/>
  <c r="S76" i="15"/>
  <c r="R76" i="15"/>
  <c r="P76" i="15"/>
  <c r="Y75" i="15"/>
  <c r="X75" i="15"/>
  <c r="V75" i="15"/>
  <c r="S75" i="15"/>
  <c r="R75" i="15"/>
  <c r="P75" i="15"/>
  <c r="Y74" i="15"/>
  <c r="X74" i="15"/>
  <c r="V74" i="15"/>
  <c r="S74" i="15"/>
  <c r="R74" i="15"/>
  <c r="P74" i="15"/>
  <c r="Y73" i="15"/>
  <c r="X73" i="15"/>
  <c r="V73" i="15"/>
  <c r="S73" i="15"/>
  <c r="R73" i="15"/>
  <c r="P73" i="15"/>
  <c r="Y72" i="15"/>
  <c r="X72" i="15"/>
  <c r="V72" i="15"/>
  <c r="S72" i="15"/>
  <c r="R72" i="15"/>
  <c r="P72" i="15"/>
  <c r="Y71" i="15"/>
  <c r="X71" i="15"/>
  <c r="V71" i="15"/>
  <c r="S71" i="15"/>
  <c r="R71" i="15"/>
  <c r="P71" i="15"/>
  <c r="Y70" i="15"/>
  <c r="X70" i="15"/>
  <c r="V70" i="15"/>
  <c r="S70" i="15"/>
  <c r="R70" i="15"/>
  <c r="P70" i="15"/>
  <c r="Y66" i="15"/>
  <c r="X66" i="15"/>
  <c r="V66" i="15"/>
  <c r="S66" i="15"/>
  <c r="R66" i="15"/>
  <c r="P66" i="15"/>
  <c r="Y65" i="15"/>
  <c r="X65" i="15"/>
  <c r="V65" i="15"/>
  <c r="S65" i="15"/>
  <c r="R65" i="15"/>
  <c r="P65" i="15"/>
  <c r="Y64" i="15"/>
  <c r="X64" i="15"/>
  <c r="V64" i="15"/>
  <c r="S64" i="15"/>
  <c r="R64" i="15"/>
  <c r="P64" i="15"/>
  <c r="Y63" i="15"/>
  <c r="X63" i="15"/>
  <c r="V63" i="15"/>
  <c r="S63" i="15"/>
  <c r="R63" i="15"/>
  <c r="P63" i="15"/>
  <c r="Y62" i="15"/>
  <c r="X62" i="15"/>
  <c r="V62" i="15"/>
  <c r="S62" i="15"/>
  <c r="R62" i="15"/>
  <c r="P62" i="15"/>
  <c r="Y61" i="15"/>
  <c r="X61" i="15"/>
  <c r="V61" i="15"/>
  <c r="S61" i="15"/>
  <c r="R61" i="15"/>
  <c r="P61" i="15"/>
  <c r="Y60" i="15"/>
  <c r="X60" i="15"/>
  <c r="V60" i="15"/>
  <c r="S60" i="15"/>
  <c r="R60" i="15"/>
  <c r="P60" i="15"/>
  <c r="Y56" i="15"/>
  <c r="X56" i="15"/>
  <c r="V56" i="15"/>
  <c r="S56" i="15"/>
  <c r="R56" i="15"/>
  <c r="P56" i="15"/>
  <c r="Y55" i="15"/>
  <c r="X55" i="15"/>
  <c r="V55" i="15"/>
  <c r="S55" i="15"/>
  <c r="R55" i="15"/>
  <c r="P55" i="15"/>
  <c r="Y54" i="15"/>
  <c r="X54" i="15"/>
  <c r="V54" i="15"/>
  <c r="S54" i="15"/>
  <c r="R54" i="15"/>
  <c r="P54" i="15"/>
  <c r="Y53" i="15"/>
  <c r="X53" i="15"/>
  <c r="V53" i="15"/>
  <c r="S53" i="15"/>
  <c r="R53" i="15"/>
  <c r="P53" i="15"/>
  <c r="Y52" i="15"/>
  <c r="X52" i="15"/>
  <c r="V52" i="15"/>
  <c r="S52" i="15"/>
  <c r="R52" i="15"/>
  <c r="P52" i="15"/>
  <c r="Y51" i="15"/>
  <c r="X51" i="15"/>
  <c r="V51" i="15"/>
  <c r="S51" i="15"/>
  <c r="R51" i="15"/>
  <c r="P51" i="15"/>
  <c r="Y50" i="15"/>
  <c r="X50" i="15"/>
  <c r="V50" i="15"/>
  <c r="S50" i="15"/>
  <c r="R50" i="15"/>
  <c r="P50" i="15"/>
  <c r="G36" i="15"/>
  <c r="F36" i="15"/>
  <c r="E36" i="15"/>
  <c r="D36" i="15"/>
  <c r="C36" i="15"/>
  <c r="B36" i="15"/>
  <c r="G22" i="15"/>
  <c r="F22" i="15"/>
  <c r="E22" i="15"/>
  <c r="D22" i="15"/>
  <c r="C22" i="15"/>
  <c r="B22" i="15"/>
  <c r="G8" i="15"/>
  <c r="F8" i="15"/>
  <c r="E8" i="15"/>
  <c r="D8" i="15"/>
  <c r="C8" i="15"/>
  <c r="B8" i="15"/>
  <c r="D35" i="18" l="1"/>
  <c r="B35" i="15" s="1"/>
  <c r="D23" i="18"/>
  <c r="B21" i="15" s="1"/>
  <c r="D11" i="18"/>
  <c r="B6" i="15" s="1"/>
  <c r="K111" i="13"/>
  <c r="K110" i="13"/>
  <c r="K109" i="13"/>
  <c r="K108" i="13"/>
  <c r="K107" i="13"/>
  <c r="K106" i="13"/>
  <c r="K105" i="13"/>
  <c r="K103" i="13"/>
  <c r="K102" i="13"/>
  <c r="K101" i="13"/>
  <c r="K100" i="13"/>
  <c r="K99" i="13"/>
  <c r="K98" i="13"/>
  <c r="K97" i="13"/>
  <c r="C95" i="13"/>
  <c r="K69" i="13"/>
  <c r="J69" i="13"/>
  <c r="K68" i="13"/>
  <c r="J68" i="13"/>
  <c r="K67" i="13"/>
  <c r="J67" i="13"/>
  <c r="K66" i="13"/>
  <c r="J66" i="13"/>
  <c r="K65" i="13"/>
  <c r="J65" i="13"/>
  <c r="K64" i="13"/>
  <c r="J64" i="13"/>
  <c r="K63" i="13"/>
  <c r="J63" i="13"/>
  <c r="K62" i="13"/>
  <c r="J62" i="13"/>
  <c r="K61" i="13"/>
  <c r="J61" i="13"/>
  <c r="K59" i="13"/>
  <c r="J59" i="13"/>
  <c r="K58" i="13"/>
  <c r="J58" i="13"/>
  <c r="K57" i="13"/>
  <c r="J57" i="13"/>
  <c r="K56" i="13"/>
  <c r="J56" i="13"/>
  <c r="K55" i="13"/>
  <c r="J55" i="13"/>
  <c r="K54" i="13"/>
  <c r="J54" i="13"/>
  <c r="K53" i="13"/>
  <c r="J53" i="13"/>
  <c r="C51" i="13"/>
  <c r="K48" i="13"/>
  <c r="J48" i="13"/>
  <c r="K47" i="13"/>
  <c r="J47" i="13"/>
  <c r="K46" i="13"/>
  <c r="J46" i="13"/>
  <c r="K45" i="13"/>
  <c r="J45" i="13"/>
  <c r="K44" i="13"/>
  <c r="J44" i="13"/>
  <c r="K43" i="13"/>
  <c r="J43" i="13"/>
  <c r="K42" i="13"/>
  <c r="J42" i="13"/>
  <c r="K41" i="13"/>
  <c r="J41" i="13"/>
  <c r="K40" i="13"/>
  <c r="J40" i="13"/>
  <c r="K38" i="13"/>
  <c r="K37" i="13"/>
  <c r="K36" i="13"/>
  <c r="K35" i="13"/>
  <c r="K34" i="13"/>
  <c r="K33" i="13"/>
  <c r="K32" i="13"/>
  <c r="K26" i="13"/>
  <c r="K25" i="13"/>
  <c r="K24" i="13"/>
  <c r="K23" i="13"/>
  <c r="K22" i="13"/>
  <c r="Z22" i="13" s="1"/>
  <c r="AA22" i="13" s="1"/>
  <c r="K21" i="13"/>
  <c r="AB21" i="13" s="1"/>
  <c r="K20" i="13"/>
  <c r="Z20" i="13" s="1"/>
  <c r="AA20" i="13" s="1"/>
  <c r="K19" i="13"/>
  <c r="Z19" i="13" s="1"/>
  <c r="AA19" i="13" s="1"/>
  <c r="K17" i="13"/>
  <c r="K16" i="13"/>
  <c r="K15" i="13"/>
  <c r="K14" i="13"/>
  <c r="AB13" i="13"/>
  <c r="K12" i="13"/>
  <c r="AB12" i="13" s="1"/>
  <c r="K11" i="13"/>
  <c r="Z11" i="13" s="1"/>
  <c r="AA11" i="13" s="1"/>
  <c r="K10" i="13"/>
  <c r="AB10" i="13" s="1"/>
  <c r="R47" i="13"/>
  <c r="S47" i="13"/>
  <c r="R68" i="13"/>
  <c r="S68" i="13"/>
  <c r="J91" i="14"/>
  <c r="I91" i="14"/>
  <c r="P46" i="14"/>
  <c r="P47" i="14"/>
  <c r="P48" i="14"/>
  <c r="P49" i="14"/>
  <c r="P57" i="14"/>
  <c r="P58" i="14"/>
  <c r="P59" i="14"/>
  <c r="P56" i="14"/>
  <c r="C42" i="5"/>
  <c r="D45" i="18" s="1"/>
  <c r="B43" i="15" s="1"/>
  <c r="C41" i="5"/>
  <c r="D44" i="18" s="1"/>
  <c r="B42" i="15" s="1"/>
  <c r="C40" i="5"/>
  <c r="D43" i="18" s="1"/>
  <c r="B41" i="15" s="1"/>
  <c r="C39" i="5"/>
  <c r="D42" i="18" s="1"/>
  <c r="B40" i="15" s="1"/>
  <c r="C38" i="5"/>
  <c r="D41" i="18" s="1"/>
  <c r="B39" i="15" s="1"/>
  <c r="C37" i="5"/>
  <c r="D40" i="18" s="1"/>
  <c r="B38" i="15" s="1"/>
  <c r="C36" i="5"/>
  <c r="D39" i="18" s="1"/>
  <c r="B37" i="15" s="1"/>
  <c r="C28" i="5"/>
  <c r="D33" i="18" s="1"/>
  <c r="B29" i="15" s="1"/>
  <c r="C27" i="5"/>
  <c r="D32" i="18" s="1"/>
  <c r="B28" i="15" s="1"/>
  <c r="C26" i="5"/>
  <c r="D31" i="18" s="1"/>
  <c r="B27" i="15" s="1"/>
  <c r="C25" i="5"/>
  <c r="D30" i="18" s="1"/>
  <c r="B26" i="15" s="1"/>
  <c r="C24" i="5"/>
  <c r="D29" i="18" s="1"/>
  <c r="B25" i="15" s="1"/>
  <c r="C23" i="5"/>
  <c r="D28" i="18" s="1"/>
  <c r="B24" i="15" s="1"/>
  <c r="C22" i="5"/>
  <c r="D27" i="18" s="1"/>
  <c r="B23" i="15" s="1"/>
  <c r="C15" i="5"/>
  <c r="D21" i="18" s="1"/>
  <c r="B15" i="15" s="1"/>
  <c r="C14" i="5"/>
  <c r="D20" i="18" s="1"/>
  <c r="B14" i="15" s="1"/>
  <c r="C13" i="5"/>
  <c r="D19" i="18" s="1"/>
  <c r="B13" i="15" s="1"/>
  <c r="C12" i="5"/>
  <c r="D18" i="18" s="1"/>
  <c r="B12" i="15" s="1"/>
  <c r="C11" i="5"/>
  <c r="D17" i="18" s="1"/>
  <c r="B11" i="15" s="1"/>
  <c r="C10" i="5"/>
  <c r="D16" i="18" s="1"/>
  <c r="B10" i="15" s="1"/>
  <c r="C9" i="5"/>
  <c r="D15" i="18" s="1"/>
  <c r="B9" i="15" s="1"/>
  <c r="C30" i="13"/>
  <c r="A49" i="13"/>
  <c r="S48" i="13"/>
  <c r="R48" i="13"/>
  <c r="T19" i="13"/>
  <c r="R19" i="13"/>
  <c r="T23" i="13"/>
  <c r="R23" i="13"/>
  <c r="U23" i="13" s="1"/>
  <c r="T20" i="13"/>
  <c r="R20" i="13"/>
  <c r="U20" i="13" s="1"/>
  <c r="T24" i="13"/>
  <c r="R24" i="13"/>
  <c r="U24" i="13" s="1"/>
  <c r="T21" i="13"/>
  <c r="R21" i="13"/>
  <c r="U21" i="13" s="1"/>
  <c r="T25" i="13"/>
  <c r="R25" i="13"/>
  <c r="U25" i="13" s="1"/>
  <c r="T22" i="13"/>
  <c r="R22" i="13"/>
  <c r="U22" i="13" s="1"/>
  <c r="T26" i="13"/>
  <c r="R26" i="13"/>
  <c r="U26" i="13" s="1"/>
  <c r="T10" i="13"/>
  <c r="R10" i="13"/>
  <c r="R14" i="13"/>
  <c r="U14" i="13" s="1"/>
  <c r="R11" i="13"/>
  <c r="U11" i="13" s="1"/>
  <c r="R15" i="13"/>
  <c r="U15" i="13" s="1"/>
  <c r="R12" i="13"/>
  <c r="U12" i="13" s="1"/>
  <c r="R16" i="13"/>
  <c r="U16" i="13" s="1"/>
  <c r="R13" i="13"/>
  <c r="U13" i="13" s="1"/>
  <c r="R17" i="13"/>
  <c r="U17" i="13" s="1"/>
  <c r="S19" i="13"/>
  <c r="S23" i="13"/>
  <c r="S20" i="13"/>
  <c r="S24" i="13"/>
  <c r="S21" i="13"/>
  <c r="S25" i="13"/>
  <c r="S22" i="13"/>
  <c r="S26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5" i="13"/>
  <c r="A3" i="13"/>
  <c r="A4" i="13"/>
  <c r="A6" i="13"/>
  <c r="A7" i="13"/>
  <c r="A8" i="13"/>
  <c r="A9" i="13"/>
  <c r="A10" i="13"/>
  <c r="S10" i="13"/>
  <c r="S14" i="13"/>
  <c r="A11" i="13"/>
  <c r="S11" i="13"/>
  <c r="S15" i="13"/>
  <c r="A12" i="13"/>
  <c r="S12" i="13"/>
  <c r="S16" i="13"/>
  <c r="A13" i="13"/>
  <c r="S13" i="13"/>
  <c r="S17" i="13"/>
  <c r="A14" i="13"/>
  <c r="A15" i="13"/>
  <c r="A16" i="13"/>
  <c r="A17" i="13"/>
  <c r="R32" i="13"/>
  <c r="S32" i="13"/>
  <c r="R40" i="13"/>
  <c r="S40" i="13"/>
  <c r="R33" i="13"/>
  <c r="S33" i="13"/>
  <c r="R41" i="13"/>
  <c r="S41" i="13"/>
  <c r="A34" i="13"/>
  <c r="R34" i="13"/>
  <c r="S34" i="13"/>
  <c r="S42" i="13"/>
  <c r="R42" i="13"/>
  <c r="A35" i="13"/>
  <c r="R35" i="13"/>
  <c r="S35" i="13"/>
  <c r="R43" i="13"/>
  <c r="S43" i="13"/>
  <c r="A36" i="13"/>
  <c r="R36" i="13"/>
  <c r="S36" i="13"/>
  <c r="R44" i="13"/>
  <c r="S44" i="13"/>
  <c r="A37" i="13"/>
  <c r="R37" i="13"/>
  <c r="S37" i="13"/>
  <c r="R45" i="13"/>
  <c r="S45" i="13"/>
  <c r="A38" i="13"/>
  <c r="R38" i="13"/>
  <c r="S38" i="13"/>
  <c r="S46" i="13"/>
  <c r="R46" i="13"/>
  <c r="A39" i="13"/>
  <c r="A40" i="13"/>
  <c r="A41" i="13"/>
  <c r="A42" i="13"/>
  <c r="A43" i="13"/>
  <c r="A44" i="13"/>
  <c r="A45" i="13"/>
  <c r="A46" i="13"/>
  <c r="A47" i="13"/>
  <c r="A48" i="13"/>
  <c r="A50" i="13"/>
  <c r="A51" i="13"/>
  <c r="A52" i="13"/>
  <c r="A53" i="13"/>
  <c r="R53" i="13"/>
  <c r="S53" i="13"/>
  <c r="R61" i="13"/>
  <c r="S61" i="13"/>
  <c r="A54" i="13"/>
  <c r="R54" i="13"/>
  <c r="S54" i="13"/>
  <c r="R62" i="13"/>
  <c r="S62" i="13"/>
  <c r="A55" i="13"/>
  <c r="R55" i="13"/>
  <c r="S55" i="13"/>
  <c r="R63" i="13"/>
  <c r="S63" i="13"/>
  <c r="A56" i="13"/>
  <c r="R56" i="13"/>
  <c r="S56" i="13"/>
  <c r="S64" i="13"/>
  <c r="R64" i="13"/>
  <c r="A57" i="13"/>
  <c r="R57" i="13"/>
  <c r="S57" i="13"/>
  <c r="R65" i="13"/>
  <c r="S65" i="13"/>
  <c r="A58" i="13"/>
  <c r="R58" i="13"/>
  <c r="S58" i="13"/>
  <c r="S66" i="13"/>
  <c r="R66" i="13"/>
  <c r="A59" i="13"/>
  <c r="R59" i="13"/>
  <c r="S59" i="13"/>
  <c r="R67" i="13"/>
  <c r="S67" i="13"/>
  <c r="A60" i="13"/>
  <c r="A61" i="13"/>
  <c r="A62" i="13"/>
  <c r="A63" i="13"/>
  <c r="A64" i="13"/>
  <c r="A65" i="13"/>
  <c r="A66" i="13"/>
  <c r="A67" i="13"/>
  <c r="A68" i="13"/>
  <c r="A69" i="13"/>
  <c r="R69" i="13"/>
  <c r="S69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94" i="13"/>
  <c r="A95" i="13"/>
  <c r="A96" i="13"/>
  <c r="A97" i="13"/>
  <c r="R97" i="13"/>
  <c r="S97" i="13"/>
  <c r="S105" i="13"/>
  <c r="R105" i="13"/>
  <c r="A98" i="13"/>
  <c r="R98" i="13"/>
  <c r="S98" i="13"/>
  <c r="R106" i="13"/>
  <c r="S106" i="13"/>
  <c r="A99" i="13"/>
  <c r="R99" i="13"/>
  <c r="S99" i="13"/>
  <c r="S107" i="13"/>
  <c r="R107" i="13"/>
  <c r="A100" i="13"/>
  <c r="R100" i="13"/>
  <c r="S100" i="13"/>
  <c r="R108" i="13"/>
  <c r="S108" i="13"/>
  <c r="A101" i="13"/>
  <c r="R101" i="13"/>
  <c r="S101" i="13"/>
  <c r="S109" i="13"/>
  <c r="R109" i="13"/>
  <c r="A102" i="13"/>
  <c r="R102" i="13"/>
  <c r="S102" i="13"/>
  <c r="R110" i="13"/>
  <c r="S110" i="13"/>
  <c r="A103" i="13"/>
  <c r="R103" i="13"/>
  <c r="S103" i="13"/>
  <c r="S111" i="13"/>
  <c r="R111" i="13"/>
  <c r="A104" i="13"/>
  <c r="A105" i="13"/>
  <c r="A106" i="13"/>
  <c r="A107" i="13"/>
  <c r="A108" i="13"/>
  <c r="A109" i="13"/>
  <c r="A110" i="13"/>
  <c r="A111" i="13"/>
  <c r="A112" i="13"/>
  <c r="A113" i="13"/>
  <c r="A116" i="13"/>
  <c r="AB22" i="13" l="1"/>
  <c r="Z13" i="13"/>
  <c r="AA13" i="13" s="1"/>
  <c r="AB19" i="13"/>
  <c r="W15" i="13"/>
  <c r="Z21" i="13"/>
  <c r="AA21" i="13" s="1"/>
  <c r="P45" i="18"/>
  <c r="D26" i="14"/>
  <c r="V26" i="14" s="1"/>
  <c r="P41" i="18"/>
  <c r="R41" i="18" s="1"/>
  <c r="W17" i="13"/>
  <c r="P40" i="18"/>
  <c r="Z12" i="13"/>
  <c r="AA12" i="13" s="1"/>
  <c r="W19" i="13"/>
  <c r="D37" i="14"/>
  <c r="D25" i="5" s="1"/>
  <c r="E30" i="18" s="1"/>
  <c r="C26" i="15" s="1"/>
  <c r="AB20" i="13"/>
  <c r="P15" i="18"/>
  <c r="V24" i="13"/>
  <c r="W13" i="13"/>
  <c r="Y13" i="13" s="1"/>
  <c r="AB11" i="13"/>
  <c r="V21" i="13"/>
  <c r="W23" i="13"/>
  <c r="Y19" i="13" s="1"/>
  <c r="W24" i="13"/>
  <c r="W22" i="13"/>
  <c r="V22" i="13"/>
  <c r="W21" i="13"/>
  <c r="U19" i="13"/>
  <c r="V19" i="13" s="1"/>
  <c r="W26" i="13"/>
  <c r="Y22" i="13" s="1"/>
  <c r="V23" i="13"/>
  <c r="V11" i="13"/>
  <c r="Z10" i="13"/>
  <c r="U10" i="13"/>
  <c r="V10" i="13" s="1"/>
  <c r="V14" i="13"/>
  <c r="V15" i="13"/>
  <c r="X11" i="13" s="1"/>
  <c r="AC11" i="13" s="1"/>
  <c r="V13" i="13"/>
  <c r="W16" i="13"/>
  <c r="W11" i="13"/>
  <c r="W10" i="13"/>
  <c r="P32" i="18"/>
  <c r="D40" i="14"/>
  <c r="P19" i="18"/>
  <c r="J12" i="18" s="1"/>
  <c r="P33" i="18"/>
  <c r="V25" i="13"/>
  <c r="W25" i="13"/>
  <c r="V20" i="13"/>
  <c r="W20" i="13"/>
  <c r="D39" i="14"/>
  <c r="V39" i="14" s="1"/>
  <c r="P18" i="18"/>
  <c r="P29" i="18"/>
  <c r="R29" i="18" s="1"/>
  <c r="V26" i="13"/>
  <c r="P28" i="18"/>
  <c r="D28" i="14"/>
  <c r="V28" i="14" s="1"/>
  <c r="P16" i="18"/>
  <c r="D13" i="14"/>
  <c r="D40" i="5" s="1"/>
  <c r="E43" i="18" s="1"/>
  <c r="C41" i="15" s="1"/>
  <c r="D34" i="14"/>
  <c r="V34" i="14" s="1"/>
  <c r="D27" i="14"/>
  <c r="D32" i="14"/>
  <c r="M19" i="5" s="1"/>
  <c r="K19" i="5" s="1"/>
  <c r="C19" i="5" s="1"/>
  <c r="P27" i="18"/>
  <c r="D36" i="14"/>
  <c r="V36" i="14" s="1"/>
  <c r="D23" i="14"/>
  <c r="AI23" i="14" s="1"/>
  <c r="D12" i="14"/>
  <c r="D35" i="14"/>
  <c r="AI35" i="14" s="1"/>
  <c r="D25" i="14"/>
  <c r="V25" i="14" s="1"/>
  <c r="D22" i="14"/>
  <c r="V22" i="14" s="1"/>
  <c r="P20" i="18"/>
  <c r="P43" i="18"/>
  <c r="J36" i="18" s="1"/>
  <c r="P39" i="18"/>
  <c r="P31" i="18"/>
  <c r="J24" i="18" s="1"/>
  <c r="V17" i="13"/>
  <c r="V12" i="13"/>
  <c r="W12" i="13"/>
  <c r="D10" i="14"/>
  <c r="V10" i="14" s="1"/>
  <c r="P44" i="18"/>
  <c r="W14" i="13"/>
  <c r="P17" i="18"/>
  <c r="Q17" i="18" s="1"/>
  <c r="P42" i="18"/>
  <c r="P30" i="18"/>
  <c r="V16" i="13"/>
  <c r="D9" i="14"/>
  <c r="D15" i="14"/>
  <c r="V15" i="14" s="1"/>
  <c r="D24" i="14"/>
  <c r="D38" i="14"/>
  <c r="G53" i="14" s="1"/>
  <c r="N58" i="14" s="1"/>
  <c r="P21" i="18"/>
  <c r="D7" i="14"/>
  <c r="M33" i="5" s="1"/>
  <c r="K33" i="5" s="1"/>
  <c r="C33" i="5" s="1"/>
  <c r="D11" i="14"/>
  <c r="V11" i="14" s="1"/>
  <c r="D14" i="14"/>
  <c r="V14" i="14" s="1"/>
  <c r="D20" i="14"/>
  <c r="M6" i="5" s="1"/>
  <c r="K6" i="5" s="1"/>
  <c r="AA46" i="13" l="1"/>
  <c r="AA86" i="13"/>
  <c r="AA81" i="13"/>
  <c r="AA77" i="13"/>
  <c r="AA87" i="13"/>
  <c r="AA78" i="13"/>
  <c r="AA89" i="13"/>
  <c r="AA85" i="13"/>
  <c r="AA80" i="13"/>
  <c r="AA76" i="13"/>
  <c r="AA88" i="13"/>
  <c r="AA84" i="13"/>
  <c r="AA79" i="13"/>
  <c r="AA75" i="13"/>
  <c r="AA83" i="13"/>
  <c r="AA53" i="13"/>
  <c r="AA35" i="13"/>
  <c r="Y11" i="13"/>
  <c r="AA44" i="13"/>
  <c r="AA61" i="13"/>
  <c r="X22" i="13"/>
  <c r="AC22" i="13" s="1"/>
  <c r="AA64" i="13"/>
  <c r="X20" i="13"/>
  <c r="AC20" i="13" s="1"/>
  <c r="Q41" i="18"/>
  <c r="G36" i="18" s="1"/>
  <c r="D34" i="15" s="1"/>
  <c r="Y21" i="13"/>
  <c r="V37" i="14"/>
  <c r="AI37" i="14"/>
  <c r="D13" i="5"/>
  <c r="E19" i="18" s="1"/>
  <c r="C13" i="15" s="1"/>
  <c r="G52" i="14"/>
  <c r="N57" i="14" s="1"/>
  <c r="AA97" i="13"/>
  <c r="AA36" i="13"/>
  <c r="AA33" i="13"/>
  <c r="AI26" i="14"/>
  <c r="AA55" i="13"/>
  <c r="AA54" i="13"/>
  <c r="AA66" i="13"/>
  <c r="AA34" i="13"/>
  <c r="Y10" i="13"/>
  <c r="Y20" i="13"/>
  <c r="Q29" i="18"/>
  <c r="E24" i="18" s="1"/>
  <c r="AA98" i="13"/>
  <c r="AA41" i="13"/>
  <c r="AA67" i="13"/>
  <c r="AA100" i="13"/>
  <c r="AA43" i="13"/>
  <c r="AA56" i="13"/>
  <c r="AA102" i="13"/>
  <c r="AA59" i="13"/>
  <c r="AA32" i="13"/>
  <c r="AA58" i="13"/>
  <c r="AA10" i="13"/>
  <c r="AA62" i="13"/>
  <c r="AA99" i="13"/>
  <c r="AA38" i="13"/>
  <c r="D23" i="5"/>
  <c r="E28" i="18" s="1"/>
  <c r="C24" i="15" s="1"/>
  <c r="AI39" i="14"/>
  <c r="X21" i="13"/>
  <c r="AC21" i="13" s="1"/>
  <c r="X19" i="13"/>
  <c r="AC19" i="13" s="1"/>
  <c r="X13" i="13"/>
  <c r="AC13" i="13" s="1"/>
  <c r="X10" i="13"/>
  <c r="D10" i="5"/>
  <c r="E16" i="18" s="1"/>
  <c r="C10" i="15" s="1"/>
  <c r="D15" i="5"/>
  <c r="E21" i="18" s="1"/>
  <c r="C15" i="15" s="1"/>
  <c r="Y12" i="13"/>
  <c r="AA45" i="13"/>
  <c r="AA101" i="13"/>
  <c r="AA63" i="13"/>
  <c r="AA40" i="13"/>
  <c r="AA57" i="13"/>
  <c r="AA37" i="13"/>
  <c r="AA42" i="13"/>
  <c r="AA103" i="13"/>
  <c r="AA65" i="13"/>
  <c r="V13" i="14"/>
  <c r="AI14" i="14"/>
  <c r="D22" i="5"/>
  <c r="E27" i="18" s="1"/>
  <c r="C23" i="15" s="1"/>
  <c r="X12" i="13"/>
  <c r="AC12" i="13" s="1"/>
  <c r="D41" i="5"/>
  <c r="E44" i="18" s="1"/>
  <c r="C42" i="15" s="1"/>
  <c r="AI38" i="14"/>
  <c r="D26" i="5"/>
  <c r="E31" i="18" s="1"/>
  <c r="C27" i="15" s="1"/>
  <c r="R17" i="18"/>
  <c r="G12" i="18" s="1"/>
  <c r="D6" i="15" s="1"/>
  <c r="AI28" i="14"/>
  <c r="AI34" i="14"/>
  <c r="D12" i="5"/>
  <c r="E18" i="18" s="1"/>
  <c r="C12" i="15" s="1"/>
  <c r="G51" i="14"/>
  <c r="N56" i="14" s="1"/>
  <c r="V23" i="14"/>
  <c r="AI22" i="14"/>
  <c r="D37" i="5"/>
  <c r="E40" i="18" s="1"/>
  <c r="C38" i="15" s="1"/>
  <c r="AI25" i="14"/>
  <c r="AI10" i="14"/>
  <c r="C6" i="5"/>
  <c r="AI15" i="14"/>
  <c r="D42" i="5"/>
  <c r="E45" i="18" s="1"/>
  <c r="C43" i="15" s="1"/>
  <c r="AI13" i="14"/>
  <c r="D9" i="5"/>
  <c r="E15" i="18" s="1"/>
  <c r="C9" i="15" s="1"/>
  <c r="D38" i="5"/>
  <c r="E41" i="18" s="1"/>
  <c r="C39" i="15" s="1"/>
  <c r="AI11" i="14"/>
  <c r="V9" i="14"/>
  <c r="D36" i="5"/>
  <c r="E39" i="18" s="1"/>
  <c r="C37" i="15" s="1"/>
  <c r="AI27" i="14"/>
  <c r="V27" i="14"/>
  <c r="AI9" i="14"/>
  <c r="N48" i="14"/>
  <c r="D11" i="5"/>
  <c r="E17" i="18" s="1"/>
  <c r="C11" i="15" s="1"/>
  <c r="AI24" i="14"/>
  <c r="V24" i="14"/>
  <c r="G49" i="14"/>
  <c r="N44" i="14" s="1"/>
  <c r="D24" i="5"/>
  <c r="E29" i="18" s="1"/>
  <c r="C25" i="15" s="1"/>
  <c r="AI36" i="14"/>
  <c r="G50" i="14"/>
  <c r="V35" i="14"/>
  <c r="V12" i="14"/>
  <c r="D39" i="5"/>
  <c r="E42" i="18" s="1"/>
  <c r="C40" i="15" s="1"/>
  <c r="AI12" i="14"/>
  <c r="G54" i="14"/>
  <c r="D27" i="5"/>
  <c r="E32" i="18" s="1"/>
  <c r="C28" i="15" s="1"/>
  <c r="V38" i="14"/>
  <c r="D14" i="5"/>
  <c r="E20" i="18" s="1"/>
  <c r="C14" i="15" s="1"/>
  <c r="D28" i="5"/>
  <c r="E33" i="18" s="1"/>
  <c r="C29" i="15" s="1"/>
  <c r="V40" i="14"/>
  <c r="G55" i="14"/>
  <c r="AI40" i="14"/>
  <c r="E36" i="18" l="1"/>
  <c r="AA17" i="13"/>
  <c r="AA26" i="13"/>
  <c r="Z23" i="13"/>
  <c r="N47" i="14"/>
  <c r="G24" i="18"/>
  <c r="D20" i="15" s="1"/>
  <c r="AC10" i="13"/>
  <c r="Z15" i="13" s="1"/>
  <c r="AA25" i="13"/>
  <c r="Z24" i="13"/>
  <c r="N46" i="14"/>
  <c r="AA16" i="13"/>
  <c r="E12" i="18"/>
  <c r="N54" i="14"/>
  <c r="N49" i="14"/>
  <c r="N59" i="14"/>
  <c r="N55" i="14"/>
  <c r="N45" i="14"/>
  <c r="V178" i="13" l="1"/>
  <c r="Y178" i="13" s="1"/>
  <c r="V174" i="13"/>
  <c r="Y174" i="13" s="1"/>
  <c r="V170" i="13"/>
  <c r="Y170" i="13" s="1"/>
  <c r="V155" i="13"/>
  <c r="Y155" i="13" s="1"/>
  <c r="V153" i="13"/>
  <c r="Y153" i="13" s="1"/>
  <c r="V151" i="13"/>
  <c r="Y151" i="13" s="1"/>
  <c r="V149" i="13"/>
  <c r="Y149" i="13" s="1"/>
  <c r="V134" i="13"/>
  <c r="Y134" i="13" s="1"/>
  <c r="V177" i="13"/>
  <c r="Y177" i="13" s="1"/>
  <c r="V173" i="13"/>
  <c r="Y173" i="13" s="1"/>
  <c r="V157" i="13"/>
  <c r="Y157" i="13" s="1"/>
  <c r="V133" i="13"/>
  <c r="Y133" i="13" s="1"/>
  <c r="V131" i="13"/>
  <c r="Y131" i="13" s="1"/>
  <c r="V129" i="13"/>
  <c r="Y129" i="13" s="1"/>
  <c r="V127" i="13"/>
  <c r="Y127" i="13" s="1"/>
  <c r="V176" i="13"/>
  <c r="Y176" i="13" s="1"/>
  <c r="V172" i="13"/>
  <c r="Y172" i="13" s="1"/>
  <c r="V156" i="13"/>
  <c r="Y156" i="13" s="1"/>
  <c r="AB156" i="13" s="1"/>
  <c r="V154" i="13"/>
  <c r="Y154" i="13" s="1"/>
  <c r="V152" i="13"/>
  <c r="Y152" i="13" s="1"/>
  <c r="V150" i="13"/>
  <c r="Y150" i="13" s="1"/>
  <c r="V148" i="13"/>
  <c r="Y148" i="13" s="1"/>
  <c r="V135" i="13"/>
  <c r="Y135" i="13" s="1"/>
  <c r="V179" i="13"/>
  <c r="Y179" i="13" s="1"/>
  <c r="V175" i="13"/>
  <c r="Y175" i="13" s="1"/>
  <c r="V171" i="13"/>
  <c r="Y171" i="13" s="1"/>
  <c r="V132" i="13"/>
  <c r="Y132" i="13" s="1"/>
  <c r="V130" i="13"/>
  <c r="Y130" i="13" s="1"/>
  <c r="V128" i="13"/>
  <c r="Y128" i="13" s="1"/>
  <c r="V126" i="13"/>
  <c r="Y126" i="13" s="1"/>
  <c r="V168" i="13"/>
  <c r="Y168" i="13" s="1"/>
  <c r="V166" i="13"/>
  <c r="Y166" i="13" s="1"/>
  <c r="V164" i="13"/>
  <c r="Y164" i="13" s="1"/>
  <c r="AC164" i="13" s="1"/>
  <c r="V162" i="13"/>
  <c r="Y162" i="13" s="1"/>
  <c r="V145" i="13"/>
  <c r="Y145" i="13" s="1"/>
  <c r="V143" i="13"/>
  <c r="Y143" i="13" s="1"/>
  <c r="V141" i="13"/>
  <c r="Y141" i="13" s="1"/>
  <c r="V123" i="13"/>
  <c r="Y123" i="13" s="1"/>
  <c r="AC123" i="13" s="1"/>
  <c r="V121" i="13"/>
  <c r="Y121" i="13" s="1"/>
  <c r="V119" i="13"/>
  <c r="Y119" i="13" s="1"/>
  <c r="V146" i="13"/>
  <c r="Y146" i="13" s="1"/>
  <c r="V167" i="13"/>
  <c r="Y167" i="13" s="1"/>
  <c r="AC167" i="13" s="1"/>
  <c r="V165" i="13"/>
  <c r="Y165" i="13" s="1"/>
  <c r="V163" i="13"/>
  <c r="Y163" i="13" s="1"/>
  <c r="V144" i="13"/>
  <c r="Y144" i="13" s="1"/>
  <c r="AC144" i="13" s="1"/>
  <c r="V142" i="13"/>
  <c r="Y142" i="13" s="1"/>
  <c r="AC142" i="13" s="1"/>
  <c r="V140" i="13"/>
  <c r="Y140" i="13" s="1"/>
  <c r="V124" i="13"/>
  <c r="Y124" i="13" s="1"/>
  <c r="V122" i="13"/>
  <c r="Y122" i="13" s="1"/>
  <c r="AC122" i="13" s="1"/>
  <c r="V120" i="13"/>
  <c r="Y120" i="13" s="1"/>
  <c r="AC120" i="13" s="1"/>
  <c r="V118" i="13"/>
  <c r="Y118" i="13" s="1"/>
  <c r="U176" i="13"/>
  <c r="T176" i="13" s="1"/>
  <c r="W176" i="13" s="1"/>
  <c r="X176" i="13" s="1"/>
  <c r="U172" i="13"/>
  <c r="T172" i="13" s="1"/>
  <c r="W172" i="13" s="1"/>
  <c r="X172" i="13" s="1"/>
  <c r="U167" i="13"/>
  <c r="T167" i="13" s="1"/>
  <c r="W167" i="13" s="1"/>
  <c r="X167" i="13" s="1"/>
  <c r="U163" i="13"/>
  <c r="T163" i="13" s="1"/>
  <c r="W163" i="13" s="1"/>
  <c r="X163" i="13" s="1"/>
  <c r="U134" i="13"/>
  <c r="T134" i="13" s="1"/>
  <c r="W134" i="13" s="1"/>
  <c r="X134" i="13" s="1"/>
  <c r="U156" i="13"/>
  <c r="T156" i="13" s="1"/>
  <c r="W156" i="13" s="1"/>
  <c r="X156" i="13" s="1"/>
  <c r="U145" i="13"/>
  <c r="T145" i="13" s="1"/>
  <c r="W145" i="13" s="1"/>
  <c r="X145" i="13" s="1"/>
  <c r="U142" i="13"/>
  <c r="T142" i="13" s="1"/>
  <c r="W142" i="13" s="1"/>
  <c r="X142" i="13" s="1"/>
  <c r="U141" i="13"/>
  <c r="T141" i="13" s="1"/>
  <c r="W141" i="13" s="1"/>
  <c r="X141" i="13" s="1"/>
  <c r="U140" i="13"/>
  <c r="T140" i="13" s="1"/>
  <c r="W140" i="13" s="1"/>
  <c r="X140" i="13" s="1"/>
  <c r="U177" i="13"/>
  <c r="T177" i="13" s="1"/>
  <c r="W177" i="13" s="1"/>
  <c r="X177" i="13" s="1"/>
  <c r="U173" i="13"/>
  <c r="T173" i="13" s="1"/>
  <c r="W173" i="13" s="1"/>
  <c r="X173" i="13" s="1"/>
  <c r="U166" i="13"/>
  <c r="T166" i="13" s="1"/>
  <c r="W166" i="13" s="1"/>
  <c r="X166" i="13" s="1"/>
  <c r="U162" i="13"/>
  <c r="T162" i="13" s="1"/>
  <c r="W162" i="13" s="1"/>
  <c r="X162" i="13" s="1"/>
  <c r="U157" i="13"/>
  <c r="T157" i="13" s="1"/>
  <c r="W157" i="13" s="1"/>
  <c r="X157" i="13" s="1"/>
  <c r="U135" i="13"/>
  <c r="T135" i="13" s="1"/>
  <c r="W135" i="13" s="1"/>
  <c r="X135" i="13" s="1"/>
  <c r="U171" i="13"/>
  <c r="T171" i="13" s="1"/>
  <c r="W171" i="13" s="1"/>
  <c r="X171" i="13" s="1"/>
  <c r="U168" i="13"/>
  <c r="T168" i="13" s="1"/>
  <c r="W168" i="13" s="1"/>
  <c r="X168" i="13" s="1"/>
  <c r="U144" i="13"/>
  <c r="T144" i="13" s="1"/>
  <c r="W144" i="13" s="1"/>
  <c r="X144" i="13" s="1"/>
  <c r="U178" i="13"/>
  <c r="T178" i="13" s="1"/>
  <c r="W178" i="13" s="1"/>
  <c r="X178" i="13" s="1"/>
  <c r="U174" i="13"/>
  <c r="T174" i="13" s="1"/>
  <c r="W174" i="13" s="1"/>
  <c r="X174" i="13" s="1"/>
  <c r="U170" i="13"/>
  <c r="T170" i="13" s="1"/>
  <c r="W170" i="13" s="1"/>
  <c r="X170" i="13" s="1"/>
  <c r="U165" i="13"/>
  <c r="T165" i="13" s="1"/>
  <c r="W165" i="13" s="1"/>
  <c r="X165" i="13" s="1"/>
  <c r="U155" i="13"/>
  <c r="T155" i="13" s="1"/>
  <c r="W155" i="13" s="1"/>
  <c r="X155" i="13" s="1"/>
  <c r="U154" i="13"/>
  <c r="T154" i="13" s="1"/>
  <c r="W154" i="13" s="1"/>
  <c r="X154" i="13" s="1"/>
  <c r="U153" i="13"/>
  <c r="T153" i="13" s="1"/>
  <c r="W153" i="13" s="1"/>
  <c r="X153" i="13" s="1"/>
  <c r="U152" i="13"/>
  <c r="T152" i="13" s="1"/>
  <c r="W152" i="13" s="1"/>
  <c r="X152" i="13" s="1"/>
  <c r="U151" i="13"/>
  <c r="T151" i="13" s="1"/>
  <c r="W151" i="13" s="1"/>
  <c r="X151" i="13" s="1"/>
  <c r="U150" i="13"/>
  <c r="T150" i="13" s="1"/>
  <c r="W150" i="13" s="1"/>
  <c r="X150" i="13" s="1"/>
  <c r="U149" i="13"/>
  <c r="T149" i="13" s="1"/>
  <c r="W149" i="13" s="1"/>
  <c r="X149" i="13" s="1"/>
  <c r="U148" i="13"/>
  <c r="T148" i="13" s="1"/>
  <c r="W148" i="13" s="1"/>
  <c r="X148" i="13" s="1"/>
  <c r="U146" i="13"/>
  <c r="T146" i="13" s="1"/>
  <c r="W146" i="13" s="1"/>
  <c r="X146" i="13" s="1"/>
  <c r="U133" i="13"/>
  <c r="T133" i="13" s="1"/>
  <c r="W133" i="13" s="1"/>
  <c r="X133" i="13" s="1"/>
  <c r="U132" i="13"/>
  <c r="T132" i="13" s="1"/>
  <c r="W132" i="13" s="1"/>
  <c r="X132" i="13" s="1"/>
  <c r="U131" i="13"/>
  <c r="T131" i="13" s="1"/>
  <c r="W131" i="13" s="1"/>
  <c r="X131" i="13" s="1"/>
  <c r="U130" i="13"/>
  <c r="T130" i="13" s="1"/>
  <c r="W130" i="13" s="1"/>
  <c r="X130" i="13" s="1"/>
  <c r="U129" i="13"/>
  <c r="T129" i="13" s="1"/>
  <c r="W129" i="13" s="1"/>
  <c r="X129" i="13" s="1"/>
  <c r="U128" i="13"/>
  <c r="T128" i="13" s="1"/>
  <c r="W128" i="13" s="1"/>
  <c r="X128" i="13" s="1"/>
  <c r="U127" i="13"/>
  <c r="T127" i="13" s="1"/>
  <c r="W127" i="13" s="1"/>
  <c r="X127" i="13" s="1"/>
  <c r="U126" i="13"/>
  <c r="T126" i="13" s="1"/>
  <c r="W126" i="13" s="1"/>
  <c r="X126" i="13" s="1"/>
  <c r="U124" i="13"/>
  <c r="T124" i="13" s="1"/>
  <c r="W124" i="13" s="1"/>
  <c r="X124" i="13" s="1"/>
  <c r="U123" i="13"/>
  <c r="T123" i="13" s="1"/>
  <c r="W123" i="13" s="1"/>
  <c r="X123" i="13" s="1"/>
  <c r="U122" i="13"/>
  <c r="T122" i="13" s="1"/>
  <c r="W122" i="13" s="1"/>
  <c r="X122" i="13" s="1"/>
  <c r="U121" i="13"/>
  <c r="T121" i="13" s="1"/>
  <c r="W121" i="13" s="1"/>
  <c r="X121" i="13" s="1"/>
  <c r="U120" i="13"/>
  <c r="T120" i="13" s="1"/>
  <c r="W120" i="13" s="1"/>
  <c r="X120" i="13" s="1"/>
  <c r="U119" i="13"/>
  <c r="T119" i="13" s="1"/>
  <c r="W119" i="13" s="1"/>
  <c r="X119" i="13" s="1"/>
  <c r="U179" i="13"/>
  <c r="T179" i="13" s="1"/>
  <c r="W179" i="13" s="1"/>
  <c r="X179" i="13" s="1"/>
  <c r="U175" i="13"/>
  <c r="T175" i="13" s="1"/>
  <c r="W175" i="13" s="1"/>
  <c r="X175" i="13" s="1"/>
  <c r="U164" i="13"/>
  <c r="T164" i="13" s="1"/>
  <c r="W164" i="13" s="1"/>
  <c r="X164" i="13" s="1"/>
  <c r="U143" i="13"/>
  <c r="T143" i="13" s="1"/>
  <c r="W143" i="13" s="1"/>
  <c r="X143" i="13" s="1"/>
  <c r="U118" i="13"/>
  <c r="T118" i="13" s="1"/>
  <c r="W118" i="13" s="1"/>
  <c r="X118" i="13" s="1"/>
  <c r="V113" i="13"/>
  <c r="Y113" i="13" s="1"/>
  <c r="V114" i="13"/>
  <c r="Y114" i="13" s="1"/>
  <c r="V112" i="13"/>
  <c r="Y112" i="13" s="1"/>
  <c r="U113" i="13"/>
  <c r="T113" i="13" s="1"/>
  <c r="W113" i="13" s="1"/>
  <c r="X113" i="13" s="1"/>
  <c r="U114" i="13"/>
  <c r="T114" i="13" s="1"/>
  <c r="W114" i="13" s="1"/>
  <c r="X114" i="13" s="1"/>
  <c r="U112" i="13"/>
  <c r="T112" i="13" s="1"/>
  <c r="W112" i="13" s="1"/>
  <c r="X112" i="13" s="1"/>
  <c r="V79" i="13"/>
  <c r="Y79" i="13" s="1"/>
  <c r="V75" i="13"/>
  <c r="Y75" i="13" s="1"/>
  <c r="V80" i="13"/>
  <c r="Y80" i="13" s="1"/>
  <c r="V76" i="13"/>
  <c r="Y76" i="13" s="1"/>
  <c r="V78" i="13"/>
  <c r="Y78" i="13" s="1"/>
  <c r="V81" i="13"/>
  <c r="Y81" i="13" s="1"/>
  <c r="V77" i="13"/>
  <c r="Y77" i="13" s="1"/>
  <c r="V37" i="13"/>
  <c r="Y37" i="13" s="1"/>
  <c r="U91" i="13"/>
  <c r="T91" i="13" s="1"/>
  <c r="W91" i="13" s="1"/>
  <c r="X91" i="13" s="1"/>
  <c r="U89" i="13"/>
  <c r="T89" i="13" s="1"/>
  <c r="W89" i="13" s="1"/>
  <c r="X89" i="13" s="1"/>
  <c r="U85" i="13"/>
  <c r="T85" i="13" s="1"/>
  <c r="W85" i="13" s="1"/>
  <c r="X85" i="13" s="1"/>
  <c r="U80" i="13"/>
  <c r="T80" i="13" s="1"/>
  <c r="W80" i="13" s="1"/>
  <c r="X80" i="13" s="1"/>
  <c r="U76" i="13"/>
  <c r="T76" i="13" s="1"/>
  <c r="W76" i="13" s="1"/>
  <c r="X76" i="13" s="1"/>
  <c r="U90" i="13"/>
  <c r="T90" i="13" s="1"/>
  <c r="W90" i="13" s="1"/>
  <c r="X90" i="13" s="1"/>
  <c r="U86" i="13"/>
  <c r="T86" i="13" s="1"/>
  <c r="W86" i="13" s="1"/>
  <c r="X86" i="13" s="1"/>
  <c r="U81" i="13"/>
  <c r="T81" i="13" s="1"/>
  <c r="W81" i="13" s="1"/>
  <c r="X81" i="13" s="1"/>
  <c r="U77" i="13"/>
  <c r="T77" i="13" s="1"/>
  <c r="W77" i="13" s="1"/>
  <c r="X77" i="13" s="1"/>
  <c r="U92" i="13"/>
  <c r="T92" i="13" s="1"/>
  <c r="W92" i="13" s="1"/>
  <c r="X92" i="13" s="1"/>
  <c r="U88" i="13"/>
  <c r="T88" i="13" s="1"/>
  <c r="W88" i="13" s="1"/>
  <c r="X88" i="13" s="1"/>
  <c r="U84" i="13"/>
  <c r="T84" i="13" s="1"/>
  <c r="W84" i="13" s="1"/>
  <c r="X84" i="13" s="1"/>
  <c r="U79" i="13"/>
  <c r="T79" i="13" s="1"/>
  <c r="W79" i="13" s="1"/>
  <c r="X79" i="13" s="1"/>
  <c r="U75" i="13"/>
  <c r="T75" i="13" s="1"/>
  <c r="W75" i="13" s="1"/>
  <c r="X75" i="13" s="1"/>
  <c r="U87" i="13"/>
  <c r="T87" i="13" s="1"/>
  <c r="W87" i="13" s="1"/>
  <c r="X87" i="13" s="1"/>
  <c r="U83" i="13"/>
  <c r="T83" i="13" s="1"/>
  <c r="W83" i="13" s="1"/>
  <c r="X83" i="13" s="1"/>
  <c r="U78" i="13"/>
  <c r="T78" i="13" s="1"/>
  <c r="W78" i="13" s="1"/>
  <c r="X78" i="13" s="1"/>
  <c r="V70" i="13"/>
  <c r="Y70" i="13" s="1"/>
  <c r="V92" i="13"/>
  <c r="Y92" i="13" s="1"/>
  <c r="V88" i="13"/>
  <c r="Y88" i="13" s="1"/>
  <c r="V84" i="13"/>
  <c r="Y84" i="13" s="1"/>
  <c r="V86" i="13"/>
  <c r="Y86" i="13" s="1"/>
  <c r="V85" i="13"/>
  <c r="Y85" i="13" s="1"/>
  <c r="V87" i="13"/>
  <c r="Y87" i="13" s="1"/>
  <c r="V83" i="13"/>
  <c r="Y83" i="13" s="1"/>
  <c r="V90" i="13"/>
  <c r="Y90" i="13" s="1"/>
  <c r="V91" i="13"/>
  <c r="Y91" i="13" s="1"/>
  <c r="V89" i="13"/>
  <c r="Y89" i="13" s="1"/>
  <c r="V103" i="13"/>
  <c r="Y103" i="13" s="1"/>
  <c r="V36" i="13"/>
  <c r="Y36" i="13" s="1"/>
  <c r="V44" i="13"/>
  <c r="Y44" i="13" s="1"/>
  <c r="V45" i="13"/>
  <c r="Y45" i="13" s="1"/>
  <c r="AC37" i="13" s="1"/>
  <c r="H14" i="14" s="1"/>
  <c r="V67" i="13"/>
  <c r="Y67" i="13" s="1"/>
  <c r="V43" i="13"/>
  <c r="Y43" i="13" s="1"/>
  <c r="V54" i="13"/>
  <c r="Y54" i="13" s="1"/>
  <c r="V109" i="13"/>
  <c r="Y109" i="13" s="1"/>
  <c r="V46" i="13"/>
  <c r="Y46" i="13" s="1"/>
  <c r="V35" i="13"/>
  <c r="Y35" i="13" s="1"/>
  <c r="V58" i="13"/>
  <c r="Y58" i="13" s="1"/>
  <c r="V33" i="13"/>
  <c r="Y33" i="13" s="1"/>
  <c r="V56" i="13"/>
  <c r="Y56" i="13" s="1"/>
  <c r="V57" i="13"/>
  <c r="Y57" i="13" s="1"/>
  <c r="V99" i="13"/>
  <c r="Y99" i="13" s="1"/>
  <c r="V102" i="13"/>
  <c r="Y102" i="13" s="1"/>
  <c r="V101" i="13"/>
  <c r="Y101" i="13" s="1"/>
  <c r="V98" i="13"/>
  <c r="Y98" i="13" s="1"/>
  <c r="V55" i="13"/>
  <c r="Y55" i="13" s="1"/>
  <c r="V100" i="13"/>
  <c r="Y100" i="13" s="1"/>
  <c r="V97" i="13"/>
  <c r="Y97" i="13" s="1"/>
  <c r="V59" i="13"/>
  <c r="Y59" i="13" s="1"/>
  <c r="V32" i="13"/>
  <c r="Y32" i="13" s="1"/>
  <c r="V38" i="13"/>
  <c r="Y38" i="13" s="1"/>
  <c r="V53" i="13"/>
  <c r="Y53" i="13" s="1"/>
  <c r="V34" i="13"/>
  <c r="Y34" i="13" s="1"/>
  <c r="V41" i="13"/>
  <c r="Y41" i="13" s="1"/>
  <c r="V111" i="13"/>
  <c r="Y111" i="13" s="1"/>
  <c r="V66" i="13"/>
  <c r="Y66" i="13" s="1"/>
  <c r="AC58" i="13" s="1"/>
  <c r="H27" i="14" s="1"/>
  <c r="V61" i="13"/>
  <c r="Y61" i="13" s="1"/>
  <c r="V62" i="13"/>
  <c r="Y62" i="13" s="1"/>
  <c r="V108" i="13"/>
  <c r="Y108" i="13" s="1"/>
  <c r="U110" i="13"/>
  <c r="T110" i="13" s="1"/>
  <c r="W110" i="13" s="1"/>
  <c r="X110" i="13" s="1"/>
  <c r="V110" i="13"/>
  <c r="Y110" i="13" s="1"/>
  <c r="V65" i="13"/>
  <c r="Y65" i="13" s="1"/>
  <c r="V105" i="13"/>
  <c r="Y105" i="13" s="1"/>
  <c r="V68" i="13"/>
  <c r="Y68" i="13" s="1"/>
  <c r="V42" i="13"/>
  <c r="Y42" i="13" s="1"/>
  <c r="AC34" i="13" s="1"/>
  <c r="H11" i="14" s="1"/>
  <c r="V106" i="13"/>
  <c r="Y106" i="13" s="1"/>
  <c r="V47" i="13"/>
  <c r="Y47" i="13" s="1"/>
  <c r="V63" i="13"/>
  <c r="Y63" i="13" s="1"/>
  <c r="V69" i="13"/>
  <c r="Y69" i="13" s="1"/>
  <c r="V64" i="13"/>
  <c r="Y64" i="13" s="1"/>
  <c r="V48" i="13"/>
  <c r="Y48" i="13" s="1"/>
  <c r="V107" i="13"/>
  <c r="Y107" i="13" s="1"/>
  <c r="V40" i="13"/>
  <c r="Y40" i="13" s="1"/>
  <c r="U70" i="13"/>
  <c r="T70" i="13" s="1"/>
  <c r="W70" i="13" s="1"/>
  <c r="X70" i="13" s="1"/>
  <c r="U64" i="13"/>
  <c r="T64" i="13" s="1"/>
  <c r="W64" i="13" s="1"/>
  <c r="X64" i="13" s="1"/>
  <c r="Z14" i="13"/>
  <c r="U109" i="13"/>
  <c r="T109" i="13" s="1"/>
  <c r="W109" i="13" s="1"/>
  <c r="X109" i="13" s="1"/>
  <c r="U34" i="13"/>
  <c r="T34" i="13" s="1"/>
  <c r="W34" i="13" s="1"/>
  <c r="X34" i="13" s="1"/>
  <c r="Z28" i="13"/>
  <c r="U45" i="13"/>
  <c r="T45" i="13" s="1"/>
  <c r="W45" i="13" s="1"/>
  <c r="X45" i="13" s="1"/>
  <c r="U36" i="13"/>
  <c r="T36" i="13" s="1"/>
  <c r="W36" i="13" s="1"/>
  <c r="X36" i="13" s="1"/>
  <c r="U41" i="13"/>
  <c r="T41" i="13" s="1"/>
  <c r="W41" i="13" s="1"/>
  <c r="X41" i="13" s="1"/>
  <c r="U105" i="13"/>
  <c r="T105" i="13" s="1"/>
  <c r="W105" i="13" s="1"/>
  <c r="X105" i="13" s="1"/>
  <c r="U65" i="13"/>
  <c r="T65" i="13" s="1"/>
  <c r="W65" i="13" s="1"/>
  <c r="X65" i="13" s="1"/>
  <c r="U106" i="13"/>
  <c r="T106" i="13" s="1"/>
  <c r="W106" i="13" s="1"/>
  <c r="X106" i="13" s="1"/>
  <c r="U58" i="13"/>
  <c r="T58" i="13" s="1"/>
  <c r="W58" i="13" s="1"/>
  <c r="X58" i="13" s="1"/>
  <c r="U47" i="13"/>
  <c r="T47" i="13" s="1"/>
  <c r="W47" i="13" s="1"/>
  <c r="X47" i="13" s="1"/>
  <c r="U67" i="13"/>
  <c r="T67" i="13" s="1"/>
  <c r="W67" i="13" s="1"/>
  <c r="X67" i="13" s="1"/>
  <c r="U100" i="13"/>
  <c r="T100" i="13" s="1"/>
  <c r="W100" i="13" s="1"/>
  <c r="X100" i="13" s="1"/>
  <c r="U54" i="13"/>
  <c r="T54" i="13" s="1"/>
  <c r="W54" i="13" s="1"/>
  <c r="X54" i="13" s="1"/>
  <c r="U102" i="13"/>
  <c r="T102" i="13" s="1"/>
  <c r="W102" i="13" s="1"/>
  <c r="X102" i="13" s="1"/>
  <c r="U97" i="13"/>
  <c r="T97" i="13" s="1"/>
  <c r="W97" i="13" s="1"/>
  <c r="X97" i="13" s="1"/>
  <c r="U103" i="13"/>
  <c r="T103" i="13" s="1"/>
  <c r="W103" i="13" s="1"/>
  <c r="X103" i="13" s="1"/>
  <c r="U53" i="13"/>
  <c r="T53" i="13" s="1"/>
  <c r="W53" i="13" s="1"/>
  <c r="X53" i="13" s="1"/>
  <c r="U37" i="13"/>
  <c r="T37" i="13" s="1"/>
  <c r="W37" i="13" s="1"/>
  <c r="X37" i="13" s="1"/>
  <c r="U46" i="13"/>
  <c r="T46" i="13" s="1"/>
  <c r="W46" i="13" s="1"/>
  <c r="X46" i="13" s="1"/>
  <c r="U43" i="13"/>
  <c r="T43" i="13" s="1"/>
  <c r="W43" i="13" s="1"/>
  <c r="X43" i="13" s="1"/>
  <c r="U55" i="13"/>
  <c r="T55" i="13" s="1"/>
  <c r="W55" i="13" s="1"/>
  <c r="X55" i="13" s="1"/>
  <c r="U44" i="13"/>
  <c r="T44" i="13" s="1"/>
  <c r="W44" i="13" s="1"/>
  <c r="X44" i="13" s="1"/>
  <c r="U99" i="13"/>
  <c r="T99" i="13" s="1"/>
  <c r="W99" i="13" s="1"/>
  <c r="X99" i="13" s="1"/>
  <c r="U40" i="13"/>
  <c r="T40" i="13" s="1"/>
  <c r="W40" i="13" s="1"/>
  <c r="X40" i="13" s="1"/>
  <c r="U101" i="13"/>
  <c r="T101" i="13" s="1"/>
  <c r="W101" i="13" s="1"/>
  <c r="X101" i="13" s="1"/>
  <c r="U111" i="13"/>
  <c r="T111" i="13" s="1"/>
  <c r="W111" i="13" s="1"/>
  <c r="X111" i="13" s="1"/>
  <c r="U108" i="13"/>
  <c r="T108" i="13" s="1"/>
  <c r="W108" i="13" s="1"/>
  <c r="X108" i="13" s="1"/>
  <c r="U57" i="13"/>
  <c r="T57" i="13" s="1"/>
  <c r="W57" i="13" s="1"/>
  <c r="X57" i="13" s="1"/>
  <c r="U107" i="13"/>
  <c r="T107" i="13" s="1"/>
  <c r="W107" i="13" s="1"/>
  <c r="X107" i="13" s="1"/>
  <c r="U61" i="13"/>
  <c r="T61" i="13" s="1"/>
  <c r="W61" i="13" s="1"/>
  <c r="X61" i="13" s="1"/>
  <c r="U56" i="13"/>
  <c r="T56" i="13" s="1"/>
  <c r="W56" i="13" s="1"/>
  <c r="X56" i="13" s="1"/>
  <c r="U38" i="13"/>
  <c r="T38" i="13" s="1"/>
  <c r="W38" i="13" s="1"/>
  <c r="X38" i="13" s="1"/>
  <c r="U32" i="13"/>
  <c r="T32" i="13" s="1"/>
  <c r="W32" i="13" s="1"/>
  <c r="X32" i="13" s="1"/>
  <c r="U63" i="13"/>
  <c r="T63" i="13" s="1"/>
  <c r="W63" i="13" s="1"/>
  <c r="X63" i="13" s="1"/>
  <c r="U98" i="13"/>
  <c r="T98" i="13" s="1"/>
  <c r="W98" i="13" s="1"/>
  <c r="X98" i="13" s="1"/>
  <c r="U69" i="13"/>
  <c r="T69" i="13" s="1"/>
  <c r="W69" i="13" s="1"/>
  <c r="X69" i="13" s="1"/>
  <c r="U33" i="13"/>
  <c r="T33" i="13" s="1"/>
  <c r="W33" i="13" s="1"/>
  <c r="X33" i="13" s="1"/>
  <c r="U59" i="13"/>
  <c r="T59" i="13" s="1"/>
  <c r="W59" i="13" s="1"/>
  <c r="X59" i="13" s="1"/>
  <c r="U35" i="13"/>
  <c r="T35" i="13" s="1"/>
  <c r="W35" i="13" s="1"/>
  <c r="X35" i="13" s="1"/>
  <c r="U48" i="13"/>
  <c r="T48" i="13" s="1"/>
  <c r="W48" i="13" s="1"/>
  <c r="X48" i="13" s="1"/>
  <c r="U66" i="13"/>
  <c r="T66" i="13" s="1"/>
  <c r="W66" i="13" s="1"/>
  <c r="X66" i="13" s="1"/>
  <c r="U62" i="13"/>
  <c r="T62" i="13" s="1"/>
  <c r="W62" i="13" s="1"/>
  <c r="X62" i="13" s="1"/>
  <c r="U42" i="13"/>
  <c r="T42" i="13" s="1"/>
  <c r="W42" i="13" s="1"/>
  <c r="X42" i="13" s="1"/>
  <c r="U68" i="13"/>
  <c r="T68" i="13" s="1"/>
  <c r="W68" i="13" s="1"/>
  <c r="X68" i="13" s="1"/>
  <c r="AC118" i="13" l="1"/>
  <c r="AC140" i="13"/>
  <c r="AC165" i="13"/>
  <c r="AC121" i="13"/>
  <c r="AC145" i="13"/>
  <c r="AC168" i="13"/>
  <c r="AC162" i="13"/>
  <c r="AC146" i="13"/>
  <c r="AC141" i="13"/>
  <c r="AB178" i="13"/>
  <c r="AC124" i="13"/>
  <c r="AC163" i="13"/>
  <c r="AC119" i="13"/>
  <c r="AC143" i="13"/>
  <c r="AC166" i="13"/>
  <c r="AB134" i="13"/>
  <c r="AA178" i="13"/>
  <c r="AA113" i="13"/>
  <c r="AA156" i="13"/>
  <c r="Z165" i="13"/>
  <c r="AB165" i="13" s="1"/>
  <c r="Z154" i="13"/>
  <c r="Z153" i="13"/>
  <c r="Z152" i="13"/>
  <c r="Z151" i="13"/>
  <c r="Z150" i="13"/>
  <c r="Z149" i="13"/>
  <c r="Z148" i="13"/>
  <c r="Z146" i="13"/>
  <c r="AB146" i="13" s="1"/>
  <c r="Z145" i="13"/>
  <c r="AB145" i="13" s="1"/>
  <c r="Z132" i="13"/>
  <c r="Z131" i="13"/>
  <c r="Z130" i="13"/>
  <c r="Z129" i="13"/>
  <c r="Z128" i="13"/>
  <c r="Z127" i="13"/>
  <c r="Z126" i="13"/>
  <c r="Z124" i="13"/>
  <c r="AB124" i="13" s="1"/>
  <c r="Z123" i="13"/>
  <c r="AB123" i="13" s="1"/>
  <c r="Z122" i="13"/>
  <c r="AB122" i="13" s="1"/>
  <c r="Z121" i="13"/>
  <c r="AB121" i="13" s="1"/>
  <c r="Z120" i="13"/>
  <c r="AB120" i="13" s="1"/>
  <c r="Z119" i="13"/>
  <c r="AB119" i="13" s="1"/>
  <c r="Z168" i="13"/>
  <c r="AB168" i="13" s="1"/>
  <c r="Z164" i="13"/>
  <c r="AB164" i="13" s="1"/>
  <c r="Z144" i="13"/>
  <c r="AB144" i="13" s="1"/>
  <c r="Z143" i="13"/>
  <c r="AB143" i="13" s="1"/>
  <c r="Z142" i="13"/>
  <c r="Z141" i="13"/>
  <c r="AB141" i="13" s="1"/>
  <c r="Z140" i="13"/>
  <c r="AB140" i="13" s="1"/>
  <c r="Z118" i="13"/>
  <c r="AB118" i="13" s="1"/>
  <c r="Z166" i="13"/>
  <c r="AB166" i="13" s="1"/>
  <c r="Z167" i="13"/>
  <c r="AB167" i="13" s="1"/>
  <c r="Z163" i="13"/>
  <c r="AB163" i="13" s="1"/>
  <c r="Z162" i="13"/>
  <c r="AB162" i="13" s="1"/>
  <c r="AB142" i="13"/>
  <c r="AA134" i="13"/>
  <c r="AC59" i="13"/>
  <c r="H28" i="14" s="1"/>
  <c r="AC76" i="13"/>
  <c r="AC103" i="13"/>
  <c r="AC38" i="13"/>
  <c r="H15" i="14" s="1"/>
  <c r="AC35" i="13"/>
  <c r="H12" i="14" s="1"/>
  <c r="AB113" i="13"/>
  <c r="AC36" i="13"/>
  <c r="H13" i="14" s="1"/>
  <c r="AB91" i="13"/>
  <c r="AA91" i="13"/>
  <c r="AC78" i="13"/>
  <c r="AC77" i="13"/>
  <c r="AC80" i="13"/>
  <c r="AB69" i="13"/>
  <c r="AC57" i="13"/>
  <c r="H26" i="14" s="1"/>
  <c r="AC54" i="13"/>
  <c r="H23" i="14" s="1"/>
  <c r="AC81" i="13"/>
  <c r="AC75" i="13"/>
  <c r="AA69" i="13"/>
  <c r="Z56" i="13"/>
  <c r="AB56" i="13" s="1"/>
  <c r="G25" i="14" s="1"/>
  <c r="Z87" i="13"/>
  <c r="Z76" i="13"/>
  <c r="AB76" i="13" s="1"/>
  <c r="Z81" i="13"/>
  <c r="AB81" i="13" s="1"/>
  <c r="Z88" i="13"/>
  <c r="Z86" i="13"/>
  <c r="Z85" i="13"/>
  <c r="Z83" i="13"/>
  <c r="Z79" i="13"/>
  <c r="AB79" i="13" s="1"/>
  <c r="Z77" i="13"/>
  <c r="AB77" i="13" s="1"/>
  <c r="Z84" i="13"/>
  <c r="Z78" i="13"/>
  <c r="AB78" i="13" s="1"/>
  <c r="Z75" i="13"/>
  <c r="AB75" i="13" s="1"/>
  <c r="Z89" i="13"/>
  <c r="Z80" i="13"/>
  <c r="AB80" i="13" s="1"/>
  <c r="AC79" i="13"/>
  <c r="AC101" i="13"/>
  <c r="AC56" i="13"/>
  <c r="H25" i="14" s="1"/>
  <c r="AC100" i="13"/>
  <c r="AC102" i="13"/>
  <c r="AC53" i="13"/>
  <c r="H22" i="14" s="1"/>
  <c r="AC33" i="13"/>
  <c r="H10" i="14" s="1"/>
  <c r="AC99" i="13"/>
  <c r="AC32" i="13"/>
  <c r="H9" i="14" s="1"/>
  <c r="AC55" i="13"/>
  <c r="H24" i="14" s="1"/>
  <c r="AC97" i="13"/>
  <c r="AC98" i="13"/>
  <c r="Z58" i="13"/>
  <c r="AB58" i="13" s="1"/>
  <c r="G27" i="14" s="1"/>
  <c r="Z62" i="13"/>
  <c r="Z41" i="13"/>
  <c r="AA48" i="13"/>
  <c r="Z34" i="13"/>
  <c r="AB34" i="13" s="1"/>
  <c r="Z45" i="13"/>
  <c r="Z38" i="13"/>
  <c r="AB38" i="13" s="1"/>
  <c r="Z57" i="13"/>
  <c r="AB57" i="13" s="1"/>
  <c r="G26" i="14" s="1"/>
  <c r="Z55" i="13"/>
  <c r="AB55" i="13" s="1"/>
  <c r="G24" i="14" s="1"/>
  <c r="Z36" i="13"/>
  <c r="AB36" i="13" s="1"/>
  <c r="Z44" i="13"/>
  <c r="Z35" i="13"/>
  <c r="AB35" i="13" s="1"/>
  <c r="G12" i="14" s="1"/>
  <c r="Z46" i="13"/>
  <c r="AB48" i="13"/>
  <c r="H40" i="14"/>
  <c r="Z59" i="13"/>
  <c r="AB59" i="13" s="1"/>
  <c r="G28" i="14" s="1"/>
  <c r="Z54" i="13"/>
  <c r="AB54" i="13" s="1"/>
  <c r="G23" i="14" s="1"/>
  <c r="Z98" i="13"/>
  <c r="AB98" i="13" s="1"/>
  <c r="Z65" i="13"/>
  <c r="Z53" i="13"/>
  <c r="Z61" i="13"/>
  <c r="Z101" i="13"/>
  <c r="AB101" i="13" s="1"/>
  <c r="Z42" i="13"/>
  <c r="Z64" i="13"/>
  <c r="Z66" i="13"/>
  <c r="Z37" i="13"/>
  <c r="AB37" i="13" s="1"/>
  <c r="G14" i="14" s="1"/>
  <c r="H39" i="14"/>
  <c r="Z33" i="13"/>
  <c r="AB33" i="13" s="1"/>
  <c r="Z32" i="13"/>
  <c r="AB32" i="13" s="1"/>
  <c r="H38" i="14"/>
  <c r="Z67" i="13"/>
  <c r="Z103" i="13"/>
  <c r="AB103" i="13" s="1"/>
  <c r="Z99" i="13"/>
  <c r="AB99" i="13" s="1"/>
  <c r="Z102" i="13"/>
  <c r="AB102" i="13" s="1"/>
  <c r="Z100" i="13"/>
  <c r="AB100" i="13" s="1"/>
  <c r="Z97" i="13"/>
  <c r="AB97" i="13" s="1"/>
  <c r="Z40" i="13"/>
  <c r="Z63" i="13"/>
  <c r="Z43" i="13"/>
  <c r="H35" i="14" l="1"/>
  <c r="H36" i="14"/>
  <c r="H37" i="14"/>
  <c r="H34" i="14"/>
  <c r="G34" i="14"/>
  <c r="G35" i="14"/>
  <c r="AB53" i="13"/>
  <c r="G39" i="14"/>
  <c r="G36" i="14"/>
  <c r="G40" i="14"/>
  <c r="G37" i="14"/>
  <c r="G38" i="14"/>
  <c r="G15" i="14"/>
  <c r="G11" i="14"/>
  <c r="G9" i="14"/>
  <c r="G10" i="14"/>
  <c r="G13" i="14"/>
  <c r="G22" i="14" l="1"/>
  <c r="J24" i="14"/>
  <c r="J11" i="14"/>
  <c r="J36" i="14"/>
  <c r="I34" i="14"/>
  <c r="I9" i="14"/>
  <c r="I22" i="14"/>
  <c r="I23" i="14"/>
  <c r="I10" i="14"/>
  <c r="I35" i="14"/>
  <c r="J37" i="14"/>
  <c r="J12" i="14"/>
  <c r="J25" i="14"/>
  <c r="J23" i="14"/>
  <c r="J10" i="14"/>
  <c r="J35" i="14"/>
  <c r="I28" i="14"/>
  <c r="I15" i="14"/>
  <c r="I40" i="14"/>
  <c r="I14" i="14"/>
  <c r="I27" i="14"/>
  <c r="I39" i="14"/>
  <c r="J22" i="14"/>
  <c r="J34" i="14"/>
  <c r="J9" i="14"/>
  <c r="I37" i="14"/>
  <c r="I25" i="14"/>
  <c r="I12" i="14"/>
  <c r="I11" i="14"/>
  <c r="I24" i="14"/>
  <c r="I36" i="14"/>
  <c r="J14" i="14"/>
  <c r="J39" i="14"/>
  <c r="J27" i="14"/>
  <c r="J13" i="14"/>
  <c r="J26" i="14"/>
  <c r="J38" i="14"/>
  <c r="J40" i="14"/>
  <c r="J28" i="14"/>
  <c r="J15" i="14"/>
  <c r="I26" i="14"/>
  <c r="I13" i="14"/>
  <c r="I38" i="14"/>
  <c r="R26" i="14" l="1"/>
  <c r="K26" i="14"/>
  <c r="AE38" i="14"/>
  <c r="L38" i="14"/>
  <c r="AE39" i="14"/>
  <c r="L39" i="14"/>
  <c r="R11" i="14"/>
  <c r="K11" i="14"/>
  <c r="AE9" i="14"/>
  <c r="L9" i="14"/>
  <c r="R27" i="14"/>
  <c r="K27" i="14"/>
  <c r="K28" i="14"/>
  <c r="R28" i="14"/>
  <c r="L25" i="14"/>
  <c r="AE25" i="14"/>
  <c r="R10" i="14"/>
  <c r="K10" i="14"/>
  <c r="R34" i="14"/>
  <c r="K34" i="14"/>
  <c r="AE15" i="14"/>
  <c r="L15" i="14"/>
  <c r="L26" i="14"/>
  <c r="AE26" i="14"/>
  <c r="AE14" i="14"/>
  <c r="L14" i="14"/>
  <c r="R12" i="14"/>
  <c r="K12" i="14"/>
  <c r="AE34" i="14"/>
  <c r="L34" i="14"/>
  <c r="R14" i="14"/>
  <c r="K14" i="14"/>
  <c r="AE35" i="14"/>
  <c r="L35" i="14"/>
  <c r="AE12" i="14"/>
  <c r="L12" i="14"/>
  <c r="R23" i="14"/>
  <c r="K23" i="14"/>
  <c r="AE36" i="14"/>
  <c r="L36" i="14"/>
  <c r="R38" i="14"/>
  <c r="K38" i="14"/>
  <c r="L28" i="14"/>
  <c r="AE28" i="14"/>
  <c r="AE13" i="14"/>
  <c r="L13" i="14"/>
  <c r="R36" i="14"/>
  <c r="K36" i="14"/>
  <c r="R25" i="14"/>
  <c r="K25" i="14"/>
  <c r="L22" i="14"/>
  <c r="AE22" i="14"/>
  <c r="R40" i="14"/>
  <c r="K40" i="14"/>
  <c r="AE10" i="14"/>
  <c r="L10" i="14"/>
  <c r="AE37" i="14"/>
  <c r="L37" i="14"/>
  <c r="R22" i="14"/>
  <c r="K22" i="14"/>
  <c r="AE11" i="14"/>
  <c r="L11" i="14"/>
  <c r="R13" i="14"/>
  <c r="K13" i="14"/>
  <c r="AE40" i="14"/>
  <c r="L40" i="14"/>
  <c r="AE27" i="14"/>
  <c r="L27" i="14"/>
  <c r="R24" i="14"/>
  <c r="K24" i="14"/>
  <c r="R37" i="14"/>
  <c r="K37" i="14"/>
  <c r="K39" i="14"/>
  <c r="R39" i="14"/>
  <c r="R15" i="14"/>
  <c r="K15" i="14"/>
  <c r="L23" i="14"/>
  <c r="AE23" i="14"/>
  <c r="K35" i="14"/>
  <c r="R35" i="14"/>
  <c r="R9" i="14"/>
  <c r="K9" i="14"/>
  <c r="AE24" i="14"/>
  <c r="L24" i="14"/>
  <c r="AF23" i="14" l="1"/>
  <c r="AD23" i="14"/>
  <c r="F10" i="5"/>
  <c r="G16" i="18" s="1"/>
  <c r="E10" i="15" s="1"/>
  <c r="W51" i="15" s="1"/>
  <c r="E27" i="5"/>
  <c r="S39" i="14"/>
  <c r="S28" i="14"/>
  <c r="E15" i="5"/>
  <c r="F21" i="18" s="1"/>
  <c r="D15" i="15" s="1"/>
  <c r="Q56" i="15" s="1"/>
  <c r="F11" i="5"/>
  <c r="G17" i="18" s="1"/>
  <c r="E11" i="15" s="1"/>
  <c r="W52" i="15" s="1"/>
  <c r="AD24" i="14"/>
  <c r="AF24" i="14"/>
  <c r="E42" i="5"/>
  <c r="F45" i="18" s="1"/>
  <c r="D43" i="15" s="1"/>
  <c r="Q76" i="15" s="1"/>
  <c r="J55" i="14"/>
  <c r="S15" i="14"/>
  <c r="S37" i="14"/>
  <c r="W37" i="14" s="1"/>
  <c r="E25" i="5"/>
  <c r="F30" i="18" s="1"/>
  <c r="D26" i="15" s="1"/>
  <c r="Q63" i="15" s="1"/>
  <c r="AD27" i="14"/>
  <c r="F14" i="5"/>
  <c r="AF27" i="14"/>
  <c r="J53" i="14"/>
  <c r="E40" i="5"/>
  <c r="F43" i="18" s="1"/>
  <c r="D41" i="15" s="1"/>
  <c r="Q74" i="15" s="1"/>
  <c r="S13" i="14"/>
  <c r="O48" i="14"/>
  <c r="S22" i="14"/>
  <c r="E9" i="5"/>
  <c r="F15" i="18" s="1"/>
  <c r="D9" i="15" s="1"/>
  <c r="Q50" i="15" s="1"/>
  <c r="O55" i="14"/>
  <c r="F37" i="5"/>
  <c r="G40" i="18" s="1"/>
  <c r="E38" i="15" s="1"/>
  <c r="W71" i="15" s="1"/>
  <c r="K50" i="14"/>
  <c r="AF10" i="14"/>
  <c r="AD10" i="14"/>
  <c r="S36" i="14"/>
  <c r="W36" i="14" s="1"/>
  <c r="E24" i="5"/>
  <c r="F29" i="18" s="1"/>
  <c r="D25" i="15" s="1"/>
  <c r="Q62" i="15" s="1"/>
  <c r="AD36" i="14"/>
  <c r="F24" i="5"/>
  <c r="G29" i="18" s="1"/>
  <c r="E25" i="15" s="1"/>
  <c r="W62" i="15" s="1"/>
  <c r="AF36" i="14"/>
  <c r="AF12" i="14"/>
  <c r="O57" i="14"/>
  <c r="F39" i="5"/>
  <c r="G42" i="18" s="1"/>
  <c r="E40" i="15" s="1"/>
  <c r="W73" i="15" s="1"/>
  <c r="AD12" i="14"/>
  <c r="K52" i="14"/>
  <c r="J54" i="14"/>
  <c r="S14" i="14"/>
  <c r="O49" i="14"/>
  <c r="E41" i="5"/>
  <c r="J52" i="14"/>
  <c r="S12" i="14"/>
  <c r="E39" i="5"/>
  <c r="F42" i="18" s="1"/>
  <c r="D40" i="15" s="1"/>
  <c r="Q73" i="15" s="1"/>
  <c r="O47" i="14"/>
  <c r="S34" i="14"/>
  <c r="E22" i="5"/>
  <c r="F27" i="18" s="1"/>
  <c r="D23" i="15" s="1"/>
  <c r="Q60" i="15" s="1"/>
  <c r="S27" i="14"/>
  <c r="E14" i="5"/>
  <c r="J51" i="14"/>
  <c r="S11" i="14"/>
  <c r="O46" i="14"/>
  <c r="E38" i="5"/>
  <c r="F41" i="18" s="1"/>
  <c r="D39" i="15" s="1"/>
  <c r="Q72" i="15" s="1"/>
  <c r="AF38" i="14"/>
  <c r="F26" i="5"/>
  <c r="G31" i="18" s="1"/>
  <c r="E27" i="15" s="1"/>
  <c r="W64" i="15" s="1"/>
  <c r="AD38" i="14"/>
  <c r="S35" i="14"/>
  <c r="E23" i="5"/>
  <c r="F28" i="18" s="1"/>
  <c r="D24" i="15" s="1"/>
  <c r="Q61" i="15" s="1"/>
  <c r="AF22" i="14"/>
  <c r="AD22" i="14"/>
  <c r="F9" i="5"/>
  <c r="G15" i="18" s="1"/>
  <c r="E9" i="15" s="1"/>
  <c r="W50" i="15" s="1"/>
  <c r="F15" i="5"/>
  <c r="G21" i="18" s="1"/>
  <c r="E15" i="15" s="1"/>
  <c r="W56" i="15" s="1"/>
  <c r="AD28" i="14"/>
  <c r="AF28" i="14"/>
  <c r="F13" i="5"/>
  <c r="G19" i="18" s="1"/>
  <c r="E13" i="15" s="1"/>
  <c r="W54" i="15" s="1"/>
  <c r="AD26" i="14"/>
  <c r="AF26" i="14"/>
  <c r="F12" i="5"/>
  <c r="G18" i="18" s="1"/>
  <c r="E12" i="15" s="1"/>
  <c r="W53" i="15" s="1"/>
  <c r="AF25" i="14"/>
  <c r="AD25" i="14"/>
  <c r="E36" i="5"/>
  <c r="F39" i="18" s="1"/>
  <c r="D37" i="15" s="1"/>
  <c r="Q70" i="15" s="1"/>
  <c r="O44" i="14"/>
  <c r="S9" i="14"/>
  <c r="J49" i="14"/>
  <c r="S24" i="14"/>
  <c r="E11" i="5"/>
  <c r="F17" i="18" s="1"/>
  <c r="D11" i="15" s="1"/>
  <c r="Q52" i="15" s="1"/>
  <c r="AD40" i="14"/>
  <c r="AF40" i="14"/>
  <c r="F28" i="5"/>
  <c r="G33" i="18" s="1"/>
  <c r="E29" i="15" s="1"/>
  <c r="W66" i="15" s="1"/>
  <c r="AF11" i="14"/>
  <c r="AD11" i="14"/>
  <c r="K51" i="14"/>
  <c r="F38" i="5"/>
  <c r="G41" i="18" s="1"/>
  <c r="E39" i="15" s="1"/>
  <c r="W72" i="15" s="1"/>
  <c r="O56" i="14"/>
  <c r="AF37" i="14"/>
  <c r="F25" i="5"/>
  <c r="G30" i="18" s="1"/>
  <c r="E26" i="15" s="1"/>
  <c r="W63" i="15" s="1"/>
  <c r="AD37" i="14"/>
  <c r="E28" i="5"/>
  <c r="F33" i="18" s="1"/>
  <c r="D29" i="15" s="1"/>
  <c r="Q66" i="15" s="1"/>
  <c r="S40" i="14"/>
  <c r="E12" i="5"/>
  <c r="F18" i="18" s="1"/>
  <c r="D12" i="15" s="1"/>
  <c r="Q53" i="15" s="1"/>
  <c r="S25" i="14"/>
  <c r="W25" i="14" s="1"/>
  <c r="AF13" i="14"/>
  <c r="F40" i="5"/>
  <c r="G43" i="18" s="1"/>
  <c r="E41" i="15" s="1"/>
  <c r="W74" i="15" s="1"/>
  <c r="K53" i="14"/>
  <c r="AD13" i="14"/>
  <c r="O58" i="14"/>
  <c r="S38" i="14"/>
  <c r="E26" i="5"/>
  <c r="F31" i="18" s="1"/>
  <c r="D27" i="15" s="1"/>
  <c r="Q64" i="15" s="1"/>
  <c r="S23" i="14"/>
  <c r="W23" i="14" s="1"/>
  <c r="E10" i="5"/>
  <c r="F16" i="18" s="1"/>
  <c r="D10" i="15" s="1"/>
  <c r="Q51" i="15" s="1"/>
  <c r="F23" i="5"/>
  <c r="G28" i="18" s="1"/>
  <c r="E24" i="15" s="1"/>
  <c r="W61" i="15" s="1"/>
  <c r="AF35" i="14"/>
  <c r="AD35" i="14"/>
  <c r="AF34" i="14"/>
  <c r="AD34" i="14"/>
  <c r="F22" i="5"/>
  <c r="G27" i="18" s="1"/>
  <c r="E23" i="15" s="1"/>
  <c r="W60" i="15" s="1"/>
  <c r="AF14" i="14"/>
  <c r="F41" i="5"/>
  <c r="AD14" i="14"/>
  <c r="K54" i="14"/>
  <c r="O59" i="14"/>
  <c r="AF15" i="14"/>
  <c r="F42" i="5"/>
  <c r="G45" i="18" s="1"/>
  <c r="E43" i="15" s="1"/>
  <c r="W76" i="15" s="1"/>
  <c r="K55" i="14"/>
  <c r="AD15" i="14"/>
  <c r="E37" i="5"/>
  <c r="F40" i="18" s="1"/>
  <c r="D38" i="15" s="1"/>
  <c r="Q71" i="15" s="1"/>
  <c r="J50" i="14"/>
  <c r="O45" i="14"/>
  <c r="S10" i="14"/>
  <c r="W10" i="14" s="1"/>
  <c r="AF9" i="14"/>
  <c r="AD9" i="14"/>
  <c r="O54" i="14"/>
  <c r="K49" i="14"/>
  <c r="F36" i="5"/>
  <c r="G39" i="18" s="1"/>
  <c r="E37" i="15" s="1"/>
  <c r="W70" i="15" s="1"/>
  <c r="AD39" i="14"/>
  <c r="F27" i="5"/>
  <c r="AF39" i="14"/>
  <c r="E13" i="5"/>
  <c r="F19" i="18" s="1"/>
  <c r="D13" i="15" s="1"/>
  <c r="Q54" i="15" s="1"/>
  <c r="S26" i="14"/>
  <c r="AK13" i="14"/>
  <c r="AK39" i="14"/>
  <c r="X28" i="14"/>
  <c r="AK9" i="14"/>
  <c r="AK34" i="14"/>
  <c r="X24" i="14"/>
  <c r="X15" i="14"/>
  <c r="X12" i="14"/>
  <c r="X27" i="14"/>
  <c r="X23" i="14"/>
  <c r="AK12" i="14"/>
  <c r="X26" i="14"/>
  <c r="X38" i="14"/>
  <c r="AK28" i="14"/>
  <c r="AK10" i="14"/>
  <c r="X25" i="14"/>
  <c r="AK14" i="14"/>
  <c r="X10" i="14"/>
  <c r="X39" i="14"/>
  <c r="X13" i="14"/>
  <c r="AK38" i="14"/>
  <c r="AK26" i="14"/>
  <c r="AK35" i="14"/>
  <c r="X40" i="14"/>
  <c r="X35" i="14"/>
  <c r="AK27" i="14"/>
  <c r="X11" i="14"/>
  <c r="AK15" i="14"/>
  <c r="AK23" i="14"/>
  <c r="AK11" i="14"/>
  <c r="AK36" i="14"/>
  <c r="AK40" i="14"/>
  <c r="X37" i="14"/>
  <c r="AK25" i="14"/>
  <c r="X36" i="14"/>
  <c r="X34" i="14"/>
  <c r="AK22" i="14"/>
  <c r="X9" i="14"/>
  <c r="AK37" i="14"/>
  <c r="X14" i="14"/>
  <c r="X22" i="14"/>
  <c r="AK24" i="14"/>
  <c r="AJ9" i="14" l="1"/>
  <c r="AJ34" i="14"/>
  <c r="AJ39" i="14"/>
  <c r="AJ14" i="14"/>
  <c r="AJ27" i="14"/>
  <c r="AJ22" i="14"/>
  <c r="AJ40" i="14"/>
  <c r="AJ11" i="14"/>
  <c r="AJ35" i="14"/>
  <c r="AJ10" i="14"/>
  <c r="AJ24" i="14"/>
  <c r="AJ23" i="14"/>
  <c r="W26" i="14"/>
  <c r="W38" i="14"/>
  <c r="W11" i="14"/>
  <c r="W12" i="14"/>
  <c r="W14" i="14"/>
  <c r="J88" i="14"/>
  <c r="G20" i="18"/>
  <c r="E14" i="15" s="1"/>
  <c r="W55" i="15" s="1"/>
  <c r="W15" i="14"/>
  <c r="W9" i="14"/>
  <c r="J89" i="14"/>
  <c r="G44" i="18"/>
  <c r="E42" i="15" s="1"/>
  <c r="W75" i="15" s="1"/>
  <c r="W34" i="14"/>
  <c r="W39" i="14"/>
  <c r="AJ15" i="14"/>
  <c r="AJ13" i="14"/>
  <c r="AJ37" i="14"/>
  <c r="AJ28" i="14"/>
  <c r="W35" i="14"/>
  <c r="F20" i="18"/>
  <c r="D14" i="15" s="1"/>
  <c r="Q55" i="15" s="1"/>
  <c r="I88" i="14"/>
  <c r="F44" i="18"/>
  <c r="D42" i="15" s="1"/>
  <c r="Q75" i="15" s="1"/>
  <c r="I89" i="14"/>
  <c r="I90" i="14"/>
  <c r="F32" i="18"/>
  <c r="D28" i="15" s="1"/>
  <c r="Q65" i="15" s="1"/>
  <c r="W40" i="14"/>
  <c r="G32" i="18"/>
  <c r="E28" i="15" s="1"/>
  <c r="W65" i="15" s="1"/>
  <c r="J90" i="14"/>
  <c r="AJ25" i="14"/>
  <c r="AJ26" i="14"/>
  <c r="W22" i="14"/>
  <c r="AJ38" i="14"/>
  <c r="W27" i="14"/>
  <c r="AJ12" i="14"/>
  <c r="AJ36" i="14"/>
  <c r="W28" i="14"/>
  <c r="W13" i="14"/>
  <c r="W24" i="14"/>
  <c r="AL15" i="14"/>
  <c r="Y28" i="14"/>
  <c r="Y27" i="14"/>
  <c r="AL27" i="14"/>
  <c r="AL10" i="14"/>
  <c r="AL22" i="14"/>
  <c r="Y36" i="14"/>
  <c r="AL37" i="14"/>
  <c r="Y39" i="14"/>
  <c r="AL38" i="14"/>
  <c r="AL23" i="14"/>
  <c r="Y12" i="14"/>
  <c r="AL24" i="14"/>
  <c r="Y38" i="14"/>
  <c r="AL9" i="14"/>
  <c r="Y34" i="14"/>
  <c r="Y26" i="14"/>
  <c r="Y40" i="14"/>
  <c r="AL34" i="14"/>
  <c r="AL36" i="14"/>
  <c r="Y15" i="14"/>
  <c r="AL11" i="14"/>
  <c r="AL28" i="14"/>
  <c r="AL14" i="14"/>
  <c r="Y35" i="14"/>
  <c r="AL40" i="14"/>
  <c r="Y14" i="14"/>
  <c r="Y13" i="14"/>
  <c r="AL26" i="14"/>
  <c r="AL12" i="14"/>
  <c r="Y24" i="14"/>
  <c r="Y37" i="14"/>
  <c r="Y23" i="14"/>
  <c r="AL35" i="14"/>
  <c r="Y22" i="14"/>
  <c r="Y9" i="14"/>
  <c r="AL39" i="14"/>
  <c r="AL25" i="14"/>
  <c r="Y10" i="14"/>
  <c r="AL13" i="14"/>
  <c r="Y11" i="14"/>
  <c r="Y25" i="14"/>
  <c r="J15" i="5" l="1"/>
  <c r="K21" i="18" s="1"/>
  <c r="I28" i="5"/>
  <c r="J33" i="18" s="1"/>
  <c r="I11" i="5"/>
  <c r="J17" i="18" s="1"/>
  <c r="I22" i="5"/>
  <c r="J27" i="18" s="1"/>
  <c r="J14" i="5"/>
  <c r="K20" i="18" s="1"/>
  <c r="J13" i="5"/>
  <c r="K19" i="18" s="1"/>
  <c r="J42" i="5"/>
  <c r="K45" i="18" s="1"/>
  <c r="I12" i="5"/>
  <c r="G12" i="5" s="1"/>
  <c r="H18" i="18" s="1"/>
  <c r="I24" i="5"/>
  <c r="J29" i="18" s="1"/>
  <c r="I25" i="5"/>
  <c r="J30" i="18" s="1"/>
  <c r="I37" i="5"/>
  <c r="J40" i="18" s="1"/>
  <c r="R45" i="14"/>
  <c r="I39" i="5"/>
  <c r="J42" i="18" s="1"/>
  <c r="I38" i="5"/>
  <c r="J41" i="18" s="1"/>
  <c r="I23" i="5"/>
  <c r="J28" i="18" s="1"/>
  <c r="I10" i="5"/>
  <c r="J16" i="18" s="1"/>
  <c r="I9" i="5"/>
  <c r="J15" i="18" s="1"/>
  <c r="I13" i="5"/>
  <c r="J19" i="18" s="1"/>
  <c r="J12" i="5"/>
  <c r="K18" i="18" s="1"/>
  <c r="J36" i="5"/>
  <c r="K39" i="18" s="1"/>
  <c r="J23" i="5"/>
  <c r="H23" i="5" s="1"/>
  <c r="I28" i="18" s="1"/>
  <c r="J11" i="5"/>
  <c r="K17" i="18" s="1"/>
  <c r="J41" i="5"/>
  <c r="K44" i="18" s="1"/>
  <c r="I41" i="5"/>
  <c r="J44" i="18" s="1"/>
  <c r="J27" i="5"/>
  <c r="J9" i="5"/>
  <c r="K15" i="18" s="1"/>
  <c r="I14" i="5"/>
  <c r="J20" i="18" s="1"/>
  <c r="J37" i="5"/>
  <c r="K40" i="18" s="1"/>
  <c r="J25" i="5"/>
  <c r="K30" i="18" s="1"/>
  <c r="J10" i="5"/>
  <c r="K16" i="18" s="1"/>
  <c r="J40" i="5"/>
  <c r="K43" i="18" s="1"/>
  <c r="J22" i="5"/>
  <c r="K27" i="18" s="1"/>
  <c r="J24" i="5"/>
  <c r="K29" i="18" s="1"/>
  <c r="I27" i="5"/>
  <c r="J32" i="18" s="1"/>
  <c r="I36" i="5"/>
  <c r="J39" i="18" s="1"/>
  <c r="I42" i="5"/>
  <c r="J45" i="18" s="1"/>
  <c r="J26" i="5"/>
  <c r="K31" i="18" s="1"/>
  <c r="J39" i="5"/>
  <c r="K42" i="18" s="1"/>
  <c r="J38" i="5"/>
  <c r="K41" i="18" s="1"/>
  <c r="J28" i="5"/>
  <c r="K33" i="18" s="1"/>
  <c r="I26" i="5"/>
  <c r="J31" i="18" s="1"/>
  <c r="I15" i="5"/>
  <c r="J21" i="18" s="1"/>
  <c r="I40" i="5"/>
  <c r="J43" i="18" s="1"/>
  <c r="R55" i="14"/>
  <c r="R57" i="14"/>
  <c r="R54" i="14"/>
  <c r="R46" i="14"/>
  <c r="R56" i="14"/>
  <c r="R59" i="14"/>
  <c r="R47" i="14"/>
  <c r="R48" i="14"/>
  <c r="R49" i="14"/>
  <c r="R58" i="14"/>
  <c r="R44" i="14"/>
  <c r="G24" i="5" l="1"/>
  <c r="H29" i="18" s="1"/>
  <c r="M29" i="18" s="1"/>
  <c r="H39" i="5"/>
  <c r="I42" i="18" s="1"/>
  <c r="N42" i="18" s="1"/>
  <c r="G40" i="5"/>
  <c r="H43" i="18" s="1"/>
  <c r="M43" i="18" s="1"/>
  <c r="G25" i="5"/>
  <c r="H30" i="18" s="1"/>
  <c r="F26" i="15" s="1"/>
  <c r="I26" i="15" s="1"/>
  <c r="K28" i="18"/>
  <c r="G23" i="5"/>
  <c r="H28" i="18" s="1"/>
  <c r="M28" i="18" s="1"/>
  <c r="G15" i="5"/>
  <c r="H21" i="18" s="1"/>
  <c r="F15" i="15" s="1"/>
  <c r="I15" i="15" s="1"/>
  <c r="H10" i="5"/>
  <c r="I16" i="18" s="1"/>
  <c r="G10" i="15" s="1"/>
  <c r="G13" i="5"/>
  <c r="H19" i="18" s="1"/>
  <c r="F13" i="15" s="1"/>
  <c r="I13" i="15" s="1"/>
  <c r="H38" i="5"/>
  <c r="I41" i="18" s="1"/>
  <c r="G39" i="15" s="1"/>
  <c r="J39" i="15" s="1"/>
  <c r="H42" i="5"/>
  <c r="I45" i="18" s="1"/>
  <c r="N45" i="18" s="1"/>
  <c r="H13" i="5"/>
  <c r="I19" i="18" s="1"/>
  <c r="N19" i="18" s="1"/>
  <c r="G38" i="5"/>
  <c r="H41" i="18" s="1"/>
  <c r="M41" i="18" s="1"/>
  <c r="H11" i="5"/>
  <c r="I17" i="18" s="1"/>
  <c r="G11" i="15" s="1"/>
  <c r="N52" i="15" s="1"/>
  <c r="G28" i="5"/>
  <c r="H33" i="18" s="1"/>
  <c r="F29" i="15" s="1"/>
  <c r="I29" i="15" s="1"/>
  <c r="H12" i="5"/>
  <c r="I18" i="18" s="1"/>
  <c r="G12" i="15" s="1"/>
  <c r="J12" i="15" s="1"/>
  <c r="G27" i="5"/>
  <c r="H32" i="18" s="1"/>
  <c r="F28" i="15" s="1"/>
  <c r="I28" i="15" s="1"/>
  <c r="H9" i="5"/>
  <c r="I15" i="18" s="1"/>
  <c r="N15" i="18" s="1"/>
  <c r="H22" i="5"/>
  <c r="I27" i="18" s="1"/>
  <c r="G23" i="15" s="1"/>
  <c r="J23" i="15" s="1"/>
  <c r="G37" i="5"/>
  <c r="H40" i="18" s="1"/>
  <c r="F38" i="15" s="1"/>
  <c r="I38" i="15" s="1"/>
  <c r="H40" i="5"/>
  <c r="I43" i="18" s="1"/>
  <c r="G41" i="15" s="1"/>
  <c r="J41" i="15" s="1"/>
  <c r="G10" i="5"/>
  <c r="H16" i="18" s="1"/>
  <c r="M16" i="18" s="1"/>
  <c r="H36" i="5"/>
  <c r="I39" i="18" s="1"/>
  <c r="G37" i="15" s="1"/>
  <c r="J37" i="15" s="1"/>
  <c r="G14" i="5"/>
  <c r="H20" i="18" s="1"/>
  <c r="M20" i="18" s="1"/>
  <c r="G11" i="5"/>
  <c r="H17" i="18" s="1"/>
  <c r="M17" i="18" s="1"/>
  <c r="G36" i="5"/>
  <c r="H39" i="18" s="1"/>
  <c r="F37" i="15" s="1"/>
  <c r="I37" i="15" s="1"/>
  <c r="G22" i="5"/>
  <c r="H27" i="18" s="1"/>
  <c r="F23" i="15" s="1"/>
  <c r="I23" i="15" s="1"/>
  <c r="J18" i="18"/>
  <c r="H41" i="5"/>
  <c r="I44" i="18" s="1"/>
  <c r="N44" i="18" s="1"/>
  <c r="K32" i="18"/>
  <c r="H27" i="5"/>
  <c r="I32" i="18" s="1"/>
  <c r="H25" i="5"/>
  <c r="I30" i="18" s="1"/>
  <c r="N30" i="18" s="1"/>
  <c r="H14" i="5"/>
  <c r="I20" i="18" s="1"/>
  <c r="N20" i="18" s="1"/>
  <c r="G39" i="5"/>
  <c r="H42" i="18" s="1"/>
  <c r="M42" i="18" s="1"/>
  <c r="G42" i="5"/>
  <c r="H45" i="18" s="1"/>
  <c r="M45" i="18" s="1"/>
  <c r="H24" i="5"/>
  <c r="I29" i="18" s="1"/>
  <c r="G25" i="15" s="1"/>
  <c r="J25" i="15" s="1"/>
  <c r="G26" i="5"/>
  <c r="H31" i="18" s="1"/>
  <c r="F27" i="15" s="1"/>
  <c r="I27" i="15" s="1"/>
  <c r="G9" i="5"/>
  <c r="H15" i="18" s="1"/>
  <c r="M15" i="18" s="1"/>
  <c r="H15" i="5"/>
  <c r="I21" i="18" s="1"/>
  <c r="G15" i="15" s="1"/>
  <c r="N56" i="15" s="1"/>
  <c r="H37" i="5"/>
  <c r="I40" i="18" s="1"/>
  <c r="N40" i="18" s="1"/>
  <c r="G41" i="5"/>
  <c r="H44" i="18" s="1"/>
  <c r="M44" i="18" s="1"/>
  <c r="H28" i="5"/>
  <c r="I33" i="18" s="1"/>
  <c r="N33" i="18" s="1"/>
  <c r="H26" i="5"/>
  <c r="I31" i="18" s="1"/>
  <c r="N31" i="18" s="1"/>
  <c r="N18" i="18"/>
  <c r="F41" i="15"/>
  <c r="I41" i="15" s="1"/>
  <c r="F24" i="15"/>
  <c r="I24" i="15" s="1"/>
  <c r="N28" i="18"/>
  <c r="G24" i="15"/>
  <c r="J24" i="15" s="1"/>
  <c r="F12" i="15"/>
  <c r="M18" i="18"/>
  <c r="G40" i="15" l="1"/>
  <c r="J40" i="15" s="1"/>
  <c r="M30" i="18"/>
  <c r="F25" i="15"/>
  <c r="I25" i="15" s="1"/>
  <c r="J11" i="15"/>
  <c r="M33" i="18"/>
  <c r="N16" i="18"/>
  <c r="M21" i="18"/>
  <c r="M39" i="18"/>
  <c r="N39" i="18"/>
  <c r="N27" i="18"/>
  <c r="N17" i="18"/>
  <c r="G43" i="15"/>
  <c r="J43" i="15" s="1"/>
  <c r="N41" i="18"/>
  <c r="M56" i="15"/>
  <c r="F14" i="15"/>
  <c r="M55" i="15" s="1"/>
  <c r="M19" i="18"/>
  <c r="M27" i="18"/>
  <c r="M54" i="15"/>
  <c r="G26" i="15"/>
  <c r="J26" i="15" s="1"/>
  <c r="N21" i="18"/>
  <c r="G9" i="15"/>
  <c r="N50" i="15" s="1"/>
  <c r="M32" i="18"/>
  <c r="N43" i="18"/>
  <c r="F39" i="15"/>
  <c r="I39" i="15" s="1"/>
  <c r="G14" i="15"/>
  <c r="N55" i="15" s="1"/>
  <c r="M40" i="18"/>
  <c r="F43" i="15"/>
  <c r="I43" i="15" s="1"/>
  <c r="J15" i="15"/>
  <c r="G13" i="15"/>
  <c r="N54" i="15" s="1"/>
  <c r="G27" i="15"/>
  <c r="J27" i="15" s="1"/>
  <c r="N53" i="15"/>
  <c r="F10" i="15"/>
  <c r="M51" i="15" s="1"/>
  <c r="F42" i="15"/>
  <c r="I42" i="15" s="1"/>
  <c r="G38" i="15"/>
  <c r="J38" i="15" s="1"/>
  <c r="F11" i="15"/>
  <c r="M52" i="15" s="1"/>
  <c r="N29" i="18"/>
  <c r="M31" i="18"/>
  <c r="G42" i="15"/>
  <c r="J42" i="15" s="1"/>
  <c r="F40" i="15"/>
  <c r="I40" i="15" s="1"/>
  <c r="G29" i="15"/>
  <c r="J29" i="15" s="1"/>
  <c r="F9" i="15"/>
  <c r="M50" i="15" s="1"/>
  <c r="G28" i="15"/>
  <c r="J28" i="15" s="1"/>
  <c r="N32" i="18"/>
  <c r="N51" i="15"/>
  <c r="J10" i="15"/>
  <c r="I12" i="15"/>
  <c r="M53" i="15"/>
  <c r="I14" i="15" l="1"/>
  <c r="I11" i="15"/>
  <c r="I9" i="15"/>
  <c r="J14" i="15"/>
  <c r="J13" i="15"/>
  <c r="J9" i="15"/>
  <c r="I10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Jones</author>
  </authors>
  <commentList>
    <comment ref="AA9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Keith Jones:</t>
        </r>
        <r>
          <rPr>
            <sz val="8"/>
            <color indexed="81"/>
            <rFont val="Tahoma"/>
            <family val="2"/>
          </rPr>
          <t xml:space="preserve">
Increased from 0.003 noting poorer agreement with Arnold test set on 20 A range.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Industrial Research Limited</author>
  </authors>
  <commentList>
    <comment ref="H14" authorId="0" shapeId="0" xr:uid="{4161E73B-6C40-45F8-8BA8-66654D8E7AA4}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0.05 % gain stability uncertainty</t>
        </r>
      </text>
    </comment>
  </commentList>
</comments>
</file>

<file path=xl/sharedStrings.xml><?xml version="1.0" encoding="utf-8"?>
<sst xmlns="http://schemas.openxmlformats.org/spreadsheetml/2006/main" count="1543" uniqueCount="284">
  <si>
    <t>Load
% of rated</t>
  </si>
  <si>
    <t>Current 
error
(mA/A)</t>
  </si>
  <si>
    <t>Phase 
error
(mrad)</t>
  </si>
  <si>
    <t>Phase</t>
  </si>
  <si>
    <t>CALIBRATION OF ELLIOTT BROTHERS CT No 413269</t>
  </si>
  <si>
    <t>Ratio</t>
  </si>
  <si>
    <t>mA/A</t>
  </si>
  <si>
    <t>mrad</t>
  </si>
  <si>
    <t>Frequency
coefficient</t>
  </si>
  <si>
    <t>Burden
coefficient</t>
  </si>
  <si>
    <t>Current 
coefficient</t>
  </si>
  <si>
    <t>Temp
coefficient</t>
  </si>
  <si>
    <t>Earthing
arrangement</t>
  </si>
  <si>
    <t>Conductor
config</t>
  </si>
  <si>
    <t>ohms</t>
  </si>
  <si>
    <t>meas at burden of:</t>
  </si>
  <si>
    <t>UNCERTAINTIES IN CURRENT RATIO ERROR</t>
  </si>
  <si>
    <t>UNCERTAINTIES IN PHASE ERROR</t>
  </si>
  <si>
    <t>combined
standard
uncertainty</t>
  </si>
  <si>
    <t>Instability of Test CT</t>
  </si>
  <si>
    <t>DOF:</t>
  </si>
  <si>
    <t>DOF</t>
  </si>
  <si>
    <t>Cover</t>
  </si>
  <si>
    <t>transformation ratio</t>
  </si>
  <si>
    <t>IVD</t>
  </si>
  <si>
    <t>Shunt</t>
  </si>
  <si>
    <t>Forward</t>
  </si>
  <si>
    <t>dv/V</t>
  </si>
  <si>
    <t>alpha.Nt/Ns</t>
  </si>
  <si>
    <t>Res</t>
  </si>
  <si>
    <t>Ratio x</t>
  </si>
  <si>
    <t>Shunt V</t>
  </si>
  <si>
    <t>X</t>
  </si>
  <si>
    <t>Y</t>
  </si>
  <si>
    <t>SD X</t>
  </si>
  <si>
    <t>SD Y</t>
  </si>
  <si>
    <t>SD Shunt</t>
  </si>
  <si>
    <t>% load</t>
  </si>
  <si>
    <t>sec cur</t>
  </si>
  <si>
    <t>Ns</t>
  </si>
  <si>
    <t>Nt</t>
  </si>
  <si>
    <t>alpha</t>
  </si>
  <si>
    <t>Rs</t>
  </si>
  <si>
    <t>Rt</t>
  </si>
  <si>
    <t>Reverse</t>
  </si>
  <si>
    <t>Re</t>
  </si>
  <si>
    <t>Im</t>
  </si>
  <si>
    <t>ratio</t>
  </si>
  <si>
    <t>error</t>
  </si>
  <si>
    <t>Mean</t>
  </si>
  <si>
    <t>phase</t>
  </si>
  <si>
    <t>53 Hz</t>
  </si>
  <si>
    <t>47 Hz</t>
  </si>
  <si>
    <t>add 0.05 ohms to burden</t>
  </si>
  <si>
    <t>100 ohm burden test, 53 Hz</t>
  </si>
  <si>
    <t>Power</t>
  </si>
  <si>
    <t>in 0.2 shunt</t>
  </si>
  <si>
    <t>Heating</t>
  </si>
  <si>
    <t>ppm</t>
  </si>
  <si>
    <t xml:space="preserve">Power </t>
  </si>
  <si>
    <t>in 0.1</t>
  </si>
  <si>
    <t>0.1 shunt</t>
  </si>
  <si>
    <t>0.2 shunt</t>
  </si>
  <si>
    <t>heating</t>
  </si>
  <si>
    <t>mean of 53 and 47 Hz</t>
  </si>
  <si>
    <t>heating corrected</t>
  </si>
  <si>
    <t>R Im</t>
  </si>
  <si>
    <t>R Re</t>
  </si>
  <si>
    <t>Burden:</t>
  </si>
  <si>
    <t>MSL
shunt ratio</t>
  </si>
  <si>
    <t>other bridge uncertys</t>
  </si>
  <si>
    <t>Current error
(mA/A)</t>
  </si>
  <si>
    <t>Phase error
(mrad)</t>
  </si>
  <si>
    <t>Primary Current
(% of rated)</t>
  </si>
  <si>
    <t>Expanded 
Uncertainty</t>
  </si>
  <si>
    <t>Burden: 
0.11 + j0.00 ohms</t>
  </si>
  <si>
    <t>Coverage Factor</t>
  </si>
  <si>
    <t>T 0.1ohm</t>
  </si>
  <si>
    <t>Copied from: Elliott for Babcocks 2012 5AmpRatio Template V4.0.xls</t>
  </si>
  <si>
    <t>Formulas changed.</t>
  </si>
  <si>
    <t>DEMAGNETISE WITH 8.0 V RMS M-L3 if it was not done in the equal ratio spreadsheet or if you suspect that it has been magnetised.</t>
  </si>
  <si>
    <t xml:space="preserve">Note that this procedure uses the Zetka + the CH5500. Ramping the CH5500 too quickly or switching the current off or on abruptly can magnetise this CT. (And maybe our 2 stage!!!) </t>
  </si>
  <si>
    <t>Ti969  0.1 ohm shunt vs 0.2 paddlewheel.   2 stage CT in cct at 10/5 ratio.</t>
  </si>
  <si>
    <t>Reverse the SR830 A &amp; B inputs</t>
  </si>
  <si>
    <t>intercept =</t>
  </si>
  <si>
    <t>slope =</t>
  </si>
  <si>
    <t>ppm/watt</t>
  </si>
  <si>
    <t>Power coeff of 0.2 ohm shunt is</t>
  </si>
  <si>
    <t>ppm/W</t>
  </si>
  <si>
    <t>Mean phase at 53 Hz:</t>
  </si>
  <si>
    <t>Mean ratio at 53 Hz:</t>
  </si>
  <si>
    <t>Mean ratio at 47 Hz:</t>
  </si>
  <si>
    <t>Mean phase at 47 Hz:</t>
  </si>
  <si>
    <t>calibration</t>
  </si>
  <si>
    <t>From the previous</t>
  </si>
  <si>
    <t>Heating in 0.1 ohm =</t>
  </si>
  <si>
    <t>current 
error
mA/A</t>
  </si>
  <si>
    <t>phase 
error
mrad</t>
  </si>
  <si>
    <t>current 
error
 uA/A</t>
  </si>
  <si>
    <t>phase 
error
 urad</t>
  </si>
  <si>
    <t>Table</t>
  </si>
  <si>
    <t>number</t>
  </si>
  <si>
    <t>Table 3. Rated Transformation Ratio 30/5   Secondary: M - L3</t>
  </si>
  <si>
    <t>Table 5. Rated Transformation Ratio 15/5   Secondary: M - L3</t>
  </si>
  <si>
    <t>S21355</t>
  </si>
  <si>
    <t>using the Arnold</t>
  </si>
  <si>
    <t>Test Set and the</t>
  </si>
  <si>
    <t>2 stage CT.</t>
  </si>
  <si>
    <t>for a burden of 0.11 ohm</t>
  </si>
  <si>
    <t>Expanded Uncertainty</t>
  </si>
  <si>
    <t>UUT range</t>
  </si>
  <si>
    <t>Std Range</t>
  </si>
  <si>
    <t>UUT secondary</t>
  </si>
  <si>
    <t>30/5</t>
  </si>
  <si>
    <t>50/5</t>
  </si>
  <si>
    <t>Don’t know!!!!!!</t>
  </si>
  <si>
    <t>Results at a burden of:</t>
  </si>
  <si>
    <t>difference from above 20/5 ratio.</t>
  </si>
  <si>
    <t>burden error
  mA/A            mrad</t>
  </si>
  <si>
    <t>Burden Uncertainty</t>
  </si>
  <si>
    <t>Assume that the change in burden in going from 5 VA to O VA is known and stable to 5% (a fairly conservated estimate).</t>
  </si>
  <si>
    <t>The uncertainty due to burden is just the change in ratio and phase multiplied by 0.05.</t>
  </si>
  <si>
    <t>(From 5A ratio template)</t>
  </si>
  <si>
    <t>Named uncertainty constants.</t>
  </si>
  <si>
    <t>BurdenUnc</t>
  </si>
  <si>
    <t>Conductor configuration</t>
  </si>
  <si>
    <t>%</t>
  </si>
  <si>
    <t>crad</t>
  </si>
  <si>
    <t>Not relavant as this calibration is done with the fixed ratio windings.</t>
  </si>
  <si>
    <t>The 20A range was measured several times</t>
  </si>
  <si>
    <t>sd of point</t>
  </si>
  <si>
    <t>0.11 ohms</t>
  </si>
  <si>
    <t>Instability of the test CT</t>
  </si>
  <si>
    <t>Data from:</t>
  </si>
  <si>
    <t>Elliott for Babcocks 2012 5AmpRatio Template V4.0.xls</t>
  </si>
  <si>
    <t>Table . Rated Transformation Ratio 20/5   Secondary: M - L3</t>
  </si>
  <si>
    <r>
      <t>Burden (</t>
    </r>
    <r>
      <rPr>
        <sz val="11"/>
        <rFont val="Symbol"/>
        <family val="1"/>
        <charset val="2"/>
      </rPr>
      <t>W</t>
    </r>
    <r>
      <rPr>
        <sz val="11"/>
        <rFont val="Times New Roman"/>
        <family val="1"/>
      </rPr>
      <t>)</t>
    </r>
  </si>
  <si>
    <t>Error</t>
  </si>
  <si>
    <t>Current error</t>
  </si>
  <si>
    <t>NOT for report</t>
  </si>
  <si>
    <t>x4x</t>
  </si>
  <si>
    <t>Current
error</t>
  </si>
  <si>
    <t>Phase
error</t>
  </si>
  <si>
    <t>Phase
error
(mrad)</t>
  </si>
  <si>
    <t>vs unequal ratios</t>
  </si>
  <si>
    <t>vs single stage</t>
  </si>
  <si>
    <t xml:space="preserve">0.11 ohm  burden </t>
  </si>
  <si>
    <t>M-L3</t>
  </si>
  <si>
    <t>M-L1</t>
  </si>
  <si>
    <t>Copied from: S22018.xlsm</t>
  </si>
  <si>
    <t>Result</t>
  </si>
  <si>
    <t>Burden (W)</t>
  </si>
  <si>
    <t>Primary current
(% of rated)</t>
  </si>
  <si>
    <t>S21851</t>
  </si>
  <si>
    <t>CMC</t>
  </si>
  <si>
    <t>&lt;=500</t>
  </si>
  <si>
    <t>&gt;500</t>
  </si>
  <si>
    <t>Secondary:</t>
  </si>
  <si>
    <t>Operating Conditions</t>
  </si>
  <si>
    <t>Burden
(Ω)</t>
  </si>
  <si>
    <t>Magnitude</t>
  </si>
  <si>
    <t>Magnitude
(mA/A)</t>
  </si>
  <si>
    <t>Phase
(mrad)</t>
  </si>
  <si>
    <r>
      <rPr>
        <i/>
        <sz val="10"/>
        <rFont val="Arial"/>
        <family val="2"/>
      </rPr>
      <t>K</t>
    </r>
    <r>
      <rPr>
        <vertAlign val="subscript"/>
        <sz val="10"/>
        <rFont val="Arial"/>
        <family val="2"/>
      </rPr>
      <t>n</t>
    </r>
    <r>
      <rPr>
        <sz val="10"/>
        <rFont val="Times New Roman"/>
        <family val="1"/>
      </rPr>
      <t xml:space="preserve"> = </t>
    </r>
  </si>
  <si>
    <t>I:\MSL\Private\Electricity\Commercial\Reports\2012\S21851\S21851.xls</t>
  </si>
  <si>
    <t>I:\MSL\Private\Electricity\Commercial\Reports\2000\S21355\S21355a.xls</t>
  </si>
  <si>
    <t>Table 3. Ratio 30:5.  Secondary: M - L3</t>
  </si>
  <si>
    <t>Table 5. Ratio 15:5.  Secondary: M - L3</t>
  </si>
  <si>
    <t>Table x4x. Ratio 20:5.  Secondary: M - L1</t>
  </si>
  <si>
    <t>30:5</t>
  </si>
  <si>
    <t>15:5</t>
  </si>
  <si>
    <t>20:5</t>
  </si>
  <si>
    <t>This Calibration</t>
  </si>
  <si>
    <t>S22018</t>
  </si>
  <si>
    <t>en</t>
  </si>
  <si>
    <t>Exp Unc</t>
  </si>
  <si>
    <t>Mag</t>
  </si>
  <si>
    <t>CALIBRATION OF KDK CT-12C  CT s/n 23975</t>
  </si>
  <si>
    <t>Copy/Past results</t>
  </si>
  <si>
    <t>1000 ohms burden test (47Hz)</t>
  </si>
  <si>
    <t>Initial setup. IVD capacitor (GR-1412-BC) set to 0</t>
  </si>
  <si>
    <r>
      <rPr>
        <sz val="10"/>
        <rFont val="French Script MT"/>
        <family val="4"/>
      </rPr>
      <t>l</t>
    </r>
    <r>
      <rPr>
        <sz val="10"/>
        <rFont val="Arial"/>
        <family val="2"/>
      </rPr>
      <t xml:space="preserve"> - 1200At(5A)</t>
    </r>
  </si>
  <si>
    <t>add 0.5 ohms to burden (2 Tinsley 1659 1ohm in parallel)</t>
  </si>
  <si>
    <t>1k across 0.1 shunt. Not the output terminals of the CT under test.</t>
  </si>
  <si>
    <t>75/5</t>
  </si>
  <si>
    <t>100/5</t>
  </si>
  <si>
    <t>in 0.5</t>
  </si>
  <si>
    <t>This data is for 1ohm standard resistor (LTC10// as 1 ohm) vs 0.5ohm Tinsley</t>
  </si>
  <si>
    <t>SR830 range</t>
  </si>
  <si>
    <t>reserve</t>
  </si>
  <si>
    <t>range</t>
  </si>
  <si>
    <t>30/1</t>
  </si>
  <si>
    <t>50/1</t>
  </si>
  <si>
    <t>100 ohms burden test (47Hz)</t>
  </si>
  <si>
    <t>53Hz</t>
  </si>
  <si>
    <t>47Hz</t>
  </si>
  <si>
    <t>100ohm</t>
  </si>
  <si>
    <t>1uF</t>
  </si>
  <si>
    <t>Burden reference</t>
  </si>
  <si>
    <t>100 ohm burden test, 47 Hz</t>
  </si>
  <si>
    <t>100 ohms across the output terminals of the CT under test.</t>
  </si>
  <si>
    <t>1uF across the output terminals of the CT under test.</t>
  </si>
  <si>
    <t>Clamp</t>
  </si>
  <si>
    <t>meter</t>
  </si>
  <si>
    <t>reading</t>
  </si>
  <si>
    <t>Primary Current</t>
  </si>
  <si>
    <t>Phase not set before measurement.</t>
  </si>
  <si>
    <t>1000 ohms across the output terminals of the CT under test.</t>
  </si>
  <si>
    <t>Observed while adding resistor or capacitor</t>
  </si>
  <si>
    <t>1000 ohm burden test, 47 Hz</t>
  </si>
  <si>
    <t>add 3.75 ohms to burden (Tinsley 1659 1 ohm and Tinsley 1659 5 ohm in series (6 ohm) in parallel with Tinsley 1659 10 ohm)</t>
  </si>
  <si>
    <t>add 15 ohms to burden (Tinsley 1659 10 ohm and Tinsley 1659 5 ohm in series)</t>
  </si>
  <si>
    <r>
      <rPr>
        <sz val="10"/>
        <rFont val="French Script MT"/>
        <family val="4"/>
      </rPr>
      <t>l</t>
    </r>
    <r>
      <rPr>
        <sz val="10"/>
        <rFont val="Arial"/>
        <family val="2"/>
      </rPr>
      <t xml:space="preserve"> - 1200At(1A)</t>
    </r>
  </si>
  <si>
    <t>75/1</t>
  </si>
  <si>
    <t>100/1</t>
  </si>
  <si>
    <t>SR830 reads across 0.1 as above. (The 0.5 is in series on the high side)</t>
  </si>
  <si>
    <t>SR830 reads across 0.1 as above. (The 15 ohm is in series on the high side)</t>
  </si>
  <si>
    <t>SR830 reads across 0.1 as above. (The 0.05 is in series on the high side)</t>
  </si>
  <si>
    <t>Burden error from</t>
  </si>
  <si>
    <t>For burden uncert</t>
  </si>
  <si>
    <t>Normal reserve A-B corrections</t>
  </si>
  <si>
    <t>Correction</t>
  </si>
  <si>
    <t>Range</t>
  </si>
  <si>
    <t>Re std dev</t>
  </si>
  <si>
    <t>Im std dev</t>
  </si>
  <si>
    <t>N</t>
  </si>
  <si>
    <t>Std Unc</t>
  </si>
  <si>
    <t>Complex correction factor</t>
  </si>
  <si>
    <t>1.00145248394495+0.000143153156939302i</t>
  </si>
  <si>
    <t>1.00136327721602+0.000146400345176201i</t>
  </si>
  <si>
    <t>1.00099235397866+0.000132291094481857i</t>
  </si>
  <si>
    <t>1.00091129352491+0.000153676954783021i</t>
  </si>
  <si>
    <t>1.00043722944682+0.000193201189599268i</t>
  </si>
  <si>
    <t>0.999439203379677+0.0000506363829008548i</t>
  </si>
  <si>
    <t>0.999475242457496+0.000051024584713592i</t>
  </si>
  <si>
    <t>0.998701318452252+0.000018373671156545i</t>
  </si>
  <si>
    <t>0.99786992029564+0.0000385240471861636i</t>
  </si>
  <si>
    <t>0.995204197566072+5.49500636165852E-06i</t>
  </si>
  <si>
    <t>0.996663307500429+5.11157407181131E-06i</t>
  </si>
  <si>
    <t>0.996593572335246+0.0000317966443928466i</t>
  </si>
  <si>
    <t>0.993699057464449+0.0000897847409242354i</t>
  </si>
  <si>
    <t>1.00040991628264-0.0000705070613463681i</t>
  </si>
  <si>
    <t>1.00330147286772-0.000116396505091392i</t>
  </si>
  <si>
    <t>1.00145388698947-0.000164944018322755i</t>
  </si>
  <si>
    <t>0.99248924126722-0.000273039588930315i</t>
  </si>
  <si>
    <t>0.993714905852952+0.0149862866392433i</t>
  </si>
  <si>
    <t>0.999047385699243-0.0118444582234596i</t>
  </si>
  <si>
    <t>SR830 correction</t>
  </si>
  <si>
    <t>Low noise reserve A-B corrections</t>
  </si>
  <si>
    <t>1.00146373041605+0.000142805999606297i</t>
  </si>
  <si>
    <t>1.00136327064827+0.000139688161881109i</t>
  </si>
  <si>
    <t>1.00110744026209+0.000122175428645204i</t>
  </si>
  <si>
    <t>1.0008123750014+0.00010660835722877i</t>
  </si>
  <si>
    <t>1.00051425892066+0.0000825174969359698i</t>
  </si>
  <si>
    <t>1.00027917802062+0.0000945624144499361i</t>
  </si>
  <si>
    <t>0.99978386191107+0.0000855102567477435i</t>
  </si>
  <si>
    <t>0.999578091664001+0.0000849105534503871i</t>
  </si>
  <si>
    <t>0.999025106996349+0.000161037754014012i</t>
  </si>
  <si>
    <t>0.998458475331593+0.000221948819192582i</t>
  </si>
  <si>
    <t>0.998107597534518+0.0000369578030483551i</t>
  </si>
  <si>
    <t>0.997229131583482+0.000109663060792153i</t>
  </si>
  <si>
    <t>0.996795450489181+0.000108216019888264i</t>
  </si>
  <si>
    <t>0.996879313253736+0.000275999357853439i</t>
  </si>
  <si>
    <t>0.996513165790503-0.0000788898871280955i</t>
  </si>
  <si>
    <t>0.996192738691822+2.12941803047725E-06i</t>
  </si>
  <si>
    <t>0.995552196306595-0.000753805887499795i</t>
  </si>
  <si>
    <t>0.993831940679041+0.00421372918725596i</t>
  </si>
  <si>
    <t>0.992482292123949+0.00578026967345382i</t>
  </si>
  <si>
    <t>0.986810558149518-0.0198030546819442i</t>
  </si>
  <si>
    <t>0.97402361597453+0.0273324231595756i</t>
  </si>
  <si>
    <t>SR830 corrections.</t>
  </si>
  <si>
    <t>Resistors</t>
  </si>
  <si>
    <t>Ti122</t>
  </si>
  <si>
    <t>Ti969</t>
  </si>
  <si>
    <t>MSL0.2</t>
  </si>
  <si>
    <t>From ShuntHistory.xls</t>
  </si>
  <si>
    <t>Primary</t>
  </si>
  <si>
    <t>current</t>
  </si>
  <si>
    <t>A - B reversed</t>
  </si>
  <si>
    <t>Repeat A - B reversed</t>
  </si>
  <si>
    <t>A - B reversed with 1k across 0.1 potential terminals</t>
  </si>
  <si>
    <t>Balance with 1 k across.</t>
  </si>
  <si>
    <t>X005550</t>
  </si>
  <si>
    <t>1uF across CT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</si>
</sst>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"/>
    <numFmt numFmtId="165" formatCode="0.000"/>
    <numFmt numFmtId="166" formatCode="0.000000"/>
    <numFmt numFmtId="167" formatCode="0.00000"/>
    <numFmt numFmtId="168" formatCode="0.0000"/>
    <numFmt numFmtId="169" formatCode="#0\ \ \ \ "/>
    <numFmt numFmtId="170" formatCode="#0.00\ \ \ \ "/>
    <numFmt numFmtId="171" formatCode="#0.0000\ \ "/>
    <numFmt numFmtId="172" formatCode="#0.0\ \ \ \ "/>
    <numFmt numFmtId="173" formatCode="0.0E+00"/>
    <numFmt numFmtId="174" formatCode="0E+00"/>
    <numFmt numFmtId="175" formatCode="0.0000000"/>
  </numFmts>
  <fonts count="2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1"/>
      <name val="Times New Roman"/>
      <family val="1"/>
    </font>
    <font>
      <sz val="11"/>
      <name val="Times New Roman"/>
      <family val="1"/>
    </font>
    <font>
      <sz val="11"/>
      <name val="Symbol"/>
      <family val="1"/>
      <charset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FF000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name val="Gigi"/>
      <family val="5"/>
    </font>
    <font>
      <i/>
      <sz val="10"/>
      <name val="Times New Roman"/>
      <family val="1"/>
    </font>
    <font>
      <vertAlign val="subscript"/>
      <sz val="10"/>
      <name val="Arial"/>
      <family val="2"/>
    </font>
    <font>
      <sz val="10"/>
      <name val="Times New Roman"/>
      <family val="2"/>
    </font>
    <font>
      <sz val="10"/>
      <name val="French Script MT"/>
      <family val="4"/>
    </font>
    <font>
      <sz val="10"/>
      <name val="Arial"/>
      <family val="4"/>
    </font>
    <font>
      <b/>
      <i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65" fontId="0" fillId="0" borderId="0" xfId="0" applyNumberFormat="1"/>
    <xf numFmtId="15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/>
    <xf numFmtId="168" fontId="0" fillId="0" borderId="0" xfId="0" applyNumberFormat="1"/>
    <xf numFmtId="0" fontId="3" fillId="0" borderId="0" xfId="0" applyFont="1" applyAlignment="1">
      <alignment vertical="center"/>
    </xf>
    <xf numFmtId="165" fontId="0" fillId="0" borderId="0" xfId="0" applyNumberFormat="1" applyAlignment="1">
      <alignment horizont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0" xfId="0" applyNumberFormat="1"/>
    <xf numFmtId="11" fontId="0" fillId="0" borderId="0" xfId="0" applyNumberFormat="1"/>
    <xf numFmtId="166" fontId="0" fillId="0" borderId="0" xfId="0" applyNumberFormat="1"/>
    <xf numFmtId="0" fontId="2" fillId="0" borderId="1" xfId="0" applyFont="1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2" fillId="0" borderId="9" xfId="0" applyFont="1" applyBorder="1" applyAlignment="1">
      <alignment vertical="center"/>
    </xf>
    <xf numFmtId="0" fontId="0" fillId="0" borderId="8" xfId="0" applyBorder="1"/>
    <xf numFmtId="0" fontId="0" fillId="0" borderId="12" xfId="0" applyBorder="1"/>
    <xf numFmtId="164" fontId="0" fillId="0" borderId="0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2" borderId="0" xfId="0" applyFill="1"/>
    <xf numFmtId="2" fontId="0" fillId="2" borderId="0" xfId="0" applyNumberFormat="1" applyFill="1"/>
    <xf numFmtId="2" fontId="1" fillId="0" borderId="0" xfId="0" applyNumberFormat="1" applyFont="1"/>
    <xf numFmtId="0" fontId="1" fillId="0" borderId="0" xfId="0" applyFont="1"/>
    <xf numFmtId="165" fontId="1" fillId="0" borderId="0" xfId="0" applyNumberFormat="1" applyFont="1"/>
    <xf numFmtId="0" fontId="5" fillId="0" borderId="0" xfId="0" applyFont="1"/>
    <xf numFmtId="165" fontId="1" fillId="3" borderId="0" xfId="0" applyNumberFormat="1" applyFont="1" applyFill="1"/>
    <xf numFmtId="0" fontId="0" fillId="0" borderId="0" xfId="0" applyFill="1"/>
    <xf numFmtId="166" fontId="0" fillId="0" borderId="0" xfId="0" applyNumberFormat="1" applyFill="1"/>
    <xf numFmtId="166" fontId="0" fillId="0" borderId="0" xfId="0" applyNumberFormat="1" applyAlignment="1">
      <alignment horizontal="right"/>
    </xf>
    <xf numFmtId="0" fontId="0" fillId="5" borderId="0" xfId="0" applyFill="1"/>
    <xf numFmtId="165" fontId="0" fillId="5" borderId="0" xfId="0" applyNumberFormat="1" applyFill="1"/>
    <xf numFmtId="166" fontId="0" fillId="5" borderId="0" xfId="0" applyNumberFormat="1" applyFill="1"/>
    <xf numFmtId="0" fontId="3" fillId="0" borderId="0" xfId="0" applyFont="1" applyAlignment="1">
      <alignment wrapText="1"/>
    </xf>
    <xf numFmtId="2" fontId="2" fillId="0" borderId="0" xfId="0" applyNumberFormat="1" applyFont="1" applyAlignment="1">
      <alignment horizontal="left"/>
    </xf>
    <xf numFmtId="2" fontId="0" fillId="0" borderId="0" xfId="0" applyNumberFormat="1" applyFill="1"/>
    <xf numFmtId="0" fontId="0" fillId="6" borderId="0" xfId="0" applyFill="1"/>
    <xf numFmtId="0" fontId="3" fillId="6" borderId="0" xfId="0" applyFont="1" applyFill="1"/>
    <xf numFmtId="0" fontId="3" fillId="2" borderId="0" xfId="0" applyFont="1" applyFill="1"/>
    <xf numFmtId="0" fontId="0" fillId="7" borderId="0" xfId="0" applyFill="1"/>
    <xf numFmtId="166" fontId="0" fillId="7" borderId="0" xfId="0" applyNumberFormat="1" applyFill="1"/>
    <xf numFmtId="0" fontId="2" fillId="5" borderId="0" xfId="0" applyFont="1" applyFill="1"/>
    <xf numFmtId="166" fontId="3" fillId="7" borderId="0" xfId="0" applyNumberFormat="1" applyFont="1" applyFill="1" applyAlignment="1">
      <alignment horizontal="right"/>
    </xf>
    <xf numFmtId="2" fontId="0" fillId="7" borderId="0" xfId="0" applyNumberFormat="1" applyFill="1"/>
    <xf numFmtId="2" fontId="3" fillId="0" borderId="0" xfId="0" quotePrefix="1" applyNumberFormat="1" applyFont="1"/>
    <xf numFmtId="0" fontId="3" fillId="0" borderId="0" xfId="0" quotePrefix="1" applyFont="1"/>
    <xf numFmtId="164" fontId="2" fillId="0" borderId="0" xfId="0" applyNumberFormat="1" applyFont="1"/>
    <xf numFmtId="2" fontId="2" fillId="0" borderId="0" xfId="0" applyNumberFormat="1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Border="1"/>
    <xf numFmtId="0" fontId="9" fillId="0" borderId="10" xfId="0" applyFont="1" applyBorder="1"/>
    <xf numFmtId="0" fontId="9" fillId="0" borderId="9" xfId="0" applyFont="1" applyBorder="1"/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/>
    </xf>
    <xf numFmtId="2" fontId="9" fillId="0" borderId="6" xfId="0" applyNumberFormat="1" applyFont="1" applyBorder="1" applyAlignment="1">
      <alignment horizontal="center"/>
    </xf>
    <xf numFmtId="164" fontId="9" fillId="0" borderId="6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65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0" fillId="8" borderId="0" xfId="0" applyFill="1"/>
    <xf numFmtId="0" fontId="0" fillId="8" borderId="0" xfId="0" applyFill="1" applyAlignment="1">
      <alignment horizontal="center" wrapText="1"/>
    </xf>
    <xf numFmtId="165" fontId="0" fillId="8" borderId="0" xfId="0" applyNumberFormat="1" applyFill="1" applyAlignment="1">
      <alignment horizontal="center" wrapText="1"/>
    </xf>
    <xf numFmtId="0" fontId="0" fillId="8" borderId="0" xfId="0" applyFill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 vertical="center" wrapText="1"/>
    </xf>
    <xf numFmtId="0" fontId="5" fillId="0" borderId="2" xfId="0" applyFont="1" applyBorder="1" applyAlignment="1">
      <alignment horizontal="right"/>
    </xf>
    <xf numFmtId="0" fontId="5" fillId="0" borderId="2" xfId="0" applyFont="1" applyBorder="1"/>
    <xf numFmtId="165" fontId="0" fillId="0" borderId="5" xfId="0" applyNumberFormat="1" applyBorder="1"/>
    <xf numFmtId="165" fontId="0" fillId="0" borderId="0" xfId="0" applyNumberFormat="1" applyBorder="1"/>
    <xf numFmtId="165" fontId="2" fillId="0" borderId="0" xfId="0" applyNumberFormat="1" applyFont="1" applyBorder="1"/>
    <xf numFmtId="0" fontId="2" fillId="0" borderId="0" xfId="0" applyFont="1" applyBorder="1"/>
    <xf numFmtId="1" fontId="2" fillId="0" borderId="0" xfId="0" applyNumberFormat="1" applyFont="1" applyBorder="1"/>
    <xf numFmtId="165" fontId="2" fillId="7" borderId="0" xfId="0" applyNumberFormat="1" applyFont="1" applyFill="1" applyBorder="1"/>
    <xf numFmtId="0" fontId="2" fillId="7" borderId="6" xfId="0" applyFont="1" applyFill="1" applyBorder="1"/>
    <xf numFmtId="0" fontId="2" fillId="0" borderId="5" xfId="0" applyFont="1" applyBorder="1"/>
    <xf numFmtId="2" fontId="0" fillId="0" borderId="0" xfId="0" applyNumberFormat="1" applyBorder="1"/>
    <xf numFmtId="165" fontId="0" fillId="7" borderId="0" xfId="0" applyNumberFormat="1" applyFill="1" applyBorder="1"/>
    <xf numFmtId="2" fontId="0" fillId="7" borderId="6" xfId="0" applyNumberFormat="1" applyFill="1" applyBorder="1"/>
    <xf numFmtId="1" fontId="2" fillId="0" borderId="7" xfId="0" applyNumberFormat="1" applyFont="1" applyBorder="1"/>
    <xf numFmtId="2" fontId="0" fillId="0" borderId="7" xfId="0" applyNumberFormat="1" applyBorder="1"/>
    <xf numFmtId="165" fontId="0" fillId="7" borderId="7" xfId="0" applyNumberFormat="1" applyFill="1" applyBorder="1"/>
    <xf numFmtId="2" fontId="0" fillId="7" borderId="8" xfId="0" applyNumberFormat="1" applyFill="1" applyBorder="1"/>
    <xf numFmtId="0" fontId="9" fillId="0" borderId="13" xfId="0" applyFont="1" applyBorder="1" applyAlignment="1">
      <alignment horizontal="center" vertical="center" wrapText="1"/>
    </xf>
    <xf numFmtId="2" fontId="9" fillId="0" borderId="14" xfId="0" applyNumberFormat="1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165" fontId="9" fillId="0" borderId="12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9" fillId="0" borderId="12" xfId="0" applyFont="1" applyBorder="1"/>
    <xf numFmtId="0" fontId="13" fillId="0" borderId="0" xfId="0" applyFont="1"/>
    <xf numFmtId="2" fontId="9" fillId="0" borderId="14" xfId="0" applyNumberFormat="1" applyFont="1" applyBorder="1" applyAlignment="1">
      <alignment horizontal="center" vertical="center" wrapText="1"/>
    </xf>
    <xf numFmtId="1" fontId="0" fillId="2" borderId="0" xfId="0" applyNumberFormat="1" applyFill="1" applyAlignment="1">
      <alignment horizontal="center"/>
    </xf>
    <xf numFmtId="1" fontId="0" fillId="0" borderId="0" xfId="0" applyNumberFormat="1" applyFill="1"/>
    <xf numFmtId="9" fontId="0" fillId="0" borderId="0" xfId="0" applyNumberFormat="1"/>
    <xf numFmtId="1" fontId="0" fillId="2" borderId="0" xfId="0" applyNumberFormat="1" applyFill="1"/>
    <xf numFmtId="0" fontId="0" fillId="4" borderId="0" xfId="0" applyFill="1"/>
    <xf numFmtId="11" fontId="0" fillId="4" borderId="0" xfId="0" applyNumberFormat="1" applyFill="1"/>
    <xf numFmtId="2" fontId="0" fillId="9" borderId="0" xfId="0" applyNumberFormat="1" applyFill="1"/>
    <xf numFmtId="164" fontId="0" fillId="9" borderId="0" xfId="0" applyNumberFormat="1" applyFill="1"/>
    <xf numFmtId="0" fontId="0" fillId="9" borderId="0" xfId="0" applyFill="1"/>
    <xf numFmtId="2" fontId="3" fillId="0" borderId="0" xfId="0" applyNumberFormat="1" applyFont="1"/>
    <xf numFmtId="2" fontId="9" fillId="0" borderId="0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169" fontId="14" fillId="0" borderId="0" xfId="0" applyNumberFormat="1" applyFont="1" applyBorder="1" applyAlignment="1">
      <alignment horizontal="center"/>
    </xf>
    <xf numFmtId="0" fontId="15" fillId="0" borderId="0" xfId="0" applyFont="1"/>
    <xf numFmtId="0" fontId="0" fillId="10" borderId="0" xfId="0" applyFill="1"/>
    <xf numFmtId="169" fontId="15" fillId="0" borderId="0" xfId="0" applyNumberFormat="1" applyFont="1" applyBorder="1" applyAlignment="1">
      <alignment horizontal="center"/>
    </xf>
    <xf numFmtId="0" fontId="15" fillId="0" borderId="7" xfId="0" applyFont="1" applyBorder="1"/>
    <xf numFmtId="0" fontId="16" fillId="0" borderId="7" xfId="0" applyFont="1" applyBorder="1" applyAlignment="1">
      <alignment horizontal="left"/>
    </xf>
    <xf numFmtId="0" fontId="15" fillId="0" borderId="7" xfId="0" applyFont="1" applyFill="1" applyBorder="1" applyAlignment="1">
      <alignment horizontal="center" vertical="top" wrapText="1"/>
    </xf>
    <xf numFmtId="170" fontId="15" fillId="0" borderId="0" xfId="0" applyNumberFormat="1" applyFont="1" applyBorder="1" applyAlignment="1">
      <alignment horizontal="center"/>
    </xf>
    <xf numFmtId="169" fontId="15" fillId="0" borderId="0" xfId="0" applyNumberFormat="1" applyFont="1" applyAlignment="1">
      <alignment horizontal="center"/>
    </xf>
    <xf numFmtId="171" fontId="15" fillId="0" borderId="0" xfId="0" applyNumberFormat="1" applyFont="1" applyBorder="1" applyAlignment="1">
      <alignment horizontal="right" indent="1"/>
    </xf>
    <xf numFmtId="167" fontId="15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horizontal="center" vertical="top" wrapText="1"/>
    </xf>
    <xf numFmtId="169" fontId="15" fillId="0" borderId="0" xfId="0" applyNumberFormat="1" applyFont="1" applyBorder="1" applyAlignment="1">
      <alignment horizontal="left" vertical="center"/>
    </xf>
    <xf numFmtId="0" fontId="19" fillId="0" borderId="7" xfId="0" applyFont="1" applyBorder="1" applyAlignment="1">
      <alignment horizontal="right" vertical="center"/>
    </xf>
    <xf numFmtId="169" fontId="15" fillId="0" borderId="0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right" vertical="center"/>
    </xf>
    <xf numFmtId="164" fontId="0" fillId="0" borderId="0" xfId="0" applyNumberFormat="1" applyBorder="1"/>
    <xf numFmtId="2" fontId="8" fillId="0" borderId="0" xfId="0" applyNumberFormat="1" applyFont="1" applyBorder="1" applyAlignment="1">
      <alignment horizontal="left" vertical="center"/>
    </xf>
    <xf numFmtId="0" fontId="9" fillId="0" borderId="0" xfId="0" applyFont="1" applyFill="1" applyBorder="1"/>
    <xf numFmtId="2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164" fontId="9" fillId="0" borderId="0" xfId="0" applyNumberFormat="1" applyFont="1" applyBorder="1" applyAlignment="1">
      <alignment horizontal="center" vertical="center" wrapText="1"/>
    </xf>
    <xf numFmtId="14" fontId="1" fillId="0" borderId="0" xfId="0" applyNumberFormat="1" applyFont="1"/>
    <xf numFmtId="0" fontId="1" fillId="0" borderId="9" xfId="0" applyFont="1" applyBorder="1" applyAlignment="1">
      <alignment horizontal="center" vertical="center" wrapText="1"/>
    </xf>
    <xf numFmtId="46" fontId="9" fillId="0" borderId="7" xfId="0" applyNumberFormat="1" applyFont="1" applyBorder="1" applyAlignment="1">
      <alignment vertical="center"/>
    </xf>
    <xf numFmtId="16" fontId="2" fillId="0" borderId="0" xfId="0" quotePrefix="1" applyNumberFormat="1" applyFont="1" applyBorder="1" applyAlignment="1">
      <alignment horizontal="center"/>
    </xf>
    <xf numFmtId="172" fontId="15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1" fillId="0" borderId="0" xfId="0" quotePrefix="1" applyNumberFormat="1" applyFont="1"/>
    <xf numFmtId="0" fontId="1" fillId="0" borderId="0" xfId="0" quotePrefix="1" applyFont="1"/>
    <xf numFmtId="0" fontId="21" fillId="0" borderId="0" xfId="0" applyFont="1"/>
    <xf numFmtId="0" fontId="1" fillId="4" borderId="0" xfId="0" applyFont="1" applyFill="1"/>
    <xf numFmtId="0" fontId="0" fillId="0" borderId="0" xfId="0" applyNumberFormat="1"/>
    <xf numFmtId="2" fontId="5" fillId="0" borderId="0" xfId="0" applyNumberFormat="1" applyFont="1"/>
    <xf numFmtId="0" fontId="1" fillId="11" borderId="0" xfId="0" applyFont="1" applyFill="1"/>
    <xf numFmtId="0" fontId="0" fillId="11" borderId="0" xfId="0" applyFill="1"/>
    <xf numFmtId="2" fontId="0" fillId="11" borderId="0" xfId="0" applyNumberFormat="1" applyFill="1"/>
    <xf numFmtId="0" fontId="22" fillId="11" borderId="0" xfId="0" applyFont="1" applyFill="1"/>
    <xf numFmtId="0" fontId="23" fillId="0" borderId="0" xfId="0" applyFont="1"/>
    <xf numFmtId="0" fontId="24" fillId="0" borderId="0" xfId="0" applyFont="1"/>
    <xf numFmtId="164" fontId="0" fillId="11" borderId="0" xfId="0" applyNumberFormat="1" applyFill="1"/>
    <xf numFmtId="2" fontId="25" fillId="0" borderId="0" xfId="0" applyNumberFormat="1" applyFont="1"/>
    <xf numFmtId="165" fontId="23" fillId="3" borderId="0" xfId="0" applyNumberFormat="1" applyFont="1" applyFill="1"/>
    <xf numFmtId="0" fontId="2" fillId="7" borderId="0" xfId="0" applyFont="1" applyFill="1"/>
    <xf numFmtId="0" fontId="2" fillId="7" borderId="0" xfId="0" applyFont="1" applyFill="1" applyAlignment="1">
      <alignment horizontal="right"/>
    </xf>
    <xf numFmtId="165" fontId="0" fillId="7" borderId="0" xfId="0" applyNumberFormat="1" applyFill="1"/>
    <xf numFmtId="167" fontId="0" fillId="0" borderId="0" xfId="0" applyNumberFormat="1"/>
    <xf numFmtId="173" fontId="0" fillId="0" borderId="0" xfId="0" applyNumberFormat="1"/>
    <xf numFmtId="174" fontId="0" fillId="0" borderId="0" xfId="0" applyNumberFormat="1"/>
    <xf numFmtId="167" fontId="1" fillId="0" borderId="0" xfId="0" applyNumberFormat="1" applyFont="1"/>
    <xf numFmtId="175" fontId="0" fillId="0" borderId="0" xfId="0" applyNumberFormat="1"/>
    <xf numFmtId="2" fontId="23" fillId="0" borderId="0" xfId="0" applyNumberFormat="1" applyFont="1"/>
    <xf numFmtId="165" fontId="0" fillId="11" borderId="0" xfId="0" applyNumberFormat="1" applyFill="1"/>
    <xf numFmtId="0" fontId="2" fillId="12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46" fontId="8" fillId="0" borderId="9" xfId="0" applyNumberFormat="1" applyFont="1" applyBorder="1" applyAlignment="1">
      <alignment horizontal="left" vertical="center"/>
    </xf>
    <xf numFmtId="0" fontId="0" fillId="0" borderId="11" xfId="0" applyBorder="1" applyAlignment="1"/>
    <xf numFmtId="0" fontId="0" fillId="0" borderId="10" xfId="0" applyBorder="1" applyAlignment="1"/>
    <xf numFmtId="0" fontId="9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7" fillId="0" borderId="2" xfId="0" applyFont="1" applyFill="1" applyBorder="1" applyAlignment="1">
      <alignment horizontal="center" vertical="top" wrapText="1"/>
    </xf>
    <xf numFmtId="0" fontId="5" fillId="0" borderId="2" xfId="0" applyFont="1" applyBorder="1" applyAlignment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CCFF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'Data (1A)'!$AB$10:$AB$13</c:f>
              <c:numCache>
                <c:formatCode>0.00</c:formatCode>
                <c:ptCount val="4"/>
                <c:pt idx="0">
                  <c:v>1.0240478933601421E-3</c:v>
                </c:pt>
                <c:pt idx="1">
                  <c:v>1.6238652634065161E-2</c:v>
                </c:pt>
                <c:pt idx="2">
                  <c:v>0.10060212464256064</c:v>
                </c:pt>
                <c:pt idx="3">
                  <c:v>0.14518001120990329</c:v>
                </c:pt>
              </c:numCache>
            </c:numRef>
          </c:xVal>
          <c:yVal>
            <c:numRef>
              <c:f>'Data (1A)'!$AC$10:$AC$13</c:f>
              <c:numCache>
                <c:formatCode>0</c:formatCode>
                <c:ptCount val="4"/>
                <c:pt idx="0">
                  <c:v>98.862406987155765</c:v>
                </c:pt>
                <c:pt idx="1">
                  <c:v>95.443274095696552</c:v>
                </c:pt>
                <c:pt idx="2">
                  <c:v>96.687408776232786</c:v>
                </c:pt>
                <c:pt idx="3">
                  <c:v>98.391355712618775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04-4BBF-A5D3-F8753BE9C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693496"/>
        <c:axId val="681693824"/>
      </c:scatterChart>
      <c:valAx>
        <c:axId val="68169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93824"/>
        <c:crosses val="autoZero"/>
        <c:crossBetween val="midCat"/>
      </c:valAx>
      <c:valAx>
        <c:axId val="68169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9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Jumps on</a:t>
            </a:r>
            <a:r>
              <a:rPr lang="en-NZ" baseline="0"/>
              <a:t> negative side are range changes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(1A)'!$AN$26:$AN$45</c:f>
              <c:numCache>
                <c:formatCode>General</c:formatCode>
                <c:ptCount val="20"/>
                <c:pt idx="0">
                  <c:v>5.0256563089999999E-3</c:v>
                </c:pt>
                <c:pt idx="1">
                  <c:v>1.006405011E-2</c:v>
                </c:pt>
                <c:pt idx="2">
                  <c:v>2.0106566916000001E-2</c:v>
                </c:pt>
                <c:pt idx="3">
                  <c:v>4.0114081943999999E-2</c:v>
                </c:pt>
                <c:pt idx="4">
                  <c:v>6.0451538954000003E-2</c:v>
                </c:pt>
                <c:pt idx="5">
                  <c:v>0.1003972553</c:v>
                </c:pt>
                <c:pt idx="6">
                  <c:v>0.12091595442</c:v>
                </c:pt>
                <c:pt idx="7">
                  <c:v>5.0127041632000002E-3</c:v>
                </c:pt>
                <c:pt idx="8">
                  <c:v>4.9926271668000004E-3</c:v>
                </c:pt>
                <c:pt idx="9">
                  <c:v>1.0103821604E-2</c:v>
                </c:pt>
                <c:pt idx="10">
                  <c:v>5.0278993229999997E-3</c:v>
                </c:pt>
                <c:pt idx="11">
                  <c:v>5.0307328991999996E-3</c:v>
                </c:pt>
                <c:pt idx="12">
                  <c:v>1.0068075362E-2</c:v>
                </c:pt>
                <c:pt idx="13">
                  <c:v>2.0093419202000001E-2</c:v>
                </c:pt>
                <c:pt idx="14">
                  <c:v>2.0090256827999999E-2</c:v>
                </c:pt>
                <c:pt idx="15">
                  <c:v>4.0111263603999997E-2</c:v>
                </c:pt>
                <c:pt idx="16">
                  <c:v>4.0106945720000002E-2</c:v>
                </c:pt>
                <c:pt idx="17">
                  <c:v>6.0070232546000003E-2</c:v>
                </c:pt>
                <c:pt idx="18">
                  <c:v>0.10041541465999999</c:v>
                </c:pt>
                <c:pt idx="19">
                  <c:v>0.11988927634</c:v>
                </c:pt>
              </c:numCache>
            </c:numRef>
          </c:xVal>
          <c:yVal>
            <c:numRef>
              <c:f>'Data (1A)'!$AO$26:$AO$45</c:f>
              <c:numCache>
                <c:formatCode>0.00E+00</c:formatCode>
                <c:ptCount val="20"/>
                <c:pt idx="0">
                  <c:v>6.3024098009999999E-8</c:v>
                </c:pt>
                <c:pt idx="1">
                  <c:v>-2.0323885969999999E-8</c:v>
                </c:pt>
                <c:pt idx="2">
                  <c:v>1.6763906E-9</c:v>
                </c:pt>
                <c:pt idx="3">
                  <c:v>8.5812541199999902E-8</c:v>
                </c:pt>
                <c:pt idx="4">
                  <c:v>6.0195435000000002E-7</c:v>
                </c:pt>
                <c:pt idx="5">
                  <c:v>1.1696546000000001E-6</c:v>
                </c:pt>
                <c:pt idx="6">
                  <c:v>2.2053828999999999E-6</c:v>
                </c:pt>
                <c:pt idx="7">
                  <c:v>4.5130980319999997E-8</c:v>
                </c:pt>
                <c:pt idx="8">
                  <c:v>5.5271999399999997E-8</c:v>
                </c:pt>
                <c:pt idx="9">
                  <c:v>2.5103930750000001E-8</c:v>
                </c:pt>
                <c:pt idx="10">
                  <c:v>-5.7382571660000003E-8</c:v>
                </c:pt>
                <c:pt idx="11">
                  <c:v>-1.363638671E-7</c:v>
                </c:pt>
                <c:pt idx="12">
                  <c:v>-2.5585669079999999E-7</c:v>
                </c:pt>
                <c:pt idx="13">
                  <c:v>-4.0771193999999999E-7</c:v>
                </c:pt>
                <c:pt idx="14">
                  <c:v>-4.3269492999999998E-7</c:v>
                </c:pt>
                <c:pt idx="15">
                  <c:v>-7.9593075000000003E-7</c:v>
                </c:pt>
                <c:pt idx="16">
                  <c:v>-7.4224004000000005E-7</c:v>
                </c:pt>
                <c:pt idx="17">
                  <c:v>-8.9077762999999997E-7</c:v>
                </c:pt>
                <c:pt idx="18">
                  <c:v>-1.10269E-6</c:v>
                </c:pt>
                <c:pt idx="19">
                  <c:v>-1.11014E-6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C-4535-9FD9-6B631929D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591328"/>
        <c:axId val="749591656"/>
      </c:scatterChart>
      <c:valAx>
        <c:axId val="74959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591656"/>
        <c:crosses val="autoZero"/>
        <c:crossBetween val="midCat"/>
      </c:valAx>
      <c:valAx>
        <c:axId val="74959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59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099414375004927E-2"/>
          <c:y val="0.13421875362924768"/>
          <c:w val="0.81081318861788143"/>
          <c:h val="0.7212404963195181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0.17831403214343725"/>
                  <c:y val="0.1254752851711026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 Data (5A)'!$AB$10:$AB$13</c:f>
              <c:numCache>
                <c:formatCode>0.00</c:formatCode>
                <c:ptCount val="4"/>
                <c:pt idx="0">
                  <c:v>0.1069811239452426</c:v>
                </c:pt>
                <c:pt idx="1">
                  <c:v>0.91049909831220366</c:v>
                </c:pt>
                <c:pt idx="2">
                  <c:v>2.538637562739035</c:v>
                </c:pt>
                <c:pt idx="3">
                  <c:v>3.6678066920314318</c:v>
                </c:pt>
              </c:numCache>
            </c:numRef>
          </c:xVal>
          <c:yVal>
            <c:numRef>
              <c:f>' Data (5A)'!$AC$10:$AC$13</c:f>
              <c:numCache>
                <c:formatCode>0</c:formatCode>
                <c:ptCount val="4"/>
                <c:pt idx="0">
                  <c:v>9.4973182620931951</c:v>
                </c:pt>
                <c:pt idx="1">
                  <c:v>15.627141905366274</c:v>
                </c:pt>
                <c:pt idx="2">
                  <c:v>27.30809870578436</c:v>
                </c:pt>
                <c:pt idx="3">
                  <c:v>35.666363654336898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E4-4497-93FB-3E0F8C31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24416"/>
        <c:axId val="1"/>
      </c:scatterChart>
      <c:valAx>
        <c:axId val="2336244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624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099414375004927E-2"/>
          <c:y val="0.13421875362924768"/>
          <c:w val="0.81081318861788143"/>
          <c:h val="0.7212404963195181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0.17831403214343725"/>
                  <c:y val="0.1254752851711026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ctr" rtl="1"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 Data (5A) (2)'!$AB$10:$AB$13</c:f>
              <c:numCache>
                <c:formatCode>0.00</c:formatCode>
                <c:ptCount val="4"/>
                <c:pt idx="0">
                  <c:v>0.10021560356222088</c:v>
                </c:pt>
                <c:pt idx="1">
                  <c:v>0.90624796206003766</c:v>
                </c:pt>
                <c:pt idx="2">
                  <c:v>2.505480474624096</c:v>
                </c:pt>
                <c:pt idx="3">
                  <c:v>3.5958143471910242</c:v>
                </c:pt>
              </c:numCache>
            </c:numRef>
          </c:xVal>
          <c:yVal>
            <c:numRef>
              <c:f>' Data (5A) (2)'!$AC$10:$AC$13</c:f>
              <c:numCache>
                <c:formatCode>0</c:formatCode>
                <c:ptCount val="4"/>
                <c:pt idx="0">
                  <c:v>-5.6298120742200197</c:v>
                </c:pt>
                <c:pt idx="1">
                  <c:v>1.0063774603379358</c:v>
                </c:pt>
                <c:pt idx="2">
                  <c:v>13.033098480476223</c:v>
                </c:pt>
                <c:pt idx="3">
                  <c:v>22.818729577340466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49-4C09-8BB7-FE1234982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24416"/>
        <c:axId val="1"/>
      </c:scatterChart>
      <c:valAx>
        <c:axId val="2336244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6244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NZ"/>
              <a:t>Phase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Calculations!$O$53</c:f>
              <c:strCache>
                <c:ptCount val="1"/>
                <c:pt idx="0">
                  <c:v>vs unequal ratios</c:v>
                </c:pt>
              </c:strCache>
            </c:strRef>
          </c:tx>
          <c:xVal>
            <c:numRef>
              <c:f>Calculations!$N$54:$N$59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Calculations!$O$54:$O$59</c:f>
              <c:numCache>
                <c:formatCode>0.00</c:formatCode>
                <c:ptCount val="6"/>
                <c:pt idx="0">
                  <c:v>0.1977685692916471</c:v>
                </c:pt>
                <c:pt idx="1">
                  <c:v>0.19088938420973767</c:v>
                </c:pt>
                <c:pt idx="2">
                  <c:v>0.18088017816983926</c:v>
                </c:pt>
                <c:pt idx="3">
                  <c:v>0.28308277251638608</c:v>
                </c:pt>
                <c:pt idx="4">
                  <c:v>0.38382365334572432</c:v>
                </c:pt>
                <c:pt idx="5">
                  <c:v>0.78877932581886079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97-4B64-AADD-761785BFFFAA}"/>
            </c:ext>
          </c:extLst>
        </c:ser>
        <c:ser>
          <c:idx val="1"/>
          <c:order val="1"/>
          <c:tx>
            <c:strRef>
              <c:f>Calculations!$P$53</c:f>
              <c:strCache>
                <c:ptCount val="1"/>
                <c:pt idx="0">
                  <c:v>vs single stage</c:v>
                </c:pt>
              </c:strCache>
            </c:strRef>
          </c:tx>
          <c:xVal>
            <c:numRef>
              <c:f>Calculations!$N$54:$N$59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Calculations!$P$54:$P$59</c:f>
              <c:numCache>
                <c:formatCode>0.00</c:formatCode>
                <c:ptCount val="6"/>
                <c:pt idx="0">
                  <c:v>0.86789572493107492</c:v>
                </c:pt>
                <c:pt idx="1">
                  <c:v>0.83264106207730548</c:v>
                </c:pt>
                <c:pt idx="2">
                  <c:v>0.77029712424801888</c:v>
                </c:pt>
                <c:pt idx="3">
                  <c:v>0.68648817899622894</c:v>
                </c:pt>
                <c:pt idx="4">
                  <c:v>0.61886365702704804</c:v>
                </c:pt>
                <c:pt idx="5">
                  <c:v>0.53889735029053265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97-4B64-AADD-761785BFF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3512"/>
        <c:axId val="1"/>
      </c:scatterChart>
      <c:valAx>
        <c:axId val="233643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643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67840089746992"/>
          <c:y val="0.44097371749443054"/>
          <c:w val="0.2727275478672479"/>
          <c:h val="0.25000084771337794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NZ"/>
              <a:t>Ratio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Calculations!$O$43</c:f>
              <c:strCache>
                <c:ptCount val="1"/>
                <c:pt idx="0">
                  <c:v>vs unequal ratios</c:v>
                </c:pt>
              </c:strCache>
            </c:strRef>
          </c:tx>
          <c:xVal>
            <c:numRef>
              <c:f>Calculations!$N$44:$N$49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Calculations!$O$44:$O$49</c:f>
              <c:numCache>
                <c:formatCode>0.00</c:formatCode>
                <c:ptCount val="6"/>
                <c:pt idx="0">
                  <c:v>-7.3052151605169188E-2</c:v>
                </c:pt>
                <c:pt idx="1">
                  <c:v>-7.5057671674103169E-2</c:v>
                </c:pt>
                <c:pt idx="2">
                  <c:v>-7.5879944769966054E-2</c:v>
                </c:pt>
                <c:pt idx="3">
                  <c:v>-9.9889022813507949E-2</c:v>
                </c:pt>
                <c:pt idx="4">
                  <c:v>-0.12730880684602658</c:v>
                </c:pt>
                <c:pt idx="5">
                  <c:v>-0.19036706039425999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60-4A25-8B7C-DA1AB233CF26}"/>
            </c:ext>
          </c:extLst>
        </c:ser>
        <c:ser>
          <c:idx val="1"/>
          <c:order val="1"/>
          <c:tx>
            <c:strRef>
              <c:f>Calculations!$P$43</c:f>
              <c:strCache>
                <c:ptCount val="1"/>
                <c:pt idx="0">
                  <c:v>vs single stage</c:v>
                </c:pt>
              </c:strCache>
            </c:strRef>
          </c:tx>
          <c:xVal>
            <c:numRef>
              <c:f>Calculations!$N$44:$N$49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Calculations!$P$44:$P$49</c:f>
              <c:numCache>
                <c:formatCode>0.00</c:formatCode>
                <c:ptCount val="6"/>
                <c:pt idx="0">
                  <c:v>-0.26820216388770779</c:v>
                </c:pt>
                <c:pt idx="1">
                  <c:v>-0.28310442799286606</c:v>
                </c:pt>
                <c:pt idx="2">
                  <c:v>-0.30374312915094409</c:v>
                </c:pt>
                <c:pt idx="3">
                  <c:v>-0.32785737920093161</c:v>
                </c:pt>
                <c:pt idx="4">
                  <c:v>-0.34631461456884238</c:v>
                </c:pt>
                <c:pt idx="5">
                  <c:v>-0.36464616947711775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60-4A25-8B7C-DA1AB233C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5920"/>
        <c:axId val="1"/>
      </c:scatterChart>
      <c:valAx>
        <c:axId val="233955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955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5143687222669"/>
          <c:y val="0.44444595149044969"/>
          <c:w val="0.27500055949007057"/>
          <c:h val="0.25000084771337794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Calculations!$I$87</c:f>
              <c:strCache>
                <c:ptCount val="1"/>
                <c:pt idx="0">
                  <c:v>mA/A</c:v>
                </c:pt>
              </c:strCache>
            </c:strRef>
          </c:tx>
          <c:marker>
            <c:symbol val="none"/>
          </c:marker>
          <c:xVal>
            <c:numRef>
              <c:f>Calculations!$H$88:$H$91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</c:numCache>
            </c:numRef>
          </c:xVal>
          <c:yVal>
            <c:numRef>
              <c:f>Calculations!$I$88:$I$91</c:f>
              <c:numCache>
                <c:formatCode>0.00</c:formatCode>
                <c:ptCount val="4"/>
                <c:pt idx="0">
                  <c:v>-9.9017207034306831E-2</c:v>
                </c:pt>
                <c:pt idx="1">
                  <c:v>-0.19036706039425999</c:v>
                </c:pt>
                <c:pt idx="2">
                  <c:v>#N/A</c:v>
                </c:pt>
                <c:pt idx="3" formatCode="General">
                  <c:v>-0.37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5-4961-840E-E937F4DA6DF7}"/>
            </c:ext>
          </c:extLst>
        </c:ser>
        <c:ser>
          <c:idx val="1"/>
          <c:order val="1"/>
          <c:tx>
            <c:strRef>
              <c:f>Calculations!$J$87</c:f>
              <c:strCache>
                <c:ptCount val="1"/>
                <c:pt idx="0">
                  <c:v>mrad</c:v>
                </c:pt>
              </c:strCache>
            </c:strRef>
          </c:tx>
          <c:marker>
            <c:symbol val="none"/>
          </c:marker>
          <c:xVal>
            <c:numRef>
              <c:f>Calculations!$H$88:$H$91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</c:numCache>
            </c:numRef>
          </c:xVal>
          <c:yVal>
            <c:numRef>
              <c:f>Calculations!$J$88:$J$91</c:f>
              <c:numCache>
                <c:formatCode>0.00</c:formatCode>
                <c:ptCount val="4"/>
                <c:pt idx="0">
                  <c:v>0.21459007142083189</c:v>
                </c:pt>
                <c:pt idx="1">
                  <c:v>0.78877932581886079</c:v>
                </c:pt>
                <c:pt idx="2">
                  <c:v>#N/A</c:v>
                </c:pt>
                <c:pt idx="3" formatCode="General">
                  <c:v>0.51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5-4961-840E-E937F4DA6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78080"/>
        <c:axId val="1"/>
      </c:scatterChart>
      <c:valAx>
        <c:axId val="23367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6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333502875778964"/>
          <c:y val="0.40972361153025827"/>
          <c:w val="0.14791696760450765"/>
          <c:h val="0.1666672318089186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Constants!$B$15:$B$33</c:f>
              <c:numCache>
                <c:formatCode>General</c:formatCode>
                <c:ptCount val="19"/>
                <c:pt idx="0">
                  <c:v>26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</c:numCache>
            </c:numRef>
          </c:xVal>
          <c:yVal>
            <c:numRef>
              <c:f>Constants!$C$15:$C$33</c:f>
              <c:numCache>
                <c:formatCode>0.00000</c:formatCode>
                <c:ptCount val="19"/>
                <c:pt idx="0">
                  <c:v>1.0014524839449512</c:v>
                </c:pt>
                <c:pt idx="1">
                  <c:v>1.0013632772160181</c:v>
                </c:pt>
                <c:pt idx="2">
                  <c:v>1.0009923539786605</c:v>
                </c:pt>
                <c:pt idx="3">
                  <c:v>1.0009112935249094</c:v>
                </c:pt>
                <c:pt idx="4">
                  <c:v>1.0004372294468233</c:v>
                </c:pt>
                <c:pt idx="5">
                  <c:v>0.99943920337967707</c:v>
                </c:pt>
                <c:pt idx="6">
                  <c:v>0.99947524245749575</c:v>
                </c:pt>
                <c:pt idx="7">
                  <c:v>0.99870131845225174</c:v>
                </c:pt>
                <c:pt idx="8">
                  <c:v>0.99786992029563959</c:v>
                </c:pt>
                <c:pt idx="9">
                  <c:v>0.99520419756607237</c:v>
                </c:pt>
                <c:pt idx="10">
                  <c:v>0.9966633075004292</c:v>
                </c:pt>
                <c:pt idx="11">
                  <c:v>0.99659357233524604</c:v>
                </c:pt>
                <c:pt idx="12">
                  <c:v>0.99369905746444864</c:v>
                </c:pt>
                <c:pt idx="13">
                  <c:v>1.000409916282643</c:v>
                </c:pt>
                <c:pt idx="14">
                  <c:v>1.0033014728677232</c:v>
                </c:pt>
                <c:pt idx="15">
                  <c:v>1.0014538869894722</c:v>
                </c:pt>
                <c:pt idx="16">
                  <c:v>0.99248924126722049</c:v>
                </c:pt>
                <c:pt idx="17">
                  <c:v>0.99371490585295241</c:v>
                </c:pt>
                <c:pt idx="18">
                  <c:v>0.99904738569924345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FD-4357-9F29-5F530024447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Constants!$B$15:$B$33</c:f>
              <c:numCache>
                <c:formatCode>General</c:formatCode>
                <c:ptCount val="19"/>
                <c:pt idx="0">
                  <c:v>26</c:v>
                </c:pt>
                <c:pt idx="1">
                  <c:v>25</c:v>
                </c:pt>
                <c:pt idx="2">
                  <c:v>24</c:v>
                </c:pt>
                <c:pt idx="3">
                  <c:v>23</c:v>
                </c:pt>
                <c:pt idx="4">
                  <c:v>22</c:v>
                </c:pt>
                <c:pt idx="5">
                  <c:v>21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8</c:v>
                </c:pt>
              </c:numCache>
            </c:numRef>
          </c:xVal>
          <c:yVal>
            <c:numRef>
              <c:f>Constants!$C$39:$C$57</c:f>
              <c:numCache>
                <c:formatCode>0.00000</c:formatCode>
                <c:ptCount val="19"/>
                <c:pt idx="0">
                  <c:v>1.0014637304160539</c:v>
                </c:pt>
                <c:pt idx="1">
                  <c:v>1.0013632706482738</c:v>
                </c:pt>
                <c:pt idx="2">
                  <c:v>1.001107440262091</c:v>
                </c:pt>
                <c:pt idx="3">
                  <c:v>1.0008123750014017</c:v>
                </c:pt>
                <c:pt idx="4">
                  <c:v>1.0005142589206557</c:v>
                </c:pt>
                <c:pt idx="5">
                  <c:v>1.0002791780206206</c:v>
                </c:pt>
                <c:pt idx="6">
                  <c:v>0.99978386191106983</c:v>
                </c:pt>
                <c:pt idx="7">
                  <c:v>0.99957809166400124</c:v>
                </c:pt>
                <c:pt idx="8">
                  <c:v>0.99902510699634917</c:v>
                </c:pt>
                <c:pt idx="9">
                  <c:v>0.99845847533159326</c:v>
                </c:pt>
                <c:pt idx="10">
                  <c:v>0.99810759753451805</c:v>
                </c:pt>
                <c:pt idx="11">
                  <c:v>0.99722913158348225</c:v>
                </c:pt>
                <c:pt idx="12">
                  <c:v>0.99679545048918061</c:v>
                </c:pt>
                <c:pt idx="13">
                  <c:v>0.99687931325373602</c:v>
                </c:pt>
                <c:pt idx="14">
                  <c:v>0.99651316579050342</c:v>
                </c:pt>
                <c:pt idx="15">
                  <c:v>0.99619273869182201</c:v>
                </c:pt>
                <c:pt idx="16">
                  <c:v>0.99555219630659486</c:v>
                </c:pt>
                <c:pt idx="17">
                  <c:v>0.9938319406790409</c:v>
                </c:pt>
                <c:pt idx="18">
                  <c:v>0.99248229212394889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FD-4357-9F29-5F5300244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396416"/>
        <c:axId val="366396744"/>
      </c:scatterChart>
      <c:valAx>
        <c:axId val="36639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96744"/>
        <c:crosses val="autoZero"/>
        <c:crossBetween val="midCat"/>
      </c:valAx>
      <c:valAx>
        <c:axId val="36639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39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'Previous Cal'!$Q$49</c:f>
              <c:strCache>
                <c:ptCount val="1"/>
                <c:pt idx="0">
                  <c:v>2018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'Previous Cal'!$M$50:$M$56</c:f>
                <c:numCache>
                  <c:formatCode>General</c:formatCode>
                  <c:ptCount val="7"/>
                  <c:pt idx="0">
                    <c:v>0.15296721164462806</c:v>
                  </c:pt>
                  <c:pt idx="1">
                    <c:v>0.15427292751862154</c:v>
                  </c:pt>
                  <c:pt idx="2">
                    <c:v>0.16182824213182229</c:v>
                  </c:pt>
                  <c:pt idx="3">
                    <c:v>0.17035035801648163</c:v>
                  </c:pt>
                  <c:pt idx="4">
                    <c:v>0.17178754887238312</c:v>
                  </c:pt>
                  <c:pt idx="5">
                    <c:v>0.16238024256956851</c:v>
                  </c:pt>
                  <c:pt idx="6">
                    <c:v>#N/A</c:v>
                  </c:pt>
                </c:numCache>
              </c:numRef>
            </c:plus>
            <c:minus>
              <c:numRef>
                <c:f>'Previous Cal'!$M$50:$M$56</c:f>
                <c:numCache>
                  <c:formatCode>General</c:formatCode>
                  <c:ptCount val="7"/>
                  <c:pt idx="0">
                    <c:v>0.15296721164462806</c:v>
                  </c:pt>
                  <c:pt idx="1">
                    <c:v>0.15427292751862154</c:v>
                  </c:pt>
                  <c:pt idx="2">
                    <c:v>0.16182824213182229</c:v>
                  </c:pt>
                  <c:pt idx="3">
                    <c:v>0.17035035801648163</c:v>
                  </c:pt>
                  <c:pt idx="4">
                    <c:v>0.17178754887238312</c:v>
                  </c:pt>
                  <c:pt idx="5">
                    <c:v>0.16238024256956851</c:v>
                  </c:pt>
                  <c:pt idx="6">
                    <c:v>#N/A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'Previous Cal'!$P$50:$P$56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125</c:v>
                </c:pt>
              </c:numCache>
            </c:numRef>
          </c:xVal>
          <c:yVal>
            <c:numRef>
              <c:f>'Previous Cal'!$Q$50:$Q$56</c:f>
              <c:numCache>
                <c:formatCode>0.00</c:formatCode>
                <c:ptCount val="7"/>
                <c:pt idx="0">
                  <c:v>-8.0147469453813847E-2</c:v>
                </c:pt>
                <c:pt idx="1">
                  <c:v>-8.5231855725532962E-2</c:v>
                </c:pt>
                <c:pt idx="2">
                  <c:v>-8.679850683409758E-2</c:v>
                </c:pt>
                <c:pt idx="3">
                  <c:v>-9.472853958630334E-2</c:v>
                </c:pt>
                <c:pt idx="4">
                  <c:v>-9.3595189973814844E-2</c:v>
                </c:pt>
                <c:pt idx="5">
                  <c:v>-9.9017207034306831E-2</c:v>
                </c:pt>
                <c:pt idx="6">
                  <c:v>-0.10644900791739867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7-4BE3-9D01-4740464E7FDA}"/>
            </c:ext>
          </c:extLst>
        </c:ser>
        <c:ser>
          <c:idx val="1"/>
          <c:order val="1"/>
          <c:tx>
            <c:strRef>
              <c:f>'Previous Cal'!$R$49</c:f>
              <c:strCache>
                <c:ptCount val="1"/>
                <c:pt idx="0">
                  <c:v>2012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'Previous Cal'!$P$50:$P$56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125</c:v>
                </c:pt>
              </c:numCache>
            </c:numRef>
          </c:xVal>
          <c:yVal>
            <c:numRef>
              <c:f>'Previous Cal'!$R$50:$R$56</c:f>
              <c:numCache>
                <c:formatCode>0.00</c:formatCode>
                <c:ptCount val="7"/>
                <c:pt idx="0">
                  <c:v>-0.13425447889267617</c:v>
                </c:pt>
                <c:pt idx="1">
                  <c:v>-0.13043682511738158</c:v>
                </c:pt>
                <c:pt idx="2">
                  <c:v>-0.13950670742109131</c:v>
                </c:pt>
                <c:pt idx="3">
                  <c:v>-0.15130283468302438</c:v>
                </c:pt>
                <c:pt idx="4">
                  <c:v>-0.16442604888324489</c:v>
                </c:pt>
                <c:pt idx="5">
                  <c:v>-0.18186059007909464</c:v>
                </c:pt>
                <c:pt idx="6">
                  <c:v>-0.18418041374162092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F7-4BE3-9D01-4740464E7FDA}"/>
            </c:ext>
          </c:extLst>
        </c:ser>
        <c:ser>
          <c:idx val="2"/>
          <c:order val="2"/>
          <c:tx>
            <c:strRef>
              <c:f>'Previous Cal'!$S$49</c:f>
              <c:strCache>
                <c:ptCount val="1"/>
                <c:pt idx="0">
                  <c:v>2000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'Previous Cal'!$P$50:$P$56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125</c:v>
                </c:pt>
              </c:numCache>
            </c:numRef>
          </c:xVal>
          <c:yVal>
            <c:numRef>
              <c:f>'Previous Cal'!$S$50:$S$56</c:f>
              <c:numCache>
                <c:formatCode>0.00</c:formatCode>
                <c:ptCount val="7"/>
                <c:pt idx="0">
                  <c:v>-0.16942743936089105</c:v>
                </c:pt>
                <c:pt idx="1">
                  <c:v>-0.16550943180472336</c:v>
                </c:pt>
                <c:pt idx="2">
                  <c:v>-0.17530559533582235</c:v>
                </c:pt>
                <c:pt idx="3">
                  <c:v>-0.18870936749931591</c:v>
                </c:pt>
                <c:pt idx="4">
                  <c:v>-0.20071487557479686</c:v>
                </c:pt>
                <c:pt idx="5">
                  <c:v>-0.21736984982114527</c:v>
                </c:pt>
                <c:pt idx="6">
                  <c:v>-0.22840287826074449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F7-4BE3-9D01-4740464E7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70304"/>
        <c:axId val="519670632"/>
      </c:scatterChart>
      <c:valAx>
        <c:axId val="51967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70632"/>
        <c:crosses val="autoZero"/>
        <c:crossBetween val="midCat"/>
      </c:valAx>
      <c:valAx>
        <c:axId val="51967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7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'Previous Cal'!$W$49</c:f>
              <c:strCache>
                <c:ptCount val="1"/>
                <c:pt idx="0">
                  <c:v>2018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'Previous Cal'!$N$50:$N$56</c:f>
                <c:numCache>
                  <c:formatCode>General</c:formatCode>
                  <c:ptCount val="7"/>
                  <c:pt idx="0">
                    <c:v>0.30865846088115328</c:v>
                  </c:pt>
                  <c:pt idx="1">
                    <c:v>0.28868282229994346</c:v>
                  </c:pt>
                  <c:pt idx="2">
                    <c:v>0.26026266944766907</c:v>
                  </c:pt>
                  <c:pt idx="3">
                    <c:v>0.23769738781555289</c:v>
                  </c:pt>
                  <c:pt idx="4">
                    <c:v>0.2207245060799139</c:v>
                  </c:pt>
                  <c:pt idx="5">
                    <c:v>0.20877178098152177</c:v>
                  </c:pt>
                  <c:pt idx="6">
                    <c:v>#N/A</c:v>
                  </c:pt>
                </c:numCache>
              </c:numRef>
            </c:plus>
            <c:minus>
              <c:numRef>
                <c:f>'Previous Cal'!$N$50:$N$56</c:f>
                <c:numCache>
                  <c:formatCode>General</c:formatCode>
                  <c:ptCount val="7"/>
                  <c:pt idx="0">
                    <c:v>0.30865846088115328</c:v>
                  </c:pt>
                  <c:pt idx="1">
                    <c:v>0.28868282229994346</c:v>
                  </c:pt>
                  <c:pt idx="2">
                    <c:v>0.26026266944766907</c:v>
                  </c:pt>
                  <c:pt idx="3">
                    <c:v>0.23769738781555289</c:v>
                  </c:pt>
                  <c:pt idx="4">
                    <c:v>0.2207245060799139</c:v>
                  </c:pt>
                  <c:pt idx="5">
                    <c:v>0.20877178098152177</c:v>
                  </c:pt>
                  <c:pt idx="6">
                    <c:v>#N/A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'Previous Cal'!$V$50:$V$56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125</c:v>
                </c:pt>
              </c:numCache>
            </c:numRef>
          </c:xVal>
          <c:yVal>
            <c:numRef>
              <c:f>'Previous Cal'!$W$50:$W$56</c:f>
              <c:numCache>
                <c:formatCode>0.00</c:formatCode>
                <c:ptCount val="7"/>
                <c:pt idx="0">
                  <c:v>0.17899000565931208</c:v>
                </c:pt>
                <c:pt idx="1">
                  <c:v>0.1617012325905226</c:v>
                </c:pt>
                <c:pt idx="2">
                  <c:v>0.14534147531921182</c:v>
                </c:pt>
                <c:pt idx="3">
                  <c:v>0.11747420826794194</c:v>
                </c:pt>
                <c:pt idx="4">
                  <c:v>0.11528659665773733</c:v>
                </c:pt>
                <c:pt idx="5">
                  <c:v>0.21459007142083189</c:v>
                </c:pt>
                <c:pt idx="6">
                  <c:v>0.32852577058239191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11-404C-8D7D-71CBB273980F}"/>
            </c:ext>
          </c:extLst>
        </c:ser>
        <c:ser>
          <c:idx val="1"/>
          <c:order val="1"/>
          <c:tx>
            <c:strRef>
              <c:f>'Previous Cal'!$X$49</c:f>
              <c:strCache>
                <c:ptCount val="1"/>
                <c:pt idx="0">
                  <c:v>2012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'Previous Cal'!$V$50:$V$56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125</c:v>
                </c:pt>
              </c:numCache>
            </c:numRef>
          </c:xVal>
          <c:yVal>
            <c:numRef>
              <c:f>'Previous Cal'!$X$50:$X$56</c:f>
              <c:numCache>
                <c:formatCode>0.00</c:formatCode>
                <c:ptCount val="7"/>
                <c:pt idx="0">
                  <c:v>0.54219601836532294</c:v>
                </c:pt>
                <c:pt idx="1">
                  <c:v>0.52987267255606696</c:v>
                </c:pt>
                <c:pt idx="2">
                  <c:v>0.5102258665906988</c:v>
                </c:pt>
                <c:pt idx="3">
                  <c:v>0.47718881887235698</c:v>
                </c:pt>
                <c:pt idx="4">
                  <c:v>0.44689334685582727</c:v>
                </c:pt>
                <c:pt idx="5">
                  <c:v>0.39161341079670314</c:v>
                </c:pt>
                <c:pt idx="6">
                  <c:v>0.37598553677847429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11-404C-8D7D-71CBB273980F}"/>
            </c:ext>
          </c:extLst>
        </c:ser>
        <c:ser>
          <c:idx val="2"/>
          <c:order val="2"/>
          <c:tx>
            <c:strRef>
              <c:f>'Previous Cal'!$Y$49</c:f>
              <c:strCache>
                <c:ptCount val="1"/>
                <c:pt idx="0">
                  <c:v>2000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'Previous Cal'!$V$50:$V$56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125</c:v>
                </c:pt>
              </c:numCache>
            </c:numRef>
          </c:xVal>
          <c:yVal>
            <c:numRef>
              <c:f>'Previous Cal'!$Y$50:$Y$56</c:f>
              <c:numCache>
                <c:formatCode>0.00</c:formatCode>
                <c:ptCount val="7"/>
                <c:pt idx="0">
                  <c:v>0.67839539411314642</c:v>
                </c:pt>
                <c:pt idx="1">
                  <c:v>0.66246434327300485</c:v>
                </c:pt>
                <c:pt idx="2">
                  <c:v>0.63692702882481655</c:v>
                </c:pt>
                <c:pt idx="3">
                  <c:v>0.60227947042572705</c:v>
                </c:pt>
                <c:pt idx="4">
                  <c:v>0.57492790709601316</c:v>
                </c:pt>
                <c:pt idx="5">
                  <c:v>0.52878509853882794</c:v>
                </c:pt>
                <c:pt idx="6">
                  <c:v>0.46878499097163134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11-404C-8D7D-71CBB2739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48312"/>
        <c:axId val="438724040"/>
      </c:scatterChart>
      <c:valAx>
        <c:axId val="43874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24040"/>
        <c:crosses val="autoZero"/>
        <c:crossBetween val="midCat"/>
      </c:valAx>
      <c:valAx>
        <c:axId val="43872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48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9</xdr:row>
      <xdr:rowOff>104775</xdr:rowOff>
    </xdr:from>
    <xdr:to>
      <xdr:col>40</xdr:col>
      <xdr:colOff>95250</xdr:colOff>
      <xdr:row>22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59288B-A511-4B05-9D01-85D1DF0B9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401955</xdr:colOff>
      <xdr:row>23</xdr:row>
      <xdr:rowOff>80010</xdr:rowOff>
    </xdr:from>
    <xdr:to>
      <xdr:col>60</xdr:col>
      <xdr:colOff>97155</xdr:colOff>
      <xdr:row>49</xdr:row>
      <xdr:rowOff>26670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0BD1A12-8EC9-4584-84D5-5C3E74B3C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2</xdr:row>
      <xdr:rowOff>57150</xdr:rowOff>
    </xdr:from>
    <xdr:to>
      <xdr:col>35</xdr:col>
      <xdr:colOff>142875</xdr:colOff>
      <xdr:row>15</xdr:row>
      <xdr:rowOff>104775</xdr:rowOff>
    </xdr:to>
    <xdr:graphicFrame macro="">
      <xdr:nvGraphicFramePr>
        <xdr:cNvPr id="66680" name="Chart 2">
          <a:extLst>
            <a:ext uri="{FF2B5EF4-FFF2-40B4-BE49-F238E27FC236}">
              <a16:creationId xmlns:a16="http://schemas.microsoft.com/office/drawing/2014/main" id="{01858659-657D-440A-9C08-8028B97C1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457200</xdr:colOff>
      <xdr:row>1</xdr:row>
      <xdr:rowOff>47625</xdr:rowOff>
    </xdr:from>
    <xdr:to>
      <xdr:col>35</xdr:col>
      <xdr:colOff>581025</xdr:colOff>
      <xdr:row>14</xdr:row>
      <xdr:rowOff>95250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708D85B-7AFB-4B1B-9581-06BDF8CFB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146050</xdr:colOff>
      <xdr:row>57</xdr:row>
      <xdr:rowOff>146050</xdr:rowOff>
    </xdr:from>
    <xdr:to>
      <xdr:col>25</xdr:col>
      <xdr:colOff>438150</xdr:colOff>
      <xdr:row>74</xdr:row>
      <xdr:rowOff>136525</xdr:rowOff>
    </xdr:to>
    <xdr:graphicFrame macro="">
      <xdr:nvGraphicFramePr>
        <xdr:cNvPr id="157785" name="Chart 1">
          <a:extLst>
            <a:ext uri="{FF2B5EF4-FFF2-40B4-BE49-F238E27FC236}">
              <a16:creationId xmlns:a16="http://schemas.microsoft.com/office/drawing/2014/main" id="{62559AF0-5889-426A-AFEB-28922F4007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34925</xdr:colOff>
      <xdr:row>40</xdr:row>
      <xdr:rowOff>34925</xdr:rowOff>
    </xdr:from>
    <xdr:to>
      <xdr:col>25</xdr:col>
      <xdr:colOff>254000</xdr:colOff>
      <xdr:row>57</xdr:row>
      <xdr:rowOff>25400</xdr:rowOff>
    </xdr:to>
    <xdr:graphicFrame macro="">
      <xdr:nvGraphicFramePr>
        <xdr:cNvPr id="157786" name="Chart 1">
          <a:extLst>
            <a:ext uri="{FF2B5EF4-FFF2-40B4-BE49-F238E27FC236}">
              <a16:creationId xmlns:a16="http://schemas.microsoft.com/office/drawing/2014/main" id="{3504C4C9-75D3-4EBF-A829-B2A31792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314325</xdr:colOff>
      <xdr:row>88</xdr:row>
      <xdr:rowOff>38100</xdr:rowOff>
    </xdr:from>
    <xdr:to>
      <xdr:col>20</xdr:col>
      <xdr:colOff>400050</xdr:colOff>
      <xdr:row>105</xdr:row>
      <xdr:rowOff>28575</xdr:rowOff>
    </xdr:to>
    <xdr:graphicFrame macro="">
      <xdr:nvGraphicFramePr>
        <xdr:cNvPr id="157787" name="Chart 2">
          <a:extLst>
            <a:ext uri="{FF2B5EF4-FFF2-40B4-BE49-F238E27FC236}">
              <a16:creationId xmlns:a16="http://schemas.microsoft.com/office/drawing/2014/main" id="{96C4BD99-290E-46C2-A491-1BF72B917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78105</xdr:colOff>
      <xdr:row>17</xdr:row>
      <xdr:rowOff>150495</xdr:rowOff>
    </xdr:from>
    <xdr:to>
      <xdr:col>23</xdr:col>
      <xdr:colOff>382905</xdr:colOff>
      <xdr:row>34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D5FEE4-973A-4442-9C67-B66606806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739140</xdr:colOff>
      <xdr:row>45</xdr:row>
      <xdr:rowOff>83820</xdr:rowOff>
    </xdr:from>
    <xdr:to>
      <xdr:col>32</xdr:col>
      <xdr:colOff>541020</xdr:colOff>
      <xdr:row>61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5AB7F8-8C32-4F4A-87CF-399D1ED17B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99060</xdr:colOff>
      <xdr:row>62</xdr:row>
      <xdr:rowOff>160020</xdr:rowOff>
    </xdr:from>
    <xdr:to>
      <xdr:col>33</xdr:col>
      <xdr:colOff>68580</xdr:colOff>
      <xdr:row>79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E7973D-95B4-4E8B-8DE3-17BD25DD6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SL\Private\Electricity\Commercial\Reports\2012\S21851\Elliott%20for%20Babcocks%202012%205AmpRatio%20Template%20V4.0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SL\Private\Electricity\Ongoing\Power_Energy\SR830_SR850\SR830_Template%20Ver%202.0_draft_c_TP_Aug20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Ambient Conditions"/>
      <sheetName val="5 A data"/>
      <sheetName val="5 A calc"/>
      <sheetName val="5 A Tables"/>
      <sheetName val="Uncertainties"/>
      <sheetName val="TwoStageCT"/>
      <sheetName val="844400"/>
      <sheetName val="Arnold"/>
      <sheetName val="Changes"/>
      <sheetName val="V2.0 Validation"/>
      <sheetName val="Cf Previous results"/>
    </sheetNames>
    <sheetDataSet>
      <sheetData sheetId="0" refreshError="1"/>
      <sheetData sheetId="1" refreshError="1"/>
      <sheetData sheetId="2" refreshError="1"/>
      <sheetData sheetId="3">
        <row r="3">
          <cell r="N3">
            <v>0.56999999999999995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Sheet"/>
      <sheetName val="Corrections"/>
      <sheetName val="Overlap"/>
      <sheetName val="CalHistory"/>
      <sheetName val="Constants"/>
      <sheetName val="Uncertainties"/>
      <sheetName val="Commentary"/>
      <sheetName val="Conclusions_1"/>
      <sheetName val="Conclusions_2"/>
      <sheetName val="Conclusions_3"/>
    </sheetNames>
    <sheetDataSet>
      <sheetData sheetId="0">
        <row r="1">
          <cell r="AO1" t="str">
            <v>26_2_Re</v>
          </cell>
          <cell r="AP1" t="str">
            <v>26_2_Im</v>
          </cell>
          <cell r="AQ1" t="str">
            <v>26_1_Re</v>
          </cell>
          <cell r="AR1" t="str">
            <v>26_1_Im</v>
          </cell>
          <cell r="AS1" t="str">
            <v>26_0_Re</v>
          </cell>
          <cell r="AT1" t="str">
            <v>26_0_Im</v>
          </cell>
          <cell r="AU1" t="str">
            <v>25_2_Re</v>
          </cell>
          <cell r="AV1" t="str">
            <v>25_2_Im</v>
          </cell>
          <cell r="AW1" t="str">
            <v>25_1_Re</v>
          </cell>
          <cell r="AX1" t="str">
            <v>25_1_Im</v>
          </cell>
          <cell r="AY1" t="str">
            <v>25_0_Re</v>
          </cell>
          <cell r="AZ1" t="str">
            <v>25_0_Im</v>
          </cell>
          <cell r="BA1" t="str">
            <v>24_2_Re</v>
          </cell>
          <cell r="BB1" t="str">
            <v>24_2_Im</v>
          </cell>
          <cell r="BC1" t="str">
            <v>24_1_Re</v>
          </cell>
          <cell r="BD1" t="str">
            <v>24_1_Im</v>
          </cell>
          <cell r="BE1" t="str">
            <v>24_0_Re</v>
          </cell>
          <cell r="BF1" t="str">
            <v>24_0_Im</v>
          </cell>
          <cell r="BG1" t="str">
            <v>23_2_Re</v>
          </cell>
          <cell r="BH1" t="str">
            <v>23_2_Im</v>
          </cell>
          <cell r="BI1" t="str">
            <v>23_1_Re</v>
          </cell>
          <cell r="BJ1" t="str">
            <v>23_1_Im</v>
          </cell>
          <cell r="BK1" t="str">
            <v>23_0_Re</v>
          </cell>
          <cell r="BL1" t="str">
            <v>23_0_Im</v>
          </cell>
          <cell r="BM1" t="str">
            <v>22_2_Re</v>
          </cell>
          <cell r="BN1" t="str">
            <v>22_2_Im</v>
          </cell>
          <cell r="BO1" t="str">
            <v>22_1_Re</v>
          </cell>
          <cell r="BP1" t="str">
            <v>22_1_Im</v>
          </cell>
          <cell r="BQ1" t="str">
            <v>22_0_Re</v>
          </cell>
          <cell r="BR1" t="str">
            <v>22_0_Im</v>
          </cell>
          <cell r="BS1" t="str">
            <v>21_2_Re</v>
          </cell>
          <cell r="BT1" t="str">
            <v>21_2_Im</v>
          </cell>
          <cell r="BU1" t="str">
            <v>21_1_Re</v>
          </cell>
          <cell r="BV1" t="str">
            <v>21_1_Im</v>
          </cell>
          <cell r="BW1" t="str">
            <v>21_0_Re</v>
          </cell>
          <cell r="BX1" t="str">
            <v>21_0_Im</v>
          </cell>
          <cell r="BY1" t="str">
            <v>20_2_Re</v>
          </cell>
          <cell r="BZ1" t="str">
            <v>20_2_Im</v>
          </cell>
          <cell r="CA1" t="str">
            <v>20_1_Re</v>
          </cell>
          <cell r="CB1" t="str">
            <v>20_1_Im</v>
          </cell>
          <cell r="CC1" t="str">
            <v>20_0_Re</v>
          </cell>
          <cell r="CD1" t="str">
            <v>20_0_Im</v>
          </cell>
          <cell r="CE1" t="str">
            <v>19_2_Re</v>
          </cell>
          <cell r="CF1" t="str">
            <v>19_2_Im</v>
          </cell>
          <cell r="CG1" t="str">
            <v>19_1_Re</v>
          </cell>
          <cell r="CH1" t="str">
            <v>19_1_Im</v>
          </cell>
          <cell r="CI1" t="str">
            <v>19_0_Re</v>
          </cell>
          <cell r="CJ1" t="str">
            <v>19_0_Im</v>
          </cell>
          <cell r="CK1" t="str">
            <v>18_2_Re</v>
          </cell>
          <cell r="CL1" t="str">
            <v>18_2_Im</v>
          </cell>
          <cell r="CM1" t="str">
            <v>18_1_Re</v>
          </cell>
          <cell r="CN1" t="str">
            <v>18_1_Im</v>
          </cell>
          <cell r="CO1" t="str">
            <v>18_0_Re</v>
          </cell>
          <cell r="CP1" t="str">
            <v>18_0_Im</v>
          </cell>
          <cell r="CQ1" t="str">
            <v>17_2_Re</v>
          </cell>
          <cell r="CR1" t="str">
            <v>17_2_Im</v>
          </cell>
          <cell r="CS1" t="str">
            <v>17_1_Re</v>
          </cell>
          <cell r="CT1" t="str">
            <v>17_1_Im</v>
          </cell>
          <cell r="CU1" t="str">
            <v>17_0_Re</v>
          </cell>
          <cell r="CV1" t="str">
            <v>17_0_Im</v>
          </cell>
          <cell r="CW1" t="str">
            <v>16_2_Re</v>
          </cell>
          <cell r="CX1" t="str">
            <v>16_2_Im</v>
          </cell>
          <cell r="CY1" t="str">
            <v>16_1_Re</v>
          </cell>
          <cell r="CZ1" t="str">
            <v>16_1_Im</v>
          </cell>
          <cell r="DA1" t="str">
            <v>16_0_Re</v>
          </cell>
          <cell r="DB1" t="str">
            <v>16_0_Im</v>
          </cell>
          <cell r="DC1" t="str">
            <v>15_2_Re</v>
          </cell>
          <cell r="DD1" t="str">
            <v>15_2_Im</v>
          </cell>
          <cell r="DE1" t="str">
            <v>15_1_Re</v>
          </cell>
          <cell r="DF1" t="str">
            <v>15_1_Im</v>
          </cell>
          <cell r="DG1" t="str">
            <v>15_0_Re</v>
          </cell>
          <cell r="DH1" t="str">
            <v>15_0_Im</v>
          </cell>
          <cell r="DI1" t="str">
            <v>14_2_Re</v>
          </cell>
          <cell r="DJ1" t="str">
            <v>14_2_Im</v>
          </cell>
          <cell r="DK1" t="str">
            <v>14_1_Re</v>
          </cell>
          <cell r="DL1" t="str">
            <v>14_1_Im</v>
          </cell>
          <cell r="DM1" t="str">
            <v>14_0_Re</v>
          </cell>
          <cell r="DN1" t="str">
            <v>14_0_Im</v>
          </cell>
          <cell r="DO1" t="str">
            <v>13_2_Re</v>
          </cell>
          <cell r="DP1" t="str">
            <v>13_2_Im</v>
          </cell>
          <cell r="DQ1" t="str">
            <v>13_1_Re</v>
          </cell>
          <cell r="DR1" t="str">
            <v>13_1_Im</v>
          </cell>
          <cell r="DS1" t="str">
            <v>13_0_Re</v>
          </cell>
          <cell r="DT1" t="str">
            <v>13_0_Im</v>
          </cell>
          <cell r="DU1" t="str">
            <v>12_2_Re</v>
          </cell>
          <cell r="DV1" t="str">
            <v>12_2_Im</v>
          </cell>
          <cell r="DW1" t="str">
            <v>12_1_Re</v>
          </cell>
          <cell r="DX1" t="str">
            <v>12_1_Im</v>
          </cell>
          <cell r="DY1" t="str">
            <v>12_0_Re</v>
          </cell>
          <cell r="DZ1" t="str">
            <v>12_0_Im</v>
          </cell>
          <cell r="EA1" t="str">
            <v>11_2_Re</v>
          </cell>
          <cell r="EB1" t="str">
            <v>11_2_Im</v>
          </cell>
          <cell r="EC1" t="str">
            <v>11_1_Re</v>
          </cell>
          <cell r="ED1" t="str">
            <v>11_1_Im</v>
          </cell>
          <cell r="EE1" t="str">
            <v>11_0_Re</v>
          </cell>
          <cell r="EF1" t="str">
            <v>11_0_Im</v>
          </cell>
          <cell r="EG1" t="str">
            <v>10_2_Re</v>
          </cell>
          <cell r="EH1" t="str">
            <v>10_2_Im</v>
          </cell>
          <cell r="EI1" t="str">
            <v>10_1_Re</v>
          </cell>
          <cell r="EJ1" t="str">
            <v>10_1_Im</v>
          </cell>
          <cell r="EK1" t="str">
            <v>10_0_Re</v>
          </cell>
          <cell r="EL1" t="str">
            <v>10_0_Im</v>
          </cell>
          <cell r="EM1" t="str">
            <v>09_2_Re</v>
          </cell>
          <cell r="EN1" t="str">
            <v>09_2_Im</v>
          </cell>
          <cell r="EO1" t="str">
            <v>09_1_Re</v>
          </cell>
          <cell r="EP1" t="str">
            <v>09_1_Im</v>
          </cell>
          <cell r="EQ1" t="str">
            <v>09_0_Re</v>
          </cell>
          <cell r="ER1" t="str">
            <v>09_0_Im</v>
          </cell>
          <cell r="ES1" t="str">
            <v>08_2_Re</v>
          </cell>
          <cell r="ET1" t="str">
            <v>08_2_Im</v>
          </cell>
          <cell r="EU1" t="str">
            <v>08_1_Re</v>
          </cell>
          <cell r="EV1" t="str">
            <v>08_1_Im</v>
          </cell>
          <cell r="EW1" t="str">
            <v>08_0_Re</v>
          </cell>
          <cell r="EX1" t="str">
            <v>08_0_Im</v>
          </cell>
          <cell r="EY1" t="str">
            <v>07_2_Re</v>
          </cell>
          <cell r="EZ1" t="str">
            <v>07_2_Im</v>
          </cell>
          <cell r="FA1" t="str">
            <v>07_1_Re</v>
          </cell>
          <cell r="FB1" t="str">
            <v>07_1_Im</v>
          </cell>
          <cell r="FC1" t="str">
            <v>07_0_Re</v>
          </cell>
          <cell r="FD1" t="str">
            <v>07_0_Im</v>
          </cell>
          <cell r="FE1" t="str">
            <v>06_2_Re</v>
          </cell>
          <cell r="FF1" t="str">
            <v>06_2_Im</v>
          </cell>
          <cell r="FG1" t="str">
            <v>06_1_Re</v>
          </cell>
          <cell r="FH1" t="str">
            <v>06_1_Im</v>
          </cell>
          <cell r="FI1" t="str">
            <v>06_0_Re</v>
          </cell>
          <cell r="FJ1" t="str">
            <v>06_0_Im</v>
          </cell>
        </row>
        <row r="2">
          <cell r="AO2">
            <v>1.0014637304160539</v>
          </cell>
          <cell r="AP2">
            <v>1.4280599960629677E-4</v>
          </cell>
          <cell r="AQ2">
            <v>1.0014524839449512</v>
          </cell>
          <cell r="AR2">
            <v>1.4315315693930162E-4</v>
          </cell>
          <cell r="AS2">
            <v>1.0014402244859115</v>
          </cell>
          <cell r="AT2">
            <v>1.422789252325217E-4</v>
          </cell>
          <cell r="AU2">
            <v>1.0013632706482738</v>
          </cell>
          <cell r="AV2">
            <v>1.3968816188110873E-4</v>
          </cell>
          <cell r="AW2">
            <v>1.0013632772160181</v>
          </cell>
          <cell r="AX2">
            <v>1.4640034517620075E-4</v>
          </cell>
          <cell r="AY2">
            <v>1.0013748718125794</v>
          </cell>
          <cell r="AZ2">
            <v>1.4009124282665043E-4</v>
          </cell>
          <cell r="BA2">
            <v>1.001107440262091</v>
          </cell>
          <cell r="BB2">
            <v>1.2217542864520435E-4</v>
          </cell>
          <cell r="BC2">
            <v>1.0009923539786605</v>
          </cell>
          <cell r="BD2">
            <v>1.3229109448185692E-4</v>
          </cell>
          <cell r="BE2">
            <v>1.0009928754013036</v>
          </cell>
          <cell r="BF2">
            <v>1.3714199828966582E-4</v>
          </cell>
          <cell r="BG2">
            <v>1.0008123750014017</v>
          </cell>
          <cell r="BH2">
            <v>1.0660835722876958E-4</v>
          </cell>
          <cell r="BI2">
            <v>1.0009112935249094</v>
          </cell>
          <cell r="BJ2">
            <v>1.5367695478302065E-4</v>
          </cell>
          <cell r="BK2">
            <v>1.0004092708018404</v>
          </cell>
          <cell r="BL2">
            <v>1.1209687839130589E-4</v>
          </cell>
          <cell r="BM2">
            <v>1.0005142589206557</v>
          </cell>
          <cell r="BN2">
            <v>8.25174969359698E-5</v>
          </cell>
          <cell r="BO2">
            <v>1.0004372294468233</v>
          </cell>
          <cell r="BP2">
            <v>1.9320118959926836E-4</v>
          </cell>
          <cell r="BQ2">
            <v>0.99942464620318683</v>
          </cell>
          <cell r="BR2">
            <v>3.4030494316173407E-5</v>
          </cell>
          <cell r="BS2">
            <v>1.0002791780206206</v>
          </cell>
          <cell r="BT2">
            <v>9.4562414449936115E-5</v>
          </cell>
          <cell r="BU2">
            <v>0.99943920337967707</v>
          </cell>
          <cell r="BV2">
            <v>5.0636382900854769E-5</v>
          </cell>
          <cell r="BW2">
            <v>0.99893156947908757</v>
          </cell>
          <cell r="BX2">
            <v>6.6697808080505791E-5</v>
          </cell>
          <cell r="BY2">
            <v>0.99978386191106983</v>
          </cell>
          <cell r="BZ2">
            <v>8.5510256747743508E-5</v>
          </cell>
          <cell r="CA2">
            <v>0.99947524245749575</v>
          </cell>
          <cell r="CB2">
            <v>5.1024584713591989E-5</v>
          </cell>
          <cell r="CC2">
            <v>0.99679169126173084</v>
          </cell>
          <cell r="CD2">
            <v>4.2179329927529989E-6</v>
          </cell>
          <cell r="CE2">
            <v>0.99957809166400124</v>
          </cell>
          <cell r="CF2">
            <v>8.4910553450387121E-5</v>
          </cell>
          <cell r="CG2">
            <v>0.99870131845225174</v>
          </cell>
          <cell r="CH2">
            <v>1.8373671156545042E-5</v>
          </cell>
          <cell r="CI2">
            <v>0.99844451077682483</v>
          </cell>
          <cell r="CJ2">
            <v>4.0986149190305182E-6</v>
          </cell>
          <cell r="CK2">
            <v>0.99902510699634917</v>
          </cell>
          <cell r="CL2">
            <v>1.6103775401401217E-4</v>
          </cell>
          <cell r="CM2">
            <v>0.99786992029563959</v>
          </cell>
          <cell r="CN2">
            <v>3.8524047186163619E-5</v>
          </cell>
          <cell r="CO2">
            <v>0.99921686348847938</v>
          </cell>
          <cell r="CP2">
            <v>5.4109765786553281E-6</v>
          </cell>
          <cell r="CQ2">
            <v>0.99845847533159326</v>
          </cell>
          <cell r="CR2">
            <v>2.2194881919258174E-4</v>
          </cell>
          <cell r="CS2">
            <v>0.99520419756607237</v>
          </cell>
          <cell r="CT2">
            <v>5.4950063616585211E-6</v>
          </cell>
          <cell r="CU2">
            <v>1.0039205524425929</v>
          </cell>
          <cell r="CV2">
            <v>5.4000195877712302E-6</v>
          </cell>
          <cell r="CW2">
            <v>0.99810759753451805</v>
          </cell>
          <cell r="CX2">
            <v>3.695780304835506E-5</v>
          </cell>
          <cell r="CY2">
            <v>0.9966633075004292</v>
          </cell>
          <cell r="CZ2">
            <v>5.1115740718113127E-6</v>
          </cell>
          <cell r="DA2">
            <v>1.0032732199721077</v>
          </cell>
          <cell r="DB2">
            <v>-3.120745310248972E-5</v>
          </cell>
          <cell r="DC2">
            <v>0.99722913158348225</v>
          </cell>
          <cell r="DD2">
            <v>1.096630607921526E-4</v>
          </cell>
          <cell r="DE2">
            <v>0.99659357233524604</v>
          </cell>
          <cell r="DF2">
            <v>3.1796644392846644E-5</v>
          </cell>
          <cell r="DG2">
            <v>1.001554512877143</v>
          </cell>
          <cell r="DH2">
            <v>-4.8974665550060114E-5</v>
          </cell>
          <cell r="DI2">
            <v>0.99679545048918061</v>
          </cell>
          <cell r="DJ2">
            <v>1.0821601988826399E-4</v>
          </cell>
          <cell r="DK2">
            <v>0.99369905746444864</v>
          </cell>
          <cell r="DL2">
            <v>8.9784740924235424E-5</v>
          </cell>
          <cell r="DM2">
            <v>1.0071832210703344</v>
          </cell>
          <cell r="DN2">
            <v>3.0434851368969849E-4</v>
          </cell>
          <cell r="DO2">
            <v>0.99687931325373602</v>
          </cell>
          <cell r="DP2">
            <v>2.7599935785343858E-4</v>
          </cell>
          <cell r="DQ2">
            <v>1.000409916282643</v>
          </cell>
          <cell r="DR2">
            <v>-7.0507061346368138E-5</v>
          </cell>
          <cell r="DS2">
            <v>0.99496150299796637</v>
          </cell>
          <cell r="DT2">
            <v>-3.6193093688383857E-4</v>
          </cell>
          <cell r="DU2">
            <v>0.99651316579050342</v>
          </cell>
          <cell r="DV2">
            <v>-7.8889887128095467E-5</v>
          </cell>
          <cell r="DW2">
            <v>1.0033014728677232</v>
          </cell>
          <cell r="DX2">
            <v>-1.1639650509139207E-4</v>
          </cell>
          <cell r="DY2">
            <v>1.0014684815531671</v>
          </cell>
          <cell r="DZ2">
            <v>-9.5208620841910803E-4</v>
          </cell>
          <cell r="EA2">
            <v>0.99619273869182201</v>
          </cell>
          <cell r="EB2">
            <v>2.1294180304772538E-6</v>
          </cell>
          <cell r="EC2">
            <v>1.0014538869894722</v>
          </cell>
          <cell r="ED2">
            <v>-1.6494401832275451E-4</v>
          </cell>
          <cell r="EE2">
            <v>0.99393303521155196</v>
          </cell>
          <cell r="EF2">
            <v>1.6610909663751741E-4</v>
          </cell>
          <cell r="EG2">
            <v>0.99555219630659486</v>
          </cell>
          <cell r="EH2">
            <v>-7.5380588749979498E-4</v>
          </cell>
          <cell r="EI2">
            <v>0.99248924126722049</v>
          </cell>
          <cell r="EJ2">
            <v>-2.7303958893031477E-4</v>
          </cell>
          <cell r="EK2">
            <v>0.98629222418982276</v>
          </cell>
          <cell r="EL2">
            <v>-0.11849957326334636</v>
          </cell>
          <cell r="EM2">
            <v>0.9938319406790409</v>
          </cell>
          <cell r="EN2">
            <v>4.2137291872559558E-3</v>
          </cell>
          <cell r="EO2">
            <v>0.99371490585295241</v>
          </cell>
          <cell r="EP2">
            <v>1.4986286639243325E-2</v>
          </cell>
          <cell r="EQ2">
            <v>0.96463976345406488</v>
          </cell>
          <cell r="ER2">
            <v>0.17294650832058939</v>
          </cell>
          <cell r="ES2">
            <v>0.99248229212394889</v>
          </cell>
          <cell r="ET2">
            <v>5.7802696734538198E-3</v>
          </cell>
          <cell r="EU2">
            <v>0.99904738569924345</v>
          </cell>
          <cell r="EV2">
            <v>-1.1844458223459616E-2</v>
          </cell>
          <cell r="EW2">
            <v>0.96705514540738247</v>
          </cell>
          <cell r="EX2">
            <v>-0.33834026675636109</v>
          </cell>
          <cell r="EY2">
            <v>0.98681055814951824</v>
          </cell>
          <cell r="EZ2">
            <v>-1.9803054681944245E-2</v>
          </cell>
          <cell r="FA2">
            <v>0.97681359453311967</v>
          </cell>
          <cell r="FB2">
            <v>-6.7942220954171448E-2</v>
          </cell>
          <cell r="FC2">
            <v>1.2487510965005497</v>
          </cell>
          <cell r="FD2">
            <v>-7.1942236413239644E-2</v>
          </cell>
          <cell r="FE2">
            <v>0.97402361597453002</v>
          </cell>
          <cell r="FF2">
            <v>2.7332423159575635E-2</v>
          </cell>
          <cell r="FG2">
            <v>0.94067090986260526</v>
          </cell>
          <cell r="FH2">
            <v>-0.31616816734883624</v>
          </cell>
          <cell r="FI2">
            <v>2.2430611404277419</v>
          </cell>
          <cell r="FJ2">
            <v>-0.73122535081986983</v>
          </cell>
        </row>
        <row r="3">
          <cell r="AO3">
            <v>5.5424129769649104E-5</v>
          </cell>
          <cell r="AP3">
            <v>4.2991617819128778E-5</v>
          </cell>
          <cell r="AQ3">
            <v>4.6380663545639699E-5</v>
          </cell>
          <cell r="AR3">
            <v>4.0781452772341952E-5</v>
          </cell>
          <cell r="AS3">
            <v>3.9619191299090055E-5</v>
          </cell>
          <cell r="AT3">
            <v>4.087481252392383E-5</v>
          </cell>
          <cell r="AU3">
            <v>8.3864117161028934E-5</v>
          </cell>
          <cell r="AV3">
            <v>3.639160892902157E-5</v>
          </cell>
          <cell r="AW3">
            <v>8.3538290032424847E-5</v>
          </cell>
          <cell r="AX3">
            <v>4.4578863384377805E-5</v>
          </cell>
          <cell r="AY3">
            <v>7.9969671875130407E-5</v>
          </cell>
          <cell r="AZ3">
            <v>4.1991800562413045E-5</v>
          </cell>
          <cell r="BA3">
            <v>5.0987420224845059E-5</v>
          </cell>
          <cell r="BB3">
            <v>3.8555220138713559E-5</v>
          </cell>
          <cell r="BC3">
            <v>1.835163940878008E-4</v>
          </cell>
          <cell r="BD3">
            <v>3.8860036110906743E-5</v>
          </cell>
          <cell r="BE3">
            <v>1.838506780277636E-4</v>
          </cell>
          <cell r="BF3">
            <v>4.1473787040456652E-5</v>
          </cell>
          <cell r="BG3">
            <v>2.5867133315979357E-4</v>
          </cell>
          <cell r="BH3">
            <v>3.353977921987238E-4</v>
          </cell>
          <cell r="BI3">
            <v>1.1081979531896724E-4</v>
          </cell>
          <cell r="BJ3">
            <v>4.2203068849597609E-5</v>
          </cell>
          <cell r="BK3">
            <v>3.0366362643627663E-4</v>
          </cell>
          <cell r="BL3">
            <v>9.6741292175131353E-5</v>
          </cell>
          <cell r="BM3">
            <v>7.1365692711234841E-5</v>
          </cell>
          <cell r="BN3">
            <v>2.9056466657210278E-5</v>
          </cell>
          <cell r="BO3">
            <v>1.8945974143379975E-4</v>
          </cell>
          <cell r="BP3">
            <v>3.1712411120682566E-5</v>
          </cell>
          <cell r="BQ3">
            <v>5.8132575876225631E-4</v>
          </cell>
          <cell r="BR3">
            <v>1.0351507835830895E-4</v>
          </cell>
          <cell r="BS3">
            <v>9.3347059863431973E-5</v>
          </cell>
          <cell r="BT3">
            <v>3.6614726732930987E-5</v>
          </cell>
          <cell r="BU3">
            <v>4.8110156071737666E-4</v>
          </cell>
          <cell r="BV3">
            <v>8.511125351196067E-5</v>
          </cell>
          <cell r="BW3">
            <v>9.5769784515240073E-4</v>
          </cell>
          <cell r="BX3">
            <v>2.9600490767415279E-4</v>
          </cell>
          <cell r="BY3">
            <v>7.3709663368427079E-5</v>
          </cell>
          <cell r="BZ3">
            <v>3.4713085436672349E-5</v>
          </cell>
          <cell r="CA3">
            <v>2.7762747931393573E-4</v>
          </cell>
          <cell r="CB3">
            <v>5.0240045613397147E-5</v>
          </cell>
          <cell r="CC3">
            <v>1.8097288823909676E-3</v>
          </cell>
          <cell r="CD3">
            <v>1.3574773372033373E-5</v>
          </cell>
          <cell r="CE3">
            <v>8.2651133781941924E-5</v>
          </cell>
          <cell r="CF3">
            <v>4.1549896587441387E-5</v>
          </cell>
          <cell r="CG3">
            <v>7.8430740376814957E-5</v>
          </cell>
          <cell r="CH3">
            <v>5.0452608247587907E-5</v>
          </cell>
          <cell r="CI3">
            <v>1.2788805951280408E-3</v>
          </cell>
          <cell r="CJ3">
            <v>1.3694990934998106E-5</v>
          </cell>
          <cell r="CK3">
            <v>4.3024457782159145E-4</v>
          </cell>
          <cell r="CL3">
            <v>3.6853190415145999E-4</v>
          </cell>
          <cell r="CM3">
            <v>8.6862112411384656E-4</v>
          </cell>
          <cell r="CN3">
            <v>1.6902512144017554E-4</v>
          </cell>
          <cell r="CO3">
            <v>4.6211811526811267E-3</v>
          </cell>
          <cell r="CP3">
            <v>1.8121353746499485E-5</v>
          </cell>
          <cell r="CQ3">
            <v>1.4385164521270961E-4</v>
          </cell>
          <cell r="CR3">
            <v>7.3003504254202391E-5</v>
          </cell>
          <cell r="CS3">
            <v>1.6617552032162494E-3</v>
          </cell>
          <cell r="CT3">
            <v>1.7748453178910874E-5</v>
          </cell>
          <cell r="CU3">
            <v>4.4586880454423388E-3</v>
          </cell>
          <cell r="CV3">
            <v>1.8058750230053407E-5</v>
          </cell>
          <cell r="CW3">
            <v>1.8192158359537372E-4</v>
          </cell>
          <cell r="CX3">
            <v>1.9217693512226503E-4</v>
          </cell>
          <cell r="CY3">
            <v>1.2950539063422864E-3</v>
          </cell>
          <cell r="CZ3">
            <v>1.7079354805806765E-5</v>
          </cell>
          <cell r="DA3">
            <v>2.6214050188251847E-3</v>
          </cell>
          <cell r="DB3">
            <v>6.2326406141473357E-5</v>
          </cell>
          <cell r="DC3">
            <v>3.2940343755524679E-4</v>
          </cell>
          <cell r="DD3">
            <v>3.8790484250939548E-4</v>
          </cell>
          <cell r="DE3">
            <v>3.758046932412642E-3</v>
          </cell>
          <cell r="DF3">
            <v>1.8423697321344489E-4</v>
          </cell>
          <cell r="DG3">
            <v>1.0481366944635277E-2</v>
          </cell>
          <cell r="DH3">
            <v>3.2510578021192286E-4</v>
          </cell>
          <cell r="DI3">
            <v>1.9615893811040375E-4</v>
          </cell>
          <cell r="DJ3">
            <v>3.5852078187454528E-4</v>
          </cell>
          <cell r="DK3">
            <v>6.2665304135475549E-3</v>
          </cell>
          <cell r="DL3">
            <v>2.4104644684529392E-4</v>
          </cell>
          <cell r="DM3">
            <v>1.1748660684717324E-2</v>
          </cell>
          <cell r="DN3">
            <v>1.575300216440258E-3</v>
          </cell>
          <cell r="DO3">
            <v>2.1220050780480125E-4</v>
          </cell>
          <cell r="DP3">
            <v>9.3733612023298848E-4</v>
          </cell>
          <cell r="DQ3">
            <v>8.3406823583287194E-3</v>
          </cell>
          <cell r="DR3">
            <v>5.8191589454835026E-5</v>
          </cell>
          <cell r="DS3">
            <v>1.3447132836665628E-2</v>
          </cell>
          <cell r="DT3">
            <v>4.6596714909567311E-4</v>
          </cell>
          <cell r="DU3">
            <v>3.1951559755735243E-4</v>
          </cell>
          <cell r="DV3">
            <v>9.710529655805255E-4</v>
          </cell>
          <cell r="DW3">
            <v>6.7536139145403856E-3</v>
          </cell>
          <cell r="DX3">
            <v>3.6563728810267522E-4</v>
          </cell>
          <cell r="DY3">
            <v>1.0876379244167402E-2</v>
          </cell>
          <cell r="DZ3">
            <v>2.2724276029459094E-3</v>
          </cell>
          <cell r="EA3">
            <v>5.8558551355333171E-4</v>
          </cell>
          <cell r="EB3">
            <v>7.9734787131953042E-4</v>
          </cell>
          <cell r="EC3">
            <v>1.0176604684378128E-2</v>
          </cell>
          <cell r="ED3">
            <v>3.9439015398329876E-4</v>
          </cell>
          <cell r="EE3">
            <v>1.0285432485667826E-2</v>
          </cell>
          <cell r="EF3">
            <v>4.5756788288716967E-3</v>
          </cell>
          <cell r="EG3">
            <v>1.1444414275558852E-3</v>
          </cell>
          <cell r="EH3">
            <v>3.1435313828699477E-3</v>
          </cell>
          <cell r="EI3">
            <v>1.0742368776654536E-2</v>
          </cell>
          <cell r="EJ3">
            <v>1.4891317259371143E-3</v>
          </cell>
          <cell r="EK3">
            <v>3.0644489370953099E-2</v>
          </cell>
          <cell r="EL3">
            <v>0.16744323483165591</v>
          </cell>
          <cell r="EM3">
            <v>3.206556196542574E-3</v>
          </cell>
          <cell r="EN3">
            <v>9.9272806323154692E-3</v>
          </cell>
          <cell r="EO3">
            <v>6.0995812041339812E-3</v>
          </cell>
          <cell r="EP3">
            <v>2.0896034307120281E-2</v>
          </cell>
          <cell r="EQ3">
            <v>6.3226299871913041E-2</v>
          </cell>
          <cell r="ER3">
            <v>0.23372939961956102</v>
          </cell>
          <cell r="ES3">
            <v>6.2945276355581715E-3</v>
          </cell>
          <cell r="ET3">
            <v>1.0127194964181154E-2</v>
          </cell>
          <cell r="EU3">
            <v>4.2104181313701713E-3</v>
          </cell>
          <cell r="EV3">
            <v>2.4571986292960049E-2</v>
          </cell>
          <cell r="EW3">
            <v>0.33248042425888003</v>
          </cell>
          <cell r="EX3">
            <v>0.35664450982161389</v>
          </cell>
          <cell r="EY3">
            <v>1.197565683132896E-2</v>
          </cell>
          <cell r="EZ3">
            <v>2.2820889123528573E-2</v>
          </cell>
          <cell r="FA3">
            <v>4.5510797954727074E-2</v>
          </cell>
          <cell r="FB3">
            <v>0.23273924043648944</v>
          </cell>
          <cell r="FC3">
            <v>0.21841103927342986</v>
          </cell>
          <cell r="FD3">
            <v>0.30077860558882941</v>
          </cell>
          <cell r="FE3">
            <v>3.1096450104508191E-2</v>
          </cell>
          <cell r="FF3">
            <v>5.740459605582262E-2</v>
          </cell>
          <cell r="FG3">
            <v>4.2880852849656356E-2</v>
          </cell>
          <cell r="FH3">
            <v>5.2494475642510106E-2</v>
          </cell>
          <cell r="FI3">
            <v>0.61890674901707388</v>
          </cell>
          <cell r="FJ3">
            <v>0.62501101986134988</v>
          </cell>
        </row>
        <row r="4">
          <cell r="AO4">
            <v>22</v>
          </cell>
          <cell r="AP4">
            <v>22</v>
          </cell>
          <cell r="AQ4">
            <v>22</v>
          </cell>
          <cell r="AR4">
            <v>22</v>
          </cell>
          <cell r="AS4">
            <v>22</v>
          </cell>
          <cell r="AT4">
            <v>22</v>
          </cell>
          <cell r="AU4">
            <v>22</v>
          </cell>
          <cell r="AV4">
            <v>22</v>
          </cell>
          <cell r="AW4">
            <v>22</v>
          </cell>
          <cell r="AX4">
            <v>22</v>
          </cell>
          <cell r="AY4">
            <v>22</v>
          </cell>
          <cell r="AZ4">
            <v>22</v>
          </cell>
          <cell r="BA4">
            <v>22</v>
          </cell>
          <cell r="BB4">
            <v>22</v>
          </cell>
          <cell r="BC4">
            <v>22</v>
          </cell>
          <cell r="BD4">
            <v>22</v>
          </cell>
          <cell r="BE4">
            <v>22</v>
          </cell>
          <cell r="BF4">
            <v>22</v>
          </cell>
          <cell r="BG4">
            <v>44</v>
          </cell>
          <cell r="BH4">
            <v>44</v>
          </cell>
          <cell r="BI4">
            <v>44</v>
          </cell>
          <cell r="BJ4">
            <v>44</v>
          </cell>
          <cell r="BK4">
            <v>44</v>
          </cell>
          <cell r="BL4">
            <v>44</v>
          </cell>
          <cell r="BM4">
            <v>22</v>
          </cell>
          <cell r="BN4">
            <v>22</v>
          </cell>
          <cell r="BO4">
            <v>22</v>
          </cell>
          <cell r="BP4">
            <v>22</v>
          </cell>
          <cell r="BQ4">
            <v>22</v>
          </cell>
          <cell r="BR4">
            <v>22</v>
          </cell>
          <cell r="BS4">
            <v>44</v>
          </cell>
          <cell r="BT4">
            <v>44</v>
          </cell>
          <cell r="BU4">
            <v>44</v>
          </cell>
          <cell r="BV4">
            <v>44</v>
          </cell>
          <cell r="BW4">
            <v>44</v>
          </cell>
          <cell r="BX4">
            <v>44</v>
          </cell>
          <cell r="BY4">
            <v>22</v>
          </cell>
          <cell r="BZ4">
            <v>22</v>
          </cell>
          <cell r="CA4">
            <v>22</v>
          </cell>
          <cell r="CB4">
            <v>22</v>
          </cell>
          <cell r="CC4">
            <v>22</v>
          </cell>
          <cell r="CD4">
            <v>22</v>
          </cell>
          <cell r="CE4">
            <v>21</v>
          </cell>
          <cell r="CF4">
            <v>21</v>
          </cell>
          <cell r="CG4">
            <v>22</v>
          </cell>
          <cell r="CH4">
            <v>22</v>
          </cell>
          <cell r="CI4">
            <v>22</v>
          </cell>
          <cell r="CJ4">
            <v>22</v>
          </cell>
          <cell r="CK4">
            <v>44</v>
          </cell>
          <cell r="CL4">
            <v>44</v>
          </cell>
          <cell r="CM4">
            <v>44</v>
          </cell>
          <cell r="CN4">
            <v>44</v>
          </cell>
          <cell r="CO4">
            <v>44</v>
          </cell>
          <cell r="CP4">
            <v>44</v>
          </cell>
          <cell r="CQ4">
            <v>22</v>
          </cell>
          <cell r="CR4">
            <v>22</v>
          </cell>
          <cell r="CS4">
            <v>22</v>
          </cell>
          <cell r="CT4">
            <v>22</v>
          </cell>
          <cell r="CU4">
            <v>22</v>
          </cell>
          <cell r="CV4">
            <v>22</v>
          </cell>
          <cell r="CW4">
            <v>22</v>
          </cell>
          <cell r="CX4">
            <v>22</v>
          </cell>
          <cell r="CY4">
            <v>22</v>
          </cell>
          <cell r="CZ4">
            <v>22</v>
          </cell>
          <cell r="DA4">
            <v>22</v>
          </cell>
          <cell r="DB4">
            <v>22</v>
          </cell>
          <cell r="DC4">
            <v>66</v>
          </cell>
          <cell r="DD4">
            <v>66</v>
          </cell>
          <cell r="DE4">
            <v>66</v>
          </cell>
          <cell r="DF4">
            <v>66</v>
          </cell>
          <cell r="DG4">
            <v>66</v>
          </cell>
          <cell r="DH4">
            <v>66</v>
          </cell>
          <cell r="DI4">
            <v>22</v>
          </cell>
          <cell r="DJ4">
            <v>22</v>
          </cell>
          <cell r="DK4">
            <v>22</v>
          </cell>
          <cell r="DL4">
            <v>22</v>
          </cell>
          <cell r="DM4">
            <v>22</v>
          </cell>
          <cell r="DN4">
            <v>22</v>
          </cell>
          <cell r="DO4">
            <v>22</v>
          </cell>
          <cell r="DP4">
            <v>22</v>
          </cell>
          <cell r="DQ4">
            <v>22</v>
          </cell>
          <cell r="DR4">
            <v>22</v>
          </cell>
          <cell r="DS4">
            <v>22</v>
          </cell>
          <cell r="DT4">
            <v>22</v>
          </cell>
          <cell r="DU4">
            <v>44</v>
          </cell>
          <cell r="DV4">
            <v>44</v>
          </cell>
          <cell r="DW4">
            <v>44</v>
          </cell>
          <cell r="DX4">
            <v>44</v>
          </cell>
          <cell r="DY4">
            <v>44</v>
          </cell>
          <cell r="DZ4">
            <v>44</v>
          </cell>
          <cell r="EA4">
            <v>22</v>
          </cell>
          <cell r="EB4">
            <v>22</v>
          </cell>
          <cell r="EC4">
            <v>22</v>
          </cell>
          <cell r="ED4">
            <v>22</v>
          </cell>
          <cell r="EE4">
            <v>22</v>
          </cell>
          <cell r="EF4">
            <v>22</v>
          </cell>
          <cell r="EG4">
            <v>22</v>
          </cell>
          <cell r="EH4">
            <v>22</v>
          </cell>
          <cell r="EI4">
            <v>22</v>
          </cell>
          <cell r="EJ4">
            <v>22</v>
          </cell>
          <cell r="EK4">
            <v>22</v>
          </cell>
          <cell r="EL4">
            <v>22</v>
          </cell>
          <cell r="EM4">
            <v>44</v>
          </cell>
          <cell r="EN4">
            <v>44</v>
          </cell>
          <cell r="EO4">
            <v>44</v>
          </cell>
          <cell r="EP4">
            <v>44</v>
          </cell>
          <cell r="EQ4">
            <v>44</v>
          </cell>
          <cell r="ER4">
            <v>44</v>
          </cell>
          <cell r="ES4">
            <v>22</v>
          </cell>
          <cell r="ET4">
            <v>22</v>
          </cell>
          <cell r="EU4">
            <v>22</v>
          </cell>
          <cell r="EV4">
            <v>22</v>
          </cell>
          <cell r="EW4">
            <v>22</v>
          </cell>
          <cell r="EX4">
            <v>22</v>
          </cell>
          <cell r="EY4">
            <v>22</v>
          </cell>
          <cell r="EZ4">
            <v>22</v>
          </cell>
          <cell r="FA4">
            <v>22</v>
          </cell>
          <cell r="FB4">
            <v>22</v>
          </cell>
          <cell r="FC4">
            <v>22</v>
          </cell>
          <cell r="FD4">
            <v>22</v>
          </cell>
          <cell r="FE4">
            <v>22</v>
          </cell>
          <cell r="FF4">
            <v>22</v>
          </cell>
          <cell r="FG4">
            <v>22</v>
          </cell>
          <cell r="FH4">
            <v>22</v>
          </cell>
          <cell r="FI4">
            <v>16</v>
          </cell>
          <cell r="FJ4">
            <v>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0277-703B-4A61-9D0A-DF0783AD0563}">
  <dimension ref="B4:AF71"/>
  <sheetViews>
    <sheetView topLeftCell="A55" workbookViewId="0">
      <selection activeCell="C37" sqref="C37"/>
    </sheetView>
  </sheetViews>
  <sheetFormatPr defaultRowHeight="12.75" x14ac:dyDescent="0.2"/>
  <sheetData>
    <row r="4" spans="2:30" x14ac:dyDescent="0.2">
      <c r="C4" s="43" t="s">
        <v>187</v>
      </c>
    </row>
    <row r="5" spans="2:30" x14ac:dyDescent="0.2">
      <c r="R5" s="50" t="s">
        <v>93</v>
      </c>
      <c r="S5" s="50"/>
      <c r="Y5" t="s">
        <v>87</v>
      </c>
      <c r="AB5">
        <v>2.11</v>
      </c>
      <c r="AC5" t="s">
        <v>88</v>
      </c>
    </row>
    <row r="6" spans="2:30" x14ac:dyDescent="0.2">
      <c r="C6" s="5" t="s">
        <v>82</v>
      </c>
      <c r="I6" s="5"/>
      <c r="R6" s="50"/>
      <c r="S6" s="50"/>
    </row>
    <row r="7" spans="2:30" x14ac:dyDescent="0.2">
      <c r="L7" t="s">
        <v>23</v>
      </c>
      <c r="N7" t="s">
        <v>24</v>
      </c>
      <c r="O7" t="s">
        <v>25</v>
      </c>
      <c r="Q7" t="s">
        <v>26</v>
      </c>
      <c r="R7" s="50" t="s">
        <v>27</v>
      </c>
      <c r="S7" s="50" t="s">
        <v>27</v>
      </c>
      <c r="T7" t="s">
        <v>28</v>
      </c>
      <c r="U7" t="s">
        <v>29</v>
      </c>
      <c r="V7" t="s">
        <v>30</v>
      </c>
      <c r="W7" t="s">
        <v>3</v>
      </c>
      <c r="X7" t="s">
        <v>49</v>
      </c>
      <c r="Y7" t="s">
        <v>49</v>
      </c>
      <c r="Z7" t="s">
        <v>55</v>
      </c>
      <c r="AA7" t="s">
        <v>57</v>
      </c>
      <c r="AB7" t="s">
        <v>59</v>
      </c>
      <c r="AC7" t="s">
        <v>57</v>
      </c>
    </row>
    <row r="8" spans="2:30" x14ac:dyDescent="0.2">
      <c r="C8" t="s">
        <v>31</v>
      </c>
      <c r="D8" t="s">
        <v>32</v>
      </c>
      <c r="E8" t="s">
        <v>33</v>
      </c>
      <c r="F8" t="s">
        <v>34</v>
      </c>
      <c r="G8" t="s">
        <v>35</v>
      </c>
      <c r="H8" t="s">
        <v>36</v>
      </c>
      <c r="I8" t="s">
        <v>77</v>
      </c>
      <c r="J8" t="s">
        <v>37</v>
      </c>
      <c r="K8" t="s">
        <v>38</v>
      </c>
      <c r="L8" t="s">
        <v>39</v>
      </c>
      <c r="M8" t="s">
        <v>40</v>
      </c>
      <c r="N8" t="s">
        <v>41</v>
      </c>
      <c r="O8" t="s">
        <v>42</v>
      </c>
      <c r="P8" t="s">
        <v>43</v>
      </c>
      <c r="Q8" t="s">
        <v>44</v>
      </c>
      <c r="R8" s="50" t="s">
        <v>45</v>
      </c>
      <c r="S8" s="50" t="s">
        <v>46</v>
      </c>
      <c r="U8" t="s">
        <v>47</v>
      </c>
      <c r="V8" t="s">
        <v>39</v>
      </c>
      <c r="W8" t="s">
        <v>48</v>
      </c>
      <c r="X8" t="s">
        <v>47</v>
      </c>
      <c r="Y8" t="s">
        <v>50</v>
      </c>
      <c r="Z8" t="s">
        <v>56</v>
      </c>
      <c r="AA8" t="s">
        <v>58</v>
      </c>
      <c r="AB8" s="43" t="s">
        <v>186</v>
      </c>
    </row>
    <row r="9" spans="2:30" x14ac:dyDescent="0.2">
      <c r="B9" s="4">
        <v>43368</v>
      </c>
      <c r="R9" s="50"/>
      <c r="S9" s="50"/>
    </row>
    <row r="10" spans="2:30" x14ac:dyDescent="0.2">
      <c r="B10" t="s">
        <v>51</v>
      </c>
      <c r="C10" s="18">
        <v>2.5073979393999999E-2</v>
      </c>
      <c r="D10" s="18">
        <v>1.7909441E-8</v>
      </c>
      <c r="E10" s="18">
        <v>1.2384181E-5</v>
      </c>
      <c r="F10" s="18">
        <v>7.7706755998628704E-8</v>
      </c>
      <c r="G10" s="18">
        <v>7.8058018417485595E-8</v>
      </c>
      <c r="H10" s="2">
        <v>9.6987325661655295E-8</v>
      </c>
      <c r="I10" s="2">
        <v>20.58</v>
      </c>
      <c r="J10" s="17">
        <f t="shared" ref="J10:J17" si="0">100*C10/0.5</f>
        <v>5.0147958788000002</v>
      </c>
      <c r="K10" s="2">
        <f t="shared" ref="K10:K17" si="1">C10/P10</f>
        <v>5.0147958787999998E-2</v>
      </c>
      <c r="L10">
        <v>2</v>
      </c>
      <c r="M10">
        <v>1</v>
      </c>
      <c r="N10">
        <v>1.0011099999999999</v>
      </c>
      <c r="O10">
        <v>1</v>
      </c>
      <c r="P10">
        <v>0.5</v>
      </c>
      <c r="Q10">
        <v>-1</v>
      </c>
      <c r="R10" s="52">
        <f t="shared" ref="R10:R17" si="2">Q10*D10/C10/N10</f>
        <v>-7.1347205328432003E-7</v>
      </c>
      <c r="S10" s="52">
        <f t="shared" ref="S10:S17" si="3">Q10*E10/C10/N10</f>
        <v>-4.9335805882018662E-4</v>
      </c>
      <c r="T10" s="19">
        <f t="shared" ref="T10:T17" si="4">N10*M10/L10</f>
        <v>0.50055499999999997</v>
      </c>
      <c r="U10">
        <f t="shared" ref="U10:U17" si="5">T10/(1+R10)</f>
        <v>0.5005553571322584</v>
      </c>
      <c r="V10" s="19">
        <f t="shared" ref="V10:V17" si="6">U10*L10</f>
        <v>1.0011107142645168</v>
      </c>
      <c r="W10" s="52">
        <f>-T10*S10*L10</f>
        <v>4.9390568626547706E-4</v>
      </c>
      <c r="X10" s="19">
        <f>0.5*(V10+V14)</f>
        <v>1.0007968807448158</v>
      </c>
      <c r="Y10" s="19">
        <f>0.5*(W10+W14)</f>
        <v>4.3962854105464549E-4</v>
      </c>
      <c r="Z10" s="2">
        <f>1*(K10/L10)^2</f>
        <v>6.287044426507366E-4</v>
      </c>
      <c r="AA10" s="10">
        <f>2.11*Z10</f>
        <v>1.3265663739930541E-3</v>
      </c>
      <c r="AB10" s="3">
        <f>0.5*K10^2</f>
        <v>1.2574088853014732E-3</v>
      </c>
      <c r="AC10" s="10">
        <f>1000000*(X10-1.0007)+AA10</f>
        <v>96.882071382215514</v>
      </c>
      <c r="AD10" s="10"/>
    </row>
    <row r="11" spans="2:30" x14ac:dyDescent="0.2">
      <c r="C11" s="18">
        <v>0.20040713148</v>
      </c>
      <c r="D11" s="18">
        <v>1.4819283500000001E-6</v>
      </c>
      <c r="E11" s="18">
        <v>9.9294128000000005E-5</v>
      </c>
      <c r="F11" s="18">
        <v>6.9602884082259202E-8</v>
      </c>
      <c r="G11" s="18">
        <v>1.2184555642799399E-7</v>
      </c>
      <c r="H11" s="2">
        <v>7.8999689974075094E-8</v>
      </c>
      <c r="I11" s="2">
        <v>20.58</v>
      </c>
      <c r="J11" s="17">
        <f t="shared" si="0"/>
        <v>40.081426296000004</v>
      </c>
      <c r="K11" s="2">
        <f t="shared" si="1"/>
        <v>0.40081426296</v>
      </c>
      <c r="L11">
        <v>2</v>
      </c>
      <c r="M11">
        <v>1</v>
      </c>
      <c r="N11">
        <v>1.0011099999999999</v>
      </c>
      <c r="O11">
        <v>1</v>
      </c>
      <c r="P11">
        <v>0.5</v>
      </c>
      <c r="Q11">
        <v>-1</v>
      </c>
      <c r="R11" s="52">
        <f t="shared" si="2"/>
        <v>-7.3863900074766754E-6</v>
      </c>
      <c r="S11" s="52">
        <f t="shared" si="3"/>
        <v>-4.9491269592103415E-4</v>
      </c>
      <c r="T11" s="19">
        <f t="shared" si="4"/>
        <v>0.50055499999999997</v>
      </c>
      <c r="U11">
        <f t="shared" si="5"/>
        <v>0.50055869732176006</v>
      </c>
      <c r="V11" s="19">
        <f t="shared" si="6"/>
        <v>1.0011173946435201</v>
      </c>
      <c r="W11" s="52">
        <f t="shared" ref="W11:W26" si="7">-T11*S11*L11</f>
        <v>4.9546204901350648E-4</v>
      </c>
      <c r="X11" s="19">
        <f t="shared" ref="X11:Y13" si="8">0.5*(V11+V15)</f>
        <v>1.0008022002801147</v>
      </c>
      <c r="Y11" s="19">
        <f t="shared" si="8"/>
        <v>4.4254029003644815E-4</v>
      </c>
      <c r="Z11" s="2">
        <f t="shared" ref="Z11:Z12" si="9">1*(K11/L11)^2</f>
        <v>4.0163018348042007E-2</v>
      </c>
      <c r="AA11" s="10">
        <f>2.11*Z11</f>
        <v>8.4743968714368623E-2</v>
      </c>
      <c r="AB11" s="3">
        <f t="shared" ref="AB11:AB13" si="10">0.5*K11^2</f>
        <v>8.0326036696084013E-2</v>
      </c>
      <c r="AC11" s="10">
        <f>1000000*(X11-1.0007)+AA11</f>
        <v>102.28502408347582</v>
      </c>
      <c r="AD11" s="10"/>
    </row>
    <row r="12" spans="2:30" x14ac:dyDescent="0.2">
      <c r="C12" s="18">
        <v>0.50057770739999996</v>
      </c>
      <c r="D12" s="18">
        <v>6.9383076999999904E-6</v>
      </c>
      <c r="E12" s="18">
        <v>2.5293400000000001E-4</v>
      </c>
      <c r="F12" s="18">
        <v>6.6360175801649299E-8</v>
      </c>
      <c r="G12" s="18">
        <v>1.8704415567186301E-8</v>
      </c>
      <c r="H12" s="2">
        <v>1.62630325872826E-19</v>
      </c>
      <c r="I12" s="2">
        <v>20.58</v>
      </c>
      <c r="J12" s="17">
        <f t="shared" si="0"/>
        <v>100.11554147999999</v>
      </c>
      <c r="K12" s="2">
        <f t="shared" si="1"/>
        <v>1.0011554147999999</v>
      </c>
      <c r="L12">
        <v>2</v>
      </c>
      <c r="M12">
        <v>1</v>
      </c>
      <c r="N12">
        <v>1.0011099999999999</v>
      </c>
      <c r="O12">
        <v>1</v>
      </c>
      <c r="P12">
        <v>0.5</v>
      </c>
      <c r="Q12">
        <v>-1</v>
      </c>
      <c r="R12" s="52">
        <f t="shared" si="2"/>
        <v>-1.3845232448845933E-5</v>
      </c>
      <c r="S12" s="52">
        <f t="shared" si="3"/>
        <v>-5.0472394359454571E-4</v>
      </c>
      <c r="T12" s="19">
        <f t="shared" si="4"/>
        <v>0.50055499999999997</v>
      </c>
      <c r="U12">
        <f t="shared" si="5"/>
        <v>0.50056193039628138</v>
      </c>
      <c r="V12" s="19">
        <f t="shared" si="6"/>
        <v>1.0011238607925628</v>
      </c>
      <c r="W12" s="52">
        <f t="shared" si="7"/>
        <v>5.0528418717193566E-4</v>
      </c>
      <c r="X12" s="19">
        <f t="shared" si="8"/>
        <v>1.0008060324060255</v>
      </c>
      <c r="Y12" s="19">
        <f t="shared" si="8"/>
        <v>4.4978672238075589E-4</v>
      </c>
      <c r="Z12" s="2">
        <f t="shared" si="9"/>
        <v>0.25057804114583998</v>
      </c>
      <c r="AA12" s="10">
        <f>2.11*Z12</f>
        <v>0.52871966681772231</v>
      </c>
      <c r="AB12" s="3">
        <f t="shared" si="10"/>
        <v>0.50115608229167996</v>
      </c>
      <c r="AC12" s="10">
        <f>1000000*(X12-1.0007)+AA12</f>
        <v>106.56112569239789</v>
      </c>
      <c r="AD12" s="10"/>
    </row>
    <row r="13" spans="2:30" x14ac:dyDescent="0.2">
      <c r="C13" s="18">
        <v>0.60272899280000003</v>
      </c>
      <c r="D13" s="18">
        <v>9.9600062000000008E-6</v>
      </c>
      <c r="E13" s="18">
        <v>3.0526583999999999E-4</v>
      </c>
      <c r="F13" s="18">
        <v>4.2501865140200899E-8</v>
      </c>
      <c r="G13" s="18">
        <v>4.7558047256543202E-7</v>
      </c>
      <c r="H13" s="2">
        <v>3.1869960778139801E-8</v>
      </c>
      <c r="I13" s="2">
        <v>20.61</v>
      </c>
      <c r="J13" s="17">
        <f t="shared" si="0"/>
        <v>120.54579856000001</v>
      </c>
      <c r="K13" s="2">
        <f t="shared" si="1"/>
        <v>1.2054579856000001</v>
      </c>
      <c r="L13">
        <v>2</v>
      </c>
      <c r="M13">
        <v>1</v>
      </c>
      <c r="N13">
        <v>1.0011099999999999</v>
      </c>
      <c r="O13">
        <v>1</v>
      </c>
      <c r="P13">
        <v>0.5</v>
      </c>
      <c r="Q13">
        <v>-1</v>
      </c>
      <c r="R13" s="52">
        <f t="shared" si="2"/>
        <v>-1.6506527759709802E-5</v>
      </c>
      <c r="S13" s="52">
        <f t="shared" si="3"/>
        <v>-5.059112374901063E-4</v>
      </c>
      <c r="T13" s="19">
        <f t="shared" si="4"/>
        <v>0.50055499999999997</v>
      </c>
      <c r="U13">
        <f t="shared" si="5"/>
        <v>0.50056326256138894</v>
      </c>
      <c r="V13" s="19">
        <f t="shared" si="6"/>
        <v>1.0011265251227779</v>
      </c>
      <c r="W13" s="52">
        <f t="shared" si="7"/>
        <v>5.0647279896372027E-4</v>
      </c>
      <c r="X13" s="19">
        <f t="shared" si="8"/>
        <v>1.0008100170702394</v>
      </c>
      <c r="Y13" s="19">
        <f t="shared" si="8"/>
        <v>4.5227053565519024E-4</v>
      </c>
      <c r="Z13" s="2">
        <f>1*(K13/L13)^2</f>
        <v>0.36328223876170251</v>
      </c>
      <c r="AA13" s="10">
        <f>2.11*Z13</f>
        <v>0.7665255237871923</v>
      </c>
      <c r="AB13" s="3">
        <f t="shared" si="10"/>
        <v>0.72656447752340503</v>
      </c>
      <c r="AC13" s="10">
        <f>1000000*(X13-1.0007)+AA13</f>
        <v>110.78359576328589</v>
      </c>
      <c r="AD13" s="10"/>
    </row>
    <row r="14" spans="2:30" x14ac:dyDescent="0.2">
      <c r="B14" t="s">
        <v>83</v>
      </c>
      <c r="C14" s="18">
        <v>2.4609406122000001E-2</v>
      </c>
      <c r="D14" s="18">
        <v>1.5438603999999999E-5</v>
      </c>
      <c r="E14" s="18">
        <v>-9.4832689999999997E-6</v>
      </c>
      <c r="F14" s="18">
        <v>9.4270489724971499E-8</v>
      </c>
      <c r="G14" s="18">
        <v>1.6345842341096999E-7</v>
      </c>
      <c r="H14" s="2">
        <v>1.5063863452315301E-7</v>
      </c>
      <c r="I14" s="2">
        <v>20.67</v>
      </c>
      <c r="J14" s="17">
        <f t="shared" si="0"/>
        <v>4.9218812243999999</v>
      </c>
      <c r="K14" s="2">
        <f t="shared" si="1"/>
        <v>4.9218812244000001E-2</v>
      </c>
      <c r="L14">
        <v>2</v>
      </c>
      <c r="M14">
        <v>1</v>
      </c>
      <c r="N14">
        <v>1.0011099999999999</v>
      </c>
      <c r="O14">
        <v>1</v>
      </c>
      <c r="P14">
        <v>0.5</v>
      </c>
      <c r="Q14">
        <v>1</v>
      </c>
      <c r="R14" s="52">
        <f t="shared" si="2"/>
        <v>6.2665007330618932E-4</v>
      </c>
      <c r="S14" s="52">
        <f t="shared" si="3"/>
        <v>-3.8492413005944794E-4</v>
      </c>
      <c r="T14" s="19">
        <f t="shared" si="4"/>
        <v>0.50055499999999997</v>
      </c>
      <c r="U14">
        <f t="shared" si="5"/>
        <v>0.50024152361255736</v>
      </c>
      <c r="V14" s="19">
        <f t="shared" si="6"/>
        <v>1.0004830472251147</v>
      </c>
      <c r="W14" s="52">
        <f t="shared" si="7"/>
        <v>3.8535139584381392E-4</v>
      </c>
      <c r="X14" s="19"/>
      <c r="Y14" t="s">
        <v>84</v>
      </c>
      <c r="Z14">
        <f>INDEX(LINEST(AC10:AC13,AB10:AB13),2)</f>
        <v>98.71925413563946</v>
      </c>
    </row>
    <row r="15" spans="2:30" x14ac:dyDescent="0.2">
      <c r="C15">
        <v>0.20042700429999999</v>
      </c>
      <c r="D15">
        <v>1.2494259000000001E-4</v>
      </c>
      <c r="E15" s="18">
        <v>-7.8090075000000005E-5</v>
      </c>
      <c r="F15" s="18">
        <v>7.7496080507381305E-8</v>
      </c>
      <c r="G15" s="18">
        <v>3.37963015728139E-9</v>
      </c>
      <c r="H15" s="18">
        <v>5.2625881643446103E-7</v>
      </c>
      <c r="I15" s="2">
        <v>20.69</v>
      </c>
      <c r="J15" s="17">
        <f t="shared" si="0"/>
        <v>40.08540086</v>
      </c>
      <c r="K15" s="2">
        <f t="shared" si="1"/>
        <v>0.40085400859999998</v>
      </c>
      <c r="L15">
        <v>2</v>
      </c>
      <c r="M15">
        <v>1</v>
      </c>
      <c r="N15">
        <v>1.0011099999999999</v>
      </c>
      <c r="O15">
        <v>1</v>
      </c>
      <c r="P15">
        <v>0.5</v>
      </c>
      <c r="Q15">
        <v>1</v>
      </c>
      <c r="R15" s="52">
        <f t="shared" si="2"/>
        <v>6.2269082917275971E-4</v>
      </c>
      <c r="S15" s="52">
        <f t="shared" si="3"/>
        <v>-3.8918653400664248E-4</v>
      </c>
      <c r="T15" s="19">
        <f t="shared" si="4"/>
        <v>0.50055499999999997</v>
      </c>
      <c r="U15">
        <f t="shared" si="5"/>
        <v>0.50024350295835462</v>
      </c>
      <c r="V15" s="19">
        <f t="shared" si="6"/>
        <v>1.0004870059167092</v>
      </c>
      <c r="W15" s="52">
        <f t="shared" si="7"/>
        <v>3.8961853105938982E-4</v>
      </c>
      <c r="X15" s="19"/>
      <c r="Y15" t="s">
        <v>85</v>
      </c>
      <c r="Z15">
        <f>INDEX(LINEST(AC10:AC13,AB10:AB13),1)</f>
        <v>16.523893831872964</v>
      </c>
      <c r="AA15" t="s">
        <v>86</v>
      </c>
    </row>
    <row r="16" spans="2:30" x14ac:dyDescent="0.2">
      <c r="C16" s="18">
        <v>0.50112955449999996</v>
      </c>
      <c r="D16" s="18">
        <v>3.11794E-4</v>
      </c>
      <c r="E16" s="18">
        <v>-1.9759000000000001E-4</v>
      </c>
      <c r="F16" s="18">
        <v>5.2572787915402699E-8</v>
      </c>
      <c r="G16" s="18">
        <v>4.3368086899420197E-19</v>
      </c>
      <c r="H16" s="2">
        <v>8.1315162936412796E-20</v>
      </c>
      <c r="I16" s="2">
        <v>20.69</v>
      </c>
      <c r="J16" s="17">
        <f t="shared" si="0"/>
        <v>100.22591089999999</v>
      </c>
      <c r="K16" s="2">
        <f t="shared" si="1"/>
        <v>1.0022591089999999</v>
      </c>
      <c r="L16">
        <v>2</v>
      </c>
      <c r="M16">
        <v>1</v>
      </c>
      <c r="N16">
        <v>1.0011099999999999</v>
      </c>
      <c r="O16">
        <v>1</v>
      </c>
      <c r="P16">
        <v>0.5</v>
      </c>
      <c r="Q16">
        <v>1</v>
      </c>
      <c r="R16" s="52">
        <f t="shared" si="2"/>
        <v>6.2149256534308253E-4</v>
      </c>
      <c r="S16" s="52">
        <f t="shared" si="3"/>
        <v>-3.9385208177880165E-4</v>
      </c>
      <c r="T16" s="19">
        <f t="shared" si="4"/>
        <v>0.50055499999999997</v>
      </c>
      <c r="U16">
        <f t="shared" si="5"/>
        <v>0.50024410200974412</v>
      </c>
      <c r="V16" s="19">
        <f t="shared" si="6"/>
        <v>1.0004882040194882</v>
      </c>
      <c r="W16" s="52">
        <f t="shared" si="7"/>
        <v>3.9428925758957611E-4</v>
      </c>
      <c r="X16" s="19"/>
      <c r="Z16" s="49" t="s">
        <v>90</v>
      </c>
      <c r="AA16" s="19">
        <f>AVERAGE(X10:X13)</f>
        <v>1.0008037826252987</v>
      </c>
    </row>
    <row r="17" spans="2:30" x14ac:dyDescent="0.2">
      <c r="C17" s="18">
        <v>0.60155811611999999</v>
      </c>
      <c r="D17" s="18">
        <v>3.7108367E-4</v>
      </c>
      <c r="E17" s="18">
        <v>-2.3946119999999999E-4</v>
      </c>
      <c r="F17" s="18">
        <v>5.7210695480428697E-8</v>
      </c>
      <c r="G17" s="18">
        <v>1.23251779297498E-7</v>
      </c>
      <c r="H17" s="2">
        <v>1.1079711187572301E-8</v>
      </c>
      <c r="I17" s="2">
        <v>20.72</v>
      </c>
      <c r="J17" s="17">
        <f t="shared" si="0"/>
        <v>120.311623224</v>
      </c>
      <c r="K17" s="2">
        <f t="shared" si="1"/>
        <v>1.20311623224</v>
      </c>
      <c r="L17">
        <v>2</v>
      </c>
      <c r="M17">
        <v>1</v>
      </c>
      <c r="N17">
        <v>1.0011099999999999</v>
      </c>
      <c r="O17">
        <v>1</v>
      </c>
      <c r="P17">
        <v>0.5</v>
      </c>
      <c r="Q17">
        <v>1</v>
      </c>
      <c r="R17" s="52">
        <f t="shared" si="2"/>
        <v>6.161868885127045E-4</v>
      </c>
      <c r="S17" s="52">
        <f t="shared" si="3"/>
        <v>-3.9762690648046691E-4</v>
      </c>
      <c r="T17" s="19">
        <f t="shared" si="4"/>
        <v>0.50055499999999997</v>
      </c>
      <c r="U17">
        <f t="shared" si="5"/>
        <v>0.50024675450885059</v>
      </c>
      <c r="V17" s="19">
        <f t="shared" si="6"/>
        <v>1.0004935090177012</v>
      </c>
      <c r="W17" s="52">
        <f t="shared" si="7"/>
        <v>3.9806827234666021E-4</v>
      </c>
      <c r="X17" s="19"/>
      <c r="Z17" s="49" t="s">
        <v>89</v>
      </c>
      <c r="AA17" s="19">
        <f>AVERAGE(Y10:Y13)</f>
        <v>4.4605652228175995E-4</v>
      </c>
    </row>
    <row r="18" spans="2:30" x14ac:dyDescent="0.2">
      <c r="D18" s="18"/>
      <c r="E18" s="18"/>
      <c r="F18" s="18"/>
      <c r="G18" s="18"/>
      <c r="H18" s="18"/>
      <c r="I18" s="2"/>
      <c r="J18" s="17"/>
      <c r="K18" s="2"/>
      <c r="R18" s="52"/>
      <c r="S18" s="52"/>
      <c r="T18" s="19"/>
      <c r="V18" s="19"/>
      <c r="W18" s="52"/>
      <c r="X18" s="19"/>
      <c r="Y18" s="19"/>
      <c r="AA18" s="19"/>
    </row>
    <row r="19" spans="2:30" x14ac:dyDescent="0.2">
      <c r="B19" t="s">
        <v>52</v>
      </c>
      <c r="C19">
        <v>2.4963601743999999E-2</v>
      </c>
      <c r="D19" s="18">
        <v>-2.009153736E-7</v>
      </c>
      <c r="E19" s="18">
        <v>1.0358038E-5</v>
      </c>
      <c r="F19" s="18">
        <v>5.1631511558801097E-8</v>
      </c>
      <c r="G19" s="18">
        <v>1.3650494625358399E-7</v>
      </c>
      <c r="H19" s="18">
        <v>1.31188929243286E-7</v>
      </c>
      <c r="I19" s="2">
        <v>20.7</v>
      </c>
      <c r="J19" s="17">
        <f t="shared" ref="J19:J26" si="11">100*C19/0.5</f>
        <v>4.9927203487999998</v>
      </c>
      <c r="K19" s="2">
        <f t="shared" ref="K19:K26" si="12">C19/P19</f>
        <v>4.9927203487999998E-2</v>
      </c>
      <c r="L19">
        <v>2</v>
      </c>
      <c r="M19">
        <v>1</v>
      </c>
      <c r="N19">
        <v>1.0011099999999999</v>
      </c>
      <c r="O19">
        <v>1</v>
      </c>
      <c r="P19">
        <v>0.5</v>
      </c>
      <c r="Q19">
        <v>-1</v>
      </c>
      <c r="R19" s="52">
        <f t="shared" ref="R19:R26" si="13">Q19*D19/C19/N19</f>
        <v>8.0394090110373942E-6</v>
      </c>
      <c r="S19" s="52">
        <f t="shared" ref="S19:S26" si="14">Q19*E19/C19/N19</f>
        <v>-4.1446556598328794E-4</v>
      </c>
      <c r="T19" s="19">
        <f t="shared" ref="T19:T26" si="15">N19*M19/L19</f>
        <v>0.50055499999999997</v>
      </c>
      <c r="U19">
        <f t="shared" ref="U19:U26" si="16">T19/(1+R19)</f>
        <v>0.50055097586597419</v>
      </c>
      <c r="V19" s="19">
        <f>U19*L19</f>
        <v>1.0011019517319484</v>
      </c>
      <c r="W19" s="52">
        <f t="shared" si="7"/>
        <v>4.1492562276152937E-4</v>
      </c>
      <c r="X19" s="19">
        <f>0.5*(V19+V23)</f>
        <v>1.0007834140683063</v>
      </c>
      <c r="Y19" s="19">
        <f>0.5*(W19+W23)</f>
        <v>3.5120290487326844E-4</v>
      </c>
      <c r="Z19" s="2">
        <f>1*(K19/L19)^2</f>
        <v>6.2318141203303974E-4</v>
      </c>
      <c r="AA19" s="10">
        <f>2.11*Z19</f>
        <v>1.3149127793897137E-3</v>
      </c>
      <c r="AB19" s="3">
        <f t="shared" ref="AB19:AB22" si="17">0.5*K19^2</f>
        <v>1.2463628240660795E-3</v>
      </c>
      <c r="AC19" s="10">
        <f>1000000*(X19-1.0007)+AA19</f>
        <v>83.415383219143834</v>
      </c>
    </row>
    <row r="20" spans="2:30" x14ac:dyDescent="0.2">
      <c r="C20">
        <v>0.20002342317999999</v>
      </c>
      <c r="D20" s="18">
        <v>-8.8219067000000004E-7</v>
      </c>
      <c r="E20" s="18">
        <v>8.4032114999999999E-5</v>
      </c>
      <c r="F20" s="18">
        <v>4.4286060210388303E-8</v>
      </c>
      <c r="G20" s="18">
        <v>3.0040582203186597E-7</v>
      </c>
      <c r="H20" s="18">
        <v>4.2284288748896798E-8</v>
      </c>
      <c r="I20" s="2">
        <v>20.7</v>
      </c>
      <c r="J20" s="17">
        <f t="shared" si="11"/>
        <v>40.004684636</v>
      </c>
      <c r="K20" s="2">
        <f t="shared" si="12"/>
        <v>0.40004684635999999</v>
      </c>
      <c r="L20">
        <v>2</v>
      </c>
      <c r="M20">
        <v>1</v>
      </c>
      <c r="N20">
        <v>1.0011099999999999</v>
      </c>
      <c r="O20">
        <v>1</v>
      </c>
      <c r="P20">
        <v>0.5</v>
      </c>
      <c r="Q20">
        <v>-1</v>
      </c>
      <c r="R20" s="52">
        <f t="shared" si="13"/>
        <v>4.4055466609290688E-6</v>
      </c>
      <c r="S20" s="52">
        <f t="shared" si="14"/>
        <v>-4.1964556669938199E-4</v>
      </c>
      <c r="T20" s="19">
        <f t="shared" si="15"/>
        <v>0.50055499999999997</v>
      </c>
      <c r="U20">
        <f t="shared" si="16"/>
        <v>0.50055279479130621</v>
      </c>
      <c r="V20" s="19">
        <f t="shared" ref="V20:V26" si="18">U20*L20</f>
        <v>1.0011055895826124</v>
      </c>
      <c r="W20" s="52">
        <f t="shared" si="7"/>
        <v>4.201113732784183E-4</v>
      </c>
      <c r="X20" s="19">
        <f t="shared" ref="X20:Y22" si="19">0.5*(V20+V24)</f>
        <v>1.0007905787744047</v>
      </c>
      <c r="Y20" s="19">
        <f t="shared" si="19"/>
        <v>3.6049706082748594E-4</v>
      </c>
      <c r="Z20" s="2">
        <f t="shared" ref="Z20:Z21" si="20">1*(K20/L20)^2</f>
        <v>4.000936982064536E-2</v>
      </c>
      <c r="AA20" s="10">
        <f>2.11*Z20</f>
        <v>8.4419770321561699E-2</v>
      </c>
      <c r="AB20" s="3">
        <f t="shared" si="17"/>
        <v>8.001873964129072E-2</v>
      </c>
      <c r="AC20" s="10">
        <f>1000000*(X20-1.0007)+AA20</f>
        <v>90.663194175091917</v>
      </c>
    </row>
    <row r="21" spans="2:30" x14ac:dyDescent="0.2">
      <c r="C21">
        <v>0.50010545159999997</v>
      </c>
      <c r="D21" s="18">
        <v>2.2041233E-6</v>
      </c>
      <c r="E21" s="18">
        <v>2.1519215000000001E-4</v>
      </c>
      <c r="F21" s="18">
        <v>3.28226356893603E-8</v>
      </c>
      <c r="G21" s="18">
        <v>5.7772786076144396E-9</v>
      </c>
      <c r="H21" s="18">
        <v>2.0011793397894201E-7</v>
      </c>
      <c r="I21" s="2">
        <v>20.7</v>
      </c>
      <c r="J21" s="17">
        <f t="shared" si="11"/>
        <v>100.02109032</v>
      </c>
      <c r="K21" s="2">
        <f t="shared" si="12"/>
        <v>1.0002109031999999</v>
      </c>
      <c r="L21">
        <v>2</v>
      </c>
      <c r="M21">
        <v>1</v>
      </c>
      <c r="N21">
        <v>1.0011099999999999</v>
      </c>
      <c r="O21">
        <v>1</v>
      </c>
      <c r="P21">
        <v>0.5</v>
      </c>
      <c r="Q21">
        <v>-1</v>
      </c>
      <c r="R21" s="52">
        <f t="shared" si="13"/>
        <v>-4.4024303849964933E-6</v>
      </c>
      <c r="S21" s="52">
        <f t="shared" si="14"/>
        <v>-4.2981645345009656E-4</v>
      </c>
      <c r="T21" s="19">
        <f t="shared" si="15"/>
        <v>0.50055499999999997</v>
      </c>
      <c r="U21">
        <f t="shared" si="16"/>
        <v>0.50055720366824286</v>
      </c>
      <c r="V21" s="19">
        <f t="shared" si="18"/>
        <v>1.0011144073364857</v>
      </c>
      <c r="W21" s="52">
        <f t="shared" si="7"/>
        <v>4.3029354971342614E-4</v>
      </c>
      <c r="X21" s="19">
        <f t="shared" si="19"/>
        <v>1.0007981758676303</v>
      </c>
      <c r="Y21" s="19">
        <f t="shared" si="19"/>
        <v>3.7053428972147099E-4</v>
      </c>
      <c r="Z21" s="2">
        <f t="shared" si="20"/>
        <v>0.25010546272003992</v>
      </c>
      <c r="AA21" s="10">
        <f>2.11*Z21</f>
        <v>0.52772252633928418</v>
      </c>
      <c r="AB21" s="3">
        <f t="shared" si="17"/>
        <v>0.50021092544007983</v>
      </c>
      <c r="AC21" s="10">
        <f>1000000*(X21-1.0007)+AA21</f>
        <v>98.703590156729391</v>
      </c>
    </row>
    <row r="22" spans="2:30" x14ac:dyDescent="0.2">
      <c r="C22">
        <v>0.60032654811999997</v>
      </c>
      <c r="D22" s="18">
        <v>3.4868900000000002E-6</v>
      </c>
      <c r="E22" s="18">
        <v>2.6117130999999999E-4</v>
      </c>
      <c r="F22" s="18">
        <v>5.3076599809774503E-8</v>
      </c>
      <c r="G22" s="18">
        <v>4.2351647362715002E-21</v>
      </c>
      <c r="H22" s="18">
        <v>1.41447481419895E-8</v>
      </c>
      <c r="I22" s="2">
        <v>20.72</v>
      </c>
      <c r="J22" s="17">
        <f t="shared" si="11"/>
        <v>120.06530962399999</v>
      </c>
      <c r="K22" s="2">
        <f t="shared" si="12"/>
        <v>1.2006530962399999</v>
      </c>
      <c r="L22">
        <v>2</v>
      </c>
      <c r="M22">
        <v>1</v>
      </c>
      <c r="N22">
        <v>1.0011099999999999</v>
      </c>
      <c r="O22">
        <v>1</v>
      </c>
      <c r="P22">
        <v>0.5</v>
      </c>
      <c r="Q22">
        <v>-1</v>
      </c>
      <c r="R22" s="52">
        <f t="shared" si="13"/>
        <v>-5.8018820830783122E-6</v>
      </c>
      <c r="S22" s="52">
        <f t="shared" si="14"/>
        <v>-4.3456637407635214E-4</v>
      </c>
      <c r="T22" s="19">
        <f t="shared" si="15"/>
        <v>0.50055499999999997</v>
      </c>
      <c r="U22">
        <f t="shared" si="16"/>
        <v>0.50055790417793578</v>
      </c>
      <c r="V22" s="19">
        <f t="shared" si="18"/>
        <v>1.0011158083558716</v>
      </c>
      <c r="W22" s="52">
        <f t="shared" si="7"/>
        <v>4.3504874275157688E-4</v>
      </c>
      <c r="X22" s="19">
        <f t="shared" si="19"/>
        <v>1.0008011323969854</v>
      </c>
      <c r="Y22" s="19">
        <f t="shared" si="19"/>
        <v>3.7311672537308738E-4</v>
      </c>
      <c r="Z22" s="2">
        <f>1*(K22/L22)^2</f>
        <v>0.36039196437767462</v>
      </c>
      <c r="AA22" s="10">
        <f>2.11*Z22</f>
        <v>0.76042704483689338</v>
      </c>
      <c r="AB22" s="3">
        <f t="shared" si="17"/>
        <v>0.72078392875534925</v>
      </c>
      <c r="AC22" s="10">
        <f>1000000*(X22-1.0007)+AA22</f>
        <v>101.89282403034069</v>
      </c>
    </row>
    <row r="23" spans="2:30" x14ac:dyDescent="0.2">
      <c r="B23" t="s">
        <v>83</v>
      </c>
      <c r="C23">
        <v>2.4969238663999999E-2</v>
      </c>
      <c r="D23" s="18">
        <v>1.6118631999999999E-5</v>
      </c>
      <c r="E23" s="18">
        <v>-7.1781613999999999E-6</v>
      </c>
      <c r="F23" s="18">
        <v>7.5327201214452501E-8</v>
      </c>
      <c r="G23" s="18">
        <v>1.15728057859795E-7</v>
      </c>
      <c r="H23" s="18">
        <v>4.0442967943018198E-8</v>
      </c>
      <c r="I23" s="2">
        <v>20.75</v>
      </c>
      <c r="J23" s="17">
        <f t="shared" si="11"/>
        <v>4.9938477327999999</v>
      </c>
      <c r="K23" s="2">
        <f t="shared" si="12"/>
        <v>4.9938477327999997E-2</v>
      </c>
      <c r="L23">
        <v>2</v>
      </c>
      <c r="M23">
        <v>1</v>
      </c>
      <c r="N23">
        <v>1.0011099999999999</v>
      </c>
      <c r="O23">
        <v>1</v>
      </c>
      <c r="P23">
        <v>0.5</v>
      </c>
      <c r="Q23">
        <v>1</v>
      </c>
      <c r="R23" s="52">
        <f t="shared" si="13"/>
        <v>6.4482383195128194E-4</v>
      </c>
      <c r="S23" s="52">
        <f t="shared" si="14"/>
        <v>-2.871614377890617E-4</v>
      </c>
      <c r="T23" s="19">
        <f t="shared" si="15"/>
        <v>0.50055499999999997</v>
      </c>
      <c r="U23">
        <f>T23/(1+R23)</f>
        <v>0.5002324382023321</v>
      </c>
      <c r="V23" s="19">
        <f t="shared" si="18"/>
        <v>1.0004648764046642</v>
      </c>
      <c r="W23" s="52">
        <f t="shared" si="7"/>
        <v>2.8748018698500756E-4</v>
      </c>
      <c r="X23" s="19"/>
      <c r="Y23" t="s">
        <v>84</v>
      </c>
      <c r="Z23">
        <f>INDEX(LINEST(AC19:AC22,AB19:AB22),2)</f>
        <v>86.094811654875357</v>
      </c>
    </row>
    <row r="24" spans="2:30" x14ac:dyDescent="0.2">
      <c r="C24">
        <v>0.20014091976000001</v>
      </c>
      <c r="D24" s="18">
        <v>1.2705632999999999E-4</v>
      </c>
      <c r="E24" s="18">
        <v>-6.0218950000000099E-5</v>
      </c>
      <c r="F24" s="18">
        <v>5.7149403005131197E-8</v>
      </c>
      <c r="G24" s="18">
        <v>3.7066981263654199E-8</v>
      </c>
      <c r="H24" s="18">
        <v>3.7016888037773499E-9</v>
      </c>
      <c r="I24" s="2">
        <v>20.78</v>
      </c>
      <c r="J24" s="17">
        <f t="shared" si="11"/>
        <v>40.028183951999999</v>
      </c>
      <c r="K24" s="2">
        <f t="shared" si="12"/>
        <v>0.40028183952000002</v>
      </c>
      <c r="L24">
        <v>2</v>
      </c>
      <c r="M24">
        <v>1</v>
      </c>
      <c r="N24">
        <v>1.0011099999999999</v>
      </c>
      <c r="O24">
        <v>1</v>
      </c>
      <c r="P24">
        <v>0.5</v>
      </c>
      <c r="Q24">
        <v>1</v>
      </c>
      <c r="R24" s="52">
        <f t="shared" si="13"/>
        <v>6.3413046166881809E-4</v>
      </c>
      <c r="S24" s="52">
        <f t="shared" si="14"/>
        <v>-3.0054913883244966E-4</v>
      </c>
      <c r="T24" s="19">
        <f t="shared" si="15"/>
        <v>0.50055499999999997</v>
      </c>
      <c r="U24">
        <f t="shared" si="16"/>
        <v>0.50023778398309859</v>
      </c>
      <c r="V24" s="19">
        <f t="shared" si="18"/>
        <v>1.0004755679661972</v>
      </c>
      <c r="W24" s="52">
        <f t="shared" si="7"/>
        <v>3.0088274837655364E-4</v>
      </c>
      <c r="X24" s="19"/>
      <c r="Y24" t="s">
        <v>85</v>
      </c>
      <c r="Z24">
        <f>INDEX(LINEST(AC19:AC22,AB19:AB22),1)</f>
        <v>23.26397644867146</v>
      </c>
      <c r="AA24" t="s">
        <v>86</v>
      </c>
    </row>
    <row r="25" spans="2:30" x14ac:dyDescent="0.2">
      <c r="C25">
        <v>0.50039091022000004</v>
      </c>
      <c r="D25" s="18">
        <v>3.144706E-4</v>
      </c>
      <c r="E25" s="18">
        <v>-1.5550899999999999E-4</v>
      </c>
      <c r="F25" s="18">
        <v>5.1617985742947002E-8</v>
      </c>
      <c r="G25" s="18">
        <v>1.1525623627373201E-8</v>
      </c>
      <c r="H25" s="18">
        <v>1.0842021724855E-19</v>
      </c>
      <c r="I25" s="2">
        <v>20.8</v>
      </c>
      <c r="J25" s="17">
        <f t="shared" si="11"/>
        <v>100.078182044</v>
      </c>
      <c r="K25" s="2">
        <f t="shared" si="12"/>
        <v>1.0007818204400001</v>
      </c>
      <c r="L25">
        <v>2</v>
      </c>
      <c r="M25">
        <v>1</v>
      </c>
      <c r="N25">
        <v>1.0011099999999999</v>
      </c>
      <c r="O25">
        <v>1</v>
      </c>
      <c r="P25">
        <v>0.5</v>
      </c>
      <c r="Q25">
        <v>1</v>
      </c>
      <c r="R25" s="52">
        <f t="shared" si="13"/>
        <v>6.2775305915432737E-4</v>
      </c>
      <c r="S25" s="52">
        <f t="shared" si="14"/>
        <v>-3.1043045192787592E-4</v>
      </c>
      <c r="T25" s="19">
        <f t="shared" si="15"/>
        <v>0.50055499999999997</v>
      </c>
      <c r="U25">
        <f t="shared" si="16"/>
        <v>0.50024097219938746</v>
      </c>
      <c r="V25" s="19">
        <f t="shared" si="18"/>
        <v>1.0004819443987749</v>
      </c>
      <c r="W25" s="52">
        <f t="shared" si="7"/>
        <v>3.1077502972951584E-4</v>
      </c>
      <c r="X25" s="19"/>
      <c r="Z25" s="49" t="s">
        <v>91</v>
      </c>
      <c r="AA25" s="19">
        <f>AVERAGE(X19:X22)</f>
        <v>1.0007933252768315</v>
      </c>
    </row>
    <row r="26" spans="2:30" x14ac:dyDescent="0.2">
      <c r="C26">
        <v>0.60066672686</v>
      </c>
      <c r="D26" s="18">
        <v>3.7477529999999901E-4</v>
      </c>
      <c r="E26" s="18">
        <v>-1.869183E-4</v>
      </c>
      <c r="F26" s="18">
        <v>3.4851658225325703E-8</v>
      </c>
      <c r="G26" s="18">
        <v>1.3874797295809401E-8</v>
      </c>
      <c r="H26" s="18">
        <v>8.58545281274807E-9</v>
      </c>
      <c r="I26" s="2">
        <v>20.81</v>
      </c>
      <c r="J26" s="17">
        <f t="shared" si="11"/>
        <v>120.13334537199999</v>
      </c>
      <c r="K26" s="2">
        <f t="shared" si="12"/>
        <v>1.20133345372</v>
      </c>
      <c r="L26">
        <v>2</v>
      </c>
      <c r="M26">
        <v>1</v>
      </c>
      <c r="N26">
        <v>1.0011099999999999</v>
      </c>
      <c r="O26">
        <v>1</v>
      </c>
      <c r="P26">
        <v>0.5</v>
      </c>
      <c r="Q26">
        <v>1</v>
      </c>
      <c r="R26" s="52">
        <f t="shared" si="13"/>
        <v>6.232403826039025E-4</v>
      </c>
      <c r="S26" s="52">
        <f t="shared" si="14"/>
        <v>-3.1083967595428867E-4</v>
      </c>
      <c r="T26" s="19">
        <f t="shared" si="15"/>
        <v>0.50055499999999997</v>
      </c>
      <c r="U26">
        <f t="shared" si="16"/>
        <v>0.50024322821904976</v>
      </c>
      <c r="V26" s="19">
        <f t="shared" si="18"/>
        <v>1.0004864564380995</v>
      </c>
      <c r="W26" s="52">
        <f t="shared" si="7"/>
        <v>3.1118470799459789E-4</v>
      </c>
      <c r="X26" s="19"/>
      <c r="Y26" s="19"/>
      <c r="Z26" s="49" t="s">
        <v>92</v>
      </c>
      <c r="AA26" s="19">
        <f>AVERAGE(Y19:Y22)</f>
        <v>3.638377451988282E-4</v>
      </c>
    </row>
    <row r="27" spans="2:30" x14ac:dyDescent="0.2">
      <c r="C27" s="6"/>
      <c r="D27" s="18"/>
      <c r="E27" s="18"/>
      <c r="F27" s="18"/>
      <c r="G27" s="18"/>
      <c r="H27" s="18"/>
      <c r="I27" s="2"/>
      <c r="J27" s="17"/>
      <c r="K27" s="2"/>
      <c r="R27" s="52"/>
      <c r="S27" s="52"/>
      <c r="T27" s="19"/>
      <c r="V27" s="19"/>
      <c r="W27" s="19"/>
      <c r="X27" s="19"/>
    </row>
    <row r="28" spans="2:30" x14ac:dyDescent="0.2">
      <c r="C28" s="6"/>
      <c r="D28" s="18"/>
      <c r="E28" s="18"/>
      <c r="F28" s="18"/>
      <c r="G28" s="18"/>
      <c r="H28" s="18"/>
      <c r="I28" s="2"/>
      <c r="J28" s="17"/>
      <c r="K28" s="2"/>
      <c r="R28" s="52"/>
      <c r="S28" s="52"/>
      <c r="T28" s="19"/>
      <c r="V28" s="19"/>
      <c r="W28" s="19"/>
      <c r="X28" s="60"/>
      <c r="Y28" s="62" t="s">
        <v>95</v>
      </c>
      <c r="Z28" s="63">
        <f>(Z24+Z15)/2</f>
        <v>19.893935140272212</v>
      </c>
      <c r="AA28" s="59" t="s">
        <v>86</v>
      </c>
    </row>
    <row r="30" spans="2:30" x14ac:dyDescent="0.2">
      <c r="B30" s="4">
        <v>43370</v>
      </c>
      <c r="R30" s="50"/>
      <c r="S30" s="50"/>
    </row>
    <row r="31" spans="2:30" x14ac:dyDescent="0.2">
      <c r="B31" t="s">
        <v>51</v>
      </c>
      <c r="C31">
        <v>4.9899917949999999E-3</v>
      </c>
      <c r="D31" s="18">
        <v>-4.4288112089999999E-8</v>
      </c>
      <c r="E31" s="18">
        <v>1.3552303E-6</v>
      </c>
      <c r="F31" s="18">
        <v>5.8510845507155598E-8</v>
      </c>
      <c r="G31" s="18">
        <v>8.86645644716206E-8</v>
      </c>
      <c r="H31" s="18">
        <v>9.0510759420689906E-8</v>
      </c>
      <c r="I31" s="2">
        <v>20</v>
      </c>
      <c r="J31" s="17">
        <f>100*C31/0.1</f>
        <v>4.9899917949999999</v>
      </c>
      <c r="K31" s="2">
        <f t="shared" ref="K31:K38" si="21">C31/P31</f>
        <v>4.9899917949999997E-2</v>
      </c>
      <c r="L31">
        <v>2</v>
      </c>
      <c r="M31">
        <v>1</v>
      </c>
      <c r="N31">
        <v>1.0009699999999999</v>
      </c>
      <c r="O31">
        <v>0.2</v>
      </c>
      <c r="P31">
        <v>0.1</v>
      </c>
      <c r="Q31">
        <v>-1</v>
      </c>
      <c r="R31" s="52">
        <f t="shared" ref="R31:R38" si="22">Q31*D31/C31/N31</f>
        <v>8.8667869746619452E-6</v>
      </c>
      <c r="S31" s="52">
        <f t="shared" ref="S31:S38" si="23">Q31*E31/C31/N31</f>
        <v>-2.7132649834537572E-4</v>
      </c>
      <c r="T31" s="19">
        <f t="shared" ref="T31:T38" si="24">N31*M31/L31</f>
        <v>0.50048499999999996</v>
      </c>
      <c r="U31">
        <f t="shared" ref="U31:U38" si="25">T31/(1+R31)</f>
        <v>0.50048056234546867</v>
      </c>
      <c r="V31" s="19">
        <f t="shared" ref="V31:V38" si="26">U31*L31</f>
        <v>1.0009611246909373</v>
      </c>
      <c r="W31" s="52">
        <f>-T31*S31*L31</f>
        <v>2.7158968504877073E-4</v>
      </c>
      <c r="X31" s="19">
        <f>0.5*(V31+V35)</f>
        <v>1.0007927385465076</v>
      </c>
      <c r="Y31" s="19">
        <f t="shared" ref="X31:Y34" si="27">0.5*(W31+W35)</f>
        <v>2.2720914943048261E-4</v>
      </c>
      <c r="Z31" s="2">
        <f>0.2*(K31/L31)^2</f>
        <v>1.245000905708366E-4</v>
      </c>
      <c r="AA31" s="10">
        <f>2.11*Z31</f>
        <v>2.6269519110446522E-4</v>
      </c>
      <c r="AB31" s="2">
        <f>0.1*K31^2</f>
        <v>2.490001811416732E-4</v>
      </c>
      <c r="AC31" s="10">
        <f>1000000*(X31-1.0007)+AA31</f>
        <v>92.738809202900185</v>
      </c>
      <c r="AD31" s="10"/>
    </row>
    <row r="32" spans="2:30" x14ac:dyDescent="0.2">
      <c r="C32">
        <v>4.0179119574E-2</v>
      </c>
      <c r="D32" s="18">
        <v>-4.8333123099999999E-7</v>
      </c>
      <c r="E32" s="18">
        <v>1.1089884E-5</v>
      </c>
      <c r="F32" s="18">
        <v>5.07179272171361E-8</v>
      </c>
      <c r="G32" s="18">
        <v>2.0502632561849201E-7</v>
      </c>
      <c r="H32" s="18">
        <v>2.5289977145106401E-8</v>
      </c>
      <c r="I32" s="2">
        <v>20</v>
      </c>
      <c r="J32" s="17">
        <f t="shared" ref="J32:J38" si="28">100*C32/0.1</f>
        <v>40.179119573999998</v>
      </c>
      <c r="K32" s="2">
        <f t="shared" si="21"/>
        <v>0.40179119574</v>
      </c>
      <c r="L32">
        <v>2</v>
      </c>
      <c r="M32">
        <v>1</v>
      </c>
      <c r="N32">
        <v>1.0009699999999999</v>
      </c>
      <c r="O32">
        <v>0.2</v>
      </c>
      <c r="P32">
        <v>0.1</v>
      </c>
      <c r="Q32">
        <v>-1</v>
      </c>
      <c r="R32" s="52">
        <f t="shared" si="22"/>
        <v>1.2017755967556121E-5</v>
      </c>
      <c r="S32" s="52">
        <f t="shared" si="23"/>
        <v>-2.7574365377706195E-4</v>
      </c>
      <c r="T32" s="19">
        <f t="shared" si="24"/>
        <v>0.50048499999999996</v>
      </c>
      <c r="U32">
        <f t="shared" si="25"/>
        <v>0.50047898536568702</v>
      </c>
      <c r="V32" s="19">
        <f t="shared" si="26"/>
        <v>1.000957970731374</v>
      </c>
      <c r="W32" s="52">
        <f t="shared" ref="W32:W38" si="29">-T32*S32*L32</f>
        <v>2.7601112512122566E-4</v>
      </c>
      <c r="X32" s="19">
        <f t="shared" si="27"/>
        <v>1.0007833529259362</v>
      </c>
      <c r="Y32" s="19">
        <f t="shared" si="27"/>
        <v>2.3254210801262979E-4</v>
      </c>
      <c r="Z32" s="2">
        <f>0.2*(K32/L32)^2</f>
        <v>8.071808248708949E-3</v>
      </c>
      <c r="AA32" s="10">
        <f>2.11*Z32</f>
        <v>1.703151540477588E-2</v>
      </c>
      <c r="AB32" s="2">
        <f>0.1*K32^2</f>
        <v>1.6143616497417898E-2</v>
      </c>
      <c r="AC32" s="10">
        <f>1000000*(X32-1.0007)+AA32</f>
        <v>83.36995745171339</v>
      </c>
      <c r="AD32" s="10"/>
    </row>
    <row r="33" spans="2:30" x14ac:dyDescent="0.2">
      <c r="C33">
        <v>0.10045993988</v>
      </c>
      <c r="D33" s="18">
        <v>-1.09656223E-6</v>
      </c>
      <c r="E33" s="18">
        <v>2.8176685E-5</v>
      </c>
      <c r="F33" s="18">
        <v>1.6019499285580599E-8</v>
      </c>
      <c r="G33" s="18">
        <v>2.6972964377633699E-8</v>
      </c>
      <c r="H33" s="18">
        <v>2.3954416685655303E-7</v>
      </c>
      <c r="I33" s="2">
        <v>20</v>
      </c>
      <c r="J33" s="17">
        <f t="shared" si="28"/>
        <v>100.45993987999999</v>
      </c>
      <c r="K33" s="2">
        <f t="shared" si="21"/>
        <v>1.0045993987999999</v>
      </c>
      <c r="L33">
        <v>2</v>
      </c>
      <c r="M33">
        <v>1</v>
      </c>
      <c r="N33">
        <v>1.0009699999999999</v>
      </c>
      <c r="O33">
        <v>0.2</v>
      </c>
      <c r="P33">
        <v>0.1</v>
      </c>
      <c r="Q33">
        <v>-1</v>
      </c>
      <c r="R33" s="52">
        <f t="shared" si="22"/>
        <v>1.0904840244788622E-5</v>
      </c>
      <c r="S33" s="52">
        <f t="shared" si="23"/>
        <v>-2.8020502635106435E-4</v>
      </c>
      <c r="T33" s="19">
        <f t="shared" si="24"/>
        <v>0.50048499999999996</v>
      </c>
      <c r="U33">
        <f t="shared" si="25"/>
        <v>0.50047954235054481</v>
      </c>
      <c r="V33" s="19">
        <f t="shared" si="26"/>
        <v>1.0009590847010896</v>
      </c>
      <c r="W33" s="52">
        <f t="shared" si="29"/>
        <v>2.8047682522662487E-4</v>
      </c>
      <c r="X33" s="19">
        <f t="shared" si="27"/>
        <v>1.0007864108251567</v>
      </c>
      <c r="Y33" s="19">
        <f t="shared" si="27"/>
        <v>2.3366885856952499E-4</v>
      </c>
      <c r="Z33" s="2">
        <f>0.2*(K33/L33)^2</f>
        <v>5.0460997603466062E-2</v>
      </c>
      <c r="AA33" s="10">
        <f>2.11*Z33</f>
        <v>0.10647270494331339</v>
      </c>
      <c r="AB33" s="2">
        <f>0.1*K33^2</f>
        <v>0.10092199520693212</v>
      </c>
      <c r="AC33" s="10">
        <f>1000000*(X33-1.0007)+AA33</f>
        <v>86.51729786175629</v>
      </c>
      <c r="AD33" s="10"/>
    </row>
    <row r="34" spans="2:30" x14ac:dyDescent="0.2">
      <c r="C34">
        <v>0.12055529366000001</v>
      </c>
      <c r="D34" s="18">
        <v>-1.1015726000000001E-6</v>
      </c>
      <c r="E34" s="18">
        <v>3.3848082000000003E-5</v>
      </c>
      <c r="F34" s="18">
        <v>4.4238360035573198E-8</v>
      </c>
      <c r="G34" s="18">
        <v>6.6476253835486299E-9</v>
      </c>
      <c r="H34" s="18">
        <v>1.27469271104843E-7</v>
      </c>
      <c r="I34" s="2">
        <v>20.010000000000002</v>
      </c>
      <c r="J34" s="17">
        <f t="shared" si="28"/>
        <v>120.55529365999999</v>
      </c>
      <c r="K34" s="2">
        <f t="shared" si="21"/>
        <v>1.2055529366</v>
      </c>
      <c r="L34">
        <v>2</v>
      </c>
      <c r="M34">
        <v>1</v>
      </c>
      <c r="N34">
        <v>1.0009699999999999</v>
      </c>
      <c r="O34">
        <v>0.2</v>
      </c>
      <c r="P34">
        <v>0.1</v>
      </c>
      <c r="Q34">
        <v>-1</v>
      </c>
      <c r="R34" s="52">
        <f t="shared" si="22"/>
        <v>9.1286336471212417E-6</v>
      </c>
      <c r="S34" s="52">
        <f t="shared" si="23"/>
        <v>-2.8049602925464822E-4</v>
      </c>
      <c r="T34" s="19">
        <f t="shared" si="24"/>
        <v>0.50048499999999996</v>
      </c>
      <c r="U34">
        <f t="shared" si="25"/>
        <v>0.50048043129749509</v>
      </c>
      <c r="V34" s="19">
        <f t="shared" si="26"/>
        <v>1.0009608625949902</v>
      </c>
      <c r="W34" s="52">
        <f t="shared" si="29"/>
        <v>2.8076811040302519E-4</v>
      </c>
      <c r="X34" s="19">
        <f t="shared" si="27"/>
        <v>1.0007877055560719</v>
      </c>
      <c r="Y34" s="19">
        <f t="shared" si="27"/>
        <v>2.3618812405668639E-4</v>
      </c>
      <c r="Z34" s="2">
        <f>0.2*(K34/L34)^2</f>
        <v>7.2667894147244172E-2</v>
      </c>
      <c r="AA34" s="10">
        <f>2.11*Z34</f>
        <v>0.1533292566506852</v>
      </c>
      <c r="AB34" s="2">
        <f>0.1*K34^2</f>
        <v>0.14533578829448834</v>
      </c>
      <c r="AC34" s="10">
        <f>1000000*(X34-1.0007)+AA34</f>
        <v>87.858885328610413</v>
      </c>
      <c r="AD34" s="10"/>
    </row>
    <row r="35" spans="2:30" x14ac:dyDescent="0.2">
      <c r="B35" t="s">
        <v>83</v>
      </c>
      <c r="C35">
        <v>4.9718776565999996E-3</v>
      </c>
      <c r="D35" s="18">
        <v>1.7191112E-6</v>
      </c>
      <c r="E35" s="18">
        <v>-9.0900150000000004E-7</v>
      </c>
      <c r="F35" s="18">
        <v>4.2321430973183798E-8</v>
      </c>
      <c r="G35" s="18">
        <v>6.3762304511051006E-8</v>
      </c>
      <c r="H35" s="18">
        <v>3.7058429548349702E-8</v>
      </c>
      <c r="I35" s="2">
        <v>20.02</v>
      </c>
      <c r="J35" s="17">
        <f t="shared" si="28"/>
        <v>4.9718776565999994</v>
      </c>
      <c r="K35" s="2">
        <f t="shared" si="21"/>
        <v>4.9718776565999996E-2</v>
      </c>
      <c r="L35">
        <v>2</v>
      </c>
      <c r="M35">
        <v>1</v>
      </c>
      <c r="N35">
        <v>1.0009699999999999</v>
      </c>
      <c r="O35">
        <v>0.2</v>
      </c>
      <c r="P35">
        <v>0.1</v>
      </c>
      <c r="Q35">
        <v>1</v>
      </c>
      <c r="R35" s="52">
        <f t="shared" si="22"/>
        <v>3.4543192666867245E-4</v>
      </c>
      <c r="S35" s="52">
        <f t="shared" si="23"/>
        <v>-1.8265144191353841E-4</v>
      </c>
      <c r="T35" s="19">
        <f t="shared" si="24"/>
        <v>0.50048499999999996</v>
      </c>
      <c r="U35">
        <f t="shared" si="25"/>
        <v>0.50031217620103907</v>
      </c>
      <c r="V35" s="19">
        <f t="shared" si="26"/>
        <v>1.0006243524020781</v>
      </c>
      <c r="W35" s="52">
        <f t="shared" si="29"/>
        <v>1.8282861381219452E-4</v>
      </c>
      <c r="X35" s="19"/>
      <c r="Y35" t="s">
        <v>84</v>
      </c>
      <c r="Z35">
        <f>INDEX(LINEST(AC31:AC34,AB31:AB34),2)</f>
        <v>88.282488041314409</v>
      </c>
    </row>
    <row r="36" spans="2:30" x14ac:dyDescent="0.2">
      <c r="C36">
        <v>4.0172720843999997E-2</v>
      </c>
      <c r="D36" s="18">
        <v>1.4518233E-5</v>
      </c>
      <c r="E36" s="18">
        <v>-7.5955804999999904E-6</v>
      </c>
      <c r="F36" s="18">
        <v>5.0156072080752501E-8</v>
      </c>
      <c r="G36" s="18">
        <v>9.0142848917703996E-8</v>
      </c>
      <c r="H36" s="18">
        <v>1.04376019635739E-8</v>
      </c>
      <c r="I36" s="2">
        <v>20.02</v>
      </c>
      <c r="J36" s="17">
        <f t="shared" si="28"/>
        <v>40.172720843999997</v>
      </c>
      <c r="K36" s="2">
        <f t="shared" si="21"/>
        <v>0.40172720843999993</v>
      </c>
      <c r="L36">
        <v>2</v>
      </c>
      <c r="M36">
        <v>1</v>
      </c>
      <c r="N36">
        <v>1.0009699999999999</v>
      </c>
      <c r="O36">
        <v>0.2</v>
      </c>
      <c r="P36">
        <v>0.1</v>
      </c>
      <c r="Q36">
        <v>1</v>
      </c>
      <c r="R36" s="52">
        <f t="shared" si="22"/>
        <v>3.610450986698389E-4</v>
      </c>
      <c r="S36" s="52">
        <f t="shared" si="23"/>
        <v>-1.8888986773233361E-4</v>
      </c>
      <c r="T36" s="19">
        <f t="shared" si="24"/>
        <v>0.50048499999999996</v>
      </c>
      <c r="U36">
        <f t="shared" si="25"/>
        <v>0.50030436756024932</v>
      </c>
      <c r="V36" s="19">
        <f t="shared" si="26"/>
        <v>1.0006087351204986</v>
      </c>
      <c r="W36" s="52">
        <f t="shared" si="29"/>
        <v>1.8907309090403394E-4</v>
      </c>
      <c r="X36" s="19"/>
      <c r="Y36" t="s">
        <v>85</v>
      </c>
      <c r="Z36">
        <f>INDEX(LINEST(AC31:AC34,AB31:AB34),1)</f>
        <v>-10.070429431917326</v>
      </c>
      <c r="AA36" t="s">
        <v>86</v>
      </c>
    </row>
    <row r="37" spans="2:30" x14ac:dyDescent="0.2">
      <c r="C37">
        <v>0.10042056852</v>
      </c>
      <c r="D37" s="18">
        <v>3.5788876E-5</v>
      </c>
      <c r="E37" s="18">
        <v>-1.8764677000000001E-5</v>
      </c>
      <c r="F37" s="18">
        <v>8.7652240691033096E-8</v>
      </c>
      <c r="G37" s="18">
        <v>2.7102049336535399E-7</v>
      </c>
      <c r="H37" s="18">
        <v>1.9023916728949401E-7</v>
      </c>
      <c r="I37" s="2">
        <v>20.02</v>
      </c>
      <c r="J37" s="17">
        <f t="shared" si="28"/>
        <v>100.42056851999999</v>
      </c>
      <c r="K37" s="2">
        <f t="shared" si="21"/>
        <v>1.0042056851999999</v>
      </c>
      <c r="L37">
        <v>2</v>
      </c>
      <c r="M37">
        <v>1</v>
      </c>
      <c r="N37">
        <v>1.0009699999999999</v>
      </c>
      <c r="O37">
        <v>0.2</v>
      </c>
      <c r="P37">
        <v>0.1</v>
      </c>
      <c r="Q37">
        <v>1</v>
      </c>
      <c r="R37" s="52">
        <f t="shared" si="22"/>
        <v>3.5604453309065514E-4</v>
      </c>
      <c r="S37" s="52">
        <f t="shared" si="23"/>
        <v>-1.8667981249430565E-4</v>
      </c>
      <c r="T37" s="19">
        <f t="shared" si="24"/>
        <v>0.50048499999999996</v>
      </c>
      <c r="U37">
        <f t="shared" si="25"/>
        <v>0.50030686847461192</v>
      </c>
      <c r="V37" s="19">
        <f t="shared" si="26"/>
        <v>1.0006137369492238</v>
      </c>
      <c r="W37" s="52">
        <f t="shared" si="29"/>
        <v>1.8686089191242511E-4</v>
      </c>
      <c r="X37" s="19"/>
      <c r="Z37" s="49" t="s">
        <v>90</v>
      </c>
      <c r="AA37" s="19">
        <f>AVERAGE(X31:X34)</f>
        <v>1.0007875519634182</v>
      </c>
    </row>
    <row r="38" spans="2:30" x14ac:dyDescent="0.2">
      <c r="C38">
        <v>0.12023261264</v>
      </c>
      <c r="D38" s="18">
        <v>4.2752042000000002E-5</v>
      </c>
      <c r="E38" s="18">
        <v>-2.3037546999999999E-5</v>
      </c>
      <c r="F38" s="18">
        <v>7.0801658730867796E-8</v>
      </c>
      <c r="G38" s="18">
        <v>7.0614162885513698E-10</v>
      </c>
      <c r="H38" s="18">
        <v>6.3897652539067102E-10</v>
      </c>
      <c r="I38" s="2">
        <v>20.02</v>
      </c>
      <c r="J38" s="17">
        <f t="shared" si="28"/>
        <v>120.23261264</v>
      </c>
      <c r="K38" s="2">
        <f t="shared" si="21"/>
        <v>1.2023261264</v>
      </c>
      <c r="L38">
        <v>2</v>
      </c>
      <c r="M38">
        <v>1</v>
      </c>
      <c r="N38">
        <v>1.0009699999999999</v>
      </c>
      <c r="O38">
        <v>0.2</v>
      </c>
      <c r="P38">
        <v>0.1</v>
      </c>
      <c r="Q38">
        <v>1</v>
      </c>
      <c r="R38" s="52">
        <f t="shared" si="22"/>
        <v>3.5523317482553127E-4</v>
      </c>
      <c r="S38" s="52">
        <f t="shared" si="23"/>
        <v>-1.9142245792615922E-4</v>
      </c>
      <c r="T38" s="19">
        <f t="shared" si="24"/>
        <v>0.50048499999999996</v>
      </c>
      <c r="U38">
        <f t="shared" si="25"/>
        <v>0.5003072742585768</v>
      </c>
      <c r="V38" s="19">
        <f t="shared" si="26"/>
        <v>1.0006145485171536</v>
      </c>
      <c r="W38" s="52">
        <f t="shared" si="29"/>
        <v>1.9160813771034759E-4</v>
      </c>
      <c r="X38" s="19"/>
      <c r="Z38" s="49" t="s">
        <v>89</v>
      </c>
      <c r="AA38" s="19">
        <f>AVERAGE(Y31:Y34)</f>
        <v>2.3240206001733094E-4</v>
      </c>
    </row>
    <row r="39" spans="2:30" x14ac:dyDescent="0.2">
      <c r="D39" s="18"/>
      <c r="E39" s="18"/>
      <c r="F39" s="18"/>
      <c r="G39" s="18"/>
      <c r="H39" s="18"/>
      <c r="I39" s="2"/>
      <c r="J39" s="17"/>
      <c r="K39" s="2"/>
      <c r="R39" s="52"/>
      <c r="S39" s="52"/>
      <c r="T39" s="19"/>
      <c r="V39" s="19"/>
      <c r="W39" s="52"/>
      <c r="X39" s="19"/>
      <c r="Y39" s="19"/>
      <c r="AA39" s="19"/>
    </row>
    <row r="41" spans="2:30" x14ac:dyDescent="0.2">
      <c r="B41" s="4">
        <v>43370</v>
      </c>
      <c r="R41" s="50"/>
      <c r="S41" s="50"/>
    </row>
    <row r="42" spans="2:30" x14ac:dyDescent="0.2">
      <c r="B42" t="s">
        <v>51</v>
      </c>
      <c r="C42" s="18">
        <v>1.0100611529999999E-2</v>
      </c>
      <c r="D42" s="18">
        <v>-5.3511761749999999E-8</v>
      </c>
      <c r="E42" s="18">
        <v>2.7543935E-6</v>
      </c>
      <c r="F42" s="18">
        <v>9.4913339296560697E-8</v>
      </c>
      <c r="G42" s="18">
        <v>7.4702947981323705E-8</v>
      </c>
      <c r="H42" s="18">
        <v>9.6009741697131896E-8</v>
      </c>
      <c r="I42" s="2">
        <v>20</v>
      </c>
      <c r="J42" s="17">
        <f>100*C42/0.1</f>
        <v>10.100611529999998</v>
      </c>
      <c r="K42" s="2">
        <f t="shared" ref="K42:K49" si="30">C42/P42</f>
        <v>0.10100611529999999</v>
      </c>
      <c r="L42">
        <v>2</v>
      </c>
      <c r="M42">
        <v>1</v>
      </c>
      <c r="N42">
        <v>1.0009699999999999</v>
      </c>
      <c r="O42">
        <v>0.2</v>
      </c>
      <c r="P42">
        <v>0.1</v>
      </c>
      <c r="Q42">
        <v>-1</v>
      </c>
      <c r="R42" s="52">
        <f t="shared" ref="R42:R49" si="31">Q42*D42/C42/N42</f>
        <v>5.2927395022316759E-6</v>
      </c>
      <c r="S42" s="52">
        <f t="shared" ref="S42:S49" si="32">Q42*E42/C42/N42</f>
        <v>-2.7243145815770427E-4</v>
      </c>
      <c r="T42" s="19">
        <f t="shared" ref="T42:T49" si="33">N42*M42/L42</f>
        <v>0.50048499999999996</v>
      </c>
      <c r="U42">
        <f t="shared" ref="U42:U49" si="34">T42/(1+R42)</f>
        <v>0.50048235107729022</v>
      </c>
      <c r="V42" s="19">
        <f t="shared" ref="V42:V49" si="35">U42*L42</f>
        <v>1.0009647021545804</v>
      </c>
      <c r="W42" s="52">
        <f>-T42*S42*L42</f>
        <v>2.726957166721172E-4</v>
      </c>
      <c r="X42" s="19">
        <f>0.5*(V42+V46)</f>
        <v>1.0007943329803828</v>
      </c>
      <c r="Y42" s="19">
        <f t="shared" ref="X42:Y45" si="36">0.5*(W42+W46)</f>
        <v>2.2704804466300744E-4</v>
      </c>
      <c r="Z42" s="2">
        <f>0.2*(K42/L42)^2</f>
        <v>5.1011176639984468E-4</v>
      </c>
      <c r="AA42" s="10">
        <f>2.11*Z42</f>
        <v>1.0763358271036721E-3</v>
      </c>
      <c r="AB42" s="2">
        <f>0.1*K42^2</f>
        <v>1.0202235327996894E-3</v>
      </c>
      <c r="AC42" s="10">
        <f>1000000*(X42-1.0007)+AA42</f>
        <v>94.334056718687862</v>
      </c>
    </row>
    <row r="43" spans="2:30" x14ac:dyDescent="0.2">
      <c r="C43" s="18">
        <v>4.0232823344000003E-2</v>
      </c>
      <c r="D43" s="18">
        <v>-1.574782325E-7</v>
      </c>
      <c r="E43" s="18">
        <v>1.1088047999999999E-5</v>
      </c>
      <c r="F43" s="18">
        <v>2.0075536313996601E-8</v>
      </c>
      <c r="G43" s="18">
        <v>1.33743147418602E-7</v>
      </c>
      <c r="H43" s="18">
        <v>3.3284126787404299E-8</v>
      </c>
      <c r="I43" s="2">
        <v>20</v>
      </c>
      <c r="J43" s="17">
        <f t="shared" ref="J43:J49" si="37">100*C43/0.1</f>
        <v>40.232823343999996</v>
      </c>
      <c r="K43" s="2">
        <f t="shared" si="30"/>
        <v>0.40232823344000002</v>
      </c>
      <c r="L43">
        <v>2</v>
      </c>
      <c r="M43">
        <v>1</v>
      </c>
      <c r="N43">
        <v>1.0009699999999999</v>
      </c>
      <c r="O43">
        <v>0.2</v>
      </c>
      <c r="P43">
        <v>0.1</v>
      </c>
      <c r="Q43">
        <v>-1</v>
      </c>
      <c r="R43" s="52">
        <f t="shared" si="31"/>
        <v>3.9103799725161315E-6</v>
      </c>
      <c r="S43" s="52">
        <f t="shared" si="32"/>
        <v>-2.7532999415330335E-4</v>
      </c>
      <c r="T43" s="19">
        <f t="shared" si="33"/>
        <v>0.50048499999999996</v>
      </c>
      <c r="U43">
        <f t="shared" si="34"/>
        <v>0.50048304292113233</v>
      </c>
      <c r="V43" s="19">
        <f t="shared" si="35"/>
        <v>1.0009660858422647</v>
      </c>
      <c r="W43" s="52">
        <f t="shared" ref="W43:W49" si="38">-T43*S43*L43</f>
        <v>2.7559706424763205E-4</v>
      </c>
      <c r="X43" s="19">
        <f t="shared" si="36"/>
        <v>1.0007941387202579</v>
      </c>
      <c r="Y43" s="19">
        <f t="shared" si="36"/>
        <v>2.3254060600405148E-4</v>
      </c>
      <c r="Z43" s="2">
        <f>0.2*(K43/L43)^2</f>
        <v>8.0934003711475577E-3</v>
      </c>
      <c r="AA43" s="10">
        <f>2.11*Z43</f>
        <v>1.7077074783121347E-2</v>
      </c>
      <c r="AB43" s="2">
        <f>0.1*K43^2</f>
        <v>1.6186800742295115E-2</v>
      </c>
      <c r="AC43" s="10">
        <f>1000000*(X43-1.0007)+AA43</f>
        <v>94.15579733276887</v>
      </c>
    </row>
    <row r="44" spans="2:30" x14ac:dyDescent="0.2">
      <c r="C44" s="18">
        <v>0.10022083514000001</v>
      </c>
      <c r="D44" s="18">
        <v>-3.2324525740000002E-7</v>
      </c>
      <c r="E44" s="18">
        <v>2.7948719000000001E-5</v>
      </c>
      <c r="F44" s="18">
        <v>5.6407633762123503E-8</v>
      </c>
      <c r="G44" s="18">
        <v>2.7381034913817001E-7</v>
      </c>
      <c r="H44" s="18">
        <v>2.3456197931250501E-7</v>
      </c>
      <c r="I44" s="2">
        <v>20</v>
      </c>
      <c r="J44" s="17">
        <f t="shared" si="37"/>
        <v>100.22083513999999</v>
      </c>
      <c r="K44" s="2">
        <f t="shared" si="30"/>
        <v>1.0022083514</v>
      </c>
      <c r="L44">
        <v>2</v>
      </c>
      <c r="M44">
        <v>1</v>
      </c>
      <c r="N44">
        <v>1.0009699999999999</v>
      </c>
      <c r="O44">
        <v>0.2</v>
      </c>
      <c r="P44">
        <v>0.1</v>
      </c>
      <c r="Q44">
        <v>-1</v>
      </c>
      <c r="R44" s="52">
        <f t="shared" si="31"/>
        <v>3.2222043739302788E-6</v>
      </c>
      <c r="S44" s="52">
        <f t="shared" si="32"/>
        <v>-2.7860110100890926E-4</v>
      </c>
      <c r="T44" s="19">
        <f t="shared" si="33"/>
        <v>0.50048499999999996</v>
      </c>
      <c r="U44">
        <f t="shared" si="34"/>
        <v>0.50048338734024012</v>
      </c>
      <c r="V44" s="19">
        <f t="shared" si="35"/>
        <v>1.0009667746804802</v>
      </c>
      <c r="W44" s="52">
        <f t="shared" si="38"/>
        <v>2.7887134407688789E-4</v>
      </c>
      <c r="X44" s="19">
        <f t="shared" si="36"/>
        <v>1.0007935757535187</v>
      </c>
      <c r="Y44" s="19">
        <f t="shared" si="36"/>
        <v>2.3254829851521467E-4</v>
      </c>
      <c r="Z44" s="2">
        <f>0.2*(K44/L44)^2</f>
        <v>5.0221078980795288E-2</v>
      </c>
      <c r="AA44" s="10">
        <f>2.11*Z44</f>
        <v>0.10596647664947804</v>
      </c>
      <c r="AB44" s="2">
        <f>0.1*K44^2</f>
        <v>0.10044215796159058</v>
      </c>
      <c r="AC44" s="10">
        <f>1000000*(X44-1.0007)+AA44</f>
        <v>93.681719995409281</v>
      </c>
    </row>
    <row r="45" spans="2:30" x14ac:dyDescent="0.2">
      <c r="C45" s="18">
        <v>0.12034572032</v>
      </c>
      <c r="D45" s="18">
        <v>-5.1150374000000001E-7</v>
      </c>
      <c r="E45" s="18">
        <v>3.3822928000000001E-5</v>
      </c>
      <c r="F45" s="18">
        <v>3.1725623419533901E-8</v>
      </c>
      <c r="G45" s="18">
        <v>2.8354700139950203E-7</v>
      </c>
      <c r="H45" s="18">
        <v>1.18369647359448E-7</v>
      </c>
      <c r="I45" s="2">
        <v>20.010000000000002</v>
      </c>
      <c r="J45" s="17">
        <f t="shared" si="37"/>
        <v>120.34572032</v>
      </c>
      <c r="K45" s="2">
        <f t="shared" si="30"/>
        <v>1.2034572031999999</v>
      </c>
      <c r="L45">
        <v>2</v>
      </c>
      <c r="M45">
        <v>1</v>
      </c>
      <c r="N45">
        <v>1.0009699999999999</v>
      </c>
      <c r="O45">
        <v>0.2</v>
      </c>
      <c r="P45">
        <v>0.1</v>
      </c>
      <c r="Q45">
        <v>-1</v>
      </c>
      <c r="R45" s="52">
        <f t="shared" si="31"/>
        <v>4.24616729885294E-6</v>
      </c>
      <c r="S45" s="52">
        <f t="shared" si="32"/>
        <v>-2.8077568078985595E-4</v>
      </c>
      <c r="T45" s="19">
        <f t="shared" si="33"/>
        <v>0.50048499999999996</v>
      </c>
      <c r="U45">
        <f t="shared" si="34"/>
        <v>0.50048287486598309</v>
      </c>
      <c r="V45" s="19">
        <f t="shared" si="35"/>
        <v>1.0009657497319662</v>
      </c>
      <c r="W45" s="52">
        <f t="shared" si="38"/>
        <v>2.8104803320022208E-4</v>
      </c>
      <c r="X45" s="19">
        <f t="shared" si="36"/>
        <v>1.0007922119846975</v>
      </c>
      <c r="Y45" s="19">
        <f t="shared" si="36"/>
        <v>2.3611118588210228E-4</v>
      </c>
      <c r="Z45" s="2">
        <f>0.2*(K45/L45)^2</f>
        <v>7.2415461996698294E-2</v>
      </c>
      <c r="AA45" s="10">
        <f>2.11*Z45</f>
        <v>0.15279662481303338</v>
      </c>
      <c r="AB45" s="2">
        <f>0.1*K45^2</f>
        <v>0.14483092399339659</v>
      </c>
      <c r="AC45" s="10">
        <f>1000000*(X45-1.0007)+AA45</f>
        <v>92.364781322367463</v>
      </c>
    </row>
    <row r="46" spans="2:30" x14ac:dyDescent="0.2">
      <c r="B46" t="s">
        <v>83</v>
      </c>
      <c r="C46" s="18">
        <v>1.0099366794E-2</v>
      </c>
      <c r="D46" s="18">
        <v>3.4959549999999999E-6</v>
      </c>
      <c r="E46" s="18">
        <v>-1.8320289E-6</v>
      </c>
      <c r="F46" s="18">
        <v>6.20725318639927E-8</v>
      </c>
      <c r="G46" s="18">
        <v>4.2011675817562902E-8</v>
      </c>
      <c r="H46" s="18">
        <v>6.8129167702167004E-8</v>
      </c>
      <c r="I46" s="2">
        <v>20.02</v>
      </c>
      <c r="J46" s="17">
        <f t="shared" si="37"/>
        <v>10.099366794</v>
      </c>
      <c r="K46" s="2">
        <f t="shared" si="30"/>
        <v>0.10099366793999999</v>
      </c>
      <c r="L46">
        <v>2</v>
      </c>
      <c r="M46">
        <v>1</v>
      </c>
      <c r="N46">
        <v>1.0009699999999999</v>
      </c>
      <c r="O46">
        <v>0.2</v>
      </c>
      <c r="P46">
        <v>0.1</v>
      </c>
      <c r="Q46">
        <v>1</v>
      </c>
      <c r="R46" s="52">
        <f t="shared" si="31"/>
        <v>3.4582041439285184E-4</v>
      </c>
      <c r="S46" s="52">
        <f t="shared" si="32"/>
        <v>-1.8122458480663529E-4</v>
      </c>
      <c r="T46" s="19">
        <f t="shared" si="33"/>
        <v>0.50048499999999996</v>
      </c>
      <c r="U46">
        <f t="shared" si="34"/>
        <v>0.50031198190309245</v>
      </c>
      <c r="V46" s="19">
        <f t="shared" si="35"/>
        <v>1.0006239638061849</v>
      </c>
      <c r="W46" s="52">
        <f t="shared" si="38"/>
        <v>1.8140037265389769E-4</v>
      </c>
      <c r="X46" s="19"/>
      <c r="Y46" t="s">
        <v>84</v>
      </c>
      <c r="Z46">
        <f>INDEX(LINEST(AC42:AC45,AB42:AB45),2)</f>
        <v>94.424540298463256</v>
      </c>
    </row>
    <row r="47" spans="2:30" x14ac:dyDescent="0.2">
      <c r="C47" s="18">
        <v>4.0069991552000001E-2</v>
      </c>
      <c r="D47" s="18">
        <v>1.3941523999999999E-5</v>
      </c>
      <c r="E47" s="18">
        <v>-7.5926281999999896E-6</v>
      </c>
      <c r="F47" s="18">
        <v>5.3998226239131798E-8</v>
      </c>
      <c r="G47" s="18">
        <v>7.2659773079744804E-8</v>
      </c>
      <c r="H47" s="18">
        <v>5.7519040986442402E-9</v>
      </c>
      <c r="I47" s="2">
        <v>20.02</v>
      </c>
      <c r="J47" s="17">
        <f t="shared" si="37"/>
        <v>40.069991551999998</v>
      </c>
      <c r="K47" s="2">
        <f t="shared" si="30"/>
        <v>0.40069991552000001</v>
      </c>
      <c r="L47">
        <v>2</v>
      </c>
      <c r="M47">
        <v>1</v>
      </c>
      <c r="N47">
        <v>1.0009699999999999</v>
      </c>
      <c r="O47">
        <v>0.2</v>
      </c>
      <c r="P47">
        <v>0.1</v>
      </c>
      <c r="Q47">
        <v>1</v>
      </c>
      <c r="R47" s="52">
        <f t="shared" si="31"/>
        <v>3.4759213284368725E-4</v>
      </c>
      <c r="S47" s="52">
        <f t="shared" si="32"/>
        <v>-1.8930052625000843E-4</v>
      </c>
      <c r="T47" s="19">
        <f t="shared" si="33"/>
        <v>0.50048499999999996</v>
      </c>
      <c r="U47">
        <f t="shared" si="34"/>
        <v>0.50031109579912569</v>
      </c>
      <c r="V47" s="19">
        <f t="shared" si="35"/>
        <v>1.0006221915982514</v>
      </c>
      <c r="W47" s="52">
        <f t="shared" si="38"/>
        <v>1.8948414776047092E-4</v>
      </c>
      <c r="X47" s="19"/>
      <c r="Y47" t="s">
        <v>85</v>
      </c>
      <c r="Z47">
        <f>INDEX(LINEST(AC42:AC45,AB42:AB45),1)</f>
        <v>-12.045887477080147</v>
      </c>
      <c r="AA47" t="s">
        <v>86</v>
      </c>
    </row>
    <row r="48" spans="2:30" x14ac:dyDescent="0.2">
      <c r="C48">
        <v>0.10026728762000001</v>
      </c>
      <c r="D48" s="18">
        <v>3.5068016000000001E-5</v>
      </c>
      <c r="E48" s="18">
        <v>-1.8672301E-5</v>
      </c>
      <c r="F48" s="18">
        <v>4.82666989979912E-8</v>
      </c>
      <c r="G48" s="18">
        <v>3.3973094413079201E-8</v>
      </c>
      <c r="H48" s="18">
        <v>9.41161202929657E-8</v>
      </c>
      <c r="I48" s="2">
        <v>20.02</v>
      </c>
      <c r="J48" s="17">
        <f t="shared" si="37"/>
        <v>100.26728762</v>
      </c>
      <c r="K48" s="2">
        <f t="shared" si="30"/>
        <v>1.0026728761999999</v>
      </c>
      <c r="L48">
        <v>2</v>
      </c>
      <c r="M48">
        <v>1</v>
      </c>
      <c r="N48">
        <v>1.0009699999999999</v>
      </c>
      <c r="O48">
        <v>0.2</v>
      </c>
      <c r="P48">
        <v>0.1</v>
      </c>
      <c r="Q48">
        <v>1</v>
      </c>
      <c r="R48" s="52">
        <f t="shared" si="31"/>
        <v>3.4940640980312619E-4</v>
      </c>
      <c r="S48" s="52">
        <f t="shared" si="32"/>
        <v>-1.86044789507719E-4</v>
      </c>
      <c r="T48" s="19">
        <f t="shared" si="33"/>
        <v>0.50048499999999996</v>
      </c>
      <c r="U48">
        <f t="shared" si="34"/>
        <v>0.50031018841327857</v>
      </c>
      <c r="V48" s="19">
        <f t="shared" si="35"/>
        <v>1.0006203768265571</v>
      </c>
      <c r="W48" s="52">
        <f t="shared" si="38"/>
        <v>1.8622525295354148E-4</v>
      </c>
      <c r="X48" s="19"/>
      <c r="Z48" s="49" t="s">
        <v>90</v>
      </c>
      <c r="AA48" s="19">
        <f>AVERAGE(X42:X45)</f>
        <v>1.0007935648597144</v>
      </c>
    </row>
    <row r="49" spans="2:32" x14ac:dyDescent="0.2">
      <c r="C49" s="18">
        <v>0.12039455804</v>
      </c>
      <c r="D49" s="18">
        <v>4.2312560999999999E-5</v>
      </c>
      <c r="E49" s="18">
        <v>-2.3016349999999999E-5</v>
      </c>
      <c r="F49" s="18">
        <v>4.1567838604379098E-8</v>
      </c>
      <c r="G49" s="18">
        <v>3.4930890108756201E-7</v>
      </c>
      <c r="H49" s="18">
        <v>1.2378383860585399E-7</v>
      </c>
      <c r="I49" s="2">
        <v>20.02</v>
      </c>
      <c r="J49" s="17">
        <f t="shared" si="37"/>
        <v>120.39455804000001</v>
      </c>
      <c r="K49" s="2">
        <f t="shared" si="30"/>
        <v>1.2039455803999999</v>
      </c>
      <c r="L49">
        <v>2</v>
      </c>
      <c r="M49">
        <v>1</v>
      </c>
      <c r="N49">
        <v>1.0009699999999999</v>
      </c>
      <c r="O49">
        <v>0.2</v>
      </c>
      <c r="P49">
        <v>0.1</v>
      </c>
      <c r="Q49">
        <v>1</v>
      </c>
      <c r="R49" s="52">
        <f t="shared" si="31"/>
        <v>3.511085407622344E-4</v>
      </c>
      <c r="S49" s="52">
        <f t="shared" si="32"/>
        <v>-1.909890791572E-4</v>
      </c>
      <c r="T49" s="19">
        <f t="shared" si="33"/>
        <v>0.50048499999999996</v>
      </c>
      <c r="U49">
        <f t="shared" si="34"/>
        <v>0.5003093371187145</v>
      </c>
      <c r="V49" s="19">
        <f t="shared" si="35"/>
        <v>1.000618674237429</v>
      </c>
      <c r="W49" s="52">
        <f t="shared" si="38"/>
        <v>1.9117433856398247E-4</v>
      </c>
      <c r="X49" s="19"/>
      <c r="Z49" s="49" t="s">
        <v>89</v>
      </c>
      <c r="AA49" s="19">
        <f>AVERAGE(Y42:Y45)</f>
        <v>2.3206203376609395E-4</v>
      </c>
    </row>
    <row r="50" spans="2:32" x14ac:dyDescent="0.2">
      <c r="D50" s="18"/>
      <c r="E50" s="18"/>
      <c r="F50" s="18"/>
      <c r="G50" s="18"/>
      <c r="H50" s="18"/>
      <c r="I50" s="2"/>
      <c r="J50" s="17"/>
      <c r="K50" s="2"/>
      <c r="R50" s="52"/>
      <c r="S50" s="52"/>
      <c r="T50" s="19"/>
      <c r="V50" s="19"/>
      <c r="W50" s="52"/>
      <c r="X50" s="19"/>
      <c r="Y50" s="19"/>
      <c r="AA50" s="19"/>
    </row>
    <row r="52" spans="2:32" x14ac:dyDescent="0.2">
      <c r="B52" s="4">
        <v>43375</v>
      </c>
      <c r="R52" s="50"/>
      <c r="S52" s="50"/>
    </row>
    <row r="53" spans="2:32" x14ac:dyDescent="0.2">
      <c r="B53" t="s">
        <v>51</v>
      </c>
      <c r="C53" s="18">
        <v>5.0091167674000004E-3</v>
      </c>
      <c r="D53" s="18">
        <v>-5.8728331780000002E-8</v>
      </c>
      <c r="E53" s="18">
        <v>1.4099634000000001E-6</v>
      </c>
      <c r="F53" s="18">
        <v>9.0458435468879804E-8</v>
      </c>
      <c r="G53" s="18">
        <v>1.07819246046309E-7</v>
      </c>
      <c r="H53" s="18">
        <v>1.1229933115758101E-7</v>
      </c>
      <c r="I53" s="2">
        <v>20.309999999999999</v>
      </c>
      <c r="J53" s="17">
        <f>100*C53/0.1</f>
        <v>5.0091167674000001</v>
      </c>
      <c r="K53" s="2">
        <f t="shared" ref="K53:K60" si="39">C53/P53</f>
        <v>5.0091167674000001E-2</v>
      </c>
      <c r="L53">
        <v>2</v>
      </c>
      <c r="M53">
        <v>1</v>
      </c>
      <c r="N53">
        <v>1.0009680000000001</v>
      </c>
      <c r="O53">
        <v>0.2</v>
      </c>
      <c r="P53">
        <v>0.1</v>
      </c>
      <c r="Q53">
        <v>-1</v>
      </c>
      <c r="R53" s="52">
        <f t="shared" ref="R53:R60" si="40">Q53*D53/C53/N53</f>
        <v>1.1712950696880958E-5</v>
      </c>
      <c r="S53" s="52">
        <f t="shared" ref="S53:S60" si="41">Q53*E53/C53/N53</f>
        <v>-2.8120723487382948E-4</v>
      </c>
      <c r="T53" s="19">
        <f t="shared" ref="T53:T60" si="42">N53*M53/L53</f>
        <v>0.50048400000000004</v>
      </c>
      <c r="U53">
        <f t="shared" ref="U53:U60" si="43">T53/(1+R53)</f>
        <v>0.50047813792424567</v>
      </c>
      <c r="V53" s="19">
        <f t="shared" ref="V53:V60" si="44">U53*L53</f>
        <v>1.0009562758484913</v>
      </c>
      <c r="W53" s="52">
        <f>-T53*S53*L53</f>
        <v>2.8147944347718738E-4</v>
      </c>
      <c r="X53" s="19">
        <f>0.5*(V53+V57)</f>
        <v>1.0007903999609959</v>
      </c>
      <c r="Y53" s="19">
        <f t="shared" ref="X53:Y56" si="45">0.5*(W53+W57)</f>
        <v>2.3309193495453954E-4</v>
      </c>
      <c r="Z53" s="2">
        <f>0.2*(K53/L53)^2</f>
        <v>1.2545625394723913E-4</v>
      </c>
      <c r="AA53" s="10">
        <f>2.11*Z53</f>
        <v>2.6471269582867453E-4</v>
      </c>
      <c r="AB53" s="2">
        <f>0.1*K53^2</f>
        <v>2.5091250789447826E-4</v>
      </c>
      <c r="AC53" s="10">
        <f>1000000*(X53-1.0007)+AA53</f>
        <v>90.400225708719589</v>
      </c>
      <c r="AD53" s="10"/>
      <c r="AE53">
        <v>9</v>
      </c>
      <c r="AF53">
        <v>1</v>
      </c>
    </row>
    <row r="54" spans="2:32" x14ac:dyDescent="0.2">
      <c r="C54" s="18">
        <v>4.0127860738000003E-2</v>
      </c>
      <c r="D54" s="18">
        <v>3.3043510499999999E-8</v>
      </c>
      <c r="E54" s="18">
        <v>1.105004E-5</v>
      </c>
      <c r="F54" s="18">
        <v>1.85460735882731E-8</v>
      </c>
      <c r="G54" s="18">
        <v>5.5563899970876699E-8</v>
      </c>
      <c r="H54" s="18">
        <v>5.0689413095832898E-8</v>
      </c>
      <c r="I54" s="2">
        <v>20.309999999999999</v>
      </c>
      <c r="J54" s="17">
        <f t="shared" ref="J54:J60" si="46">100*C54/0.1</f>
        <v>40.127860737999995</v>
      </c>
      <c r="K54" s="2">
        <f t="shared" si="39"/>
        <v>0.40127860737999999</v>
      </c>
      <c r="L54">
        <v>2</v>
      </c>
      <c r="M54">
        <v>1</v>
      </c>
      <c r="N54">
        <v>1.0009680000000001</v>
      </c>
      <c r="O54">
        <v>0.2</v>
      </c>
      <c r="P54">
        <v>0.1</v>
      </c>
      <c r="Q54">
        <v>-1</v>
      </c>
      <c r="R54" s="52">
        <f t="shared" si="40"/>
        <v>-8.2265923743087933E-7</v>
      </c>
      <c r="S54" s="52">
        <f t="shared" si="41"/>
        <v>-2.7510447111788301E-4</v>
      </c>
      <c r="T54" s="19">
        <f t="shared" si="42"/>
        <v>0.50048400000000004</v>
      </c>
      <c r="U54">
        <f t="shared" si="43"/>
        <v>0.50048441172812452</v>
      </c>
      <c r="V54" s="19">
        <f t="shared" si="44"/>
        <v>1.000968823456249</v>
      </c>
      <c r="W54" s="52">
        <f t="shared" ref="W54:W60" si="47">-T54*S54*L54</f>
        <v>2.7537077224592513E-4</v>
      </c>
      <c r="X54" s="19">
        <f t="shared" si="45"/>
        <v>1.0007957374161616</v>
      </c>
      <c r="Y54" s="19">
        <f t="shared" si="45"/>
        <v>2.3221800321687595E-4</v>
      </c>
      <c r="Z54" s="2">
        <f>0.2*(K54/L54)^2</f>
        <v>8.0512260370416092E-3</v>
      </c>
      <c r="AA54" s="10">
        <f>2.11*Z54</f>
        <v>1.6988086938157794E-2</v>
      </c>
      <c r="AB54" s="2">
        <f>0.1*K54^2</f>
        <v>1.6102452074083218E-2</v>
      </c>
      <c r="AC54" s="10">
        <f>1000000*(X54-1.0007)+AA54</f>
        <v>95.754404248583484</v>
      </c>
      <c r="AD54" s="10"/>
      <c r="AE54">
        <v>12</v>
      </c>
      <c r="AF54">
        <v>1</v>
      </c>
    </row>
    <row r="55" spans="2:32" x14ac:dyDescent="0.2">
      <c r="C55" s="18">
        <v>0.10025024818</v>
      </c>
      <c r="D55" s="18">
        <v>3.3479369419999999E-7</v>
      </c>
      <c r="E55" s="18">
        <v>2.7855859999999999E-5</v>
      </c>
      <c r="F55" s="18">
        <v>3.54055945827789E-8</v>
      </c>
      <c r="G55" s="18">
        <v>2.21569283056881E-7</v>
      </c>
      <c r="H55" s="18">
        <v>2.4255451510949E-7</v>
      </c>
      <c r="I55" s="2">
        <v>20.32</v>
      </c>
      <c r="J55" s="17">
        <f t="shared" si="46"/>
        <v>100.25024818</v>
      </c>
      <c r="K55" s="2">
        <f t="shared" si="39"/>
        <v>1.0025024817999999</v>
      </c>
      <c r="L55">
        <v>2</v>
      </c>
      <c r="M55">
        <v>1</v>
      </c>
      <c r="N55">
        <v>1.0009680000000001</v>
      </c>
      <c r="O55">
        <v>0.2</v>
      </c>
      <c r="P55">
        <v>0.1</v>
      </c>
      <c r="Q55">
        <v>-1</v>
      </c>
      <c r="R55" s="52">
        <f t="shared" si="40"/>
        <v>-3.3363501176557739E-6</v>
      </c>
      <c r="S55" s="52">
        <f t="shared" si="41"/>
        <v>-2.7759454075286093E-4</v>
      </c>
      <c r="T55" s="19">
        <f t="shared" si="42"/>
        <v>0.50048400000000004</v>
      </c>
      <c r="U55">
        <f t="shared" si="43"/>
        <v>0.5004856697954233</v>
      </c>
      <c r="V55" s="19">
        <f t="shared" si="44"/>
        <v>1.0009713395908466</v>
      </c>
      <c r="W55" s="52">
        <f t="shared" si="47"/>
        <v>2.7786325226830975E-4</v>
      </c>
      <c r="X55" s="19">
        <f t="shared" si="45"/>
        <v>1.0007948723787301</v>
      </c>
      <c r="Y55" s="19">
        <f t="shared" si="45"/>
        <v>2.3189785576526462E-4</v>
      </c>
      <c r="Z55" s="2">
        <f>0.2*(K55/L55)^2</f>
        <v>5.0250561300757959E-2</v>
      </c>
      <c r="AA55" s="10">
        <f>2.11*Z55</f>
        <v>0.10602868434459929</v>
      </c>
      <c r="AB55" s="2">
        <f>0.1*K55^2</f>
        <v>0.10050112260151592</v>
      </c>
      <c r="AC55" s="10">
        <f>1000000*(X55-1.0007)+AA55</f>
        <v>94.978407414526544</v>
      </c>
      <c r="AD55" s="10"/>
      <c r="AE55">
        <v>13</v>
      </c>
      <c r="AF55">
        <v>1</v>
      </c>
    </row>
    <row r="56" spans="2:32" x14ac:dyDescent="0.2">
      <c r="C56" s="18">
        <v>0.12022634572</v>
      </c>
      <c r="D56" s="18">
        <v>4.5512142759999997E-7</v>
      </c>
      <c r="E56" s="18">
        <v>3.3262232000000002E-5</v>
      </c>
      <c r="F56" s="18">
        <v>1.1794924016729699E-8</v>
      </c>
      <c r="G56" s="18">
        <v>2.7468408109711799E-7</v>
      </c>
      <c r="H56" s="18">
        <v>1.7377239186936499E-7</v>
      </c>
      <c r="I56" s="2">
        <v>20.32</v>
      </c>
      <c r="J56" s="17">
        <f t="shared" si="46"/>
        <v>120.22634571999998</v>
      </c>
      <c r="K56" s="2">
        <f t="shared" si="39"/>
        <v>1.2022634571999999</v>
      </c>
      <c r="L56">
        <v>2</v>
      </c>
      <c r="M56">
        <v>1</v>
      </c>
      <c r="N56">
        <v>1.0009680000000001</v>
      </c>
      <c r="O56">
        <v>0.2</v>
      </c>
      <c r="P56">
        <v>0.1</v>
      </c>
      <c r="Q56">
        <v>-1</v>
      </c>
      <c r="R56" s="52">
        <f t="shared" si="40"/>
        <v>-3.7818773695766784E-6</v>
      </c>
      <c r="S56" s="52">
        <f t="shared" si="41"/>
        <v>-2.7639586895690526E-4</v>
      </c>
      <c r="T56" s="19">
        <f t="shared" si="42"/>
        <v>0.50048400000000004</v>
      </c>
      <c r="U56">
        <f t="shared" si="43"/>
        <v>0.50048589277627176</v>
      </c>
      <c r="V56" s="19">
        <f t="shared" si="44"/>
        <v>1.0009717855525435</v>
      </c>
      <c r="W56" s="52">
        <f t="shared" si="47"/>
        <v>2.7666342015805555E-4</v>
      </c>
      <c r="X56" s="19">
        <f t="shared" si="45"/>
        <v>1.000796478845408</v>
      </c>
      <c r="Y56" s="19">
        <f t="shared" si="45"/>
        <v>2.342746401836102E-4</v>
      </c>
      <c r="Z56" s="2">
        <f>0.2*(K56/L56)^2</f>
        <v>7.2271871025924805E-2</v>
      </c>
      <c r="AA56" s="10">
        <f>2.11*Z56</f>
        <v>0.15249364786470132</v>
      </c>
      <c r="AB56" s="2">
        <f>0.1*K56^2</f>
        <v>0.14454374205184961</v>
      </c>
      <c r="AC56" s="10">
        <f>1000000*(X56-1.0007)+AA56</f>
        <v>96.631339055952523</v>
      </c>
      <c r="AD56" s="10"/>
      <c r="AE56">
        <v>13</v>
      </c>
      <c r="AF56">
        <v>1</v>
      </c>
    </row>
    <row r="57" spans="2:32" x14ac:dyDescent="0.2">
      <c r="B57" t="s">
        <v>83</v>
      </c>
      <c r="C57" s="18">
        <v>4.9750873206000001E-3</v>
      </c>
      <c r="D57" s="18">
        <v>1.7094093E-6</v>
      </c>
      <c r="E57" s="18">
        <v>-9.1892064999999995E-7</v>
      </c>
      <c r="F57" s="18">
        <v>1.8414814184256E-8</v>
      </c>
      <c r="G57" s="18">
        <v>3.8731072674404497E-8</v>
      </c>
      <c r="H57" s="18">
        <v>4.6178793948819199E-8</v>
      </c>
      <c r="I57" s="2">
        <v>20.34</v>
      </c>
      <c r="J57" s="17">
        <f t="shared" si="46"/>
        <v>4.9750873206000001</v>
      </c>
      <c r="K57" s="2">
        <f t="shared" si="39"/>
        <v>4.9750873205999996E-2</v>
      </c>
      <c r="L57">
        <v>2</v>
      </c>
      <c r="M57">
        <v>1</v>
      </c>
      <c r="N57">
        <v>1.0009680000000001</v>
      </c>
      <c r="O57">
        <v>0.2</v>
      </c>
      <c r="P57">
        <v>0.1</v>
      </c>
      <c r="Q57">
        <v>1</v>
      </c>
      <c r="R57" s="52">
        <f t="shared" si="40"/>
        <v>3.4326155139728903E-4</v>
      </c>
      <c r="S57" s="52">
        <f t="shared" si="41"/>
        <v>-1.8452580545221393E-4</v>
      </c>
      <c r="T57" s="19">
        <f t="shared" si="42"/>
        <v>0.50048400000000004</v>
      </c>
      <c r="U57">
        <f t="shared" si="43"/>
        <v>0.50031226203675028</v>
      </c>
      <c r="V57" s="19">
        <f t="shared" si="44"/>
        <v>1.0006245240735006</v>
      </c>
      <c r="W57" s="52">
        <f t="shared" si="47"/>
        <v>1.847044264318917E-4</v>
      </c>
      <c r="X57" s="19"/>
      <c r="Y57" t="s">
        <v>84</v>
      </c>
      <c r="Z57">
        <f>INDEX(LINEST(AC53:AC56,AB53:AB56),2)</f>
        <v>92.639218871319869</v>
      </c>
      <c r="AE57">
        <v>9</v>
      </c>
      <c r="AF57">
        <v>1</v>
      </c>
    </row>
    <row r="58" spans="2:32" x14ac:dyDescent="0.2">
      <c r="C58" s="18">
        <v>4.0151931330000001E-2</v>
      </c>
      <c r="D58" s="18">
        <v>1.38712E-5</v>
      </c>
      <c r="E58" s="18">
        <v>-7.5913342999999898E-6</v>
      </c>
      <c r="F58" s="18">
        <v>3.2645125468610697E-8</v>
      </c>
      <c r="G58" s="18">
        <v>1.6940658945085999E-21</v>
      </c>
      <c r="H58" s="18">
        <v>4.9460447339263399E-9</v>
      </c>
      <c r="I58" s="2">
        <v>20.350000000000001</v>
      </c>
      <c r="J58" s="17">
        <f t="shared" si="46"/>
        <v>40.151931330000004</v>
      </c>
      <c r="K58" s="2">
        <f t="shared" si="39"/>
        <v>0.40151931330000001</v>
      </c>
      <c r="L58">
        <v>2</v>
      </c>
      <c r="M58">
        <v>1</v>
      </c>
      <c r="N58">
        <v>1.0009680000000001</v>
      </c>
      <c r="O58">
        <v>0.2</v>
      </c>
      <c r="P58">
        <v>0.1</v>
      </c>
      <c r="Q58">
        <v>1</v>
      </c>
      <c r="R58" s="52">
        <f t="shared" si="40"/>
        <v>3.4513372593670833E-4</v>
      </c>
      <c r="S58" s="52">
        <f t="shared" si="41"/>
        <v>-1.8888239602847122E-4</v>
      </c>
      <c r="T58" s="19">
        <f t="shared" si="42"/>
        <v>0.50048400000000004</v>
      </c>
      <c r="U58">
        <f t="shared" si="43"/>
        <v>0.50031132568803693</v>
      </c>
      <c r="V58" s="19">
        <f t="shared" si="44"/>
        <v>1.0006226513760739</v>
      </c>
      <c r="W58" s="52">
        <f t="shared" si="47"/>
        <v>1.890652341878268E-4</v>
      </c>
      <c r="X58" s="19"/>
      <c r="Y58" t="s">
        <v>85</v>
      </c>
      <c r="Z58">
        <f>INDEX(LINEST(AC53:AC56,AB53:AB56),1)</f>
        <v>27.572875927991173</v>
      </c>
      <c r="AA58" t="s">
        <v>86</v>
      </c>
      <c r="AE58">
        <v>12</v>
      </c>
      <c r="AF58">
        <v>1</v>
      </c>
    </row>
    <row r="59" spans="2:32" x14ac:dyDescent="0.2">
      <c r="C59" s="18">
        <v>0.10016017684</v>
      </c>
      <c r="D59" s="18">
        <v>3.5027714000000002E-5</v>
      </c>
      <c r="E59" s="18">
        <v>-1.8623028000000001E-5</v>
      </c>
      <c r="F59" s="18">
        <v>9.4356543778571905E-8</v>
      </c>
      <c r="G59" s="18">
        <v>7.5749851484883897E-10</v>
      </c>
      <c r="H59" s="18">
        <v>6.1742691875258603E-10</v>
      </c>
      <c r="I59" s="2">
        <v>20.36</v>
      </c>
      <c r="J59" s="17">
        <f t="shared" si="46"/>
        <v>100.16017684000001</v>
      </c>
      <c r="K59" s="2">
        <f t="shared" si="39"/>
        <v>1.0016017684</v>
      </c>
      <c r="L59">
        <v>2</v>
      </c>
      <c r="M59">
        <v>1</v>
      </c>
      <c r="N59">
        <v>1.0009680000000001</v>
      </c>
      <c r="O59">
        <v>0.2</v>
      </c>
      <c r="P59">
        <v>0.1</v>
      </c>
      <c r="Q59">
        <v>1</v>
      </c>
      <c r="R59" s="52">
        <f t="shared" si="40"/>
        <v>3.493787757465375E-4</v>
      </c>
      <c r="S59" s="52">
        <f t="shared" si="41"/>
        <v>-1.857526506963454E-4</v>
      </c>
      <c r="T59" s="19">
        <f t="shared" si="42"/>
        <v>0.50048400000000004</v>
      </c>
      <c r="U59">
        <f t="shared" si="43"/>
        <v>0.5003092025833068</v>
      </c>
      <c r="V59" s="19">
        <f t="shared" si="44"/>
        <v>1.0006184051666136</v>
      </c>
      <c r="W59" s="52">
        <f t="shared" si="47"/>
        <v>1.8593245926221949E-4</v>
      </c>
      <c r="X59" s="19"/>
      <c r="Z59" s="49" t="s">
        <v>90</v>
      </c>
      <c r="AA59" s="19">
        <f>AVERAGE(X53:X56)</f>
        <v>1.0007943721503239</v>
      </c>
      <c r="AE59">
        <v>13</v>
      </c>
      <c r="AF59">
        <v>1</v>
      </c>
    </row>
    <row r="60" spans="2:32" x14ac:dyDescent="0.2">
      <c r="C60" s="18">
        <v>0.120044937</v>
      </c>
      <c r="D60" s="18">
        <v>4.1649359999999999E-5</v>
      </c>
      <c r="E60" s="18">
        <v>-2.3034926E-5</v>
      </c>
      <c r="F60" s="18">
        <v>1.06631144924896E-7</v>
      </c>
      <c r="G60" s="18">
        <v>7.19999999998868E-10</v>
      </c>
      <c r="H60" s="18">
        <v>3.19094406093258E-9</v>
      </c>
      <c r="I60" s="2">
        <v>20.36</v>
      </c>
      <c r="J60" s="17">
        <f t="shared" si="46"/>
        <v>120.044937</v>
      </c>
      <c r="K60" s="2">
        <f t="shared" si="39"/>
        <v>1.2004493700000001</v>
      </c>
      <c r="L60">
        <v>2</v>
      </c>
      <c r="M60">
        <v>1</v>
      </c>
      <c r="N60">
        <v>1.0009680000000001</v>
      </c>
      <c r="O60">
        <v>0.2</v>
      </c>
      <c r="P60">
        <v>0.1</v>
      </c>
      <c r="Q60">
        <v>1</v>
      </c>
      <c r="R60" s="52">
        <f t="shared" si="40"/>
        <v>3.466125556651242E-4</v>
      </c>
      <c r="S60" s="52">
        <f t="shared" si="41"/>
        <v>-1.9170029432425895E-4</v>
      </c>
      <c r="T60" s="19">
        <f t="shared" si="42"/>
        <v>0.50048400000000004</v>
      </c>
      <c r="U60">
        <f t="shared" si="43"/>
        <v>0.50031058606913636</v>
      </c>
      <c r="V60" s="19">
        <f t="shared" si="44"/>
        <v>1.0006211721382727</v>
      </c>
      <c r="W60" s="52">
        <f t="shared" si="47"/>
        <v>1.9188586020916484E-4</v>
      </c>
      <c r="X60" s="19"/>
      <c r="Z60" s="49" t="s">
        <v>89</v>
      </c>
      <c r="AA60" s="19">
        <f>AVERAGE(Y53:Y56)</f>
        <v>2.3287060853007256E-4</v>
      </c>
      <c r="AE60">
        <v>13</v>
      </c>
      <c r="AF60">
        <v>1</v>
      </c>
    </row>
    <row r="61" spans="2:32" x14ac:dyDescent="0.2">
      <c r="D61" s="18"/>
      <c r="E61" s="18"/>
      <c r="F61" s="18"/>
      <c r="G61" s="18"/>
      <c r="H61" s="18"/>
      <c r="I61" s="2"/>
      <c r="J61" s="17"/>
      <c r="K61" s="2"/>
      <c r="R61" s="52"/>
      <c r="S61" s="52"/>
      <c r="T61" s="19"/>
      <c r="V61" s="19"/>
      <c r="W61" s="52"/>
      <c r="X61" s="19"/>
      <c r="Y61" s="19"/>
      <c r="AA61" s="19"/>
    </row>
    <row r="62" spans="2:32" x14ac:dyDescent="0.2">
      <c r="B62" t="s">
        <v>52</v>
      </c>
      <c r="C62" s="18">
        <v>5.0027104972000004E-3</v>
      </c>
      <c r="D62" s="18">
        <v>-1.85642794E-8</v>
      </c>
      <c r="E62" s="18">
        <v>1.0600324E-6</v>
      </c>
      <c r="F62" s="18">
        <v>7.0212149607729693E-8</v>
      </c>
      <c r="G62" s="18">
        <v>1.6439762175266399E-7</v>
      </c>
      <c r="H62" s="18">
        <v>6.5125062704921898E-8</v>
      </c>
      <c r="I62" s="2">
        <v>20.12</v>
      </c>
      <c r="J62" s="17">
        <f>100*C62/0.1</f>
        <v>5.0027104971999998</v>
      </c>
      <c r="K62" s="2">
        <f t="shared" ref="K62:K69" si="48">C62/P62</f>
        <v>5.0027104972000004E-2</v>
      </c>
      <c r="L62">
        <v>2</v>
      </c>
      <c r="M62">
        <v>1</v>
      </c>
      <c r="N62">
        <v>1.0009680000000001</v>
      </c>
      <c r="O62">
        <v>0.2</v>
      </c>
      <c r="P62">
        <v>0.1</v>
      </c>
      <c r="Q62">
        <v>-1</v>
      </c>
      <c r="R62" s="52">
        <f t="shared" ref="R62:R69" si="49">Q62*D62/C62/N62</f>
        <v>3.7072556099886665E-6</v>
      </c>
      <c r="S62" s="52">
        <f t="shared" ref="S62:S69" si="50">Q62*E62/C62/N62</f>
        <v>-2.1168670094836808E-4</v>
      </c>
      <c r="T62" s="19">
        <f t="shared" ref="T62:T69" si="51">N62*M62/L62</f>
        <v>0.50048400000000004</v>
      </c>
      <c r="U62">
        <f t="shared" ref="U62:U69" si="52">T62/(1+R62)</f>
        <v>0.50048214458476181</v>
      </c>
      <c r="V62" s="19">
        <f>U62*L62</f>
        <v>1.0009642891695236</v>
      </c>
      <c r="W62" s="52">
        <f t="shared" ref="W62:W69" si="53">-T62*S62*L62</f>
        <v>2.1189161367488613E-4</v>
      </c>
      <c r="X62" s="19">
        <f t="shared" ref="X62:Y65" si="54">0.5*(V62+V66)</f>
        <v>1.000790604379983</v>
      </c>
      <c r="Y62" s="19">
        <f t="shared" si="54"/>
        <v>1.7465387708595024E-4</v>
      </c>
      <c r="Z62" s="2">
        <f>0.2*(K62/L62)^2</f>
        <v>1.2513556159397538E-4</v>
      </c>
      <c r="AA62" s="10">
        <f>2.11*Z62</f>
        <v>2.6403603496328806E-4</v>
      </c>
      <c r="AB62" s="2">
        <f>0.1*K62^2</f>
        <v>2.5027112318795077E-4</v>
      </c>
      <c r="AC62" s="10">
        <f>1000000*(X62-1.0007)+AA62</f>
        <v>90.604644019129637</v>
      </c>
      <c r="AE62">
        <v>9</v>
      </c>
      <c r="AF62">
        <v>1</v>
      </c>
    </row>
    <row r="63" spans="2:32" x14ac:dyDescent="0.2">
      <c r="C63" s="18">
        <v>3.9971331854000001E-2</v>
      </c>
      <c r="D63" s="18">
        <v>-3.946781006E-7</v>
      </c>
      <c r="E63" s="18">
        <v>9.6844767000000008E-6</v>
      </c>
      <c r="F63" s="18">
        <v>2.7076552734391301E-8</v>
      </c>
      <c r="G63" s="18">
        <v>1.81946863454491E-7</v>
      </c>
      <c r="H63" s="2">
        <v>1.45850961107941E-7</v>
      </c>
      <c r="I63" s="2">
        <v>20.12</v>
      </c>
      <c r="J63" s="17">
        <f t="shared" ref="J63:J69" si="55">100*C63/0.1</f>
        <v>39.971331853999999</v>
      </c>
      <c r="K63" s="2">
        <f t="shared" si="48"/>
        <v>0.39971331853999997</v>
      </c>
      <c r="L63">
        <v>2</v>
      </c>
      <c r="M63">
        <v>1</v>
      </c>
      <c r="N63">
        <v>1.0009680000000001</v>
      </c>
      <c r="O63">
        <v>0.2</v>
      </c>
      <c r="P63">
        <v>0.1</v>
      </c>
      <c r="Q63">
        <v>-1</v>
      </c>
      <c r="R63" s="52">
        <f t="shared" si="49"/>
        <v>9.8644804507401333E-6</v>
      </c>
      <c r="S63" s="52">
        <f t="shared" si="50"/>
        <v>-2.4205125882983516E-4</v>
      </c>
      <c r="T63" s="19">
        <f t="shared" si="51"/>
        <v>0.50048400000000004</v>
      </c>
      <c r="U63">
        <f t="shared" si="52"/>
        <v>0.50047906303406675</v>
      </c>
      <c r="V63" s="19">
        <f t="shared" ref="V63:V69" si="56">U63*L63</f>
        <v>1.0009581260681335</v>
      </c>
      <c r="W63" s="52">
        <f t="shared" si="53"/>
        <v>2.4228556444838247E-4</v>
      </c>
      <c r="X63" s="19">
        <f t="shared" si="54"/>
        <v>1.000786237107449</v>
      </c>
      <c r="Y63" s="19">
        <f t="shared" si="54"/>
        <v>1.9115992532636435E-4</v>
      </c>
      <c r="Z63" s="2">
        <f>0.2*(K63/L63)^2</f>
        <v>7.9885368509129747E-3</v>
      </c>
      <c r="AA63" s="10">
        <f>2.11*Z63</f>
        <v>1.6855812755426375E-2</v>
      </c>
      <c r="AB63" s="2">
        <f>0.1*K63^2</f>
        <v>1.5977073701825949E-2</v>
      </c>
      <c r="AC63" s="10">
        <f>1000000*(X63-1.0007)+AA63</f>
        <v>86.253963261794098</v>
      </c>
      <c r="AE63">
        <v>11</v>
      </c>
      <c r="AF63">
        <v>1</v>
      </c>
    </row>
    <row r="64" spans="2:32" x14ac:dyDescent="0.2">
      <c r="C64" s="18">
        <v>0.10013542388</v>
      </c>
      <c r="D64" s="18">
        <v>-7.9250428E-7</v>
      </c>
      <c r="E64" s="18">
        <v>2.4465738999999999E-5</v>
      </c>
      <c r="F64" s="18">
        <v>2.3689719343241899E-8</v>
      </c>
      <c r="G64" s="18">
        <v>2.7468975686301402E-7</v>
      </c>
      <c r="H64" s="2">
        <v>1.75826335282858E-7</v>
      </c>
      <c r="I64" s="2">
        <v>20.12</v>
      </c>
      <c r="J64" s="17">
        <f t="shared" si="55"/>
        <v>100.13542388</v>
      </c>
      <c r="K64" s="2">
        <f t="shared" si="48"/>
        <v>1.0013542388000001</v>
      </c>
      <c r="L64">
        <v>2</v>
      </c>
      <c r="M64">
        <v>1</v>
      </c>
      <c r="N64">
        <v>1.0009680000000001</v>
      </c>
      <c r="O64">
        <v>0.2</v>
      </c>
      <c r="P64">
        <v>0.1</v>
      </c>
      <c r="Q64">
        <v>-1</v>
      </c>
      <c r="R64" s="52">
        <f t="shared" si="49"/>
        <v>7.9066712563493367E-6</v>
      </c>
      <c r="S64" s="52">
        <f t="shared" si="50"/>
        <v>-2.440902342087603E-4</v>
      </c>
      <c r="T64" s="19">
        <f t="shared" si="51"/>
        <v>0.50048400000000004</v>
      </c>
      <c r="U64">
        <f t="shared" si="52"/>
        <v>0.50048004286883074</v>
      </c>
      <c r="V64" s="19">
        <f t="shared" si="56"/>
        <v>1.0009600857376615</v>
      </c>
      <c r="W64" s="52">
        <f t="shared" si="53"/>
        <v>2.4432651355547441E-4</v>
      </c>
      <c r="X64" s="19">
        <f t="shared" si="54"/>
        <v>1.0007869117127544</v>
      </c>
      <c r="Y64" s="19">
        <f t="shared" si="54"/>
        <v>1.9350982645952882E-4</v>
      </c>
      <c r="Z64" s="2">
        <f>0.2*(K64/L64)^2</f>
        <v>5.0135515578136385E-2</v>
      </c>
      <c r="AA64" s="10">
        <f>2.11*Z64</f>
        <v>0.10578593786986777</v>
      </c>
      <c r="AB64" s="2">
        <f>0.1*K64^2</f>
        <v>0.10027103115627277</v>
      </c>
      <c r="AC64" s="10">
        <f>1000000*(X64-1.0007)+AA64</f>
        <v>87.017498692303747</v>
      </c>
      <c r="AE64">
        <v>13</v>
      </c>
      <c r="AF64">
        <v>1</v>
      </c>
    </row>
    <row r="65" spans="2:32" x14ac:dyDescent="0.2">
      <c r="C65" s="18">
        <v>0.12038099676</v>
      </c>
      <c r="D65" s="18">
        <v>-6.4323095099999998E-7</v>
      </c>
      <c r="E65" s="18">
        <v>2.9483065999999999E-5</v>
      </c>
      <c r="F65" s="18">
        <v>3.8753710958322202E-8</v>
      </c>
      <c r="G65" s="18">
        <v>2.9165329900477001E-7</v>
      </c>
      <c r="H65" s="2">
        <v>2.5209378065315301E-7</v>
      </c>
      <c r="I65" s="2">
        <v>20.12</v>
      </c>
      <c r="J65" s="17">
        <f t="shared" si="55"/>
        <v>120.38099675999999</v>
      </c>
      <c r="K65" s="2">
        <f t="shared" si="48"/>
        <v>1.2038099675999998</v>
      </c>
      <c r="L65">
        <v>2</v>
      </c>
      <c r="M65">
        <v>1</v>
      </c>
      <c r="N65">
        <v>1.0009680000000001</v>
      </c>
      <c r="O65">
        <v>0.2</v>
      </c>
      <c r="P65">
        <v>0.1</v>
      </c>
      <c r="Q65">
        <v>-1</v>
      </c>
      <c r="R65" s="52">
        <f t="shared" si="49"/>
        <v>5.3381258078511291E-6</v>
      </c>
      <c r="S65" s="52">
        <f t="shared" si="50"/>
        <v>-2.4467777128028487E-4</v>
      </c>
      <c r="T65" s="19">
        <f t="shared" si="51"/>
        <v>0.50048400000000004</v>
      </c>
      <c r="U65">
        <f t="shared" si="52"/>
        <v>0.50048132836770476</v>
      </c>
      <c r="V65" s="19">
        <f t="shared" si="56"/>
        <v>1.0009626567354095</v>
      </c>
      <c r="W65" s="52">
        <f t="shared" si="53"/>
        <v>2.4491461936288422E-4</v>
      </c>
      <c r="X65" s="19">
        <f t="shared" si="54"/>
        <v>1.0007885652185535</v>
      </c>
      <c r="Y65" s="19">
        <f t="shared" si="54"/>
        <v>1.9254070096726481E-4</v>
      </c>
      <c r="Z65" s="2">
        <f>0.2*(K65/L65)^2</f>
        <v>7.2457921904655637E-2</v>
      </c>
      <c r="AA65" s="10">
        <f>2.11*Z65</f>
        <v>0.1528862152188234</v>
      </c>
      <c r="AB65" s="2">
        <f>0.1*K65^2</f>
        <v>0.14491584380931127</v>
      </c>
      <c r="AC65" s="10">
        <f>1000000*(X65-1.0007)+AA65</f>
        <v>88.71810476882338</v>
      </c>
      <c r="AE65">
        <v>13</v>
      </c>
      <c r="AF65">
        <v>1</v>
      </c>
    </row>
    <row r="66" spans="2:32" x14ac:dyDescent="0.2">
      <c r="B66" t="s">
        <v>83</v>
      </c>
      <c r="C66" s="18">
        <v>4.9376505376000001E-3</v>
      </c>
      <c r="D66" s="18">
        <v>1.7341206E-6</v>
      </c>
      <c r="E66" s="18">
        <v>-6.7851287999999997E-7</v>
      </c>
      <c r="F66" s="18">
        <v>3.99750953106878E-8</v>
      </c>
      <c r="G66" s="18">
        <v>4.7729807244949202E-8</v>
      </c>
      <c r="H66" s="2">
        <v>5.0765598586105497E-8</v>
      </c>
      <c r="I66" s="2">
        <v>20.12</v>
      </c>
      <c r="J66" s="17">
        <f t="shared" si="55"/>
        <v>4.9376505375999997</v>
      </c>
      <c r="K66" s="2">
        <f t="shared" si="48"/>
        <v>4.9376505375999996E-2</v>
      </c>
      <c r="L66">
        <v>2</v>
      </c>
      <c r="M66">
        <v>1</v>
      </c>
      <c r="N66">
        <v>1.0009680000000001</v>
      </c>
      <c r="O66">
        <v>0.2</v>
      </c>
      <c r="P66">
        <v>0.1</v>
      </c>
      <c r="Q66">
        <v>1</v>
      </c>
      <c r="R66" s="52">
        <f t="shared" si="49"/>
        <v>3.50863954710432E-4</v>
      </c>
      <c r="S66" s="52">
        <f t="shared" si="50"/>
        <v>-1.3728325031071357E-4</v>
      </c>
      <c r="T66" s="19">
        <f t="shared" si="51"/>
        <v>0.50048400000000004</v>
      </c>
      <c r="U66">
        <f t="shared" si="52"/>
        <v>0.50030845979522121</v>
      </c>
      <c r="V66" s="19">
        <f t="shared" si="56"/>
        <v>1.0006169195904424</v>
      </c>
      <c r="W66" s="52">
        <f t="shared" si="53"/>
        <v>1.3741614049701435E-4</v>
      </c>
      <c r="X66" s="19"/>
      <c r="Y66" t="s">
        <v>84</v>
      </c>
      <c r="Z66">
        <f>INDEX(LINEST(AC62:AC65,AB62:AB65),2)</f>
        <v>88.426627885760581</v>
      </c>
      <c r="AE66">
        <v>9</v>
      </c>
      <c r="AF66">
        <v>1</v>
      </c>
    </row>
    <row r="67" spans="2:32" x14ac:dyDescent="0.2">
      <c r="C67" s="18">
        <v>4.0007796318E-2</v>
      </c>
      <c r="D67" s="18">
        <v>1.4153832000000001E-5</v>
      </c>
      <c r="E67" s="18">
        <v>-5.6024631999999996E-6</v>
      </c>
      <c r="F67" s="18">
        <v>1.6449835068753101E-8</v>
      </c>
      <c r="G67" s="18">
        <v>4.4963985588397802E-10</v>
      </c>
      <c r="H67" s="2">
        <v>2.3374205863729301E-8</v>
      </c>
      <c r="I67" s="2">
        <v>20.13</v>
      </c>
      <c r="J67" s="17">
        <f t="shared" si="55"/>
        <v>40.007796318000004</v>
      </c>
      <c r="K67" s="2">
        <f t="shared" si="48"/>
        <v>0.40007796318</v>
      </c>
      <c r="L67">
        <v>2</v>
      </c>
      <c r="M67">
        <v>1</v>
      </c>
      <c r="N67">
        <v>1.0009680000000001</v>
      </c>
      <c r="O67">
        <v>0.2</v>
      </c>
      <c r="P67">
        <v>0.1</v>
      </c>
      <c r="Q67">
        <v>1</v>
      </c>
      <c r="R67" s="52">
        <f t="shared" si="49"/>
        <v>3.534347212699837E-4</v>
      </c>
      <c r="S67" s="52">
        <f t="shared" si="50"/>
        <v>-1.3989886410389362E-4</v>
      </c>
      <c r="T67" s="19">
        <f t="shared" si="51"/>
        <v>0.50048400000000004</v>
      </c>
      <c r="U67">
        <f t="shared" si="52"/>
        <v>0.5003071740733821</v>
      </c>
      <c r="V67" s="19">
        <f t="shared" si="56"/>
        <v>1.0006143481467642</v>
      </c>
      <c r="W67" s="52">
        <f t="shared" si="53"/>
        <v>1.400342862043462E-4</v>
      </c>
      <c r="X67" s="19"/>
      <c r="Y67" t="s">
        <v>85</v>
      </c>
      <c r="Z67">
        <f>INDEX(LINEST(AC62:AC65,AB62:AB65),1)</f>
        <v>-4.2549361005781314</v>
      </c>
      <c r="AA67" t="s">
        <v>86</v>
      </c>
      <c r="AE67">
        <v>12</v>
      </c>
      <c r="AF67">
        <v>1</v>
      </c>
    </row>
    <row r="68" spans="2:32" x14ac:dyDescent="0.2">
      <c r="C68" s="18">
        <v>0.10077260942000001</v>
      </c>
      <c r="D68" s="18">
        <v>3.5712576999999998E-5</v>
      </c>
      <c r="E68" s="18">
        <v>-1.4379559999999999E-5</v>
      </c>
      <c r="F68" s="18">
        <v>2.3923364214912801E-8</v>
      </c>
      <c r="G68" s="18">
        <v>6.8815856973519894E-8</v>
      </c>
      <c r="H68" s="2">
        <v>3.5515033436560303E-8</v>
      </c>
      <c r="I68" s="2">
        <v>20.14</v>
      </c>
      <c r="J68" s="17">
        <f t="shared" si="55"/>
        <v>100.77260941999999</v>
      </c>
      <c r="K68" s="2">
        <f t="shared" si="48"/>
        <v>1.0077260941999999</v>
      </c>
      <c r="L68">
        <v>2</v>
      </c>
      <c r="M68">
        <v>1</v>
      </c>
      <c r="N68">
        <v>1.0009680000000001</v>
      </c>
      <c r="O68">
        <v>0.2</v>
      </c>
      <c r="P68">
        <v>0.1</v>
      </c>
      <c r="Q68">
        <v>1</v>
      </c>
      <c r="R68" s="52">
        <f t="shared" si="49"/>
        <v>3.5404502138021904E-4</v>
      </c>
      <c r="S68" s="52">
        <f t="shared" si="50"/>
        <v>-1.4255514598227238E-4</v>
      </c>
      <c r="T68" s="19">
        <f t="shared" si="51"/>
        <v>0.50048400000000004</v>
      </c>
      <c r="U68">
        <f t="shared" si="52"/>
        <v>0.50030686884392361</v>
      </c>
      <c r="V68" s="19">
        <f t="shared" si="56"/>
        <v>1.0006137376878472</v>
      </c>
      <c r="W68" s="52">
        <f t="shared" si="53"/>
        <v>1.4269313936358323E-4</v>
      </c>
      <c r="X68" s="19"/>
      <c r="Z68" s="49" t="s">
        <v>91</v>
      </c>
      <c r="AA68" s="19">
        <f>AVERAGE(X62:X65)</f>
        <v>1.0007880796046849</v>
      </c>
      <c r="AE68">
        <v>13</v>
      </c>
      <c r="AF68">
        <v>1</v>
      </c>
    </row>
    <row r="69" spans="2:32" x14ac:dyDescent="0.2">
      <c r="C69" s="18">
        <v>0.1203173797</v>
      </c>
      <c r="D69" s="18">
        <v>4.2550386E-5</v>
      </c>
      <c r="E69" s="18">
        <v>-1.6864500000000001E-5</v>
      </c>
      <c r="F69" s="18">
        <v>1.66061582432485E-8</v>
      </c>
      <c r="G69" s="18">
        <v>4.51224999306821E-10</v>
      </c>
      <c r="H69" s="2">
        <v>2.0328790734103199E-20</v>
      </c>
      <c r="I69" s="2">
        <v>20.149999999999999</v>
      </c>
      <c r="J69" s="17">
        <f t="shared" si="55"/>
        <v>120.31737969999999</v>
      </c>
      <c r="K69" s="2">
        <f t="shared" si="48"/>
        <v>1.203173797</v>
      </c>
      <c r="L69">
        <v>2</v>
      </c>
      <c r="M69">
        <v>1</v>
      </c>
      <c r="N69">
        <v>1.0009680000000001</v>
      </c>
      <c r="O69">
        <v>0.2</v>
      </c>
      <c r="P69">
        <v>0.1</v>
      </c>
      <c r="Q69">
        <v>1</v>
      </c>
      <c r="R69" s="52">
        <f t="shared" si="49"/>
        <v>3.5330919909093845E-4</v>
      </c>
      <c r="S69" s="52">
        <f t="shared" si="50"/>
        <v>-1.400312323387415E-4</v>
      </c>
      <c r="T69" s="19">
        <f t="shared" si="51"/>
        <v>0.50048400000000004</v>
      </c>
      <c r="U69">
        <f t="shared" si="52"/>
        <v>0.50030723685084877</v>
      </c>
      <c r="V69" s="19">
        <f t="shared" si="56"/>
        <v>1.0006144737016975</v>
      </c>
      <c r="W69" s="52">
        <f t="shared" si="53"/>
        <v>1.401667825716454E-4</v>
      </c>
      <c r="X69" s="19"/>
      <c r="Y69" s="19"/>
      <c r="Z69" s="49" t="s">
        <v>92</v>
      </c>
      <c r="AA69" s="19">
        <f>AVERAGE(Y62:Y65)</f>
        <v>1.8796608245977704E-4</v>
      </c>
      <c r="AE69">
        <v>13</v>
      </c>
      <c r="AF69">
        <v>1</v>
      </c>
    </row>
    <row r="70" spans="2:32" x14ac:dyDescent="0.2">
      <c r="C70" s="6"/>
      <c r="D70" s="18"/>
      <c r="E70" s="18"/>
      <c r="F70" s="18"/>
      <c r="G70" s="18"/>
      <c r="H70" s="18"/>
      <c r="J70" s="17"/>
      <c r="R70" s="52"/>
      <c r="S70" s="52"/>
      <c r="T70" s="19"/>
      <c r="V70" s="19"/>
      <c r="W70" s="19"/>
      <c r="X70" s="19"/>
    </row>
    <row r="71" spans="2:32" x14ac:dyDescent="0.2">
      <c r="C71" s="6"/>
      <c r="D71" s="18"/>
      <c r="E71" s="18"/>
      <c r="F71" s="18"/>
      <c r="G71" s="18"/>
      <c r="H71" s="18"/>
      <c r="R71" s="52"/>
      <c r="S71" s="52"/>
      <c r="T71" s="19"/>
      <c r="V71" s="19"/>
      <c r="W71" s="19"/>
      <c r="X71" s="60"/>
      <c r="Y71" s="62" t="s">
        <v>95</v>
      </c>
      <c r="Z71" s="63">
        <f>(Z67+Z58)/2</f>
        <v>11.658969913706521</v>
      </c>
      <c r="AA71" s="59" t="s">
        <v>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65D2-B0B0-4930-8A1F-988D856E3A9E}">
  <sheetPr codeName="Sheet11"/>
  <dimension ref="A1:BJ197"/>
  <sheetViews>
    <sheetView topLeftCell="P62" workbookViewId="0">
      <selection activeCell="AC89" sqref="AC89:AK92"/>
    </sheetView>
  </sheetViews>
  <sheetFormatPr defaultRowHeight="12.75" x14ac:dyDescent="0.2"/>
  <cols>
    <col min="1" max="1" width="9.28515625" bestFit="1" customWidth="1"/>
    <col min="2" max="2" width="28.140625" customWidth="1"/>
    <col min="3" max="3" width="9.28515625" bestFit="1" customWidth="1"/>
    <col min="4" max="5" width="11.140625" bestFit="1" customWidth="1"/>
    <col min="6" max="8" width="9.5703125" bestFit="1" customWidth="1"/>
    <col min="9" max="9" width="9.28515625" bestFit="1" customWidth="1"/>
    <col min="10" max="10" width="10.7109375" customWidth="1"/>
    <col min="11" max="11" width="9.28515625" bestFit="1" customWidth="1"/>
    <col min="12" max="12" width="9.5703125" bestFit="1" customWidth="1"/>
    <col min="13" max="16" width="9.28515625" bestFit="1" customWidth="1"/>
    <col min="18" max="18" width="10.28515625" customWidth="1"/>
    <col min="19" max="19" width="10.7109375" customWidth="1"/>
    <col min="20" max="20" width="9.42578125" customWidth="1"/>
    <col min="21" max="21" width="12.5703125" bestFit="1" customWidth="1"/>
    <col min="23" max="23" width="10.140625" customWidth="1"/>
    <col min="29" max="29" width="10.5703125" bestFit="1" customWidth="1"/>
    <col min="32" max="32" width="9.140625" bestFit="1" customWidth="1"/>
  </cols>
  <sheetData>
    <row r="1" spans="1:62" x14ac:dyDescent="0.2">
      <c r="B1" s="5" t="s">
        <v>177</v>
      </c>
      <c r="R1" s="47"/>
      <c r="S1" s="47"/>
    </row>
    <row r="2" spans="1:62" x14ac:dyDescent="0.2">
      <c r="R2" s="47"/>
      <c r="S2" s="47"/>
    </row>
    <row r="3" spans="1:62" x14ac:dyDescent="0.2">
      <c r="A3">
        <f>ROW()</f>
        <v>3</v>
      </c>
      <c r="B3" s="6" t="s">
        <v>80</v>
      </c>
      <c r="R3" s="61" t="s">
        <v>79</v>
      </c>
      <c r="S3" s="50"/>
    </row>
    <row r="4" spans="1:62" x14ac:dyDescent="0.2">
      <c r="A4">
        <f>ROW()</f>
        <v>4</v>
      </c>
      <c r="B4" t="s">
        <v>81</v>
      </c>
      <c r="R4" s="50" t="s">
        <v>94</v>
      </c>
      <c r="S4" s="50"/>
    </row>
    <row r="5" spans="1:62" x14ac:dyDescent="0.2">
      <c r="A5">
        <f>ROW()</f>
        <v>5</v>
      </c>
      <c r="R5" s="50" t="s">
        <v>93</v>
      </c>
      <c r="S5" s="50"/>
      <c r="Y5" t="s">
        <v>87</v>
      </c>
      <c r="AB5">
        <v>2.11</v>
      </c>
      <c r="AC5" t="s">
        <v>88</v>
      </c>
    </row>
    <row r="6" spans="1:62" x14ac:dyDescent="0.2">
      <c r="A6">
        <f>ROW()</f>
        <v>6</v>
      </c>
      <c r="C6" s="5" t="s">
        <v>82</v>
      </c>
      <c r="I6" s="5"/>
      <c r="R6" s="50"/>
      <c r="S6" s="50"/>
    </row>
    <row r="7" spans="1:62" x14ac:dyDescent="0.2">
      <c r="A7">
        <f>ROW()</f>
        <v>7</v>
      </c>
      <c r="K7" s="43" t="s">
        <v>276</v>
      </c>
      <c r="L7" t="s">
        <v>23</v>
      </c>
      <c r="N7" t="s">
        <v>24</v>
      </c>
      <c r="O7" t="s">
        <v>25</v>
      </c>
      <c r="Q7" t="s">
        <v>26</v>
      </c>
      <c r="R7" s="50" t="s">
        <v>27</v>
      </c>
      <c r="S7" s="50" t="s">
        <v>27</v>
      </c>
      <c r="T7" t="s">
        <v>28</v>
      </c>
      <c r="U7" t="s">
        <v>29</v>
      </c>
      <c r="V7" t="s">
        <v>30</v>
      </c>
      <c r="W7" t="s">
        <v>3</v>
      </c>
      <c r="X7" t="s">
        <v>49</v>
      </c>
      <c r="Y7" t="s">
        <v>49</v>
      </c>
      <c r="Z7" t="s">
        <v>55</v>
      </c>
      <c r="AA7" t="s">
        <v>57</v>
      </c>
      <c r="AB7" t="s">
        <v>59</v>
      </c>
      <c r="AC7" t="s">
        <v>57</v>
      </c>
      <c r="AE7" s="43" t="s">
        <v>188</v>
      </c>
    </row>
    <row r="8" spans="1:62" x14ac:dyDescent="0.2">
      <c r="A8">
        <f>ROW()</f>
        <v>8</v>
      </c>
      <c r="C8" t="s">
        <v>31</v>
      </c>
      <c r="D8" t="s">
        <v>32</v>
      </c>
      <c r="E8" t="s">
        <v>33</v>
      </c>
      <c r="F8" t="s">
        <v>34</v>
      </c>
      <c r="G8" t="s">
        <v>35</v>
      </c>
      <c r="H8" t="s">
        <v>36</v>
      </c>
      <c r="I8" t="s">
        <v>77</v>
      </c>
      <c r="J8" t="s">
        <v>37</v>
      </c>
      <c r="K8" s="43" t="s">
        <v>277</v>
      </c>
      <c r="L8" t="s">
        <v>39</v>
      </c>
      <c r="M8" t="s">
        <v>40</v>
      </c>
      <c r="N8" t="s">
        <v>41</v>
      </c>
      <c r="O8" t="s">
        <v>42</v>
      </c>
      <c r="P8" t="s">
        <v>43</v>
      </c>
      <c r="Q8" t="s">
        <v>44</v>
      </c>
      <c r="R8" s="50" t="s">
        <v>45</v>
      </c>
      <c r="S8" s="50" t="s">
        <v>46</v>
      </c>
      <c r="U8" t="s">
        <v>47</v>
      </c>
      <c r="V8" t="s">
        <v>39</v>
      </c>
      <c r="W8" t="s">
        <v>48</v>
      </c>
      <c r="X8" t="s">
        <v>47</v>
      </c>
      <c r="Y8" t="s">
        <v>50</v>
      </c>
      <c r="Z8" t="s">
        <v>56</v>
      </c>
      <c r="AA8" t="s">
        <v>58</v>
      </c>
      <c r="AB8" s="43" t="s">
        <v>60</v>
      </c>
      <c r="AE8" s="43" t="s">
        <v>190</v>
      </c>
      <c r="AF8" s="43" t="s">
        <v>189</v>
      </c>
    </row>
    <row r="9" spans="1:62" x14ac:dyDescent="0.2">
      <c r="A9">
        <f>ROW()</f>
        <v>9</v>
      </c>
      <c r="B9" s="4">
        <v>43375</v>
      </c>
      <c r="R9" s="50"/>
      <c r="S9" s="50"/>
    </row>
    <row r="10" spans="1:62" x14ac:dyDescent="0.2">
      <c r="A10">
        <f>ROW()</f>
        <v>10</v>
      </c>
      <c r="B10" t="s">
        <v>51</v>
      </c>
      <c r="C10" s="18">
        <v>1.0119222589999999E-2</v>
      </c>
      <c r="D10" s="18">
        <v>7.2121991799999996E-8</v>
      </c>
      <c r="E10" s="18">
        <v>2.8817477000000001E-6</v>
      </c>
      <c r="F10" s="18">
        <v>1.2007850968435301E-7</v>
      </c>
      <c r="G10" s="18">
        <v>1.18305039344788E-7</v>
      </c>
      <c r="H10" s="18">
        <v>1.0301776842715E-7</v>
      </c>
      <c r="I10" s="2">
        <v>20.309999999999999</v>
      </c>
      <c r="J10" s="17">
        <f>(K10/1)*100</f>
        <v>10.119525153682568</v>
      </c>
      <c r="K10" s="2">
        <f>(C10/O10)*L10</f>
        <v>0.10119525153682568</v>
      </c>
      <c r="L10">
        <v>2</v>
      </c>
      <c r="M10">
        <v>1</v>
      </c>
      <c r="N10">
        <v>1.0009680000000001</v>
      </c>
      <c r="O10" s="2">
        <f t="shared" ref="O10:O17" si="0">MSL0.2</f>
        <v>0.19999402020000001</v>
      </c>
      <c r="P10" s="2">
        <f t="shared" ref="P10:P17" si="1">Ti_969</f>
        <v>0.1000646</v>
      </c>
      <c r="Q10">
        <v>-1</v>
      </c>
      <c r="R10" s="52">
        <f t="shared" ref="R10:R17" si="2">Q10*D10/C10/N10</f>
        <v>-7.1203340558813257E-6</v>
      </c>
      <c r="S10" s="52">
        <f t="shared" ref="S10:S17" si="3">Q10*E10/C10/N10</f>
        <v>-2.8450415437316978E-4</v>
      </c>
      <c r="T10" s="19">
        <f t="shared" ref="T10:T17" si="4">N10*M10/L10</f>
        <v>0.50048400000000004</v>
      </c>
      <c r="U10">
        <f>T10/(1+R10)</f>
        <v>0.500487563638644</v>
      </c>
      <c r="V10" s="19">
        <f>U10*L10</f>
        <v>1.000975127277288</v>
      </c>
      <c r="W10" s="48">
        <f>-T10*S10*L10</f>
        <v>2.8477955439460301E-4</v>
      </c>
      <c r="X10" s="19">
        <f>0.5*(V10+V14)</f>
        <v>1.0007988613266166</v>
      </c>
      <c r="Y10" s="19">
        <f t="shared" ref="X10:Y13" si="5">0.5*(W10+W14)</f>
        <v>2.3343403661736298E-4</v>
      </c>
      <c r="Z10" s="2">
        <f>0.2*(K10/L10)^2</f>
        <v>5.1202394668007105E-4</v>
      </c>
      <c r="AA10" s="10">
        <f>2.11*Z10</f>
        <v>1.0803705274949498E-3</v>
      </c>
      <c r="AB10" s="2">
        <f>0.1*K10^2</f>
        <v>1.0240478933601421E-3</v>
      </c>
      <c r="AC10" s="10">
        <f>1000000*(X10-1.0007)+AA10</f>
        <v>98.862406987155765</v>
      </c>
      <c r="AD10" s="10"/>
      <c r="AE10">
        <v>10</v>
      </c>
      <c r="AF10">
        <v>1</v>
      </c>
      <c r="AU10" s="2"/>
      <c r="AV10" s="17"/>
      <c r="AW10" s="2"/>
      <c r="BE10" s="19"/>
      <c r="BF10" s="19"/>
      <c r="BG10" s="2"/>
      <c r="BH10" s="10"/>
      <c r="BI10" s="2"/>
      <c r="BJ10" s="10"/>
    </row>
    <row r="11" spans="1:62" x14ac:dyDescent="0.2">
      <c r="A11">
        <f>ROW()</f>
        <v>11</v>
      </c>
      <c r="C11" s="18">
        <v>4.0296006762E-2</v>
      </c>
      <c r="D11" s="18">
        <v>2.1876876999999998E-8</v>
      </c>
      <c r="E11" s="18">
        <v>1.1147058000000001E-5</v>
      </c>
      <c r="F11" s="18">
        <v>2.4269265271059601E-8</v>
      </c>
      <c r="G11" s="18">
        <v>6.7699140716868105E-8</v>
      </c>
      <c r="H11" s="18">
        <v>1.06715620393642E-7</v>
      </c>
      <c r="I11" s="2">
        <v>20.309999999999999</v>
      </c>
      <c r="J11" s="17">
        <f t="shared" ref="J11:J26" si="6">(K11/1)*100</f>
        <v>40.297211608329874</v>
      </c>
      <c r="K11" s="2">
        <f t="shared" ref="K11:K17" si="7">(C11/O11)*L11</f>
        <v>0.40297211608329875</v>
      </c>
      <c r="L11">
        <v>2</v>
      </c>
      <c r="M11">
        <v>1</v>
      </c>
      <c r="N11">
        <v>1.0009680000000001</v>
      </c>
      <c r="O11" s="2">
        <f t="shared" si="0"/>
        <v>0.19999402020000001</v>
      </c>
      <c r="P11" s="2">
        <f t="shared" si="1"/>
        <v>0.1000646</v>
      </c>
      <c r="Q11">
        <v>-1</v>
      </c>
      <c r="R11" s="52">
        <f t="shared" si="2"/>
        <v>-5.4237931791815187E-7</v>
      </c>
      <c r="S11" s="52">
        <f t="shared" si="3"/>
        <v>-2.7636182782551997E-4</v>
      </c>
      <c r="T11" s="19">
        <f t="shared" si="4"/>
        <v>0.50048400000000004</v>
      </c>
      <c r="U11">
        <f t="shared" ref="U11:U17" si="8">T11/(1+R11)</f>
        <v>0.50048427145231777</v>
      </c>
      <c r="V11" s="19">
        <f t="shared" ref="V11:V17" si="9">U11*L11</f>
        <v>1.0009685429046355</v>
      </c>
      <c r="W11" s="48">
        <f t="shared" ref="W11:W17" si="10">-T11*S11*L11</f>
        <v>2.766293460748551E-4</v>
      </c>
      <c r="X11" s="19">
        <f t="shared" si="5"/>
        <v>1.0007954261423171</v>
      </c>
      <c r="Y11" s="19">
        <f t="shared" si="5"/>
        <v>2.3292863315545767E-4</v>
      </c>
      <c r="Z11" s="2">
        <f>0.2*(K11/L11)^2</f>
        <v>8.1193263170325804E-3</v>
      </c>
      <c r="AA11" s="10">
        <f>2.11*Z11</f>
        <v>1.7131778528938744E-2</v>
      </c>
      <c r="AB11" s="2">
        <f>0.1*K11^2</f>
        <v>1.6238652634065161E-2</v>
      </c>
      <c r="AC11" s="10">
        <f>1000000*(X11-1.0007)+AA11</f>
        <v>95.443274095696552</v>
      </c>
      <c r="AD11" s="10"/>
      <c r="AE11">
        <v>12</v>
      </c>
      <c r="AF11">
        <v>1</v>
      </c>
      <c r="AU11" s="2"/>
      <c r="AV11" s="17"/>
      <c r="AW11" s="2"/>
      <c r="BE11" s="19"/>
      <c r="BF11" s="19"/>
      <c r="BG11" s="2"/>
      <c r="BH11" s="10"/>
      <c r="BI11" s="2"/>
      <c r="BJ11" s="10"/>
    </row>
    <row r="12" spans="1:62" x14ac:dyDescent="0.2">
      <c r="A12">
        <f>ROW()</f>
        <v>12</v>
      </c>
      <c r="C12" s="18">
        <v>0.1002976116</v>
      </c>
      <c r="D12" s="18">
        <v>5.1738974639999996E-7</v>
      </c>
      <c r="E12" s="18">
        <v>2.7829080999999999E-5</v>
      </c>
      <c r="F12" s="18">
        <v>4.11971301039318E-8</v>
      </c>
      <c r="G12" s="18">
        <v>2.7370493385349901E-7</v>
      </c>
      <c r="H12" s="18">
        <v>2.4555621177033999E-7</v>
      </c>
      <c r="I12" s="2">
        <v>20.32</v>
      </c>
      <c r="J12" s="17">
        <f t="shared" si="6"/>
        <v>100.30061048795298</v>
      </c>
      <c r="K12" s="2">
        <f t="shared" si="7"/>
        <v>1.0030061048795298</v>
      </c>
      <c r="L12">
        <v>2</v>
      </c>
      <c r="M12">
        <v>1</v>
      </c>
      <c r="N12">
        <v>1.0009680000000001</v>
      </c>
      <c r="O12" s="2">
        <f t="shared" si="0"/>
        <v>0.19999402020000001</v>
      </c>
      <c r="P12" s="2">
        <f t="shared" si="1"/>
        <v>0.1000646</v>
      </c>
      <c r="Q12">
        <v>-1</v>
      </c>
      <c r="R12" s="52">
        <f t="shared" si="2"/>
        <v>-5.153556392994461E-6</v>
      </c>
      <c r="S12" s="52">
        <f t="shared" si="3"/>
        <v>-2.7719671542897567E-4</v>
      </c>
      <c r="T12" s="19">
        <f t="shared" si="4"/>
        <v>0.50048400000000004</v>
      </c>
      <c r="U12">
        <f t="shared" si="8"/>
        <v>0.50048657928581031</v>
      </c>
      <c r="V12" s="19">
        <f t="shared" si="9"/>
        <v>1.0009731585716206</v>
      </c>
      <c r="W12" s="48">
        <f t="shared" si="10"/>
        <v>2.7746504184951096E-4</v>
      </c>
      <c r="X12" s="19">
        <f t="shared" si="5"/>
        <v>1.0007965812735347</v>
      </c>
      <c r="Y12" s="19">
        <f t="shared" si="5"/>
        <v>2.3129880814639974E-4</v>
      </c>
      <c r="Z12" s="2">
        <f>0.2*(K12/L12)^2</f>
        <v>5.0301062321280322E-2</v>
      </c>
      <c r="AA12" s="10">
        <f>2.11*Z12</f>
        <v>0.10613524149790148</v>
      </c>
      <c r="AB12" s="2">
        <f>0.1*K12^2</f>
        <v>0.10060212464256064</v>
      </c>
      <c r="AC12" s="10">
        <f>1000000*(X12-1.0007)+AA12</f>
        <v>96.687408776232786</v>
      </c>
      <c r="AD12" s="10"/>
      <c r="AE12">
        <v>13</v>
      </c>
      <c r="AF12">
        <v>1</v>
      </c>
      <c r="AU12" s="2"/>
      <c r="AV12" s="17"/>
      <c r="AW12" s="2"/>
      <c r="BE12" s="19"/>
      <c r="BF12" s="19"/>
      <c r="BG12" s="2"/>
      <c r="BH12" s="10"/>
      <c r="BI12" s="2"/>
      <c r="BJ12" s="10"/>
    </row>
    <row r="13" spans="1:62" x14ac:dyDescent="0.2">
      <c r="A13">
        <f>ROW()</f>
        <v>13</v>
      </c>
      <c r="C13" s="18">
        <v>0.12048706564</v>
      </c>
      <c r="D13" s="18">
        <v>6.7973878500000001E-7</v>
      </c>
      <c r="E13" s="18">
        <v>3.3746133000000002E-5</v>
      </c>
      <c r="F13" s="18">
        <v>4.16331788726132E-8</v>
      </c>
      <c r="G13" s="18">
        <v>2.5692274607429401E-7</v>
      </c>
      <c r="H13" s="18">
        <v>1.8284082588688999E-7</v>
      </c>
      <c r="I13" s="2">
        <v>20.32</v>
      </c>
      <c r="J13" s="17">
        <f t="shared" si="6"/>
        <v>120.49066819048821</v>
      </c>
      <c r="K13" s="2">
        <f t="shared" si="7"/>
        <v>1.2049066819048821</v>
      </c>
      <c r="L13">
        <v>2</v>
      </c>
      <c r="M13">
        <v>1</v>
      </c>
      <c r="N13">
        <v>1.0009680000000001</v>
      </c>
      <c r="O13" s="2">
        <f t="shared" si="0"/>
        <v>0.19999402020000001</v>
      </c>
      <c r="P13" s="2">
        <f t="shared" si="1"/>
        <v>0.1000646</v>
      </c>
      <c r="Q13">
        <v>-1</v>
      </c>
      <c r="R13" s="52">
        <f t="shared" si="2"/>
        <v>-5.6361355516842824E-6</v>
      </c>
      <c r="S13" s="52">
        <f t="shared" si="3"/>
        <v>-2.7981010371971963E-4</v>
      </c>
      <c r="T13" s="19">
        <f t="shared" si="4"/>
        <v>0.50048400000000004</v>
      </c>
      <c r="U13">
        <f t="shared" si="8"/>
        <v>0.50048682081156393</v>
      </c>
      <c r="V13" s="48">
        <f t="shared" si="9"/>
        <v>1.0009736416231279</v>
      </c>
      <c r="W13" s="48">
        <f t="shared" si="10"/>
        <v>2.8008095990012032E-4</v>
      </c>
      <c r="X13" s="19">
        <f>0.5*(V13+V17)</f>
        <v>1.0007982381908007</v>
      </c>
      <c r="Y13" s="19">
        <f t="shared" si="5"/>
        <v>2.3553390792082913E-4</v>
      </c>
      <c r="Z13" s="2">
        <f>0.2*(K13/L13)^2</f>
        <v>7.2590005604951643E-2</v>
      </c>
      <c r="AA13" s="10">
        <f>2.11*Z13</f>
        <v>0.15316491182644795</v>
      </c>
      <c r="AB13" s="2">
        <f>0.1*K13^2</f>
        <v>0.14518001120990329</v>
      </c>
      <c r="AC13" s="10">
        <f>1000000*(X13-1.0007)+AA13</f>
        <v>98.391355712618775</v>
      </c>
      <c r="AD13" s="10"/>
      <c r="AE13">
        <v>13</v>
      </c>
      <c r="AF13">
        <v>1</v>
      </c>
      <c r="AU13" s="2"/>
      <c r="AV13" s="17"/>
      <c r="AW13" s="2"/>
      <c r="BE13" s="19"/>
      <c r="BF13" s="19"/>
      <c r="BG13" s="2"/>
      <c r="BH13" s="10"/>
      <c r="BI13" s="2"/>
      <c r="BJ13" s="10"/>
    </row>
    <row r="14" spans="1:62" x14ac:dyDescent="0.2">
      <c r="A14">
        <f>ROW()</f>
        <v>14</v>
      </c>
      <c r="B14" t="s">
        <v>83</v>
      </c>
      <c r="C14">
        <v>1.0093204732E-2</v>
      </c>
      <c r="D14" s="18">
        <v>3.487443E-6</v>
      </c>
      <c r="E14" s="18">
        <v>-1.8378567000000001E-6</v>
      </c>
      <c r="F14" s="18">
        <v>5.5085529588464103E-8</v>
      </c>
      <c r="G14" s="18">
        <v>2.5574435966409901E-8</v>
      </c>
      <c r="H14" s="18">
        <v>7.5733286262448698E-8</v>
      </c>
      <c r="I14" s="2">
        <v>20.34</v>
      </c>
      <c r="J14" s="17">
        <f t="shared" si="6"/>
        <v>10.093506517751374</v>
      </c>
      <c r="K14" s="2">
        <f t="shared" si="7"/>
        <v>0.10093506517751374</v>
      </c>
      <c r="L14">
        <v>2</v>
      </c>
      <c r="M14">
        <v>1</v>
      </c>
      <c r="N14">
        <v>1.0009680000000001</v>
      </c>
      <c r="O14" s="2">
        <f t="shared" si="0"/>
        <v>0.19999402020000001</v>
      </c>
      <c r="P14" s="2">
        <f t="shared" si="1"/>
        <v>0.1000646</v>
      </c>
      <c r="Q14">
        <v>1</v>
      </c>
      <c r="R14" s="52">
        <f t="shared" si="2"/>
        <v>3.4518971053738065E-4</v>
      </c>
      <c r="S14" s="52">
        <f t="shared" si="3"/>
        <v>-1.8191242761019625E-4</v>
      </c>
      <c r="T14" s="19">
        <f t="shared" si="4"/>
        <v>0.50048400000000004</v>
      </c>
      <c r="U14">
        <f t="shared" si="8"/>
        <v>0.50031129768797256</v>
      </c>
      <c r="V14" s="48">
        <f t="shared" si="9"/>
        <v>1.0006225953759451</v>
      </c>
      <c r="W14" s="48">
        <f t="shared" si="10"/>
        <v>1.8208851884012295E-4</v>
      </c>
      <c r="X14" s="19"/>
      <c r="Y14" t="s">
        <v>84</v>
      </c>
      <c r="Z14">
        <f>INDEX(LINEST(AC10:AC13,AB10:AB13),2)</f>
        <v>97.08549712616535</v>
      </c>
      <c r="AE14">
        <v>9</v>
      </c>
      <c r="AF14">
        <v>1</v>
      </c>
      <c r="AU14" s="2"/>
      <c r="AV14" s="17"/>
      <c r="AW14" s="2"/>
    </row>
    <row r="15" spans="1:62" x14ac:dyDescent="0.2">
      <c r="A15">
        <f>ROW()</f>
        <v>15</v>
      </c>
      <c r="C15" s="18">
        <v>4.0112194810000001E-2</v>
      </c>
      <c r="D15" s="18">
        <v>1.38712E-5</v>
      </c>
      <c r="E15" s="18">
        <v>-7.5903471999999899E-6</v>
      </c>
      <c r="F15" s="18">
        <v>1.40637344154485E-8</v>
      </c>
      <c r="G15" s="18">
        <v>1.6940658945085999E-21</v>
      </c>
      <c r="H15" s="18">
        <v>2.91729600829289E-10</v>
      </c>
      <c r="I15" s="2">
        <v>20.350000000000001</v>
      </c>
      <c r="J15" s="17">
        <f t="shared" si="6"/>
        <v>40.113394160372003</v>
      </c>
      <c r="K15" s="2">
        <f t="shared" si="7"/>
        <v>0.40113394160372001</v>
      </c>
      <c r="L15">
        <v>2</v>
      </c>
      <c r="M15">
        <v>1</v>
      </c>
      <c r="N15">
        <v>1.0009680000000001</v>
      </c>
      <c r="O15" s="2">
        <f t="shared" si="0"/>
        <v>0.19999402020000001</v>
      </c>
      <c r="P15" s="2">
        <f t="shared" si="1"/>
        <v>0.1000646</v>
      </c>
      <c r="Q15">
        <v>1</v>
      </c>
      <c r="R15" s="52">
        <f t="shared" si="2"/>
        <v>3.4547562727789194E-4</v>
      </c>
      <c r="S15" s="52">
        <f t="shared" si="3"/>
        <v>-1.8904492474890329E-4</v>
      </c>
      <c r="T15" s="19">
        <f t="shared" si="4"/>
        <v>0.50048400000000004</v>
      </c>
      <c r="U15">
        <f t="shared" si="8"/>
        <v>0.50031115468999943</v>
      </c>
      <c r="V15" s="48">
        <f t="shared" si="9"/>
        <v>1.0006223093799989</v>
      </c>
      <c r="W15" s="48">
        <f t="shared" si="10"/>
        <v>1.8922792023606024E-4</v>
      </c>
      <c r="X15" s="19"/>
      <c r="Y15" t="s">
        <v>85</v>
      </c>
      <c r="Z15">
        <f>INDEX(LINEST(AC10:AC13,AB10:AB13),1)</f>
        <v>3.9630394627360346</v>
      </c>
      <c r="AA15" t="s">
        <v>86</v>
      </c>
      <c r="AE15">
        <v>12</v>
      </c>
      <c r="AF15">
        <v>1</v>
      </c>
      <c r="AU15" s="2"/>
      <c r="AV15" s="17"/>
      <c r="AW15" s="2"/>
    </row>
    <row r="16" spans="1:62" x14ac:dyDescent="0.2">
      <c r="A16">
        <f>ROW()</f>
        <v>16</v>
      </c>
      <c r="C16" s="18">
        <v>0.1006205583</v>
      </c>
      <c r="D16" s="18">
        <v>3.5027731999999998E-5</v>
      </c>
      <c r="E16" s="18">
        <v>-1.8628143E-5</v>
      </c>
      <c r="F16" s="18">
        <v>1.91575570467519E-8</v>
      </c>
      <c r="G16" s="18">
        <v>7.6874963414504596E-10</v>
      </c>
      <c r="H16" s="18">
        <v>1.18209835039219E-8</v>
      </c>
      <c r="I16" s="2">
        <v>20.36</v>
      </c>
      <c r="J16" s="17">
        <f t="shared" si="6"/>
        <v>100.62356684402506</v>
      </c>
      <c r="K16" s="2">
        <f t="shared" si="7"/>
        <v>1.0062356684402507</v>
      </c>
      <c r="L16">
        <v>2</v>
      </c>
      <c r="M16">
        <v>1</v>
      </c>
      <c r="N16">
        <v>1.0009680000000001</v>
      </c>
      <c r="O16" s="2">
        <f t="shared" si="0"/>
        <v>0.19999402020000001</v>
      </c>
      <c r="P16" s="2">
        <f t="shared" si="1"/>
        <v>0.1000646</v>
      </c>
      <c r="Q16">
        <v>1</v>
      </c>
      <c r="R16" s="52">
        <f t="shared" si="2"/>
        <v>3.477803993213258E-4</v>
      </c>
      <c r="S16" s="52">
        <f t="shared" si="3"/>
        <v>-1.849535394171327E-4</v>
      </c>
      <c r="T16" s="19">
        <f t="shared" si="4"/>
        <v>0.50048400000000004</v>
      </c>
      <c r="U16">
        <f t="shared" si="8"/>
        <v>0.50031000198772435</v>
      </c>
      <c r="V16" s="48">
        <f t="shared" si="9"/>
        <v>1.0006200039754487</v>
      </c>
      <c r="W16" s="48">
        <f t="shared" si="10"/>
        <v>1.851325744432885E-4</v>
      </c>
      <c r="X16" s="19"/>
      <c r="Z16" s="49" t="s">
        <v>90</v>
      </c>
      <c r="AA16" s="19">
        <f>AVERAGE(X10:X13)</f>
        <v>1.0007972767333173</v>
      </c>
      <c r="AE16">
        <v>13</v>
      </c>
      <c r="AF16">
        <v>1</v>
      </c>
      <c r="AU16" s="2"/>
      <c r="AV16" s="17"/>
      <c r="AW16" s="2"/>
      <c r="BG16" s="19"/>
      <c r="BH16" s="19"/>
    </row>
    <row r="17" spans="1:62" x14ac:dyDescent="0.2">
      <c r="A17">
        <f>ROW()</f>
        <v>17</v>
      </c>
      <c r="C17" s="18">
        <v>0.12062343184</v>
      </c>
      <c r="D17" s="18">
        <v>4.1649378000000001E-5</v>
      </c>
      <c r="E17" s="18">
        <v>-2.303749E-5</v>
      </c>
      <c r="F17" s="18">
        <v>4.5943655085789697E-8</v>
      </c>
      <c r="G17" s="18">
        <v>7.3315482675783396E-10</v>
      </c>
      <c r="H17" s="18">
        <v>5.7000000000023295E-10</v>
      </c>
      <c r="I17" s="2">
        <v>20.36</v>
      </c>
      <c r="J17" s="17">
        <f t="shared" si="6"/>
        <v>120.62703846782314</v>
      </c>
      <c r="K17" s="2">
        <f t="shared" si="7"/>
        <v>1.2062703846782314</v>
      </c>
      <c r="L17">
        <v>2</v>
      </c>
      <c r="M17">
        <v>1</v>
      </c>
      <c r="N17">
        <v>1.0009680000000001</v>
      </c>
      <c r="O17" s="2">
        <f t="shared" si="0"/>
        <v>0.19999402020000001</v>
      </c>
      <c r="P17" s="2">
        <f t="shared" si="1"/>
        <v>0.1000646</v>
      </c>
      <c r="Q17">
        <v>1</v>
      </c>
      <c r="R17" s="52">
        <f t="shared" si="2"/>
        <v>3.4495039443094061E-4</v>
      </c>
      <c r="S17" s="52">
        <f t="shared" si="3"/>
        <v>-1.9080215945118916E-4</v>
      </c>
      <c r="T17" s="19">
        <f t="shared" si="4"/>
        <v>0.50048400000000004</v>
      </c>
      <c r="U17">
        <f t="shared" si="8"/>
        <v>0.50031141737923679</v>
      </c>
      <c r="V17" s="48">
        <f t="shared" si="9"/>
        <v>1.0006228347584736</v>
      </c>
      <c r="W17" s="48">
        <f t="shared" si="10"/>
        <v>1.9098685594153792E-4</v>
      </c>
      <c r="X17" s="19"/>
      <c r="Z17" s="49" t="s">
        <v>89</v>
      </c>
      <c r="AA17" s="19">
        <f>AVERAGE(Y10:Y13)</f>
        <v>2.3329884646001238E-4</v>
      </c>
      <c r="AE17">
        <v>13</v>
      </c>
      <c r="AF17">
        <v>1</v>
      </c>
      <c r="AU17" s="2"/>
      <c r="AV17" s="17"/>
      <c r="AW17" s="2"/>
      <c r="BG17" s="19"/>
      <c r="BH17" s="19"/>
    </row>
    <row r="18" spans="1:62" x14ac:dyDescent="0.2">
      <c r="A18">
        <f>ROW()</f>
        <v>18</v>
      </c>
      <c r="D18" s="18"/>
      <c r="E18" s="18"/>
      <c r="F18" s="18"/>
      <c r="G18" s="18"/>
      <c r="H18" s="18"/>
      <c r="I18" s="2"/>
      <c r="J18" s="17"/>
      <c r="K18" s="2"/>
      <c r="O18" s="2"/>
      <c r="P18" s="2"/>
      <c r="R18" s="52"/>
      <c r="S18" s="52"/>
      <c r="T18" s="19"/>
      <c r="V18" s="48"/>
      <c r="W18" s="48"/>
      <c r="X18" s="19"/>
      <c r="Y18" s="19"/>
      <c r="AA18" s="19"/>
      <c r="AU18" s="2"/>
      <c r="AV18" s="17"/>
      <c r="AW18" s="2"/>
    </row>
    <row r="19" spans="1:62" x14ac:dyDescent="0.2">
      <c r="A19">
        <f>ROW()</f>
        <v>19</v>
      </c>
      <c r="B19" t="s">
        <v>52</v>
      </c>
      <c r="C19" s="18">
        <v>9.9676816293999999E-3</v>
      </c>
      <c r="D19" s="18">
        <v>1.88314714E-8</v>
      </c>
      <c r="E19" s="18">
        <v>2.3687946E-6</v>
      </c>
      <c r="F19" s="18">
        <v>6.1232068350216595E-8</v>
      </c>
      <c r="G19" s="18">
        <v>1.6155506001097299E-7</v>
      </c>
      <c r="H19" s="2">
        <v>1.4989100116030999E-7</v>
      </c>
      <c r="I19" s="2">
        <v>20.12</v>
      </c>
      <c r="J19" s="17">
        <f t="shared" si="6"/>
        <v>9.9679796620239145</v>
      </c>
      <c r="K19" s="2">
        <f>(C19/O19)*L19</f>
        <v>9.9679796620239139E-2</v>
      </c>
      <c r="L19">
        <v>2</v>
      </c>
      <c r="M19">
        <v>1</v>
      </c>
      <c r="N19">
        <v>1.0009680000000001</v>
      </c>
      <c r="O19" s="2">
        <f t="shared" ref="O19:O26" si="11">MSL0.2</f>
        <v>0.19999402020000001</v>
      </c>
      <c r="P19" s="2">
        <f t="shared" ref="P19:P26" si="12">Ti_969</f>
        <v>0.1000646</v>
      </c>
      <c r="Q19">
        <v>-1</v>
      </c>
      <c r="R19" s="52">
        <f t="shared" ref="R19:R26" si="13">Q19*D19/C19/N19</f>
        <v>-1.8874258692884783E-6</v>
      </c>
      <c r="S19" s="52">
        <f t="shared" ref="S19:S26" si="14">Q19*E19/C19/N19</f>
        <v>-2.3741767767923079E-4</v>
      </c>
      <c r="T19" s="19">
        <f t="shared" ref="T19:T26" si="15">N19*M19/L19</f>
        <v>0.50048400000000004</v>
      </c>
      <c r="U19">
        <f t="shared" ref="U19:U26" si="16">T19/(1+R19)</f>
        <v>0.50048494462823168</v>
      </c>
      <c r="V19" s="48">
        <f>U19*L19</f>
        <v>1.0009698892564634</v>
      </c>
      <c r="W19" s="48">
        <f t="shared" ref="W19:W26" si="17">-T19*S19*L19</f>
        <v>2.376474979912243E-4</v>
      </c>
      <c r="X19" s="19">
        <f>0.5*(V19+V23)</f>
        <v>1.0007930124024003</v>
      </c>
      <c r="Y19" s="19">
        <f t="shared" ref="X19:Y22" si="18">0.5*(W19+W23)</f>
        <v>1.8875702956161835E-4</v>
      </c>
      <c r="Z19" s="2">
        <f>0.2*(K19/L19)^2</f>
        <v>4.9680309271261187E-4</v>
      </c>
      <c r="AA19" s="10">
        <f>2.11*Z19</f>
        <v>1.048254525623611E-3</v>
      </c>
      <c r="AB19" s="2">
        <f>0.1*K19^2</f>
        <v>9.9360618542522375E-4</v>
      </c>
      <c r="AC19" s="10">
        <f>1000000*(X19-1.0007)+AA19</f>
        <v>93.013450654864329</v>
      </c>
      <c r="AE19">
        <v>10</v>
      </c>
      <c r="AF19">
        <v>1</v>
      </c>
      <c r="AU19" s="2"/>
      <c r="AV19" s="17"/>
      <c r="AW19" s="2"/>
      <c r="BE19" s="19"/>
      <c r="BF19" s="19"/>
      <c r="BG19" s="2"/>
      <c r="BH19" s="10"/>
      <c r="BI19" s="2"/>
      <c r="BJ19" s="10"/>
    </row>
    <row r="20" spans="1:62" x14ac:dyDescent="0.2">
      <c r="A20">
        <f>ROW()</f>
        <v>20</v>
      </c>
      <c r="C20" s="18">
        <v>4.0186820222E-2</v>
      </c>
      <c r="D20" s="18">
        <v>-2.3296686809999999E-7</v>
      </c>
      <c r="E20" s="18">
        <v>9.8497758999999995E-6</v>
      </c>
      <c r="F20" s="18">
        <v>4.1973610766932202E-8</v>
      </c>
      <c r="G20" s="18">
        <v>1.39419512673401E-7</v>
      </c>
      <c r="H20" s="2">
        <v>1.6107128440597299E-7</v>
      </c>
      <c r="I20" s="2">
        <v>20.12</v>
      </c>
      <c r="J20" s="17">
        <f t="shared" si="6"/>
        <v>40.188021803663901</v>
      </c>
      <c r="K20" s="2">
        <f t="shared" ref="K20:K26" si="19">(C20/O20)*L20</f>
        <v>0.40188021803663904</v>
      </c>
      <c r="L20">
        <v>2</v>
      </c>
      <c r="M20">
        <v>1</v>
      </c>
      <c r="N20">
        <v>1.0009680000000001</v>
      </c>
      <c r="O20" s="2">
        <f t="shared" si="11"/>
        <v>0.19999402020000001</v>
      </c>
      <c r="P20" s="2">
        <f t="shared" si="12"/>
        <v>0.1000646</v>
      </c>
      <c r="Q20">
        <v>-1</v>
      </c>
      <c r="R20" s="52">
        <f t="shared" si="13"/>
        <v>5.7914901694239364E-6</v>
      </c>
      <c r="S20" s="52">
        <f t="shared" si="14"/>
        <v>-2.4486263115917645E-4</v>
      </c>
      <c r="T20" s="19">
        <f t="shared" si="15"/>
        <v>0.50048400000000004</v>
      </c>
      <c r="U20">
        <f t="shared" si="16"/>
        <v>0.5004811014686209</v>
      </c>
      <c r="V20" s="48">
        <f t="shared" ref="V20:V26" si="20">U20*L20</f>
        <v>1.0009622029372418</v>
      </c>
      <c r="W20" s="48">
        <f t="shared" si="17"/>
        <v>2.4509965818613855E-4</v>
      </c>
      <c r="X20" s="19">
        <f t="shared" si="18"/>
        <v>1.0007897523192431</v>
      </c>
      <c r="Y20" s="19">
        <f t="shared" si="18"/>
        <v>1.9244403925228014E-4</v>
      </c>
      <c r="Z20" s="2">
        <f>0.2*(K20/L20)^2</f>
        <v>8.0753854824588273E-3</v>
      </c>
      <c r="AA20" s="10">
        <f>2.11*Z20</f>
        <v>1.7039063367988126E-2</v>
      </c>
      <c r="AB20" s="2">
        <f>0.1*K20^2</f>
        <v>1.6150770964917655E-2</v>
      </c>
      <c r="AC20" s="10">
        <f>1000000*(X20-1.0007)+AA20</f>
        <v>89.769358306498418</v>
      </c>
      <c r="AE20">
        <v>12</v>
      </c>
      <c r="AF20">
        <v>1</v>
      </c>
      <c r="AU20" s="2"/>
      <c r="AV20" s="17"/>
      <c r="AW20" s="2"/>
      <c r="BE20" s="19"/>
      <c r="BF20" s="19"/>
      <c r="BG20" s="2"/>
      <c r="BH20" s="10"/>
      <c r="BI20" s="2"/>
      <c r="BJ20" s="10"/>
    </row>
    <row r="21" spans="1:62" x14ac:dyDescent="0.2">
      <c r="A21">
        <f>ROW()</f>
        <v>21</v>
      </c>
      <c r="C21" s="18">
        <v>0.10078691918</v>
      </c>
      <c r="D21" s="18">
        <v>-6.5993899199999996E-8</v>
      </c>
      <c r="E21" s="18">
        <v>2.4602752999999999E-5</v>
      </c>
      <c r="F21" s="18">
        <v>2.8860014950806699E-8</v>
      </c>
      <c r="G21" s="18">
        <v>1.11261043121302E-7</v>
      </c>
      <c r="H21" s="2">
        <v>5.66059033228866E-8</v>
      </c>
      <c r="I21" s="2">
        <v>20.12</v>
      </c>
      <c r="J21" s="17">
        <f t="shared" si="6"/>
        <v>100.78993269819773</v>
      </c>
      <c r="K21" s="2">
        <f t="shared" si="19"/>
        <v>1.0078993269819774</v>
      </c>
      <c r="L21">
        <v>2</v>
      </c>
      <c r="M21">
        <v>1</v>
      </c>
      <c r="N21">
        <v>1.0009680000000001</v>
      </c>
      <c r="O21" s="2">
        <f t="shared" si="11"/>
        <v>0.19999402020000001</v>
      </c>
      <c r="P21" s="2">
        <f t="shared" si="12"/>
        <v>0.1000646</v>
      </c>
      <c r="Q21">
        <v>-1</v>
      </c>
      <c r="R21" s="52">
        <f t="shared" si="13"/>
        <v>6.5415313237120642E-7</v>
      </c>
      <c r="S21" s="52">
        <f t="shared" si="14"/>
        <v>-2.4387054159553427E-4</v>
      </c>
      <c r="T21" s="19">
        <f t="shared" si="15"/>
        <v>0.50048400000000004</v>
      </c>
      <c r="U21">
        <f t="shared" si="16"/>
        <v>0.50048367260703797</v>
      </c>
      <c r="V21" s="48">
        <f t="shared" si="20"/>
        <v>1.0009673452140759</v>
      </c>
      <c r="W21" s="48">
        <f t="shared" si="17"/>
        <v>2.4410660827979877E-4</v>
      </c>
      <c r="X21" s="19">
        <f t="shared" si="18"/>
        <v>1.0007920829398158</v>
      </c>
      <c r="Y21" s="19">
        <f t="shared" si="18"/>
        <v>1.9357140818803781E-4</v>
      </c>
      <c r="Z21" s="2">
        <f>0.2*(K21/L21)^2</f>
        <v>5.0793052666536144E-2</v>
      </c>
      <c r="AA21" s="10">
        <f>2.11*Z21</f>
        <v>0.10717334112639126</v>
      </c>
      <c r="AB21" s="2">
        <f>0.1*K21^2</f>
        <v>0.10158610533307229</v>
      </c>
      <c r="AC21" s="10">
        <f>1000000*(X21-1.0007)+AA21</f>
        <v>92.19011315701151</v>
      </c>
      <c r="AE21">
        <v>13</v>
      </c>
      <c r="AF21">
        <v>1</v>
      </c>
      <c r="AU21" s="2"/>
      <c r="AV21" s="17"/>
      <c r="AW21" s="2"/>
      <c r="BE21" s="19"/>
      <c r="BF21" s="19"/>
      <c r="BG21" s="2"/>
      <c r="BH21" s="10"/>
      <c r="BI21" s="2"/>
      <c r="BJ21" s="10"/>
    </row>
    <row r="22" spans="1:62" x14ac:dyDescent="0.2">
      <c r="A22">
        <f>ROW()</f>
        <v>22</v>
      </c>
      <c r="C22" s="18">
        <v>0.12080183738</v>
      </c>
      <c r="D22" s="18">
        <v>-4.7814358999999999E-8</v>
      </c>
      <c r="E22" s="18">
        <v>2.9320669000000001E-5</v>
      </c>
      <c r="F22" s="18">
        <v>2.6098790473120801E-8</v>
      </c>
      <c r="G22" s="18">
        <v>8.6190905711610703E-8</v>
      </c>
      <c r="H22" s="2">
        <v>2.0171029904047999E-7</v>
      </c>
      <c r="I22" s="2">
        <v>20.12</v>
      </c>
      <c r="J22" s="17">
        <f t="shared" si="6"/>
        <v>120.80544934212986</v>
      </c>
      <c r="K22" s="2">
        <f t="shared" si="19"/>
        <v>1.2080544934212987</v>
      </c>
      <c r="L22">
        <v>2</v>
      </c>
      <c r="M22">
        <v>1</v>
      </c>
      <c r="N22">
        <v>1.0009680000000001</v>
      </c>
      <c r="O22" s="2">
        <f t="shared" si="11"/>
        <v>0.19999402020000001</v>
      </c>
      <c r="P22" s="2">
        <f t="shared" si="12"/>
        <v>0.1000646</v>
      </c>
      <c r="Q22">
        <v>-1</v>
      </c>
      <c r="R22" s="52">
        <f t="shared" si="13"/>
        <v>3.9542543802625041E-7</v>
      </c>
      <c r="S22" s="52">
        <f t="shared" si="14"/>
        <v>-2.4248235519684999E-4</v>
      </c>
      <c r="T22" s="19">
        <f t="shared" si="15"/>
        <v>0.50048400000000004</v>
      </c>
      <c r="U22">
        <f t="shared" si="16"/>
        <v>0.50048380209597343</v>
      </c>
      <c r="V22" s="48">
        <f t="shared" si="20"/>
        <v>1.0009676041919469</v>
      </c>
      <c r="W22" s="48">
        <f t="shared" si="17"/>
        <v>2.4271707811668056E-4</v>
      </c>
      <c r="X22" s="19">
        <f t="shared" si="18"/>
        <v>1.0007916983001803</v>
      </c>
      <c r="Y22" s="19">
        <f t="shared" si="18"/>
        <v>1.9129354104430158E-4</v>
      </c>
      <c r="Z22" s="2">
        <f>0.2*(K22/L22)^2</f>
        <v>7.2969782953769532E-2</v>
      </c>
      <c r="AA22" s="10">
        <f>2.11*Z22</f>
        <v>0.15396624203245371</v>
      </c>
      <c r="AB22" s="2">
        <f>0.1*K22^2</f>
        <v>0.14593956590753906</v>
      </c>
      <c r="AC22" s="10">
        <f>1000000*(X22-1.0007)+AA22</f>
        <v>91.852266422441929</v>
      </c>
      <c r="AE22">
        <v>13</v>
      </c>
      <c r="AF22">
        <v>1</v>
      </c>
      <c r="AU22" s="2"/>
      <c r="AV22" s="17"/>
      <c r="AW22" s="2"/>
      <c r="BE22" s="19"/>
      <c r="BF22" s="19"/>
      <c r="BG22" s="2"/>
      <c r="BH22" s="10"/>
      <c r="BI22" s="2"/>
      <c r="BJ22" s="10"/>
    </row>
    <row r="23" spans="1:62" x14ac:dyDescent="0.2">
      <c r="A23">
        <f>ROW()</f>
        <v>23</v>
      </c>
      <c r="B23" t="s">
        <v>83</v>
      </c>
      <c r="C23" s="18">
        <v>1.0016620045999999E-2</v>
      </c>
      <c r="D23" s="18">
        <v>3.5257319000000001E-6</v>
      </c>
      <c r="E23" s="18">
        <v>-1.4009902E-6</v>
      </c>
      <c r="F23" s="18">
        <v>4.6100079423951602E-8</v>
      </c>
      <c r="G23" s="18">
        <v>2.15671314131017E-8</v>
      </c>
      <c r="H23" s="2">
        <v>1.1981853360811901E-8</v>
      </c>
      <c r="I23" s="2">
        <v>20.12</v>
      </c>
      <c r="J23" s="17">
        <f t="shared" si="6"/>
        <v>10.016919541877382</v>
      </c>
      <c r="K23" s="2">
        <f t="shared" si="19"/>
        <v>0.10016919541877381</v>
      </c>
      <c r="L23">
        <v>2</v>
      </c>
      <c r="M23">
        <v>1</v>
      </c>
      <c r="N23">
        <v>1.0009680000000001</v>
      </c>
      <c r="O23" s="2">
        <f t="shared" si="11"/>
        <v>0.19999402020000001</v>
      </c>
      <c r="P23" s="2">
        <f t="shared" si="12"/>
        <v>0.1000646</v>
      </c>
      <c r="Q23">
        <v>1</v>
      </c>
      <c r="R23" s="52">
        <f t="shared" si="13"/>
        <v>3.5164778895930215E-4</v>
      </c>
      <c r="S23" s="52">
        <f t="shared" si="14"/>
        <v>-1.3973130123241944E-4</v>
      </c>
      <c r="T23" s="19">
        <f t="shared" si="15"/>
        <v>0.50048400000000004</v>
      </c>
      <c r="U23">
        <f t="shared" si="16"/>
        <v>0.5003080677741687</v>
      </c>
      <c r="V23" s="48">
        <f t="shared" si="20"/>
        <v>1.0006161355483374</v>
      </c>
      <c r="W23" s="48">
        <f t="shared" si="17"/>
        <v>1.3986656113201243E-4</v>
      </c>
      <c r="X23" s="19"/>
      <c r="Y23" t="s">
        <v>84</v>
      </c>
      <c r="Z23">
        <f>INDEX(LINEST(AC19:AC22,AB19:AB22),2)</f>
        <v>91.519928400543307</v>
      </c>
      <c r="AE23">
        <v>10</v>
      </c>
      <c r="AF23" s="10">
        <v>1</v>
      </c>
      <c r="AU23" s="2"/>
      <c r="AV23" s="17"/>
      <c r="AW23" s="2"/>
      <c r="BE23" s="19"/>
    </row>
    <row r="24" spans="1:62" x14ac:dyDescent="0.2">
      <c r="A24">
        <f>ROW()</f>
        <v>24</v>
      </c>
      <c r="C24" s="18">
        <v>4.0344806724000003E-2</v>
      </c>
      <c r="D24" s="18">
        <v>1.4153814E-5</v>
      </c>
      <c r="E24" s="18">
        <v>-5.6397368000000001E-6</v>
      </c>
      <c r="F24" s="18">
        <v>2.96942481391707E-8</v>
      </c>
      <c r="G24" s="18">
        <v>4.48557688596871E-10</v>
      </c>
      <c r="H24" s="2">
        <v>3.6269211402510503E-8</v>
      </c>
      <c r="I24" s="2">
        <v>20.13</v>
      </c>
      <c r="J24" s="17">
        <f t="shared" si="6"/>
        <v>40.346013029443569</v>
      </c>
      <c r="K24" s="2">
        <f t="shared" si="19"/>
        <v>0.40346013029443567</v>
      </c>
      <c r="L24">
        <v>2</v>
      </c>
      <c r="M24">
        <v>1</v>
      </c>
      <c r="N24">
        <v>1.0009680000000001</v>
      </c>
      <c r="O24" s="2">
        <f t="shared" si="11"/>
        <v>0.19999402020000001</v>
      </c>
      <c r="P24" s="2">
        <f t="shared" si="12"/>
        <v>0.1000646</v>
      </c>
      <c r="Q24">
        <v>1</v>
      </c>
      <c r="R24" s="52">
        <f t="shared" si="13"/>
        <v>3.5048194565458636E-4</v>
      </c>
      <c r="S24" s="52">
        <f t="shared" si="14"/>
        <v>-1.3965323598598729E-4</v>
      </c>
      <c r="T24" s="19">
        <f t="shared" si="15"/>
        <v>0.50048400000000004</v>
      </c>
      <c r="U24">
        <f t="shared" si="16"/>
        <v>0.50030865085062215</v>
      </c>
      <c r="V24" s="48">
        <f t="shared" si="20"/>
        <v>1.0006173017012443</v>
      </c>
      <c r="W24" s="48">
        <f t="shared" si="17"/>
        <v>1.3978842031842173E-4</v>
      </c>
      <c r="X24" s="19"/>
      <c r="Y24" t="s">
        <v>85</v>
      </c>
      <c r="Z24">
        <f>INDEX(LINEST(AC19:AC22,AB19:AB22),1)</f>
        <v>2.8166199506706149</v>
      </c>
      <c r="AA24" t="s">
        <v>86</v>
      </c>
      <c r="AE24">
        <v>12</v>
      </c>
      <c r="AF24" s="10">
        <v>1</v>
      </c>
      <c r="AU24" s="2"/>
      <c r="AV24" s="17"/>
      <c r="AW24" s="2"/>
      <c r="BE24" s="19"/>
    </row>
    <row r="25" spans="1:62" x14ac:dyDescent="0.2">
      <c r="A25">
        <f>ROW()</f>
        <v>25</v>
      </c>
      <c r="C25" s="18">
        <v>0.10041388954</v>
      </c>
      <c r="D25" s="18">
        <v>3.5275659E-5</v>
      </c>
      <c r="E25" s="18">
        <v>-1.4362821999999999E-5</v>
      </c>
      <c r="F25" s="18">
        <v>3.1863780721061998E-8</v>
      </c>
      <c r="G25" s="18">
        <v>1.8883259946047499E-7</v>
      </c>
      <c r="H25" s="2">
        <v>1.43135011789568E-8</v>
      </c>
      <c r="I25" s="2">
        <v>20.14</v>
      </c>
      <c r="J25" s="17">
        <f t="shared" si="6"/>
        <v>100.41689190465104</v>
      </c>
      <c r="K25" s="2">
        <f t="shared" si="19"/>
        <v>1.0041689190465104</v>
      </c>
      <c r="L25">
        <v>2</v>
      </c>
      <c r="M25">
        <v>1</v>
      </c>
      <c r="N25">
        <v>1.0009680000000001</v>
      </c>
      <c r="O25" s="2">
        <f t="shared" si="11"/>
        <v>0.19999402020000001</v>
      </c>
      <c r="P25" s="2">
        <f t="shared" si="12"/>
        <v>0.1000646</v>
      </c>
      <c r="Q25">
        <v>1</v>
      </c>
      <c r="R25" s="52">
        <f t="shared" si="13"/>
        <v>3.5096285330350757E-4</v>
      </c>
      <c r="S25" s="52">
        <f t="shared" si="14"/>
        <v>-1.4289788294558553E-4</v>
      </c>
      <c r="T25" s="19">
        <f t="shared" si="15"/>
        <v>0.50048400000000004</v>
      </c>
      <c r="U25">
        <f t="shared" si="16"/>
        <v>0.50030841033277784</v>
      </c>
      <c r="V25" s="48">
        <f t="shared" si="20"/>
        <v>1.0006168206655557</v>
      </c>
      <c r="W25" s="48">
        <f t="shared" si="17"/>
        <v>1.4303620809627687E-4</v>
      </c>
      <c r="X25" s="19"/>
      <c r="Z25" s="49" t="s">
        <v>91</v>
      </c>
      <c r="AA25" s="19">
        <f>AVERAGE(X19:X22)</f>
        <v>1.0007916364904097</v>
      </c>
      <c r="AE25">
        <v>13</v>
      </c>
      <c r="AF25" s="10">
        <v>1</v>
      </c>
      <c r="AU25" s="2"/>
      <c r="AV25" s="17"/>
      <c r="AW25" s="43" t="s">
        <v>247</v>
      </c>
      <c r="BE25" s="19"/>
      <c r="BG25" s="19"/>
      <c r="BH25" s="19"/>
    </row>
    <row r="26" spans="1:62" x14ac:dyDescent="0.2">
      <c r="A26">
        <f>ROW()</f>
        <v>26</v>
      </c>
      <c r="C26" s="18">
        <v>0.12062913792</v>
      </c>
      <c r="D26" s="18">
        <v>4.2501452999999998E-5</v>
      </c>
      <c r="E26" s="18">
        <v>-1.6872397999999999E-5</v>
      </c>
      <c r="F26" s="18">
        <v>1.16890186140727E-8</v>
      </c>
      <c r="G26" s="18">
        <v>5.44971457142477E-8</v>
      </c>
      <c r="H26" s="2">
        <v>2.0717881069259699E-8</v>
      </c>
      <c r="I26" s="2">
        <v>20.149999999999999</v>
      </c>
      <c r="J26" s="17">
        <f t="shared" si="6"/>
        <v>120.63274471843432</v>
      </c>
      <c r="K26" s="2">
        <f t="shared" si="19"/>
        <v>1.2063274471843433</v>
      </c>
      <c r="L26">
        <v>2</v>
      </c>
      <c r="M26">
        <v>1</v>
      </c>
      <c r="N26">
        <v>1.0009680000000001</v>
      </c>
      <c r="O26" s="2">
        <f t="shared" si="11"/>
        <v>0.19999402020000001</v>
      </c>
      <c r="P26" s="2">
        <f t="shared" si="12"/>
        <v>0.1000646</v>
      </c>
      <c r="Q26">
        <v>1</v>
      </c>
      <c r="R26" s="52">
        <f t="shared" si="13"/>
        <v>3.5199083829997647E-4</v>
      </c>
      <c r="S26" s="52">
        <f t="shared" si="14"/>
        <v>-1.3973474074288348E-4</v>
      </c>
      <c r="T26" s="19">
        <f t="shared" si="15"/>
        <v>0.50048400000000004</v>
      </c>
      <c r="U26">
        <f t="shared" si="16"/>
        <v>0.50030789620420701</v>
      </c>
      <c r="V26" s="48">
        <f t="shared" si="20"/>
        <v>1.000615792408414</v>
      </c>
      <c r="W26" s="48">
        <f t="shared" si="17"/>
        <v>1.3987000397192259E-4</v>
      </c>
      <c r="X26" s="19"/>
      <c r="Y26" s="19"/>
      <c r="Z26" s="49" t="s">
        <v>92</v>
      </c>
      <c r="AA26" s="19">
        <f>AVERAGE(Y19:Y22)</f>
        <v>1.9151650451155946E-4</v>
      </c>
      <c r="AE26">
        <v>13</v>
      </c>
      <c r="AF26" s="10">
        <v>1</v>
      </c>
      <c r="AM26" s="43" t="s">
        <v>194</v>
      </c>
      <c r="AN26">
        <v>5.0256563089999999E-3</v>
      </c>
      <c r="AO26" s="18">
        <v>6.3024098009999999E-8</v>
      </c>
      <c r="AP26" s="18">
        <v>1.5370547000000001E-6</v>
      </c>
      <c r="AQ26" s="18">
        <v>4.2348236593776401E-8</v>
      </c>
      <c r="AR26" s="18">
        <v>7.6271445232710796E-8</v>
      </c>
      <c r="AS26" s="18">
        <v>6.5269417087254602E-8</v>
      </c>
      <c r="AT26">
        <v>9</v>
      </c>
      <c r="AU26">
        <v>1</v>
      </c>
      <c r="AV26" s="17"/>
      <c r="AW26">
        <f>VLOOKUP(AT26,Constants!$B$15:$L$33,2,FALSE)</f>
        <v>0.99371490585295241</v>
      </c>
      <c r="AX26">
        <f>VLOOKUP(AT26,Constants!$B$15:$L$33,3,FALSE)</f>
        <v>1.4986286639243325E-2</v>
      </c>
      <c r="AZ26" s="18"/>
      <c r="BE26" s="19"/>
      <c r="BF26" s="19"/>
      <c r="BG26" s="19"/>
      <c r="BH26" s="19"/>
    </row>
    <row r="27" spans="1:62" x14ac:dyDescent="0.2">
      <c r="A27">
        <f>ROW()</f>
        <v>27</v>
      </c>
      <c r="C27" s="6"/>
      <c r="D27" s="18"/>
      <c r="E27" s="18"/>
      <c r="F27" s="18"/>
      <c r="G27" s="18"/>
      <c r="H27" s="18"/>
      <c r="R27" s="52"/>
      <c r="S27" s="52"/>
      <c r="T27" s="19"/>
      <c r="V27" s="48"/>
      <c r="W27" s="19"/>
      <c r="X27" s="19"/>
      <c r="AM27" s="43" t="s">
        <v>194</v>
      </c>
      <c r="AN27">
        <v>1.006405011E-2</v>
      </c>
      <c r="AO27" s="18">
        <v>-2.0323885969999999E-8</v>
      </c>
      <c r="AP27" s="18">
        <v>2.9737229000000001E-6</v>
      </c>
      <c r="AQ27" s="18">
        <v>5.6174253702209102E-8</v>
      </c>
      <c r="AR27" s="18">
        <v>6.4796023531420395E-8</v>
      </c>
      <c r="AS27" s="18">
        <v>8.8563438520588101E-8</v>
      </c>
      <c r="AT27">
        <v>10</v>
      </c>
      <c r="AU27">
        <v>1</v>
      </c>
      <c r="AW27">
        <f>VLOOKUP(AT27,Constants!$B$15:$L$33,2,FALSE)</f>
        <v>0.99248924126722049</v>
      </c>
      <c r="AX27">
        <f>VLOOKUP(AT27,Constants!$B$15:$L$33,3,FALSE)</f>
        <v>-2.7303958893031477E-4</v>
      </c>
      <c r="AZ27" s="18"/>
    </row>
    <row r="28" spans="1:62" x14ac:dyDescent="0.2">
      <c r="A28">
        <f>ROW()</f>
        <v>28</v>
      </c>
      <c r="C28" s="6"/>
      <c r="D28" s="18"/>
      <c r="E28" s="18"/>
      <c r="F28" s="18"/>
      <c r="G28" s="18"/>
      <c r="H28" s="18"/>
      <c r="R28" s="52"/>
      <c r="S28" s="52"/>
      <c r="T28" s="19"/>
      <c r="V28" s="48"/>
      <c r="W28" s="19"/>
      <c r="X28" s="60"/>
      <c r="Y28" s="62" t="s">
        <v>95</v>
      </c>
      <c r="Z28" s="63">
        <f>(Z24+Z15)/2</f>
        <v>3.389829706703325</v>
      </c>
      <c r="AA28" s="59" t="s">
        <v>86</v>
      </c>
      <c r="AM28" s="43" t="s">
        <v>194</v>
      </c>
      <c r="AN28">
        <v>2.0106566916000001E-2</v>
      </c>
      <c r="AO28" s="18">
        <v>1.6763906E-9</v>
      </c>
      <c r="AP28" s="18">
        <v>5.8892843999999998E-6</v>
      </c>
      <c r="AQ28" s="18">
        <v>9.0545820972773701E-7</v>
      </c>
      <c r="AR28" s="18">
        <v>2.1727896613385799E-8</v>
      </c>
      <c r="AS28" s="18">
        <v>5.2448083155059199E-8</v>
      </c>
      <c r="AT28">
        <v>11</v>
      </c>
      <c r="AU28">
        <v>1</v>
      </c>
      <c r="AW28">
        <f>VLOOKUP(AT28,Constants!$B$15:$L$33,2,FALSE)</f>
        <v>1.0014538869894722</v>
      </c>
      <c r="AX28">
        <f>VLOOKUP(AT28,Constants!$B$15:$L$33,3,FALSE)</f>
        <v>-1.6494401832275451E-4</v>
      </c>
      <c r="AZ28" s="18"/>
    </row>
    <row r="29" spans="1:62" x14ac:dyDescent="0.2">
      <c r="A29">
        <f>ROW()</f>
        <v>29</v>
      </c>
      <c r="B29" s="45"/>
      <c r="D29" s="18"/>
      <c r="E29" s="18"/>
      <c r="F29" s="18"/>
      <c r="G29" s="18"/>
      <c r="H29" s="18"/>
      <c r="R29" s="52"/>
      <c r="S29" s="52"/>
      <c r="T29" s="19"/>
      <c r="V29" s="48"/>
      <c r="W29" s="19"/>
      <c r="X29" s="19"/>
      <c r="Y29" s="19"/>
      <c r="AB29" t="s">
        <v>64</v>
      </c>
      <c r="AM29" s="43" t="s">
        <v>194</v>
      </c>
      <c r="AN29">
        <v>4.0114081943999999E-2</v>
      </c>
      <c r="AO29" s="18">
        <v>8.5812541199999902E-8</v>
      </c>
      <c r="AP29" s="18">
        <v>1.1742044000000001E-5</v>
      </c>
      <c r="AQ29" s="18">
        <v>5.4057087127007599E-7</v>
      </c>
      <c r="AR29" s="18">
        <v>1.3088564307943401E-7</v>
      </c>
      <c r="AS29" s="18">
        <v>6.1333537840238803E-8</v>
      </c>
      <c r="AT29">
        <v>12</v>
      </c>
      <c r="AU29">
        <v>1</v>
      </c>
      <c r="AW29">
        <f>VLOOKUP(AT29,Constants!$B$15:$L$33,2,FALSE)</f>
        <v>1.0033014728677232</v>
      </c>
      <c r="AX29">
        <f>VLOOKUP(AT29,Constants!$B$15:$L$33,3,FALSE)</f>
        <v>-1.1639650509139207E-4</v>
      </c>
      <c r="AZ29" s="18"/>
    </row>
    <row r="30" spans="1:62" x14ac:dyDescent="0.2">
      <c r="A30">
        <f>ROW()</f>
        <v>30</v>
      </c>
      <c r="C30" s="5" t="str">
        <f>B34&amp;" range, "&amp;B36&amp;", vs shunts and 100 AT on "&amp;B38&amp;" range."</f>
        <v>30/1 range, l - 1200At(5A), vs shunts and 100 AT on 50/1 range.</v>
      </c>
      <c r="D30" s="18"/>
      <c r="E30" s="18"/>
      <c r="F30" s="18"/>
      <c r="G30" s="18"/>
      <c r="H30" s="18"/>
      <c r="L30" t="s">
        <v>23</v>
      </c>
      <c r="N30" t="s">
        <v>24</v>
      </c>
      <c r="O30" t="s">
        <v>25</v>
      </c>
      <c r="Q30" t="s">
        <v>26</v>
      </c>
      <c r="R30" s="50" t="s">
        <v>27</v>
      </c>
      <c r="S30" s="50" t="s">
        <v>27</v>
      </c>
      <c r="T30" s="19"/>
      <c r="V30" s="48"/>
      <c r="W30" s="19"/>
      <c r="X30" s="19"/>
      <c r="Y30" s="19"/>
      <c r="Z30" t="s">
        <v>63</v>
      </c>
      <c r="AA30" t="s">
        <v>63</v>
      </c>
      <c r="AB30" t="s">
        <v>65</v>
      </c>
      <c r="AM30" s="43" t="s">
        <v>194</v>
      </c>
      <c r="AN30">
        <v>6.0451538954000003E-2</v>
      </c>
      <c r="AO30" s="18">
        <v>6.0195435000000002E-7</v>
      </c>
      <c r="AP30" s="18">
        <v>1.7292261E-5</v>
      </c>
      <c r="AQ30" s="18">
        <v>6.4803383791172499E-7</v>
      </c>
      <c r="AR30" s="18">
        <v>1.0728771224407499E-7</v>
      </c>
      <c r="AS30" s="18">
        <v>5.0839663443024601E-8</v>
      </c>
      <c r="AT30">
        <v>12</v>
      </c>
      <c r="AU30">
        <v>1</v>
      </c>
      <c r="AW30">
        <f>VLOOKUP(AT30,Constants!$B$15:$L$33,2,FALSE)</f>
        <v>1.0033014728677232</v>
      </c>
      <c r="AX30">
        <f>VLOOKUP(AT30,Constants!$B$15:$L$33,3,FALSE)</f>
        <v>-1.1639650509139207E-4</v>
      </c>
      <c r="AZ30" s="18"/>
    </row>
    <row r="31" spans="1:62" x14ac:dyDescent="0.2">
      <c r="A31">
        <f>ROW()</f>
        <v>31</v>
      </c>
      <c r="B31" s="4">
        <v>43375</v>
      </c>
      <c r="C31" s="172" t="s">
        <v>206</v>
      </c>
      <c r="I31" t="s">
        <v>77</v>
      </c>
      <c r="J31" t="s">
        <v>37</v>
      </c>
      <c r="K31" t="s">
        <v>38</v>
      </c>
      <c r="L31" t="s">
        <v>39</v>
      </c>
      <c r="M31" t="s">
        <v>40</v>
      </c>
      <c r="N31" t="s">
        <v>41</v>
      </c>
      <c r="O31" t="s">
        <v>42</v>
      </c>
      <c r="P31" t="s">
        <v>43</v>
      </c>
      <c r="Q31" t="s">
        <v>44</v>
      </c>
      <c r="R31" s="50" t="s">
        <v>45</v>
      </c>
      <c r="S31" s="50" t="s">
        <v>46</v>
      </c>
      <c r="V31" s="47"/>
      <c r="X31" t="s">
        <v>6</v>
      </c>
      <c r="Y31" t="s">
        <v>7</v>
      </c>
      <c r="Z31" t="s">
        <v>61</v>
      </c>
      <c r="AA31" t="s">
        <v>62</v>
      </c>
      <c r="AB31" t="s">
        <v>6</v>
      </c>
      <c r="AC31" t="s">
        <v>7</v>
      </c>
      <c r="AM31" s="43" t="s">
        <v>194</v>
      </c>
      <c r="AN31">
        <v>0.1003972553</v>
      </c>
      <c r="AO31" s="18">
        <v>1.1696546000000001E-6</v>
      </c>
      <c r="AP31" s="18">
        <v>2.7576608000000001E-5</v>
      </c>
      <c r="AQ31" s="18">
        <v>8.7236157492163096E-8</v>
      </c>
      <c r="AR31" s="18">
        <v>1.4215489872966001E-7</v>
      </c>
      <c r="AS31" s="18">
        <v>1.43031587895821E-7</v>
      </c>
      <c r="AT31">
        <v>13</v>
      </c>
      <c r="AU31">
        <v>1</v>
      </c>
      <c r="AW31">
        <f>VLOOKUP(AT31,Constants!$B$15:$L$33,2,FALSE)</f>
        <v>1.000409916282643</v>
      </c>
      <c r="AX31">
        <f>VLOOKUP(AT31,Constants!$B$15:$L$33,3,FALSE)</f>
        <v>-7.0507061346368138E-5</v>
      </c>
      <c r="AZ31" s="18"/>
    </row>
    <row r="32" spans="1:62" x14ac:dyDescent="0.2">
      <c r="A32">
        <f>ROW()</f>
        <v>32</v>
      </c>
      <c r="B32" t="s">
        <v>51</v>
      </c>
      <c r="C32" s="171">
        <f t="shared" ref="C32:C38" si="21">AN26</f>
        <v>5.0256563089999999E-3</v>
      </c>
      <c r="D32" s="171">
        <f t="shared" ref="D32:H32" si="22">AO26</f>
        <v>6.3024098009999999E-8</v>
      </c>
      <c r="E32" s="171">
        <f t="shared" si="22"/>
        <v>1.5370547000000001E-6</v>
      </c>
      <c r="F32" s="171">
        <f t="shared" si="22"/>
        <v>4.2348236593776401E-8</v>
      </c>
      <c r="G32" s="171">
        <f t="shared" si="22"/>
        <v>7.6271445232710796E-8</v>
      </c>
      <c r="H32" s="171">
        <f t="shared" si="22"/>
        <v>6.5269417087254602E-8</v>
      </c>
      <c r="I32" s="2">
        <v>20.37</v>
      </c>
      <c r="J32" s="17">
        <f>100*C32/0.1</f>
        <v>5.0256563089999995</v>
      </c>
      <c r="K32" s="2">
        <f t="shared" ref="K32:K38" si="23">C32/P32</f>
        <v>5.0224118309572012E-2</v>
      </c>
      <c r="L32">
        <v>50</v>
      </c>
      <c r="M32">
        <v>30</v>
      </c>
      <c r="N32">
        <v>0.83416999999999997</v>
      </c>
      <c r="O32" s="2">
        <f t="shared" ref="O32:O38" si="24">MSL0.2</f>
        <v>0.19999402020000001</v>
      </c>
      <c r="P32" s="2">
        <f t="shared" ref="P32:P38" si="25">Ti_969</f>
        <v>0.1000646</v>
      </c>
      <c r="Q32">
        <v>-1</v>
      </c>
      <c r="R32" s="52">
        <f>Q32*D32/C32/N32</f>
        <v>-1.5033471787975632E-5</v>
      </c>
      <c r="S32" s="52">
        <f t="shared" ref="S32:S38" si="26">Q32*E32/C32/N32</f>
        <v>-3.6664179573595696E-4</v>
      </c>
      <c r="T32" s="19">
        <f>M32*N32*O32/(P32*U32*L32)</f>
        <v>0.99953095640859579</v>
      </c>
      <c r="U32" s="19">
        <f t="shared" ref="U32:U38" si="27">$AA$16</f>
        <v>1.0007972767333173</v>
      </c>
      <c r="V32" s="48">
        <f>AA$17</f>
        <v>2.3329884646001238E-4</v>
      </c>
      <c r="W32" s="19">
        <f t="shared" ref="W32:W38" si="28">R32+T32</f>
        <v>0.9995159229368078</v>
      </c>
      <c r="X32" s="184">
        <f>1000*(W32-1)</f>
        <v>-0.4840770631922009</v>
      </c>
      <c r="Y32" s="184">
        <f t="shared" ref="Y32:Y38" si="29">1000*(S32-V32)</f>
        <v>-0.59994064219596932</v>
      </c>
      <c r="Z32" s="51">
        <f t="shared" ref="Z32:Z38" si="30">((C32*N32)^2/P32-$AB$10)*$Z$28*0.001</f>
        <v>-2.8759708766707958E-6</v>
      </c>
      <c r="AA32" s="51">
        <f>(C32^2/O32-$Z$10)*$AB$5*0.001</f>
        <v>-8.1389887516219654E-7</v>
      </c>
      <c r="AB32" s="2">
        <f t="shared" ref="AB32:AB38" si="31">0.5*(X32+X40)+AA32-Z32</f>
        <v>-0.4603108796671479</v>
      </c>
      <c r="AC32" s="2">
        <f t="shared" ref="AC32:AC38" si="32">0.5*(Y32+Y40)</f>
        <v>-0.55549000854173736</v>
      </c>
      <c r="AM32" s="43" t="s">
        <v>194</v>
      </c>
      <c r="AN32">
        <v>0.12091595442</v>
      </c>
      <c r="AO32" s="18">
        <v>2.2053828999999999E-6</v>
      </c>
      <c r="AP32" s="18">
        <v>3.2973248999999999E-5</v>
      </c>
      <c r="AQ32" s="18">
        <v>2.8821990769647401E-7</v>
      </c>
      <c r="AR32" s="18">
        <v>3.6396346780962301E-9</v>
      </c>
      <c r="AS32" s="18">
        <v>6.0694949534537402E-8</v>
      </c>
      <c r="AT32">
        <v>13</v>
      </c>
      <c r="AU32">
        <v>1</v>
      </c>
      <c r="AW32">
        <f>VLOOKUP(AT32,Constants!$B$15:$L$33,2,FALSE)</f>
        <v>1.000409916282643</v>
      </c>
      <c r="AX32">
        <f>VLOOKUP(AT32,Constants!$B$15:$L$33,3,FALSE)</f>
        <v>-7.0507061346368138E-5</v>
      </c>
      <c r="AZ32" s="18"/>
    </row>
    <row r="33" spans="1:52" x14ac:dyDescent="0.2">
      <c r="A33">
        <f>ROW()</f>
        <v>33</v>
      </c>
      <c r="B33" s="5" t="s">
        <v>110</v>
      </c>
      <c r="C33" s="171">
        <f t="shared" si="21"/>
        <v>1.006405011E-2</v>
      </c>
      <c r="D33" s="171">
        <f t="shared" ref="D33:H33" si="33">AO27</f>
        <v>-2.0323885969999999E-8</v>
      </c>
      <c r="E33" s="171">
        <f t="shared" si="33"/>
        <v>2.9737229000000001E-6</v>
      </c>
      <c r="F33" s="171">
        <f t="shared" si="33"/>
        <v>5.6174253702209102E-8</v>
      </c>
      <c r="G33" s="171">
        <f t="shared" si="33"/>
        <v>6.4796023531420395E-8</v>
      </c>
      <c r="H33" s="171">
        <f t="shared" si="33"/>
        <v>8.8563438520588101E-8</v>
      </c>
      <c r="I33" s="2">
        <v>20.37</v>
      </c>
      <c r="J33" s="17">
        <f t="shared" ref="J33:J38" si="34">100*C33/0.1</f>
        <v>10.06405011</v>
      </c>
      <c r="K33" s="2">
        <f t="shared" si="23"/>
        <v>0.10057552930806699</v>
      </c>
      <c r="L33">
        <v>50</v>
      </c>
      <c r="M33">
        <v>30</v>
      </c>
      <c r="N33">
        <v>0.83416999999999997</v>
      </c>
      <c r="O33" s="2">
        <f t="shared" si="24"/>
        <v>0.19999402020000001</v>
      </c>
      <c r="P33" s="2">
        <f t="shared" si="25"/>
        <v>0.1000646</v>
      </c>
      <c r="Q33">
        <v>-1</v>
      </c>
      <c r="R33" s="52">
        <f t="shared" ref="R33:R38" si="35">Q33*D33/C33/N33</f>
        <v>2.4209141686883245E-6</v>
      </c>
      <c r="S33" s="52">
        <f t="shared" si="26"/>
        <v>-3.5422004989545477E-4</v>
      </c>
      <c r="T33" s="19">
        <f t="shared" ref="T33:T38" si="36">M33*N33*O33/(P33*U33*L33)</f>
        <v>0.99953095640859579</v>
      </c>
      <c r="U33" s="19">
        <f t="shared" si="27"/>
        <v>1.0007972767333173</v>
      </c>
      <c r="V33" s="48">
        <f t="shared" ref="V33:V38" si="37">AA$17</f>
        <v>2.3329884646001238E-4</v>
      </c>
      <c r="W33" s="19">
        <f>R33+T33</f>
        <v>0.99953337732276448</v>
      </c>
      <c r="X33" s="184">
        <f t="shared" ref="X33:X38" si="38">1000*(W33-1)</f>
        <v>-0.46662267723551754</v>
      </c>
      <c r="Y33" s="184">
        <f t="shared" si="29"/>
        <v>-0.58751889635546717</v>
      </c>
      <c r="Z33" s="51">
        <f t="shared" si="30"/>
        <v>-1.083799855287232E-6</v>
      </c>
      <c r="AA33" s="51">
        <f t="shared" ref="AA33:AA38" si="39">(C33^2/O33-$Z$10)*$AB$5*0.001</f>
        <v>-1.1780724023380658E-8</v>
      </c>
      <c r="AB33" s="2">
        <f t="shared" si="31"/>
        <v>-0.4525997526998537</v>
      </c>
      <c r="AC33" s="2">
        <f t="shared" si="32"/>
        <v>-0.54263730258169973</v>
      </c>
      <c r="AM33" s="43" t="s">
        <v>194</v>
      </c>
      <c r="AN33">
        <v>5.0127041632000002E-3</v>
      </c>
      <c r="AO33" s="18">
        <v>4.5130980319999997E-8</v>
      </c>
      <c r="AP33" s="18">
        <v>1.4588356000000001E-6</v>
      </c>
      <c r="AQ33" s="18">
        <v>2.2446173390247902E-8</v>
      </c>
      <c r="AR33" s="18">
        <v>6.5647889090433699E-8</v>
      </c>
      <c r="AS33" s="18">
        <v>6.0510382734205194E-8</v>
      </c>
      <c r="AT33">
        <v>9</v>
      </c>
      <c r="AU33">
        <v>1</v>
      </c>
      <c r="AW33">
        <f>VLOOKUP(AT33,Constants!$B$15:$L$33,2,FALSE)</f>
        <v>0.99371490585295241</v>
      </c>
      <c r="AX33">
        <f>VLOOKUP(AT33,Constants!$B$15:$L$33,3,FALSE)</f>
        <v>1.4986286639243325E-2</v>
      </c>
      <c r="AZ33" s="18"/>
    </row>
    <row r="34" spans="1:52" x14ac:dyDescent="0.2">
      <c r="A34">
        <f>ROW()</f>
        <v>34</v>
      </c>
      <c r="B34" s="161" t="s">
        <v>191</v>
      </c>
      <c r="C34" s="171">
        <f t="shared" si="21"/>
        <v>2.0106566916000001E-2</v>
      </c>
      <c r="D34" s="171">
        <f t="shared" ref="D34:H34" si="40">AO28</f>
        <v>1.6763906E-9</v>
      </c>
      <c r="E34" s="171">
        <f t="shared" si="40"/>
        <v>5.8892843999999998E-6</v>
      </c>
      <c r="F34" s="171">
        <f t="shared" si="40"/>
        <v>9.0545820972773701E-7</v>
      </c>
      <c r="G34" s="171">
        <f t="shared" si="40"/>
        <v>2.1727896613385799E-8</v>
      </c>
      <c r="H34" s="171">
        <f t="shared" si="40"/>
        <v>5.2448083155059199E-8</v>
      </c>
      <c r="I34" s="2">
        <v>20.37</v>
      </c>
      <c r="J34" s="17">
        <f t="shared" si="34"/>
        <v>20.106566915999998</v>
      </c>
      <c r="K34" s="2">
        <f t="shared" si="23"/>
        <v>0.20093586459147392</v>
      </c>
      <c r="L34">
        <v>50</v>
      </c>
      <c r="M34">
        <v>30</v>
      </c>
      <c r="N34">
        <v>0.83416999999999997</v>
      </c>
      <c r="O34" s="2">
        <f t="shared" si="24"/>
        <v>0.19999402020000001</v>
      </c>
      <c r="P34" s="2">
        <f t="shared" si="25"/>
        <v>0.1000646</v>
      </c>
      <c r="Q34">
        <v>-1</v>
      </c>
      <c r="R34" s="52">
        <f t="shared" si="35"/>
        <v>-9.9949983443782898E-8</v>
      </c>
      <c r="S34" s="52">
        <f t="shared" si="26"/>
        <v>-3.5113169823054892E-4</v>
      </c>
      <c r="T34" s="19">
        <f t="shared" si="36"/>
        <v>0.99953095640859579</v>
      </c>
      <c r="U34" s="19">
        <f t="shared" si="27"/>
        <v>1.0007972767333173</v>
      </c>
      <c r="V34" s="48">
        <f t="shared" si="37"/>
        <v>2.3329884646001238E-4</v>
      </c>
      <c r="W34" s="19">
        <f t="shared" si="28"/>
        <v>0.99953085645861239</v>
      </c>
      <c r="X34" s="184">
        <f t="shared" si="38"/>
        <v>-0.46914354138760661</v>
      </c>
      <c r="Y34" s="184">
        <f t="shared" si="29"/>
        <v>-0.58443054469056122</v>
      </c>
      <c r="Z34" s="51">
        <f t="shared" si="30"/>
        <v>6.0584215782706266E-6</v>
      </c>
      <c r="AA34" s="51">
        <f t="shared" si="39"/>
        <v>3.184848047982268E-6</v>
      </c>
      <c r="AB34" s="2">
        <f t="shared" si="31"/>
        <v>-0.4561868706080397</v>
      </c>
      <c r="AC34" s="2">
        <f t="shared" si="32"/>
        <v>-0.54210032813843656</v>
      </c>
      <c r="AM34" s="43" t="s">
        <v>194</v>
      </c>
      <c r="AN34">
        <v>4.9926271668000004E-3</v>
      </c>
      <c r="AO34" s="18">
        <v>5.5271999399999997E-8</v>
      </c>
      <c r="AP34" s="18">
        <v>1.3370139000000001E-6</v>
      </c>
      <c r="AQ34" s="18">
        <v>2.5672972273268799E-8</v>
      </c>
      <c r="AR34" s="18">
        <v>6.1008023552209806E-8</v>
      </c>
      <c r="AS34" s="18">
        <v>8.0478969611880596E-8</v>
      </c>
      <c r="AT34">
        <v>9</v>
      </c>
      <c r="AU34">
        <v>1</v>
      </c>
      <c r="AW34">
        <f>VLOOKUP(AT34,Constants!$B$15:$L$33,2,FALSE)</f>
        <v>0.99371490585295241</v>
      </c>
      <c r="AX34">
        <f>VLOOKUP(AT34,Constants!$B$15:$L$33,3,FALSE)</f>
        <v>1.4986286639243325E-2</v>
      </c>
      <c r="AZ34" s="18"/>
    </row>
    <row r="35" spans="1:52" x14ac:dyDescent="0.2">
      <c r="A35">
        <f>ROW()</f>
        <v>35</v>
      </c>
      <c r="B35" s="67" t="s">
        <v>112</v>
      </c>
      <c r="C35" s="171">
        <f t="shared" si="21"/>
        <v>4.0114081943999999E-2</v>
      </c>
      <c r="D35" s="171">
        <f t="shared" ref="D35:H35" si="41">AO29</f>
        <v>8.5812541199999902E-8</v>
      </c>
      <c r="E35" s="171">
        <f t="shared" si="41"/>
        <v>1.1742044000000001E-5</v>
      </c>
      <c r="F35" s="171">
        <f t="shared" si="41"/>
        <v>5.4057087127007599E-7</v>
      </c>
      <c r="G35" s="171">
        <f t="shared" si="41"/>
        <v>1.3088564307943401E-7</v>
      </c>
      <c r="H35" s="171">
        <f t="shared" si="41"/>
        <v>6.1333537840238803E-8</v>
      </c>
      <c r="I35" s="2">
        <v>20.37</v>
      </c>
      <c r="J35" s="17">
        <f t="shared" si="34"/>
        <v>40.114081943999992</v>
      </c>
      <c r="K35" s="2">
        <f t="shared" si="23"/>
        <v>0.40088184976505176</v>
      </c>
      <c r="L35">
        <v>50</v>
      </c>
      <c r="M35">
        <v>30</v>
      </c>
      <c r="N35">
        <v>0.83416999999999997</v>
      </c>
      <c r="O35" s="2">
        <f t="shared" si="24"/>
        <v>0.19999402020000001</v>
      </c>
      <c r="P35" s="2">
        <f t="shared" si="25"/>
        <v>0.1000646</v>
      </c>
      <c r="Q35">
        <v>-1</v>
      </c>
      <c r="R35" s="52">
        <f t="shared" si="35"/>
        <v>-2.564480132696525E-6</v>
      </c>
      <c r="S35" s="52">
        <f t="shared" si="26"/>
        <v>-3.5090719997519978E-4</v>
      </c>
      <c r="T35" s="19">
        <f t="shared" si="36"/>
        <v>0.99953095640859579</v>
      </c>
      <c r="U35" s="19">
        <f t="shared" si="27"/>
        <v>1.0007972767333173</v>
      </c>
      <c r="V35" s="48">
        <f t="shared" si="37"/>
        <v>2.3329884646001238E-4</v>
      </c>
      <c r="W35" s="19">
        <f>R35+T35</f>
        <v>0.9995283919284631</v>
      </c>
      <c r="X35" s="184">
        <f t="shared" si="38"/>
        <v>-0.47160807153689976</v>
      </c>
      <c r="Y35" s="184">
        <f t="shared" si="29"/>
        <v>-0.58420604643521212</v>
      </c>
      <c r="Z35" s="51">
        <f t="shared" si="30"/>
        <v>3.446017376467663E-5</v>
      </c>
      <c r="AA35" s="51">
        <f t="shared" si="39"/>
        <v>1.5896559531451819E-5</v>
      </c>
      <c r="AB35" s="2">
        <f t="shared" si="31"/>
        <v>-0.45925161952989757</v>
      </c>
      <c r="AC35" s="2">
        <f t="shared" si="32"/>
        <v>-0.53690585114701728</v>
      </c>
      <c r="AM35" s="43" t="s">
        <v>195</v>
      </c>
      <c r="AN35">
        <v>1.0103821604E-2</v>
      </c>
      <c r="AO35" s="18">
        <v>2.5103930750000001E-8</v>
      </c>
      <c r="AP35" s="18">
        <v>2.7949607000000001E-6</v>
      </c>
      <c r="AQ35" s="18">
        <v>3.2853461557681299E-8</v>
      </c>
      <c r="AR35" s="18">
        <v>5.2962463073880603E-8</v>
      </c>
      <c r="AS35" s="18">
        <v>3.8517619844819103E-8</v>
      </c>
      <c r="AT35">
        <v>10</v>
      </c>
      <c r="AU35">
        <v>1</v>
      </c>
      <c r="AW35">
        <f>VLOOKUP(AT35,Constants!$B$15:$L$33,2,FALSE)</f>
        <v>0.99248924126722049</v>
      </c>
      <c r="AX35">
        <f>VLOOKUP(AT35,Constants!$B$15:$L$33,3,FALSE)</f>
        <v>-2.7303958893031477E-4</v>
      </c>
      <c r="AZ35" s="18"/>
    </row>
    <row r="36" spans="1:52" ht="13.5" x14ac:dyDescent="0.25">
      <c r="A36">
        <f>ROW()</f>
        <v>36</v>
      </c>
      <c r="B36" s="163" t="s">
        <v>181</v>
      </c>
      <c r="C36" s="171">
        <f t="shared" si="21"/>
        <v>6.0451538954000003E-2</v>
      </c>
      <c r="D36" s="171">
        <f t="shared" ref="D36:H36" si="42">AO30</f>
        <v>6.0195435000000002E-7</v>
      </c>
      <c r="E36" s="171">
        <f t="shared" si="42"/>
        <v>1.7292261E-5</v>
      </c>
      <c r="F36" s="171">
        <f t="shared" si="42"/>
        <v>6.4803383791172499E-7</v>
      </c>
      <c r="G36" s="171">
        <f t="shared" si="42"/>
        <v>1.0728771224407499E-7</v>
      </c>
      <c r="H36" s="171">
        <f t="shared" si="42"/>
        <v>5.0839663443024601E-8</v>
      </c>
      <c r="I36" s="2">
        <v>20.37</v>
      </c>
      <c r="J36" s="17">
        <f t="shared" si="34"/>
        <v>60.451538954</v>
      </c>
      <c r="K36" s="2">
        <f t="shared" si="23"/>
        <v>0.60412512470943769</v>
      </c>
      <c r="L36">
        <v>50</v>
      </c>
      <c r="M36">
        <v>30</v>
      </c>
      <c r="N36">
        <v>0.83416999999999997</v>
      </c>
      <c r="O36" s="2">
        <f t="shared" si="24"/>
        <v>0.19999402020000001</v>
      </c>
      <c r="P36" s="2">
        <f t="shared" si="25"/>
        <v>0.1000646</v>
      </c>
      <c r="Q36">
        <v>-1</v>
      </c>
      <c r="R36" s="52">
        <f t="shared" si="35"/>
        <v>-1.193717687408181E-5</v>
      </c>
      <c r="S36" s="52">
        <f t="shared" si="26"/>
        <v>-3.429176616296348E-4</v>
      </c>
      <c r="T36" s="19">
        <f t="shared" si="36"/>
        <v>0.99953095640859579</v>
      </c>
      <c r="U36" s="19">
        <f t="shared" si="27"/>
        <v>1.0007972767333173</v>
      </c>
      <c r="V36" s="48">
        <f t="shared" si="37"/>
        <v>2.3329884646001238E-4</v>
      </c>
      <c r="W36" s="19">
        <f t="shared" si="28"/>
        <v>0.99951901923172171</v>
      </c>
      <c r="X36" s="184">
        <f t="shared" si="38"/>
        <v>-0.48098076827829406</v>
      </c>
      <c r="Y36" s="184">
        <f t="shared" si="29"/>
        <v>-0.57621650808964719</v>
      </c>
      <c r="Z36" s="51">
        <f t="shared" si="30"/>
        <v>8.2671906306470906E-5</v>
      </c>
      <c r="AA36" s="51">
        <f t="shared" si="39"/>
        <v>3.7474581555135998E-5</v>
      </c>
      <c r="AB36" s="2">
        <f t="shared" si="31"/>
        <v>-0.46616893959659139</v>
      </c>
      <c r="AC36" s="2">
        <f t="shared" si="32"/>
        <v>-0.53098656459194227</v>
      </c>
      <c r="AE36" s="18"/>
      <c r="AF36" s="165"/>
      <c r="AG36" s="18"/>
      <c r="AH36" s="165"/>
      <c r="AM36" s="43" t="s">
        <v>195</v>
      </c>
      <c r="AN36">
        <v>5.0278993229999997E-3</v>
      </c>
      <c r="AO36" s="18">
        <v>-5.7382571660000003E-8</v>
      </c>
      <c r="AP36" s="18">
        <v>1.0918573E-6</v>
      </c>
      <c r="AQ36" s="18">
        <v>5.27849600682343E-8</v>
      </c>
      <c r="AR36" s="18">
        <v>7.5037431757224003E-8</v>
      </c>
      <c r="AS36" s="18">
        <v>3.0118269721217401E-9</v>
      </c>
      <c r="AT36">
        <v>8</v>
      </c>
      <c r="AU36">
        <v>1</v>
      </c>
      <c r="AW36">
        <f>VLOOKUP(AT36,Constants!$B$15:$L$33,2,FALSE)</f>
        <v>0.99904738569924345</v>
      </c>
      <c r="AX36">
        <f>VLOOKUP(AT36,Constants!$B$15:$L$33,3,FALSE)</f>
        <v>-1.1844458223459616E-2</v>
      </c>
      <c r="AZ36" s="18"/>
    </row>
    <row r="37" spans="1:52" x14ac:dyDescent="0.2">
      <c r="A37">
        <f>ROW()</f>
        <v>37</v>
      </c>
      <c r="B37" s="66" t="s">
        <v>111</v>
      </c>
      <c r="C37" s="171">
        <f t="shared" si="21"/>
        <v>0.1003972553</v>
      </c>
      <c r="D37" s="171">
        <f t="shared" ref="D37:H37" si="43">AO31</f>
        <v>1.1696546000000001E-6</v>
      </c>
      <c r="E37" s="171">
        <f t="shared" si="43"/>
        <v>2.7576608000000001E-5</v>
      </c>
      <c r="F37" s="171">
        <f t="shared" si="43"/>
        <v>8.7236157492163096E-8</v>
      </c>
      <c r="G37" s="171">
        <f t="shared" si="43"/>
        <v>1.4215489872966001E-7</v>
      </c>
      <c r="H37" s="171">
        <f t="shared" si="43"/>
        <v>1.43031587895821E-7</v>
      </c>
      <c r="I37" s="2">
        <v>20.37</v>
      </c>
      <c r="J37" s="17">
        <f t="shared" si="34"/>
        <v>100.3972553</v>
      </c>
      <c r="K37" s="2">
        <f t="shared" si="23"/>
        <v>1.0033244054340895</v>
      </c>
      <c r="L37">
        <v>50</v>
      </c>
      <c r="M37">
        <v>30</v>
      </c>
      <c r="N37">
        <v>0.83416999999999997</v>
      </c>
      <c r="O37" s="2">
        <f t="shared" si="24"/>
        <v>0.19999402020000001</v>
      </c>
      <c r="P37" s="2">
        <f t="shared" si="25"/>
        <v>0.1000646</v>
      </c>
      <c r="Q37">
        <v>-1</v>
      </c>
      <c r="R37" s="52">
        <f t="shared" si="35"/>
        <v>-1.3966295486521237E-5</v>
      </c>
      <c r="S37" s="52">
        <f t="shared" si="26"/>
        <v>-3.2927930676625858E-4</v>
      </c>
      <c r="T37" s="19">
        <f t="shared" si="36"/>
        <v>0.99953095640859579</v>
      </c>
      <c r="U37" s="19">
        <f t="shared" si="27"/>
        <v>1.0007972767333173</v>
      </c>
      <c r="V37" s="48">
        <f t="shared" si="37"/>
        <v>2.3329884646001238E-4</v>
      </c>
      <c r="W37" s="19">
        <f t="shared" si="28"/>
        <v>0.99951699011310924</v>
      </c>
      <c r="X37" s="184">
        <f t="shared" si="38"/>
        <v>-0.48300988689076174</v>
      </c>
      <c r="Y37" s="184">
        <f t="shared" si="29"/>
        <v>-0.56257815322627092</v>
      </c>
      <c r="Z37" s="51">
        <f t="shared" si="30"/>
        <v>2.3413072836625E-4</v>
      </c>
      <c r="AA37" s="51">
        <f t="shared" si="39"/>
        <v>1.0526268262066027E-4</v>
      </c>
      <c r="AB37" s="2">
        <f t="shared" si="31"/>
        <v>-0.46957344639620974</v>
      </c>
      <c r="AC37" s="2">
        <f t="shared" si="32"/>
        <v>-0.517717898743562</v>
      </c>
      <c r="AG37" s="3"/>
      <c r="AM37" s="43" t="s">
        <v>195</v>
      </c>
      <c r="AN37">
        <v>5.0307328991999996E-3</v>
      </c>
      <c r="AO37" s="18">
        <v>-1.363638671E-7</v>
      </c>
      <c r="AP37" s="18">
        <v>1.3408734E-6</v>
      </c>
      <c r="AQ37" s="18">
        <v>3.7511788518701501E-8</v>
      </c>
      <c r="AR37" s="18">
        <v>8.1568104333808101E-8</v>
      </c>
      <c r="AS37" s="18">
        <v>7.9055415478258002E-8</v>
      </c>
      <c r="AT37">
        <v>9</v>
      </c>
      <c r="AU37">
        <v>1</v>
      </c>
      <c r="AW37">
        <f>VLOOKUP(AT37,Constants!$B$15:$L$33,2,FALSE)</f>
        <v>0.99371490585295241</v>
      </c>
      <c r="AX37">
        <f>VLOOKUP(AT37,Constants!$B$15:$L$33,3,FALSE)</f>
        <v>1.4986286639243325E-2</v>
      </c>
      <c r="AZ37" s="18"/>
    </row>
    <row r="38" spans="1:52" x14ac:dyDescent="0.2">
      <c r="A38">
        <f>ROW()</f>
        <v>38</v>
      </c>
      <c r="B38" s="162" t="s">
        <v>192</v>
      </c>
      <c r="C38" s="171">
        <f t="shared" si="21"/>
        <v>0.12091595442</v>
      </c>
      <c r="D38" s="171">
        <f t="shared" ref="D38:H38" si="44">AO32</f>
        <v>2.2053828999999999E-6</v>
      </c>
      <c r="E38" s="171">
        <f t="shared" si="44"/>
        <v>3.2973248999999999E-5</v>
      </c>
      <c r="F38" s="171">
        <f t="shared" si="44"/>
        <v>2.8821990769647401E-7</v>
      </c>
      <c r="G38" s="171">
        <f t="shared" si="44"/>
        <v>3.6396346780962301E-9</v>
      </c>
      <c r="H38" s="171">
        <f t="shared" si="44"/>
        <v>6.0694949534537402E-8</v>
      </c>
      <c r="I38" s="2">
        <v>20.37</v>
      </c>
      <c r="J38" s="17">
        <f t="shared" si="34"/>
        <v>120.91595441999999</v>
      </c>
      <c r="K38" s="2">
        <f t="shared" si="23"/>
        <v>1.2083789314103088</v>
      </c>
      <c r="L38">
        <v>50</v>
      </c>
      <c r="M38">
        <v>30</v>
      </c>
      <c r="N38">
        <v>0.83416999999999997</v>
      </c>
      <c r="O38" s="2">
        <f t="shared" si="24"/>
        <v>0.19999402020000001</v>
      </c>
      <c r="P38" s="2">
        <f t="shared" si="25"/>
        <v>0.1000646</v>
      </c>
      <c r="Q38">
        <v>-1</v>
      </c>
      <c r="R38" s="52">
        <f t="shared" si="35"/>
        <v>-2.1864816039880881E-5</v>
      </c>
      <c r="S38" s="52">
        <f t="shared" si="26"/>
        <v>-3.2690650844449106E-4</v>
      </c>
      <c r="T38" s="19">
        <f t="shared" si="36"/>
        <v>0.99953095640859579</v>
      </c>
      <c r="U38" s="19">
        <f t="shared" si="27"/>
        <v>1.0007972767333173</v>
      </c>
      <c r="V38" s="48">
        <f t="shared" si="37"/>
        <v>2.3329884646001238E-4</v>
      </c>
      <c r="W38" s="19">
        <f t="shared" si="28"/>
        <v>0.99950909159255596</v>
      </c>
      <c r="X38" s="184">
        <f t="shared" si="38"/>
        <v>-0.49090840744403508</v>
      </c>
      <c r="Y38" s="184">
        <f t="shared" si="29"/>
        <v>-0.56020535490450341</v>
      </c>
      <c r="Z38" s="51">
        <f t="shared" si="30"/>
        <v>3.4117506900191262E-4</v>
      </c>
      <c r="AA38" s="51">
        <f t="shared" si="39"/>
        <v>1.5317228922408888E-4</v>
      </c>
      <c r="AB38" s="2">
        <f t="shared" si="31"/>
        <v>-0.47461374831357972</v>
      </c>
      <c r="AC38" s="2">
        <f t="shared" si="32"/>
        <v>-0.51544904511149825</v>
      </c>
      <c r="AG38" s="3"/>
      <c r="AM38" s="43" t="s">
        <v>195</v>
      </c>
      <c r="AN38">
        <v>1.0068075362E-2</v>
      </c>
      <c r="AO38" s="18">
        <v>-2.5585669079999999E-7</v>
      </c>
      <c r="AP38" s="18">
        <v>2.5719458E-6</v>
      </c>
      <c r="AQ38" s="18">
        <v>6.0858145357297805E-8</v>
      </c>
      <c r="AR38" s="18">
        <v>1.0053147742472799E-7</v>
      </c>
      <c r="AS38" s="18">
        <v>8.6887681913836303E-8</v>
      </c>
      <c r="AT38">
        <v>10</v>
      </c>
      <c r="AU38">
        <v>1</v>
      </c>
      <c r="AW38">
        <f>VLOOKUP(AT38,Constants!$B$15:$L$33,2,FALSE)</f>
        <v>0.99248924126722049</v>
      </c>
      <c r="AX38">
        <f>VLOOKUP(AT38,Constants!$B$15:$L$33,3,FALSE)</f>
        <v>-2.7303958893031477E-4</v>
      </c>
      <c r="AZ38" s="18"/>
    </row>
    <row r="39" spans="1:52" x14ac:dyDescent="0.2">
      <c r="A39">
        <f>ROW()</f>
        <v>39</v>
      </c>
      <c r="I39" s="2"/>
      <c r="J39" s="17"/>
      <c r="K39" s="2"/>
      <c r="O39" s="2"/>
      <c r="P39" s="2"/>
      <c r="R39" s="52"/>
      <c r="S39" s="52"/>
      <c r="T39" s="19"/>
      <c r="U39" s="19"/>
      <c r="V39" s="48"/>
      <c r="W39" s="19"/>
      <c r="X39" s="2"/>
      <c r="Y39" s="2"/>
      <c r="AA39" s="2"/>
      <c r="AB39" s="2"/>
      <c r="AM39" s="43" t="s">
        <v>195</v>
      </c>
      <c r="AN39">
        <v>2.0093419202000001E-2</v>
      </c>
      <c r="AO39" s="18">
        <v>-4.0771193999999999E-7</v>
      </c>
      <c r="AP39" s="18">
        <v>5.0897348999999997E-6</v>
      </c>
      <c r="AQ39" s="18">
        <v>1.1515021438613701E-7</v>
      </c>
      <c r="AR39" s="18">
        <v>8.2635852198040504E-8</v>
      </c>
      <c r="AS39" s="18">
        <v>9.3597538039149301E-8</v>
      </c>
      <c r="AT39">
        <v>10</v>
      </c>
      <c r="AU39">
        <v>1</v>
      </c>
      <c r="AW39">
        <f>VLOOKUP(AT39,Constants!$B$15:$L$33,2,FALSE)</f>
        <v>0.99248924126722049</v>
      </c>
      <c r="AX39">
        <f>VLOOKUP(AT39,Constants!$B$15:$L$33,3,FALSE)</f>
        <v>-2.7303958893031477E-4</v>
      </c>
      <c r="AZ39" s="18"/>
    </row>
    <row r="40" spans="1:52" x14ac:dyDescent="0.2">
      <c r="A40">
        <f>ROW()</f>
        <v>40</v>
      </c>
      <c r="B40" t="s">
        <v>52</v>
      </c>
      <c r="C40">
        <f t="shared" ref="C40:H41" si="45">AN37</f>
        <v>5.0307328991999996E-3</v>
      </c>
      <c r="D40">
        <f t="shared" si="45"/>
        <v>-1.363638671E-7</v>
      </c>
      <c r="E40">
        <f t="shared" si="45"/>
        <v>1.3408734E-6</v>
      </c>
      <c r="F40">
        <f t="shared" si="45"/>
        <v>3.7511788518701501E-8</v>
      </c>
      <c r="G40">
        <f t="shared" si="45"/>
        <v>8.1568104333808101E-8</v>
      </c>
      <c r="H40">
        <f t="shared" si="45"/>
        <v>7.9055415478258002E-8</v>
      </c>
      <c r="I40" s="2">
        <v>20.28</v>
      </c>
      <c r="J40" s="17">
        <f>100*C40/0.1</f>
        <v>5.0307328991999993</v>
      </c>
      <c r="K40" s="2">
        <f t="shared" ref="K40:K46" si="46">C40/P40</f>
        <v>5.0274851437971065E-2</v>
      </c>
      <c r="L40">
        <v>50</v>
      </c>
      <c r="M40">
        <v>30</v>
      </c>
      <c r="N40">
        <v>0.83416999999999997</v>
      </c>
      <c r="O40" s="2">
        <f t="shared" ref="O40:O49" si="47">MSL0.2</f>
        <v>0.19999402020000001</v>
      </c>
      <c r="P40" s="2">
        <f t="shared" ref="P40:P49" si="48">Ti_969</f>
        <v>0.1000646</v>
      </c>
      <c r="Q40">
        <v>-1</v>
      </c>
      <c r="R40" s="52">
        <f t="shared" ref="R40:R46" si="49">Q40*D40/C40/N40</f>
        <v>3.2494771118105585E-5</v>
      </c>
      <c r="S40" s="52">
        <f t="shared" ref="S40:S46" si="50">Q40*E40/C40/N40</f>
        <v>-3.1952287037594605E-4</v>
      </c>
      <c r="T40" s="19">
        <f>M40*N40*O40/(P40*U40*L40)</f>
        <v>0.99953095640859579</v>
      </c>
      <c r="U40" s="19">
        <f t="shared" ref="U40:U47" si="51">$AA$16</f>
        <v>1.0007972767333173</v>
      </c>
      <c r="V40" s="48">
        <f>$AA$26</f>
        <v>1.9151650451155946E-4</v>
      </c>
      <c r="W40" s="19">
        <f t="shared" ref="W40:W46" si="52">R40+T40</f>
        <v>0.9995634511797139</v>
      </c>
      <c r="X40" s="2">
        <f t="shared" ref="X40:X46" si="53">1000*(W40-1)</f>
        <v>-0.43654882028609787</v>
      </c>
      <c r="Y40" s="2">
        <f t="shared" ref="Y40:Y46" si="54">1000*(S40-V40)</f>
        <v>-0.5110393748875055</v>
      </c>
      <c r="Z40" s="51">
        <f t="shared" ref="Z40:Z46" si="55">((C40*N40)^2/P40-$AB$10)*$Z$28*0.001</f>
        <v>-2.8747674469532711E-6</v>
      </c>
      <c r="AA40" s="51">
        <f>(C40^2/O40-$Z$10)*$AB$5*0.001</f>
        <v>-8.1336025869728944E-7</v>
      </c>
      <c r="AC40" s="2"/>
      <c r="AM40" s="43" t="s">
        <v>195</v>
      </c>
      <c r="AN40">
        <v>2.0090256827999999E-2</v>
      </c>
      <c r="AO40" s="18">
        <v>-4.3269492999999998E-7</v>
      </c>
      <c r="AP40" s="18">
        <v>5.1659264999999999E-6</v>
      </c>
      <c r="AQ40" s="18">
        <v>1.36761476302179E-7</v>
      </c>
      <c r="AR40" s="18">
        <v>7.2536075350994203E-8</v>
      </c>
      <c r="AS40" s="18">
        <v>9.9673535117151304E-8</v>
      </c>
      <c r="AT40">
        <v>11</v>
      </c>
      <c r="AU40">
        <v>1</v>
      </c>
      <c r="AW40">
        <f>VLOOKUP(AT40,Constants!$B$15:$L$33,2,FALSE)</f>
        <v>1.0014538869894722</v>
      </c>
      <c r="AX40">
        <f>VLOOKUP(AT40,Constants!$B$15:$L$33,3,FALSE)</f>
        <v>-1.6494401832275451E-4</v>
      </c>
      <c r="AZ40" s="18"/>
    </row>
    <row r="41" spans="1:52" x14ac:dyDescent="0.2">
      <c r="A41">
        <f>ROW()</f>
        <v>41</v>
      </c>
      <c r="B41" s="4">
        <v>43376</v>
      </c>
      <c r="C41">
        <f t="shared" si="45"/>
        <v>1.0068075362E-2</v>
      </c>
      <c r="D41">
        <f t="shared" si="45"/>
        <v>-2.5585669079999999E-7</v>
      </c>
      <c r="E41">
        <f t="shared" si="45"/>
        <v>2.5719458E-6</v>
      </c>
      <c r="F41">
        <f t="shared" si="45"/>
        <v>6.0858145357297805E-8</v>
      </c>
      <c r="G41">
        <f t="shared" si="45"/>
        <v>1.0053147742472799E-7</v>
      </c>
      <c r="H41">
        <f t="shared" si="45"/>
        <v>8.6887681913836303E-8</v>
      </c>
      <c r="I41" s="2">
        <v>20.28</v>
      </c>
      <c r="J41" s="17">
        <f t="shared" ref="J41:J46" si="56">100*C41/0.1</f>
        <v>10.068075361999998</v>
      </c>
      <c r="K41" s="2">
        <f t="shared" si="46"/>
        <v>0.10061575584172625</v>
      </c>
      <c r="L41">
        <v>50</v>
      </c>
      <c r="M41">
        <v>30</v>
      </c>
      <c r="N41">
        <v>0.83416999999999997</v>
      </c>
      <c r="O41" s="2">
        <f t="shared" si="47"/>
        <v>0.19999402020000001</v>
      </c>
      <c r="P41" s="2">
        <f t="shared" si="48"/>
        <v>0.1000646</v>
      </c>
      <c r="Q41">
        <v>-1</v>
      </c>
      <c r="R41" s="52">
        <f t="shared" si="49"/>
        <v>3.0464619201732424E-5</v>
      </c>
      <c r="S41" s="52">
        <f t="shared" si="50"/>
        <v>-3.0623920429637271E-4</v>
      </c>
      <c r="T41" s="19">
        <f t="shared" ref="T41:T46" si="57">M41*N41*O41/(P41*U41*L41)</f>
        <v>0.99953095640859579</v>
      </c>
      <c r="U41" s="19">
        <f t="shared" si="51"/>
        <v>1.0007972767333173</v>
      </c>
      <c r="V41" s="48">
        <f t="shared" ref="V41:V49" si="58">$AA$26</f>
        <v>1.9151650451155946E-4</v>
      </c>
      <c r="W41" s="19">
        <f t="shared" si="52"/>
        <v>0.99956142102779755</v>
      </c>
      <c r="X41" s="2">
        <f t="shared" si="53"/>
        <v>-0.43857897220245246</v>
      </c>
      <c r="Y41" s="2">
        <f t="shared" si="54"/>
        <v>-0.49775570880793218</v>
      </c>
      <c r="Z41" s="51">
        <f t="shared" si="55"/>
        <v>-1.0818896094836817E-6</v>
      </c>
      <c r="AA41" s="51">
        <f t="shared" ref="AA41:AA46" si="59">(C41^2/O41-$Z$10)*$AB$5*0.001</f>
        <v>-1.0925759394512921E-8</v>
      </c>
      <c r="AC41" s="2"/>
      <c r="AM41" s="43" t="s">
        <v>195</v>
      </c>
      <c r="AN41">
        <v>4.0111263603999997E-2</v>
      </c>
      <c r="AO41" s="18">
        <v>-7.9593075000000003E-7</v>
      </c>
      <c r="AP41" s="18">
        <v>1.0003794300000001E-5</v>
      </c>
      <c r="AQ41" s="18">
        <v>2.9030902989575201E-8</v>
      </c>
      <c r="AR41" s="18">
        <v>1.11281225963266E-7</v>
      </c>
      <c r="AS41" s="18">
        <v>5.3854350358257799E-8</v>
      </c>
      <c r="AT41">
        <v>11</v>
      </c>
      <c r="AU41">
        <v>1</v>
      </c>
      <c r="AW41">
        <f>VLOOKUP(AT41,Constants!$B$15:$L$33,2,FALSE)</f>
        <v>1.0014538869894722</v>
      </c>
      <c r="AX41">
        <f>VLOOKUP(AT41,Constants!$B$15:$L$33,3,FALSE)</f>
        <v>-1.6494401832275451E-4</v>
      </c>
      <c r="AZ41" s="18"/>
    </row>
    <row r="42" spans="1:52" x14ac:dyDescent="0.2">
      <c r="A42">
        <f>ROW()</f>
        <v>42</v>
      </c>
      <c r="C42">
        <f t="shared" ref="C42:H42" si="60">AN40</f>
        <v>2.0090256827999999E-2</v>
      </c>
      <c r="D42">
        <f t="shared" si="60"/>
        <v>-4.3269492999999998E-7</v>
      </c>
      <c r="E42">
        <f t="shared" si="60"/>
        <v>5.1659264999999999E-6</v>
      </c>
      <c r="F42">
        <f t="shared" si="60"/>
        <v>1.36761476302179E-7</v>
      </c>
      <c r="G42">
        <f t="shared" si="60"/>
        <v>7.2536075350994203E-8</v>
      </c>
      <c r="H42">
        <f t="shared" si="60"/>
        <v>9.9673535117151304E-8</v>
      </c>
      <c r="I42" s="2">
        <v>20.28</v>
      </c>
      <c r="J42" s="17">
        <f t="shared" si="56"/>
        <v>20.090256827999998</v>
      </c>
      <c r="K42" s="2">
        <f t="shared" si="46"/>
        <v>0.2007728690066217</v>
      </c>
      <c r="L42">
        <v>50</v>
      </c>
      <c r="M42">
        <v>30</v>
      </c>
      <c r="N42">
        <v>0.83416999999999997</v>
      </c>
      <c r="O42" s="2">
        <f t="shared" si="47"/>
        <v>0.19999402020000001</v>
      </c>
      <c r="P42" s="2">
        <f t="shared" si="48"/>
        <v>0.1000646</v>
      </c>
      <c r="Q42">
        <v>-1</v>
      </c>
      <c r="R42" s="52">
        <f t="shared" si="49"/>
        <v>2.5819138722832681E-5</v>
      </c>
      <c r="S42" s="52">
        <f t="shared" si="50"/>
        <v>-3.0825360707475242E-4</v>
      </c>
      <c r="T42" s="19">
        <f t="shared" si="57"/>
        <v>0.99953095640859579</v>
      </c>
      <c r="U42" s="19">
        <f t="shared" si="51"/>
        <v>1.0007972767333173</v>
      </c>
      <c r="V42" s="48">
        <f t="shared" si="58"/>
        <v>1.9151650451155946E-4</v>
      </c>
      <c r="W42" s="19">
        <f t="shared" si="52"/>
        <v>0.99955677554731859</v>
      </c>
      <c r="X42" s="2">
        <f t="shared" si="53"/>
        <v>-0.4432244526814122</v>
      </c>
      <c r="Y42" s="2">
        <f t="shared" si="54"/>
        <v>-0.4997701115863119</v>
      </c>
      <c r="Z42" s="51">
        <f t="shared" si="55"/>
        <v>6.0429670912842276E-6</v>
      </c>
      <c r="AA42" s="51">
        <f t="shared" si="59"/>
        <v>3.1779311162941537E-6</v>
      </c>
      <c r="AC42" s="2"/>
      <c r="AD42" s="2"/>
      <c r="AE42" s="2"/>
      <c r="AF42" s="2"/>
      <c r="AG42" s="2"/>
      <c r="AM42" s="43" t="s">
        <v>195</v>
      </c>
      <c r="AN42">
        <v>4.0106945720000002E-2</v>
      </c>
      <c r="AO42" s="18">
        <v>-7.4224004000000005E-7</v>
      </c>
      <c r="AP42" s="18">
        <v>9.9728738999999996E-6</v>
      </c>
      <c r="AQ42" s="18">
        <v>1.8489531702343399E-8</v>
      </c>
      <c r="AR42" s="18">
        <v>6.8010111810365398E-8</v>
      </c>
      <c r="AS42" s="18">
        <v>6.2904627268508706E-8</v>
      </c>
      <c r="AT42">
        <v>12</v>
      </c>
      <c r="AU42">
        <v>1</v>
      </c>
      <c r="AW42">
        <f>VLOOKUP(AT42,Constants!$B$15:$L$33,2,FALSE)</f>
        <v>1.0033014728677232</v>
      </c>
      <c r="AX42">
        <f>VLOOKUP(AT42,Constants!$B$15:$L$33,3,FALSE)</f>
        <v>-1.1639650509139207E-4</v>
      </c>
      <c r="AZ42" s="18"/>
    </row>
    <row r="43" spans="1:52" x14ac:dyDescent="0.2">
      <c r="A43">
        <f>ROW()</f>
        <v>43</v>
      </c>
      <c r="C43">
        <f t="shared" ref="C43:H49" si="61">AN42</f>
        <v>4.0106945720000002E-2</v>
      </c>
      <c r="D43">
        <f t="shared" si="61"/>
        <v>-7.4224004000000005E-7</v>
      </c>
      <c r="E43">
        <f t="shared" si="61"/>
        <v>9.9728738999999996E-6</v>
      </c>
      <c r="F43">
        <f t="shared" si="61"/>
        <v>1.8489531702343399E-8</v>
      </c>
      <c r="G43">
        <f t="shared" si="61"/>
        <v>6.8010111810365398E-8</v>
      </c>
      <c r="H43">
        <f t="shared" si="61"/>
        <v>6.2904627268508706E-8</v>
      </c>
      <c r="I43" s="2">
        <v>20.28</v>
      </c>
      <c r="J43" s="17">
        <f t="shared" si="56"/>
        <v>40.106945719999999</v>
      </c>
      <c r="K43" s="2">
        <f t="shared" si="46"/>
        <v>0.40081053359529745</v>
      </c>
      <c r="L43">
        <v>50</v>
      </c>
      <c r="M43">
        <v>30</v>
      </c>
      <c r="N43">
        <v>0.83416999999999997</v>
      </c>
      <c r="O43" s="2">
        <f t="shared" si="47"/>
        <v>0.19999402020000001</v>
      </c>
      <c r="P43" s="2">
        <f t="shared" si="48"/>
        <v>0.1000646</v>
      </c>
      <c r="Q43">
        <v>-1</v>
      </c>
      <c r="R43" s="52">
        <f t="shared" si="49"/>
        <v>2.2185551109751684E-5</v>
      </c>
      <c r="S43" s="52">
        <f t="shared" si="50"/>
        <v>-2.9808915134726304E-4</v>
      </c>
      <c r="T43" s="19">
        <f t="shared" si="57"/>
        <v>0.99953095640859579</v>
      </c>
      <c r="U43" s="19">
        <f t="shared" si="51"/>
        <v>1.0007972767333173</v>
      </c>
      <c r="V43" s="48">
        <f t="shared" si="58"/>
        <v>1.9151650451155946E-4</v>
      </c>
      <c r="W43" s="19">
        <f t="shared" si="52"/>
        <v>0.99955314195970557</v>
      </c>
      <c r="X43" s="2">
        <f t="shared" si="53"/>
        <v>-0.44685804029442888</v>
      </c>
      <c r="Y43" s="2">
        <f t="shared" si="54"/>
        <v>-0.48960565585882249</v>
      </c>
      <c r="Z43" s="51">
        <f t="shared" si="55"/>
        <v>3.4446679064302112E-5</v>
      </c>
      <c r="AA43" s="51">
        <f t="shared" si="59"/>
        <v>1.5890519737266207E-5</v>
      </c>
      <c r="AC43" s="2"/>
      <c r="AD43" s="2"/>
      <c r="AE43" s="2"/>
      <c r="AF43" s="2"/>
      <c r="AG43" s="2"/>
      <c r="AM43" s="43" t="s">
        <v>195</v>
      </c>
      <c r="AN43">
        <v>6.0070232546000003E-2</v>
      </c>
      <c r="AO43" s="18">
        <v>-8.9077762999999997E-7</v>
      </c>
      <c r="AP43" s="18">
        <v>1.4744015000000001E-5</v>
      </c>
      <c r="AQ43" s="18">
        <v>2.6844414183489099E-8</v>
      </c>
      <c r="AR43" s="18">
        <v>1.4031059061650699E-7</v>
      </c>
      <c r="AS43" s="18">
        <v>1.2184130611168001E-7</v>
      </c>
      <c r="AT43">
        <v>12</v>
      </c>
      <c r="AU43">
        <v>1</v>
      </c>
      <c r="AW43">
        <f>VLOOKUP(AT43,Constants!$B$15:$L$33,2,FALSE)</f>
        <v>1.0033014728677232</v>
      </c>
      <c r="AX43">
        <f>VLOOKUP(AT43,Constants!$B$15:$L$33,3,FALSE)</f>
        <v>-1.1639650509139207E-4</v>
      </c>
      <c r="AZ43" s="18"/>
    </row>
    <row r="44" spans="1:52" x14ac:dyDescent="0.2">
      <c r="A44">
        <f>ROW()</f>
        <v>44</v>
      </c>
      <c r="C44">
        <f t="shared" si="61"/>
        <v>6.0070232546000003E-2</v>
      </c>
      <c r="D44">
        <f t="shared" si="61"/>
        <v>-8.9077762999999997E-7</v>
      </c>
      <c r="E44">
        <f t="shared" si="61"/>
        <v>1.4744015000000001E-5</v>
      </c>
      <c r="F44">
        <f t="shared" si="61"/>
        <v>2.6844414183489099E-8</v>
      </c>
      <c r="G44">
        <f t="shared" si="61"/>
        <v>1.4031059061650699E-7</v>
      </c>
      <c r="H44">
        <f t="shared" si="61"/>
        <v>1.2184130611168001E-7</v>
      </c>
      <c r="I44" s="2">
        <v>20.28</v>
      </c>
      <c r="J44" s="17">
        <f t="shared" si="56"/>
        <v>60.070232546</v>
      </c>
      <c r="K44" s="2">
        <f t="shared" si="46"/>
        <v>0.60031452227860804</v>
      </c>
      <c r="L44">
        <v>50</v>
      </c>
      <c r="M44">
        <v>30</v>
      </c>
      <c r="N44">
        <v>0.83416999999999997</v>
      </c>
      <c r="O44" s="2">
        <f t="shared" si="47"/>
        <v>0.19999402020000001</v>
      </c>
      <c r="P44" s="2">
        <f t="shared" si="48"/>
        <v>0.1000646</v>
      </c>
      <c r="Q44">
        <v>-1</v>
      </c>
      <c r="R44" s="52">
        <f t="shared" si="49"/>
        <v>1.7776875138857456E-5</v>
      </c>
      <c r="S44" s="52">
        <f t="shared" si="50"/>
        <v>-2.9424011658267784E-4</v>
      </c>
      <c r="T44" s="19">
        <f t="shared" si="57"/>
        <v>0.99953095640859579</v>
      </c>
      <c r="U44" s="19">
        <f t="shared" si="51"/>
        <v>1.0007972767333173</v>
      </c>
      <c r="V44" s="48">
        <f t="shared" si="58"/>
        <v>1.9151650451155946E-4</v>
      </c>
      <c r="W44" s="19">
        <f t="shared" si="52"/>
        <v>0.99954873328373461</v>
      </c>
      <c r="X44" s="2">
        <f t="shared" si="53"/>
        <v>-0.45126671626538606</v>
      </c>
      <c r="Y44" s="2">
        <f t="shared" si="54"/>
        <v>-0.48575662109423728</v>
      </c>
      <c r="Z44" s="51">
        <f t="shared" si="55"/>
        <v>8.1588612745408211E-5</v>
      </c>
      <c r="AA44" s="51">
        <f t="shared" si="59"/>
        <v>3.6989734172842449E-5</v>
      </c>
      <c r="AC44" s="2"/>
      <c r="AD44" s="11"/>
      <c r="AE44" s="2"/>
      <c r="AF44" s="2"/>
      <c r="AG44" s="2"/>
      <c r="AM44" s="43" t="s">
        <v>195</v>
      </c>
      <c r="AN44">
        <v>0.10041541465999999</v>
      </c>
      <c r="AO44" s="18">
        <v>-1.10269E-6</v>
      </c>
      <c r="AP44" s="18">
        <v>2.3566125999999999E-5</v>
      </c>
      <c r="AQ44" s="18">
        <v>9.4940641924523595E-8</v>
      </c>
      <c r="AR44" s="18">
        <v>1.0587911840678799E-21</v>
      </c>
      <c r="AS44" s="18">
        <v>1.2292566259329299E-7</v>
      </c>
      <c r="AT44">
        <v>13</v>
      </c>
      <c r="AU44">
        <v>1</v>
      </c>
      <c r="AW44">
        <f>VLOOKUP(AT44,Constants!$B$15:$L$33,2,FALSE)</f>
        <v>1.000409916282643</v>
      </c>
      <c r="AX44">
        <f>VLOOKUP(AT44,Constants!$B$15:$L$33,3,FALSE)</f>
        <v>-7.0507061346368138E-5</v>
      </c>
      <c r="AZ44" s="18"/>
    </row>
    <row r="45" spans="1:52" x14ac:dyDescent="0.2">
      <c r="A45">
        <f>ROW()</f>
        <v>45</v>
      </c>
      <c r="C45">
        <f t="shared" si="61"/>
        <v>0.10041541465999999</v>
      </c>
      <c r="D45">
        <f t="shared" si="61"/>
        <v>-1.10269E-6</v>
      </c>
      <c r="E45">
        <f t="shared" si="61"/>
        <v>2.3566125999999999E-5</v>
      </c>
      <c r="F45">
        <f t="shared" si="61"/>
        <v>9.4940641924523595E-8</v>
      </c>
      <c r="G45">
        <f t="shared" si="61"/>
        <v>1.0587911840678799E-21</v>
      </c>
      <c r="H45">
        <f t="shared" si="61"/>
        <v>1.2292566259329299E-7</v>
      </c>
      <c r="I45" s="2">
        <v>20.29</v>
      </c>
      <c r="J45" s="17">
        <f t="shared" si="56"/>
        <v>100.41541466</v>
      </c>
      <c r="K45" s="2">
        <f t="shared" si="46"/>
        <v>1.0035058818003568</v>
      </c>
      <c r="L45">
        <v>50</v>
      </c>
      <c r="M45">
        <v>30</v>
      </c>
      <c r="N45">
        <v>0.83416999999999997</v>
      </c>
      <c r="O45" s="2">
        <f t="shared" si="47"/>
        <v>0.19999402020000001</v>
      </c>
      <c r="P45" s="2">
        <f t="shared" si="48"/>
        <v>0.1000646</v>
      </c>
      <c r="Q45">
        <v>-1</v>
      </c>
      <c r="R45" s="52">
        <f t="shared" si="49"/>
        <v>1.3164321594060413E-5</v>
      </c>
      <c r="S45" s="52">
        <f t="shared" si="50"/>
        <v>-2.8134113974929357E-4</v>
      </c>
      <c r="T45" s="19">
        <f t="shared" si="57"/>
        <v>0.99953095640859579</v>
      </c>
      <c r="U45" s="19">
        <f t="shared" si="51"/>
        <v>1.0007972767333173</v>
      </c>
      <c r="V45" s="48">
        <f t="shared" si="58"/>
        <v>1.9151650451155946E-4</v>
      </c>
      <c r="W45" s="19">
        <f t="shared" si="52"/>
        <v>0.99954412073018983</v>
      </c>
      <c r="X45" s="2">
        <f t="shared" si="53"/>
        <v>-0.45587926981016658</v>
      </c>
      <c r="Y45" s="2">
        <f t="shared" si="54"/>
        <v>-0.47285764426085303</v>
      </c>
      <c r="Z45" s="51">
        <f t="shared" si="55"/>
        <v>2.3421668872122202E-4</v>
      </c>
      <c r="AA45" s="51">
        <f t="shared" si="59"/>
        <v>1.0530115571289238E-4</v>
      </c>
      <c r="AC45" s="2"/>
      <c r="AD45" s="2"/>
      <c r="AE45" s="2"/>
      <c r="AF45" s="2"/>
      <c r="AG45" s="2"/>
      <c r="AM45" s="43" t="s">
        <v>195</v>
      </c>
      <c r="AN45">
        <v>0.11988927634</v>
      </c>
      <c r="AO45" s="18">
        <v>-1.11014E-6</v>
      </c>
      <c r="AP45" s="18">
        <v>2.7919867E-5</v>
      </c>
      <c r="AQ45" s="18">
        <v>2.5574069549443599E-6</v>
      </c>
      <c r="AR45" s="18">
        <v>1.4823076576950299E-21</v>
      </c>
      <c r="AS45" s="18">
        <v>2.9428292695975101E-8</v>
      </c>
      <c r="AT45">
        <v>13</v>
      </c>
      <c r="AU45">
        <v>1</v>
      </c>
      <c r="AW45">
        <f>VLOOKUP(AT45,Constants!$B$15:$L$33,2,FALSE)</f>
        <v>1.000409916282643</v>
      </c>
      <c r="AX45">
        <f>VLOOKUP(AT45,Constants!$B$15:$L$33,3,FALSE)</f>
        <v>-7.0507061346368138E-5</v>
      </c>
      <c r="AZ45" s="18"/>
    </row>
    <row r="46" spans="1:52" x14ac:dyDescent="0.2">
      <c r="A46">
        <f>ROW()</f>
        <v>46</v>
      </c>
      <c r="C46">
        <f t="shared" si="61"/>
        <v>0.11988927634</v>
      </c>
      <c r="D46">
        <f t="shared" si="61"/>
        <v>-1.11014E-6</v>
      </c>
      <c r="E46">
        <f t="shared" si="61"/>
        <v>2.7919867E-5</v>
      </c>
      <c r="F46">
        <f t="shared" si="61"/>
        <v>2.5574069549443599E-6</v>
      </c>
      <c r="G46">
        <f t="shared" si="61"/>
        <v>1.4823076576950299E-21</v>
      </c>
      <c r="H46">
        <f t="shared" si="61"/>
        <v>2.9428292695975101E-8</v>
      </c>
      <c r="I46" s="2">
        <v>20.29</v>
      </c>
      <c r="J46" s="17">
        <f t="shared" si="56"/>
        <v>119.88927634</v>
      </c>
      <c r="K46" s="2">
        <f t="shared" si="46"/>
        <v>1.1981187786689798</v>
      </c>
      <c r="L46">
        <v>50</v>
      </c>
      <c r="M46">
        <v>30</v>
      </c>
      <c r="N46">
        <v>0.83416999999999997</v>
      </c>
      <c r="O46" s="2">
        <f t="shared" si="47"/>
        <v>0.19999402020000001</v>
      </c>
      <c r="P46" s="2">
        <f t="shared" si="48"/>
        <v>0.1000646</v>
      </c>
      <c r="Q46">
        <v>-1</v>
      </c>
      <c r="R46" s="52">
        <f t="shared" si="49"/>
        <v>1.11005077806427E-5</v>
      </c>
      <c r="S46" s="52">
        <f t="shared" si="50"/>
        <v>-2.7917623080693369E-4</v>
      </c>
      <c r="T46" s="19">
        <f t="shared" si="57"/>
        <v>0.99953095640859579</v>
      </c>
      <c r="U46" s="19">
        <f t="shared" si="51"/>
        <v>1.0007972767333173</v>
      </c>
      <c r="V46" s="48">
        <f t="shared" si="58"/>
        <v>1.9151650451155946E-4</v>
      </c>
      <c r="W46" s="19">
        <f t="shared" si="52"/>
        <v>0.99954205691637643</v>
      </c>
      <c r="X46" s="2">
        <f t="shared" si="53"/>
        <v>-0.45794308362356873</v>
      </c>
      <c r="Y46" s="2">
        <f t="shared" si="54"/>
        <v>-0.47069273531849315</v>
      </c>
      <c r="Z46" s="51">
        <f t="shared" si="55"/>
        <v>3.3534724057454222E-4</v>
      </c>
      <c r="AA46" s="51">
        <f t="shared" si="59"/>
        <v>1.5056394051878071E-4</v>
      </c>
      <c r="AC46" s="2"/>
      <c r="AD46" s="2"/>
      <c r="AE46" s="2"/>
      <c r="AF46" s="2"/>
      <c r="AG46" s="2"/>
      <c r="AL46" s="187" t="s">
        <v>198</v>
      </c>
      <c r="AM46" s="43" t="s">
        <v>195</v>
      </c>
      <c r="AN46">
        <v>3.0131838131999999E-2</v>
      </c>
      <c r="AO46" s="18">
        <v>-6.8667706000000003E-7</v>
      </c>
      <c r="AP46" s="18">
        <v>7.5780981999999997E-6</v>
      </c>
      <c r="AQ46" s="18">
        <v>2.93754213180569E-8</v>
      </c>
      <c r="AR46" s="18">
        <v>1.14736472039262E-7</v>
      </c>
      <c r="AS46" s="18">
        <v>5.2985423191289097E-8</v>
      </c>
      <c r="AT46">
        <v>11</v>
      </c>
      <c r="AU46">
        <v>1</v>
      </c>
      <c r="AW46">
        <f>VLOOKUP(AT46,Constants!$B$15:$L$33,2,FALSE)</f>
        <v>1.0014538869894722</v>
      </c>
      <c r="AX46">
        <f>VLOOKUP(AT46,Constants!$B$15:$L$33,3,FALSE)</f>
        <v>-1.6494401832275451E-4</v>
      </c>
    </row>
    <row r="47" spans="1:52" x14ac:dyDescent="0.2">
      <c r="A47">
        <f>ROW()</f>
        <v>47</v>
      </c>
      <c r="B47" s="164" t="s">
        <v>52</v>
      </c>
      <c r="C47" s="122">
        <f t="shared" si="61"/>
        <v>3.0131838131999999E-2</v>
      </c>
      <c r="D47" s="122">
        <f t="shared" si="61"/>
        <v>-6.8667706000000003E-7</v>
      </c>
      <c r="E47" s="122">
        <f t="shared" si="61"/>
        <v>7.5780981999999997E-6</v>
      </c>
      <c r="F47" s="122">
        <f t="shared" si="61"/>
        <v>2.93754213180569E-8</v>
      </c>
      <c r="G47" s="122">
        <f t="shared" si="61"/>
        <v>1.14736472039262E-7</v>
      </c>
      <c r="H47" s="122">
        <f t="shared" si="61"/>
        <v>5.2985423191289097E-8</v>
      </c>
      <c r="I47" s="124">
        <v>20.3</v>
      </c>
      <c r="J47" s="125">
        <f>100*C47/0.1</f>
        <v>30.131838131999999</v>
      </c>
      <c r="K47" s="124">
        <f>C47/P47</f>
        <v>0.30112385530947006</v>
      </c>
      <c r="L47" s="122">
        <v>50</v>
      </c>
      <c r="M47" s="122">
        <v>30</v>
      </c>
      <c r="N47" s="122">
        <v>0.83416999999999997</v>
      </c>
      <c r="O47" s="124">
        <f t="shared" si="47"/>
        <v>0.19999402020000001</v>
      </c>
      <c r="P47" s="124">
        <f t="shared" si="48"/>
        <v>0.1000646</v>
      </c>
      <c r="Q47" s="126">
        <v>-1</v>
      </c>
      <c r="R47" s="52">
        <f>Q47*D47/C47/N47</f>
        <v>2.731947482448942E-5</v>
      </c>
      <c r="S47" s="52">
        <f>Q47*E47/C47/N47</f>
        <v>-3.0149494580816282E-4</v>
      </c>
      <c r="T47" s="19">
        <f>M47*N47*O47/(P47*U47*L47)</f>
        <v>0.99953095640859579</v>
      </c>
      <c r="U47" s="19">
        <f t="shared" si="51"/>
        <v>1.0007972767333173</v>
      </c>
      <c r="V47" s="48">
        <f t="shared" si="58"/>
        <v>1.9151650451155946E-4</v>
      </c>
      <c r="W47" s="19">
        <f>R47+T47</f>
        <v>0.99955827588342028</v>
      </c>
      <c r="X47" s="2">
        <f>1000*(W47-1)</f>
        <v>-0.44172411657972255</v>
      </c>
      <c r="Y47" s="2">
        <f>1000*(S47-V47)</f>
        <v>-0.49301145031972227</v>
      </c>
      <c r="Z47" t="s">
        <v>68</v>
      </c>
      <c r="AA47" t="s">
        <v>67</v>
      </c>
      <c r="AB47" t="s">
        <v>66</v>
      </c>
      <c r="AD47" s="2"/>
      <c r="AE47" s="2"/>
      <c r="AF47" s="2"/>
      <c r="AG47" s="2"/>
      <c r="AL47" s="187" t="s">
        <v>196</v>
      </c>
      <c r="AM47" s="43" t="s">
        <v>195</v>
      </c>
      <c r="AN47">
        <v>3.0148217836E-2</v>
      </c>
      <c r="AO47" s="18">
        <v>-3.3434067999999998E-5</v>
      </c>
      <c r="AP47" s="18">
        <v>5.5338176999999997E-6</v>
      </c>
      <c r="AQ47" s="18">
        <v>3.8782287187972703E-8</v>
      </c>
      <c r="AR47" s="18">
        <v>2.77221459486817E-8</v>
      </c>
      <c r="AS47" s="18">
        <v>2.5217041652620598E-8</v>
      </c>
      <c r="AT47">
        <v>13</v>
      </c>
      <c r="AU47">
        <v>1</v>
      </c>
      <c r="AW47">
        <f>VLOOKUP(AT47,Constants!$B$15:$L$33,2,FALSE)</f>
        <v>1.000409916282643</v>
      </c>
      <c r="AX47">
        <f>VLOOKUP(AT47,Constants!$B$15:$L$33,3,FALSE)</f>
        <v>-7.0507061346368138E-5</v>
      </c>
    </row>
    <row r="48" spans="1:52" x14ac:dyDescent="0.2">
      <c r="A48">
        <f>ROW()</f>
        <v>48</v>
      </c>
      <c r="B48" s="164" t="s">
        <v>193</v>
      </c>
      <c r="C48" s="122">
        <f t="shared" si="61"/>
        <v>3.0148217836E-2</v>
      </c>
      <c r="D48" s="122">
        <f t="shared" si="61"/>
        <v>-3.3434067999999998E-5</v>
      </c>
      <c r="E48" s="122">
        <f t="shared" si="61"/>
        <v>5.5338176999999997E-6</v>
      </c>
      <c r="F48" s="122">
        <f t="shared" si="61"/>
        <v>3.8782287187972703E-8</v>
      </c>
      <c r="G48" s="122">
        <f t="shared" si="61"/>
        <v>2.77221459486817E-8</v>
      </c>
      <c r="H48" s="122">
        <f t="shared" si="61"/>
        <v>2.5217041652620598E-8</v>
      </c>
      <c r="I48" s="124">
        <v>20.3</v>
      </c>
      <c r="J48" s="125">
        <f>100*C48/0.1</f>
        <v>30.148217835999997</v>
      </c>
      <c r="K48" s="124">
        <f>C48/P48</f>
        <v>0.30128754660489321</v>
      </c>
      <c r="L48" s="122">
        <v>50</v>
      </c>
      <c r="M48" s="122">
        <v>30</v>
      </c>
      <c r="N48" s="122">
        <v>0.83416999999999997</v>
      </c>
      <c r="O48" s="124">
        <f t="shared" si="47"/>
        <v>0.19999402020000001</v>
      </c>
      <c r="P48" s="124">
        <f t="shared" si="48"/>
        <v>0.1000646</v>
      </c>
      <c r="Q48" s="126">
        <v>-1</v>
      </c>
      <c r="R48" s="52">
        <f>Q48*D48/C48/N48</f>
        <v>1.3294530660097705E-3</v>
      </c>
      <c r="S48" s="52">
        <f>Q48*E48/C48/N48</f>
        <v>-2.2004354683983227E-4</v>
      </c>
      <c r="T48" s="19">
        <f>M48*N48*O48/(P48*U48*L48)</f>
        <v>0.99953095640859579</v>
      </c>
      <c r="U48" s="19">
        <f>$AA$16</f>
        <v>1.0007972767333173</v>
      </c>
      <c r="V48" s="48">
        <f t="shared" si="58"/>
        <v>1.9151650451155946E-4</v>
      </c>
      <c r="W48" s="19">
        <f>R48+T48</f>
        <v>1.0008604094746056</v>
      </c>
      <c r="X48" s="42">
        <f>1000*(W48-1)</f>
        <v>0.86040947460563899</v>
      </c>
      <c r="Y48" s="42">
        <f>1000*(S48-V48)</f>
        <v>-0.41156005135139173</v>
      </c>
      <c r="Z48" s="43"/>
      <c r="AA48" s="46">
        <f>100*-(X48-X47)/1000</f>
        <v>-0.13021335911853615</v>
      </c>
      <c r="AB48" s="46">
        <f>1000*-(Y48-Y47)/1000</f>
        <v>-8.1451398968330535E-2</v>
      </c>
      <c r="AC48" s="5"/>
      <c r="AD48" s="166" t="s">
        <v>200</v>
      </c>
      <c r="AE48" s="2"/>
      <c r="AF48" s="2"/>
      <c r="AG48" s="2"/>
      <c r="AL48" s="187" t="s">
        <v>197</v>
      </c>
      <c r="AM48" s="43" t="s">
        <v>195</v>
      </c>
      <c r="AN48">
        <v>3.0160865758000002E-2</v>
      </c>
      <c r="AO48" s="18">
        <v>-6.0641558000000001E-7</v>
      </c>
      <c r="AP48" s="18">
        <v>6.5746774000000001E-6</v>
      </c>
      <c r="AQ48" s="18">
        <v>1.74322983370956E-8</v>
      </c>
      <c r="AR48" s="18">
        <v>9.5310279734788301E-8</v>
      </c>
      <c r="AS48" s="18">
        <v>8.1607347838537206E-8</v>
      </c>
      <c r="AT48">
        <v>11</v>
      </c>
      <c r="AU48">
        <v>1</v>
      </c>
      <c r="AW48">
        <f>VLOOKUP(AT48,Constants!$B$15:$L$33,2,FALSE)</f>
        <v>1.0014538869894722</v>
      </c>
      <c r="AX48">
        <f>VLOOKUP(AT48,Constants!$B$15:$L$33,3,FALSE)</f>
        <v>-1.6494401832275451E-4</v>
      </c>
    </row>
    <row r="49" spans="1:50" x14ac:dyDescent="0.2">
      <c r="A49">
        <f>ROW()</f>
        <v>49</v>
      </c>
      <c r="B49" s="126"/>
      <c r="C49" s="122">
        <f t="shared" si="61"/>
        <v>3.0160865758000002E-2</v>
      </c>
      <c r="D49" s="122">
        <f t="shared" si="61"/>
        <v>-6.0641558000000001E-7</v>
      </c>
      <c r="E49" s="122">
        <f t="shared" si="61"/>
        <v>6.5746774000000001E-6</v>
      </c>
      <c r="F49" s="122">
        <f t="shared" si="61"/>
        <v>1.74322983370956E-8</v>
      </c>
      <c r="G49" s="122">
        <f t="shared" si="61"/>
        <v>9.5310279734788301E-8</v>
      </c>
      <c r="H49" s="122">
        <f t="shared" si="61"/>
        <v>8.1607347838537206E-8</v>
      </c>
      <c r="I49" s="124">
        <v>20.3</v>
      </c>
      <c r="J49" s="125">
        <f>100*C49/0.1</f>
        <v>30.160865758</v>
      </c>
      <c r="K49" s="124">
        <f>C49/P49</f>
        <v>0.30141394417206485</v>
      </c>
      <c r="L49" s="122">
        <v>50</v>
      </c>
      <c r="M49" s="122">
        <v>30</v>
      </c>
      <c r="N49" s="122">
        <v>0.83416999999999997</v>
      </c>
      <c r="O49" s="124">
        <f t="shared" si="47"/>
        <v>0.19999402020000001</v>
      </c>
      <c r="P49" s="124">
        <f t="shared" si="48"/>
        <v>0.1000646</v>
      </c>
      <c r="Q49" s="126">
        <v>-1</v>
      </c>
      <c r="R49" s="52">
        <f>Q49*D49/C49/N49</f>
        <v>2.4103048802987126E-5</v>
      </c>
      <c r="S49" s="52">
        <f>Q49*E49/C49/N49</f>
        <v>-2.6132206272816492E-4</v>
      </c>
      <c r="T49" s="19">
        <f>M49*N49*O49/(P49*U49*L49)</f>
        <v>0.99953095640859579</v>
      </c>
      <c r="U49" s="19">
        <f>$AA$16</f>
        <v>1.0007972767333173</v>
      </c>
      <c r="V49" s="48">
        <f t="shared" si="58"/>
        <v>1.9151650451155946E-4</v>
      </c>
      <c r="W49" s="19">
        <f>R49+T49</f>
        <v>0.99955505945739875</v>
      </c>
      <c r="X49" s="42">
        <f>1000*(W49-1)</f>
        <v>-0.44494054260124649</v>
      </c>
      <c r="Y49" s="42">
        <f>1000*(S49-V49)</f>
        <v>-0.45283856723972438</v>
      </c>
      <c r="Z49" s="43"/>
      <c r="AA49" s="43"/>
      <c r="AB49" s="43"/>
      <c r="AC49" s="5"/>
      <c r="AD49" s="166" t="s">
        <v>201</v>
      </c>
    </row>
    <row r="50" spans="1:50" x14ac:dyDescent="0.2">
      <c r="A50">
        <f>ROW()</f>
        <v>50</v>
      </c>
      <c r="D50" s="18"/>
      <c r="F50" s="18"/>
      <c r="G50" s="18"/>
      <c r="H50" s="18"/>
      <c r="J50" s="18"/>
      <c r="L50" s="18"/>
      <c r="M50" s="18"/>
      <c r="N50" s="18"/>
      <c r="O50" s="18"/>
      <c r="R50" s="52"/>
      <c r="S50" s="52"/>
      <c r="T50" s="19"/>
      <c r="U50" s="19"/>
      <c r="V50" s="48"/>
      <c r="W50" s="19"/>
      <c r="X50" s="2"/>
      <c r="Y50" s="2"/>
      <c r="AA50" s="3"/>
      <c r="AB50" t="s">
        <v>64</v>
      </c>
      <c r="AE50" s="170" t="s">
        <v>202</v>
      </c>
      <c r="AW50" s="43" t="s">
        <v>247</v>
      </c>
    </row>
    <row r="51" spans="1:50" x14ac:dyDescent="0.2">
      <c r="A51">
        <f>ROW()</f>
        <v>51</v>
      </c>
      <c r="B51" s="43" t="s">
        <v>51</v>
      </c>
      <c r="C51" s="5" t="str">
        <f>B55&amp;" range, "&amp;B57&amp;", vs shunts and 100 AT on "&amp;B59&amp;" range."</f>
        <v>30/1 range, l - 1200At(1A), vs shunts and 100 AT on 50/1 range.</v>
      </c>
      <c r="F51" s="18"/>
      <c r="G51" s="18"/>
      <c r="H51" s="18"/>
      <c r="J51" s="18"/>
      <c r="L51" s="183"/>
      <c r="M51" s="18"/>
      <c r="N51" s="18"/>
      <c r="R51" s="50"/>
      <c r="S51" s="50"/>
      <c r="V51" s="47"/>
      <c r="X51" s="19"/>
      <c r="Y51" s="19"/>
      <c r="Z51" t="s">
        <v>63</v>
      </c>
      <c r="AA51" t="s">
        <v>63</v>
      </c>
      <c r="AB51" t="s">
        <v>65</v>
      </c>
      <c r="AE51" s="170" t="s">
        <v>203</v>
      </c>
      <c r="AM51" s="43" t="s">
        <v>194</v>
      </c>
      <c r="AN51" s="18">
        <v>5.9882564293999999E-3</v>
      </c>
      <c r="AO51" s="18">
        <v>-5.38889E-9</v>
      </c>
      <c r="AP51" s="18">
        <v>1.5735485E-6</v>
      </c>
      <c r="AQ51" s="18">
        <v>8.1605716760778998E-8</v>
      </c>
      <c r="AR51" s="18">
        <v>7.5183572325334902E-8</v>
      </c>
      <c r="AS51" s="18">
        <v>5.7033168233493697E-8</v>
      </c>
      <c r="AT51">
        <v>9</v>
      </c>
      <c r="AU51">
        <v>1</v>
      </c>
      <c r="AW51">
        <f>VLOOKUP(AT51,Constants!$B$15:$L$33,2,FALSE)</f>
        <v>0.99371490585295241</v>
      </c>
      <c r="AX51">
        <f>VLOOKUP(AT51,Constants!$B$15:$L$33,3,FALSE)</f>
        <v>1.4986286639243325E-2</v>
      </c>
    </row>
    <row r="52" spans="1:50" x14ac:dyDescent="0.2">
      <c r="A52">
        <f>ROW()</f>
        <v>52</v>
      </c>
      <c r="B52" s="4">
        <v>43376</v>
      </c>
      <c r="I52" s="2"/>
      <c r="J52" s="17"/>
      <c r="K52" s="2"/>
      <c r="L52" s="18"/>
      <c r="M52" s="18"/>
      <c r="N52" s="18"/>
      <c r="R52" s="52"/>
      <c r="S52" s="52"/>
      <c r="T52" s="19"/>
      <c r="U52" s="19"/>
      <c r="V52" s="48"/>
      <c r="W52" s="19"/>
      <c r="X52" t="s">
        <v>6</v>
      </c>
      <c r="Y52" t="s">
        <v>7</v>
      </c>
      <c r="Z52" t="s">
        <v>61</v>
      </c>
      <c r="AA52" t="s">
        <v>62</v>
      </c>
      <c r="AB52" t="s">
        <v>6</v>
      </c>
      <c r="AC52" t="s">
        <v>7</v>
      </c>
      <c r="AE52" s="170" t="s">
        <v>204</v>
      </c>
      <c r="AM52" s="43" t="s">
        <v>194</v>
      </c>
      <c r="AN52" s="18">
        <v>1.2054979204E-2</v>
      </c>
      <c r="AO52" s="18">
        <v>2.8805949099999999E-8</v>
      </c>
      <c r="AP52" s="18">
        <v>3.2346142000000002E-6</v>
      </c>
      <c r="AQ52" s="18">
        <v>2.77427529692787E-8</v>
      </c>
      <c r="AR52" s="18">
        <v>4.8404462633575499E-8</v>
      </c>
      <c r="AS52" s="18">
        <v>6.0838073279485104E-8</v>
      </c>
      <c r="AT52">
        <v>10</v>
      </c>
      <c r="AU52">
        <v>1</v>
      </c>
      <c r="AW52">
        <f>VLOOKUP(AT52,Constants!$B$15:$L$33,2,FALSE)</f>
        <v>0.99248924126722049</v>
      </c>
      <c r="AX52">
        <f>VLOOKUP(AT52,Constants!$B$15:$L$33,3,FALSE)</f>
        <v>-2.7303958893031477E-4</v>
      </c>
    </row>
    <row r="53" spans="1:50" x14ac:dyDescent="0.2">
      <c r="A53">
        <f>ROW()</f>
        <v>53</v>
      </c>
      <c r="C53" s="18">
        <f>AN51</f>
        <v>5.9882564293999999E-3</v>
      </c>
      <c r="D53" s="18">
        <f t="shared" ref="D53:H59" si="62">AO51</f>
        <v>-5.38889E-9</v>
      </c>
      <c r="E53" s="18">
        <f t="shared" si="62"/>
        <v>1.5735485E-6</v>
      </c>
      <c r="F53" s="18">
        <f t="shared" si="62"/>
        <v>8.1605716760778998E-8</v>
      </c>
      <c r="G53" s="18">
        <f t="shared" si="62"/>
        <v>7.5183572325334902E-8</v>
      </c>
      <c r="H53" s="18">
        <f t="shared" si="62"/>
        <v>5.7033168233493697E-8</v>
      </c>
      <c r="I53" s="2">
        <v>20.350000000000001</v>
      </c>
      <c r="J53" s="17">
        <f t="shared" ref="J53:J59" si="63">100*C53/0.1</f>
        <v>5.9882564293999989</v>
      </c>
      <c r="K53" s="2">
        <f t="shared" ref="K53:K57" si="64">(C53/O53)*(30/50)*N53*100</f>
        <v>1.4985940014065391</v>
      </c>
      <c r="L53">
        <v>50</v>
      </c>
      <c r="M53">
        <v>30</v>
      </c>
      <c r="N53">
        <v>0.83416000000000001</v>
      </c>
      <c r="O53" s="2">
        <f t="shared" ref="O53:O59" si="65">MSL0.2</f>
        <v>0.19999402020000001</v>
      </c>
      <c r="P53" s="2">
        <f t="shared" ref="P53:P59" si="66">Ti_969</f>
        <v>0.1000646</v>
      </c>
      <c r="Q53">
        <v>1</v>
      </c>
      <c r="R53" s="52">
        <f t="shared" ref="R53:R57" si="67">Q53*D53/C53/N53</f>
        <v>-1.0788214397325036E-6</v>
      </c>
      <c r="S53" s="52">
        <f t="shared" ref="S53:S57" si="68">Q53*E53/C53/N53</f>
        <v>3.1501438297291674E-4</v>
      </c>
      <c r="T53" s="19">
        <f>M53*N53*O53/(P53*U53*L53)</f>
        <v>0.99951897406738954</v>
      </c>
      <c r="U53" s="19">
        <f t="shared" ref="U53:U59" si="69">$AA$16</f>
        <v>1.0007972767333173</v>
      </c>
      <c r="V53" s="48">
        <f>AA$17</f>
        <v>2.3329884646001238E-4</v>
      </c>
      <c r="W53" s="19">
        <f>R53+T53</f>
        <v>0.99951789524594981</v>
      </c>
      <c r="X53" s="2">
        <f>1000*(W53-1)</f>
        <v>-0.48210475405019437</v>
      </c>
      <c r="Y53" s="2">
        <f t="shared" ref="Y53:Y57" si="70">1000*(S53-V53)</f>
        <v>8.1715536512904363E-2</v>
      </c>
      <c r="Z53" s="51">
        <f t="shared" ref="Z53:Z57" si="71">((C53*N53)^2/P53-$AB$10)*$Z$28*0.001</f>
        <v>-2.6260751241588768E-6</v>
      </c>
      <c r="AA53" s="51">
        <f>(C53^2/O53-$Z$10)*$AB$5*0.001</f>
        <v>-7.0204449699712206E-7</v>
      </c>
      <c r="AB53" s="2">
        <f>0.5*(X53+X61)+AA53-Z53</f>
        <v>-0.48949403655310297</v>
      </c>
      <c r="AC53" s="2">
        <f t="shared" ref="AC53:AC57" si="72">0.5*(Y53+Y61)</f>
        <v>9.5028195365449764E-2</v>
      </c>
      <c r="AE53" s="168">
        <v>1.4910000000000001</v>
      </c>
      <c r="AM53" s="43" t="s">
        <v>194</v>
      </c>
      <c r="AN53" s="18">
        <v>2.4246622158000001E-2</v>
      </c>
      <c r="AO53" s="18">
        <v>1.4482155E-9</v>
      </c>
      <c r="AP53" s="18">
        <v>6.3309406999999996E-6</v>
      </c>
      <c r="AQ53" s="18">
        <v>1.7795187752572999E-6</v>
      </c>
      <c r="AR53" s="18">
        <v>2.887633409398E-8</v>
      </c>
      <c r="AS53" s="18">
        <v>4.57208680857002E-8</v>
      </c>
      <c r="AT53">
        <v>11</v>
      </c>
      <c r="AU53">
        <v>1</v>
      </c>
      <c r="AW53">
        <f>VLOOKUP(AT53,Constants!$B$15:$L$33,2,FALSE)</f>
        <v>1.0014538869894722</v>
      </c>
      <c r="AX53">
        <f>VLOOKUP(AT53,Constants!$B$15:$L$33,3,FALSE)</f>
        <v>-1.6494401832275451E-4</v>
      </c>
    </row>
    <row r="54" spans="1:50" x14ac:dyDescent="0.2">
      <c r="A54">
        <f>ROW()</f>
        <v>54</v>
      </c>
      <c r="B54" s="5" t="s">
        <v>110</v>
      </c>
      <c r="C54" s="18">
        <f t="shared" ref="C54:C59" si="73">AN52</f>
        <v>1.2054979204E-2</v>
      </c>
      <c r="D54" s="18">
        <f t="shared" si="62"/>
        <v>2.8805949099999999E-8</v>
      </c>
      <c r="E54" s="18">
        <f t="shared" si="62"/>
        <v>3.2346142000000002E-6</v>
      </c>
      <c r="F54" s="18">
        <f t="shared" si="62"/>
        <v>2.77427529692787E-8</v>
      </c>
      <c r="G54" s="18">
        <f t="shared" si="62"/>
        <v>4.8404462633575499E-8</v>
      </c>
      <c r="H54" s="18">
        <f t="shared" si="62"/>
        <v>6.0838073279485104E-8</v>
      </c>
      <c r="I54" s="2">
        <v>20.350000000000001</v>
      </c>
      <c r="J54" s="17">
        <f t="shared" si="63"/>
        <v>12.054979204</v>
      </c>
      <c r="K54" s="2">
        <f t="shared" si="64"/>
        <v>3.0168246358823798</v>
      </c>
      <c r="L54">
        <v>50</v>
      </c>
      <c r="M54">
        <v>30</v>
      </c>
      <c r="N54">
        <v>0.83416000000000001</v>
      </c>
      <c r="O54" s="2">
        <f t="shared" si="65"/>
        <v>0.19999402020000001</v>
      </c>
      <c r="P54" s="2">
        <f t="shared" si="66"/>
        <v>0.1000646</v>
      </c>
      <c r="Q54">
        <v>1</v>
      </c>
      <c r="R54" s="52">
        <f t="shared" si="67"/>
        <v>2.8646156676321088E-6</v>
      </c>
      <c r="S54" s="52">
        <f t="shared" si="68"/>
        <v>3.2166711410544361E-4</v>
      </c>
      <c r="T54" s="19">
        <f t="shared" ref="T54:T57" si="74">M54*N54*O54/(P54*U54*L54)</f>
        <v>0.99951897406738954</v>
      </c>
      <c r="U54" s="19">
        <f t="shared" si="69"/>
        <v>1.0007972767333173</v>
      </c>
      <c r="V54" s="48">
        <f t="shared" ref="V54:V57" si="75">AA$17</f>
        <v>2.3329884646001238E-4</v>
      </c>
      <c r="W54" s="19">
        <f t="shared" ref="W54:W57" si="76">R54+T54</f>
        <v>0.99952183868305722</v>
      </c>
      <c r="X54" s="2">
        <f t="shared" ref="X54:X57" si="77">1000*(W54-1)</f>
        <v>-0.4781613169427823</v>
      </c>
      <c r="Y54" s="2">
        <f t="shared" si="70"/>
        <v>8.8368267645431223E-2</v>
      </c>
      <c r="Z54" s="51">
        <f t="shared" si="71"/>
        <v>-4.5807760168245895E-8</v>
      </c>
      <c r="AA54" s="51">
        <f t="shared" ref="AA54:AA57" si="78">(C54^2/O54-$Z$10)*$AB$5*0.001</f>
        <v>4.5282793767956468E-7</v>
      </c>
      <c r="AB54" s="2">
        <f t="shared" ref="AB54:AB57" si="79">0.5*(X54+X62)+AA54-Z54</f>
        <v>-0.48337240890771338</v>
      </c>
      <c r="AC54" s="2">
        <f t="shared" si="72"/>
        <v>9.9267122262443219E-2</v>
      </c>
      <c r="AE54" s="168">
        <v>3.0150000000000001</v>
      </c>
      <c r="AM54" s="43" t="s">
        <v>194</v>
      </c>
      <c r="AN54" s="18">
        <v>4.8280686502E-2</v>
      </c>
      <c r="AO54" s="18">
        <v>5.6159107000000001E-9</v>
      </c>
      <c r="AP54" s="18">
        <v>1.2397633E-5</v>
      </c>
      <c r="AQ54" s="18">
        <v>2.57933388078828E-8</v>
      </c>
      <c r="AR54" s="18">
        <v>1.09044559158373E-8</v>
      </c>
      <c r="AS54" s="18">
        <v>1.04228644867906E-7</v>
      </c>
      <c r="AT54">
        <v>12</v>
      </c>
      <c r="AU54">
        <v>1</v>
      </c>
      <c r="AW54">
        <f>VLOOKUP(AT54,Constants!$B$15:$L$33,2,FALSE)</f>
        <v>1.0033014728677232</v>
      </c>
      <c r="AX54">
        <f>VLOOKUP(AT54,Constants!$B$15:$L$33,3,FALSE)</f>
        <v>-1.1639650509139207E-4</v>
      </c>
    </row>
    <row r="55" spans="1:50" x14ac:dyDescent="0.2">
      <c r="A55">
        <f>ROW()</f>
        <v>55</v>
      </c>
      <c r="B55" s="161" t="s">
        <v>191</v>
      </c>
      <c r="C55" s="18">
        <f t="shared" si="73"/>
        <v>2.4246622158000001E-2</v>
      </c>
      <c r="D55" s="18">
        <f t="shared" si="62"/>
        <v>1.4482155E-9</v>
      </c>
      <c r="E55" s="18">
        <f t="shared" si="62"/>
        <v>6.3309406999999996E-6</v>
      </c>
      <c r="F55" s="18">
        <f t="shared" si="62"/>
        <v>1.7795187752572999E-6</v>
      </c>
      <c r="G55" s="18">
        <f t="shared" si="62"/>
        <v>2.887633409398E-8</v>
      </c>
      <c r="H55" s="18">
        <f t="shared" si="62"/>
        <v>4.57208680857002E-8</v>
      </c>
      <c r="I55" s="2">
        <v>20.350000000000001</v>
      </c>
      <c r="J55" s="17">
        <f t="shared" si="63"/>
        <v>24.246622158000001</v>
      </c>
      <c r="K55" s="2">
        <f t="shared" si="64"/>
        <v>6.0678501244460552</v>
      </c>
      <c r="L55">
        <v>50</v>
      </c>
      <c r="M55">
        <v>30</v>
      </c>
      <c r="N55">
        <v>0.83416000000000001</v>
      </c>
      <c r="O55" s="2">
        <f t="shared" si="65"/>
        <v>0.19999402020000001</v>
      </c>
      <c r="P55" s="2">
        <f t="shared" si="66"/>
        <v>0.1000646</v>
      </c>
      <c r="Q55">
        <v>1</v>
      </c>
      <c r="R55" s="52">
        <f t="shared" si="67"/>
        <v>7.1603225448261381E-8</v>
      </c>
      <c r="S55" s="52">
        <f t="shared" si="68"/>
        <v>3.1301679497400329E-4</v>
      </c>
      <c r="T55" s="19">
        <f t="shared" si="74"/>
        <v>0.99951897406738954</v>
      </c>
      <c r="U55" s="19">
        <f t="shared" si="69"/>
        <v>1.0007972767333173</v>
      </c>
      <c r="V55" s="48">
        <f t="shared" si="75"/>
        <v>2.3329884646001238E-4</v>
      </c>
      <c r="W55" s="19">
        <f t="shared" si="76"/>
        <v>0.999519045670615</v>
      </c>
      <c r="X55" s="2">
        <f t="shared" si="77"/>
        <v>-0.48095432938499716</v>
      </c>
      <c r="Y55" s="2">
        <f t="shared" si="70"/>
        <v>7.9717948513990916E-2</v>
      </c>
      <c r="Z55" s="51">
        <f t="shared" si="71"/>
        <v>1.0386590486047889E-5</v>
      </c>
      <c r="AA55" s="51">
        <f t="shared" si="78"/>
        <v>5.1221460596167035E-6</v>
      </c>
      <c r="AB55" s="2">
        <f t="shared" si="79"/>
        <v>-0.48865339037733757</v>
      </c>
      <c r="AC55" s="2">
        <f t="shared" si="72"/>
        <v>9.1037717917453576E-2</v>
      </c>
      <c r="AE55" s="168">
        <v>5.99</v>
      </c>
      <c r="AM55" s="43" t="s">
        <v>194</v>
      </c>
      <c r="AN55" s="18">
        <v>7.2030876199999996E-2</v>
      </c>
      <c r="AO55" s="18">
        <v>1.6086824580000001E-7</v>
      </c>
      <c r="AP55" s="18">
        <v>1.8006770999999999E-5</v>
      </c>
      <c r="AQ55" s="18">
        <v>5.74165864694916E-8</v>
      </c>
      <c r="AR55" s="18">
        <v>1.55477713255912E-7</v>
      </c>
      <c r="AS55" s="18">
        <v>3.3594970739680601E-8</v>
      </c>
      <c r="AT55">
        <v>12</v>
      </c>
      <c r="AU55">
        <v>1</v>
      </c>
      <c r="AW55">
        <f>VLOOKUP(AT55,Constants!$B$15:$L$33,2,FALSE)</f>
        <v>1.0033014728677232</v>
      </c>
      <c r="AX55">
        <f>VLOOKUP(AT55,Constants!$B$15:$L$33,3,FALSE)</f>
        <v>-1.1639650509139207E-4</v>
      </c>
    </row>
    <row r="56" spans="1:50" x14ac:dyDescent="0.2">
      <c r="A56">
        <f>ROW()</f>
        <v>56</v>
      </c>
      <c r="B56" s="67" t="s">
        <v>112</v>
      </c>
      <c r="C56" s="18">
        <f t="shared" si="73"/>
        <v>4.8280686502E-2</v>
      </c>
      <c r="D56" s="18">
        <f t="shared" si="62"/>
        <v>5.6159107000000001E-9</v>
      </c>
      <c r="E56" s="18">
        <f t="shared" si="62"/>
        <v>1.2397633E-5</v>
      </c>
      <c r="F56" s="18">
        <f t="shared" si="62"/>
        <v>2.57933388078828E-8</v>
      </c>
      <c r="G56" s="18">
        <f t="shared" si="62"/>
        <v>1.09044559158373E-8</v>
      </c>
      <c r="H56" s="18">
        <f t="shared" si="62"/>
        <v>1.04228644867906E-7</v>
      </c>
      <c r="I56" s="2">
        <v>20.350000000000001</v>
      </c>
      <c r="J56" s="17">
        <f t="shared" si="63"/>
        <v>48.280686501999995</v>
      </c>
      <c r="K56" s="2">
        <f t="shared" si="64"/>
        <v>12.082506490614058</v>
      </c>
      <c r="L56">
        <v>50</v>
      </c>
      <c r="M56">
        <v>30</v>
      </c>
      <c r="N56">
        <v>0.83416000000000001</v>
      </c>
      <c r="O56" s="2">
        <f t="shared" si="65"/>
        <v>0.19999402020000001</v>
      </c>
      <c r="P56" s="2">
        <f t="shared" si="66"/>
        <v>0.1000646</v>
      </c>
      <c r="Q56">
        <v>1</v>
      </c>
      <c r="R56" s="52">
        <f t="shared" si="67"/>
        <v>1.3944321783308454E-7</v>
      </c>
      <c r="S56" s="52">
        <f t="shared" si="68"/>
        <v>3.0783356990232014E-4</v>
      </c>
      <c r="T56" s="19">
        <f t="shared" si="74"/>
        <v>0.99951897406738954</v>
      </c>
      <c r="U56" s="19">
        <f t="shared" si="69"/>
        <v>1.0007972767333173</v>
      </c>
      <c r="V56" s="48">
        <f t="shared" si="75"/>
        <v>2.3329884646001238E-4</v>
      </c>
      <c r="W56" s="19">
        <f t="shared" si="76"/>
        <v>0.9995191135106074</v>
      </c>
      <c r="X56" s="2">
        <f t="shared" si="77"/>
        <v>-0.48088648939259571</v>
      </c>
      <c r="Y56" s="2">
        <f t="shared" si="70"/>
        <v>7.4534723442307757E-2</v>
      </c>
      <c r="Z56" s="51">
        <f t="shared" si="71"/>
        <v>5.1475528841244502E-5</v>
      </c>
      <c r="AA56" s="51">
        <f t="shared" si="78"/>
        <v>2.3512675250032221E-5</v>
      </c>
      <c r="AB56" s="2">
        <f t="shared" si="79"/>
        <v>-0.48686934246839092</v>
      </c>
      <c r="AC56" s="2">
        <f t="shared" si="72"/>
        <v>8.3588359213085717E-2</v>
      </c>
      <c r="AE56" s="168">
        <v>12.07</v>
      </c>
      <c r="AM56" s="43" t="s">
        <v>194</v>
      </c>
      <c r="AN56" s="18">
        <v>0.12021129268</v>
      </c>
      <c r="AO56" s="18">
        <v>1.1008300000000001E-6</v>
      </c>
      <c r="AP56" s="18">
        <v>2.9494675999999998E-5</v>
      </c>
      <c r="AQ56" s="18">
        <v>1.4780869614795501E-7</v>
      </c>
      <c r="AR56" s="18">
        <v>2.5410988417628999E-21</v>
      </c>
      <c r="AS56" s="18">
        <v>4.9754206093555599E-8</v>
      </c>
      <c r="AT56">
        <v>13</v>
      </c>
      <c r="AU56">
        <v>1</v>
      </c>
      <c r="AW56">
        <f>VLOOKUP(AT56,Constants!$B$15:$L$33,2,FALSE)</f>
        <v>1.000409916282643</v>
      </c>
      <c r="AX56">
        <f>VLOOKUP(AT56,Constants!$B$15:$L$33,3,FALSE)</f>
        <v>-7.0507061346368138E-5</v>
      </c>
    </row>
    <row r="57" spans="1:50" ht="13.5" x14ac:dyDescent="0.25">
      <c r="A57">
        <f>ROW()</f>
        <v>57</v>
      </c>
      <c r="B57" s="163" t="s">
        <v>212</v>
      </c>
      <c r="C57" s="18">
        <f t="shared" si="73"/>
        <v>7.2030876199999996E-2</v>
      </c>
      <c r="D57" s="18">
        <f t="shared" si="62"/>
        <v>1.6086824580000001E-7</v>
      </c>
      <c r="E57" s="18">
        <f t="shared" si="62"/>
        <v>1.8006770999999999E-5</v>
      </c>
      <c r="F57" s="18">
        <f t="shared" si="62"/>
        <v>5.74165864694916E-8</v>
      </c>
      <c r="G57" s="18">
        <f t="shared" si="62"/>
        <v>1.55477713255912E-7</v>
      </c>
      <c r="H57" s="18">
        <f t="shared" si="62"/>
        <v>3.3594970739680601E-8</v>
      </c>
      <c r="I57" s="2">
        <v>20.350000000000001</v>
      </c>
      <c r="J57" s="17">
        <f t="shared" si="63"/>
        <v>72.030876199999994</v>
      </c>
      <c r="K57" s="2">
        <f t="shared" si="64"/>
        <v>18.026121670309418</v>
      </c>
      <c r="L57">
        <v>50</v>
      </c>
      <c r="M57">
        <v>30</v>
      </c>
      <c r="N57">
        <v>0.83416000000000001</v>
      </c>
      <c r="O57" s="2">
        <f t="shared" si="65"/>
        <v>0.19999402020000001</v>
      </c>
      <c r="P57" s="2">
        <f t="shared" si="66"/>
        <v>0.1000646</v>
      </c>
      <c r="Q57">
        <v>1</v>
      </c>
      <c r="R57" s="52">
        <f t="shared" si="67"/>
        <v>2.6773322407192917E-6</v>
      </c>
      <c r="S57" s="52">
        <f t="shared" si="68"/>
        <v>2.9968691651854369E-4</v>
      </c>
      <c r="T57" s="19">
        <f t="shared" si="74"/>
        <v>0.99951897406738954</v>
      </c>
      <c r="U57" s="19">
        <f t="shared" si="69"/>
        <v>1.0007972767333173</v>
      </c>
      <c r="V57" s="48">
        <f t="shared" si="75"/>
        <v>2.3329884646001238E-4</v>
      </c>
      <c r="W57" s="19">
        <f t="shared" si="76"/>
        <v>0.99952165139963023</v>
      </c>
      <c r="X57" s="2">
        <f t="shared" si="77"/>
        <v>-0.47834860036977123</v>
      </c>
      <c r="Y57" s="2">
        <f t="shared" si="70"/>
        <v>6.6388070058531312E-2</v>
      </c>
      <c r="Z57" s="51">
        <f t="shared" si="71"/>
        <v>1.1883064497507935E-4</v>
      </c>
      <c r="AA57" s="51">
        <f t="shared" si="78"/>
        <v>5.3659383317179351E-5</v>
      </c>
      <c r="AB57" s="2">
        <f t="shared" si="79"/>
        <v>-0.48403636480919671</v>
      </c>
      <c r="AC57" s="2">
        <f t="shared" si="72"/>
        <v>7.6639549493560277E-2</v>
      </c>
      <c r="AE57" s="168">
        <v>18.02</v>
      </c>
      <c r="AM57" s="43" t="s">
        <v>194</v>
      </c>
      <c r="AN57" s="18">
        <v>0.14488085574000001</v>
      </c>
      <c r="AO57" s="18">
        <v>1.3810661000000001E-6</v>
      </c>
      <c r="AP57" s="18">
        <v>3.5027624000000002E-5</v>
      </c>
      <c r="AQ57" s="18">
        <v>2.6530463791171499E-7</v>
      </c>
      <c r="AR57" s="18">
        <v>2.2874552599731901E-7</v>
      </c>
      <c r="AS57" s="18">
        <v>6.9153741764166098E-10</v>
      </c>
      <c r="AT57">
        <v>13</v>
      </c>
      <c r="AU57">
        <v>1</v>
      </c>
      <c r="AW57">
        <f>VLOOKUP(AT57,Constants!$B$15:$L$33,2,FALSE)</f>
        <v>1.000409916282643</v>
      </c>
      <c r="AX57">
        <f>VLOOKUP(AT57,Constants!$B$15:$L$33,3,FALSE)</f>
        <v>-7.0507061346368138E-5</v>
      </c>
    </row>
    <row r="58" spans="1:50" x14ac:dyDescent="0.2">
      <c r="A58">
        <f>ROW()</f>
        <v>58</v>
      </c>
      <c r="B58" s="66" t="s">
        <v>111</v>
      </c>
      <c r="C58" s="18">
        <f t="shared" si="73"/>
        <v>0.12021129268</v>
      </c>
      <c r="D58" s="18">
        <f t="shared" si="62"/>
        <v>1.1008300000000001E-6</v>
      </c>
      <c r="E58" s="18">
        <f t="shared" si="62"/>
        <v>2.9494675999999998E-5</v>
      </c>
      <c r="F58" s="18">
        <f t="shared" si="62"/>
        <v>1.4780869614795501E-7</v>
      </c>
      <c r="G58" s="18">
        <f t="shared" si="62"/>
        <v>2.5410988417628999E-21</v>
      </c>
      <c r="H58" s="18">
        <f t="shared" si="62"/>
        <v>4.9754206093555599E-8</v>
      </c>
      <c r="I58" s="2">
        <v>20.350000000000001</v>
      </c>
      <c r="J58" s="17">
        <f t="shared" si="63"/>
        <v>120.21129267999999</v>
      </c>
      <c r="K58" s="2">
        <f>(C58/O58)*(30/50)*N58*100</f>
        <v>30.08353503819874</v>
      </c>
      <c r="L58">
        <v>50</v>
      </c>
      <c r="M58">
        <v>30</v>
      </c>
      <c r="N58">
        <v>0.83416000000000001</v>
      </c>
      <c r="O58" s="2">
        <f t="shared" si="65"/>
        <v>0.19999402020000001</v>
      </c>
      <c r="P58" s="2">
        <f t="shared" si="66"/>
        <v>0.1000646</v>
      </c>
      <c r="Q58">
        <v>1</v>
      </c>
      <c r="R58" s="52">
        <f t="shared" ref="R58:R59" si="80">Q58*D58/C58/N58</f>
        <v>1.0978060722941565E-5</v>
      </c>
      <c r="S58" s="52">
        <f t="shared" ref="S58:S59" si="81">Q58*E58/C58/N58</f>
        <v>2.9413655526419808E-4</v>
      </c>
      <c r="T58" s="19">
        <f t="shared" ref="T58:T59" si="82">M58*N58*O58/(P58*U58*L58)</f>
        <v>0.99951897406738954</v>
      </c>
      <c r="U58" s="19">
        <f t="shared" si="69"/>
        <v>1.0007972767333173</v>
      </c>
      <c r="V58" s="48">
        <f t="shared" ref="V58:V59" si="83">AA$17</f>
        <v>2.3329884646001238E-4</v>
      </c>
      <c r="W58" s="19">
        <f t="shared" ref="W58:W59" si="84">R58+T58</f>
        <v>0.99952995212811246</v>
      </c>
      <c r="X58" s="2">
        <f t="shared" ref="X58:X59" si="85">1000*(W58-1)</f>
        <v>-0.47004787188753561</v>
      </c>
      <c r="Y58" s="2">
        <f t="shared" ref="Y58:Y59" si="86">1000*(S58-V58)</f>
        <v>6.0837708804185701E-2</v>
      </c>
      <c r="Z58" s="51">
        <f t="shared" ref="Z58:Z59" si="87">((C58*N58)^2/P58-$AB$10)*$Z$28*0.001</f>
        <v>3.3716161587660324E-4</v>
      </c>
      <c r="AA58" s="51">
        <f t="shared" ref="AA58:AA59" si="88">(C58^2/O58-$Z$10)*$AB$5*0.001</f>
        <v>1.5137965194097117E-4</v>
      </c>
      <c r="AB58" s="2">
        <f t="shared" ref="AB58:AB59" si="89">0.5*(X58+X66)+AA58-Z58</f>
        <v>-0.47767566334795458</v>
      </c>
      <c r="AC58" s="2">
        <f t="shared" ref="AC58:AC59" si="90">0.5*(Y58+Y66)</f>
        <v>6.8481911393464809E-2</v>
      </c>
      <c r="AE58" s="168">
        <v>30.06</v>
      </c>
    </row>
    <row r="59" spans="1:50" x14ac:dyDescent="0.2">
      <c r="A59">
        <f>ROW()</f>
        <v>59</v>
      </c>
      <c r="B59" s="162" t="s">
        <v>192</v>
      </c>
      <c r="C59" s="18">
        <f t="shared" si="73"/>
        <v>0.14488085574000001</v>
      </c>
      <c r="D59" s="18">
        <f t="shared" si="62"/>
        <v>1.3810661000000001E-6</v>
      </c>
      <c r="E59" s="18">
        <f t="shared" si="62"/>
        <v>3.5027624000000002E-5</v>
      </c>
      <c r="F59" s="18">
        <f t="shared" si="62"/>
        <v>2.6530463791171499E-7</v>
      </c>
      <c r="G59" s="18">
        <f t="shared" si="62"/>
        <v>2.2874552599731901E-7</v>
      </c>
      <c r="H59" s="18">
        <f t="shared" si="62"/>
        <v>6.9153741764166098E-10</v>
      </c>
      <c r="I59" s="2">
        <v>20.350000000000001</v>
      </c>
      <c r="J59" s="17">
        <f t="shared" si="63"/>
        <v>144.88085574000002</v>
      </c>
      <c r="K59" s="2">
        <f>(C59/O59)*(30/50)*N59*100</f>
        <v>36.257228442096711</v>
      </c>
      <c r="L59">
        <v>50</v>
      </c>
      <c r="M59">
        <v>30</v>
      </c>
      <c r="N59">
        <v>0.83416000000000001</v>
      </c>
      <c r="O59" s="2">
        <f t="shared" si="65"/>
        <v>0.19999402020000001</v>
      </c>
      <c r="P59" s="2">
        <f t="shared" si="66"/>
        <v>0.1000646</v>
      </c>
      <c r="Q59">
        <v>1</v>
      </c>
      <c r="R59" s="52">
        <f t="shared" si="80"/>
        <v>1.1427575573810992E-5</v>
      </c>
      <c r="S59" s="52">
        <f t="shared" si="81"/>
        <v>2.8983465775536427E-4</v>
      </c>
      <c r="T59" s="19">
        <f t="shared" si="82"/>
        <v>0.99951897406738954</v>
      </c>
      <c r="U59" s="19">
        <f t="shared" si="69"/>
        <v>1.0007972767333173</v>
      </c>
      <c r="V59" s="48">
        <f t="shared" si="83"/>
        <v>2.3329884646001238E-4</v>
      </c>
      <c r="W59" s="19">
        <f t="shared" si="84"/>
        <v>0.99953040164296336</v>
      </c>
      <c r="X59" s="2">
        <f t="shared" si="85"/>
        <v>-0.46959835703663799</v>
      </c>
      <c r="Y59" s="2">
        <f t="shared" si="86"/>
        <v>5.6535811295351887E-2</v>
      </c>
      <c r="Z59" s="51">
        <f t="shared" si="87"/>
        <v>4.9131549615673818E-4</v>
      </c>
      <c r="AA59" s="51">
        <f t="shared" si="88"/>
        <v>2.2037562868294745E-4</v>
      </c>
      <c r="AB59" s="2">
        <f t="shared" si="89"/>
        <v>-0.47490430658835175</v>
      </c>
      <c r="AC59" s="2">
        <f t="shared" si="90"/>
        <v>6.6342102657898999E-2</v>
      </c>
      <c r="AE59" s="168">
        <v>36.200000000000003</v>
      </c>
      <c r="AM59" s="43" t="s">
        <v>195</v>
      </c>
      <c r="AN59">
        <v>6.0271772304000002E-3</v>
      </c>
      <c r="AO59" s="18">
        <v>-1.0806541589E-7</v>
      </c>
      <c r="AP59" s="18">
        <v>1.5075718999999999E-6</v>
      </c>
      <c r="AQ59" s="18">
        <v>5.7260552291414699E-8</v>
      </c>
      <c r="AR59" s="18">
        <v>7.1082483279632396E-8</v>
      </c>
      <c r="AS59" s="18">
        <v>8.6313524185900301E-8</v>
      </c>
      <c r="AT59">
        <v>9</v>
      </c>
      <c r="AU59">
        <v>1</v>
      </c>
      <c r="AW59">
        <f>VLOOKUP(AT59,Constants!$B$15:$L$33,2,FALSE)</f>
        <v>0.99371490585295241</v>
      </c>
      <c r="AX59">
        <f>VLOOKUP(AT59,Constants!$B$15:$L$33,3,FALSE)</f>
        <v>1.4986286639243325E-2</v>
      </c>
    </row>
    <row r="60" spans="1:50" x14ac:dyDescent="0.2">
      <c r="A60">
        <f>ROW()</f>
        <v>60</v>
      </c>
      <c r="J60" s="17"/>
      <c r="K60" s="2"/>
      <c r="O60" s="2"/>
      <c r="P60" s="2"/>
      <c r="R60" s="52"/>
      <c r="S60" s="52"/>
      <c r="T60" s="19"/>
      <c r="U60" s="19"/>
      <c r="V60" s="48"/>
      <c r="W60" s="19"/>
      <c r="X60" s="2"/>
      <c r="Y60" s="2"/>
      <c r="AA60" s="2"/>
      <c r="AB60" s="2"/>
      <c r="AE60" s="168"/>
      <c r="AM60" s="43" t="s">
        <v>195</v>
      </c>
      <c r="AN60" s="18">
        <v>1.2032265642E-2</v>
      </c>
      <c r="AO60" s="18">
        <v>-1.3240227E-7</v>
      </c>
      <c r="AP60" s="18">
        <v>3.0279372000000001E-6</v>
      </c>
      <c r="AQ60" s="18">
        <v>7.3277595702842399E-8</v>
      </c>
      <c r="AR60" s="18">
        <v>7.9999809641141602E-8</v>
      </c>
      <c r="AS60" s="18">
        <v>8.8667469672704597E-8</v>
      </c>
      <c r="AT60">
        <v>10</v>
      </c>
      <c r="AU60">
        <v>1</v>
      </c>
      <c r="AW60">
        <f>VLOOKUP(AT60,Constants!$B$15:$L$33,2,FALSE)</f>
        <v>0.99248924126722049</v>
      </c>
      <c r="AX60">
        <f>VLOOKUP(AT60,Constants!$B$15:$L$33,3,FALSE)</f>
        <v>-2.7303958893031477E-4</v>
      </c>
    </row>
    <row r="61" spans="1:50" x14ac:dyDescent="0.2">
      <c r="A61">
        <f>ROW()</f>
        <v>61</v>
      </c>
      <c r="B61" s="43" t="s">
        <v>52</v>
      </c>
      <c r="C61">
        <f t="shared" ref="C61:C70" si="91">AN59</f>
        <v>6.0271772304000002E-3</v>
      </c>
      <c r="D61">
        <f t="shared" ref="D61:D70" si="92">AO59</f>
        <v>-1.0806541589E-7</v>
      </c>
      <c r="E61">
        <f t="shared" ref="E61:E70" si="93">AP59</f>
        <v>1.5075718999999999E-6</v>
      </c>
      <c r="F61">
        <f t="shared" ref="F61:F70" si="94">AQ59</f>
        <v>5.7260552291414699E-8</v>
      </c>
      <c r="G61">
        <f t="shared" ref="G61:G70" si="95">AR59</f>
        <v>7.1082483279632396E-8</v>
      </c>
      <c r="H61">
        <f t="shared" ref="H61:H70" si="96">AS59</f>
        <v>8.6313524185900301E-8</v>
      </c>
      <c r="I61" s="2">
        <v>20.38</v>
      </c>
      <c r="J61" s="17">
        <f t="shared" ref="J61:J70" si="97">100*C61/0.1*N61</f>
        <v>5.0276301585104646</v>
      </c>
      <c r="K61" s="2">
        <f t="shared" ref="K61:K70" si="98">(C61/O61)*(30/50)*N61*100</f>
        <v>1.5083341452357475</v>
      </c>
      <c r="L61">
        <v>50</v>
      </c>
      <c r="M61">
        <v>30</v>
      </c>
      <c r="N61">
        <v>0.83416000000000001</v>
      </c>
      <c r="O61" s="2">
        <f t="shared" ref="O61:O70" si="99">MSL0.2</f>
        <v>0.19999402020000001</v>
      </c>
      <c r="P61" s="2">
        <f t="shared" ref="P61:P70" si="100">Ti_969</f>
        <v>0.1000646</v>
      </c>
      <c r="Q61">
        <v>1</v>
      </c>
      <c r="R61" s="52">
        <f t="shared" ref="R61:R67" si="101">Q61*D61/C61/N61</f>
        <v>-2.149430496733605E-5</v>
      </c>
      <c r="S61" s="52">
        <f t="shared" ref="S61:S67" si="102">Q61*E61/C61/N61</f>
        <v>2.9985735872955463E-4</v>
      </c>
      <c r="T61" s="19">
        <f t="shared" ref="T61:T67" si="103">M61*N61*O61/(P61*U61*L61)</f>
        <v>0.99952460713785007</v>
      </c>
      <c r="U61" s="19">
        <f>$AA$25</f>
        <v>1.0007916364904097</v>
      </c>
      <c r="V61" s="48">
        <f>$AA$26</f>
        <v>1.9151650451155946E-4</v>
      </c>
      <c r="W61" s="19">
        <f t="shared" ref="W61:W67" si="104">R61+T61</f>
        <v>0.99950311283288273</v>
      </c>
      <c r="X61" s="2">
        <f t="shared" ref="X61:X67" si="105">1000*(W61-1)</f>
        <v>-0.49688716711726588</v>
      </c>
      <c r="Y61" s="2">
        <f t="shared" ref="Y61:Y67" si="106">1000*(S61-V61)</f>
        <v>0.10834085421799518</v>
      </c>
      <c r="Z61" s="51">
        <f t="shared" ref="Z61:Z67" si="107">((C61*N61)^2/P61-$AB$10)*$Z$28*0.001</f>
        <v>-2.6150516786857685E-6</v>
      </c>
      <c r="AA61" s="51">
        <f>(C61^2/O61-$Z$10)*$AB$5*0.001</f>
        <v>-6.9711063878935658E-7</v>
      </c>
      <c r="AE61" s="168">
        <v>1.498</v>
      </c>
      <c r="AM61" s="43" t="s">
        <v>195</v>
      </c>
      <c r="AN61" s="18">
        <v>2.4040686088000002E-2</v>
      </c>
      <c r="AO61" s="18">
        <v>-4.2010782E-7</v>
      </c>
      <c r="AP61" s="18">
        <v>5.8932840000000004E-6</v>
      </c>
      <c r="AQ61" s="18">
        <v>2.3993735931063501E-8</v>
      </c>
      <c r="AR61" s="18">
        <v>6.8388140077703502E-8</v>
      </c>
      <c r="AS61" s="18">
        <v>8.7973470489687998E-8</v>
      </c>
      <c r="AT61">
        <v>11</v>
      </c>
      <c r="AU61">
        <v>1</v>
      </c>
      <c r="AW61">
        <f>VLOOKUP(AT61,Constants!$B$15:$L$33,2,FALSE)</f>
        <v>1.0014538869894722</v>
      </c>
      <c r="AX61">
        <f>VLOOKUP(AT61,Constants!$B$15:$L$33,3,FALSE)</f>
        <v>-1.6494401832275451E-4</v>
      </c>
    </row>
    <row r="62" spans="1:50" x14ac:dyDescent="0.2">
      <c r="A62">
        <f>ROW()</f>
        <v>62</v>
      </c>
      <c r="C62">
        <f t="shared" si="91"/>
        <v>1.2032265642E-2</v>
      </c>
      <c r="D62">
        <f t="shared" si="92"/>
        <v>-1.3240227E-7</v>
      </c>
      <c r="E62">
        <f t="shared" si="93"/>
        <v>3.0279372000000001E-6</v>
      </c>
      <c r="F62">
        <f t="shared" si="94"/>
        <v>7.3277595702842399E-8</v>
      </c>
      <c r="G62">
        <f t="shared" si="95"/>
        <v>7.9999809641141602E-8</v>
      </c>
      <c r="H62">
        <f t="shared" si="96"/>
        <v>8.8667469672704597E-8</v>
      </c>
      <c r="I62" s="2">
        <v>20.38</v>
      </c>
      <c r="J62" s="17">
        <f t="shared" si="97"/>
        <v>10.036834707930719</v>
      </c>
      <c r="K62" s="2">
        <f t="shared" si="98"/>
        <v>3.0111404424673056</v>
      </c>
      <c r="L62">
        <v>50</v>
      </c>
      <c r="M62">
        <v>30</v>
      </c>
      <c r="N62">
        <v>0.83416000000000001</v>
      </c>
      <c r="O62" s="2">
        <f t="shared" si="99"/>
        <v>0.19999402020000001</v>
      </c>
      <c r="P62" s="2">
        <f t="shared" si="100"/>
        <v>0.1000646</v>
      </c>
      <c r="Q62">
        <v>1</v>
      </c>
      <c r="R62" s="52">
        <f t="shared" si="101"/>
        <v>-1.3191635994102885E-5</v>
      </c>
      <c r="S62" s="52">
        <f t="shared" si="102"/>
        <v>3.0168248139101467E-4</v>
      </c>
      <c r="T62" s="19">
        <f t="shared" si="103"/>
        <v>0.99952460713785007</v>
      </c>
      <c r="U62" s="19">
        <f t="shared" ref="U62:U70" si="108">$AA$25</f>
        <v>1.0007916364904097</v>
      </c>
      <c r="V62" s="48">
        <f t="shared" ref="V62:V70" si="109">$AA$26</f>
        <v>1.9151650451155946E-4</v>
      </c>
      <c r="W62" s="19">
        <f t="shared" si="104"/>
        <v>0.99951141550185596</v>
      </c>
      <c r="X62" s="2">
        <f t="shared" si="105"/>
        <v>-0.48858449814404015</v>
      </c>
      <c r="Y62" s="2">
        <f t="shared" si="106"/>
        <v>0.11016597687945522</v>
      </c>
      <c r="Z62" s="51">
        <f t="shared" si="107"/>
        <v>-5.8704160696412819E-8</v>
      </c>
      <c r="AA62" s="51">
        <f t="shared" ref="AA62:AA67" si="110">(C62^2/O62-$Z$10)*$AB$5*0.001</f>
        <v>4.4705578488470991E-7</v>
      </c>
      <c r="AE62" s="168">
        <v>3.01</v>
      </c>
      <c r="AM62" s="43" t="s">
        <v>195</v>
      </c>
      <c r="AN62" s="18">
        <v>4.8012325722000003E-2</v>
      </c>
      <c r="AO62" s="18">
        <v>-6.9700580999999996E-7</v>
      </c>
      <c r="AP62" s="18">
        <v>1.1380537E-5</v>
      </c>
      <c r="AQ62" s="18">
        <v>1.9434966489029099E-8</v>
      </c>
      <c r="AR62" s="18">
        <v>1.40305786129404E-8</v>
      </c>
      <c r="AS62" s="18">
        <v>3.5860065964802597E-8</v>
      </c>
      <c r="AT62">
        <v>12</v>
      </c>
      <c r="AU62">
        <v>1</v>
      </c>
      <c r="AW62">
        <f>VLOOKUP(AT62,Constants!$B$15:$L$33,2,FALSE)</f>
        <v>1.0033014728677232</v>
      </c>
      <c r="AX62">
        <f>VLOOKUP(AT62,Constants!$B$15:$L$33,3,FALSE)</f>
        <v>-1.1639650509139207E-4</v>
      </c>
    </row>
    <row r="63" spans="1:50" x14ac:dyDescent="0.2">
      <c r="A63">
        <f>ROW()</f>
        <v>63</v>
      </c>
      <c r="C63">
        <f t="shared" si="91"/>
        <v>2.4040686088000002E-2</v>
      </c>
      <c r="D63">
        <f t="shared" si="92"/>
        <v>-4.2010782E-7</v>
      </c>
      <c r="E63">
        <f t="shared" si="93"/>
        <v>5.8932840000000004E-6</v>
      </c>
      <c r="F63">
        <f t="shared" si="94"/>
        <v>2.3993735931063501E-8</v>
      </c>
      <c r="G63">
        <f t="shared" si="95"/>
        <v>6.8388140077703502E-8</v>
      </c>
      <c r="H63">
        <f t="shared" si="96"/>
        <v>8.7973470489687998E-8</v>
      </c>
      <c r="I63" s="2">
        <v>20.38</v>
      </c>
      <c r="J63" s="17">
        <f t="shared" si="97"/>
        <v>20.053778707166082</v>
      </c>
      <c r="K63" s="2">
        <f t="shared" si="98"/>
        <v>6.0163134939069778</v>
      </c>
      <c r="L63">
        <v>50</v>
      </c>
      <c r="M63">
        <v>30</v>
      </c>
      <c r="N63">
        <v>0.83416000000000001</v>
      </c>
      <c r="O63" s="2">
        <f t="shared" si="99"/>
        <v>0.19999402020000001</v>
      </c>
      <c r="P63" s="2">
        <f t="shared" si="100"/>
        <v>0.1000646</v>
      </c>
      <c r="Q63">
        <v>1</v>
      </c>
      <c r="R63" s="52">
        <f t="shared" si="101"/>
        <v>-2.0949060330952855E-5</v>
      </c>
      <c r="S63" s="52">
        <f t="shared" si="102"/>
        <v>2.9387399183247568E-4</v>
      </c>
      <c r="T63" s="19">
        <f t="shared" si="103"/>
        <v>0.99952460713785007</v>
      </c>
      <c r="U63" s="19">
        <f t="shared" si="108"/>
        <v>1.0007916364904097</v>
      </c>
      <c r="V63" s="48">
        <f t="shared" si="109"/>
        <v>1.9151650451155946E-4</v>
      </c>
      <c r="W63" s="19">
        <f t="shared" si="104"/>
        <v>0.99950365807751917</v>
      </c>
      <c r="X63" s="2">
        <f t="shared" si="105"/>
        <v>-0.4963419224808252</v>
      </c>
      <c r="Y63" s="2">
        <f t="shared" si="106"/>
        <v>0.10235748732091624</v>
      </c>
      <c r="Z63" s="51">
        <f t="shared" si="107"/>
        <v>1.0152188354941733E-5</v>
      </c>
      <c r="AA63" s="51">
        <f t="shared" si="110"/>
        <v>5.0172326837309963E-6</v>
      </c>
      <c r="AE63" s="169">
        <v>6</v>
      </c>
      <c r="AM63" s="43" t="s">
        <v>195</v>
      </c>
      <c r="AN63" s="18">
        <v>7.2143053255999998E-2</v>
      </c>
      <c r="AO63" s="18">
        <v>-8.5459530000000004E-7</v>
      </c>
      <c r="AP63" s="18">
        <v>1.6754244999999999E-5</v>
      </c>
      <c r="AQ63" s="18">
        <v>1.9032723446178599E-8</v>
      </c>
      <c r="AR63" s="18">
        <v>1.41909908566773E-7</v>
      </c>
      <c r="AS63" s="18">
        <v>1.55682463607819E-7</v>
      </c>
      <c r="AT63">
        <v>12</v>
      </c>
      <c r="AU63">
        <v>1</v>
      </c>
      <c r="AW63">
        <f>VLOOKUP(AT63,Constants!$B$15:$L$33,2,FALSE)</f>
        <v>1.0033014728677232</v>
      </c>
      <c r="AX63">
        <f>VLOOKUP(AT63,Constants!$B$15:$L$33,3,FALSE)</f>
        <v>-1.1639650509139207E-4</v>
      </c>
    </row>
    <row r="64" spans="1:50" x14ac:dyDescent="0.2">
      <c r="A64">
        <f>ROW()</f>
        <v>64</v>
      </c>
      <c r="C64">
        <f t="shared" si="91"/>
        <v>4.8012325722000003E-2</v>
      </c>
      <c r="D64">
        <f t="shared" si="92"/>
        <v>-6.9700580999999996E-7</v>
      </c>
      <c r="E64">
        <f t="shared" si="93"/>
        <v>1.1380537E-5</v>
      </c>
      <c r="F64">
        <f t="shared" si="94"/>
        <v>1.9434966489029099E-8</v>
      </c>
      <c r="G64">
        <f t="shared" si="95"/>
        <v>1.40305786129404E-8</v>
      </c>
      <c r="H64">
        <f t="shared" si="96"/>
        <v>3.5860065964802597E-8</v>
      </c>
      <c r="I64" s="2">
        <v>20.38</v>
      </c>
      <c r="J64" s="17">
        <f t="shared" si="97"/>
        <v>40.049961624263517</v>
      </c>
      <c r="K64" s="2">
        <f t="shared" si="98"/>
        <v>12.01534773416096</v>
      </c>
      <c r="L64">
        <v>50</v>
      </c>
      <c r="M64">
        <v>30</v>
      </c>
      <c r="N64">
        <v>0.83416000000000001</v>
      </c>
      <c r="O64" s="2">
        <f t="shared" si="99"/>
        <v>0.19999402020000001</v>
      </c>
      <c r="P64" s="2">
        <f t="shared" si="100"/>
        <v>0.1000646</v>
      </c>
      <c r="Q64">
        <v>1</v>
      </c>
      <c r="R64" s="52">
        <f t="shared" si="101"/>
        <v>-1.7403407687105798E-5</v>
      </c>
      <c r="S64" s="52">
        <f t="shared" si="102"/>
        <v>2.8415849949542312E-4</v>
      </c>
      <c r="T64" s="19">
        <f t="shared" si="103"/>
        <v>0.99952460713785007</v>
      </c>
      <c r="U64" s="19">
        <f t="shared" si="108"/>
        <v>1.0007916364904097</v>
      </c>
      <c r="V64" s="48">
        <f t="shared" si="109"/>
        <v>1.9151650451155946E-4</v>
      </c>
      <c r="W64" s="19">
        <f t="shared" si="104"/>
        <v>0.999507203730163</v>
      </c>
      <c r="X64" s="2">
        <f t="shared" si="105"/>
        <v>-0.49279626983700364</v>
      </c>
      <c r="Y64" s="2">
        <f t="shared" si="106"/>
        <v>9.2641994983863662E-2</v>
      </c>
      <c r="Z64" s="51">
        <f t="shared" si="107"/>
        <v>5.0866398886988704E-5</v>
      </c>
      <c r="AA64" s="51">
        <f t="shared" si="110"/>
        <v>2.324004172254462E-5</v>
      </c>
      <c r="AE64" s="168">
        <v>11.99</v>
      </c>
      <c r="AM64" s="43" t="s">
        <v>195</v>
      </c>
      <c r="AN64" s="18">
        <v>0.120115244</v>
      </c>
      <c r="AO64" s="18">
        <v>-9.5576615000000005E-7</v>
      </c>
      <c r="AP64" s="18">
        <v>2.6816540999999999E-5</v>
      </c>
      <c r="AQ64" s="18">
        <v>1.16882039333681E-7</v>
      </c>
      <c r="AR64" s="18">
        <v>1.4586001078708101E-7</v>
      </c>
      <c r="AS64" s="18">
        <v>3.3056482253863698E-8</v>
      </c>
      <c r="AT64">
        <v>13</v>
      </c>
      <c r="AU64">
        <v>1</v>
      </c>
      <c r="AW64">
        <f>VLOOKUP(AT64,Constants!$B$15:$L$33,2,FALSE)</f>
        <v>1.000409916282643</v>
      </c>
      <c r="AX64">
        <f>VLOOKUP(AT64,Constants!$B$15:$L$33,3,FALSE)</f>
        <v>-7.0507061346368138E-5</v>
      </c>
    </row>
    <row r="65" spans="1:50" x14ac:dyDescent="0.2">
      <c r="A65">
        <f>ROW()</f>
        <v>65</v>
      </c>
      <c r="C65">
        <f t="shared" si="91"/>
        <v>7.2143053255999998E-2</v>
      </c>
      <c r="D65">
        <f t="shared" si="92"/>
        <v>-8.5459530000000004E-7</v>
      </c>
      <c r="E65">
        <f t="shared" si="93"/>
        <v>1.6754244999999999E-5</v>
      </c>
      <c r="F65">
        <f t="shared" si="94"/>
        <v>1.9032723446178599E-8</v>
      </c>
      <c r="G65">
        <f t="shared" si="95"/>
        <v>1.41909908566773E-7</v>
      </c>
      <c r="H65">
        <f t="shared" si="96"/>
        <v>1.55682463607819E-7</v>
      </c>
      <c r="I65" s="2">
        <v>20.39</v>
      </c>
      <c r="J65" s="17">
        <f t="shared" si="97"/>
        <v>60.178849304024951</v>
      </c>
      <c r="K65" s="2">
        <f t="shared" si="98"/>
        <v>18.054194593571641</v>
      </c>
      <c r="L65">
        <v>50</v>
      </c>
      <c r="M65">
        <v>30</v>
      </c>
      <c r="N65">
        <v>0.83416000000000001</v>
      </c>
      <c r="O65" s="2">
        <f t="shared" si="99"/>
        <v>0.19999402020000001</v>
      </c>
      <c r="P65" s="2">
        <f t="shared" si="100"/>
        <v>0.1000646</v>
      </c>
      <c r="Q65">
        <v>1</v>
      </c>
      <c r="R65" s="52">
        <f t="shared" si="101"/>
        <v>-1.4200924575386354E-5</v>
      </c>
      <c r="S65" s="52">
        <f t="shared" si="102"/>
        <v>2.7840753344014871E-4</v>
      </c>
      <c r="T65" s="19">
        <f t="shared" si="103"/>
        <v>0.99952460713785007</v>
      </c>
      <c r="U65" s="19">
        <f t="shared" si="108"/>
        <v>1.0007916364904097</v>
      </c>
      <c r="V65" s="48">
        <f t="shared" si="109"/>
        <v>1.9151650451155946E-4</v>
      </c>
      <c r="W65" s="19">
        <f t="shared" si="104"/>
        <v>0.99951040621327469</v>
      </c>
      <c r="X65" s="2">
        <f t="shared" si="105"/>
        <v>-0.4895937867253064</v>
      </c>
      <c r="Y65" s="2">
        <f t="shared" si="106"/>
        <v>8.6891028928589256E-2</v>
      </c>
      <c r="Z65" s="51">
        <f t="shared" si="107"/>
        <v>1.1921187483727696E-4</v>
      </c>
      <c r="AA65" s="51">
        <f t="shared" si="110"/>
        <v>5.3830013642265782E-5</v>
      </c>
      <c r="AE65" s="168">
        <v>18.04</v>
      </c>
      <c r="AM65" s="43" t="s">
        <v>195</v>
      </c>
      <c r="AN65" s="18">
        <v>0.14476268762</v>
      </c>
      <c r="AO65" s="18">
        <v>-5.16290765E-7</v>
      </c>
      <c r="AP65" s="18">
        <v>3.2321940000000002E-5</v>
      </c>
      <c r="AQ65" s="18">
        <v>1.9221936141334101E-7</v>
      </c>
      <c r="AR65" s="18">
        <v>2.4886840509305299E-7</v>
      </c>
      <c r="AS65" s="18">
        <v>1.7713480742078999E-8</v>
      </c>
      <c r="AT65">
        <v>13</v>
      </c>
      <c r="AU65">
        <v>1</v>
      </c>
      <c r="AW65">
        <f>VLOOKUP(AT65,Constants!$B$15:$L$33,2,FALSE)</f>
        <v>1.000409916282643</v>
      </c>
      <c r="AX65">
        <f>VLOOKUP(AT65,Constants!$B$15:$L$33,3,FALSE)</f>
        <v>-7.0507061346368138E-5</v>
      </c>
    </row>
    <row r="66" spans="1:50" x14ac:dyDescent="0.2">
      <c r="A66">
        <f>ROW()</f>
        <v>66</v>
      </c>
      <c r="C66">
        <f t="shared" si="91"/>
        <v>0.120115244</v>
      </c>
      <c r="D66">
        <f t="shared" si="92"/>
        <v>-9.5576615000000005E-7</v>
      </c>
      <c r="E66">
        <f t="shared" si="93"/>
        <v>2.6816540999999999E-5</v>
      </c>
      <c r="F66">
        <f t="shared" si="94"/>
        <v>1.16882039333681E-7</v>
      </c>
      <c r="G66">
        <f t="shared" si="95"/>
        <v>1.4586001078708101E-7</v>
      </c>
      <c r="H66">
        <f t="shared" si="96"/>
        <v>3.3056482253863698E-8</v>
      </c>
      <c r="I66" s="2">
        <v>20.39</v>
      </c>
      <c r="J66" s="17">
        <f t="shared" si="97"/>
        <v>100.19533193503999</v>
      </c>
      <c r="K66" s="2">
        <f t="shared" si="98"/>
        <v>30.059498329452548</v>
      </c>
      <c r="L66">
        <v>50</v>
      </c>
      <c r="M66">
        <v>30</v>
      </c>
      <c r="N66">
        <v>0.83416000000000001</v>
      </c>
      <c r="O66" s="2">
        <f t="shared" si="99"/>
        <v>0.19999402020000001</v>
      </c>
      <c r="P66" s="2">
        <f t="shared" si="100"/>
        <v>0.1000646</v>
      </c>
      <c r="Q66">
        <v>1</v>
      </c>
      <c r="R66" s="52">
        <f t="shared" si="101"/>
        <v>-9.5390287305965046E-6</v>
      </c>
      <c r="S66" s="52">
        <f t="shared" si="102"/>
        <v>2.6764261849430336E-4</v>
      </c>
      <c r="T66" s="19">
        <f t="shared" si="103"/>
        <v>0.99952460713785007</v>
      </c>
      <c r="U66" s="19">
        <f t="shared" si="108"/>
        <v>1.0007916364904097</v>
      </c>
      <c r="V66" s="48">
        <f t="shared" si="109"/>
        <v>1.9151650451155946E-4</v>
      </c>
      <c r="W66" s="19">
        <f t="shared" si="104"/>
        <v>0.9995150681091195</v>
      </c>
      <c r="X66" s="2">
        <f t="shared" si="105"/>
        <v>-0.48493189088050226</v>
      </c>
      <c r="Y66" s="2">
        <f t="shared" si="106"/>
        <v>7.6126113982743909E-2</v>
      </c>
      <c r="Z66" s="51">
        <f t="shared" si="107"/>
        <v>3.3661750266972664E-4</v>
      </c>
      <c r="AA66" s="51">
        <f t="shared" si="110"/>
        <v>1.5113611851775511E-4</v>
      </c>
      <c r="AE66" s="168">
        <v>30.02</v>
      </c>
      <c r="AM66" s="43" t="s">
        <v>195</v>
      </c>
      <c r="AN66" s="18">
        <v>7.2131278918000002E-2</v>
      </c>
      <c r="AO66" s="18">
        <v>-7.7397958999999999E-7</v>
      </c>
      <c r="AP66" s="18">
        <v>1.6765061999999999E-5</v>
      </c>
      <c r="AQ66" s="18">
        <v>8.1703622385722899E-9</v>
      </c>
      <c r="AR66" s="18">
        <v>9.5732956808206294E-8</v>
      </c>
      <c r="AS66" s="18">
        <v>2.31040457833688E-7</v>
      </c>
      <c r="AT66">
        <v>12</v>
      </c>
      <c r="AU66">
        <v>1</v>
      </c>
      <c r="AW66">
        <f>VLOOKUP(AT66,Constants!$B$15:$L$33,2,FALSE)</f>
        <v>1.0033014728677232</v>
      </c>
      <c r="AX66">
        <f>VLOOKUP(AT66,Constants!$B$15:$L$33,3,FALSE)</f>
        <v>-1.1639650509139207E-4</v>
      </c>
    </row>
    <row r="67" spans="1:50" x14ac:dyDescent="0.2">
      <c r="A67">
        <f>ROW()</f>
        <v>67</v>
      </c>
      <c r="C67">
        <f t="shared" si="91"/>
        <v>0.14476268762</v>
      </c>
      <c r="D67">
        <f t="shared" si="92"/>
        <v>-5.16290765E-7</v>
      </c>
      <c r="E67">
        <f t="shared" si="93"/>
        <v>3.2321940000000002E-5</v>
      </c>
      <c r="F67">
        <f t="shared" si="94"/>
        <v>1.9221936141334101E-7</v>
      </c>
      <c r="G67">
        <f t="shared" si="95"/>
        <v>2.4886840509305299E-7</v>
      </c>
      <c r="H67">
        <f t="shared" si="96"/>
        <v>1.7713480742078999E-8</v>
      </c>
      <c r="I67" s="2">
        <v>20.39</v>
      </c>
      <c r="J67" s="17">
        <f t="shared" si="97"/>
        <v>120.75524350509919</v>
      </c>
      <c r="K67" s="2">
        <f t="shared" si="98"/>
        <v>36.227656222223146</v>
      </c>
      <c r="L67">
        <v>50</v>
      </c>
      <c r="M67">
        <v>30</v>
      </c>
      <c r="N67">
        <v>0.83416000000000001</v>
      </c>
      <c r="O67" s="2">
        <f t="shared" si="99"/>
        <v>0.19999402020000001</v>
      </c>
      <c r="P67" s="2">
        <f t="shared" si="100"/>
        <v>0.1000646</v>
      </c>
      <c r="Q67">
        <v>1</v>
      </c>
      <c r="R67" s="52">
        <f t="shared" si="101"/>
        <v>-4.2755142552314777E-6</v>
      </c>
      <c r="S67" s="52">
        <f t="shared" si="102"/>
        <v>2.6766489853200556E-4</v>
      </c>
      <c r="T67" s="19">
        <f t="shared" si="103"/>
        <v>0.99952460713785007</v>
      </c>
      <c r="U67" s="19">
        <f t="shared" si="108"/>
        <v>1.0007916364904097</v>
      </c>
      <c r="V67" s="48">
        <f t="shared" si="109"/>
        <v>1.9151650451155946E-4</v>
      </c>
      <c r="W67" s="19">
        <f t="shared" si="104"/>
        <v>0.99952033162359488</v>
      </c>
      <c r="X67" s="2">
        <f t="shared" si="105"/>
        <v>-0.47966837640511795</v>
      </c>
      <c r="Y67" s="2">
        <f t="shared" si="106"/>
        <v>7.6148394020446097E-2</v>
      </c>
      <c r="Z67" s="51">
        <f t="shared" si="107"/>
        <v>4.9050870650954983E-4</v>
      </c>
      <c r="AA67" s="51">
        <f t="shared" si="110"/>
        <v>2.2001452690833159E-4</v>
      </c>
      <c r="AE67" s="168">
        <v>36.200000000000003</v>
      </c>
      <c r="AG67" s="167" t="s">
        <v>208</v>
      </c>
      <c r="AH67" s="168"/>
      <c r="AI67" s="168"/>
      <c r="AJ67" s="168"/>
      <c r="AK67" s="168"/>
      <c r="AM67" s="43" t="s">
        <v>195</v>
      </c>
      <c r="AN67" s="18">
        <v>7.2127758952000007E-2</v>
      </c>
      <c r="AO67" s="18">
        <v>-7.9321076999999904E-5</v>
      </c>
      <c r="AP67" s="18">
        <v>1.2602979E-5</v>
      </c>
      <c r="AQ67" s="18">
        <v>3.0896694273623198E-8</v>
      </c>
      <c r="AR67" s="18">
        <v>4.3090497455933901E-8</v>
      </c>
      <c r="AS67" s="18">
        <v>9.2915838579867497E-8</v>
      </c>
      <c r="AT67">
        <v>14</v>
      </c>
      <c r="AU67">
        <v>1</v>
      </c>
      <c r="AW67">
        <f>VLOOKUP(AT67,Constants!$B$15:$L$33,2,FALSE)</f>
        <v>0.99369905746444864</v>
      </c>
      <c r="AX67">
        <f>VLOOKUP(AT67,Constants!$B$15:$L$33,3,FALSE)</f>
        <v>8.9784740924235424E-5</v>
      </c>
    </row>
    <row r="68" spans="1:50" x14ac:dyDescent="0.2">
      <c r="A68">
        <f>ROW()</f>
        <v>68</v>
      </c>
      <c r="B68" s="164" t="s">
        <v>52</v>
      </c>
      <c r="C68" s="126">
        <f t="shared" si="91"/>
        <v>7.2131278918000002E-2</v>
      </c>
      <c r="D68" s="126">
        <f t="shared" si="92"/>
        <v>-7.7397958999999999E-7</v>
      </c>
      <c r="E68" s="126">
        <f t="shared" si="93"/>
        <v>1.6765061999999999E-5</v>
      </c>
      <c r="F68" s="126">
        <f t="shared" si="94"/>
        <v>8.1703622385722899E-9</v>
      </c>
      <c r="G68" s="126">
        <f t="shared" si="95"/>
        <v>9.5732956808206294E-8</v>
      </c>
      <c r="H68" s="126">
        <f t="shared" si="96"/>
        <v>2.31040457833688E-7</v>
      </c>
      <c r="I68" s="124">
        <v>20.399999999999999</v>
      </c>
      <c r="J68" s="125">
        <f t="shared" si="97"/>
        <v>60.169027622238872</v>
      </c>
      <c r="K68" s="124">
        <f t="shared" si="98"/>
        <v>18.051248000935644</v>
      </c>
      <c r="L68" s="122">
        <v>50</v>
      </c>
      <c r="M68" s="122">
        <v>30</v>
      </c>
      <c r="N68" s="122">
        <v>0.83416000000000001</v>
      </c>
      <c r="O68" s="124">
        <f t="shared" si="99"/>
        <v>0.19999402020000001</v>
      </c>
      <c r="P68" s="124">
        <f t="shared" si="100"/>
        <v>0.1000646</v>
      </c>
      <c r="Q68" s="126">
        <v>1</v>
      </c>
      <c r="R68" s="52">
        <f>Q68*D68/C68/N68</f>
        <v>-1.2863421939594914E-5</v>
      </c>
      <c r="S68" s="52">
        <f>Q68*E68/C68/N68</f>
        <v>2.7863275612922684E-4</v>
      </c>
      <c r="T68" s="19">
        <f>M68*N68*O68/(P68*U68*L68)</f>
        <v>0.99952460713785007</v>
      </c>
      <c r="U68" s="19">
        <f t="shared" si="108"/>
        <v>1.0007916364904097</v>
      </c>
      <c r="V68" s="48">
        <f t="shared" si="109"/>
        <v>1.9151650451155946E-4</v>
      </c>
      <c r="W68" s="19">
        <f>R68+T68</f>
        <v>0.99951174371591045</v>
      </c>
      <c r="X68" s="2">
        <f>1000*(W68-1)</f>
        <v>-0.48825628408954991</v>
      </c>
      <c r="Y68" s="2">
        <f>1000*(S68-V68)</f>
        <v>8.7116251617667381E-2</v>
      </c>
      <c r="Z68" t="s">
        <v>68</v>
      </c>
      <c r="AA68" t="s">
        <v>67</v>
      </c>
      <c r="AB68" t="s">
        <v>66</v>
      </c>
      <c r="AE68" s="170" t="s">
        <v>205</v>
      </c>
      <c r="AF68" s="168"/>
      <c r="AG68" s="168"/>
      <c r="AH68" s="168"/>
      <c r="AI68" s="167"/>
      <c r="AJ68" s="168">
        <v>18.04</v>
      </c>
      <c r="AK68" s="168"/>
      <c r="AM68" s="43" t="s">
        <v>195</v>
      </c>
      <c r="AN68" s="18">
        <v>7.2118846809999998E-2</v>
      </c>
      <c r="AO68" s="18">
        <v>-6.9427699000000003E-7</v>
      </c>
      <c r="AP68" s="18">
        <v>1.4437002E-5</v>
      </c>
      <c r="AQ68" s="18">
        <v>2.4252803984152099E-8</v>
      </c>
      <c r="AR68" s="18">
        <v>6.8011676681214201E-9</v>
      </c>
      <c r="AS68" s="18">
        <v>1.6139635186707301E-7</v>
      </c>
      <c r="AT68">
        <v>12</v>
      </c>
      <c r="AU68">
        <v>1</v>
      </c>
      <c r="AW68">
        <f>VLOOKUP(AT68,Constants!$B$15:$L$33,2,FALSE)</f>
        <v>1.0033014728677232</v>
      </c>
      <c r="AX68">
        <f>VLOOKUP(AT68,Constants!$B$15:$L$33,3,FALSE)</f>
        <v>-1.1639650509139207E-4</v>
      </c>
    </row>
    <row r="69" spans="1:50" x14ac:dyDescent="0.2">
      <c r="A69">
        <f>ROW()</f>
        <v>69</v>
      </c>
      <c r="B69" s="164" t="s">
        <v>199</v>
      </c>
      <c r="C69" s="126">
        <f t="shared" si="91"/>
        <v>7.2127758952000007E-2</v>
      </c>
      <c r="D69" s="126">
        <f t="shared" si="92"/>
        <v>-7.9321076999999904E-5</v>
      </c>
      <c r="E69" s="126">
        <f t="shared" si="93"/>
        <v>1.2602979E-5</v>
      </c>
      <c r="F69" s="126">
        <f t="shared" si="94"/>
        <v>3.0896694273623198E-8</v>
      </c>
      <c r="G69" s="126">
        <f t="shared" si="95"/>
        <v>4.3090497455933901E-8</v>
      </c>
      <c r="H69" s="126">
        <f t="shared" si="96"/>
        <v>9.2915838579867497E-8</v>
      </c>
      <c r="I69" s="124">
        <v>20.41</v>
      </c>
      <c r="J69" s="125">
        <f t="shared" si="97"/>
        <v>60.16609140740033</v>
      </c>
      <c r="K69" s="124">
        <f t="shared" si="98"/>
        <v>18.050367110146322</v>
      </c>
      <c r="L69" s="122">
        <v>50</v>
      </c>
      <c r="M69" s="122">
        <v>30</v>
      </c>
      <c r="N69" s="122">
        <v>0.83416000000000001</v>
      </c>
      <c r="O69" s="124">
        <f t="shared" si="99"/>
        <v>0.19999402020000001</v>
      </c>
      <c r="P69" s="124">
        <f t="shared" si="100"/>
        <v>0.1000646</v>
      </c>
      <c r="Q69" s="126">
        <v>1</v>
      </c>
      <c r="R69" s="52">
        <f>Q69*D69/C69/N69</f>
        <v>-1.3183684554626653E-3</v>
      </c>
      <c r="S69" s="52">
        <f>Q69*E69/C69/N69</f>
        <v>2.0946979777466241E-4</v>
      </c>
      <c r="T69" s="19">
        <f>M69*N69*O69/(P69*U69*L69)</f>
        <v>0.99952460713785007</v>
      </c>
      <c r="U69" s="19">
        <f t="shared" si="108"/>
        <v>1.0007916364904097</v>
      </c>
      <c r="V69" s="48">
        <f t="shared" si="109"/>
        <v>1.9151650451155946E-4</v>
      </c>
      <c r="W69" s="19">
        <f>R69+T69</f>
        <v>0.99820623868238745</v>
      </c>
      <c r="X69" s="2">
        <f>1000*(W69-1)</f>
        <v>-1.7937613176125522</v>
      </c>
      <c r="Y69" s="2">
        <f>1000*(S69-V69)</f>
        <v>1.7953293263102951E-2</v>
      </c>
      <c r="AA69" s="46">
        <f>100*-(X69-X68)/1000</f>
        <v>0.13055050335230023</v>
      </c>
      <c r="AB69" s="46">
        <f>100*-(Y69-Y68)/1000</f>
        <v>6.9162958354564439E-3</v>
      </c>
      <c r="AC69" s="46"/>
      <c r="AD69" s="46" t="s">
        <v>200</v>
      </c>
      <c r="AE69" s="46"/>
      <c r="AF69" s="46"/>
      <c r="AG69" s="46"/>
      <c r="AH69" s="46"/>
      <c r="AI69" s="46"/>
      <c r="AJ69" s="168">
        <v>18.04</v>
      </c>
      <c r="AK69" s="168"/>
    </row>
    <row r="70" spans="1:50" x14ac:dyDescent="0.2">
      <c r="B70" s="164"/>
      <c r="C70" s="126">
        <f t="shared" si="91"/>
        <v>7.2118846809999998E-2</v>
      </c>
      <c r="D70" s="126">
        <f t="shared" si="92"/>
        <v>-6.9427699000000003E-7</v>
      </c>
      <c r="E70" s="126">
        <f t="shared" si="93"/>
        <v>1.4437002E-5</v>
      </c>
      <c r="F70" s="126">
        <f t="shared" si="94"/>
        <v>2.4252803984152099E-8</v>
      </c>
      <c r="G70" s="126">
        <f t="shared" si="95"/>
        <v>6.8011676681214201E-9</v>
      </c>
      <c r="H70" s="126">
        <f t="shared" si="96"/>
        <v>1.6139635186707301E-7</v>
      </c>
      <c r="I70" s="124">
        <v>20.41</v>
      </c>
      <c r="J70" s="125">
        <f t="shared" si="97"/>
        <v>60.158657255029595</v>
      </c>
      <c r="K70" s="124">
        <f t="shared" si="98"/>
        <v>18.048136797750995</v>
      </c>
      <c r="L70" s="122">
        <v>50</v>
      </c>
      <c r="M70" s="122">
        <v>30</v>
      </c>
      <c r="N70" s="122">
        <v>0.83416000000000001</v>
      </c>
      <c r="O70" s="124">
        <f t="shared" si="99"/>
        <v>0.19999402020000001</v>
      </c>
      <c r="P70" s="124">
        <f t="shared" si="100"/>
        <v>0.1000646</v>
      </c>
      <c r="Q70" s="126">
        <v>1</v>
      </c>
      <c r="R70" s="52">
        <f>Q70*D70/C70/N70</f>
        <v>-1.1540766062260384E-5</v>
      </c>
      <c r="S70" s="52">
        <f>Q70*E70/C70/N70</f>
        <v>2.3998211826433322E-4</v>
      </c>
      <c r="T70" s="19">
        <f>M70*N70*O70/(P70*U70*L70)</f>
        <v>0.99952460713785007</v>
      </c>
      <c r="U70" s="19">
        <f t="shared" si="108"/>
        <v>1.0007916364904097</v>
      </c>
      <c r="V70" s="48">
        <f t="shared" si="109"/>
        <v>1.9151650451155946E-4</v>
      </c>
      <c r="W70" s="19">
        <f>R70+T70</f>
        <v>0.99951306637178783</v>
      </c>
      <c r="X70" s="2">
        <f>1000*(W70-1)</f>
        <v>-0.48693362821217168</v>
      </c>
      <c r="Y70" s="2">
        <f>1000*(S70-V70)</f>
        <v>4.8465613752773758E-2</v>
      </c>
      <c r="AA70" s="46">
        <f>100*-(X70-X68)/1000</f>
        <v>-1.3226558773782315E-4</v>
      </c>
      <c r="AB70" s="46">
        <f>100*-(Y70-Y68)/1000</f>
        <v>3.8650637864893621E-3</v>
      </c>
      <c r="AC70" s="46"/>
      <c r="AD70" s="46" t="s">
        <v>201</v>
      </c>
      <c r="AE70" s="46"/>
      <c r="AF70" s="46"/>
      <c r="AG70" s="46"/>
      <c r="AH70" s="46"/>
      <c r="AI70" s="46"/>
      <c r="AJ70" s="168">
        <v>18.04</v>
      </c>
      <c r="AK70" s="168"/>
    </row>
    <row r="71" spans="1:50" x14ac:dyDescent="0.2">
      <c r="A71">
        <f>ROW()</f>
        <v>71</v>
      </c>
      <c r="F71" s="18"/>
      <c r="G71" s="18"/>
      <c r="H71" s="18"/>
      <c r="I71" s="2"/>
      <c r="J71" s="17"/>
      <c r="K71" s="2"/>
      <c r="R71" s="52"/>
      <c r="S71" s="52"/>
      <c r="T71" s="19"/>
      <c r="U71" s="19"/>
      <c r="V71" s="48"/>
      <c r="W71" s="19"/>
      <c r="X71" s="2"/>
      <c r="Y71" s="2"/>
      <c r="AA71" s="43"/>
      <c r="AB71" s="43"/>
    </row>
    <row r="72" spans="1:50" x14ac:dyDescent="0.2">
      <c r="A72">
        <f>ROW()</f>
        <v>72</v>
      </c>
      <c r="B72" s="45" t="s">
        <v>216</v>
      </c>
      <c r="F72" s="18"/>
      <c r="G72" s="18"/>
      <c r="H72" s="18"/>
      <c r="J72" s="17"/>
      <c r="K72" s="2"/>
      <c r="R72" s="52"/>
      <c r="S72" s="52"/>
      <c r="T72" s="19"/>
      <c r="U72" s="19"/>
      <c r="V72" s="48"/>
      <c r="W72" s="19"/>
      <c r="X72" s="2"/>
      <c r="Y72" s="2"/>
      <c r="AA72" s="3"/>
      <c r="AB72" t="s">
        <v>64</v>
      </c>
      <c r="AE72" s="170" t="s">
        <v>202</v>
      </c>
    </row>
    <row r="73" spans="1:50" x14ac:dyDescent="0.2">
      <c r="A73">
        <f>ROW()</f>
        <v>73</v>
      </c>
      <c r="C73" s="5" t="str">
        <f>B77&amp;" range, "&amp;B79&amp;", vs shunts and 100 AT on "&amp;B81&amp;" range."</f>
        <v>30/1 range, l - 1200At(1A), vs shunts and 100 AT on 50/1 range.</v>
      </c>
      <c r="G73" s="18"/>
      <c r="J73" s="5" t="s">
        <v>211</v>
      </c>
      <c r="R73" s="50"/>
      <c r="S73" s="50"/>
      <c r="V73" s="47"/>
      <c r="X73" s="19"/>
      <c r="Y73" s="19"/>
      <c r="Z73" t="s">
        <v>63</v>
      </c>
      <c r="AA73" t="s">
        <v>63</v>
      </c>
      <c r="AB73" t="s">
        <v>65</v>
      </c>
      <c r="AE73" s="170" t="s">
        <v>203</v>
      </c>
      <c r="AF73" s="176"/>
      <c r="AG73" s="177" t="s">
        <v>218</v>
      </c>
      <c r="AH73" s="186">
        <v>15</v>
      </c>
      <c r="AI73" s="176" t="s">
        <v>14</v>
      </c>
      <c r="AJ73" s="5" t="s">
        <v>219</v>
      </c>
    </row>
    <row r="74" spans="1:50" x14ac:dyDescent="0.2">
      <c r="A74">
        <f>ROW()</f>
        <v>74</v>
      </c>
      <c r="B74" s="4">
        <v>43377</v>
      </c>
      <c r="E74" s="18"/>
      <c r="F74" s="18"/>
      <c r="G74" s="18"/>
      <c r="H74" s="18"/>
      <c r="R74" s="50"/>
      <c r="S74" s="50"/>
      <c r="V74" s="47"/>
      <c r="X74" t="s">
        <v>6</v>
      </c>
      <c r="Y74" t="s">
        <v>7</v>
      </c>
      <c r="Z74" t="s">
        <v>61</v>
      </c>
      <c r="AA74" t="s">
        <v>62</v>
      </c>
      <c r="AB74" t="s">
        <v>6</v>
      </c>
      <c r="AC74" t="s">
        <v>7</v>
      </c>
      <c r="AE74" s="170" t="s">
        <v>204</v>
      </c>
      <c r="AF74" s="59"/>
      <c r="AG74" s="176" t="s">
        <v>5</v>
      </c>
      <c r="AH74" s="176" t="s">
        <v>3</v>
      </c>
      <c r="AI74" s="59"/>
      <c r="AW74" s="43" t="s">
        <v>247</v>
      </c>
    </row>
    <row r="75" spans="1:50" x14ac:dyDescent="0.2">
      <c r="A75">
        <f>ROW()</f>
        <v>75</v>
      </c>
      <c r="B75" s="43" t="s">
        <v>51</v>
      </c>
      <c r="C75" s="18">
        <f>AN75</f>
        <v>5.9401619847999996E-3</v>
      </c>
      <c r="D75" s="18">
        <f t="shared" ref="D75:H81" si="111">AO75</f>
        <v>-5.9905809000000003E-7</v>
      </c>
      <c r="E75" s="18">
        <f t="shared" si="111"/>
        <v>2.7525060000000001E-6</v>
      </c>
      <c r="F75" s="18">
        <f t="shared" si="111"/>
        <v>1.11494402295305E-7</v>
      </c>
      <c r="G75" s="18">
        <f t="shared" si="111"/>
        <v>8.4156260918495601E-8</v>
      </c>
      <c r="H75" s="18">
        <f t="shared" si="111"/>
        <v>5.4287257897226698E-8</v>
      </c>
      <c r="I75" s="2">
        <v>20.34</v>
      </c>
      <c r="J75" s="17">
        <f>100*C75/0.1*N75</f>
        <v>4.955045521240768</v>
      </c>
      <c r="K75" s="2">
        <f t="shared" ref="K75:K79" si="112">(C75/O75)*(30/50)*N75*100</f>
        <v>1.4865581029729509</v>
      </c>
      <c r="L75">
        <v>50</v>
      </c>
      <c r="M75">
        <v>30</v>
      </c>
      <c r="N75">
        <v>0.83416000000000001</v>
      </c>
      <c r="O75" s="2">
        <f t="shared" ref="O75:O81" si="113">MSL0.2</f>
        <v>0.19999402020000001</v>
      </c>
      <c r="P75" s="2">
        <f t="shared" ref="P75:P81" si="114">Ti_969</f>
        <v>0.1000646</v>
      </c>
      <c r="Q75">
        <v>1</v>
      </c>
      <c r="R75" s="52">
        <f t="shared" ref="R75:R89" si="115">Q75*D75/C75/N75</f>
        <v>-1.2089860475186773E-4</v>
      </c>
      <c r="S75" s="52">
        <f t="shared" ref="S75:S81" si="116">Q75*E75/C75/N75</f>
        <v>5.5549560305770082E-4</v>
      </c>
      <c r="T75" s="19">
        <f t="shared" ref="T75:T81" si="117">M75*N75*O75/(P75*U75*L75)</f>
        <v>0.99951897406738954</v>
      </c>
      <c r="U75" s="19">
        <f t="shared" ref="U75:U81" si="118">$AA$16</f>
        <v>1.0007972767333173</v>
      </c>
      <c r="V75" s="48">
        <f>AA$17</f>
        <v>2.3329884646001238E-4</v>
      </c>
      <c r="W75" s="19">
        <f t="shared" ref="W75:W81" si="119">R75+T75</f>
        <v>0.9993980754626377</v>
      </c>
      <c r="X75" s="2">
        <f t="shared" ref="X75:X81" si="120">1000*(W75-1)</f>
        <v>-0.60192453736229723</v>
      </c>
      <c r="Y75" s="2">
        <f t="shared" ref="Y75:Y81" si="121">1000*(S75-V75)</f>
        <v>0.32219675659768843</v>
      </c>
      <c r="Z75" s="51">
        <f t="shared" ref="Z75:Z81" si="122">((C75*N75)^2/P75-$AB$10)*$Z$28*0.001</f>
        <v>-2.6395981512175357E-6</v>
      </c>
      <c r="AA75" s="51">
        <f>(C75^2/O75-$Z$10)*$AB$5*0.001</f>
        <v>-7.0809711441242676E-7</v>
      </c>
      <c r="AB75" s="2">
        <f>0.5*(X75+X83)+AA75-Z75</f>
        <v>-0.61831289964906511</v>
      </c>
      <c r="AC75" s="2">
        <f t="shared" ref="AC75:AC81" si="123">0.5*(Y75+Y83)</f>
        <v>0.34334880364471621</v>
      </c>
      <c r="AE75" s="168">
        <v>1.4790000000000001</v>
      </c>
      <c r="AF75" s="59"/>
      <c r="AG75" s="178">
        <f>(AB75-AB53)*($AA$69-$AH$73)/($AA$69-$AA$93)</f>
        <v>-0.13120526924786591</v>
      </c>
      <c r="AH75" s="178">
        <f t="shared" ref="AG75:AH81" si="124">(AC75-AC53)*($AA$69-$AH$73)/($AA$69-$AA$93)</f>
        <v>0.25292081831838692</v>
      </c>
      <c r="AI75" s="59"/>
      <c r="AM75" s="43" t="s">
        <v>194</v>
      </c>
      <c r="AN75" s="18">
        <v>5.9401619847999996E-3</v>
      </c>
      <c r="AO75" s="18">
        <v>-5.9905809000000003E-7</v>
      </c>
      <c r="AP75" s="18">
        <v>2.7525060000000001E-6</v>
      </c>
      <c r="AQ75" s="18">
        <v>1.11494402295305E-7</v>
      </c>
      <c r="AR75" s="18">
        <v>8.4156260918495601E-8</v>
      </c>
      <c r="AS75" s="18">
        <v>5.4287257897226698E-8</v>
      </c>
      <c r="AT75">
        <v>10</v>
      </c>
      <c r="AU75">
        <v>1</v>
      </c>
      <c r="AW75">
        <f>VLOOKUP(AT75,Constants!$B$15:$L$33,2,FALSE)</f>
        <v>0.99248924126722049</v>
      </c>
      <c r="AX75">
        <f>VLOOKUP(AT75,Constants!$B$15:$L$33,3,FALSE)</f>
        <v>-2.7303958893031477E-4</v>
      </c>
    </row>
    <row r="76" spans="1:50" x14ac:dyDescent="0.2">
      <c r="A76">
        <f>ROW()</f>
        <v>76</v>
      </c>
      <c r="B76" s="5" t="s">
        <v>110</v>
      </c>
      <c r="C76" s="18">
        <f t="shared" ref="C76:C81" si="125">AN76</f>
        <v>1.203147282E-2</v>
      </c>
      <c r="D76" s="18">
        <f t="shared" si="111"/>
        <v>-1.4093173000000001E-6</v>
      </c>
      <c r="E76" s="18">
        <f t="shared" si="111"/>
        <v>5.2934754999999999E-6</v>
      </c>
      <c r="F76" s="18">
        <f t="shared" si="111"/>
        <v>6.3757535597665496E-8</v>
      </c>
      <c r="G76" s="18">
        <f t="shared" si="111"/>
        <v>6.5549949898607898E-8</v>
      </c>
      <c r="H76" s="18">
        <f t="shared" si="111"/>
        <v>7.0437718083069601E-8</v>
      </c>
      <c r="I76" s="2">
        <v>20.34</v>
      </c>
      <c r="J76" s="17">
        <f t="shared" ref="J76:J81" si="126">100*C76/0.1*N76</f>
        <v>10.0361733675312</v>
      </c>
      <c r="K76" s="2">
        <f t="shared" si="112"/>
        <v>3.0109420344152467</v>
      </c>
      <c r="L76">
        <v>50</v>
      </c>
      <c r="M76">
        <v>30</v>
      </c>
      <c r="N76">
        <v>0.83416000000000001</v>
      </c>
      <c r="O76" s="2">
        <f t="shared" si="113"/>
        <v>0.19999402020000001</v>
      </c>
      <c r="P76" s="2">
        <f t="shared" si="114"/>
        <v>0.1000646</v>
      </c>
      <c r="Q76">
        <v>1</v>
      </c>
      <c r="R76" s="52">
        <f t="shared" si="115"/>
        <v>-1.4042376993599883E-4</v>
      </c>
      <c r="S76" s="52">
        <f t="shared" si="116"/>
        <v>5.2743962326570921E-4</v>
      </c>
      <c r="T76" s="19">
        <f t="shared" si="117"/>
        <v>0.99951897406738954</v>
      </c>
      <c r="U76" s="19">
        <f t="shared" si="118"/>
        <v>1.0007972767333173</v>
      </c>
      <c r="V76" s="48">
        <f t="shared" ref="V76:V81" si="127">AA$17</f>
        <v>2.3329884646001238E-4</v>
      </c>
      <c r="W76" s="19">
        <f t="shared" si="119"/>
        <v>0.99937855029745359</v>
      </c>
      <c r="X76" s="2">
        <f t="shared" si="120"/>
        <v>-0.62144970254640608</v>
      </c>
      <c r="Y76" s="2">
        <f t="shared" si="121"/>
        <v>0.29414077680569684</v>
      </c>
      <c r="Z76" s="51">
        <f t="shared" si="122"/>
        <v>-5.9153873166575048E-8</v>
      </c>
      <c r="AA76" s="51">
        <f t="shared" ref="AA76:AA81" si="128">(C76^2/O76-$Z$10)*$AB$5*0.001</f>
        <v>4.4685450321034982E-7</v>
      </c>
      <c r="AB76" s="2">
        <f t="shared" ref="AB76:AB81" si="129">0.5*(X76+X84)+AA76-Z76</f>
        <v>-0.62811908198831312</v>
      </c>
      <c r="AC76" s="2">
        <f t="shared" si="123"/>
        <v>0.31501221629134357</v>
      </c>
      <c r="AE76" s="168">
        <v>3.008</v>
      </c>
      <c r="AF76" s="59"/>
      <c r="AG76" s="178">
        <f t="shared" si="124"/>
        <v>-0.14742814645185459</v>
      </c>
      <c r="AH76" s="178">
        <f t="shared" si="124"/>
        <v>0.21974183338259334</v>
      </c>
      <c r="AI76" s="59"/>
      <c r="AM76" s="43" t="s">
        <v>194</v>
      </c>
      <c r="AN76" s="18">
        <v>1.203147282E-2</v>
      </c>
      <c r="AO76" s="18">
        <v>-1.4093173000000001E-6</v>
      </c>
      <c r="AP76" s="18">
        <v>5.2934754999999999E-6</v>
      </c>
      <c r="AQ76" s="18">
        <v>6.3757535597665496E-8</v>
      </c>
      <c r="AR76" s="18">
        <v>6.5549949898607898E-8</v>
      </c>
      <c r="AS76" s="18">
        <v>7.0437718083069601E-8</v>
      </c>
      <c r="AT76">
        <v>11</v>
      </c>
      <c r="AU76">
        <v>1</v>
      </c>
      <c r="AW76">
        <f>VLOOKUP(AT76,Constants!$B$15:$L$33,2,FALSE)</f>
        <v>1.0014538869894722</v>
      </c>
      <c r="AX76">
        <f>VLOOKUP(AT76,Constants!$B$15:$L$33,3,FALSE)</f>
        <v>-1.6494401832275451E-4</v>
      </c>
    </row>
    <row r="77" spans="1:50" x14ac:dyDescent="0.2">
      <c r="A77">
        <f>ROW()</f>
        <v>77</v>
      </c>
      <c r="B77" s="161" t="s">
        <v>191</v>
      </c>
      <c r="C77" s="18">
        <f t="shared" si="125"/>
        <v>2.4063428876E-2</v>
      </c>
      <c r="D77" s="18">
        <f t="shared" si="111"/>
        <v>-2.7161288E-6</v>
      </c>
      <c r="E77" s="18">
        <f t="shared" si="111"/>
        <v>1.01238578E-5</v>
      </c>
      <c r="F77" s="18">
        <f t="shared" si="111"/>
        <v>3.9624879398408899E-8</v>
      </c>
      <c r="G77" s="18">
        <f t="shared" si="111"/>
        <v>1.12637019529815E-7</v>
      </c>
      <c r="H77" s="18">
        <f t="shared" si="111"/>
        <v>1.21762513464366E-7</v>
      </c>
      <c r="I77" s="2">
        <v>20.350000000000001</v>
      </c>
      <c r="J77" s="17">
        <f t="shared" si="126"/>
        <v>20.07274983120416</v>
      </c>
      <c r="K77" s="2">
        <f t="shared" si="112"/>
        <v>6.0220050012887816</v>
      </c>
      <c r="L77">
        <v>50</v>
      </c>
      <c r="M77">
        <v>30</v>
      </c>
      <c r="N77">
        <v>0.83416000000000001</v>
      </c>
      <c r="O77" s="2">
        <f t="shared" si="113"/>
        <v>0.19999402020000001</v>
      </c>
      <c r="P77" s="2">
        <f t="shared" si="114"/>
        <v>0.1000646</v>
      </c>
      <c r="Q77">
        <v>1</v>
      </c>
      <c r="R77" s="52">
        <f t="shared" si="115"/>
        <v>-1.3531423560999266E-4</v>
      </c>
      <c r="S77" s="52">
        <f t="shared" si="116"/>
        <v>5.0435829097326382E-4</v>
      </c>
      <c r="T77" s="19">
        <f t="shared" si="117"/>
        <v>0.99951897406738954</v>
      </c>
      <c r="U77" s="19">
        <f t="shared" si="118"/>
        <v>1.0007972767333173</v>
      </c>
      <c r="V77" s="48">
        <f t="shared" si="127"/>
        <v>2.3329884646001238E-4</v>
      </c>
      <c r="W77" s="19">
        <f t="shared" si="119"/>
        <v>0.99938365983177957</v>
      </c>
      <c r="X77" s="2">
        <f t="shared" si="120"/>
        <v>-0.61634016822043058</v>
      </c>
      <c r="Y77" s="2">
        <f t="shared" si="121"/>
        <v>0.27105944451325142</v>
      </c>
      <c r="Z77" s="51">
        <f t="shared" si="122"/>
        <v>1.0177976616743836E-5</v>
      </c>
      <c r="AA77" s="51">
        <f t="shared" si="128"/>
        <v>5.0287749576476868E-6</v>
      </c>
      <c r="AB77" s="2">
        <f t="shared" si="129"/>
        <v>-0.63089729809616091</v>
      </c>
      <c r="AC77" s="2">
        <f t="shared" si="123"/>
        <v>0.28844238939457778</v>
      </c>
      <c r="AE77" s="168">
        <v>6.02</v>
      </c>
      <c r="AF77" s="59"/>
      <c r="AG77" s="178">
        <f t="shared" si="124"/>
        <v>-0.14487901664846944</v>
      </c>
      <c r="AH77" s="178">
        <f t="shared" si="124"/>
        <v>0.20106164927607137</v>
      </c>
      <c r="AI77" s="59"/>
      <c r="AM77" s="43" t="s">
        <v>194</v>
      </c>
      <c r="AN77" s="18">
        <v>2.4063428876E-2</v>
      </c>
      <c r="AO77" s="18">
        <v>-2.7161288E-6</v>
      </c>
      <c r="AP77" s="18">
        <v>1.01238578E-5</v>
      </c>
      <c r="AQ77" s="18">
        <v>3.9624879398408899E-8</v>
      </c>
      <c r="AR77" s="18">
        <v>1.12637019529815E-7</v>
      </c>
      <c r="AS77" s="18">
        <v>1.21762513464366E-7</v>
      </c>
      <c r="AT77">
        <v>11</v>
      </c>
      <c r="AU77">
        <v>1</v>
      </c>
      <c r="AW77">
        <f>VLOOKUP(AT77,Constants!$B$15:$L$33,2,FALSE)</f>
        <v>1.0014538869894722</v>
      </c>
      <c r="AX77">
        <f>VLOOKUP(AT77,Constants!$B$15:$L$33,3,FALSE)</f>
        <v>-1.6494401832275451E-4</v>
      </c>
    </row>
    <row r="78" spans="1:50" x14ac:dyDescent="0.2">
      <c r="A78">
        <f>ROW()</f>
        <v>78</v>
      </c>
      <c r="B78" s="67" t="s">
        <v>112</v>
      </c>
      <c r="C78" s="18">
        <f t="shared" si="125"/>
        <v>4.7942906473999999E-2</v>
      </c>
      <c r="D78" s="18">
        <f t="shared" si="111"/>
        <v>-5.5508232999999997E-6</v>
      </c>
      <c r="E78" s="18">
        <f t="shared" si="111"/>
        <v>1.8743106E-5</v>
      </c>
      <c r="F78" s="18">
        <f t="shared" si="111"/>
        <v>5.3589999626953701E-7</v>
      </c>
      <c r="G78" s="18">
        <f t="shared" si="111"/>
        <v>2.3256595066991202E-8</v>
      </c>
      <c r="H78" s="18">
        <f t="shared" si="111"/>
        <v>1.7196155500576299E-8</v>
      </c>
      <c r="I78" s="2">
        <v>20.350000000000001</v>
      </c>
      <c r="J78" s="17">
        <f t="shared" si="126"/>
        <v>39.992054864351836</v>
      </c>
      <c r="K78" s="2">
        <f t="shared" si="112"/>
        <v>11.997975186765661</v>
      </c>
      <c r="L78">
        <v>50</v>
      </c>
      <c r="M78">
        <v>30</v>
      </c>
      <c r="N78">
        <v>0.83416000000000001</v>
      </c>
      <c r="O78" s="2">
        <f t="shared" si="113"/>
        <v>0.19999402020000001</v>
      </c>
      <c r="P78" s="2">
        <f t="shared" si="114"/>
        <v>0.1000646</v>
      </c>
      <c r="Q78">
        <v>1</v>
      </c>
      <c r="R78" s="52">
        <f t="shared" si="115"/>
        <v>-1.3879815175358491E-4</v>
      </c>
      <c r="S78" s="52">
        <f t="shared" si="116"/>
        <v>4.6867074131535185E-4</v>
      </c>
      <c r="T78" s="19">
        <f t="shared" si="117"/>
        <v>0.99951897406738954</v>
      </c>
      <c r="U78" s="19">
        <f t="shared" si="118"/>
        <v>1.0007972767333173</v>
      </c>
      <c r="V78" s="48">
        <f t="shared" si="127"/>
        <v>2.3329884646001238E-4</v>
      </c>
      <c r="W78" s="19">
        <f t="shared" si="119"/>
        <v>0.99938017591563599</v>
      </c>
      <c r="X78" s="2">
        <f t="shared" si="120"/>
        <v>-0.61982408436400682</v>
      </c>
      <c r="Y78" s="2">
        <f t="shared" si="121"/>
        <v>0.23537189485533946</v>
      </c>
      <c r="Z78" s="51">
        <f t="shared" si="122"/>
        <v>5.0709382599667001E-5</v>
      </c>
      <c r="AA78" s="51">
        <f t="shared" si="128"/>
        <v>2.3169764593688237E-5</v>
      </c>
      <c r="AB78" s="2">
        <f t="shared" si="129"/>
        <v>-0.63382590435154584</v>
      </c>
      <c r="AC78" s="2">
        <f t="shared" si="123"/>
        <v>0.25107066261614136</v>
      </c>
      <c r="AE78" s="168">
        <v>11.97</v>
      </c>
      <c r="AF78" s="59"/>
      <c r="AG78" s="178">
        <f t="shared" si="124"/>
        <v>-0.14967897407428982</v>
      </c>
      <c r="AH78" s="178">
        <f t="shared" si="124"/>
        <v>0.17058496080563129</v>
      </c>
      <c r="AI78" s="59"/>
      <c r="AM78" s="43" t="s">
        <v>194</v>
      </c>
      <c r="AN78" s="18">
        <v>4.7942906473999999E-2</v>
      </c>
      <c r="AO78" s="18">
        <v>-5.5508232999999997E-6</v>
      </c>
      <c r="AP78" s="18">
        <v>1.8743106E-5</v>
      </c>
      <c r="AQ78" s="18">
        <v>5.3589999626953701E-7</v>
      </c>
      <c r="AR78" s="18">
        <v>2.3256595066991202E-8</v>
      </c>
      <c r="AS78" s="18">
        <v>1.7196155500576299E-8</v>
      </c>
      <c r="AT78">
        <v>12</v>
      </c>
      <c r="AU78">
        <v>1</v>
      </c>
      <c r="AW78">
        <f>VLOOKUP(AT78,Constants!$B$15:$L$33,2,FALSE)</f>
        <v>1.0033014728677232</v>
      </c>
      <c r="AX78">
        <f>VLOOKUP(AT78,Constants!$B$15:$L$33,3,FALSE)</f>
        <v>-1.1639650509139207E-4</v>
      </c>
    </row>
    <row r="79" spans="1:50" ht="13.5" x14ac:dyDescent="0.25">
      <c r="A79">
        <f>ROW()</f>
        <v>79</v>
      </c>
      <c r="B79" s="163" t="s">
        <v>212</v>
      </c>
      <c r="C79" s="18">
        <f t="shared" si="125"/>
        <v>7.2055172831999997E-2</v>
      </c>
      <c r="D79" s="18">
        <f t="shared" si="111"/>
        <v>-7.9494927000000001E-6</v>
      </c>
      <c r="E79" s="18">
        <f t="shared" si="111"/>
        <v>2.6982785000000001E-5</v>
      </c>
      <c r="F79" s="18">
        <f t="shared" si="111"/>
        <v>1.4556681511520099E-7</v>
      </c>
      <c r="G79" s="18">
        <f t="shared" si="111"/>
        <v>2.1920567499430799E-7</v>
      </c>
      <c r="H79" s="18">
        <f t="shared" si="111"/>
        <v>2.5033821696856401E-7</v>
      </c>
      <c r="I79" s="2">
        <v>20.350000000000001</v>
      </c>
      <c r="J79" s="17">
        <f t="shared" si="126"/>
        <v>60.105542969541119</v>
      </c>
      <c r="K79" s="2">
        <f t="shared" si="112"/>
        <v>18.032202035670998</v>
      </c>
      <c r="L79">
        <v>50</v>
      </c>
      <c r="M79">
        <v>30</v>
      </c>
      <c r="N79">
        <v>0.83416000000000001</v>
      </c>
      <c r="O79" s="2">
        <f t="shared" si="113"/>
        <v>0.19999402020000001</v>
      </c>
      <c r="P79" s="2">
        <f t="shared" si="114"/>
        <v>0.1000646</v>
      </c>
      <c r="Q79">
        <v>1</v>
      </c>
      <c r="R79" s="52">
        <f t="shared" si="115"/>
        <v>-1.3225889505778956E-4</v>
      </c>
      <c r="S79" s="52">
        <f t="shared" si="116"/>
        <v>4.4892340484593417E-4</v>
      </c>
      <c r="T79" s="19">
        <f t="shared" si="117"/>
        <v>0.99951897406738954</v>
      </c>
      <c r="U79" s="19">
        <f t="shared" si="118"/>
        <v>1.0007972767333173</v>
      </c>
      <c r="V79" s="48">
        <f t="shared" si="127"/>
        <v>2.3329884646001238E-4</v>
      </c>
      <c r="W79" s="19">
        <f t="shared" si="119"/>
        <v>0.9993867151723318</v>
      </c>
      <c r="X79" s="2">
        <f t="shared" si="120"/>
        <v>-0.61328482766820347</v>
      </c>
      <c r="Y79" s="2">
        <f t="shared" si="121"/>
        <v>0.21562455838592179</v>
      </c>
      <c r="Z79" s="51">
        <f t="shared" si="122"/>
        <v>1.1891316591145901E-4</v>
      </c>
      <c r="AA79" s="51">
        <f t="shared" si="128"/>
        <v>5.3696317921724058E-5</v>
      </c>
      <c r="AB79" s="2">
        <f t="shared" si="129"/>
        <v>-0.62986700580187738</v>
      </c>
      <c r="AC79" s="2">
        <f t="shared" si="123"/>
        <v>0.22846158744948081</v>
      </c>
      <c r="AE79" s="168">
        <v>18.02</v>
      </c>
      <c r="AF79" s="59"/>
      <c r="AG79" s="178">
        <f t="shared" si="124"/>
        <v>-0.14853219517843494</v>
      </c>
      <c r="AH79" s="178">
        <f t="shared" si="124"/>
        <v>0.15463458447795184</v>
      </c>
      <c r="AI79" s="59"/>
      <c r="AM79" s="43" t="s">
        <v>194</v>
      </c>
      <c r="AN79" s="18">
        <v>7.2055172831999997E-2</v>
      </c>
      <c r="AO79" s="18">
        <v>-7.9494927000000001E-6</v>
      </c>
      <c r="AP79" s="18">
        <v>2.6982785000000001E-5</v>
      </c>
      <c r="AQ79" s="18">
        <v>1.4556681511520099E-7</v>
      </c>
      <c r="AR79" s="18">
        <v>2.1920567499430799E-7</v>
      </c>
      <c r="AS79" s="18">
        <v>2.5033821696856401E-7</v>
      </c>
      <c r="AT79">
        <v>13</v>
      </c>
      <c r="AU79">
        <v>1</v>
      </c>
      <c r="AW79">
        <f>VLOOKUP(AT79,Constants!$B$15:$L$33,2,FALSE)</f>
        <v>1.000409916282643</v>
      </c>
      <c r="AX79">
        <f>VLOOKUP(AT79,Constants!$B$15:$L$33,3,FALSE)</f>
        <v>-7.0507061346368138E-5</v>
      </c>
    </row>
    <row r="80" spans="1:50" x14ac:dyDescent="0.2">
      <c r="A80">
        <f>ROW()</f>
        <v>80</v>
      </c>
      <c r="B80" s="66" t="s">
        <v>111</v>
      </c>
      <c r="C80" s="18">
        <f t="shared" si="125"/>
        <v>0.12012693416</v>
      </c>
      <c r="D80" s="18">
        <f t="shared" si="111"/>
        <v>-1.3104181E-5</v>
      </c>
      <c r="E80" s="18">
        <f t="shared" si="111"/>
        <v>4.2739288E-5</v>
      </c>
      <c r="F80" s="18">
        <f t="shared" si="111"/>
        <v>2.5805551264532899E-7</v>
      </c>
      <c r="G80" s="18">
        <f t="shared" si="111"/>
        <v>1.01259024289213E-9</v>
      </c>
      <c r="H80" s="18">
        <f t="shared" si="111"/>
        <v>4.0014255659702097E-8</v>
      </c>
      <c r="I80" s="2">
        <v>20.350000000000001</v>
      </c>
      <c r="J80" s="17">
        <f t="shared" si="126"/>
        <v>100.2050833989056</v>
      </c>
      <c r="K80" s="2">
        <f>(C80/O80)*(30/50)*N80*100</f>
        <v>30.06242385608255</v>
      </c>
      <c r="L80">
        <v>50</v>
      </c>
      <c r="M80">
        <v>30</v>
      </c>
      <c r="N80">
        <v>0.83416000000000001</v>
      </c>
      <c r="O80" s="2">
        <f t="shared" si="113"/>
        <v>0.19999402020000001</v>
      </c>
      <c r="P80" s="2">
        <f t="shared" si="114"/>
        <v>0.1000646</v>
      </c>
      <c r="Q80">
        <v>1</v>
      </c>
      <c r="R80" s="52">
        <f t="shared" si="115"/>
        <v>-1.3077361502543411E-4</v>
      </c>
      <c r="S80" s="52">
        <f t="shared" si="116"/>
        <v>4.265181620563052E-4</v>
      </c>
      <c r="T80" s="19">
        <f t="shared" si="117"/>
        <v>0.99951897406738954</v>
      </c>
      <c r="U80" s="19">
        <f t="shared" si="118"/>
        <v>1.0007972767333173</v>
      </c>
      <c r="V80" s="48">
        <f t="shared" si="127"/>
        <v>2.3329884646001238E-4</v>
      </c>
      <c r="W80" s="19">
        <f t="shared" si="119"/>
        <v>0.99938820045236409</v>
      </c>
      <c r="X80" s="2">
        <f t="shared" si="120"/>
        <v>-0.61179954763590505</v>
      </c>
      <c r="Y80" s="2">
        <f t="shared" si="121"/>
        <v>0.19321931559629282</v>
      </c>
      <c r="Z80" s="51">
        <f t="shared" si="122"/>
        <v>3.3668370386804295E-4</v>
      </c>
      <c r="AA80" s="51">
        <f t="shared" si="128"/>
        <v>1.5116574875690983E-4</v>
      </c>
      <c r="AB80" s="2">
        <f t="shared" si="129"/>
        <v>-0.62447045639729892</v>
      </c>
      <c r="AC80" s="2">
        <f t="shared" si="123"/>
        <v>0.20347022564033276</v>
      </c>
      <c r="AE80" s="168">
        <v>30.04</v>
      </c>
      <c r="AF80" s="59"/>
      <c r="AG80" s="178">
        <f t="shared" si="124"/>
        <v>-0.14951420842672922</v>
      </c>
      <c r="AH80" s="178">
        <f t="shared" si="124"/>
        <v>0.13748901123962026</v>
      </c>
      <c r="AI80" s="59"/>
      <c r="AM80" s="43" t="s">
        <v>194</v>
      </c>
      <c r="AN80">
        <v>0.12012693416</v>
      </c>
      <c r="AO80" s="18">
        <v>-1.3104181E-5</v>
      </c>
      <c r="AP80" s="18">
        <v>4.2739288E-5</v>
      </c>
      <c r="AQ80" s="18">
        <v>2.5805551264532899E-7</v>
      </c>
      <c r="AR80" s="18">
        <v>1.01259024289213E-9</v>
      </c>
      <c r="AS80" s="18">
        <v>4.0014255659702097E-8</v>
      </c>
      <c r="AT80">
        <v>13</v>
      </c>
      <c r="AU80">
        <v>1</v>
      </c>
      <c r="AW80">
        <f>VLOOKUP(AT80,Constants!$B$15:$L$33,2,FALSE)</f>
        <v>1.000409916282643</v>
      </c>
      <c r="AX80">
        <f>VLOOKUP(AT80,Constants!$B$15:$L$33,3,FALSE)</f>
        <v>-7.0507061346368138E-5</v>
      </c>
    </row>
    <row r="81" spans="1:50" x14ac:dyDescent="0.2">
      <c r="A81">
        <f>ROW()</f>
        <v>81</v>
      </c>
      <c r="B81" s="162" t="s">
        <v>192</v>
      </c>
      <c r="C81" s="18">
        <f t="shared" si="125"/>
        <v>0.14423931942000001</v>
      </c>
      <c r="D81" s="18">
        <f t="shared" si="111"/>
        <v>-1.5311207999999999E-5</v>
      </c>
      <c r="E81" s="18">
        <f t="shared" si="111"/>
        <v>4.9582310999999998E-5</v>
      </c>
      <c r="F81" s="18">
        <f t="shared" si="111"/>
        <v>2.3030023049438201E-7</v>
      </c>
      <c r="G81" s="18">
        <f t="shared" si="111"/>
        <v>4.2747631513349799E-10</v>
      </c>
      <c r="H81" s="18">
        <f t="shared" si="111"/>
        <v>2.8116671989942101E-7</v>
      </c>
      <c r="I81" s="2">
        <v>20.36</v>
      </c>
      <c r="J81" s="17">
        <f t="shared" si="126"/>
        <v>120.31867068738721</v>
      </c>
      <c r="K81" s="2">
        <f>(C81/O81)*(30/50)*N81*100</f>
        <v>36.096680460865258</v>
      </c>
      <c r="L81">
        <v>50</v>
      </c>
      <c r="M81">
        <v>30</v>
      </c>
      <c r="N81">
        <v>0.83416000000000001</v>
      </c>
      <c r="O81" s="2">
        <f t="shared" si="113"/>
        <v>0.19999402020000001</v>
      </c>
      <c r="P81" s="2">
        <f t="shared" si="114"/>
        <v>0.1000646</v>
      </c>
      <c r="Q81">
        <v>1</v>
      </c>
      <c r="R81" s="52">
        <f t="shared" si="115"/>
        <v>-1.272554617876529E-4</v>
      </c>
      <c r="S81" s="52">
        <f t="shared" si="116"/>
        <v>4.1209157911015405E-4</v>
      </c>
      <c r="T81" s="19">
        <f t="shared" si="117"/>
        <v>0.99951897406738954</v>
      </c>
      <c r="U81" s="19">
        <f t="shared" si="118"/>
        <v>1.0007972767333173</v>
      </c>
      <c r="V81" s="48">
        <f t="shared" si="127"/>
        <v>2.3329884646001238E-4</v>
      </c>
      <c r="W81" s="19">
        <f t="shared" si="119"/>
        <v>0.99939171860560194</v>
      </c>
      <c r="X81" s="2">
        <f t="shared" si="120"/>
        <v>-0.60828139439805806</v>
      </c>
      <c r="Y81" s="2">
        <f t="shared" si="121"/>
        <v>0.17879273265014167</v>
      </c>
      <c r="Z81" s="51">
        <f t="shared" si="122"/>
        <v>4.8694333878446466E-4</v>
      </c>
      <c r="AA81" s="51">
        <f t="shared" si="128"/>
        <v>2.1841874464070701E-4</v>
      </c>
      <c r="AB81" s="2">
        <f t="shared" si="129"/>
        <v>-0.61983081660413353</v>
      </c>
      <c r="AC81" s="2">
        <f t="shared" si="123"/>
        <v>0.18974983773472137</v>
      </c>
      <c r="AE81" s="168">
        <v>36.1</v>
      </c>
      <c r="AF81" s="59"/>
      <c r="AG81" s="178">
        <f t="shared" si="124"/>
        <v>-0.14761131491751395</v>
      </c>
      <c r="AH81" s="178">
        <f t="shared" si="124"/>
        <v>0.12569389854001375</v>
      </c>
      <c r="AI81" s="59"/>
      <c r="AM81" s="43" t="s">
        <v>194</v>
      </c>
      <c r="AN81" s="18">
        <v>0.14423931942000001</v>
      </c>
      <c r="AO81" s="18">
        <v>-1.5311207999999999E-5</v>
      </c>
      <c r="AP81" s="18">
        <v>4.9582310999999998E-5</v>
      </c>
      <c r="AQ81" s="18">
        <v>2.3030023049438201E-7</v>
      </c>
      <c r="AR81" s="18">
        <v>4.2747631513349799E-10</v>
      </c>
      <c r="AS81" s="18">
        <v>2.8116671989942101E-7</v>
      </c>
      <c r="AT81">
        <v>13</v>
      </c>
      <c r="AU81">
        <v>1</v>
      </c>
      <c r="AW81">
        <f>VLOOKUP(AT81,Constants!$B$15:$L$33,2,FALSE)</f>
        <v>1.000409916282643</v>
      </c>
      <c r="AX81">
        <f>VLOOKUP(AT81,Constants!$B$15:$L$33,3,FALSE)</f>
        <v>-7.0507061346368138E-5</v>
      </c>
    </row>
    <row r="82" spans="1:50" x14ac:dyDescent="0.2">
      <c r="A82">
        <f>ROW()</f>
        <v>82</v>
      </c>
      <c r="J82" s="17"/>
      <c r="K82" s="2"/>
      <c r="O82" s="2"/>
      <c r="P82" s="2"/>
      <c r="R82" s="52"/>
      <c r="S82" s="52"/>
      <c r="T82" s="19"/>
      <c r="U82" s="19"/>
      <c r="V82" s="48"/>
      <c r="W82" s="19"/>
      <c r="X82" s="2"/>
      <c r="Y82" s="2"/>
      <c r="AA82" s="2"/>
      <c r="AB82" s="2"/>
      <c r="AE82" s="168"/>
    </row>
    <row r="83" spans="1:50" x14ac:dyDescent="0.2">
      <c r="A83">
        <f>ROW()</f>
        <v>83</v>
      </c>
      <c r="B83" s="43" t="s">
        <v>52</v>
      </c>
      <c r="C83" s="18">
        <f t="shared" ref="C83:C93" si="130">AN83</f>
        <v>5.9406927963999998E-3</v>
      </c>
      <c r="D83" s="18">
        <f t="shared" ref="D83:D93" si="131">AO83</f>
        <v>-7.6155543999999997E-7</v>
      </c>
      <c r="E83" s="18">
        <f t="shared" ref="E83:E93" si="132">AP83</f>
        <v>2.7553375000000002E-6</v>
      </c>
      <c r="F83" s="18">
        <f t="shared" ref="F83:F93" si="133">AQ83</f>
        <v>5.9828405192735503E-8</v>
      </c>
      <c r="G83" s="18">
        <f t="shared" ref="G83:G93" si="134">AR83</f>
        <v>6.9962128242974394E-8</v>
      </c>
      <c r="H83" s="18">
        <f t="shared" ref="H83:H93" si="135">AS83</f>
        <v>8.9656184029602794E-8</v>
      </c>
      <c r="I83" s="2">
        <v>20.38</v>
      </c>
      <c r="J83" s="17">
        <f t="shared" ref="J83:J92" si="136">100*C83/0.1*N83</f>
        <v>4.9554883030450236</v>
      </c>
      <c r="K83" s="2">
        <f t="shared" ref="K83:K92" si="137">(C83/O83)*(30/50)*N83*100</f>
        <v>1.4866909414859666</v>
      </c>
      <c r="L83">
        <v>50</v>
      </c>
      <c r="M83">
        <v>30</v>
      </c>
      <c r="N83">
        <v>0.83416000000000001</v>
      </c>
      <c r="O83" s="2">
        <f t="shared" ref="O83:O93" si="138">MSL0.2</f>
        <v>0.19999402020000001</v>
      </c>
      <c r="P83" s="2">
        <f t="shared" ref="P83:P93" si="139">Ti_969</f>
        <v>0.1000646</v>
      </c>
      <c r="Q83">
        <v>1</v>
      </c>
      <c r="R83" s="52">
        <f t="shared" si="115"/>
        <v>-1.5367919232743283E-4</v>
      </c>
      <c r="S83" s="52">
        <f t="shared" ref="S83:S89" si="140">Q83*E83/C83/N83</f>
        <v>5.5601735520330342E-4</v>
      </c>
      <c r="T83" s="19">
        <f t="shared" ref="T83:T89" si="141">M83*N83*O83/(P83*U83*L83)</f>
        <v>0.99951897406738954</v>
      </c>
      <c r="U83" s="19">
        <f t="shared" ref="U83:U90" si="142">$AA$16</f>
        <v>1.0007972767333173</v>
      </c>
      <c r="V83" s="48">
        <f>$AA$26</f>
        <v>1.9151650451155946E-4</v>
      </c>
      <c r="W83" s="19">
        <f t="shared" ref="W83:W89" si="143">R83+T83</f>
        <v>0.99936529487506209</v>
      </c>
      <c r="X83" s="2">
        <f t="shared" ref="X83:X89" si="144">1000*(W83-1)</f>
        <v>-0.63470512493790654</v>
      </c>
      <c r="Y83" s="2">
        <f t="shared" ref="Y83:Y89" si="145">1000*(S83-V83)</f>
        <v>0.36450085069174398</v>
      </c>
      <c r="Z83" s="51">
        <f t="shared" ref="Z83:Z89" si="146">((C83*N83)^2/P83-$AB$10)*$Z$28*0.001</f>
        <v>-2.6394494946053019E-6</v>
      </c>
      <c r="AA83" s="51">
        <f>(C83^2/O83-$Z$10)*$AB$5*0.001</f>
        <v>-7.0803057889517883E-7</v>
      </c>
      <c r="AE83" s="168">
        <v>1.4770000000000001</v>
      </c>
      <c r="AM83" s="43" t="s">
        <v>195</v>
      </c>
      <c r="AN83" s="18">
        <v>5.9406927963999998E-3</v>
      </c>
      <c r="AO83" s="18">
        <v>-7.6155543999999997E-7</v>
      </c>
      <c r="AP83" s="18">
        <v>2.7553375000000002E-6</v>
      </c>
      <c r="AQ83" s="18">
        <v>5.9828405192735503E-8</v>
      </c>
      <c r="AR83" s="18">
        <v>6.9962128242974394E-8</v>
      </c>
      <c r="AS83" s="18">
        <v>8.9656184029602794E-8</v>
      </c>
      <c r="AT83">
        <v>10</v>
      </c>
      <c r="AU83">
        <v>1</v>
      </c>
      <c r="AW83">
        <f>VLOOKUP(AT83,Constants!$B$15:$L$33,2,FALSE)</f>
        <v>0.99248924126722049</v>
      </c>
      <c r="AX83">
        <f>VLOOKUP(AT83,Constants!$B$15:$L$33,3,FALSE)</f>
        <v>-2.7303958893031477E-4</v>
      </c>
    </row>
    <row r="84" spans="1:50" x14ac:dyDescent="0.2">
      <c r="C84" s="18">
        <f t="shared" si="130"/>
        <v>1.2052818321999999E-2</v>
      </c>
      <c r="D84" s="18">
        <f t="shared" si="131"/>
        <v>-1.5459354E-6</v>
      </c>
      <c r="E84" s="18">
        <f t="shared" si="132"/>
        <v>5.3024701E-6</v>
      </c>
      <c r="F84" s="18">
        <f t="shared" si="133"/>
        <v>5.6538076445539798E-8</v>
      </c>
      <c r="G84" s="18">
        <f t="shared" si="134"/>
        <v>9.7410157400755703E-8</v>
      </c>
      <c r="H84" s="18">
        <f t="shared" si="135"/>
        <v>8.9009342020879994E-8</v>
      </c>
      <c r="I84" s="2">
        <v>20.38</v>
      </c>
      <c r="J84" s="17">
        <f t="shared" si="136"/>
        <v>10.053978931479518</v>
      </c>
      <c r="K84" s="2">
        <f t="shared" si="137"/>
        <v>3.0162838633150852</v>
      </c>
      <c r="L84">
        <v>50</v>
      </c>
      <c r="M84">
        <v>30</v>
      </c>
      <c r="N84">
        <v>0.83416000000000001</v>
      </c>
      <c r="O84" s="2">
        <f t="shared" si="138"/>
        <v>0.19999402020000001</v>
      </c>
      <c r="P84" s="2">
        <f t="shared" si="139"/>
        <v>0.1000646</v>
      </c>
      <c r="Q84">
        <v>1</v>
      </c>
      <c r="R84" s="52">
        <f t="shared" si="115"/>
        <v>-1.5376354083651377E-4</v>
      </c>
      <c r="S84" s="52">
        <f t="shared" si="140"/>
        <v>5.2740016028854971E-4</v>
      </c>
      <c r="T84" s="19">
        <f t="shared" si="141"/>
        <v>0.99951897406738954</v>
      </c>
      <c r="U84" s="19">
        <f t="shared" si="142"/>
        <v>1.0007972767333173</v>
      </c>
      <c r="V84" s="48">
        <f t="shared" ref="V84:V93" si="147">$AA$26</f>
        <v>1.9151650451155946E-4</v>
      </c>
      <c r="W84" s="19">
        <f t="shared" si="143"/>
        <v>0.99936521052655303</v>
      </c>
      <c r="X84" s="2">
        <f t="shared" si="144"/>
        <v>-0.63478947344697279</v>
      </c>
      <c r="Y84" s="2">
        <f t="shared" si="145"/>
        <v>0.33588365577699025</v>
      </c>
      <c r="Z84" s="51">
        <f t="shared" si="146"/>
        <v>-4.7035721598132407E-8</v>
      </c>
      <c r="AA84" s="51">
        <f t="shared" ref="AA84:AA89" si="148">(C84^2/O84-$Z$10)*$AB$5*0.001</f>
        <v>4.5227832843130864E-7</v>
      </c>
      <c r="AE84" s="168">
        <v>3.008</v>
      </c>
      <c r="AM84" s="43" t="s">
        <v>195</v>
      </c>
      <c r="AN84" s="18">
        <v>1.2052818321999999E-2</v>
      </c>
      <c r="AO84" s="18">
        <v>-1.5459354E-6</v>
      </c>
      <c r="AP84" s="18">
        <v>5.3024701E-6</v>
      </c>
      <c r="AQ84" s="18">
        <v>5.6538076445539798E-8</v>
      </c>
      <c r="AR84" s="18">
        <v>9.7410157400755703E-8</v>
      </c>
      <c r="AS84" s="18">
        <v>8.9009342020879994E-8</v>
      </c>
      <c r="AT84">
        <v>10</v>
      </c>
      <c r="AU84">
        <v>1</v>
      </c>
      <c r="AW84">
        <f>VLOOKUP(AT84,Constants!$B$15:$L$33,2,FALSE)</f>
        <v>0.99248924126722049</v>
      </c>
      <c r="AX84">
        <f>VLOOKUP(AT84,Constants!$B$15:$L$33,3,FALSE)</f>
        <v>-2.7303958893031477E-4</v>
      </c>
    </row>
    <row r="85" spans="1:50" x14ac:dyDescent="0.2">
      <c r="C85" s="18">
        <f t="shared" si="130"/>
        <v>2.4078356682E-2</v>
      </c>
      <c r="D85" s="18">
        <f t="shared" si="131"/>
        <v>-3.3023727E-6</v>
      </c>
      <c r="E85" s="18">
        <f t="shared" si="132"/>
        <v>9.9892113000000008E-6</v>
      </c>
      <c r="F85" s="18">
        <f t="shared" si="133"/>
        <v>3.6030770965854199E-8</v>
      </c>
      <c r="G85" s="18">
        <f t="shared" si="134"/>
        <v>1.5321083458329599E-7</v>
      </c>
      <c r="H85" s="18">
        <f t="shared" si="135"/>
        <v>7.6197655051254702E-8</v>
      </c>
      <c r="I85" s="2">
        <v>20.39</v>
      </c>
      <c r="J85" s="17">
        <f t="shared" si="136"/>
        <v>20.08520200985712</v>
      </c>
      <c r="K85" s="2">
        <f t="shared" si="137"/>
        <v>6.0257407665803155</v>
      </c>
      <c r="L85">
        <v>50</v>
      </c>
      <c r="M85">
        <v>30</v>
      </c>
      <c r="N85">
        <v>0.83416000000000001</v>
      </c>
      <c r="O85" s="2">
        <f t="shared" si="138"/>
        <v>0.19999402020000001</v>
      </c>
      <c r="P85" s="2">
        <f t="shared" si="139"/>
        <v>0.1000646</v>
      </c>
      <c r="Q85">
        <v>1</v>
      </c>
      <c r="R85" s="52">
        <f t="shared" si="115"/>
        <v>-1.6441819695810428E-4</v>
      </c>
      <c r="S85" s="52">
        <f t="shared" si="140"/>
        <v>4.9734183878746363E-4</v>
      </c>
      <c r="T85" s="19">
        <f t="shared" si="141"/>
        <v>0.99951897406738954</v>
      </c>
      <c r="U85" s="19">
        <f t="shared" si="142"/>
        <v>1.0007972767333173</v>
      </c>
      <c r="V85" s="48">
        <f t="shared" si="147"/>
        <v>1.9151650451155946E-4</v>
      </c>
      <c r="W85" s="19">
        <f t="shared" si="143"/>
        <v>0.99935455587043143</v>
      </c>
      <c r="X85" s="2">
        <f t="shared" si="144"/>
        <v>-0.64544412956857311</v>
      </c>
      <c r="Y85" s="2">
        <f t="shared" si="145"/>
        <v>0.30582533427590419</v>
      </c>
      <c r="Z85" s="51">
        <f t="shared" si="146"/>
        <v>1.0194916652205944E-5</v>
      </c>
      <c r="AA85" s="51">
        <f t="shared" si="148"/>
        <v>5.0363569548742728E-6</v>
      </c>
      <c r="AE85" s="169">
        <v>6.01</v>
      </c>
      <c r="AM85" s="43" t="s">
        <v>195</v>
      </c>
      <c r="AN85" s="18">
        <v>2.4078356682E-2</v>
      </c>
      <c r="AO85" s="18">
        <v>-3.3023727E-6</v>
      </c>
      <c r="AP85" s="18">
        <v>9.9892113000000008E-6</v>
      </c>
      <c r="AQ85" s="18">
        <v>3.6030770965854199E-8</v>
      </c>
      <c r="AR85" s="18">
        <v>1.5321083458329599E-7</v>
      </c>
      <c r="AS85" s="18">
        <v>7.6197655051254702E-8</v>
      </c>
      <c r="AT85">
        <v>12</v>
      </c>
      <c r="AU85">
        <v>1</v>
      </c>
      <c r="AW85">
        <f>VLOOKUP(AT85,Constants!$B$15:$L$33,2,FALSE)</f>
        <v>1.0033014728677232</v>
      </c>
      <c r="AX85">
        <f>VLOOKUP(AT85,Constants!$B$15:$L$33,3,FALSE)</f>
        <v>-1.1639650509139207E-4</v>
      </c>
    </row>
    <row r="86" spans="1:50" x14ac:dyDescent="0.2">
      <c r="C86" s="18">
        <f t="shared" si="130"/>
        <v>4.8119784880000002E-2</v>
      </c>
      <c r="D86" s="18">
        <f t="shared" si="131"/>
        <v>-6.6931463000000002E-6</v>
      </c>
      <c r="E86" s="18">
        <f t="shared" si="132"/>
        <v>1.8395413999999998E-5</v>
      </c>
      <c r="F86" s="18">
        <f t="shared" si="133"/>
        <v>4.1955862020374601E-8</v>
      </c>
      <c r="G86" s="18">
        <f t="shared" si="134"/>
        <v>1.2299200653420501E-7</v>
      </c>
      <c r="H86" s="18">
        <f t="shared" si="135"/>
        <v>6.6476559808702505E-8</v>
      </c>
      <c r="I86" s="2">
        <v>20.39</v>
      </c>
      <c r="J86" s="17">
        <f t="shared" si="136"/>
        <v>40.139599755500797</v>
      </c>
      <c r="K86" s="2">
        <f t="shared" si="137"/>
        <v>12.04223997758333</v>
      </c>
      <c r="L86">
        <v>50</v>
      </c>
      <c r="M86">
        <v>30</v>
      </c>
      <c r="N86">
        <v>0.83416000000000001</v>
      </c>
      <c r="O86" s="2">
        <f t="shared" si="138"/>
        <v>0.19999402020000001</v>
      </c>
      <c r="P86" s="2">
        <f t="shared" si="139"/>
        <v>0.1000646</v>
      </c>
      <c r="Q86">
        <v>1</v>
      </c>
      <c r="R86" s="52">
        <f t="shared" si="115"/>
        <v>-1.6674671249263665E-4</v>
      </c>
      <c r="S86" s="52">
        <f t="shared" si="140"/>
        <v>4.5828593488850267E-4</v>
      </c>
      <c r="T86" s="19">
        <f t="shared" si="141"/>
        <v>0.99951897406738954</v>
      </c>
      <c r="U86" s="19">
        <f t="shared" si="142"/>
        <v>1.0007972767333173</v>
      </c>
      <c r="V86" s="48">
        <f t="shared" si="147"/>
        <v>1.9151650451155946E-4</v>
      </c>
      <c r="W86" s="19">
        <f t="shared" si="143"/>
        <v>0.99935222735489693</v>
      </c>
      <c r="X86" s="2">
        <f t="shared" si="144"/>
        <v>-0.64777264510307297</v>
      </c>
      <c r="Y86" s="2">
        <f t="shared" si="145"/>
        <v>0.26676943037694323</v>
      </c>
      <c r="Z86" s="51">
        <f t="shared" si="146"/>
        <v>5.1109903980213244E-5</v>
      </c>
      <c r="AA86" s="51">
        <f t="shared" si="148"/>
        <v>2.334902938940154E-5</v>
      </c>
      <c r="AE86" s="168">
        <v>12.04</v>
      </c>
      <c r="AM86" s="43" t="s">
        <v>195</v>
      </c>
      <c r="AN86" s="18">
        <v>4.8119784880000002E-2</v>
      </c>
      <c r="AO86" s="18">
        <v>-6.6931463000000002E-6</v>
      </c>
      <c r="AP86" s="18">
        <v>1.8395413999999998E-5</v>
      </c>
      <c r="AQ86" s="18">
        <v>4.1955862020374601E-8</v>
      </c>
      <c r="AR86" s="18">
        <v>1.2299200653420501E-7</v>
      </c>
      <c r="AS86" s="18">
        <v>6.6476559808702505E-8</v>
      </c>
      <c r="AT86">
        <v>12</v>
      </c>
      <c r="AU86">
        <v>1</v>
      </c>
      <c r="AW86">
        <f>VLOOKUP(AT86,Constants!$B$15:$L$33,2,FALSE)</f>
        <v>1.0033014728677232</v>
      </c>
      <c r="AX86">
        <f>VLOOKUP(AT86,Constants!$B$15:$L$33,3,FALSE)</f>
        <v>-1.1639650509139207E-4</v>
      </c>
    </row>
    <row r="87" spans="1:50" x14ac:dyDescent="0.2">
      <c r="C87" s="18">
        <f t="shared" si="130"/>
        <v>7.2012077935999994E-2</v>
      </c>
      <c r="D87" s="18">
        <f t="shared" si="131"/>
        <v>-9.9290726000000094E-6</v>
      </c>
      <c r="E87" s="18">
        <f t="shared" si="132"/>
        <v>2.5999028999999999E-5</v>
      </c>
      <c r="F87" s="18">
        <f t="shared" si="133"/>
        <v>1.67605627118302E-8</v>
      </c>
      <c r="G87" s="18">
        <f t="shared" si="134"/>
        <v>1.1323536251542801E-8</v>
      </c>
      <c r="H87" s="18">
        <f t="shared" si="135"/>
        <v>2.2326106704707799E-7</v>
      </c>
      <c r="I87" s="2">
        <v>20.399999999999999</v>
      </c>
      <c r="J87" s="17">
        <f t="shared" si="136"/>
        <v>60.069594931093746</v>
      </c>
      <c r="K87" s="2">
        <f t="shared" si="137"/>
        <v>18.021417301684032</v>
      </c>
      <c r="L87">
        <v>50</v>
      </c>
      <c r="M87">
        <v>30</v>
      </c>
      <c r="N87">
        <v>0.83416000000000001</v>
      </c>
      <c r="O87" s="2">
        <f t="shared" si="138"/>
        <v>0.19999402020000001</v>
      </c>
      <c r="P87" s="2">
        <f t="shared" si="139"/>
        <v>0.1000646</v>
      </c>
      <c r="Q87">
        <v>1</v>
      </c>
      <c r="R87" s="52">
        <f t="shared" si="115"/>
        <v>-1.6529281762911365E-4</v>
      </c>
      <c r="S87" s="52">
        <f t="shared" si="140"/>
        <v>4.3281512102459927E-4</v>
      </c>
      <c r="T87" s="19">
        <f t="shared" si="141"/>
        <v>0.99951897406738954</v>
      </c>
      <c r="U87" s="19">
        <f t="shared" si="142"/>
        <v>1.0007972767333173</v>
      </c>
      <c r="V87" s="48">
        <f t="shared" si="147"/>
        <v>1.9151650451155946E-4</v>
      </c>
      <c r="W87" s="19">
        <f t="shared" si="143"/>
        <v>0.99935368124976043</v>
      </c>
      <c r="X87" s="2">
        <f t="shared" si="144"/>
        <v>-0.64631875023957175</v>
      </c>
      <c r="Y87" s="2">
        <f t="shared" si="145"/>
        <v>0.24129861651303983</v>
      </c>
      <c r="Z87" s="51">
        <f t="shared" si="146"/>
        <v>1.1876681775894595E-4</v>
      </c>
      <c r="AA87" s="51">
        <f t="shared" si="148"/>
        <v>5.3630815621628382E-5</v>
      </c>
      <c r="AE87" s="168">
        <v>18.010000000000002</v>
      </c>
      <c r="AM87" s="43" t="s">
        <v>195</v>
      </c>
      <c r="AN87" s="18">
        <v>7.2012077935999994E-2</v>
      </c>
      <c r="AO87" s="18">
        <v>-9.9290726000000094E-6</v>
      </c>
      <c r="AP87" s="18">
        <v>2.5999028999999999E-5</v>
      </c>
      <c r="AQ87" s="18">
        <v>1.67605627118302E-8</v>
      </c>
      <c r="AR87" s="18">
        <v>1.1323536251542801E-8</v>
      </c>
      <c r="AS87" s="18">
        <v>2.2326106704707799E-7</v>
      </c>
      <c r="AT87">
        <v>13</v>
      </c>
      <c r="AU87">
        <v>1</v>
      </c>
      <c r="AW87">
        <f>VLOOKUP(AT87,Constants!$B$15:$L$33,2,FALSE)</f>
        <v>1.000409916282643</v>
      </c>
      <c r="AX87">
        <f>VLOOKUP(AT87,Constants!$B$15:$L$33,3,FALSE)</f>
        <v>-7.0507061346368138E-5</v>
      </c>
    </row>
    <row r="88" spans="1:50" x14ac:dyDescent="0.2">
      <c r="C88" s="18">
        <f t="shared" si="130"/>
        <v>0.12011236892</v>
      </c>
      <c r="D88" s="18">
        <f t="shared" si="131"/>
        <v>-1.5604488E-5</v>
      </c>
      <c r="E88" s="18">
        <f t="shared" si="132"/>
        <v>4.0601948E-5</v>
      </c>
      <c r="F88" s="18">
        <f t="shared" si="133"/>
        <v>6.4250597894175404E-8</v>
      </c>
      <c r="G88" s="18">
        <f t="shared" si="134"/>
        <v>8.10931689848163E-8</v>
      </c>
      <c r="H88" s="18">
        <f t="shared" si="135"/>
        <v>2.1208731620726401E-7</v>
      </c>
      <c r="I88" s="2">
        <v>20.399999999999999</v>
      </c>
      <c r="J88" s="17">
        <f t="shared" si="136"/>
        <v>100.19293365830721</v>
      </c>
      <c r="K88" s="2">
        <f t="shared" si="137"/>
        <v>30.058778824920253</v>
      </c>
      <c r="L88">
        <v>50</v>
      </c>
      <c r="M88">
        <v>30</v>
      </c>
      <c r="N88">
        <v>0.83416000000000001</v>
      </c>
      <c r="O88" s="2">
        <f t="shared" si="138"/>
        <v>0.19999402020000001</v>
      </c>
      <c r="P88" s="2">
        <f t="shared" si="139"/>
        <v>0.1000646</v>
      </c>
      <c r="Q88">
        <v>1</v>
      </c>
      <c r="R88" s="52">
        <f t="shared" si="115"/>
        <v>-1.5574439663795792E-4</v>
      </c>
      <c r="S88" s="52">
        <f t="shared" si="140"/>
        <v>4.0523764019593215E-4</v>
      </c>
      <c r="T88" s="19">
        <f t="shared" si="141"/>
        <v>0.99951897406738954</v>
      </c>
      <c r="U88" s="19">
        <f t="shared" si="142"/>
        <v>1.0007972767333173</v>
      </c>
      <c r="V88" s="48">
        <f t="shared" si="147"/>
        <v>1.9151650451155946E-4</v>
      </c>
      <c r="W88" s="19">
        <f t="shared" si="143"/>
        <v>0.99936322967075153</v>
      </c>
      <c r="X88" s="2">
        <f t="shared" si="144"/>
        <v>-0.63677032924847055</v>
      </c>
      <c r="Y88" s="2">
        <f t="shared" si="145"/>
        <v>0.2137211356843727</v>
      </c>
      <c r="Z88" s="51">
        <f t="shared" si="146"/>
        <v>3.3660122212251158E-4</v>
      </c>
      <c r="AA88" s="51">
        <f t="shared" si="148"/>
        <v>1.5112883169334987E-4</v>
      </c>
      <c r="AE88" s="169">
        <v>30</v>
      </c>
      <c r="AM88" s="43" t="s">
        <v>195</v>
      </c>
      <c r="AN88" s="18">
        <v>0.12011236892</v>
      </c>
      <c r="AO88" s="18">
        <v>-1.5604488E-5</v>
      </c>
      <c r="AP88" s="18">
        <v>4.0601948E-5</v>
      </c>
      <c r="AQ88" s="18">
        <v>6.4250597894175404E-8</v>
      </c>
      <c r="AR88" s="18">
        <v>8.10931689848163E-8</v>
      </c>
      <c r="AS88" s="18">
        <v>2.1208731620726401E-7</v>
      </c>
      <c r="AT88">
        <v>13</v>
      </c>
      <c r="AU88">
        <v>1</v>
      </c>
      <c r="AW88">
        <f>VLOOKUP(AT88,Constants!$B$15:$L$33,2,FALSE)</f>
        <v>1.000409916282643</v>
      </c>
      <c r="AX88">
        <f>VLOOKUP(AT88,Constants!$B$15:$L$33,3,FALSE)</f>
        <v>-7.0507061346368138E-5</v>
      </c>
    </row>
    <row r="89" spans="1:50" x14ac:dyDescent="0.2">
      <c r="C89" s="18">
        <f t="shared" si="130"/>
        <v>0.14406453397999999</v>
      </c>
      <c r="D89" s="18">
        <f t="shared" si="131"/>
        <v>-1.800397E-5</v>
      </c>
      <c r="E89" s="18">
        <f t="shared" si="132"/>
        <v>4.7134617999999997E-5</v>
      </c>
      <c r="F89" s="18">
        <f t="shared" si="133"/>
        <v>1.49146259755148E-7</v>
      </c>
      <c r="G89" s="18">
        <f t="shared" si="134"/>
        <v>5.75320163039677E-8</v>
      </c>
      <c r="H89" s="18">
        <f t="shared" si="135"/>
        <v>2.64732834903418E-7</v>
      </c>
      <c r="I89" s="2">
        <v>20.399999999999999</v>
      </c>
      <c r="J89" s="17">
        <f t="shared" si="136"/>
        <v>120.1728716647568</v>
      </c>
      <c r="K89" s="2">
        <f t="shared" si="137"/>
        <v>36.052939446263537</v>
      </c>
      <c r="L89">
        <v>50</v>
      </c>
      <c r="M89">
        <v>30</v>
      </c>
      <c r="N89">
        <v>0.83416000000000001</v>
      </c>
      <c r="O89" s="2">
        <f t="shared" si="138"/>
        <v>0.19999402020000001</v>
      </c>
      <c r="P89" s="2">
        <f t="shared" si="139"/>
        <v>0.1000646</v>
      </c>
      <c r="Q89">
        <v>1</v>
      </c>
      <c r="R89" s="52">
        <f t="shared" si="115"/>
        <v>-1.4981725701142614E-4</v>
      </c>
      <c r="S89" s="52">
        <f t="shared" si="140"/>
        <v>3.9222344733086053E-4</v>
      </c>
      <c r="T89" s="19">
        <f t="shared" si="141"/>
        <v>0.99951897406738954</v>
      </c>
      <c r="U89" s="19">
        <f t="shared" si="142"/>
        <v>1.0007972767333173</v>
      </c>
      <c r="V89" s="48">
        <f t="shared" si="147"/>
        <v>1.9151650451155946E-4</v>
      </c>
      <c r="W89" s="19">
        <f t="shared" si="143"/>
        <v>0.99936915681037808</v>
      </c>
      <c r="X89" s="2">
        <f t="shared" si="144"/>
        <v>-0.63084318962192132</v>
      </c>
      <c r="Y89" s="2">
        <f t="shared" si="145"/>
        <v>0.20070694281930107</v>
      </c>
      <c r="Z89" s="51">
        <f t="shared" si="146"/>
        <v>4.8575551549009152E-4</v>
      </c>
      <c r="AA89" s="51">
        <f t="shared" si="148"/>
        <v>2.1788710036264392E-4</v>
      </c>
      <c r="AE89" s="173">
        <v>36</v>
      </c>
      <c r="AG89" s="167" t="s">
        <v>208</v>
      </c>
      <c r="AH89" s="168"/>
      <c r="AI89" s="168"/>
      <c r="AJ89" s="168"/>
      <c r="AK89" s="168"/>
      <c r="AM89" s="43" t="s">
        <v>195</v>
      </c>
      <c r="AN89" s="18">
        <v>0.14406453397999999</v>
      </c>
      <c r="AO89" s="18">
        <v>-1.800397E-5</v>
      </c>
      <c r="AP89" s="18">
        <v>4.7134617999999997E-5</v>
      </c>
      <c r="AQ89" s="18">
        <v>1.49146259755148E-7</v>
      </c>
      <c r="AR89" s="18">
        <v>5.75320163039677E-8</v>
      </c>
      <c r="AS89" s="18">
        <v>2.64732834903418E-7</v>
      </c>
      <c r="AT89">
        <v>13</v>
      </c>
      <c r="AU89">
        <v>1</v>
      </c>
      <c r="AW89">
        <f>VLOOKUP(AT89,Constants!$B$15:$L$33,2,FALSE)</f>
        <v>1.000409916282643</v>
      </c>
      <c r="AX89">
        <f>VLOOKUP(AT89,Constants!$B$15:$L$33,3,FALSE)</f>
        <v>-7.0507061346368138E-5</v>
      </c>
    </row>
    <row r="90" spans="1:50" x14ac:dyDescent="0.2">
      <c r="B90" s="164" t="s">
        <v>52</v>
      </c>
      <c r="C90" s="123">
        <f t="shared" si="130"/>
        <v>7.2254082124000002E-2</v>
      </c>
      <c r="D90" s="123">
        <f t="shared" si="131"/>
        <v>-9.8399841000000002E-6</v>
      </c>
      <c r="E90" s="123">
        <f t="shared" si="132"/>
        <v>2.6010278E-5</v>
      </c>
      <c r="F90" s="123">
        <f t="shared" si="133"/>
        <v>1.8785819127807801E-8</v>
      </c>
      <c r="G90" s="123">
        <f t="shared" si="134"/>
        <v>1.1300543209151501E-7</v>
      </c>
      <c r="H90" s="123">
        <f t="shared" si="135"/>
        <v>1.91152285667737E-7</v>
      </c>
      <c r="I90" s="124">
        <v>20.420000000000002</v>
      </c>
      <c r="J90" s="125">
        <f t="shared" si="136"/>
        <v>60.271465144555847</v>
      </c>
      <c r="K90" s="124">
        <f t="shared" si="137"/>
        <v>18.081980176492049</v>
      </c>
      <c r="L90" s="122">
        <v>50</v>
      </c>
      <c r="M90" s="122">
        <v>30</v>
      </c>
      <c r="N90" s="122">
        <v>0.83416000000000001</v>
      </c>
      <c r="O90" s="124">
        <f t="shared" si="138"/>
        <v>0.19999402020000001</v>
      </c>
      <c r="P90" s="124">
        <f t="shared" si="139"/>
        <v>0.1000646</v>
      </c>
      <c r="Q90" s="126">
        <v>1</v>
      </c>
      <c r="R90" s="52">
        <f>Q90*D90/C90/N90</f>
        <v>-1.6326107348476858E-4</v>
      </c>
      <c r="S90" s="52">
        <f>Q90*E90/C90/N90</f>
        <v>4.3155211073128257E-4</v>
      </c>
      <c r="T90" s="19">
        <f>M90*N90*O90/(P90*U90*L90)</f>
        <v>0.99951897406738954</v>
      </c>
      <c r="U90" s="19">
        <f t="shared" si="142"/>
        <v>1.0007972767333173</v>
      </c>
      <c r="V90" s="48">
        <f t="shared" si="147"/>
        <v>1.9151650451155946E-4</v>
      </c>
      <c r="W90" s="19">
        <f>R90+T90</f>
        <v>0.9993557129939048</v>
      </c>
      <c r="X90" s="2">
        <f>1000*(W90-1)</f>
        <v>-0.64428700609520106</v>
      </c>
      <c r="Y90" s="2">
        <f>1000*(S90-V90)</f>
        <v>0.24003560621972311</v>
      </c>
      <c r="Z90" t="s">
        <v>68</v>
      </c>
      <c r="AA90" t="s">
        <v>67</v>
      </c>
      <c r="AB90" t="s">
        <v>66</v>
      </c>
      <c r="AE90" s="170" t="s">
        <v>205</v>
      </c>
      <c r="AF90" s="168"/>
      <c r="AG90" s="168"/>
      <c r="AH90" s="168"/>
      <c r="AI90" s="167"/>
      <c r="AJ90" s="168">
        <v>18.07</v>
      </c>
      <c r="AK90" s="168"/>
      <c r="AM90" s="43" t="s">
        <v>195</v>
      </c>
      <c r="AN90" s="18">
        <v>7.2254082124000002E-2</v>
      </c>
      <c r="AO90" s="18">
        <v>-9.8399841000000002E-6</v>
      </c>
      <c r="AP90" s="18">
        <v>2.6010278E-5</v>
      </c>
      <c r="AQ90" s="18">
        <v>1.8785819127807801E-8</v>
      </c>
      <c r="AR90" s="18">
        <v>1.1300543209151501E-7</v>
      </c>
      <c r="AS90" s="18">
        <v>1.91152285667737E-7</v>
      </c>
      <c r="AT90">
        <v>13</v>
      </c>
      <c r="AU90">
        <v>1</v>
      </c>
      <c r="AW90">
        <f>VLOOKUP(AT90,Constants!$B$15:$L$33,2,FALSE)</f>
        <v>1.000409916282643</v>
      </c>
      <c r="AX90">
        <f>VLOOKUP(AT90,Constants!$B$15:$L$33,3,FALSE)</f>
        <v>-7.0507061346368138E-5</v>
      </c>
    </row>
    <row r="91" spans="1:50" x14ac:dyDescent="0.2">
      <c r="B91" s="164" t="s">
        <v>199</v>
      </c>
      <c r="C91" s="123">
        <f t="shared" si="130"/>
        <v>7.5118056788000001E-2</v>
      </c>
      <c r="D91" s="123">
        <f t="shared" si="131"/>
        <v>-8.1582700000000195E-3</v>
      </c>
      <c r="E91" s="123">
        <f t="shared" si="132"/>
        <v>-1.181154E-3</v>
      </c>
      <c r="F91" s="123">
        <f t="shared" si="133"/>
        <v>3.3698402659766599E-8</v>
      </c>
      <c r="G91" s="123">
        <f t="shared" si="134"/>
        <v>1.5612511283791301E-17</v>
      </c>
      <c r="H91" s="123">
        <f t="shared" si="135"/>
        <v>1.2470765814495101E-7</v>
      </c>
      <c r="I91" s="124">
        <v>20.420000000000002</v>
      </c>
      <c r="J91" s="125">
        <f t="shared" si="136"/>
        <v>62.660478250278075</v>
      </c>
      <c r="K91" s="124">
        <f t="shared" si="137"/>
        <v>18.798705537580293</v>
      </c>
      <c r="L91" s="122">
        <v>50</v>
      </c>
      <c r="M91" s="122">
        <v>30</v>
      </c>
      <c r="N91" s="122">
        <v>0.83416000000000001</v>
      </c>
      <c r="O91" s="124">
        <f t="shared" si="138"/>
        <v>0.19999402020000001</v>
      </c>
      <c r="P91" s="124">
        <f t="shared" si="139"/>
        <v>0.1000646</v>
      </c>
      <c r="Q91" s="126">
        <v>1</v>
      </c>
      <c r="R91" s="52">
        <f>Q91*D91/C91/N91</f>
        <v>-0.13019801680118542</v>
      </c>
      <c r="S91" s="52">
        <f>Q91*E91/C91/N91</f>
        <v>-1.8850063596422651E-2</v>
      </c>
      <c r="T91" s="19">
        <f>M91*N91*O91/(P91*U91*L91)</f>
        <v>0.99951897406738954</v>
      </c>
      <c r="U91" s="19">
        <f>$AA$16</f>
        <v>1.0007972767333173</v>
      </c>
      <c r="V91" s="48">
        <f t="shared" si="147"/>
        <v>1.9151650451155946E-4</v>
      </c>
      <c r="W91" s="19">
        <f>R91+T91</f>
        <v>0.86932095726620418</v>
      </c>
      <c r="X91" s="2">
        <f>1000*(W91-1)</f>
        <v>-130.67904273379582</v>
      </c>
      <c r="Y91" s="2">
        <f>1000*(S91-V91)</f>
        <v>-19.041580100934212</v>
      </c>
      <c r="AA91" s="46">
        <f>100*-(X91-X90)/1000</f>
        <v>13.003475572770062</v>
      </c>
      <c r="AB91" s="46">
        <f>100*-(Y91-Y90)/1000</f>
        <v>1.9281615707153934</v>
      </c>
      <c r="AC91" s="46"/>
      <c r="AD91" s="46" t="s">
        <v>200</v>
      </c>
      <c r="AE91" s="46"/>
      <c r="AF91" s="46"/>
      <c r="AG91" s="46"/>
      <c r="AH91" s="46"/>
      <c r="AI91" s="46"/>
      <c r="AJ91" s="168">
        <v>18.79</v>
      </c>
      <c r="AK91" s="168"/>
      <c r="AM91" s="43" t="s">
        <v>195</v>
      </c>
      <c r="AN91" s="18">
        <v>7.5118056788000001E-2</v>
      </c>
      <c r="AO91" s="18">
        <v>-8.1582700000000195E-3</v>
      </c>
      <c r="AP91" s="18">
        <v>-1.181154E-3</v>
      </c>
      <c r="AQ91" s="18">
        <v>3.3698402659766599E-8</v>
      </c>
      <c r="AR91" s="18">
        <v>1.5612511283791301E-17</v>
      </c>
      <c r="AS91" s="18">
        <v>1.2470765814495101E-7</v>
      </c>
      <c r="AT91">
        <v>20</v>
      </c>
      <c r="AU91">
        <v>1</v>
      </c>
      <c r="AW91">
        <f>VLOOKUP(AT91,Constants!$B$15:$L$33,2,FALSE)</f>
        <v>0.99947524245749575</v>
      </c>
      <c r="AX91">
        <f>VLOOKUP(AT91,Constants!$B$15:$L$33,3,FALSE)</f>
        <v>5.1024584713591989E-5</v>
      </c>
    </row>
    <row r="92" spans="1:50" x14ac:dyDescent="0.2">
      <c r="B92" s="164"/>
      <c r="C92" s="123">
        <f t="shared" si="130"/>
        <v>7.2246879309999998E-2</v>
      </c>
      <c r="D92" s="123">
        <f t="shared" si="131"/>
        <v>3.1411900000000098E-5</v>
      </c>
      <c r="E92" s="123">
        <f t="shared" si="132"/>
        <v>-2.3721606E-4</v>
      </c>
      <c r="F92" s="123">
        <f t="shared" si="133"/>
        <v>1.8480893424514699E-8</v>
      </c>
      <c r="G92" s="123">
        <f t="shared" si="134"/>
        <v>4.7433845046240801E-20</v>
      </c>
      <c r="H92" s="123">
        <f t="shared" si="135"/>
        <v>2.2959955661978001E-7</v>
      </c>
      <c r="I92" s="124">
        <v>20.420000000000002</v>
      </c>
      <c r="J92" s="125">
        <f t="shared" si="136"/>
        <v>60.2654568452296</v>
      </c>
      <c r="K92" s="124">
        <f t="shared" si="137"/>
        <v>18.08017763279992</v>
      </c>
      <c r="L92" s="122">
        <v>50</v>
      </c>
      <c r="M92" s="122">
        <v>30</v>
      </c>
      <c r="N92" s="122">
        <v>0.83416000000000001</v>
      </c>
      <c r="O92" s="124">
        <f t="shared" si="138"/>
        <v>0.19999402020000001</v>
      </c>
      <c r="P92" s="124">
        <f t="shared" si="139"/>
        <v>0.1000646</v>
      </c>
      <c r="Q92" s="126">
        <v>1</v>
      </c>
      <c r="R92" s="52">
        <f>Q92*D92/C92/N92</f>
        <v>5.2122561819568371E-4</v>
      </c>
      <c r="S92" s="52">
        <f>Q92*E92/C92/N92</f>
        <v>-3.9361862071203594E-3</v>
      </c>
      <c r="T92" s="19">
        <f>M92*N92*O92/(P92*U92*L92)</f>
        <v>0.99951897406738954</v>
      </c>
      <c r="U92" s="19">
        <f>$AA$16</f>
        <v>1.0007972767333173</v>
      </c>
      <c r="V92" s="48">
        <f t="shared" si="147"/>
        <v>1.9151650451155946E-4</v>
      </c>
      <c r="W92" s="19">
        <f>R92+T92</f>
        <v>1.0000401996855852</v>
      </c>
      <c r="X92" s="2">
        <f>1000*(W92-1)</f>
        <v>4.0199685585218248E-2</v>
      </c>
      <c r="Y92" s="2">
        <f>1000*(S92-V92)</f>
        <v>-4.1277027116319189</v>
      </c>
      <c r="AA92" s="46">
        <f>100*-(X92-X90)/1000</f>
        <v>-6.8448669168041931E-2</v>
      </c>
      <c r="AB92" s="46">
        <f>100*-(Y92-Y90)/1000</f>
        <v>0.43677383178516421</v>
      </c>
      <c r="AC92" s="46"/>
      <c r="AD92" s="46" t="s">
        <v>201</v>
      </c>
      <c r="AE92" s="46"/>
      <c r="AF92" s="46"/>
      <c r="AG92" s="46"/>
      <c r="AH92" s="46"/>
      <c r="AI92" s="46"/>
      <c r="AJ92" s="168">
        <v>18.07</v>
      </c>
      <c r="AK92" s="168"/>
      <c r="AM92" s="43" t="s">
        <v>195</v>
      </c>
      <c r="AN92">
        <v>7.2246879309999998E-2</v>
      </c>
      <c r="AO92" s="18">
        <v>3.1411900000000098E-5</v>
      </c>
      <c r="AP92">
        <v>-2.3721606E-4</v>
      </c>
      <c r="AQ92" s="18">
        <v>1.8480893424514699E-8</v>
      </c>
      <c r="AR92" s="18">
        <v>4.7433845046240801E-20</v>
      </c>
      <c r="AS92" s="18">
        <v>2.2959955661978001E-7</v>
      </c>
      <c r="AT92">
        <v>16</v>
      </c>
      <c r="AU92">
        <v>1</v>
      </c>
      <c r="AW92">
        <f>VLOOKUP(AT92,Constants!$B$15:$L$33,2,FALSE)</f>
        <v>0.9966633075004292</v>
      </c>
      <c r="AX92">
        <f>VLOOKUP(AT92,Constants!$B$15:$L$33,3,FALSE)</f>
        <v>5.1115740718113127E-6</v>
      </c>
    </row>
    <row r="93" spans="1:50" x14ac:dyDescent="0.2">
      <c r="B93" s="164" t="s">
        <v>209</v>
      </c>
      <c r="C93" s="123">
        <f t="shared" si="130"/>
        <v>7.2516683509999999E-2</v>
      </c>
      <c r="D93" s="123">
        <f t="shared" si="131"/>
        <v>-9.0087380000000098E-4</v>
      </c>
      <c r="E93" s="123">
        <f t="shared" si="132"/>
        <v>-1.14918E-4</v>
      </c>
      <c r="F93" s="123">
        <f t="shared" si="133"/>
        <v>2.62420984723895E-8</v>
      </c>
      <c r="G93" s="123">
        <f t="shared" si="134"/>
        <v>1.179766926134E-7</v>
      </c>
      <c r="H93" s="123">
        <f t="shared" si="135"/>
        <v>1.8973538018496301E-19</v>
      </c>
      <c r="I93" s="124">
        <v>20.43</v>
      </c>
      <c r="J93" s="125">
        <f t="shared" ref="J93" si="149">100*C93/0.1*N93</f>
        <v>60.490516716701592</v>
      </c>
      <c r="K93" s="124">
        <f t="shared" ref="K93" si="150">(C93/O93)*(30/50)*N93*100</f>
        <v>18.14769761302141</v>
      </c>
      <c r="L93" s="122">
        <v>10</v>
      </c>
      <c r="M93" s="122">
        <v>6</v>
      </c>
      <c r="N93" s="122">
        <v>0.83416000000000001</v>
      </c>
      <c r="O93" s="124">
        <f t="shared" si="138"/>
        <v>0.19999402020000001</v>
      </c>
      <c r="P93" s="124">
        <f t="shared" si="139"/>
        <v>0.1000646</v>
      </c>
      <c r="Q93" s="126">
        <v>1</v>
      </c>
      <c r="R93" s="52">
        <f>Q93*D93/C93/N93</f>
        <v>-1.4892810458523777E-2</v>
      </c>
      <c r="S93" s="52">
        <f>Q93*E93/C93/N93</f>
        <v>-1.8997688602694781E-3</v>
      </c>
      <c r="T93" s="19">
        <f>M93*N93*O93/(P93*U93*L93)</f>
        <v>0.99951897406738965</v>
      </c>
      <c r="U93" s="19">
        <f>$AA$16</f>
        <v>1.0007972767333173</v>
      </c>
      <c r="V93" s="48">
        <f t="shared" si="147"/>
        <v>1.9151650451155946E-4</v>
      </c>
      <c r="W93" s="19">
        <f>R93+T93</f>
        <v>0.9846261636088659</v>
      </c>
      <c r="X93" s="2">
        <f>1000*(W93-1)</f>
        <v>-15.373836391134098</v>
      </c>
      <c r="Y93" s="2">
        <f>1000*(S93-V93)</f>
        <v>-2.0912853647810374</v>
      </c>
      <c r="AA93" s="46">
        <f>1000*-(X93-X90)/1000</f>
        <v>14.729549385038897</v>
      </c>
      <c r="AB93" s="46">
        <f>1000*-(Y93-Y90)/1000</f>
        <v>2.3313209710007605</v>
      </c>
      <c r="AC93" s="46"/>
      <c r="AD93" s="46" t="s">
        <v>207</v>
      </c>
      <c r="AE93" s="46"/>
      <c r="AF93" s="46"/>
      <c r="AG93" s="46"/>
      <c r="AH93" s="46"/>
      <c r="AI93" s="46"/>
      <c r="AJ93" s="168">
        <v>18.149999999999999</v>
      </c>
      <c r="AK93" s="168"/>
      <c r="AM93" s="43" t="s">
        <v>195</v>
      </c>
      <c r="AN93">
        <v>7.2516683509999999E-2</v>
      </c>
      <c r="AO93">
        <v>-9.0087380000000098E-4</v>
      </c>
      <c r="AP93">
        <v>-1.14918E-4</v>
      </c>
      <c r="AQ93" s="18">
        <v>2.62420984723895E-8</v>
      </c>
      <c r="AR93" s="18">
        <v>1.179766926134E-7</v>
      </c>
      <c r="AS93" s="18">
        <v>1.8973538018496301E-19</v>
      </c>
      <c r="AT93">
        <v>17</v>
      </c>
      <c r="AU93">
        <v>1</v>
      </c>
      <c r="AW93">
        <f>VLOOKUP(AT93,Constants!$B$15:$L$33,2,FALSE)</f>
        <v>0.99520419756607237</v>
      </c>
      <c r="AX93">
        <f>VLOOKUP(AT93,Constants!$B$15:$L$33,3,FALSE)</f>
        <v>5.4950063616585211E-6</v>
      </c>
    </row>
    <row r="94" spans="1:50" x14ac:dyDescent="0.2">
      <c r="R94" s="52"/>
      <c r="S94" s="52"/>
      <c r="T94" s="19"/>
      <c r="U94" s="19"/>
      <c r="V94" s="48"/>
      <c r="W94" s="19"/>
      <c r="X94" s="2"/>
      <c r="Y94" s="2"/>
    </row>
    <row r="95" spans="1:50" x14ac:dyDescent="0.2">
      <c r="A95">
        <f>ROW()</f>
        <v>95</v>
      </c>
      <c r="B95" s="45" t="s">
        <v>215</v>
      </c>
      <c r="R95" s="50"/>
      <c r="S95" s="50"/>
      <c r="V95" s="47"/>
      <c r="AB95" t="s">
        <v>64</v>
      </c>
      <c r="AE95" s="170" t="s">
        <v>202</v>
      </c>
    </row>
    <row r="96" spans="1:50" x14ac:dyDescent="0.2">
      <c r="A96">
        <f>ROW()</f>
        <v>96</v>
      </c>
      <c r="C96" s="5" t="str">
        <f>B100&amp;" range, "&amp;B102&amp;", vs shunts and 100 AT on "&amp;B104&amp;" range."</f>
        <v>30/1 range, l - 1200At(1A), vs shunts and 100 AT on 50/1 range.</v>
      </c>
      <c r="J96" s="5" t="s">
        <v>210</v>
      </c>
      <c r="R96" s="50"/>
      <c r="S96" s="50"/>
      <c r="V96" s="47"/>
      <c r="AB96" t="s">
        <v>65</v>
      </c>
      <c r="AE96" s="170" t="s">
        <v>203</v>
      </c>
      <c r="AF96" s="176"/>
      <c r="AG96" s="177" t="s">
        <v>218</v>
      </c>
      <c r="AH96" s="186">
        <v>3.75</v>
      </c>
      <c r="AI96" s="176" t="s">
        <v>14</v>
      </c>
      <c r="AJ96" s="5" t="s">
        <v>219</v>
      </c>
    </row>
    <row r="97" spans="1:50" x14ac:dyDescent="0.2">
      <c r="A97">
        <f>ROW()</f>
        <v>97</v>
      </c>
      <c r="B97" s="4">
        <v>43377</v>
      </c>
      <c r="R97" s="50"/>
      <c r="S97" s="50"/>
      <c r="V97" s="47"/>
      <c r="AB97" t="s">
        <v>6</v>
      </c>
      <c r="AC97" t="s">
        <v>7</v>
      </c>
      <c r="AE97" s="170" t="s">
        <v>204</v>
      </c>
      <c r="AF97" s="59"/>
      <c r="AG97" s="176" t="s">
        <v>5</v>
      </c>
      <c r="AH97" s="176" t="s">
        <v>3</v>
      </c>
      <c r="AI97" s="59"/>
      <c r="AW97" s="43" t="s">
        <v>247</v>
      </c>
    </row>
    <row r="98" spans="1:50" x14ac:dyDescent="0.2">
      <c r="A98">
        <f>ROW()</f>
        <v>98</v>
      </c>
      <c r="B98" s="43" t="s">
        <v>51</v>
      </c>
      <c r="C98" s="18">
        <f>AN98</f>
        <v>6.0364567259999996E-3</v>
      </c>
      <c r="D98" s="18">
        <f t="shared" ref="D98:D104" si="151">AO98</f>
        <v>-1.3612868699999999E-7</v>
      </c>
      <c r="E98" s="18">
        <f t="shared" ref="E98:E104" si="152">AP98</f>
        <v>1.9651921999999999E-6</v>
      </c>
      <c r="F98" s="18">
        <f t="shared" ref="F98:F104" si="153">AQ98</f>
        <v>3.35840244838913E-8</v>
      </c>
      <c r="G98" s="18">
        <f t="shared" ref="G98:G104" si="154">AR98</f>
        <v>5.3898821977285602E-8</v>
      </c>
      <c r="H98" s="18">
        <f t="shared" ref="H98:H104" si="155">AS98</f>
        <v>6.6627797646027606E-8</v>
      </c>
      <c r="I98" s="2">
        <v>20.440000000000001</v>
      </c>
      <c r="J98" s="17">
        <f>100*C98/0.1*N98</f>
        <v>5.0353707425601604</v>
      </c>
      <c r="K98" s="2">
        <f t="shared" ref="K98:K104" si="156">C98/O98*50</f>
        <v>1.5091593038540259</v>
      </c>
      <c r="L98">
        <v>50</v>
      </c>
      <c r="M98">
        <v>30</v>
      </c>
      <c r="N98">
        <v>0.83416000000000001</v>
      </c>
      <c r="O98" s="2">
        <f t="shared" ref="O98:O104" si="157">MSL0.2</f>
        <v>0.19999402020000001</v>
      </c>
      <c r="P98" s="2">
        <f t="shared" ref="P98:P104" si="158">Ti_969</f>
        <v>0.1000646</v>
      </c>
      <c r="Q98">
        <v>1</v>
      </c>
      <c r="R98" s="52">
        <f t="shared" ref="R98:R104" si="159">Q98*D98/C98/N98</f>
        <v>-2.7034491392939098E-5</v>
      </c>
      <c r="S98" s="52">
        <f t="shared" ref="S98:S104" si="160">Q98*E98/C98/N98</f>
        <v>3.9027755858962374E-4</v>
      </c>
      <c r="T98" s="19">
        <f t="shared" ref="T98:T104" si="161">M98*N98*O98/(P98*U98*L98)</f>
        <v>0.99951897406738954</v>
      </c>
      <c r="U98" s="19">
        <f t="shared" ref="U98:U104" si="162">$AA$16</f>
        <v>1.0007972767333173</v>
      </c>
      <c r="V98" s="48">
        <f>AA$17</f>
        <v>2.3329884646001238E-4</v>
      </c>
      <c r="W98" s="19">
        <f t="shared" ref="W98:W104" si="163">R98+T98</f>
        <v>0.99949193957599658</v>
      </c>
      <c r="X98" s="2">
        <f t="shared" ref="X98:X104" si="164">1000*(W98-1)</f>
        <v>-0.50806042400342033</v>
      </c>
      <c r="Y98" s="2">
        <f t="shared" ref="Y98:Y104" si="165">1000*(S98-V98)</f>
        <v>0.15697871212961137</v>
      </c>
      <c r="Z98" s="51">
        <f t="shared" ref="Z98:Z104" si="166">((C98*N98)^2/P98-$AB$10)*$Z$28*0.001</f>
        <v>-2.6124129261726603E-6</v>
      </c>
      <c r="AA98" s="51">
        <f>(C98^2/O98-$Z$10)*$AB$5*0.001</f>
        <v>-6.9592958965396423E-7</v>
      </c>
      <c r="AB98" s="2">
        <f t="shared" ref="AB98:AB104" si="167">0.5*(X98+X106)+AA98-Z98</f>
        <v>-0.51234258225832041</v>
      </c>
      <c r="AC98" s="2">
        <f t="shared" ref="AC98:AC104" si="168">0.5*(Y98+Y106)</f>
        <v>0.17508091859977717</v>
      </c>
      <c r="AD98" s="2"/>
      <c r="AE98" s="168">
        <v>1.502</v>
      </c>
      <c r="AF98" s="59"/>
      <c r="AG98" s="178">
        <f>(AB98-AB75)*($AA$69-$AH$96)/($AA$69-$AA$116)</f>
        <v>0.10253215249305803</v>
      </c>
      <c r="AH98" s="178">
        <f>(AC98-AC75)*($AA$69-$AH$96)/($AA$69-$AA$116)</f>
        <v>-0.16280850028499477</v>
      </c>
      <c r="AI98" s="59"/>
      <c r="AM98" s="43" t="s">
        <v>194</v>
      </c>
      <c r="AN98" s="18">
        <v>6.0364567259999996E-3</v>
      </c>
      <c r="AO98" s="18">
        <v>-1.3612868699999999E-7</v>
      </c>
      <c r="AP98" s="18">
        <v>1.9651921999999999E-6</v>
      </c>
      <c r="AQ98" s="18">
        <v>3.35840244838913E-8</v>
      </c>
      <c r="AR98" s="18">
        <v>5.3898821977285602E-8</v>
      </c>
      <c r="AS98" s="2">
        <v>6.6627797646027606E-8</v>
      </c>
      <c r="AT98">
        <v>9</v>
      </c>
      <c r="AU98">
        <v>1</v>
      </c>
      <c r="AW98">
        <f>VLOOKUP(AT98,Constants!$B$15:$L$33,2,FALSE)</f>
        <v>0.99371490585295241</v>
      </c>
      <c r="AX98">
        <f>VLOOKUP(AT98,Constants!$B$15:$L$33,3,FALSE)</f>
        <v>1.4986286639243325E-2</v>
      </c>
    </row>
    <row r="99" spans="1:50" x14ac:dyDescent="0.2">
      <c r="A99">
        <f>ROW()</f>
        <v>99</v>
      </c>
      <c r="B99" s="5" t="s">
        <v>110</v>
      </c>
      <c r="C99" s="18">
        <f t="shared" ref="C99:C104" si="169">AN99</f>
        <v>1.2057313036E-2</v>
      </c>
      <c r="D99" s="18">
        <f t="shared" si="151"/>
        <v>-2.53377107E-7</v>
      </c>
      <c r="E99" s="18">
        <f t="shared" si="152"/>
        <v>3.8066656000000001E-6</v>
      </c>
      <c r="F99" s="18">
        <f t="shared" si="153"/>
        <v>4.1042688489357501E-8</v>
      </c>
      <c r="G99" s="18">
        <f t="shared" si="154"/>
        <v>6.9478147406710902E-8</v>
      </c>
      <c r="H99" s="18">
        <f t="shared" si="155"/>
        <v>5.93789254251035E-8</v>
      </c>
      <c r="I99" s="2">
        <v>20.440000000000001</v>
      </c>
      <c r="J99" s="17">
        <f t="shared" ref="J99:J104" si="170">100*C99/0.1*N99</f>
        <v>10.057728242109759</v>
      </c>
      <c r="K99" s="2">
        <f t="shared" si="156"/>
        <v>3.0144183870953558</v>
      </c>
      <c r="L99">
        <v>50</v>
      </c>
      <c r="M99">
        <v>30</v>
      </c>
      <c r="N99">
        <v>0.83416000000000001</v>
      </c>
      <c r="O99" s="2">
        <f t="shared" si="157"/>
        <v>0.19999402020000001</v>
      </c>
      <c r="P99" s="2">
        <f t="shared" si="158"/>
        <v>0.1000646</v>
      </c>
      <c r="Q99">
        <v>1</v>
      </c>
      <c r="R99" s="52">
        <f t="shared" si="159"/>
        <v>-2.5192280095534808E-5</v>
      </c>
      <c r="S99" s="52">
        <f t="shared" si="160"/>
        <v>3.7848165195617721E-4</v>
      </c>
      <c r="T99" s="19">
        <f t="shared" si="161"/>
        <v>0.99951897406738954</v>
      </c>
      <c r="U99" s="19">
        <f t="shared" si="162"/>
        <v>1.0007972767333173</v>
      </c>
      <c r="V99" s="48">
        <f t="shared" ref="V99:V104" si="171">AA$17</f>
        <v>2.3329884646001238E-4</v>
      </c>
      <c r="W99" s="19">
        <f t="shared" si="163"/>
        <v>0.99949378178729398</v>
      </c>
      <c r="X99" s="2">
        <f t="shared" si="164"/>
        <v>-0.50621821270602219</v>
      </c>
      <c r="Y99" s="2">
        <f t="shared" si="165"/>
        <v>0.14518280549616483</v>
      </c>
      <c r="Z99" s="51">
        <f t="shared" si="166"/>
        <v>-4.448126941277954E-8</v>
      </c>
      <c r="AA99" s="51">
        <f t="shared" ref="AA99:AA104" si="172">(C99^2/O99-$Z$10)*$AB$5*0.001</f>
        <v>4.5342164654466959E-7</v>
      </c>
      <c r="AB99" s="2">
        <f t="shared" si="167"/>
        <v>-0.51516692937733377</v>
      </c>
      <c r="AC99" s="2">
        <f t="shared" si="168"/>
        <v>0.16407105499155358</v>
      </c>
      <c r="AD99" s="2"/>
      <c r="AE99" s="168">
        <v>3.0139999999999998</v>
      </c>
      <c r="AF99" s="59"/>
      <c r="AG99" s="178">
        <f t="shared" ref="AG99:AH99" si="173">(AB99-AB76)*($AA$69-$AH$96)/($AA$69-$AA$116)</f>
        <v>0.10928746484003252</v>
      </c>
      <c r="AH99" s="178">
        <f t="shared" si="173"/>
        <v>-0.14604393521634404</v>
      </c>
      <c r="AI99" s="59"/>
      <c r="AM99" s="43" t="s">
        <v>194</v>
      </c>
      <c r="AN99" s="18">
        <v>1.2057313036E-2</v>
      </c>
      <c r="AO99" s="18">
        <v>-2.53377107E-7</v>
      </c>
      <c r="AP99" s="18">
        <v>3.8066656000000001E-6</v>
      </c>
      <c r="AQ99" s="18">
        <v>4.1042688489357501E-8</v>
      </c>
      <c r="AR99" s="18">
        <v>6.9478147406710902E-8</v>
      </c>
      <c r="AS99" s="2">
        <v>5.93789254251035E-8</v>
      </c>
      <c r="AT99">
        <v>10</v>
      </c>
      <c r="AU99">
        <v>1</v>
      </c>
      <c r="AW99">
        <f>VLOOKUP(AT99,Constants!$B$15:$L$33,2,FALSE)</f>
        <v>0.99248924126722049</v>
      </c>
      <c r="AX99">
        <f>VLOOKUP(AT99,Constants!$B$15:$L$33,3,FALSE)</f>
        <v>-2.7303958893031477E-4</v>
      </c>
    </row>
    <row r="100" spans="1:50" x14ac:dyDescent="0.2">
      <c r="A100">
        <f>ROW()</f>
        <v>100</v>
      </c>
      <c r="B100" s="161" t="s">
        <v>191</v>
      </c>
      <c r="C100" s="18">
        <f t="shared" si="169"/>
        <v>2.4026314648000001E-2</v>
      </c>
      <c r="D100" s="18">
        <f t="shared" si="151"/>
        <v>-5.0665257000000101E-7</v>
      </c>
      <c r="E100" s="18">
        <f t="shared" si="152"/>
        <v>7.4438645000000004E-6</v>
      </c>
      <c r="F100" s="18">
        <f t="shared" si="153"/>
        <v>8.3002327831569399E-7</v>
      </c>
      <c r="G100" s="18">
        <f t="shared" si="154"/>
        <v>2.7131551116828899E-8</v>
      </c>
      <c r="H100" s="18">
        <f t="shared" si="155"/>
        <v>9.6207581867283294E-8</v>
      </c>
      <c r="I100" s="2">
        <v>20.440000000000001</v>
      </c>
      <c r="J100" s="17">
        <f t="shared" si="170"/>
        <v>20.041790626775679</v>
      </c>
      <c r="K100" s="2">
        <f t="shared" si="156"/>
        <v>6.0067582580651573</v>
      </c>
      <c r="L100">
        <v>50</v>
      </c>
      <c r="M100">
        <v>30</v>
      </c>
      <c r="N100">
        <v>0.83416000000000001</v>
      </c>
      <c r="O100" s="2">
        <f t="shared" si="157"/>
        <v>0.19999402020000001</v>
      </c>
      <c r="P100" s="2">
        <f t="shared" si="158"/>
        <v>0.1000646</v>
      </c>
      <c r="Q100">
        <v>1</v>
      </c>
      <c r="R100" s="52">
        <f t="shared" si="159"/>
        <v>-2.5279805554056484E-5</v>
      </c>
      <c r="S100" s="52">
        <f t="shared" si="160"/>
        <v>3.7141713725195061E-4</v>
      </c>
      <c r="T100" s="19">
        <f t="shared" si="161"/>
        <v>0.99951897406738954</v>
      </c>
      <c r="U100" s="19">
        <f t="shared" si="162"/>
        <v>1.0007972767333173</v>
      </c>
      <c r="V100" s="48">
        <f t="shared" si="171"/>
        <v>2.3329884646001238E-4</v>
      </c>
      <c r="W100" s="19">
        <f t="shared" si="163"/>
        <v>0.99949369426183554</v>
      </c>
      <c r="X100" s="2">
        <f t="shared" si="164"/>
        <v>-0.50630573816445867</v>
      </c>
      <c r="Y100" s="2">
        <f t="shared" si="165"/>
        <v>0.13811829079193821</v>
      </c>
      <c r="Z100" s="51">
        <f t="shared" si="166"/>
        <v>1.0135905016528002E-5</v>
      </c>
      <c r="AA100" s="51">
        <f t="shared" si="172"/>
        <v>5.0099446100449249E-6</v>
      </c>
      <c r="AB100" s="2">
        <f t="shared" si="167"/>
        <v>-0.51813968513456132</v>
      </c>
      <c r="AC100" s="2">
        <f t="shared" si="168"/>
        <v>0.15238972453056499</v>
      </c>
      <c r="AD100" s="2"/>
      <c r="AE100" s="168">
        <v>5.98</v>
      </c>
      <c r="AF100" s="59"/>
      <c r="AG100" s="178">
        <f t="shared" ref="AG100:AH100" si="174">(AB100-AB77)*($AA$69-$AH$96)/($AA$69-$AA$116)</f>
        <v>0.10909923695238163</v>
      </c>
      <c r="AH100" s="178">
        <f t="shared" si="174"/>
        <v>-0.13163849013952497</v>
      </c>
      <c r="AI100" s="59"/>
      <c r="AM100" s="43" t="s">
        <v>194</v>
      </c>
      <c r="AN100" s="18">
        <v>2.4026314648000001E-2</v>
      </c>
      <c r="AO100" s="18">
        <v>-5.0665257000000101E-7</v>
      </c>
      <c r="AP100" s="18">
        <v>7.4438645000000004E-6</v>
      </c>
      <c r="AQ100" s="18">
        <v>8.3002327831569399E-7</v>
      </c>
      <c r="AR100" s="18">
        <v>2.7131551116828899E-8</v>
      </c>
      <c r="AS100" s="2">
        <v>9.6207581867283294E-8</v>
      </c>
      <c r="AT100">
        <v>11</v>
      </c>
      <c r="AU100">
        <v>1</v>
      </c>
      <c r="AW100">
        <f>VLOOKUP(AT100,Constants!$B$15:$L$33,2,FALSE)</f>
        <v>1.0014538869894722</v>
      </c>
      <c r="AX100">
        <f>VLOOKUP(AT100,Constants!$B$15:$L$33,3,FALSE)</f>
        <v>-1.6494401832275451E-4</v>
      </c>
    </row>
    <row r="101" spans="1:50" x14ac:dyDescent="0.2">
      <c r="A101">
        <f>ROW()</f>
        <v>101</v>
      </c>
      <c r="B101" s="67" t="s">
        <v>112</v>
      </c>
      <c r="C101" s="18">
        <f t="shared" si="169"/>
        <v>4.8059014355999997E-2</v>
      </c>
      <c r="D101" s="18">
        <f t="shared" si="151"/>
        <v>-9.703781200000001E-7</v>
      </c>
      <c r="E101" s="18">
        <f t="shared" si="152"/>
        <v>1.4543843000000001E-5</v>
      </c>
      <c r="F101" s="18">
        <f t="shared" si="153"/>
        <v>2.19833837301235E-8</v>
      </c>
      <c r="G101" s="18">
        <f t="shared" si="154"/>
        <v>1.8051942152002801E-7</v>
      </c>
      <c r="H101" s="18">
        <f t="shared" si="155"/>
        <v>3.3249740615529598E-8</v>
      </c>
      <c r="I101" s="2">
        <v>20.45</v>
      </c>
      <c r="J101" s="17">
        <f t="shared" si="170"/>
        <v>40.088907415200957</v>
      </c>
      <c r="K101" s="2">
        <f t="shared" si="156"/>
        <v>12.01511282885847</v>
      </c>
      <c r="L101">
        <v>50</v>
      </c>
      <c r="M101">
        <v>30</v>
      </c>
      <c r="N101">
        <v>0.83416000000000001</v>
      </c>
      <c r="O101" s="2">
        <f t="shared" si="157"/>
        <v>0.19999402020000001</v>
      </c>
      <c r="P101" s="2">
        <f t="shared" si="158"/>
        <v>0.1000646</v>
      </c>
      <c r="Q101">
        <v>1</v>
      </c>
      <c r="R101" s="52">
        <f t="shared" si="159"/>
        <v>-2.4205651452402791E-5</v>
      </c>
      <c r="S101" s="52">
        <f t="shared" si="160"/>
        <v>3.6278970762084801E-4</v>
      </c>
      <c r="T101" s="19">
        <f t="shared" si="161"/>
        <v>0.99951897406738954</v>
      </c>
      <c r="U101" s="19">
        <f t="shared" si="162"/>
        <v>1.0007972767333173</v>
      </c>
      <c r="V101" s="48">
        <f t="shared" si="171"/>
        <v>2.3329884646001238E-4</v>
      </c>
      <c r="W101" s="19">
        <f t="shared" si="163"/>
        <v>0.9994947684159371</v>
      </c>
      <c r="X101" s="2">
        <f t="shared" si="164"/>
        <v>-0.50523158406290403</v>
      </c>
      <c r="Y101" s="2">
        <f t="shared" si="165"/>
        <v>0.12949086116083564</v>
      </c>
      <c r="Z101" s="51">
        <f t="shared" si="166"/>
        <v>5.0972129598554781E-5</v>
      </c>
      <c r="AA101" s="51">
        <f t="shared" si="172"/>
        <v>2.328736452559616E-5</v>
      </c>
      <c r="AB101" s="2">
        <f t="shared" si="167"/>
        <v>-0.51796795338164092</v>
      </c>
      <c r="AC101" s="2">
        <f t="shared" si="168"/>
        <v>0.13868900714978158</v>
      </c>
      <c r="AD101" s="2"/>
      <c r="AE101" s="168">
        <v>12.02</v>
      </c>
      <c r="AF101" s="59"/>
      <c r="AG101" s="178">
        <f t="shared" ref="AG101:AH101" si="175">(AB101-AB78)*($AA$69-$AH$96)/($AA$69-$AA$116)</f>
        <v>0.11209898572425189</v>
      </c>
      <c r="AH101" s="178">
        <f t="shared" si="175"/>
        <v>-0.10873547724889128</v>
      </c>
      <c r="AI101" s="59"/>
      <c r="AM101" s="43" t="s">
        <v>194</v>
      </c>
      <c r="AN101" s="18">
        <v>4.8059014355999997E-2</v>
      </c>
      <c r="AO101" s="18">
        <v>-9.703781200000001E-7</v>
      </c>
      <c r="AP101" s="18">
        <v>1.4543843000000001E-5</v>
      </c>
      <c r="AQ101" s="18">
        <v>2.19833837301235E-8</v>
      </c>
      <c r="AR101" s="18">
        <v>1.8051942152002801E-7</v>
      </c>
      <c r="AS101" s="2">
        <v>3.3249740615529598E-8</v>
      </c>
      <c r="AT101">
        <v>12</v>
      </c>
      <c r="AU101">
        <v>1</v>
      </c>
      <c r="AW101">
        <f>VLOOKUP(AT101,Constants!$B$15:$L$33,2,FALSE)</f>
        <v>1.0033014728677232</v>
      </c>
      <c r="AX101">
        <f>VLOOKUP(AT101,Constants!$B$15:$L$33,3,FALSE)</f>
        <v>-1.1639650509139207E-4</v>
      </c>
    </row>
    <row r="102" spans="1:50" ht="13.5" x14ac:dyDescent="0.25">
      <c r="A102">
        <f>ROW()</f>
        <v>102</v>
      </c>
      <c r="B102" s="163" t="s">
        <v>212</v>
      </c>
      <c r="C102" s="18">
        <f t="shared" si="169"/>
        <v>7.1968869918E-2</v>
      </c>
      <c r="D102" s="18">
        <f t="shared" si="151"/>
        <v>-1.3946842E-6</v>
      </c>
      <c r="E102" s="18">
        <f t="shared" si="152"/>
        <v>2.0961187999999999E-5</v>
      </c>
      <c r="F102" s="18">
        <f t="shared" si="153"/>
        <v>2.3629303938225801E-8</v>
      </c>
      <c r="G102" s="18">
        <f t="shared" si="154"/>
        <v>6.1539321055728298E-9</v>
      </c>
      <c r="H102" s="18">
        <f t="shared" si="155"/>
        <v>1.1981567116199801E-7</v>
      </c>
      <c r="I102" s="2">
        <v>20.45</v>
      </c>
      <c r="J102" s="17">
        <f t="shared" si="170"/>
        <v>60.033552530798879</v>
      </c>
      <c r="K102" s="2">
        <f t="shared" si="156"/>
        <v>17.992755444895046</v>
      </c>
      <c r="L102">
        <v>50</v>
      </c>
      <c r="M102">
        <v>30</v>
      </c>
      <c r="N102">
        <v>0.83416000000000001</v>
      </c>
      <c r="O102" s="2">
        <f t="shared" si="157"/>
        <v>0.19999402020000001</v>
      </c>
      <c r="P102" s="2">
        <f t="shared" si="158"/>
        <v>0.1000646</v>
      </c>
      <c r="Q102">
        <v>1</v>
      </c>
      <c r="R102" s="52">
        <f t="shared" si="159"/>
        <v>-2.3231745269189062E-5</v>
      </c>
      <c r="S102" s="52">
        <f t="shared" si="160"/>
        <v>3.491578811573133E-4</v>
      </c>
      <c r="T102" s="19">
        <f t="shared" si="161"/>
        <v>0.99951897406738954</v>
      </c>
      <c r="U102" s="19">
        <f t="shared" si="162"/>
        <v>1.0007972767333173</v>
      </c>
      <c r="V102" s="48">
        <f t="shared" si="171"/>
        <v>2.3329884646001238E-4</v>
      </c>
      <c r="W102" s="19">
        <f t="shared" si="163"/>
        <v>0.99949574232212035</v>
      </c>
      <c r="X102" s="2">
        <f t="shared" si="164"/>
        <v>-0.50425767787964926</v>
      </c>
      <c r="Y102" s="2">
        <f t="shared" si="165"/>
        <v>0.11585903469730091</v>
      </c>
      <c r="Z102" s="51">
        <f t="shared" si="166"/>
        <v>1.1862017334907756E-4</v>
      </c>
      <c r="AA102" s="51">
        <f t="shared" si="172"/>
        <v>5.3565180723082644E-5</v>
      </c>
      <c r="AB102" s="2">
        <f t="shared" si="167"/>
        <v>-0.51525521892343806</v>
      </c>
      <c r="AC102" s="2">
        <f t="shared" si="168"/>
        <v>0.12785563178605436</v>
      </c>
      <c r="AD102" s="2"/>
      <c r="AE102" s="169">
        <v>18</v>
      </c>
      <c r="AF102" s="59"/>
      <c r="AG102" s="178">
        <f t="shared" ref="AG102:AH102" si="176">(AB102-AB79)*($AA$69-$AH$96)/($AA$69-$AA$116)</f>
        <v>0.11089325293224381</v>
      </c>
      <c r="AH102" s="178">
        <f t="shared" si="176"/>
        <v>-9.7341835353351544E-2</v>
      </c>
      <c r="AI102" s="59"/>
      <c r="AM102" s="43" t="s">
        <v>194</v>
      </c>
      <c r="AN102" s="18">
        <v>7.1968869918E-2</v>
      </c>
      <c r="AO102" s="18">
        <v>-1.3946842E-6</v>
      </c>
      <c r="AP102" s="18">
        <v>2.0961187999999999E-5</v>
      </c>
      <c r="AQ102" s="18">
        <v>2.3629303938225801E-8</v>
      </c>
      <c r="AR102" s="18">
        <v>6.1539321055728298E-9</v>
      </c>
      <c r="AS102" s="2">
        <v>1.1981567116199801E-7</v>
      </c>
      <c r="AT102">
        <v>12</v>
      </c>
      <c r="AU102">
        <v>1</v>
      </c>
      <c r="AW102">
        <f>VLOOKUP(AT102,Constants!$B$15:$L$33,2,FALSE)</f>
        <v>1.0033014728677232</v>
      </c>
      <c r="AX102">
        <f>VLOOKUP(AT102,Constants!$B$15:$L$33,3,FALSE)</f>
        <v>-1.1639650509139207E-4</v>
      </c>
    </row>
    <row r="103" spans="1:50" x14ac:dyDescent="0.2">
      <c r="A103">
        <f>ROW()</f>
        <v>103</v>
      </c>
      <c r="B103" s="66" t="s">
        <v>111</v>
      </c>
      <c r="C103" s="18">
        <f t="shared" si="169"/>
        <v>0.11996614724</v>
      </c>
      <c r="D103" s="18">
        <f t="shared" si="151"/>
        <v>-1.6647480999999999E-6</v>
      </c>
      <c r="E103" s="18">
        <f t="shared" si="152"/>
        <v>3.3925409999999999E-5</v>
      </c>
      <c r="F103" s="18">
        <f t="shared" si="153"/>
        <v>1.47737265917051E-7</v>
      </c>
      <c r="G103" s="18">
        <f t="shared" si="154"/>
        <v>2.8550795610873999E-7</v>
      </c>
      <c r="H103" s="18">
        <f t="shared" si="155"/>
        <v>2.0807450588681801E-9</v>
      </c>
      <c r="I103" s="2">
        <v>20.45</v>
      </c>
      <c r="J103" s="17">
        <f t="shared" si="170"/>
        <v>100.0709613817184</v>
      </c>
      <c r="K103" s="2">
        <f t="shared" si="156"/>
        <v>29.992433553770827</v>
      </c>
      <c r="L103">
        <v>50</v>
      </c>
      <c r="M103">
        <v>30</v>
      </c>
      <c r="N103">
        <v>0.83416000000000001</v>
      </c>
      <c r="O103" s="2">
        <f t="shared" si="157"/>
        <v>0.19999402020000001</v>
      </c>
      <c r="P103" s="2">
        <f t="shared" si="158"/>
        <v>0.1000646</v>
      </c>
      <c r="Q103">
        <v>1</v>
      </c>
      <c r="R103" s="52">
        <f t="shared" si="159"/>
        <v>-1.6635676094385225E-5</v>
      </c>
      <c r="S103" s="52">
        <f t="shared" si="160"/>
        <v>3.390135313139672E-4</v>
      </c>
      <c r="T103" s="19">
        <f t="shared" si="161"/>
        <v>0.99951897406738954</v>
      </c>
      <c r="U103" s="19">
        <f t="shared" si="162"/>
        <v>1.0007972767333173</v>
      </c>
      <c r="V103" s="48">
        <f t="shared" si="171"/>
        <v>2.3329884646001238E-4</v>
      </c>
      <c r="W103" s="19">
        <f t="shared" si="163"/>
        <v>0.99950233839129521</v>
      </c>
      <c r="X103" s="2">
        <f t="shared" si="164"/>
        <v>-0.49766160870479137</v>
      </c>
      <c r="Y103" s="2">
        <f t="shared" si="165"/>
        <v>0.10571468485395483</v>
      </c>
      <c r="Z103" s="51">
        <f t="shared" si="166"/>
        <v>3.3577373507171865E-4</v>
      </c>
      <c r="AA103" s="51">
        <f t="shared" si="172"/>
        <v>1.5075846620396323E-4</v>
      </c>
      <c r="AB103" s="2">
        <f t="shared" si="167"/>
        <v>-0.50719491826937824</v>
      </c>
      <c r="AC103" s="2">
        <f t="shared" si="168"/>
        <v>0.11584130220732283</v>
      </c>
      <c r="AD103" s="2"/>
      <c r="AE103" s="169">
        <v>30</v>
      </c>
      <c r="AF103" s="59"/>
      <c r="AG103" s="178">
        <f t="shared" ref="AG103:AH103" si="177">(AB103-AB80)*($AA$69-$AH$96)/($AA$69-$AA$116)</f>
        <v>0.11347057982943826</v>
      </c>
      <c r="AH103" s="178">
        <f t="shared" si="177"/>
        <v>-8.4785837784237858E-2</v>
      </c>
      <c r="AI103" s="59"/>
      <c r="AM103" s="43" t="s">
        <v>194</v>
      </c>
      <c r="AN103" s="18">
        <v>0.11996614724</v>
      </c>
      <c r="AO103" s="18">
        <v>-1.6647480999999999E-6</v>
      </c>
      <c r="AP103" s="18">
        <v>3.3925409999999999E-5</v>
      </c>
      <c r="AQ103" s="18">
        <v>1.47737265917051E-7</v>
      </c>
      <c r="AR103" s="18">
        <v>2.8550795610873999E-7</v>
      </c>
      <c r="AS103" s="2">
        <v>2.0807450588681801E-9</v>
      </c>
      <c r="AT103">
        <v>13</v>
      </c>
      <c r="AU103">
        <v>1</v>
      </c>
      <c r="AW103">
        <f>VLOOKUP(AT103,Constants!$B$15:$L$33,2,FALSE)</f>
        <v>1.000409916282643</v>
      </c>
      <c r="AX103">
        <f>VLOOKUP(AT103,Constants!$B$15:$L$33,3,FALSE)</f>
        <v>-7.0507061346368138E-5</v>
      </c>
    </row>
    <row r="104" spans="1:50" x14ac:dyDescent="0.2">
      <c r="A104">
        <f>ROW()</f>
        <v>104</v>
      </c>
      <c r="B104" s="162" t="s">
        <v>192</v>
      </c>
      <c r="C104" s="18">
        <f t="shared" si="169"/>
        <v>0.14454550839999999</v>
      </c>
      <c r="D104" s="18">
        <f t="shared" si="151"/>
        <v>-1.9828541E-6</v>
      </c>
      <c r="E104" s="18">
        <f t="shared" si="152"/>
        <v>4.0441990000000003E-5</v>
      </c>
      <c r="F104" s="18">
        <f t="shared" si="153"/>
        <v>5.4587602851893898E-7</v>
      </c>
      <c r="G104" s="18">
        <f t="shared" si="154"/>
        <v>1.8199174076366801E-7</v>
      </c>
      <c r="H104" s="18">
        <f t="shared" si="155"/>
        <v>1.6965694474438701E-7</v>
      </c>
      <c r="I104" s="2">
        <v>20.45</v>
      </c>
      <c r="J104" s="17">
        <f t="shared" si="170"/>
        <v>120.57408128694399</v>
      </c>
      <c r="K104" s="2">
        <f t="shared" si="156"/>
        <v>36.137457573843996</v>
      </c>
      <c r="L104">
        <v>50</v>
      </c>
      <c r="M104">
        <v>30</v>
      </c>
      <c r="N104">
        <v>0.83416000000000001</v>
      </c>
      <c r="O104" s="2">
        <f t="shared" si="157"/>
        <v>0.19999402020000001</v>
      </c>
      <c r="P104" s="2">
        <f t="shared" si="158"/>
        <v>0.1000646</v>
      </c>
      <c r="Q104">
        <v>1</v>
      </c>
      <c r="R104" s="52">
        <f t="shared" si="159"/>
        <v>-1.6445110581279687E-5</v>
      </c>
      <c r="S104" s="52">
        <f t="shared" si="160"/>
        <v>3.3541196887708851E-4</v>
      </c>
      <c r="T104" s="19">
        <f t="shared" si="161"/>
        <v>0.99951897406738954</v>
      </c>
      <c r="U104" s="19">
        <f t="shared" si="162"/>
        <v>1.0007972767333173</v>
      </c>
      <c r="V104" s="48">
        <f t="shared" si="171"/>
        <v>2.3329884646001238E-4</v>
      </c>
      <c r="W104" s="19">
        <f t="shared" si="163"/>
        <v>0.99950252895680824</v>
      </c>
      <c r="X104" s="2">
        <f t="shared" si="164"/>
        <v>-0.49747104319175506</v>
      </c>
      <c r="Y104" s="2">
        <f t="shared" si="165"/>
        <v>0.10211312241707612</v>
      </c>
      <c r="Z104" s="51">
        <f t="shared" si="166"/>
        <v>4.8902763801049454E-4</v>
      </c>
      <c r="AA104" s="51">
        <f t="shared" si="172"/>
        <v>2.1935163235434186E-4</v>
      </c>
      <c r="AB104" s="2">
        <f t="shared" si="167"/>
        <v>-0.5075587805509949</v>
      </c>
      <c r="AC104" s="2">
        <f t="shared" si="168"/>
        <v>0.1126463773647902</v>
      </c>
      <c r="AD104" s="2"/>
      <c r="AE104" s="168">
        <v>36.200000000000003</v>
      </c>
      <c r="AF104" s="59"/>
      <c r="AG104" s="178">
        <f t="shared" ref="AG104:AH104" si="178">(AB104-AB81)*($AA$69-$AH$96)/($AA$69-$AA$116)</f>
        <v>0.10862941439403405</v>
      </c>
      <c r="AH104" s="178">
        <f t="shared" si="178"/>
        <v>-7.4601869193634235E-2</v>
      </c>
      <c r="AI104" s="59"/>
      <c r="AM104" s="43" t="s">
        <v>194</v>
      </c>
      <c r="AN104" s="18">
        <v>0.14454550839999999</v>
      </c>
      <c r="AO104" s="18">
        <v>-1.9828541E-6</v>
      </c>
      <c r="AP104" s="18">
        <v>4.0441990000000003E-5</v>
      </c>
      <c r="AQ104" s="18">
        <v>5.4587602851893898E-7</v>
      </c>
      <c r="AR104" s="18">
        <v>1.8199174076366801E-7</v>
      </c>
      <c r="AS104" s="18">
        <v>1.6965694474438701E-7</v>
      </c>
      <c r="AT104">
        <v>13</v>
      </c>
      <c r="AU104">
        <v>1</v>
      </c>
      <c r="AW104">
        <f>VLOOKUP(AT104,Constants!$B$15:$L$33,2,FALSE)</f>
        <v>1.000409916282643</v>
      </c>
      <c r="AX104">
        <f>VLOOKUP(AT104,Constants!$B$15:$L$33,3,FALSE)</f>
        <v>-7.0507061346368138E-5</v>
      </c>
    </row>
    <row r="105" spans="1:50" x14ac:dyDescent="0.2">
      <c r="A105">
        <f>ROW()</f>
        <v>105</v>
      </c>
      <c r="I105" s="2"/>
      <c r="J105" s="17"/>
      <c r="K105" s="2"/>
      <c r="O105" s="2"/>
      <c r="P105" s="2"/>
      <c r="R105" s="52"/>
      <c r="S105" s="52"/>
      <c r="U105" s="19"/>
      <c r="V105" s="48"/>
      <c r="AE105" s="168"/>
    </row>
    <row r="106" spans="1:50" x14ac:dyDescent="0.2">
      <c r="A106">
        <f>ROW()</f>
        <v>106</v>
      </c>
      <c r="B106" s="43" t="s">
        <v>52</v>
      </c>
      <c r="C106" s="18">
        <f t="shared" ref="C106:C116" si="179">AN106</f>
        <v>5.9677394065999999E-3</v>
      </c>
      <c r="D106" s="18">
        <f t="shared" ref="D106:D116" si="180">AO106</f>
        <v>-1.772317087E-7</v>
      </c>
      <c r="E106" s="18">
        <f t="shared" ref="E106:E116" si="181">AP106</f>
        <v>1.9150537999999998E-6</v>
      </c>
      <c r="F106" s="18">
        <f t="shared" ref="F106:F116" si="182">AQ106</f>
        <v>8.5023339346163498E-8</v>
      </c>
      <c r="G106" s="18">
        <f t="shared" ref="G106:G116" si="183">AR106</f>
        <v>7.7431697806730406E-8</v>
      </c>
      <c r="H106" s="18">
        <f t="shared" ref="H106:H116" si="184">AS106</f>
        <v>7.3441798912880599E-8</v>
      </c>
      <c r="I106" s="2">
        <v>20.45</v>
      </c>
      <c r="J106" s="17">
        <f t="shared" ref="J106:J116" si="185">100*C106/0.1*N106</f>
        <v>4.9780495034094558</v>
      </c>
      <c r="K106" s="2">
        <f>C106/O106*50</f>
        <v>1.4919794603438847</v>
      </c>
      <c r="L106">
        <v>50</v>
      </c>
      <c r="M106">
        <v>30</v>
      </c>
      <c r="N106">
        <v>0.83416000000000001</v>
      </c>
      <c r="O106" s="2">
        <f t="shared" ref="O106:O116" si="186">MSL0.2</f>
        <v>0.19999402020000001</v>
      </c>
      <c r="P106" s="2">
        <f t="shared" ref="P106:P116" si="187">Ti_969</f>
        <v>0.1000646</v>
      </c>
      <c r="Q106">
        <v>1</v>
      </c>
      <c r="R106" s="52">
        <f t="shared" ref="R106:R112" si="188">Q106*D106/C106/N106</f>
        <v>-3.5602640869403643E-5</v>
      </c>
      <c r="S106" s="52">
        <f t="shared" ref="S106:S112" si="189">Q106*E106/C106/N106</f>
        <v>3.8469962958150245E-4</v>
      </c>
      <c r="T106" s="19">
        <f t="shared" ref="T106:T112" si="190">M106*N106*O106/(P106*U106*L106)</f>
        <v>0.99951897406738954</v>
      </c>
      <c r="U106" s="19">
        <f t="shared" ref="U106:U113" si="191">$AA$16</f>
        <v>1.0007972767333173</v>
      </c>
      <c r="V106" s="48">
        <f>$AA$26</f>
        <v>1.9151650451155946E-4</v>
      </c>
      <c r="W106" s="19">
        <f t="shared" ref="W106:W112" si="192">R106+T106</f>
        <v>0.99948337142652011</v>
      </c>
      <c r="X106" s="2">
        <f t="shared" ref="X106:X112" si="193">1000*(W106-1)</f>
        <v>-0.51662857347989366</v>
      </c>
      <c r="Y106" s="2">
        <f t="shared" ref="Y106:Y112" si="194">1000*(S106-V106)</f>
        <v>0.19318312506994298</v>
      </c>
      <c r="AE106" s="168">
        <v>1.4830000000000001</v>
      </c>
      <c r="AM106" s="43" t="s">
        <v>195</v>
      </c>
      <c r="AN106" s="18">
        <v>5.9677394065999999E-3</v>
      </c>
      <c r="AO106" s="18">
        <v>-1.772317087E-7</v>
      </c>
      <c r="AP106" s="18">
        <v>1.9150537999999998E-6</v>
      </c>
      <c r="AQ106" s="18">
        <v>8.5023339346163498E-8</v>
      </c>
      <c r="AR106" s="18">
        <v>7.7431697806730406E-8</v>
      </c>
      <c r="AS106" s="2">
        <v>7.3441798912880599E-8</v>
      </c>
      <c r="AT106">
        <v>9</v>
      </c>
      <c r="AU106" s="10">
        <v>1</v>
      </c>
      <c r="AW106">
        <f>VLOOKUP(AT106,Constants!$B$15:$L$33,2,FALSE)</f>
        <v>0.99371490585295241</v>
      </c>
      <c r="AX106">
        <f>VLOOKUP(AT106,Constants!$B$15:$L$33,3,FALSE)</f>
        <v>1.4986286639243325E-2</v>
      </c>
    </row>
    <row r="107" spans="1:50" x14ac:dyDescent="0.2">
      <c r="A107">
        <f>ROW()</f>
        <v>107</v>
      </c>
      <c r="C107" s="18">
        <f t="shared" si="179"/>
        <v>1.2077744971999999E-2</v>
      </c>
      <c r="D107" s="18">
        <f t="shared" si="180"/>
        <v>-4.3412906000000002E-7</v>
      </c>
      <c r="E107" s="18">
        <f t="shared" si="181"/>
        <v>3.7727583E-6</v>
      </c>
      <c r="F107" s="18">
        <f t="shared" si="182"/>
        <v>6.9618689834824006E-8</v>
      </c>
      <c r="G107" s="18">
        <f t="shared" si="183"/>
        <v>8.2567885596740305E-8</v>
      </c>
      <c r="H107" s="18">
        <f t="shared" si="184"/>
        <v>8.6251279376656204E-8</v>
      </c>
      <c r="I107" s="2">
        <v>20.45</v>
      </c>
      <c r="J107" s="17">
        <f t="shared" si="185"/>
        <v>10.07477174584352</v>
      </c>
      <c r="K107" s="2">
        <f t="shared" ref="K107:K112" si="195">C107/O107*50</f>
        <v>3.0195265238235356</v>
      </c>
      <c r="L107">
        <v>50</v>
      </c>
      <c r="M107">
        <v>30</v>
      </c>
      <c r="N107">
        <v>0.83416000000000001</v>
      </c>
      <c r="O107" s="2">
        <f t="shared" si="186"/>
        <v>0.19999402020000001</v>
      </c>
      <c r="P107" s="2">
        <f t="shared" si="187"/>
        <v>0.1000646</v>
      </c>
      <c r="Q107">
        <v>1</v>
      </c>
      <c r="R107" s="52">
        <f t="shared" si="188"/>
        <v>-4.3090709244018925E-5</v>
      </c>
      <c r="S107" s="52">
        <f t="shared" si="189"/>
        <v>3.744758089985018E-4</v>
      </c>
      <c r="T107" s="19">
        <f t="shared" si="190"/>
        <v>0.99951897406738954</v>
      </c>
      <c r="U107" s="19">
        <f t="shared" si="191"/>
        <v>1.0007972767333173</v>
      </c>
      <c r="V107" s="48">
        <f t="shared" ref="V107:V116" si="196">$AA$26</f>
        <v>1.9151650451155946E-4</v>
      </c>
      <c r="W107" s="19">
        <f t="shared" si="192"/>
        <v>0.99947588335814552</v>
      </c>
      <c r="X107" s="2">
        <f t="shared" si="193"/>
        <v>-0.52411664185447737</v>
      </c>
      <c r="Y107" s="2">
        <f t="shared" si="194"/>
        <v>0.18295930448694234</v>
      </c>
      <c r="AE107" s="168">
        <v>3.016</v>
      </c>
      <c r="AM107" s="43" t="s">
        <v>195</v>
      </c>
      <c r="AN107" s="18">
        <v>1.2077744971999999E-2</v>
      </c>
      <c r="AO107" s="18">
        <v>-4.3412906000000002E-7</v>
      </c>
      <c r="AP107" s="18">
        <v>3.7727583E-6</v>
      </c>
      <c r="AQ107" s="18">
        <v>6.9618689834824006E-8</v>
      </c>
      <c r="AR107" s="18">
        <v>8.2567885596740305E-8</v>
      </c>
      <c r="AS107" s="18">
        <v>8.6251279376656204E-8</v>
      </c>
      <c r="AT107">
        <v>10</v>
      </c>
      <c r="AU107">
        <v>1</v>
      </c>
      <c r="AW107">
        <f>VLOOKUP(AT107,Constants!$B$15:$L$33,2,FALSE)</f>
        <v>0.99248924126722049</v>
      </c>
      <c r="AX107">
        <f>VLOOKUP(AT107,Constants!$B$15:$L$33,3,FALSE)</f>
        <v>-2.7303958893031477E-4</v>
      </c>
    </row>
    <row r="108" spans="1:50" x14ac:dyDescent="0.2">
      <c r="A108">
        <f>ROW()</f>
        <v>108</v>
      </c>
      <c r="C108" s="18">
        <f t="shared" si="179"/>
        <v>2.4050324742000001E-2</v>
      </c>
      <c r="D108" s="18">
        <f t="shared" si="180"/>
        <v>-9.817742099999999E-7</v>
      </c>
      <c r="E108" s="18">
        <f t="shared" si="181"/>
        <v>7.1856953999999999E-6</v>
      </c>
      <c r="F108" s="18">
        <f t="shared" si="182"/>
        <v>3.4271920097324898E-8</v>
      </c>
      <c r="G108" s="18">
        <f t="shared" si="183"/>
        <v>6.8290854499602597E-8</v>
      </c>
      <c r="H108" s="18">
        <f t="shared" si="184"/>
        <v>1.0496534831476501E-7</v>
      </c>
      <c r="I108" s="2">
        <v>20.45</v>
      </c>
      <c r="J108" s="17">
        <f t="shared" si="185"/>
        <v>20.061818886786718</v>
      </c>
      <c r="K108" s="2">
        <f t="shared" si="195"/>
        <v>6.0127609610399739</v>
      </c>
      <c r="L108">
        <v>50</v>
      </c>
      <c r="M108">
        <v>30</v>
      </c>
      <c r="N108">
        <v>0.83416000000000001</v>
      </c>
      <c r="O108" s="2">
        <f t="shared" si="186"/>
        <v>0.19999402020000001</v>
      </c>
      <c r="P108" s="2">
        <f t="shared" si="187"/>
        <v>0.1000646</v>
      </c>
      <c r="Q108">
        <v>1</v>
      </c>
      <c r="R108" s="52">
        <f t="shared" si="188"/>
        <v>-4.8937447573441311E-5</v>
      </c>
      <c r="S108" s="52">
        <f t="shared" si="189"/>
        <v>3.5817766278075123E-4</v>
      </c>
      <c r="T108" s="19">
        <f t="shared" si="190"/>
        <v>0.99951897406738954</v>
      </c>
      <c r="U108" s="19">
        <f t="shared" si="191"/>
        <v>1.0007972767333173</v>
      </c>
      <c r="V108" s="48">
        <f t="shared" si="196"/>
        <v>1.9151650451155946E-4</v>
      </c>
      <c r="W108" s="19">
        <f t="shared" si="192"/>
        <v>0.99947003661981615</v>
      </c>
      <c r="X108" s="2">
        <f t="shared" si="193"/>
        <v>-0.52996338018385103</v>
      </c>
      <c r="Y108" s="2">
        <f t="shared" si="194"/>
        <v>0.16666115826919178</v>
      </c>
      <c r="AE108" s="169">
        <v>6.01</v>
      </c>
      <c r="AM108" s="43" t="s">
        <v>195</v>
      </c>
      <c r="AN108" s="18">
        <v>2.4050324742000001E-2</v>
      </c>
      <c r="AO108" s="18">
        <v>-9.817742099999999E-7</v>
      </c>
      <c r="AP108" s="18">
        <v>7.1856953999999999E-6</v>
      </c>
      <c r="AQ108" s="18">
        <v>3.4271920097324898E-8</v>
      </c>
      <c r="AR108" s="18">
        <v>6.8290854499602597E-8</v>
      </c>
      <c r="AS108" s="2">
        <v>1.0496534831476501E-7</v>
      </c>
      <c r="AT108">
        <v>11</v>
      </c>
      <c r="AU108">
        <v>1</v>
      </c>
      <c r="AW108">
        <f>VLOOKUP(AT108,Constants!$B$15:$L$33,2,FALSE)</f>
        <v>1.0014538869894722</v>
      </c>
      <c r="AX108">
        <f>VLOOKUP(AT108,Constants!$B$15:$L$33,3,FALSE)</f>
        <v>-1.6494401832275451E-4</v>
      </c>
    </row>
    <row r="109" spans="1:50" x14ac:dyDescent="0.2">
      <c r="A109">
        <f>ROW()</f>
        <v>109</v>
      </c>
      <c r="C109" s="18">
        <f t="shared" si="179"/>
        <v>4.8060230080000002E-2</v>
      </c>
      <c r="D109" s="18">
        <f t="shared" si="180"/>
        <v>-1.9893830000000001E-6</v>
      </c>
      <c r="E109" s="18">
        <f t="shared" si="181"/>
        <v>1.3606666E-5</v>
      </c>
      <c r="F109" s="18">
        <f t="shared" si="182"/>
        <v>1.04318277127199E-8</v>
      </c>
      <c r="G109" s="18">
        <f t="shared" si="183"/>
        <v>1.14452542509985E-7</v>
      </c>
      <c r="H109" s="18">
        <f t="shared" si="184"/>
        <v>1.26067670098245E-7</v>
      </c>
      <c r="I109" s="2">
        <v>20.45</v>
      </c>
      <c r="J109" s="17">
        <f t="shared" si="185"/>
        <v>40.089921523532801</v>
      </c>
      <c r="K109" s="2">
        <f t="shared" si="195"/>
        <v>12.015416768945975</v>
      </c>
      <c r="L109">
        <v>50</v>
      </c>
      <c r="M109">
        <v>30</v>
      </c>
      <c r="N109">
        <v>0.83416000000000001</v>
      </c>
      <c r="O109" s="2">
        <f t="shared" si="186"/>
        <v>0.19999402020000001</v>
      </c>
      <c r="P109" s="2">
        <f t="shared" si="187"/>
        <v>0.1000646</v>
      </c>
      <c r="Q109">
        <v>1</v>
      </c>
      <c r="R109" s="52">
        <f t="shared" si="188"/>
        <v>-4.9623020559724254E-5</v>
      </c>
      <c r="S109" s="52">
        <f t="shared" si="189"/>
        <v>3.3940365765028699E-4</v>
      </c>
      <c r="T109" s="19">
        <f t="shared" si="190"/>
        <v>0.99951897406738954</v>
      </c>
      <c r="U109" s="19">
        <f t="shared" si="191"/>
        <v>1.0007972767333173</v>
      </c>
      <c r="V109" s="48">
        <f t="shared" si="196"/>
        <v>1.9151650451155946E-4</v>
      </c>
      <c r="W109" s="19">
        <f t="shared" si="192"/>
        <v>0.99946935104682977</v>
      </c>
      <c r="X109" s="2">
        <f t="shared" si="193"/>
        <v>-0.53064895317023186</v>
      </c>
      <c r="Y109" s="2">
        <f t="shared" si="194"/>
        <v>0.14788715313872752</v>
      </c>
      <c r="AE109" s="168">
        <v>12.01</v>
      </c>
      <c r="AM109" s="43" t="s">
        <v>195</v>
      </c>
      <c r="AN109" s="18">
        <v>4.8060230080000002E-2</v>
      </c>
      <c r="AO109" s="18">
        <v>-1.9893830000000001E-6</v>
      </c>
      <c r="AP109" s="18">
        <v>1.3606666E-5</v>
      </c>
      <c r="AQ109" s="18">
        <v>1.04318277127199E-8</v>
      </c>
      <c r="AR109" s="18">
        <v>1.14452542509985E-7</v>
      </c>
      <c r="AS109" s="2">
        <v>1.26067670098245E-7</v>
      </c>
      <c r="AT109">
        <v>12</v>
      </c>
      <c r="AU109">
        <v>1</v>
      </c>
      <c r="AW109">
        <f>VLOOKUP(AT109,Constants!$B$15:$L$33,2,FALSE)</f>
        <v>1.0033014728677232</v>
      </c>
      <c r="AX109">
        <f>VLOOKUP(AT109,Constants!$B$15:$L$33,3,FALSE)</f>
        <v>-1.1639650509139207E-4</v>
      </c>
    </row>
    <row r="110" spans="1:50" x14ac:dyDescent="0.2">
      <c r="A110">
        <f>ROW()</f>
        <v>110</v>
      </c>
      <c r="C110" s="18">
        <f t="shared" si="179"/>
        <v>7.2131711340000002E-2</v>
      </c>
      <c r="D110" s="18">
        <f t="shared" si="180"/>
        <v>-2.7134419000000001E-6</v>
      </c>
      <c r="E110" s="18">
        <f t="shared" si="181"/>
        <v>1.9938253999999999E-5</v>
      </c>
      <c r="F110" s="18">
        <f t="shared" si="182"/>
        <v>2.2447827083688901E-8</v>
      </c>
      <c r="G110" s="18">
        <f t="shared" si="183"/>
        <v>8.6079473043171001E-8</v>
      </c>
      <c r="H110" s="18">
        <f t="shared" si="184"/>
        <v>1.0534824765509899E-7</v>
      </c>
      <c r="I110" s="2">
        <v>20.45</v>
      </c>
      <c r="J110" s="17">
        <f t="shared" si="185"/>
        <v>60.1693883313744</v>
      </c>
      <c r="K110" s="2">
        <f t="shared" si="195"/>
        <v>18.033467017630358</v>
      </c>
      <c r="L110">
        <v>50</v>
      </c>
      <c r="M110">
        <v>30</v>
      </c>
      <c r="N110">
        <v>0.83416000000000001</v>
      </c>
      <c r="O110" s="2">
        <f t="shared" si="186"/>
        <v>0.19999402020000001</v>
      </c>
      <c r="P110" s="2">
        <f t="shared" si="187"/>
        <v>0.1000646</v>
      </c>
      <c r="Q110">
        <v>1</v>
      </c>
      <c r="R110" s="52">
        <f t="shared" si="188"/>
        <v>-4.5096717371566125E-5</v>
      </c>
      <c r="S110" s="52">
        <f t="shared" si="189"/>
        <v>3.3136873338636722E-4</v>
      </c>
      <c r="T110" s="19">
        <f t="shared" si="190"/>
        <v>0.99951897406738954</v>
      </c>
      <c r="U110" s="19">
        <f t="shared" si="191"/>
        <v>1.0007972767333173</v>
      </c>
      <c r="V110" s="48">
        <f t="shared" si="196"/>
        <v>1.9151650451155946E-4</v>
      </c>
      <c r="W110" s="19">
        <f t="shared" si="192"/>
        <v>0.99947387735001803</v>
      </c>
      <c r="X110" s="2">
        <f t="shared" si="193"/>
        <v>-0.52612264998197489</v>
      </c>
      <c r="Y110" s="2">
        <f t="shared" si="194"/>
        <v>0.13985222887480778</v>
      </c>
      <c r="AE110" s="168">
        <v>18.04</v>
      </c>
      <c r="AM110" s="43" t="s">
        <v>195</v>
      </c>
      <c r="AN110" s="18">
        <v>7.2131711340000002E-2</v>
      </c>
      <c r="AO110" s="18">
        <v>-2.7134419000000001E-6</v>
      </c>
      <c r="AP110" s="18">
        <v>1.9938253999999999E-5</v>
      </c>
      <c r="AQ110" s="18">
        <v>2.2447827083688901E-8</v>
      </c>
      <c r="AR110" s="18">
        <v>8.6079473043171001E-8</v>
      </c>
      <c r="AS110" s="2">
        <v>1.0534824765509899E-7</v>
      </c>
      <c r="AT110">
        <v>12</v>
      </c>
      <c r="AU110">
        <v>1</v>
      </c>
      <c r="AW110">
        <f>VLOOKUP(AT110,Constants!$B$15:$L$33,2,FALSE)</f>
        <v>1.0033014728677232</v>
      </c>
      <c r="AX110">
        <f>VLOOKUP(AT110,Constants!$B$15:$L$33,3,FALSE)</f>
        <v>-1.1639650509139207E-4</v>
      </c>
    </row>
    <row r="111" spans="1:50" x14ac:dyDescent="0.2">
      <c r="A111">
        <f>ROW()</f>
        <v>111</v>
      </c>
      <c r="C111" s="18">
        <f t="shared" si="179"/>
        <v>0.12007013156</v>
      </c>
      <c r="D111" s="18">
        <f t="shared" si="180"/>
        <v>-3.5387984E-6</v>
      </c>
      <c r="E111" s="18">
        <f t="shared" si="181"/>
        <v>3.1798509999999998E-5</v>
      </c>
      <c r="F111" s="18">
        <f t="shared" si="182"/>
        <v>3.02210310461846E-7</v>
      </c>
      <c r="G111" s="18">
        <f t="shared" si="183"/>
        <v>1.47084690139525E-7</v>
      </c>
      <c r="H111" s="18">
        <f t="shared" si="184"/>
        <v>2.0855004507311901E-7</v>
      </c>
      <c r="I111" s="2">
        <v>20.46</v>
      </c>
      <c r="J111" s="17">
        <f t="shared" si="185"/>
        <v>100.15770094208959</v>
      </c>
      <c r="K111" s="2">
        <f t="shared" si="195"/>
        <v>30.018430411050858</v>
      </c>
      <c r="L111">
        <v>50</v>
      </c>
      <c r="M111">
        <v>30</v>
      </c>
      <c r="N111">
        <v>0.83416000000000001</v>
      </c>
      <c r="O111" s="2">
        <f t="shared" si="186"/>
        <v>0.19999402020000001</v>
      </c>
      <c r="P111" s="2">
        <f t="shared" si="187"/>
        <v>0.1000646</v>
      </c>
      <c r="Q111">
        <v>1</v>
      </c>
      <c r="R111" s="52">
        <f t="shared" si="188"/>
        <v>-3.5332264685729016E-5</v>
      </c>
      <c r="S111" s="52">
        <f t="shared" si="189"/>
        <v>3.1748442407225028E-4</v>
      </c>
      <c r="T111" s="19">
        <f t="shared" si="190"/>
        <v>0.99951897406738954</v>
      </c>
      <c r="U111" s="19">
        <f t="shared" si="191"/>
        <v>1.0007972767333173</v>
      </c>
      <c r="V111" s="48">
        <f t="shared" si="196"/>
        <v>1.9151650451155946E-4</v>
      </c>
      <c r="W111" s="19">
        <f t="shared" si="192"/>
        <v>0.99948364180270377</v>
      </c>
      <c r="X111" s="2">
        <f t="shared" si="193"/>
        <v>-0.51635819729622945</v>
      </c>
      <c r="Y111" s="2">
        <f t="shared" si="194"/>
        <v>0.12596791956069084</v>
      </c>
      <c r="AE111" s="169">
        <v>30.01</v>
      </c>
      <c r="AM111" s="43" t="s">
        <v>195</v>
      </c>
      <c r="AN111" s="18">
        <v>0.12007013156</v>
      </c>
      <c r="AO111" s="18">
        <v>-3.5387984E-6</v>
      </c>
      <c r="AP111" s="18">
        <v>3.1798509999999998E-5</v>
      </c>
      <c r="AQ111" s="18">
        <v>3.02210310461846E-7</v>
      </c>
      <c r="AR111" s="18">
        <v>1.47084690139525E-7</v>
      </c>
      <c r="AS111" s="2">
        <v>2.0855004507311901E-7</v>
      </c>
      <c r="AT111">
        <v>13</v>
      </c>
      <c r="AU111">
        <v>1</v>
      </c>
      <c r="AW111">
        <f>VLOOKUP(AT111,Constants!$B$15:$L$33,2,FALSE)</f>
        <v>1.000409916282643</v>
      </c>
      <c r="AX111">
        <f>VLOOKUP(AT111,Constants!$B$15:$L$33,3,FALSE)</f>
        <v>-7.0507061346368138E-5</v>
      </c>
    </row>
    <row r="112" spans="1:50" x14ac:dyDescent="0.2">
      <c r="A112">
        <f>ROW()</f>
        <v>112</v>
      </c>
      <c r="C112" s="18">
        <f t="shared" si="179"/>
        <v>0.14451150707999999</v>
      </c>
      <c r="D112" s="18">
        <f t="shared" si="180"/>
        <v>-4.3494381999999999E-6</v>
      </c>
      <c r="E112" s="18">
        <f t="shared" si="181"/>
        <v>3.7935271999999999E-5</v>
      </c>
      <c r="F112" s="18">
        <f t="shared" si="182"/>
        <v>8.64684202058393E-7</v>
      </c>
      <c r="G112" s="18">
        <f t="shared" si="183"/>
        <v>1.2598066792472599E-7</v>
      </c>
      <c r="H112" s="18">
        <f t="shared" si="184"/>
        <v>7.4875129489036701E-8</v>
      </c>
      <c r="I112" s="2">
        <v>20.46</v>
      </c>
      <c r="J112" s="17">
        <f t="shared" si="185"/>
        <v>120.54571874585278</v>
      </c>
      <c r="K112" s="2">
        <f t="shared" si="195"/>
        <v>36.12895698968503</v>
      </c>
      <c r="L112">
        <v>50</v>
      </c>
      <c r="M112">
        <v>30</v>
      </c>
      <c r="N112">
        <v>0.83416000000000001</v>
      </c>
      <c r="O112" s="2">
        <f t="shared" si="186"/>
        <v>0.19999402020000001</v>
      </c>
      <c r="P112" s="2">
        <f t="shared" si="187"/>
        <v>0.1000646</v>
      </c>
      <c r="Q112">
        <v>1</v>
      </c>
      <c r="R112" s="52">
        <f t="shared" si="188"/>
        <v>-3.6081233288508109E-5</v>
      </c>
      <c r="S112" s="52">
        <f t="shared" si="189"/>
        <v>3.1469613682406374E-4</v>
      </c>
      <c r="T112" s="19">
        <f t="shared" si="190"/>
        <v>0.99951897406738954</v>
      </c>
      <c r="U112" s="19">
        <f t="shared" si="191"/>
        <v>1.0007972767333173</v>
      </c>
      <c r="V112" s="48">
        <f t="shared" si="196"/>
        <v>1.9151650451155946E-4</v>
      </c>
      <c r="W112" s="19">
        <f t="shared" si="192"/>
        <v>0.99948289283410108</v>
      </c>
      <c r="X112" s="2">
        <f t="shared" si="193"/>
        <v>-0.51710716589892236</v>
      </c>
      <c r="Y112" s="2">
        <f t="shared" si="194"/>
        <v>0.12317963231250428</v>
      </c>
      <c r="AE112" s="173">
        <v>36.1</v>
      </c>
      <c r="AG112" s="167" t="s">
        <v>208</v>
      </c>
      <c r="AH112" s="168"/>
      <c r="AI112" s="168"/>
      <c r="AJ112" s="168"/>
      <c r="AK112" s="168"/>
      <c r="AM112" s="43" t="s">
        <v>195</v>
      </c>
      <c r="AN112" s="18">
        <v>0.14451150707999999</v>
      </c>
      <c r="AO112" s="18">
        <v>-4.3494381999999999E-6</v>
      </c>
      <c r="AP112" s="18">
        <v>3.7935271999999999E-5</v>
      </c>
      <c r="AQ112" s="18">
        <v>8.64684202058393E-7</v>
      </c>
      <c r="AR112" s="18">
        <v>1.2598066792472599E-7</v>
      </c>
      <c r="AS112" s="2">
        <v>7.4875129489036701E-8</v>
      </c>
      <c r="AT112">
        <v>13</v>
      </c>
      <c r="AU112">
        <v>1</v>
      </c>
      <c r="AW112">
        <f>VLOOKUP(AT112,Constants!$B$15:$L$33,2,FALSE)</f>
        <v>1.000409916282643</v>
      </c>
      <c r="AX112">
        <f>VLOOKUP(AT112,Constants!$B$15:$L$33,3,FALSE)</f>
        <v>-7.0507061346368138E-5</v>
      </c>
    </row>
    <row r="113" spans="1:50" x14ac:dyDescent="0.2">
      <c r="A113">
        <f>ROW()</f>
        <v>113</v>
      </c>
      <c r="B113" s="164" t="s">
        <v>52</v>
      </c>
      <c r="C113" s="123">
        <f t="shared" si="179"/>
        <v>7.2030335772000006E-2</v>
      </c>
      <c r="D113" s="123">
        <f t="shared" si="180"/>
        <v>-2.6726221000000002E-6</v>
      </c>
      <c r="E113" s="123">
        <f t="shared" si="181"/>
        <v>1.976856E-5</v>
      </c>
      <c r="F113" s="123">
        <f t="shared" si="182"/>
        <v>5.4690530947239703E-8</v>
      </c>
      <c r="G113" s="123">
        <f t="shared" si="183"/>
        <v>1.22545038008848E-7</v>
      </c>
      <c r="H113" s="123">
        <f t="shared" si="184"/>
        <v>5.0185470008758698E-8</v>
      </c>
      <c r="I113" s="124">
        <v>20.46</v>
      </c>
      <c r="J113" s="125">
        <f t="shared" si="185"/>
        <v>60.084824887571521</v>
      </c>
      <c r="K113" s="124">
        <f t="shared" ref="K113:K116" si="197">(C113/O113)*(30/50)*N113*100</f>
        <v>18.02598642523958</v>
      </c>
      <c r="L113" s="122">
        <v>50</v>
      </c>
      <c r="M113" s="122">
        <v>30</v>
      </c>
      <c r="N113" s="122">
        <v>0.83416000000000001</v>
      </c>
      <c r="O113" s="124">
        <f t="shared" si="186"/>
        <v>0.19999402020000001</v>
      </c>
      <c r="P113" s="124">
        <f t="shared" si="187"/>
        <v>0.1000646</v>
      </c>
      <c r="Q113" s="126">
        <v>1</v>
      </c>
      <c r="R113" s="52">
        <f>Q113*D113/C113/N113</f>
        <v>-4.4480816994988508E-5</v>
      </c>
      <c r="S113" s="52">
        <f>Q113*E113/C113/N113</f>
        <v>3.2901086151104194E-4</v>
      </c>
      <c r="T113" s="19">
        <f>M113*N113*O113/(P113*U113*L113)</f>
        <v>0.99951897406738954</v>
      </c>
      <c r="U113" s="19">
        <f t="shared" si="191"/>
        <v>1.0007972767333173</v>
      </c>
      <c r="V113" s="48">
        <f t="shared" si="196"/>
        <v>1.9151650451155946E-4</v>
      </c>
      <c r="W113" s="19">
        <f>R113+T113</f>
        <v>0.9994744932503945</v>
      </c>
      <c r="X113" s="2">
        <f>1000*(W113-1)</f>
        <v>-0.5255067496054977</v>
      </c>
      <c r="Y113" s="2">
        <f>1000*(S113-V113)</f>
        <v>0.13749435699948248</v>
      </c>
      <c r="Z113" t="s">
        <v>68</v>
      </c>
      <c r="AA113" t="s">
        <v>67</v>
      </c>
      <c r="AB113" t="s">
        <v>66</v>
      </c>
      <c r="AE113" s="170" t="s">
        <v>205</v>
      </c>
      <c r="AF113" s="168"/>
      <c r="AG113" s="168"/>
      <c r="AH113" s="168"/>
      <c r="AI113" s="167"/>
      <c r="AJ113" s="168">
        <v>18.02</v>
      </c>
      <c r="AK113" s="168"/>
      <c r="AM113" s="43" t="s">
        <v>195</v>
      </c>
      <c r="AN113" s="18">
        <v>7.2030335772000006E-2</v>
      </c>
      <c r="AO113" s="18">
        <v>-2.6726221000000002E-6</v>
      </c>
      <c r="AP113" s="18">
        <v>1.976856E-5</v>
      </c>
      <c r="AQ113" s="18">
        <v>5.4690530947239703E-8</v>
      </c>
      <c r="AR113" s="18">
        <v>1.22545038008848E-7</v>
      </c>
      <c r="AS113" s="2">
        <v>5.0185470008758698E-8</v>
      </c>
      <c r="AT113">
        <v>12</v>
      </c>
      <c r="AU113">
        <v>1</v>
      </c>
      <c r="AW113">
        <f>VLOOKUP(AT113,Constants!$B$15:$L$33,2,FALSE)</f>
        <v>1.0033014728677232</v>
      </c>
      <c r="AX113">
        <f>VLOOKUP(AT113,Constants!$B$15:$L$33,3,FALSE)</f>
        <v>-1.1639650509139207E-4</v>
      </c>
    </row>
    <row r="114" spans="1:50" x14ac:dyDescent="0.2">
      <c r="A114">
        <f>ROW()</f>
        <v>114</v>
      </c>
      <c r="B114" s="164" t="s">
        <v>199</v>
      </c>
      <c r="C114" s="123">
        <f t="shared" si="179"/>
        <v>7.2325789003999996E-2</v>
      </c>
      <c r="D114" s="123">
        <f t="shared" si="180"/>
        <v>-2.2559300000000002E-3</v>
      </c>
      <c r="E114" s="123">
        <f t="shared" si="181"/>
        <v>-1.6381838000000001E-4</v>
      </c>
      <c r="F114" s="123">
        <f t="shared" si="182"/>
        <v>3.1868442521436797E-8</v>
      </c>
      <c r="G114" s="123">
        <f t="shared" si="183"/>
        <v>3.46944695195361E-18</v>
      </c>
      <c r="H114" s="123">
        <f t="shared" si="184"/>
        <v>7.5277879592879097E-7</v>
      </c>
      <c r="I114" s="124">
        <v>20.46</v>
      </c>
      <c r="J114" s="125">
        <f t="shared" si="185"/>
        <v>60.331280155576643</v>
      </c>
      <c r="K114" s="124">
        <f t="shared" si="197"/>
        <v>18.099925216337031</v>
      </c>
      <c r="L114" s="122">
        <v>50</v>
      </c>
      <c r="M114" s="122">
        <v>30</v>
      </c>
      <c r="N114" s="122">
        <v>0.83416000000000001</v>
      </c>
      <c r="O114" s="124">
        <f t="shared" si="186"/>
        <v>0.19999402020000001</v>
      </c>
      <c r="P114" s="124">
        <f t="shared" si="187"/>
        <v>0.1000646</v>
      </c>
      <c r="Q114" s="126">
        <v>1</v>
      </c>
      <c r="R114" s="52">
        <f>Q114*D114/C114/N114</f>
        <v>-3.7392377456314865E-2</v>
      </c>
      <c r="S114" s="52">
        <f>Q114*E114/C114/N114</f>
        <v>-2.715314171646293E-3</v>
      </c>
      <c r="T114" s="19">
        <f>M114*N114*O114/(P114*U114*L114)</f>
        <v>0.99951897406738954</v>
      </c>
      <c r="U114" s="19">
        <f>$AA$16</f>
        <v>1.0007972767333173</v>
      </c>
      <c r="V114" s="48">
        <f t="shared" si="196"/>
        <v>1.9151650451155946E-4</v>
      </c>
      <c r="W114" s="19">
        <f>R114+T114</f>
        <v>0.96212659661107469</v>
      </c>
      <c r="X114" s="2">
        <f>1000*(W114-1)</f>
        <v>-37.873403388925311</v>
      </c>
      <c r="Y114" s="2">
        <f>1000*(S114-V114)</f>
        <v>-2.9068306761578522</v>
      </c>
      <c r="AA114" s="46">
        <f>100*-(X114-X113)/1000</f>
        <v>3.7347896639319815</v>
      </c>
      <c r="AB114" s="46">
        <f>100*-(Y114-Y113)/1000</f>
        <v>0.30443250331573346</v>
      </c>
      <c r="AC114" s="46"/>
      <c r="AD114" s="46" t="s">
        <v>200</v>
      </c>
      <c r="AE114" s="46"/>
      <c r="AF114" s="46"/>
      <c r="AG114" s="46"/>
      <c r="AH114" s="46"/>
      <c r="AI114" s="46"/>
      <c r="AJ114" s="168">
        <v>18.09</v>
      </c>
      <c r="AK114" s="168"/>
      <c r="AM114" s="43" t="s">
        <v>195</v>
      </c>
      <c r="AN114" s="18">
        <v>7.2325789003999996E-2</v>
      </c>
      <c r="AO114" s="18">
        <v>-2.2559300000000002E-3</v>
      </c>
      <c r="AP114" s="18">
        <v>-1.6381838000000001E-4</v>
      </c>
      <c r="AQ114" s="18">
        <v>3.1868442521436797E-8</v>
      </c>
      <c r="AR114" s="18">
        <v>3.46944695195361E-18</v>
      </c>
      <c r="AS114" s="2">
        <v>7.5277879592879097E-7</v>
      </c>
      <c r="AT114">
        <v>19</v>
      </c>
      <c r="AU114">
        <v>1</v>
      </c>
      <c r="AW114">
        <f>VLOOKUP(AT114,Constants!$B$15:$L$33,2,FALSE)</f>
        <v>0.99870131845225174</v>
      </c>
      <c r="AX114">
        <f>VLOOKUP(AT114,Constants!$B$15:$L$33,3,FALSE)</f>
        <v>1.8373671156545042E-5</v>
      </c>
    </row>
    <row r="115" spans="1:50" x14ac:dyDescent="0.2">
      <c r="B115" s="164"/>
      <c r="C115" s="123">
        <f t="shared" si="179"/>
        <v>7.2093480769999996E-2</v>
      </c>
      <c r="D115" s="123">
        <f t="shared" si="180"/>
        <v>3.2497523999999999E-6</v>
      </c>
      <c r="E115" s="123">
        <f t="shared" si="181"/>
        <v>-4.8200403999999998E-5</v>
      </c>
      <c r="F115" s="123">
        <f t="shared" si="182"/>
        <v>2.0967793336550701E-8</v>
      </c>
      <c r="G115" s="123">
        <f t="shared" si="183"/>
        <v>7.3596888835330603E-8</v>
      </c>
      <c r="H115" s="123">
        <f t="shared" si="184"/>
        <v>1.25737913868491E-7</v>
      </c>
      <c r="I115" s="124">
        <v>20.47</v>
      </c>
      <c r="J115" s="125">
        <f t="shared" si="185"/>
        <v>60.13749791910319</v>
      </c>
      <c r="K115" s="124">
        <f t="shared" si="197"/>
        <v>18.041788807174505</v>
      </c>
      <c r="L115" s="122">
        <v>50</v>
      </c>
      <c r="M115" s="122">
        <v>30</v>
      </c>
      <c r="N115" s="122">
        <v>0.83416000000000001</v>
      </c>
      <c r="O115" s="124">
        <f t="shared" si="186"/>
        <v>0.19999402020000001</v>
      </c>
      <c r="P115" s="124">
        <f t="shared" si="187"/>
        <v>0.1000646</v>
      </c>
      <c r="Q115" s="126">
        <v>1</v>
      </c>
      <c r="R115" s="52">
        <f>Q115*D115/C115/N115</f>
        <v>5.4038703179363363E-5</v>
      </c>
      <c r="S115" s="52">
        <f>Q115*E115/C115/N115</f>
        <v>-8.0150331603152253E-4</v>
      </c>
      <c r="T115" s="19">
        <f>M115*N115*O115/(P115*U115*L115)</f>
        <v>0.99951897406738954</v>
      </c>
      <c r="U115" s="19">
        <f>$AA$16</f>
        <v>1.0007972767333173</v>
      </c>
      <c r="V115" s="48">
        <f t="shared" si="196"/>
        <v>1.9151650451155946E-4</v>
      </c>
      <c r="W115" s="19">
        <f>R115+T115</f>
        <v>0.99957301277056887</v>
      </c>
      <c r="X115" s="2">
        <f>1000*(W115-1)</f>
        <v>-0.42698722943113054</v>
      </c>
      <c r="Y115" s="2">
        <f>1000*(S115-V115)</f>
        <v>-0.99301982054308202</v>
      </c>
      <c r="AA115" s="46">
        <f>100*-(X115-X113)/1000</f>
        <v>-9.8519520174367159E-3</v>
      </c>
      <c r="AB115" s="46">
        <f>100*-(Y115-Y113)/1000</f>
        <v>0.11305141775425645</v>
      </c>
      <c r="AC115" s="46"/>
      <c r="AD115" s="46" t="s">
        <v>201</v>
      </c>
      <c r="AE115" s="46"/>
      <c r="AF115" s="46"/>
      <c r="AG115" s="46"/>
      <c r="AH115" s="46"/>
      <c r="AI115" s="46"/>
      <c r="AJ115" s="168">
        <v>18.03</v>
      </c>
      <c r="AK115" s="168"/>
      <c r="AM115" s="43" t="s">
        <v>195</v>
      </c>
      <c r="AN115" s="18">
        <v>7.2093480769999996E-2</v>
      </c>
      <c r="AO115" s="18">
        <v>3.2497523999999999E-6</v>
      </c>
      <c r="AP115" s="18">
        <v>-4.8200403999999998E-5</v>
      </c>
      <c r="AQ115" s="18">
        <v>2.0967793336550701E-8</v>
      </c>
      <c r="AR115" s="18">
        <v>7.3596888835330603E-8</v>
      </c>
      <c r="AS115" s="2">
        <v>1.25737913868491E-7</v>
      </c>
      <c r="AT115">
        <v>13</v>
      </c>
      <c r="AU115">
        <v>1</v>
      </c>
      <c r="AW115">
        <f>VLOOKUP(AT115,Constants!$B$15:$L$33,2,FALSE)</f>
        <v>1.000409916282643</v>
      </c>
      <c r="AX115">
        <f>VLOOKUP(AT115,Constants!$B$15:$L$33,3,FALSE)</f>
        <v>-7.0507061346368138E-5</v>
      </c>
    </row>
    <row r="116" spans="1:50" x14ac:dyDescent="0.2">
      <c r="B116" s="164" t="s">
        <v>209</v>
      </c>
      <c r="C116" s="123">
        <f t="shared" si="179"/>
        <v>7.2100664932E-2</v>
      </c>
      <c r="D116" s="123">
        <f t="shared" si="180"/>
        <v>-2.3551290000000001E-4</v>
      </c>
      <c r="E116" s="123">
        <f t="shared" si="181"/>
        <v>0</v>
      </c>
      <c r="F116" s="123">
        <f t="shared" si="182"/>
        <v>1.39942442064286E-7</v>
      </c>
      <c r="G116" s="123">
        <f t="shared" si="183"/>
        <v>5.9109949247144499E-7</v>
      </c>
      <c r="H116" s="123">
        <f t="shared" si="184"/>
        <v>0</v>
      </c>
      <c r="I116" s="124">
        <v>20.47</v>
      </c>
      <c r="J116" s="125">
        <f t="shared" si="185"/>
        <v>60.14349065967712</v>
      </c>
      <c r="K116" s="124">
        <f t="shared" si="197"/>
        <v>18.043586683101374</v>
      </c>
      <c r="L116" s="122">
        <v>50</v>
      </c>
      <c r="M116" s="122">
        <v>30</v>
      </c>
      <c r="N116" s="122">
        <v>0.83416000000000001</v>
      </c>
      <c r="O116" s="124">
        <f t="shared" si="186"/>
        <v>0.19999402020000001</v>
      </c>
      <c r="P116" s="124">
        <f t="shared" si="187"/>
        <v>0.1000646</v>
      </c>
      <c r="Q116" s="126">
        <v>1</v>
      </c>
      <c r="R116" s="52">
        <f>Q116*D116/C116/N116</f>
        <v>-3.9158502011905731E-3</v>
      </c>
      <c r="S116" s="52">
        <f>Q116*E116/C116/N116</f>
        <v>0</v>
      </c>
      <c r="T116" s="19">
        <f>M116*N116*O116/(P116*U116*L116)</f>
        <v>0.99951897406738954</v>
      </c>
      <c r="U116" s="19">
        <f>$AA$16</f>
        <v>1.0007972767333173</v>
      </c>
      <c r="V116" s="48">
        <f t="shared" si="196"/>
        <v>1.9151650451155946E-4</v>
      </c>
      <c r="W116" s="19">
        <f>R116+T116</f>
        <v>0.99560312386619898</v>
      </c>
      <c r="X116" s="2">
        <f>1000*(W116-1)</f>
        <v>-4.3968761338010198</v>
      </c>
      <c r="Y116" s="2">
        <f>1000*(S116-V116)</f>
        <v>-0.19151650451155947</v>
      </c>
      <c r="AA116" s="46">
        <f>1000*-(X116-X113)/1000</f>
        <v>3.8713693841955221</v>
      </c>
      <c r="AB116" s="46">
        <f>1000*-(Y116-Y113)/1000</f>
        <v>0.32901086151104197</v>
      </c>
      <c r="AC116" s="46"/>
      <c r="AD116" s="46" t="s">
        <v>207</v>
      </c>
      <c r="AE116" s="46"/>
      <c r="AF116" s="46"/>
      <c r="AG116" s="46"/>
      <c r="AH116" s="46"/>
      <c r="AI116" s="46"/>
      <c r="AJ116" s="168">
        <v>18.04</v>
      </c>
      <c r="AK116" s="168"/>
      <c r="AM116" s="43" t="s">
        <v>195</v>
      </c>
      <c r="AN116" s="18">
        <v>7.2100664932E-2</v>
      </c>
      <c r="AO116" s="18">
        <v>-2.3551290000000001E-4</v>
      </c>
      <c r="AP116" s="18">
        <v>0</v>
      </c>
      <c r="AQ116" s="18">
        <v>1.39942442064286E-7</v>
      </c>
      <c r="AR116" s="18">
        <v>5.9109949247144499E-7</v>
      </c>
      <c r="AS116" s="2">
        <v>0</v>
      </c>
      <c r="AT116">
        <v>16</v>
      </c>
      <c r="AU116">
        <v>1</v>
      </c>
      <c r="AW116">
        <f>VLOOKUP(AT116,Constants!$B$15:$L$33,2,FALSE)</f>
        <v>0.9966633075004292</v>
      </c>
      <c r="AX116">
        <f>VLOOKUP(AT116,Constants!$B$15:$L$33,3,FALSE)</f>
        <v>5.1115740718113127E-6</v>
      </c>
    </row>
    <row r="117" spans="1:50" x14ac:dyDescent="0.2">
      <c r="R117" s="52"/>
      <c r="S117" s="52"/>
      <c r="T117" s="19"/>
      <c r="U117" s="19"/>
      <c r="V117" s="48"/>
      <c r="W117" s="19"/>
      <c r="X117" s="2"/>
      <c r="Y117" s="2"/>
      <c r="AB117" t="s">
        <v>64</v>
      </c>
      <c r="AE117" s="170" t="s">
        <v>202</v>
      </c>
    </row>
    <row r="118" spans="1:50" x14ac:dyDescent="0.2">
      <c r="A118">
        <f>ROW()</f>
        <v>118</v>
      </c>
      <c r="C118" s="5" t="str">
        <f>B122&amp;" range, "&amp;B124&amp;", vs shunts and 100 AT on "&amp;B126&amp;" range."</f>
        <v>75/1 range, l - 1200At(1A), vs shunts and 100 AT on 100/1 range.</v>
      </c>
      <c r="F118" s="18"/>
      <c r="G118" s="18"/>
      <c r="H118" s="18"/>
      <c r="J118" s="18"/>
      <c r="L118" s="18"/>
      <c r="M118" s="18"/>
      <c r="N118" s="18"/>
      <c r="R118" s="50"/>
      <c r="S118" s="50"/>
      <c r="V118" s="47"/>
      <c r="X118" s="19"/>
      <c r="Y118" s="19"/>
      <c r="Z118" t="s">
        <v>63</v>
      </c>
      <c r="AA118" t="s">
        <v>63</v>
      </c>
      <c r="AB118" t="s">
        <v>65</v>
      </c>
      <c r="AE118" s="170" t="s">
        <v>203</v>
      </c>
    </row>
    <row r="119" spans="1:50" x14ac:dyDescent="0.2">
      <c r="B119" s="4">
        <v>43377</v>
      </c>
      <c r="I119" s="2"/>
      <c r="J119" s="17"/>
      <c r="K119" s="2"/>
      <c r="L119" s="18"/>
      <c r="M119" s="18"/>
      <c r="N119" s="18"/>
      <c r="R119" s="52"/>
      <c r="S119" s="52"/>
      <c r="T119" s="19"/>
      <c r="U119" s="19"/>
      <c r="V119" s="48"/>
      <c r="W119" s="19"/>
      <c r="X119" t="s">
        <v>6</v>
      </c>
      <c r="Y119" t="s">
        <v>7</v>
      </c>
      <c r="Z119" t="s">
        <v>61</v>
      </c>
      <c r="AA119" t="s">
        <v>62</v>
      </c>
      <c r="AB119" t="s">
        <v>6</v>
      </c>
      <c r="AC119" t="s">
        <v>7</v>
      </c>
      <c r="AE119" s="170" t="s">
        <v>204</v>
      </c>
      <c r="AW119" s="43" t="s">
        <v>247</v>
      </c>
    </row>
    <row r="120" spans="1:50" x14ac:dyDescent="0.2">
      <c r="B120" s="43" t="s">
        <v>51</v>
      </c>
      <c r="C120" s="18">
        <f>AN120</f>
        <v>7.5094108682E-3</v>
      </c>
      <c r="D120" s="18">
        <f t="shared" ref="D120:D126" si="198">AO120</f>
        <v>2.1979276219999999E-7</v>
      </c>
      <c r="E120" s="18">
        <f t="shared" ref="E120:E126" si="199">AP120</f>
        <v>-5.4598377000000004E-7</v>
      </c>
      <c r="F120" s="18">
        <f t="shared" ref="F120:F126" si="200">AQ120</f>
        <v>2.6049582359026701E-8</v>
      </c>
      <c r="G120" s="18">
        <f t="shared" ref="G120:G126" si="201">AR120</f>
        <v>1.3206859863806501E-7</v>
      </c>
      <c r="H120" s="18">
        <f t="shared" ref="H120:H126" si="202">AS120</f>
        <v>1.63378808618245E-7</v>
      </c>
      <c r="I120" s="2">
        <v>20.52</v>
      </c>
      <c r="J120" s="17">
        <f t="shared" ref="J120:J136" si="203">100*C120/0.1*N120</f>
        <v>5.0113677958389289</v>
      </c>
      <c r="K120" s="2">
        <f>C120/O120*100</f>
        <v>3.7548176993943936</v>
      </c>
      <c r="L120">
        <v>100</v>
      </c>
      <c r="M120">
        <v>75</v>
      </c>
      <c r="N120">
        <v>0.66734499999999997</v>
      </c>
      <c r="O120" s="2">
        <f t="shared" ref="O120:O126" si="204">MSL0.2</f>
        <v>0.19999402020000001</v>
      </c>
      <c r="P120" s="2">
        <f t="shared" ref="P120:P126" si="205">Ti_969</f>
        <v>0.1000646</v>
      </c>
      <c r="Q120">
        <v>1</v>
      </c>
      <c r="R120" s="52">
        <f t="shared" ref="R120:R126" si="206">Q120*D120/C120/N120</f>
        <v>4.3858836779551431E-5</v>
      </c>
      <c r="S120" s="52">
        <f t="shared" ref="S120:S126" si="207">Q120*E120/C120/N120</f>
        <v>-1.0894905188426697E-4</v>
      </c>
      <c r="T120" s="19">
        <f t="shared" ref="T120:T126" si="208">M120*N120*O120/(P120*U120*L120)</f>
        <v>0.99954443654245306</v>
      </c>
      <c r="U120" s="19">
        <f t="shared" ref="U120:U126" si="209">$AA$16</f>
        <v>1.0007972767333173</v>
      </c>
      <c r="V120" s="48">
        <f>AA$17</f>
        <v>2.3329884646001238E-4</v>
      </c>
      <c r="W120" s="19">
        <f t="shared" ref="W120:W126" si="210">R120+T120</f>
        <v>0.99958829537923266</v>
      </c>
      <c r="X120" s="2">
        <f t="shared" ref="X120:X126" si="211">1000*(W120-1)</f>
        <v>-0.41170462076733916</v>
      </c>
      <c r="Y120" s="2">
        <f t="shared" ref="Y120:Y126" si="212">1000*(S120-V120)</f>
        <v>-0.34224789834427932</v>
      </c>
      <c r="Z120" s="51">
        <f t="shared" ref="Z120:Z126" si="213">((C120*N120)^2/P120-$AB$10)*$Z$28*0.001</f>
        <v>-2.6205822681953953E-6</v>
      </c>
      <c r="AA120" s="51">
        <f>(C120^2/O120-$Z$10)*$AB$5*0.001</f>
        <v>-4.8542503497217403E-7</v>
      </c>
      <c r="AB120" s="2">
        <f>0.5*(X120+X128)+AA120-Z120</f>
        <v>-0.40006812379332457</v>
      </c>
      <c r="AC120" s="2">
        <f t="shared" ref="AC120:AC126" si="214">0.5*(Y120+Y128)</f>
        <v>-0.190665691960508</v>
      </c>
      <c r="AD120" s="2"/>
      <c r="AE120" s="168">
        <v>3.74</v>
      </c>
      <c r="AM120" s="43" t="s">
        <v>194</v>
      </c>
      <c r="AN120" s="18">
        <v>7.5094108682E-3</v>
      </c>
      <c r="AO120" s="18">
        <v>2.1979276219999999E-7</v>
      </c>
      <c r="AP120" s="18">
        <v>-5.4598377000000004E-7</v>
      </c>
      <c r="AQ120" s="18">
        <v>2.6049582359026701E-8</v>
      </c>
      <c r="AR120" s="18">
        <v>1.3206859863806501E-7</v>
      </c>
      <c r="AS120" s="2">
        <v>1.63378808618245E-7</v>
      </c>
      <c r="AT120">
        <v>8</v>
      </c>
      <c r="AU120">
        <v>1</v>
      </c>
      <c r="AW120">
        <f>VLOOKUP(AT120,Constants!$B$15:$L$33,2,FALSE)</f>
        <v>0.99904738569924345</v>
      </c>
      <c r="AX120">
        <f>VLOOKUP(AT120,Constants!$B$15:$L$33,3,FALSE)</f>
        <v>-1.1844458223459616E-2</v>
      </c>
    </row>
    <row r="121" spans="1:50" x14ac:dyDescent="0.2">
      <c r="B121" s="5" t="s">
        <v>110</v>
      </c>
      <c r="C121" s="18">
        <f t="shared" ref="C121:C126" si="215">AN121</f>
        <v>1.505656224E-2</v>
      </c>
      <c r="D121" s="18">
        <f t="shared" si="198"/>
        <v>4.8807864799999998E-7</v>
      </c>
      <c r="E121" s="18">
        <f t="shared" si="199"/>
        <v>-1.1534468800000001E-6</v>
      </c>
      <c r="F121" s="18">
        <f t="shared" si="200"/>
        <v>8.5195162186428598E-8</v>
      </c>
      <c r="G121" s="18">
        <f t="shared" si="201"/>
        <v>1.6238652626183899E-7</v>
      </c>
      <c r="H121" s="18">
        <f t="shared" si="202"/>
        <v>1.5464248870173301E-7</v>
      </c>
      <c r="I121" s="2">
        <v>20.53</v>
      </c>
      <c r="J121" s="17">
        <f t="shared" si="203"/>
        <v>10.0479215280528</v>
      </c>
      <c r="K121" s="2">
        <f t="shared" ref="K121:K136" si="216">C121/O121*100</f>
        <v>7.5285062148073161</v>
      </c>
      <c r="L121">
        <v>100</v>
      </c>
      <c r="M121">
        <v>75</v>
      </c>
      <c r="N121">
        <v>0.66734499999999997</v>
      </c>
      <c r="O121" s="2">
        <f t="shared" si="204"/>
        <v>0.19999402020000001</v>
      </c>
      <c r="P121" s="2">
        <f t="shared" si="205"/>
        <v>0.1000646</v>
      </c>
      <c r="Q121">
        <v>1</v>
      </c>
      <c r="R121" s="52">
        <f t="shared" si="206"/>
        <v>4.8575085567431316E-5</v>
      </c>
      <c r="S121" s="52">
        <f t="shared" si="207"/>
        <v>-1.1479457485607256E-4</v>
      </c>
      <c r="T121" s="19">
        <f t="shared" si="208"/>
        <v>0.99954443654245306</v>
      </c>
      <c r="U121" s="19">
        <f t="shared" si="209"/>
        <v>1.0007972767333173</v>
      </c>
      <c r="V121" s="48">
        <f t="shared" ref="V121:V126" si="217">AA$17</f>
        <v>2.3329884646001238E-4</v>
      </c>
      <c r="W121" s="19">
        <f t="shared" si="210"/>
        <v>0.9995930116280205</v>
      </c>
      <c r="X121" s="2">
        <f t="shared" si="211"/>
        <v>-0.40698837197949977</v>
      </c>
      <c r="Y121" s="2">
        <f t="shared" si="212"/>
        <v>-0.34809342131608495</v>
      </c>
      <c r="Z121" s="51">
        <f t="shared" si="213"/>
        <v>-5.1160693880510457E-8</v>
      </c>
      <c r="AA121" s="51">
        <f t="shared" ref="AA121:AA126" si="218">(C121^2/O121-$Z$10)*$AB$5*0.001</f>
        <v>1.3113866850917336E-6</v>
      </c>
      <c r="AB121" s="2">
        <f t="shared" ref="AB121:AB126" si="219">0.5*(X121+X129)+AA121-Z121</f>
        <v>-0.40465107141382667</v>
      </c>
      <c r="AC121" s="2">
        <f t="shared" si="214"/>
        <v>-0.20122676528105393</v>
      </c>
      <c r="AD121" s="2"/>
      <c r="AE121" s="168">
        <v>7.51</v>
      </c>
      <c r="AM121" s="43" t="s">
        <v>194</v>
      </c>
      <c r="AN121" s="18">
        <v>1.505656224E-2</v>
      </c>
      <c r="AO121" s="18">
        <v>4.8807864799999998E-7</v>
      </c>
      <c r="AP121" s="18">
        <v>-1.1534468800000001E-6</v>
      </c>
      <c r="AQ121" s="18">
        <v>8.5195162186428598E-8</v>
      </c>
      <c r="AR121" s="18">
        <v>1.6238652626183899E-7</v>
      </c>
      <c r="AS121" s="2">
        <v>1.5464248870173301E-7</v>
      </c>
      <c r="AT121">
        <v>9</v>
      </c>
      <c r="AU121">
        <v>1</v>
      </c>
      <c r="AW121">
        <f>VLOOKUP(AT121,Constants!$B$15:$L$33,2,FALSE)</f>
        <v>0.99371490585295241</v>
      </c>
      <c r="AX121">
        <f>VLOOKUP(AT121,Constants!$B$15:$L$33,3,FALSE)</f>
        <v>1.4986286639243325E-2</v>
      </c>
    </row>
    <row r="122" spans="1:50" x14ac:dyDescent="0.2">
      <c r="B122" s="161" t="s">
        <v>213</v>
      </c>
      <c r="C122" s="18">
        <f t="shared" si="215"/>
        <v>3.0067120395999999E-2</v>
      </c>
      <c r="D122" s="18">
        <f t="shared" si="198"/>
        <v>8.9227966999999996E-7</v>
      </c>
      <c r="E122" s="18">
        <f t="shared" si="199"/>
        <v>-2.3928471E-6</v>
      </c>
      <c r="F122" s="18">
        <f t="shared" si="200"/>
        <v>3.8772573943118802E-8</v>
      </c>
      <c r="G122" s="18">
        <f t="shared" si="201"/>
        <v>1.56401650443981E-7</v>
      </c>
      <c r="H122" s="18">
        <f t="shared" si="202"/>
        <v>1.44607665836186E-7</v>
      </c>
      <c r="I122" s="2">
        <v>20.53</v>
      </c>
      <c r="J122" s="17">
        <f t="shared" si="203"/>
        <v>20.065142460668618</v>
      </c>
      <c r="K122" s="2">
        <f t="shared" si="216"/>
        <v>15.034009699856016</v>
      </c>
      <c r="L122">
        <v>100</v>
      </c>
      <c r="M122">
        <v>75</v>
      </c>
      <c r="N122">
        <v>0.66734499999999997</v>
      </c>
      <c r="O122" s="2">
        <f t="shared" si="204"/>
        <v>0.19999402020000001</v>
      </c>
      <c r="P122" s="2">
        <f t="shared" si="205"/>
        <v>0.1000646</v>
      </c>
      <c r="Q122">
        <v>1</v>
      </c>
      <c r="R122" s="52">
        <f t="shared" si="206"/>
        <v>4.4469142033206726E-5</v>
      </c>
      <c r="S122" s="52">
        <f t="shared" si="207"/>
        <v>-1.1925393027686805E-4</v>
      </c>
      <c r="T122" s="19">
        <f t="shared" si="208"/>
        <v>0.99954443654245306</v>
      </c>
      <c r="U122" s="19">
        <f t="shared" si="209"/>
        <v>1.0007972767333173</v>
      </c>
      <c r="V122" s="48">
        <f t="shared" si="217"/>
        <v>2.3329884646001238E-4</v>
      </c>
      <c r="W122" s="19">
        <f t="shared" si="210"/>
        <v>0.99958890568448622</v>
      </c>
      <c r="X122" s="2">
        <f t="shared" si="211"/>
        <v>-0.4110943155137825</v>
      </c>
      <c r="Y122" s="2">
        <f t="shared" si="212"/>
        <v>-0.35255277673688046</v>
      </c>
      <c r="Z122" s="51">
        <f t="shared" si="213"/>
        <v>1.0167632663447524E-5</v>
      </c>
      <c r="AA122" s="51">
        <f t="shared" si="218"/>
        <v>8.4574493837573252E-6</v>
      </c>
      <c r="AB122" s="2">
        <f t="shared" si="219"/>
        <v>-0.40817129824272791</v>
      </c>
      <c r="AC122" s="2">
        <f t="shared" si="214"/>
        <v>-0.20577097245476292</v>
      </c>
      <c r="AD122" s="2"/>
      <c r="AE122" s="168">
        <v>15.04</v>
      </c>
      <c r="AM122" s="43" t="s">
        <v>194</v>
      </c>
      <c r="AN122" s="18">
        <v>3.0067120395999999E-2</v>
      </c>
      <c r="AO122" s="18">
        <v>8.9227966999999996E-7</v>
      </c>
      <c r="AP122" s="18">
        <v>-2.3928471E-6</v>
      </c>
      <c r="AQ122" s="18">
        <v>3.8772573943118802E-8</v>
      </c>
      <c r="AR122" s="18">
        <v>1.56401650443981E-7</v>
      </c>
      <c r="AS122" s="2">
        <v>1.44607665836186E-7</v>
      </c>
      <c r="AT122">
        <v>10</v>
      </c>
      <c r="AU122">
        <v>1</v>
      </c>
      <c r="AW122">
        <f>VLOOKUP(AT122,Constants!$B$15:$L$33,2,FALSE)</f>
        <v>0.99248924126722049</v>
      </c>
      <c r="AX122">
        <f>VLOOKUP(AT122,Constants!$B$15:$L$33,3,FALSE)</f>
        <v>-2.7303958893031477E-4</v>
      </c>
    </row>
    <row r="123" spans="1:50" x14ac:dyDescent="0.2">
      <c r="B123" s="67" t="s">
        <v>112</v>
      </c>
      <c r="C123" s="18">
        <f t="shared" si="215"/>
        <v>5.9992996967999999E-2</v>
      </c>
      <c r="D123" s="18">
        <f t="shared" si="198"/>
        <v>1.7478976999999999E-6</v>
      </c>
      <c r="E123" s="18">
        <f t="shared" si="199"/>
        <v>-5.0052099999999998E-6</v>
      </c>
      <c r="F123" s="18">
        <f t="shared" si="200"/>
        <v>4.2041775413096802E-8</v>
      </c>
      <c r="G123" s="18">
        <f t="shared" si="201"/>
        <v>1.2923893288676599E-7</v>
      </c>
      <c r="H123" s="18">
        <f t="shared" si="202"/>
        <v>1.65112863290538E-7</v>
      </c>
      <c r="I123" s="2">
        <v>20.53</v>
      </c>
      <c r="J123" s="17">
        <f t="shared" si="203"/>
        <v>40.036026561609951</v>
      </c>
      <c r="K123" s="2">
        <f t="shared" si="216"/>
        <v>29.997395376124349</v>
      </c>
      <c r="L123">
        <v>100</v>
      </c>
      <c r="M123">
        <v>75</v>
      </c>
      <c r="N123">
        <v>0.66734499999999997</v>
      </c>
      <c r="O123" s="2">
        <f t="shared" si="204"/>
        <v>0.19999402020000001</v>
      </c>
      <c r="P123" s="2">
        <f t="shared" si="205"/>
        <v>0.1000646</v>
      </c>
      <c r="Q123">
        <v>1</v>
      </c>
      <c r="R123" s="52">
        <f t="shared" si="206"/>
        <v>4.3658121200170174E-5</v>
      </c>
      <c r="S123" s="52">
        <f t="shared" si="207"/>
        <v>-1.2501765109726031E-4</v>
      </c>
      <c r="T123" s="19">
        <f t="shared" si="208"/>
        <v>0.99954443654245306</v>
      </c>
      <c r="U123" s="19">
        <f t="shared" si="209"/>
        <v>1.0007972767333173</v>
      </c>
      <c r="V123" s="48">
        <f t="shared" si="217"/>
        <v>2.3329884646001238E-4</v>
      </c>
      <c r="W123" s="19">
        <f t="shared" si="210"/>
        <v>0.99958809466365328</v>
      </c>
      <c r="X123" s="2">
        <f t="shared" si="211"/>
        <v>-0.41190533634671844</v>
      </c>
      <c r="Y123" s="2">
        <f t="shared" si="212"/>
        <v>-0.35831649755727268</v>
      </c>
      <c r="Z123" s="51">
        <f t="shared" si="213"/>
        <v>5.0828592699647318E-5</v>
      </c>
      <c r="AA123" s="51">
        <f t="shared" si="218"/>
        <v>3.6891899484292045E-5</v>
      </c>
      <c r="AB123" s="2">
        <f t="shared" si="219"/>
        <v>-0.40953711281829708</v>
      </c>
      <c r="AC123" s="2">
        <f t="shared" si="214"/>
        <v>-0.1936704694968896</v>
      </c>
      <c r="AD123" s="2"/>
      <c r="AE123" s="168">
        <v>30.01</v>
      </c>
      <c r="AM123" s="43" t="s">
        <v>194</v>
      </c>
      <c r="AN123" s="18">
        <v>5.9992996967999999E-2</v>
      </c>
      <c r="AO123" s="18">
        <v>1.7478976999999999E-6</v>
      </c>
      <c r="AP123" s="18">
        <v>-5.0052099999999998E-6</v>
      </c>
      <c r="AQ123" s="18">
        <v>4.2041775413096802E-8</v>
      </c>
      <c r="AR123" s="18">
        <v>1.2923893288676599E-7</v>
      </c>
      <c r="AS123" s="2">
        <v>1.65112863290538E-7</v>
      </c>
      <c r="AT123">
        <v>10</v>
      </c>
      <c r="AU123">
        <v>1</v>
      </c>
      <c r="AW123">
        <f>VLOOKUP(AT123,Constants!$B$15:$L$33,2,FALSE)</f>
        <v>0.99248924126722049</v>
      </c>
      <c r="AX123">
        <f>VLOOKUP(AT123,Constants!$B$15:$L$33,3,FALSE)</f>
        <v>-2.7303958893031477E-4</v>
      </c>
    </row>
    <row r="124" spans="1:50" ht="13.5" x14ac:dyDescent="0.25">
      <c r="B124" s="163" t="s">
        <v>212</v>
      </c>
      <c r="C124" s="18">
        <f t="shared" si="215"/>
        <v>9.0089655980000002E-2</v>
      </c>
      <c r="D124" s="18">
        <f t="shared" si="198"/>
        <v>2.4635905999999998E-6</v>
      </c>
      <c r="E124" s="18">
        <f t="shared" si="199"/>
        <v>-6.0503819999999996E-6</v>
      </c>
      <c r="F124" s="18">
        <f t="shared" si="200"/>
        <v>2.9150941354731E-7</v>
      </c>
      <c r="G124" s="18">
        <f t="shared" si="201"/>
        <v>1.6614623451538099E-7</v>
      </c>
      <c r="H124" s="18">
        <f t="shared" si="202"/>
        <v>1.6014265614850999E-6</v>
      </c>
      <c r="I124" s="2">
        <v>20.54</v>
      </c>
      <c r="J124" s="17">
        <f t="shared" si="203"/>
        <v>60.120881469973092</v>
      </c>
      <c r="K124" s="2">
        <f t="shared" si="216"/>
        <v>45.046174825581112</v>
      </c>
      <c r="L124">
        <v>100</v>
      </c>
      <c r="M124">
        <v>75</v>
      </c>
      <c r="N124">
        <v>0.66734499999999997</v>
      </c>
      <c r="O124" s="2">
        <f t="shared" si="204"/>
        <v>0.19999402020000001</v>
      </c>
      <c r="P124" s="2">
        <f t="shared" si="205"/>
        <v>0.1000646</v>
      </c>
      <c r="Q124">
        <v>1</v>
      </c>
      <c r="R124" s="52">
        <f t="shared" si="206"/>
        <v>4.0977286755691042E-5</v>
      </c>
      <c r="S124" s="52">
        <f t="shared" si="207"/>
        <v>-1.0063694763061343E-4</v>
      </c>
      <c r="T124" s="19">
        <f t="shared" si="208"/>
        <v>0.99954443654245306</v>
      </c>
      <c r="U124" s="19">
        <f t="shared" si="209"/>
        <v>1.0007972767333173</v>
      </c>
      <c r="V124" s="48">
        <f t="shared" si="217"/>
        <v>2.3329884646001238E-4</v>
      </c>
      <c r="W124" s="19">
        <f t="shared" si="210"/>
        <v>0.99958541382920874</v>
      </c>
      <c r="X124" s="2">
        <f t="shared" si="211"/>
        <v>-0.41458617079126459</v>
      </c>
      <c r="Y124" s="2">
        <f t="shared" si="212"/>
        <v>-0.33393579409062585</v>
      </c>
      <c r="Z124" s="51">
        <f t="shared" si="213"/>
        <v>1.1897563716950197E-4</v>
      </c>
      <c r="AA124" s="51">
        <f t="shared" si="218"/>
        <v>8.4547531170112522E-5</v>
      </c>
      <c r="AB124" s="2">
        <f t="shared" si="219"/>
        <v>-0.41294888863865342</v>
      </c>
      <c r="AC124" s="2">
        <f t="shared" si="214"/>
        <v>-0.19216688320762837</v>
      </c>
      <c r="AD124" s="2"/>
      <c r="AE124" s="169">
        <v>45.1</v>
      </c>
      <c r="AM124" s="43" t="s">
        <v>194</v>
      </c>
      <c r="AN124" s="18">
        <v>9.0089655980000002E-2</v>
      </c>
      <c r="AO124" s="18">
        <v>2.4635905999999998E-6</v>
      </c>
      <c r="AP124" s="18">
        <v>-6.0503819999999996E-6</v>
      </c>
      <c r="AQ124" s="18">
        <v>2.9150941354731E-7</v>
      </c>
      <c r="AR124" s="18">
        <v>1.6614623451538099E-7</v>
      </c>
      <c r="AS124" s="2">
        <v>1.6014265614850999E-6</v>
      </c>
      <c r="AT124">
        <v>11</v>
      </c>
      <c r="AU124">
        <v>1</v>
      </c>
      <c r="AW124">
        <f>VLOOKUP(AT124,Constants!$B$15:$L$33,2,FALSE)</f>
        <v>1.0014538869894722</v>
      </c>
      <c r="AX124">
        <f>VLOOKUP(AT124,Constants!$B$15:$L$33,3,FALSE)</f>
        <v>-1.6494401832275451E-4</v>
      </c>
    </row>
    <row r="125" spans="1:50" x14ac:dyDescent="0.2">
      <c r="B125" s="66" t="s">
        <v>111</v>
      </c>
      <c r="C125" s="18">
        <f t="shared" si="215"/>
        <v>0.15021473324000001</v>
      </c>
      <c r="D125" s="18">
        <f t="shared" si="198"/>
        <v>3.5112878E-6</v>
      </c>
      <c r="E125" s="18">
        <f t="shared" si="199"/>
        <v>-7.9783215999999999E-6</v>
      </c>
      <c r="F125" s="18">
        <f t="shared" si="200"/>
        <v>1.1156774847678E-6</v>
      </c>
      <c r="G125" s="18">
        <f t="shared" si="201"/>
        <v>1.44507063755237E-7</v>
      </c>
      <c r="H125" s="18">
        <f t="shared" si="202"/>
        <v>1.3856525597508201E-7</v>
      </c>
      <c r="I125" s="2">
        <v>20.54</v>
      </c>
      <c r="J125" s="17">
        <f t="shared" si="203"/>
        <v>100.24505115404779</v>
      </c>
      <c r="K125" s="2">
        <f t="shared" si="216"/>
        <v>75.10961232229883</v>
      </c>
      <c r="L125">
        <v>100</v>
      </c>
      <c r="M125">
        <v>75</v>
      </c>
      <c r="N125">
        <v>0.66734499999999997</v>
      </c>
      <c r="O125" s="2">
        <f t="shared" si="204"/>
        <v>0.19999402020000001</v>
      </c>
      <c r="P125" s="2">
        <f t="shared" si="205"/>
        <v>0.1000646</v>
      </c>
      <c r="Q125">
        <v>1</v>
      </c>
      <c r="R125" s="52">
        <f t="shared" si="206"/>
        <v>3.5027043824878305E-5</v>
      </c>
      <c r="S125" s="52">
        <f t="shared" si="207"/>
        <v>-7.9588184236043885E-5</v>
      </c>
      <c r="T125" s="19">
        <f t="shared" si="208"/>
        <v>0.99954443654245306</v>
      </c>
      <c r="U125" s="19">
        <f t="shared" si="209"/>
        <v>1.0007972767333173</v>
      </c>
      <c r="V125" s="48">
        <f t="shared" si="217"/>
        <v>2.3329884646001238E-4</v>
      </c>
      <c r="W125" s="19">
        <f t="shared" si="210"/>
        <v>0.99957946358627792</v>
      </c>
      <c r="X125" s="2">
        <f t="shared" si="211"/>
        <v>-0.4205364137220835</v>
      </c>
      <c r="Y125" s="2">
        <f t="shared" si="212"/>
        <v>-0.31288703069605622</v>
      </c>
      <c r="Z125" s="51">
        <f t="shared" si="213"/>
        <v>3.3695510616931309E-4</v>
      </c>
      <c r="AA125" s="51">
        <f t="shared" si="218"/>
        <v>2.3698186446421306E-4</v>
      </c>
      <c r="AB125" s="2">
        <f t="shared" si="219"/>
        <v>-0.41883706532027448</v>
      </c>
      <c r="AC125" s="2">
        <f t="shared" si="214"/>
        <v>-0.21062149083582715</v>
      </c>
      <c r="AD125" s="2"/>
      <c r="AE125" s="169"/>
      <c r="AM125" s="43" t="s">
        <v>194</v>
      </c>
      <c r="AN125" s="18">
        <v>0.15021473324000001</v>
      </c>
      <c r="AO125" s="18">
        <v>3.5112878E-6</v>
      </c>
      <c r="AP125" s="18">
        <v>-7.9783215999999999E-6</v>
      </c>
      <c r="AQ125" s="18">
        <v>1.1156774847678E-6</v>
      </c>
      <c r="AR125" s="18">
        <v>1.44507063755237E-7</v>
      </c>
      <c r="AS125" s="2">
        <v>1.3856525597508201E-7</v>
      </c>
      <c r="AT125">
        <v>11</v>
      </c>
      <c r="AU125">
        <v>1</v>
      </c>
      <c r="AW125">
        <f>VLOOKUP(AT125,Constants!$B$15:$L$33,2,FALSE)</f>
        <v>1.0014538869894722</v>
      </c>
      <c r="AX125">
        <f>VLOOKUP(AT125,Constants!$B$15:$L$33,3,FALSE)</f>
        <v>-1.6494401832275451E-4</v>
      </c>
    </row>
    <row r="126" spans="1:50" x14ac:dyDescent="0.2">
      <c r="B126" s="162" t="s">
        <v>214</v>
      </c>
      <c r="C126" s="18">
        <f t="shared" si="215"/>
        <v>0.18071697510000001</v>
      </c>
      <c r="D126" s="18">
        <f t="shared" si="198"/>
        <v>4.0790344999999996E-6</v>
      </c>
      <c r="E126" s="18">
        <f t="shared" si="199"/>
        <v>-9.7284439000000003E-6</v>
      </c>
      <c r="F126" s="18">
        <f t="shared" si="200"/>
        <v>1.00963451659954E-6</v>
      </c>
      <c r="G126" s="18">
        <f t="shared" si="201"/>
        <v>1.56599440416465E-7</v>
      </c>
      <c r="H126" s="18">
        <f t="shared" si="202"/>
        <v>1.70330319273434E-7</v>
      </c>
      <c r="I126" s="2">
        <v>20.54</v>
      </c>
      <c r="J126" s="17">
        <f t="shared" si="203"/>
        <v>120.60056974810948</v>
      </c>
      <c r="K126" s="2">
        <f t="shared" si="216"/>
        <v>90.361189259197658</v>
      </c>
      <c r="L126">
        <v>100</v>
      </c>
      <c r="M126">
        <v>75</v>
      </c>
      <c r="N126">
        <v>0.66734499999999997</v>
      </c>
      <c r="O126" s="2">
        <f t="shared" si="204"/>
        <v>0.19999402020000001</v>
      </c>
      <c r="P126" s="2">
        <f t="shared" si="205"/>
        <v>0.1000646</v>
      </c>
      <c r="Q126">
        <v>1</v>
      </c>
      <c r="R126" s="52">
        <f t="shared" si="206"/>
        <v>3.3822680179037391E-5</v>
      </c>
      <c r="S126" s="52">
        <f t="shared" si="207"/>
        <v>-8.0666649588133476E-5</v>
      </c>
      <c r="T126" s="19">
        <f t="shared" si="208"/>
        <v>0.99954443654245306</v>
      </c>
      <c r="U126" s="19">
        <f t="shared" si="209"/>
        <v>1.0007972767333173</v>
      </c>
      <c r="V126" s="48">
        <f t="shared" si="217"/>
        <v>2.3329884646001238E-4</v>
      </c>
      <c r="W126" s="19">
        <f t="shared" si="210"/>
        <v>0.9995782592226321</v>
      </c>
      <c r="X126" s="2">
        <f t="shared" si="211"/>
        <v>-0.42174077736789606</v>
      </c>
      <c r="Y126" s="2">
        <f t="shared" si="212"/>
        <v>-0.31396549604814583</v>
      </c>
      <c r="Z126" s="51">
        <f t="shared" si="213"/>
        <v>4.8924405223629646E-4</v>
      </c>
      <c r="AA126" s="51">
        <f t="shared" si="218"/>
        <v>3.4347842612801811E-4</v>
      </c>
      <c r="AB126" s="2">
        <f t="shared" si="219"/>
        <v>-0.41993215654549376</v>
      </c>
      <c r="AC126" s="2">
        <f t="shared" si="214"/>
        <v>-0.21351626702480875</v>
      </c>
      <c r="AD126" s="2"/>
      <c r="AE126" s="168"/>
      <c r="AM126" s="43" t="s">
        <v>194</v>
      </c>
      <c r="AN126" s="18">
        <v>0.18071697510000001</v>
      </c>
      <c r="AO126" s="18">
        <v>4.0790344999999996E-6</v>
      </c>
      <c r="AP126" s="18">
        <v>-9.7284439000000003E-6</v>
      </c>
      <c r="AQ126" s="18">
        <v>1.00963451659954E-6</v>
      </c>
      <c r="AR126" s="18">
        <v>1.56599440416465E-7</v>
      </c>
      <c r="AS126" s="2">
        <v>1.70330319273434E-7</v>
      </c>
      <c r="AT126">
        <v>11</v>
      </c>
      <c r="AU126">
        <v>1</v>
      </c>
      <c r="AW126">
        <f>VLOOKUP(AT126,Constants!$B$15:$L$33,2,FALSE)</f>
        <v>1.0014538869894722</v>
      </c>
      <c r="AX126">
        <f>VLOOKUP(AT126,Constants!$B$15:$L$33,3,FALSE)</f>
        <v>-1.6494401832275451E-4</v>
      </c>
    </row>
    <row r="127" spans="1:50" x14ac:dyDescent="0.2">
      <c r="I127" s="2"/>
      <c r="J127" s="17"/>
      <c r="K127" s="2"/>
      <c r="O127" s="2"/>
      <c r="P127" s="2"/>
      <c r="R127" s="52"/>
      <c r="S127" s="52"/>
      <c r="T127" s="19"/>
      <c r="U127" s="19"/>
      <c r="V127" s="48"/>
      <c r="W127" s="19"/>
      <c r="X127" s="2"/>
      <c r="Y127" s="2"/>
      <c r="AA127" s="2"/>
      <c r="AB127" s="2"/>
      <c r="AE127" s="168"/>
    </row>
    <row r="128" spans="1:50" x14ac:dyDescent="0.2">
      <c r="B128" s="43" t="s">
        <v>52</v>
      </c>
      <c r="C128" s="18">
        <f t="shared" ref="C128:C138" si="220">AN128</f>
        <v>7.5041484456E-3</v>
      </c>
      <c r="D128" s="18">
        <f t="shared" ref="D128:D138" si="221">AO128</f>
        <v>3.3616515244999998E-7</v>
      </c>
      <c r="E128" s="18">
        <f t="shared" ref="E128:E138" si="222">AP128</f>
        <v>7.6336260000000004E-7</v>
      </c>
      <c r="F128" s="18">
        <f t="shared" ref="F128:F138" si="223">AQ128</f>
        <v>3.2149258277888801E-8</v>
      </c>
      <c r="G128" s="18">
        <f t="shared" ref="G128:G138" si="224">AR128</f>
        <v>2.0613741156715701E-7</v>
      </c>
      <c r="H128" s="18">
        <f t="shared" ref="H128:H138" si="225">AS128</f>
        <v>1.6172048785252899E-7</v>
      </c>
      <c r="I128" s="2">
        <v>20.55</v>
      </c>
      <c r="J128" s="17">
        <f t="shared" si="203"/>
        <v>5.0078559444289317</v>
      </c>
      <c r="K128" s="2">
        <f t="shared" si="216"/>
        <v>3.752186409421455</v>
      </c>
      <c r="L128">
        <v>100</v>
      </c>
      <c r="M128">
        <v>75</v>
      </c>
      <c r="N128">
        <v>0.66734499999999997</v>
      </c>
      <c r="O128" s="2">
        <f t="shared" ref="O128:O138" si="226">MSL0.2</f>
        <v>0.19999402020000001</v>
      </c>
      <c r="P128" s="2">
        <f t="shared" ref="P128:P138" si="227">Ti_969</f>
        <v>0.1000646</v>
      </c>
      <c r="Q128">
        <v>1</v>
      </c>
      <c r="R128" s="52">
        <f t="shared" ref="R128:R134" si="228">Q128*D128/C128/N128</f>
        <v>6.7127560413148907E-5</v>
      </c>
      <c r="S128" s="52">
        <f t="shared" ref="S128:S134" si="229">Q128*E128/C128/N128</f>
        <v>1.5243301893482275E-4</v>
      </c>
      <c r="T128" s="19">
        <f t="shared" ref="T128:T134" si="230">M128*N128*O128/(P128*U128*L128)</f>
        <v>0.99954443654245306</v>
      </c>
      <c r="U128" s="19">
        <f t="shared" ref="U128:U135" si="231">$AA$16</f>
        <v>1.0007972767333173</v>
      </c>
      <c r="V128" s="48">
        <f>$AA$26</f>
        <v>1.9151650451155946E-4</v>
      </c>
      <c r="W128" s="19">
        <f t="shared" ref="W128:W134" si="232">R128+T128</f>
        <v>0.99961156410286622</v>
      </c>
      <c r="X128" s="2">
        <f t="shared" ref="X128:X134" si="233">1000*(W128-1)</f>
        <v>-0.38843589713377646</v>
      </c>
      <c r="Y128" s="2">
        <f t="shared" ref="Y128:Y134" si="234">1000*(S128-V128)</f>
        <v>-3.9083485576736701E-2</v>
      </c>
      <c r="Z128" s="51">
        <f t="shared" ref="Z128:Z134" si="235">((C128*N128)^2/P128-$AB$10)*$Z$28*0.001</f>
        <v>-2.6217742445074111E-6</v>
      </c>
      <c r="AA128" s="51">
        <f>(C128^2/O128-$Z$10)*$AB$5*0.001</f>
        <v>-4.8625859106467302E-7</v>
      </c>
      <c r="AD128" s="18"/>
      <c r="AE128" s="168">
        <v>3.74</v>
      </c>
      <c r="AF128" s="3"/>
      <c r="AM128" s="43" t="s">
        <v>195</v>
      </c>
      <c r="AN128" s="18">
        <v>7.5041484456E-3</v>
      </c>
      <c r="AO128" s="18">
        <v>3.3616515244999998E-7</v>
      </c>
      <c r="AP128" s="18">
        <v>7.6336260000000004E-7</v>
      </c>
      <c r="AQ128" s="18">
        <v>3.2149258277888801E-8</v>
      </c>
      <c r="AR128" s="18">
        <v>2.0613741156715701E-7</v>
      </c>
      <c r="AS128" s="2">
        <v>1.6172048785252899E-7</v>
      </c>
      <c r="AT128">
        <v>10</v>
      </c>
      <c r="AU128">
        <v>1</v>
      </c>
      <c r="AW128">
        <f>VLOOKUP(AT128,Constants!$B$15:$L$33,2,FALSE)</f>
        <v>0.99248924126722049</v>
      </c>
      <c r="AX128">
        <f>VLOOKUP(AT128,Constants!$B$15:$L$33,3,FALSE)</f>
        <v>-2.7303958893031477E-4</v>
      </c>
    </row>
    <row r="129" spans="2:50" x14ac:dyDescent="0.2">
      <c r="C129" s="18">
        <f t="shared" si="220"/>
        <v>1.5042953062E-2</v>
      </c>
      <c r="D129" s="18">
        <f t="shared" si="221"/>
        <v>5.34537702E-7</v>
      </c>
      <c r="E129" s="18">
        <f t="shared" si="222"/>
        <v>1.37689104E-6</v>
      </c>
      <c r="F129" s="18">
        <f t="shared" si="223"/>
        <v>8.3641774906494597E-8</v>
      </c>
      <c r="G129" s="18">
        <f t="shared" si="224"/>
        <v>2.1455091145626599E-7</v>
      </c>
      <c r="H129" s="18">
        <f t="shared" si="225"/>
        <v>1.9909011713462399E-7</v>
      </c>
      <c r="I129" s="2">
        <v>20.55</v>
      </c>
      <c r="J129" s="17">
        <f t="shared" si="203"/>
        <v>10.038839511160388</v>
      </c>
      <c r="K129" s="2">
        <f t="shared" si="216"/>
        <v>7.5217014223508265</v>
      </c>
      <c r="L129">
        <v>100</v>
      </c>
      <c r="M129">
        <v>75</v>
      </c>
      <c r="N129">
        <v>0.66734499999999997</v>
      </c>
      <c r="O129" s="2">
        <f t="shared" si="226"/>
        <v>0.19999402020000001</v>
      </c>
      <c r="P129" s="2">
        <f t="shared" si="227"/>
        <v>0.1000646</v>
      </c>
      <c r="Q129">
        <v>1</v>
      </c>
      <c r="R129" s="52">
        <f t="shared" si="228"/>
        <v>5.3246961604052256E-5</v>
      </c>
      <c r="S129" s="52">
        <f t="shared" si="229"/>
        <v>1.3715639526553654E-4</v>
      </c>
      <c r="T129" s="19">
        <f t="shared" si="230"/>
        <v>0.99954443654245306</v>
      </c>
      <c r="U129" s="19">
        <f t="shared" si="231"/>
        <v>1.0007972767333173</v>
      </c>
      <c r="V129" s="48">
        <f t="shared" ref="V129:V138" si="236">$AA$26</f>
        <v>1.9151650451155946E-4</v>
      </c>
      <c r="W129" s="19">
        <f t="shared" si="232"/>
        <v>0.99959768350405709</v>
      </c>
      <c r="X129" s="2">
        <f t="shared" si="233"/>
        <v>-0.40231649594291152</v>
      </c>
      <c r="Y129" s="2">
        <f t="shared" si="234"/>
        <v>-5.4360109246022914E-2</v>
      </c>
      <c r="Z129" s="51">
        <f t="shared" si="235"/>
        <v>-5.734071040080536E-8</v>
      </c>
      <c r="AA129" s="51">
        <f t="shared" ref="AA129:AA134" si="237">(C129^2/O129-$Z$10)*$AB$5*0.001</f>
        <v>1.3070649629481747E-6</v>
      </c>
      <c r="AD129" s="18"/>
      <c r="AE129" s="168">
        <v>7.51</v>
      </c>
      <c r="AF129" s="3"/>
      <c r="AM129" s="43" t="s">
        <v>195</v>
      </c>
      <c r="AN129">
        <v>1.5042953062E-2</v>
      </c>
      <c r="AO129" s="18">
        <v>5.34537702E-7</v>
      </c>
      <c r="AP129" s="18">
        <v>1.37689104E-6</v>
      </c>
      <c r="AQ129" s="18">
        <v>8.3641774906494597E-8</v>
      </c>
      <c r="AR129" s="18">
        <v>2.1455091145626599E-7</v>
      </c>
      <c r="AS129" s="2">
        <v>1.9909011713462399E-7</v>
      </c>
      <c r="AT129">
        <v>10</v>
      </c>
      <c r="AU129">
        <v>1</v>
      </c>
      <c r="AW129">
        <f>VLOOKUP(AT129,Constants!$B$15:$L$33,2,FALSE)</f>
        <v>0.99248924126722049</v>
      </c>
      <c r="AX129">
        <f>VLOOKUP(AT129,Constants!$B$15:$L$33,3,FALSE)</f>
        <v>-2.7303958893031477E-4</v>
      </c>
    </row>
    <row r="130" spans="2:50" x14ac:dyDescent="0.2">
      <c r="C130" s="18">
        <f t="shared" si="220"/>
        <v>2.9977274706E-2</v>
      </c>
      <c r="D130" s="18">
        <f t="shared" si="221"/>
        <v>1.00663281E-6</v>
      </c>
      <c r="E130" s="18">
        <f t="shared" si="222"/>
        <v>2.6512337999999999E-6</v>
      </c>
      <c r="F130" s="18">
        <f t="shared" si="223"/>
        <v>1.9283825933417499E-8</v>
      </c>
      <c r="G130" s="18">
        <f t="shared" si="224"/>
        <v>1.6817096771587499E-7</v>
      </c>
      <c r="H130" s="18">
        <f t="shared" si="225"/>
        <v>2.3253471968624399E-7</v>
      </c>
      <c r="I130" s="2">
        <v>20.56</v>
      </c>
      <c r="J130" s="17">
        <f t="shared" si="203"/>
        <v>20.00518438867557</v>
      </c>
      <c r="K130" s="2">
        <f t="shared" si="216"/>
        <v>14.989085511667714</v>
      </c>
      <c r="L130">
        <v>100</v>
      </c>
      <c r="M130">
        <v>75</v>
      </c>
      <c r="N130">
        <v>0.66734499999999997</v>
      </c>
      <c r="O130" s="2">
        <f t="shared" si="226"/>
        <v>0.19999402020000001</v>
      </c>
      <c r="P130" s="2">
        <f t="shared" si="227"/>
        <v>0.1000646</v>
      </c>
      <c r="Q130">
        <v>1</v>
      </c>
      <c r="R130" s="52">
        <f t="shared" si="228"/>
        <v>5.0318596941792229E-5</v>
      </c>
      <c r="S130" s="52">
        <f t="shared" si="229"/>
        <v>1.3252733633891406E-4</v>
      </c>
      <c r="T130" s="19">
        <f t="shared" si="230"/>
        <v>0.99954443654245306</v>
      </c>
      <c r="U130" s="19">
        <f t="shared" si="231"/>
        <v>1.0007972767333173</v>
      </c>
      <c r="V130" s="48">
        <f t="shared" si="236"/>
        <v>1.9151650451155946E-4</v>
      </c>
      <c r="W130" s="19">
        <f t="shared" si="232"/>
        <v>0.99959475513939489</v>
      </c>
      <c r="X130" s="2">
        <f t="shared" si="233"/>
        <v>-0.405244860605114</v>
      </c>
      <c r="Y130" s="2">
        <f t="shared" si="234"/>
        <v>-5.8989168172645393E-2</v>
      </c>
      <c r="Z130" s="51">
        <f t="shared" si="235"/>
        <v>1.0086243241903224E-5</v>
      </c>
      <c r="AA130" s="51">
        <f t="shared" si="237"/>
        <v>8.4005332793772892E-6</v>
      </c>
      <c r="AD130" s="18"/>
      <c r="AE130" s="169">
        <v>14.99</v>
      </c>
      <c r="AF130" s="3"/>
      <c r="AM130" s="43" t="s">
        <v>195</v>
      </c>
      <c r="AN130" s="18">
        <v>2.9977274706E-2</v>
      </c>
      <c r="AO130" s="18">
        <v>1.00663281E-6</v>
      </c>
      <c r="AP130" s="18">
        <v>2.6512337999999999E-6</v>
      </c>
      <c r="AQ130" s="18">
        <v>1.9283825933417499E-8</v>
      </c>
      <c r="AR130" s="18">
        <v>1.6817096771587499E-7</v>
      </c>
      <c r="AS130" s="2">
        <v>2.3253471968624399E-7</v>
      </c>
      <c r="AT130">
        <v>10</v>
      </c>
      <c r="AU130">
        <v>1</v>
      </c>
      <c r="AW130">
        <f>VLOOKUP(AT130,Constants!$B$15:$L$33,2,FALSE)</f>
        <v>0.99248924126722049</v>
      </c>
      <c r="AX130">
        <f>VLOOKUP(AT130,Constants!$B$15:$L$33,3,FALSE)</f>
        <v>-2.7303958893031477E-4</v>
      </c>
    </row>
    <row r="131" spans="2:50" x14ac:dyDescent="0.2">
      <c r="C131" s="18">
        <f t="shared" si="220"/>
        <v>5.9956748201999997E-2</v>
      </c>
      <c r="D131" s="18">
        <f t="shared" si="221"/>
        <v>1.9374708E-6</v>
      </c>
      <c r="E131" s="18">
        <f t="shared" si="222"/>
        <v>6.5016057999999996E-6</v>
      </c>
      <c r="F131" s="18">
        <f t="shared" si="223"/>
        <v>1.8329899161384401E-7</v>
      </c>
      <c r="G131" s="18">
        <f t="shared" si="224"/>
        <v>1.7837746350186699E-7</v>
      </c>
      <c r="H131" s="18">
        <f t="shared" si="225"/>
        <v>1.96115719217915E-7</v>
      </c>
      <c r="I131" s="2">
        <v>20.57</v>
      </c>
      <c r="J131" s="17">
        <f t="shared" si="203"/>
        <v>40.011836128863685</v>
      </c>
      <c r="K131" s="2">
        <f t="shared" si="216"/>
        <v>29.979270451207217</v>
      </c>
      <c r="L131">
        <v>100</v>
      </c>
      <c r="M131">
        <v>75</v>
      </c>
      <c r="N131">
        <v>0.66734499999999997</v>
      </c>
      <c r="O131" s="2">
        <f t="shared" si="226"/>
        <v>0.19999402020000001</v>
      </c>
      <c r="P131" s="2">
        <f t="shared" si="227"/>
        <v>0.1000646</v>
      </c>
      <c r="Q131">
        <v>1</v>
      </c>
      <c r="R131" s="52">
        <f t="shared" si="228"/>
        <v>4.842244164352033E-5</v>
      </c>
      <c r="S131" s="52">
        <f t="shared" si="229"/>
        <v>1.6249206307505294E-4</v>
      </c>
      <c r="T131" s="19">
        <f t="shared" si="230"/>
        <v>0.99954443654245306</v>
      </c>
      <c r="U131" s="19">
        <f t="shared" si="231"/>
        <v>1.0007972767333173</v>
      </c>
      <c r="V131" s="48">
        <f t="shared" si="236"/>
        <v>1.9151650451155946E-4</v>
      </c>
      <c r="W131" s="19">
        <f t="shared" si="232"/>
        <v>0.99959285898409656</v>
      </c>
      <c r="X131" s="2">
        <f t="shared" si="233"/>
        <v>-0.40714101590344498</v>
      </c>
      <c r="Y131" s="2">
        <f t="shared" si="234"/>
        <v>-2.9024441436506516E-2</v>
      </c>
      <c r="Z131" s="51">
        <f t="shared" si="235"/>
        <v>5.0762994669842503E-5</v>
      </c>
      <c r="AA131" s="51">
        <f t="shared" si="237"/>
        <v>3.6846026393653809E-5</v>
      </c>
      <c r="AD131" s="18"/>
      <c r="AE131" s="168">
        <v>30.03</v>
      </c>
      <c r="AF131" s="3"/>
      <c r="AM131" s="43" t="s">
        <v>195</v>
      </c>
      <c r="AN131">
        <v>5.9956748201999997E-2</v>
      </c>
      <c r="AO131" s="18">
        <v>1.9374708E-6</v>
      </c>
      <c r="AP131" s="18">
        <v>6.5016057999999996E-6</v>
      </c>
      <c r="AQ131" s="18">
        <v>1.8329899161384401E-7</v>
      </c>
      <c r="AR131" s="18">
        <v>1.7837746350186699E-7</v>
      </c>
      <c r="AS131" s="18">
        <v>1.96115719217915E-7</v>
      </c>
      <c r="AT131">
        <v>11</v>
      </c>
      <c r="AU131">
        <v>1</v>
      </c>
      <c r="AW131">
        <f>VLOOKUP(AT131,Constants!$B$15:$L$33,2,FALSE)</f>
        <v>1.0014538869894722</v>
      </c>
      <c r="AX131">
        <f>VLOOKUP(AT131,Constants!$B$15:$L$33,3,FALSE)</f>
        <v>-1.6494401832275451E-4</v>
      </c>
    </row>
    <row r="132" spans="2:50" x14ac:dyDescent="0.2">
      <c r="C132" s="18">
        <f t="shared" si="220"/>
        <v>8.9762752560000006E-2</v>
      </c>
      <c r="D132" s="18">
        <f t="shared" si="221"/>
        <v>2.6549310999999999E-6</v>
      </c>
      <c r="E132" s="18">
        <f t="shared" si="222"/>
        <v>8.4533845000000003E-6</v>
      </c>
      <c r="F132" s="18">
        <f t="shared" si="223"/>
        <v>8.5388880784157506E-8</v>
      </c>
      <c r="G132" s="18">
        <f t="shared" si="224"/>
        <v>1.64151730303978E-7</v>
      </c>
      <c r="H132" s="18">
        <f t="shared" si="225"/>
        <v>2.25430747256779E-7</v>
      </c>
      <c r="I132" s="2">
        <v>20.57</v>
      </c>
      <c r="J132" s="17">
        <f t="shared" si="203"/>
        <v>59.902724107153205</v>
      </c>
      <c r="K132" s="2">
        <f t="shared" si="216"/>
        <v>44.882718228392307</v>
      </c>
      <c r="L132">
        <v>100</v>
      </c>
      <c r="M132">
        <v>75</v>
      </c>
      <c r="N132">
        <v>0.66734499999999997</v>
      </c>
      <c r="O132" s="2">
        <f t="shared" si="226"/>
        <v>0.19999402020000001</v>
      </c>
      <c r="P132" s="2">
        <f t="shared" si="227"/>
        <v>0.1000646</v>
      </c>
      <c r="Q132">
        <v>1</v>
      </c>
      <c r="R132" s="52">
        <f t="shared" si="228"/>
        <v>4.4320707272859483E-5</v>
      </c>
      <c r="S132" s="52">
        <f t="shared" si="229"/>
        <v>1.4111853218692856E-4</v>
      </c>
      <c r="T132" s="19">
        <f t="shared" si="230"/>
        <v>0.99954443654245306</v>
      </c>
      <c r="U132" s="19">
        <f t="shared" si="231"/>
        <v>1.0007972767333173</v>
      </c>
      <c r="V132" s="48">
        <f t="shared" si="236"/>
        <v>1.9151650451155946E-4</v>
      </c>
      <c r="W132" s="19">
        <f t="shared" si="232"/>
        <v>0.99958875724972596</v>
      </c>
      <c r="X132" s="2">
        <f t="shared" si="233"/>
        <v>-0.41124275027404344</v>
      </c>
      <c r="Y132" s="2">
        <f t="shared" si="234"/>
        <v>-5.0397972324630898E-2</v>
      </c>
      <c r="Z132" s="51">
        <f t="shared" si="235"/>
        <v>1.1808861604698683E-4</v>
      </c>
      <c r="AA132" s="51">
        <f t="shared" si="237"/>
        <v>8.3927232047223597E-5</v>
      </c>
      <c r="AD132" s="18"/>
      <c r="AE132" s="168">
        <v>44.9</v>
      </c>
      <c r="AF132" s="3"/>
      <c r="AM132" s="43" t="s">
        <v>195</v>
      </c>
      <c r="AN132" s="18">
        <v>8.9762752560000006E-2</v>
      </c>
      <c r="AO132" s="18">
        <v>2.6549310999999999E-6</v>
      </c>
      <c r="AP132" s="18">
        <v>8.4533845000000003E-6</v>
      </c>
      <c r="AQ132" s="18">
        <v>8.5388880784157506E-8</v>
      </c>
      <c r="AR132" s="18">
        <v>1.64151730303978E-7</v>
      </c>
      <c r="AS132" s="18">
        <v>2.25430747256779E-7</v>
      </c>
      <c r="AT132">
        <v>11</v>
      </c>
      <c r="AU132">
        <v>1</v>
      </c>
      <c r="AW132">
        <f>VLOOKUP(AT132,Constants!$B$15:$L$33,2,FALSE)</f>
        <v>1.0014538869894722</v>
      </c>
      <c r="AX132">
        <f>VLOOKUP(AT132,Constants!$B$15:$L$33,3,FALSE)</f>
        <v>-1.6494401832275451E-4</v>
      </c>
    </row>
    <row r="133" spans="2:50" x14ac:dyDescent="0.2">
      <c r="C133" s="18">
        <f t="shared" si="220"/>
        <v>0.14977984055999999</v>
      </c>
      <c r="D133" s="18">
        <f t="shared" si="221"/>
        <v>3.8608239000000002E-6</v>
      </c>
      <c r="E133" s="18">
        <f t="shared" si="222"/>
        <v>8.3122988000000007E-6</v>
      </c>
      <c r="F133" s="18">
        <f t="shared" si="223"/>
        <v>3.4932226695389999E-7</v>
      </c>
      <c r="G133" s="18">
        <f t="shared" si="224"/>
        <v>2.4167959330855799E-7</v>
      </c>
      <c r="H133" s="18">
        <f t="shared" si="225"/>
        <v>1.73872173537228E-7</v>
      </c>
      <c r="I133" s="2">
        <v>20.57</v>
      </c>
      <c r="J133" s="17">
        <f t="shared" si="203"/>
        <v>99.954827698513171</v>
      </c>
      <c r="K133" s="2">
        <f t="shared" si="216"/>
        <v>74.892159480676298</v>
      </c>
      <c r="L133">
        <v>100</v>
      </c>
      <c r="M133">
        <v>75</v>
      </c>
      <c r="N133">
        <v>0.66734499999999997</v>
      </c>
      <c r="O133" s="2">
        <f t="shared" si="226"/>
        <v>0.19999402020000001</v>
      </c>
      <c r="P133" s="2">
        <f t="shared" si="227"/>
        <v>0.1000646</v>
      </c>
      <c r="Q133">
        <v>1</v>
      </c>
      <c r="R133" s="52">
        <f t="shared" si="228"/>
        <v>3.8625687111833512E-5</v>
      </c>
      <c r="S133" s="52">
        <f t="shared" si="229"/>
        <v>8.3160553535961381E-5</v>
      </c>
      <c r="T133" s="19">
        <f t="shared" si="230"/>
        <v>0.99954443654245306</v>
      </c>
      <c r="U133" s="19">
        <f t="shared" si="231"/>
        <v>1.0007972767333173</v>
      </c>
      <c r="V133" s="48">
        <f t="shared" si="236"/>
        <v>1.9151650451155946E-4</v>
      </c>
      <c r="W133" s="19">
        <f t="shared" si="232"/>
        <v>0.99958306222956494</v>
      </c>
      <c r="X133" s="2">
        <f t="shared" si="233"/>
        <v>-0.4169377704350552</v>
      </c>
      <c r="Y133" s="2">
        <f t="shared" si="234"/>
        <v>-0.10835595097559808</v>
      </c>
      <c r="Z133" s="51">
        <f t="shared" si="235"/>
        <v>3.3498679509163859E-4</v>
      </c>
      <c r="AA133" s="51">
        <f t="shared" si="237"/>
        <v>2.3560541287353157E-4</v>
      </c>
      <c r="AD133" s="18"/>
      <c r="AE133" s="169"/>
      <c r="AF133" s="3"/>
      <c r="AM133" s="43" t="s">
        <v>195</v>
      </c>
      <c r="AN133" s="18">
        <v>0.14977984055999999</v>
      </c>
      <c r="AO133" s="18">
        <v>3.8608239000000002E-6</v>
      </c>
      <c r="AP133" s="18">
        <v>8.3122988000000007E-6</v>
      </c>
      <c r="AQ133" s="18">
        <v>3.4932226695389999E-7</v>
      </c>
      <c r="AR133" s="18">
        <v>2.4167959330855799E-7</v>
      </c>
      <c r="AS133" s="18">
        <v>1.73872173537228E-7</v>
      </c>
      <c r="AT133">
        <v>11</v>
      </c>
      <c r="AU133">
        <v>1</v>
      </c>
      <c r="AW133">
        <f>VLOOKUP(AT133,Constants!$B$15:$L$33,2,FALSE)</f>
        <v>1.0014538869894722</v>
      </c>
      <c r="AX133">
        <f>VLOOKUP(AT133,Constants!$B$15:$L$33,3,FALSE)</f>
        <v>-1.6494401832275451E-4</v>
      </c>
    </row>
    <row r="134" spans="2:50" x14ac:dyDescent="0.2">
      <c r="C134" s="18">
        <f t="shared" si="220"/>
        <v>0.17989363023999999</v>
      </c>
      <c r="D134" s="18">
        <f t="shared" si="221"/>
        <v>4.5297029999999999E-6</v>
      </c>
      <c r="E134" s="18">
        <f t="shared" si="222"/>
        <v>9.4179458999999993E-6</v>
      </c>
      <c r="F134" s="18">
        <f t="shared" si="223"/>
        <v>5.5482022605660495E-7</v>
      </c>
      <c r="G134" s="18">
        <f t="shared" si="224"/>
        <v>1.77861990770934E-7</v>
      </c>
      <c r="H134" s="18">
        <f t="shared" si="225"/>
        <v>2.06226661254528E-7</v>
      </c>
      <c r="I134" s="2">
        <v>20.57</v>
      </c>
      <c r="J134" s="17">
        <f t="shared" si="203"/>
        <v>120.0511146725128</v>
      </c>
      <c r="K134" s="2">
        <f t="shared" si="216"/>
        <v>89.949504520235649</v>
      </c>
      <c r="L134">
        <v>100</v>
      </c>
      <c r="M134">
        <v>75</v>
      </c>
      <c r="N134">
        <v>0.66734499999999997</v>
      </c>
      <c r="O134" s="2">
        <f t="shared" si="226"/>
        <v>0.19999402020000001</v>
      </c>
      <c r="P134" s="2">
        <f t="shared" si="227"/>
        <v>0.1000646</v>
      </c>
      <c r="Q134">
        <v>1</v>
      </c>
      <c r="R134" s="52">
        <f t="shared" si="228"/>
        <v>3.7731453076104861E-5</v>
      </c>
      <c r="S134" s="52">
        <f t="shared" si="229"/>
        <v>7.8449466510087783E-5</v>
      </c>
      <c r="T134" s="19">
        <f t="shared" si="230"/>
        <v>0.99954443654245306</v>
      </c>
      <c r="U134" s="19">
        <f t="shared" si="231"/>
        <v>1.0007972767333173</v>
      </c>
      <c r="V134" s="48">
        <f t="shared" si="236"/>
        <v>1.9151650451155946E-4</v>
      </c>
      <c r="W134" s="19">
        <f t="shared" si="232"/>
        <v>0.99958216799552913</v>
      </c>
      <c r="X134" s="2">
        <f t="shared" si="233"/>
        <v>-0.41783200447087498</v>
      </c>
      <c r="Y134" s="2">
        <f t="shared" si="234"/>
        <v>-0.11306703800147168</v>
      </c>
      <c r="Z134" s="51">
        <f t="shared" si="235"/>
        <v>4.8476466598147553E-4</v>
      </c>
      <c r="AA134" s="51">
        <f t="shared" si="237"/>
        <v>3.403459647982725E-4</v>
      </c>
      <c r="AD134" s="18"/>
      <c r="AE134" s="173"/>
      <c r="AF134" s="3"/>
      <c r="AG134" s="167" t="s">
        <v>208</v>
      </c>
      <c r="AH134" s="168"/>
      <c r="AI134" s="168"/>
      <c r="AJ134" s="168"/>
      <c r="AK134" s="168"/>
      <c r="AM134" s="43" t="s">
        <v>195</v>
      </c>
      <c r="AN134" s="18">
        <v>0.17989363023999999</v>
      </c>
      <c r="AO134" s="18">
        <v>4.5297029999999999E-6</v>
      </c>
      <c r="AP134" s="18">
        <v>9.4179458999999993E-6</v>
      </c>
      <c r="AQ134" s="18">
        <v>5.5482022605660495E-7</v>
      </c>
      <c r="AR134" s="18">
        <v>1.77861990770934E-7</v>
      </c>
      <c r="AS134" s="18">
        <v>2.06226661254528E-7</v>
      </c>
      <c r="AT134">
        <v>11</v>
      </c>
      <c r="AU134">
        <v>1</v>
      </c>
      <c r="AW134">
        <f>VLOOKUP(AT134,Constants!$B$15:$L$33,2,FALSE)</f>
        <v>1.0014538869894722</v>
      </c>
      <c r="AX134">
        <f>VLOOKUP(AT134,Constants!$B$15:$L$33,3,FALSE)</f>
        <v>-1.6494401832275451E-4</v>
      </c>
    </row>
    <row r="135" spans="2:50" x14ac:dyDescent="0.2">
      <c r="B135" s="164" t="s">
        <v>52</v>
      </c>
      <c r="C135" s="123">
        <f t="shared" si="220"/>
        <v>9.0071920641999995E-2</v>
      </c>
      <c r="D135" s="123">
        <f t="shared" si="221"/>
        <v>2.8938384000000001E-6</v>
      </c>
      <c r="E135" s="123">
        <f t="shared" si="222"/>
        <v>1.7193464999999999E-6</v>
      </c>
      <c r="F135" s="123">
        <f t="shared" si="223"/>
        <v>5.4997512014563703E-8</v>
      </c>
      <c r="G135" s="123">
        <f t="shared" si="224"/>
        <v>1.40978339015042E-7</v>
      </c>
      <c r="H135" s="123">
        <f t="shared" si="225"/>
        <v>2.2592969606660799E-7</v>
      </c>
      <c r="I135" s="124">
        <v>20.58</v>
      </c>
      <c r="J135" s="125">
        <f t="shared" si="203"/>
        <v>60.109045880835481</v>
      </c>
      <c r="K135" s="124">
        <f t="shared" si="216"/>
        <v>45.037306891438746</v>
      </c>
      <c r="L135" s="122">
        <v>100</v>
      </c>
      <c r="M135" s="122">
        <v>75</v>
      </c>
      <c r="N135" s="126">
        <v>0.66734499999999997</v>
      </c>
      <c r="O135" s="124">
        <f t="shared" si="226"/>
        <v>0.19999402020000001</v>
      </c>
      <c r="P135" s="124">
        <f t="shared" si="227"/>
        <v>0.1000646</v>
      </c>
      <c r="Q135" s="126">
        <v>1</v>
      </c>
      <c r="R135" s="52">
        <f>Q135*D135/C135/N135</f>
        <v>4.8143143142497295E-5</v>
      </c>
      <c r="S135" s="52">
        <f>Q135*E135/C135/N135</f>
        <v>2.8603789576173886E-5</v>
      </c>
      <c r="T135" s="19">
        <f>M135*N135*O135/(P135*U135*L135)</f>
        <v>0.99954443654245306</v>
      </c>
      <c r="U135" s="19">
        <f t="shared" si="231"/>
        <v>1.0007972767333173</v>
      </c>
      <c r="V135" s="48">
        <f t="shared" si="236"/>
        <v>1.9151650451155946E-4</v>
      </c>
      <c r="W135" s="19">
        <f>R135+T135</f>
        <v>0.99959257968559556</v>
      </c>
      <c r="X135" s="2">
        <f>1000*(W135-1)</f>
        <v>-0.4074203144044386</v>
      </c>
      <c r="Y135" s="2">
        <f>1000*(S135-V135)</f>
        <v>-0.16291271493538559</v>
      </c>
      <c r="Z135" t="s">
        <v>68</v>
      </c>
      <c r="AA135" t="s">
        <v>67</v>
      </c>
      <c r="AB135" t="s">
        <v>66</v>
      </c>
      <c r="AE135" s="170" t="s">
        <v>205</v>
      </c>
      <c r="AF135" s="168"/>
      <c r="AG135" s="168"/>
      <c r="AH135" s="168"/>
      <c r="AI135" s="167"/>
      <c r="AJ135" s="168">
        <v>45.1</v>
      </c>
      <c r="AK135" s="168"/>
      <c r="AM135" s="43" t="s">
        <v>195</v>
      </c>
      <c r="AN135" s="18">
        <v>9.0071920641999995E-2</v>
      </c>
      <c r="AO135" s="18">
        <v>2.8938384000000001E-6</v>
      </c>
      <c r="AP135" s="18">
        <v>1.7193464999999999E-6</v>
      </c>
      <c r="AQ135" s="18">
        <v>5.4997512014563703E-8</v>
      </c>
      <c r="AR135" s="18">
        <v>1.40978339015042E-7</v>
      </c>
      <c r="AS135" s="18">
        <v>2.2592969606660799E-7</v>
      </c>
      <c r="AT135">
        <v>10</v>
      </c>
      <c r="AU135">
        <v>1</v>
      </c>
      <c r="AW135">
        <f>VLOOKUP(AT135,Constants!$B$15:$L$33,2,FALSE)</f>
        <v>0.99248924126722049</v>
      </c>
      <c r="AX135">
        <f>VLOOKUP(AT135,Constants!$B$15:$L$33,3,FALSE)</f>
        <v>-2.7303958893031477E-4</v>
      </c>
    </row>
    <row r="136" spans="2:50" x14ac:dyDescent="0.2">
      <c r="B136" s="164" t="s">
        <v>199</v>
      </c>
      <c r="C136" s="123">
        <f t="shared" si="220"/>
        <v>9.0181539298000005E-2</v>
      </c>
      <c r="D136" s="123">
        <f t="shared" si="221"/>
        <v>-7.6488905000000006E-5</v>
      </c>
      <c r="E136" s="123">
        <f t="shared" si="222"/>
        <v>-1.4403905000000001E-6</v>
      </c>
      <c r="F136" s="123">
        <f t="shared" si="223"/>
        <v>3.3027416133116603E-8</v>
      </c>
      <c r="G136" s="123">
        <f t="shared" si="224"/>
        <v>2.21298753442039E-7</v>
      </c>
      <c r="H136" s="123">
        <f t="shared" si="225"/>
        <v>1.5751362442261899E-7</v>
      </c>
      <c r="I136" s="124">
        <v>20.58</v>
      </c>
      <c r="J136" s="125">
        <f t="shared" si="203"/>
        <v>60.182199342823807</v>
      </c>
      <c r="K136" s="124">
        <f t="shared" si="216"/>
        <v>45.092117858231845</v>
      </c>
      <c r="L136" s="122">
        <v>100</v>
      </c>
      <c r="M136" s="122">
        <v>75</v>
      </c>
      <c r="N136" s="126">
        <v>0.66734499999999997</v>
      </c>
      <c r="O136" s="124">
        <f t="shared" si="226"/>
        <v>0.19999402020000001</v>
      </c>
      <c r="P136" s="124">
        <f t="shared" si="227"/>
        <v>0.1000646</v>
      </c>
      <c r="Q136" s="126">
        <v>1</v>
      </c>
      <c r="R136" s="52">
        <f>Q136*D136/C136/N136</f>
        <v>-1.2709556286616605E-3</v>
      </c>
      <c r="S136" s="52">
        <f>Q136*E136/C136/N136</f>
        <v>-2.393382953313011E-5</v>
      </c>
      <c r="T136" s="19">
        <f>M136*N136*O136/(P136*U136*L136)</f>
        <v>0.99954443654245306</v>
      </c>
      <c r="U136" s="19">
        <f>$AA$16</f>
        <v>1.0007972767333173</v>
      </c>
      <c r="V136" s="48">
        <f t="shared" si="236"/>
        <v>1.9151650451155946E-4</v>
      </c>
      <c r="W136" s="19">
        <f>R136+T136</f>
        <v>0.99827348091379142</v>
      </c>
      <c r="X136" s="2">
        <f>1000*(W136-1)</f>
        <v>-1.7265190862085777</v>
      </c>
      <c r="Y136" s="2">
        <f>1000*(S136-V136)</f>
        <v>-0.21545033404468958</v>
      </c>
      <c r="AA136" s="46">
        <f>100*-(X136-X135)/1000</f>
        <v>0.13190987718041389</v>
      </c>
      <c r="AB136" s="46">
        <f>100*-(Y136-Y135)/1000</f>
        <v>5.2537619109303988E-3</v>
      </c>
      <c r="AC136" s="46"/>
      <c r="AD136" s="46" t="s">
        <v>200</v>
      </c>
      <c r="AE136" s="46"/>
      <c r="AF136" s="46"/>
      <c r="AG136" s="46"/>
      <c r="AH136" s="46"/>
      <c r="AI136" s="46"/>
      <c r="AJ136" s="168">
        <v>45.1</v>
      </c>
      <c r="AK136" s="168"/>
      <c r="AM136" s="43" t="s">
        <v>195</v>
      </c>
      <c r="AN136" s="18">
        <v>9.0181539298000005E-2</v>
      </c>
      <c r="AO136" s="18">
        <v>-7.6488905000000006E-5</v>
      </c>
      <c r="AP136" s="18">
        <v>-1.4403905000000001E-6</v>
      </c>
      <c r="AQ136" s="18">
        <v>3.3027416133116603E-8</v>
      </c>
      <c r="AR136" s="18">
        <v>2.21298753442039E-7</v>
      </c>
      <c r="AS136" s="18">
        <v>1.5751362442261899E-7</v>
      </c>
      <c r="AT136">
        <v>14</v>
      </c>
      <c r="AU136">
        <v>1</v>
      </c>
      <c r="AW136">
        <f>VLOOKUP(AT136,Constants!$B$15:$L$33,2,FALSE)</f>
        <v>0.99369905746444864</v>
      </c>
      <c r="AX136">
        <f>VLOOKUP(AT136,Constants!$B$15:$L$33,3,FALSE)</f>
        <v>8.9784740924235424E-5</v>
      </c>
    </row>
    <row r="137" spans="2:50" x14ac:dyDescent="0.2">
      <c r="B137" s="164"/>
      <c r="C137" s="123">
        <f t="shared" si="220"/>
        <v>9.0241692683999994E-2</v>
      </c>
      <c r="D137" s="123">
        <f t="shared" si="221"/>
        <v>2.9726212999999999E-6</v>
      </c>
      <c r="E137" s="123">
        <f t="shared" si="222"/>
        <v>-6.5998985999999999E-7</v>
      </c>
      <c r="F137" s="123">
        <f t="shared" si="223"/>
        <v>3.7667107471618899E-8</v>
      </c>
      <c r="G137" s="123">
        <f t="shared" si="224"/>
        <v>1.8013300946608901E-7</v>
      </c>
      <c r="H137" s="123">
        <f t="shared" si="225"/>
        <v>1.80552414884654E-7</v>
      </c>
      <c r="I137" s="124">
        <v>20.57</v>
      </c>
      <c r="J137" s="125">
        <f>100*C137/0.1*N137</f>
        <v>60.222342404203971</v>
      </c>
      <c r="K137" s="124">
        <f>C137/O137*100</f>
        <v>45.122195450521765</v>
      </c>
      <c r="L137" s="122">
        <v>100</v>
      </c>
      <c r="M137" s="122">
        <v>75</v>
      </c>
      <c r="N137" s="126">
        <v>0.66734499999999997</v>
      </c>
      <c r="O137" s="124">
        <f t="shared" si="226"/>
        <v>0.19999402020000001</v>
      </c>
      <c r="P137" s="124">
        <f t="shared" si="227"/>
        <v>0.1000646</v>
      </c>
      <c r="Q137" s="126">
        <v>1</v>
      </c>
      <c r="R137" s="52">
        <f>Q137*D137/C137/N137</f>
        <v>4.9360771788785294E-5</v>
      </c>
      <c r="S137" s="52">
        <f>Q137*E137/C137/N137</f>
        <v>-1.0959219347036353E-5</v>
      </c>
      <c r="T137" s="19">
        <f>M137*N137*O137/(P137*U137*L137)</f>
        <v>0.99954443654245306</v>
      </c>
      <c r="U137" s="19">
        <f>$AA$16</f>
        <v>1.0007972767333173</v>
      </c>
      <c r="V137" s="48">
        <f t="shared" si="236"/>
        <v>1.9151650451155946E-4</v>
      </c>
      <c r="W137" s="19">
        <f>R137+T137</f>
        <v>0.99959379731424181</v>
      </c>
      <c r="X137" s="2">
        <f>1000*(W137-1)</f>
        <v>-0.40620268575819463</v>
      </c>
      <c r="Y137" s="2">
        <f>1000*(S137-V137)</f>
        <v>-0.2024757238585958</v>
      </c>
      <c r="AA137" s="46">
        <f>100*-(X137-X135)/1000</f>
        <v>-1.2176286462439734E-4</v>
      </c>
      <c r="AB137" s="46">
        <f>100*-(Y137-Y135)/1000</f>
        <v>3.9563008923210212E-3</v>
      </c>
      <c r="AC137" s="46"/>
      <c r="AD137" s="46" t="s">
        <v>201</v>
      </c>
      <c r="AE137" s="46"/>
      <c r="AF137" s="46"/>
      <c r="AG137" s="46"/>
      <c r="AH137" s="46"/>
      <c r="AI137" s="46"/>
      <c r="AJ137" s="168">
        <v>45.1</v>
      </c>
      <c r="AK137" s="168"/>
      <c r="AM137" s="43" t="s">
        <v>195</v>
      </c>
      <c r="AN137" s="18">
        <v>9.0241692683999994E-2</v>
      </c>
      <c r="AO137" s="18">
        <v>2.9726212999999999E-6</v>
      </c>
      <c r="AP137" s="18">
        <v>-6.5998985999999999E-7</v>
      </c>
      <c r="AQ137" s="18">
        <v>3.7667107471618899E-8</v>
      </c>
      <c r="AR137" s="18">
        <v>1.8013300946608901E-7</v>
      </c>
      <c r="AS137" s="18">
        <v>1.80552414884654E-7</v>
      </c>
      <c r="AT137">
        <v>10</v>
      </c>
      <c r="AU137">
        <v>1</v>
      </c>
      <c r="AW137">
        <f>VLOOKUP(AT137,Constants!$B$15:$L$33,2,FALSE)</f>
        <v>0.99248924126722049</v>
      </c>
      <c r="AX137">
        <f>VLOOKUP(AT137,Constants!$B$15:$L$33,3,FALSE)</f>
        <v>-2.7303958893031477E-4</v>
      </c>
    </row>
    <row r="138" spans="2:50" x14ac:dyDescent="0.2">
      <c r="B138" s="164" t="s">
        <v>209</v>
      </c>
      <c r="C138" s="123">
        <f t="shared" si="220"/>
        <v>9.0243860802000003E-2</v>
      </c>
      <c r="D138" s="123">
        <f t="shared" si="221"/>
        <v>-5.0616094000000002E-6</v>
      </c>
      <c r="E138" s="123">
        <f t="shared" si="222"/>
        <v>1.4159458999999999E-6</v>
      </c>
      <c r="F138" s="123">
        <f t="shared" si="223"/>
        <v>3.0742007458245102E-7</v>
      </c>
      <c r="G138" s="123">
        <f t="shared" si="224"/>
        <v>1.7291689660539301E-7</v>
      </c>
      <c r="H138" s="123">
        <f t="shared" si="225"/>
        <v>1.9754183764506699E-7</v>
      </c>
      <c r="I138" s="124">
        <v>20.58</v>
      </c>
      <c r="J138" s="125">
        <f>100*C138/0.1*N138</f>
        <v>60.223789286910687</v>
      </c>
      <c r="K138" s="124">
        <f>C138/O138*100</f>
        <v>45.123279541935027</v>
      </c>
      <c r="L138" s="122">
        <v>100</v>
      </c>
      <c r="M138" s="122">
        <v>75</v>
      </c>
      <c r="N138" s="126">
        <v>0.66734499999999997</v>
      </c>
      <c r="O138" s="124">
        <f t="shared" si="226"/>
        <v>0.19999402020000001</v>
      </c>
      <c r="P138" s="124">
        <f t="shared" si="227"/>
        <v>0.1000646</v>
      </c>
      <c r="Q138" s="126">
        <v>1</v>
      </c>
      <c r="R138" s="52">
        <f>Q138*D138/C138/N138</f>
        <v>-8.4046677566004851E-5</v>
      </c>
      <c r="S138" s="52">
        <f>Q138*E138/C138/N138</f>
        <v>2.3511404990714327E-5</v>
      </c>
      <c r="T138" s="19">
        <f>M138*N138*O138/(P138*U138*L138)</f>
        <v>0.99954443654245306</v>
      </c>
      <c r="U138" s="19">
        <f>$AA$16</f>
        <v>1.0007972767333173</v>
      </c>
      <c r="V138" s="48">
        <f t="shared" si="236"/>
        <v>1.9151650451155946E-4</v>
      </c>
      <c r="W138" s="19">
        <f>R138+T138</f>
        <v>0.99946038986488706</v>
      </c>
      <c r="X138" s="2">
        <f>1000*(W138-1)</f>
        <v>-0.53961013511294453</v>
      </c>
      <c r="Y138" s="2">
        <f>1000*(S138-V138)</f>
        <v>-0.16800509952084514</v>
      </c>
      <c r="AA138" s="46">
        <f>1000*-(X138-X135)/1000</f>
        <v>0.13218982070850591</v>
      </c>
      <c r="AB138" s="46">
        <f>1000*-(Y138-Y135)/1000</f>
        <v>5.0923845854595473E-3</v>
      </c>
      <c r="AC138" s="46"/>
      <c r="AD138" s="46" t="s">
        <v>207</v>
      </c>
      <c r="AE138" s="46"/>
      <c r="AF138" s="46"/>
      <c r="AG138" s="46"/>
      <c r="AH138" s="46"/>
      <c r="AI138" s="46"/>
      <c r="AJ138" s="168">
        <v>45.1</v>
      </c>
      <c r="AK138" s="168"/>
      <c r="AM138" s="43" t="s">
        <v>195</v>
      </c>
      <c r="AN138" s="18">
        <v>9.0243860802000003E-2</v>
      </c>
      <c r="AO138" s="18">
        <v>-5.0616094000000002E-6</v>
      </c>
      <c r="AP138" s="18">
        <v>1.4159458999999999E-6</v>
      </c>
      <c r="AQ138" s="18">
        <v>3.0742007458245102E-7</v>
      </c>
      <c r="AR138" s="18">
        <v>1.7291689660539301E-7</v>
      </c>
      <c r="AS138" s="18">
        <v>1.9754183764506699E-7</v>
      </c>
      <c r="AT138">
        <v>10</v>
      </c>
      <c r="AU138">
        <v>1</v>
      </c>
      <c r="AW138">
        <f>VLOOKUP(AT138,Constants!$B$15:$L$33,2,FALSE)</f>
        <v>0.99248924126722049</v>
      </c>
      <c r="AX138">
        <f>VLOOKUP(AT138,Constants!$B$15:$L$33,3,FALSE)</f>
        <v>-2.7303958893031477E-4</v>
      </c>
    </row>
    <row r="139" spans="2:50" x14ac:dyDescent="0.2">
      <c r="I139" s="2"/>
      <c r="J139" s="17"/>
      <c r="K139" s="2"/>
      <c r="R139" s="52"/>
      <c r="S139" s="52"/>
      <c r="T139" s="19"/>
      <c r="U139" s="19"/>
      <c r="V139" s="48"/>
      <c r="W139" s="19"/>
      <c r="X139" s="2"/>
      <c r="Y139" s="2"/>
      <c r="AA139" s="43"/>
      <c r="AB139" s="43"/>
    </row>
    <row r="140" spans="2:50" x14ac:dyDescent="0.2">
      <c r="B140" s="45" t="s">
        <v>216</v>
      </c>
      <c r="F140" s="18"/>
      <c r="G140" s="18"/>
      <c r="H140" s="18"/>
      <c r="J140" s="17"/>
      <c r="K140" s="2"/>
      <c r="R140" s="52"/>
      <c r="S140" s="52"/>
      <c r="T140" s="19"/>
      <c r="U140" s="19"/>
      <c r="V140" s="48"/>
      <c r="W140" s="19"/>
      <c r="X140" s="2"/>
      <c r="Y140" s="2"/>
      <c r="AA140" s="3"/>
      <c r="AB140" t="s">
        <v>64</v>
      </c>
      <c r="AE140" s="170" t="s">
        <v>202</v>
      </c>
    </row>
    <row r="141" spans="2:50" x14ac:dyDescent="0.2">
      <c r="C141" s="5" t="str">
        <f>B145&amp;" range, "&amp;B147&amp;", vs shunts and 100 AT on "&amp;B149&amp;" range."</f>
        <v>75/1 range, l - 1200At(1A), vs shunts and 100 AT on 100/1 range.</v>
      </c>
      <c r="G141" s="18"/>
      <c r="J141" s="5" t="s">
        <v>211</v>
      </c>
      <c r="R141" s="50"/>
      <c r="S141" s="50"/>
      <c r="V141" s="47"/>
      <c r="X141" s="19"/>
      <c r="Y141" s="19"/>
      <c r="Z141" t="s">
        <v>63</v>
      </c>
      <c r="AA141" t="s">
        <v>63</v>
      </c>
      <c r="AB141" t="s">
        <v>65</v>
      </c>
      <c r="AE141" s="170" t="s">
        <v>203</v>
      </c>
      <c r="AF141" s="176"/>
      <c r="AG141" s="177" t="s">
        <v>218</v>
      </c>
      <c r="AH141" s="186">
        <v>15</v>
      </c>
      <c r="AI141" s="176" t="s">
        <v>14</v>
      </c>
      <c r="AJ141" s="5" t="s">
        <v>219</v>
      </c>
    </row>
    <row r="142" spans="2:50" x14ac:dyDescent="0.2">
      <c r="B142" s="4">
        <v>43377</v>
      </c>
      <c r="E142" s="18"/>
      <c r="F142" s="18"/>
      <c r="G142" s="18"/>
      <c r="H142" s="18"/>
      <c r="R142" s="50"/>
      <c r="S142" s="50"/>
      <c r="V142" s="47"/>
      <c r="X142" t="s">
        <v>6</v>
      </c>
      <c r="Y142" t="s">
        <v>7</v>
      </c>
      <c r="Z142" t="s">
        <v>61</v>
      </c>
      <c r="AA142" t="s">
        <v>62</v>
      </c>
      <c r="AB142" t="s">
        <v>6</v>
      </c>
      <c r="AC142" t="s">
        <v>7</v>
      </c>
      <c r="AE142" s="170" t="s">
        <v>204</v>
      </c>
      <c r="AF142" s="59"/>
      <c r="AG142" s="176" t="s">
        <v>5</v>
      </c>
      <c r="AH142" s="176" t="s">
        <v>3</v>
      </c>
      <c r="AI142" s="59"/>
      <c r="AW142" s="43" t="s">
        <v>247</v>
      </c>
    </row>
    <row r="143" spans="2:50" x14ac:dyDescent="0.2">
      <c r="B143" s="43" t="s">
        <v>51</v>
      </c>
      <c r="C143" s="18">
        <f>AN143</f>
        <v>7.5023813435999998E-3</v>
      </c>
      <c r="D143" s="18">
        <f t="shared" ref="D143:D149" si="238">AO143</f>
        <v>-1.2492830168000001E-7</v>
      </c>
      <c r="E143" s="18">
        <f t="shared" ref="E143:E149" si="239">AP143</f>
        <v>1.36330826E-6</v>
      </c>
      <c r="F143" s="18">
        <f t="shared" ref="F143:F149" si="240">AQ143</f>
        <v>5.18614087464468E-8</v>
      </c>
      <c r="G143" s="18">
        <f t="shared" ref="G143:G149" si="241">AR143</f>
        <v>1.7573067977174699E-7</v>
      </c>
      <c r="H143" s="18">
        <f t="shared" ref="H143:H149" si="242">AS143</f>
        <v>1.6643955951916099E-7</v>
      </c>
      <c r="I143" s="2">
        <v>20.62</v>
      </c>
      <c r="J143" s="17">
        <f t="shared" ref="J143:J149" si="243">100*C143/0.1*N143</f>
        <v>5.0066766777447418</v>
      </c>
      <c r="K143" s="2">
        <f>C143/O143*100</f>
        <v>3.7513028320033741</v>
      </c>
      <c r="L143">
        <v>100</v>
      </c>
      <c r="M143">
        <v>75</v>
      </c>
      <c r="N143">
        <v>0.66734499999999997</v>
      </c>
      <c r="O143" s="2">
        <f t="shared" ref="O143:O149" si="244">MSL0.2</f>
        <v>0.19999402020000001</v>
      </c>
      <c r="P143" s="2">
        <f t="shared" ref="P143:P149" si="245">Ti_969</f>
        <v>0.1000646</v>
      </c>
      <c r="Q143">
        <v>1</v>
      </c>
      <c r="R143" s="52">
        <f t="shared" ref="R143:R149" si="246">Q143*D143/C143/N143</f>
        <v>-2.4952340588582603E-5</v>
      </c>
      <c r="S143" s="52">
        <f t="shared" ref="S143:S149" si="247">Q143*E143/C143/N143</f>
        <v>2.7229804274361537E-4</v>
      </c>
      <c r="T143" s="19">
        <f t="shared" ref="T143:T149" si="248">M143*N143*O143/(P143*U143*L143)</f>
        <v>0.99954443654245306</v>
      </c>
      <c r="U143" s="19">
        <f t="shared" ref="U143:U149" si="249">$AA$16</f>
        <v>1.0007972767333173</v>
      </c>
      <c r="V143" s="48">
        <f>AA$17</f>
        <v>2.3329884646001238E-4</v>
      </c>
      <c r="W143" s="19">
        <f t="shared" ref="W143:W149" si="250">R143+T143</f>
        <v>0.99951948420186443</v>
      </c>
      <c r="X143" s="2">
        <f t="shared" ref="X143:X149" si="251">1000*(W143-1)</f>
        <v>-0.48051579813557233</v>
      </c>
      <c r="Y143" s="2">
        <f t="shared" ref="Y143:Y149" si="252">1000*(S143-V143)</f>
        <v>3.8999196283602988E-2</v>
      </c>
      <c r="Z143" s="51">
        <f>((C143*N143)^2/P143-$AB$10)*$Z$28*0.001</f>
        <v>-2.6221743183270384E-6</v>
      </c>
      <c r="AA143" s="51">
        <f>(C143^2/O143-$Z$10)*$AB$5*0.001</f>
        <v>-4.8653836505551323E-7</v>
      </c>
      <c r="AB143" s="2">
        <f>0.5*(X143+X151)+AA143-Z143</f>
        <v>-0.48408697664824951</v>
      </c>
      <c r="AC143" s="2">
        <f t="shared" ref="AC143:AC149" si="253">0.5*(Y143+Y151)</f>
        <v>5.3903122637007105E-2</v>
      </c>
      <c r="AD143" s="2"/>
      <c r="AE143" s="168">
        <v>3.74</v>
      </c>
      <c r="AF143" s="59"/>
      <c r="AG143" s="178">
        <f>(AB143-AB120)*($AA$138-$AH$141)/($AA$138-$AA$161)</f>
        <v>-8.4234096184739649E-2</v>
      </c>
      <c r="AH143" s="178">
        <f>(AC143-AC120)*($AA$138-$AH$141)/($AA$138-$AA$161)</f>
        <v>0.24519536214290591</v>
      </c>
      <c r="AI143" s="59"/>
      <c r="AJ143" s="3"/>
      <c r="AK143" s="3"/>
      <c r="AM143" s="43" t="s">
        <v>194</v>
      </c>
      <c r="AN143" s="18">
        <v>7.5023813435999998E-3</v>
      </c>
      <c r="AO143" s="18">
        <v>-1.2492830168000001E-7</v>
      </c>
      <c r="AP143" s="18">
        <v>1.36330826E-6</v>
      </c>
      <c r="AQ143" s="18">
        <v>5.18614087464468E-8</v>
      </c>
      <c r="AR143" s="18">
        <v>1.7573067977174699E-7</v>
      </c>
      <c r="AS143" s="2">
        <v>1.6643955951916099E-7</v>
      </c>
      <c r="AT143">
        <v>9</v>
      </c>
      <c r="AU143">
        <v>1</v>
      </c>
      <c r="AW143">
        <f>VLOOKUP(AT143,Constants!$B$15:$L$33,2,FALSE)</f>
        <v>0.99371490585295241</v>
      </c>
      <c r="AX143">
        <f>VLOOKUP(AT143,Constants!$B$15:$L$33,3,FALSE)</f>
        <v>1.4986286639243325E-2</v>
      </c>
    </row>
    <row r="144" spans="2:50" x14ac:dyDescent="0.2">
      <c r="B144" s="5" t="s">
        <v>110</v>
      </c>
      <c r="C144" s="18">
        <f t="shared" ref="C144:C149" si="254">AN144</f>
        <v>1.5061862012E-2</v>
      </c>
      <c r="D144" s="18">
        <f t="shared" si="238"/>
        <v>-2.6303017669999999E-7</v>
      </c>
      <c r="E144" s="18">
        <f t="shared" si="239"/>
        <v>2.4105286E-6</v>
      </c>
      <c r="F144" s="18">
        <f t="shared" si="240"/>
        <v>7.62999997524371E-8</v>
      </c>
      <c r="G144" s="18">
        <f t="shared" si="241"/>
        <v>1.5986417292982599E-7</v>
      </c>
      <c r="H144" s="18">
        <f t="shared" si="242"/>
        <v>1.7700690659982701E-7</v>
      </c>
      <c r="I144" s="2">
        <v>20.62</v>
      </c>
      <c r="J144" s="17">
        <f t="shared" si="243"/>
        <v>10.051458304398139</v>
      </c>
      <c r="K144" s="2">
        <f t="shared" ref="K144:K149" si="255">C144/O144*100</f>
        <v>7.5311561800386269</v>
      </c>
      <c r="L144">
        <v>100</v>
      </c>
      <c r="M144">
        <v>75</v>
      </c>
      <c r="N144">
        <v>0.66734499999999997</v>
      </c>
      <c r="O144" s="2">
        <f t="shared" si="244"/>
        <v>0.19999402020000001</v>
      </c>
      <c r="P144" s="2">
        <f t="shared" si="245"/>
        <v>0.1000646</v>
      </c>
      <c r="Q144">
        <v>1</v>
      </c>
      <c r="R144" s="52">
        <f t="shared" si="246"/>
        <v>-2.6168359727951905E-5</v>
      </c>
      <c r="S144" s="52">
        <f t="shared" si="247"/>
        <v>2.3981879315414792E-4</v>
      </c>
      <c r="T144" s="19">
        <f t="shared" si="248"/>
        <v>0.99954443654245306</v>
      </c>
      <c r="U144" s="19">
        <f t="shared" si="249"/>
        <v>1.0007972767333173</v>
      </c>
      <c r="V144" s="48">
        <f t="shared" ref="V144:V149" si="256">AA$17</f>
        <v>2.3329884646001238E-4</v>
      </c>
      <c r="W144" s="19">
        <f t="shared" si="250"/>
        <v>0.99951826818272516</v>
      </c>
      <c r="X144" s="2">
        <f t="shared" si="251"/>
        <v>-0.48173181727484415</v>
      </c>
      <c r="Y144" s="2">
        <f t="shared" si="252"/>
        <v>6.5199466941355429E-3</v>
      </c>
      <c r="Z144" s="51">
        <f t="shared" ref="Z144:Z149" si="257">((C144*N144)^2/P144-$AB$10)*$Z$28*0.001</f>
        <v>-4.8752520938747576E-8</v>
      </c>
      <c r="AA144" s="51">
        <f t="shared" ref="AA144:AA149" si="258">(C144^2/O144-$Z$10)*$AB$5*0.001</f>
        <v>1.3130707346883258E-6</v>
      </c>
      <c r="AB144" s="2">
        <f t="shared" ref="AB144:AB149" si="259">0.5*(X144+X152)+AA144-Z144</f>
        <v>-0.48457985274575749</v>
      </c>
      <c r="AC144" s="2">
        <f t="shared" si="253"/>
        <v>2.3368023824349854E-2</v>
      </c>
      <c r="AD144" s="2"/>
      <c r="AE144" s="168">
        <v>7.53</v>
      </c>
      <c r="AF144" s="59"/>
      <c r="AG144" s="178">
        <f t="shared" ref="AG144:AH149" si="260">(AB143-AB121)*($AA$138-$AH$141)/($AA$138-$AA$161)</f>
        <v>-7.9639407759969416E-2</v>
      </c>
      <c r="AH144" s="178">
        <f t="shared" si="260"/>
        <v>0.25578349130283418</v>
      </c>
      <c r="AI144" s="59"/>
      <c r="AJ144" s="3"/>
      <c r="AK144" s="3"/>
      <c r="AM144" s="43" t="s">
        <v>194</v>
      </c>
      <c r="AN144" s="18">
        <v>1.5061862012E-2</v>
      </c>
      <c r="AO144" s="18">
        <v>-2.6303017669999999E-7</v>
      </c>
      <c r="AP144" s="18">
        <v>2.4105286E-6</v>
      </c>
      <c r="AQ144" s="18">
        <v>7.62999997524371E-8</v>
      </c>
      <c r="AR144" s="18">
        <v>1.5986417292982599E-7</v>
      </c>
      <c r="AS144" s="2">
        <v>1.7700690659982701E-7</v>
      </c>
      <c r="AT144">
        <v>10</v>
      </c>
      <c r="AU144">
        <v>1</v>
      </c>
      <c r="AW144">
        <f>VLOOKUP(AT144,Constants!$B$15:$L$33,2,FALSE)</f>
        <v>0.99248924126722049</v>
      </c>
      <c r="AX144">
        <f>VLOOKUP(AT144,Constants!$B$15:$L$33,3,FALSE)</f>
        <v>-2.7303958893031477E-4</v>
      </c>
    </row>
    <row r="145" spans="2:50" x14ac:dyDescent="0.2">
      <c r="B145" s="161" t="s">
        <v>213</v>
      </c>
      <c r="C145" s="18">
        <f t="shared" si="254"/>
        <v>3.0065351622000001E-2</v>
      </c>
      <c r="D145" s="18">
        <f t="shared" si="238"/>
        <v>-7.3109432999999995E-7</v>
      </c>
      <c r="E145" s="18">
        <f t="shared" si="239"/>
        <v>4.1794391000000001E-6</v>
      </c>
      <c r="F145" s="18">
        <f t="shared" si="240"/>
        <v>2.0623605759940299E-7</v>
      </c>
      <c r="G145" s="18">
        <f t="shared" si="241"/>
        <v>1.6447775337552801E-7</v>
      </c>
      <c r="H145" s="18">
        <f t="shared" si="242"/>
        <v>1.6225160990323001E-7</v>
      </c>
      <c r="I145" s="2">
        <v>20.62</v>
      </c>
      <c r="J145" s="17">
        <f t="shared" si="243"/>
        <v>20.063962078183586</v>
      </c>
      <c r="K145" s="2">
        <f t="shared" si="255"/>
        <v>15.033125286412938</v>
      </c>
      <c r="L145">
        <v>100</v>
      </c>
      <c r="M145">
        <v>75</v>
      </c>
      <c r="N145">
        <v>0.66734499999999997</v>
      </c>
      <c r="O145" s="2">
        <f t="shared" si="244"/>
        <v>0.19999402020000001</v>
      </c>
      <c r="P145" s="2">
        <f t="shared" si="245"/>
        <v>0.1000646</v>
      </c>
      <c r="Q145">
        <v>1</v>
      </c>
      <c r="R145" s="52">
        <f t="shared" si="246"/>
        <v>-3.6438183403214781E-5</v>
      </c>
      <c r="S145" s="52">
        <f t="shared" si="247"/>
        <v>2.0830577149786802E-4</v>
      </c>
      <c r="T145" s="19">
        <f t="shared" si="248"/>
        <v>0.99954443654245306</v>
      </c>
      <c r="U145" s="19">
        <f t="shared" si="249"/>
        <v>1.0007972767333173</v>
      </c>
      <c r="V145" s="48">
        <f t="shared" si="256"/>
        <v>2.3329884646001238E-4</v>
      </c>
      <c r="W145" s="19">
        <f t="shared" si="250"/>
        <v>0.9995079983590498</v>
      </c>
      <c r="X145" s="2">
        <f t="shared" si="251"/>
        <v>-0.49200164095020149</v>
      </c>
      <c r="Y145" s="2">
        <f t="shared" si="252"/>
        <v>-2.4993074962144358E-2</v>
      </c>
      <c r="Z145" s="51">
        <f t="shared" si="257"/>
        <v>1.0166028015950346E-5</v>
      </c>
      <c r="AA145" s="51">
        <f t="shared" si="258"/>
        <v>8.4563272442616823E-6</v>
      </c>
      <c r="AB145" s="2">
        <f t="shared" si="259"/>
        <v>-0.49433900572493267</v>
      </c>
      <c r="AC145" s="2">
        <f t="shared" si="253"/>
        <v>-7.5963429525208606E-3</v>
      </c>
      <c r="AD145" s="2"/>
      <c r="AE145" s="168">
        <v>15.07</v>
      </c>
      <c r="AF145" s="59"/>
      <c r="AG145" s="178">
        <f t="shared" si="260"/>
        <v>-7.6604301423378027E-2</v>
      </c>
      <c r="AH145" s="178">
        <f t="shared" si="260"/>
        <v>0.22972601501209497</v>
      </c>
      <c r="AI145" s="59"/>
      <c r="AJ145" s="3"/>
      <c r="AK145" s="3"/>
      <c r="AM145" s="43" t="s">
        <v>194</v>
      </c>
      <c r="AN145" s="18">
        <v>3.0065351622000001E-2</v>
      </c>
      <c r="AO145" s="18">
        <v>-7.3109432999999995E-7</v>
      </c>
      <c r="AP145" s="18">
        <v>4.1794391000000001E-6</v>
      </c>
      <c r="AQ145" s="18">
        <v>2.0623605759940299E-7</v>
      </c>
      <c r="AR145" s="18">
        <v>1.6447775337552801E-7</v>
      </c>
      <c r="AS145" s="2">
        <v>1.6225160990323001E-7</v>
      </c>
      <c r="AT145">
        <v>10</v>
      </c>
      <c r="AU145">
        <v>1</v>
      </c>
      <c r="AW145">
        <f>VLOOKUP(AT145,Constants!$B$15:$L$33,2,FALSE)</f>
        <v>0.99248924126722049</v>
      </c>
      <c r="AX145">
        <f>VLOOKUP(AT145,Constants!$B$15:$L$33,3,FALSE)</f>
        <v>-2.7303958893031477E-4</v>
      </c>
    </row>
    <row r="146" spans="2:50" x14ac:dyDescent="0.2">
      <c r="B146" s="67" t="s">
        <v>112</v>
      </c>
      <c r="C146" s="18">
        <f t="shared" si="254"/>
        <v>5.9950177610000002E-2</v>
      </c>
      <c r="D146" s="18">
        <f t="shared" si="238"/>
        <v>-1.8431247999999999E-6</v>
      </c>
      <c r="E146" s="18">
        <f t="shared" si="239"/>
        <v>7.0376608999999996E-6</v>
      </c>
      <c r="F146" s="18">
        <f t="shared" si="240"/>
        <v>4.5090324803741E-8</v>
      </c>
      <c r="G146" s="18">
        <f t="shared" si="241"/>
        <v>1.8135939141649099E-7</v>
      </c>
      <c r="H146" s="18">
        <f t="shared" si="242"/>
        <v>1.75556446489982E-7</v>
      </c>
      <c r="I146" s="2">
        <v>20.62</v>
      </c>
      <c r="J146" s="17">
        <f t="shared" si="243"/>
        <v>40.007451277145449</v>
      </c>
      <c r="K146" s="2">
        <f t="shared" si="255"/>
        <v>29.975985056977215</v>
      </c>
      <c r="L146">
        <v>100</v>
      </c>
      <c r="M146">
        <v>75</v>
      </c>
      <c r="N146">
        <v>0.66734499999999997</v>
      </c>
      <c r="O146" s="2">
        <f t="shared" si="244"/>
        <v>0.19999402020000001</v>
      </c>
      <c r="P146" s="2">
        <f t="shared" si="245"/>
        <v>0.1000646</v>
      </c>
      <c r="Q146">
        <v>1</v>
      </c>
      <c r="R146" s="52">
        <f t="shared" si="246"/>
        <v>-4.6069538077595523E-5</v>
      </c>
      <c r="S146" s="52">
        <f t="shared" si="247"/>
        <v>1.7590875387806358E-4</v>
      </c>
      <c r="T146" s="19">
        <f t="shared" si="248"/>
        <v>0.99954443654245306</v>
      </c>
      <c r="U146" s="19">
        <f t="shared" si="249"/>
        <v>1.0007972767333173</v>
      </c>
      <c r="V146" s="48">
        <f t="shared" si="256"/>
        <v>2.3329884646001238E-4</v>
      </c>
      <c r="W146" s="19">
        <f t="shared" si="250"/>
        <v>0.99949836700437544</v>
      </c>
      <c r="X146" s="2">
        <f t="shared" si="251"/>
        <v>-0.50163299562455688</v>
      </c>
      <c r="Y146" s="2">
        <f t="shared" si="252"/>
        <v>-5.7390092581948798E-2</v>
      </c>
      <c r="Z146" s="51">
        <f t="shared" si="257"/>
        <v>5.0751108361045955E-5</v>
      </c>
      <c r="AA146" s="51">
        <f t="shared" si="258"/>
        <v>3.6837714227535397E-5</v>
      </c>
      <c r="AB146" s="2">
        <f t="shared" si="259"/>
        <v>-0.50413283872327797</v>
      </c>
      <c r="AC146" s="2">
        <f t="shared" si="253"/>
        <v>-4.1005251121238748E-2</v>
      </c>
      <c r="AD146" s="2"/>
      <c r="AE146" s="169">
        <v>30</v>
      </c>
      <c r="AF146" s="59"/>
      <c r="AG146" s="178">
        <f t="shared" si="260"/>
        <v>-8.5019142264173606E-2</v>
      </c>
      <c r="AH146" s="178">
        <f t="shared" si="260"/>
        <v>0.18655081972963428</v>
      </c>
      <c r="AI146" s="59"/>
      <c r="AJ146" s="3"/>
      <c r="AK146" s="3"/>
      <c r="AM146" s="43" t="s">
        <v>194</v>
      </c>
      <c r="AN146" s="18">
        <v>5.9950177610000002E-2</v>
      </c>
      <c r="AO146" s="18">
        <v>-1.8431247999999999E-6</v>
      </c>
      <c r="AP146" s="18">
        <v>7.0376608999999996E-6</v>
      </c>
      <c r="AQ146" s="18">
        <v>4.5090324803741E-8</v>
      </c>
      <c r="AR146" s="18">
        <v>1.8135939141649099E-7</v>
      </c>
      <c r="AS146" s="2">
        <v>1.75556446489982E-7</v>
      </c>
      <c r="AT146">
        <v>11</v>
      </c>
      <c r="AU146">
        <v>1</v>
      </c>
      <c r="AW146">
        <f>VLOOKUP(AT146,Constants!$B$15:$L$33,2,FALSE)</f>
        <v>1.0014538869894722</v>
      </c>
      <c r="AX146">
        <f>VLOOKUP(AT146,Constants!$B$15:$L$33,3,FALSE)</f>
        <v>-1.6494401832275451E-4</v>
      </c>
    </row>
    <row r="147" spans="2:50" ht="13.5" x14ac:dyDescent="0.25">
      <c r="B147" s="163" t="s">
        <v>212</v>
      </c>
      <c r="C147" s="18">
        <f t="shared" si="254"/>
        <v>9.0042602439999994E-2</v>
      </c>
      <c r="D147" s="18">
        <f t="shared" si="238"/>
        <v>-3.1174539999999998E-6</v>
      </c>
      <c r="E147" s="18">
        <f t="shared" si="239"/>
        <v>9.3172566000000007E-6</v>
      </c>
      <c r="F147" s="18">
        <f t="shared" si="240"/>
        <v>5.1715350230252701E-8</v>
      </c>
      <c r="G147" s="18">
        <f t="shared" si="241"/>
        <v>1.6982250520469899E-7</v>
      </c>
      <c r="H147" s="18">
        <f t="shared" si="242"/>
        <v>1.6912408160412899E-7</v>
      </c>
      <c r="I147" s="2">
        <v>20.63</v>
      </c>
      <c r="J147" s="17">
        <f t="shared" si="243"/>
        <v>60.089480525321783</v>
      </c>
      <c r="K147" s="2">
        <f t="shared" si="255"/>
        <v>45.022647352133177</v>
      </c>
      <c r="L147">
        <v>100</v>
      </c>
      <c r="M147">
        <v>75</v>
      </c>
      <c r="N147">
        <v>0.66734499999999997</v>
      </c>
      <c r="O147" s="2">
        <f t="shared" si="244"/>
        <v>0.19999402020000001</v>
      </c>
      <c r="P147" s="2">
        <f t="shared" si="245"/>
        <v>0.1000646</v>
      </c>
      <c r="Q147">
        <v>1</v>
      </c>
      <c r="R147" s="52">
        <f t="shared" si="246"/>
        <v>-5.1880195547476904E-5</v>
      </c>
      <c r="S147" s="52">
        <f t="shared" si="247"/>
        <v>1.5505636791241181E-4</v>
      </c>
      <c r="T147" s="19">
        <f t="shared" si="248"/>
        <v>0.99954443654245306</v>
      </c>
      <c r="U147" s="19">
        <f t="shared" si="249"/>
        <v>1.0007972767333173</v>
      </c>
      <c r="V147" s="48">
        <f t="shared" si="256"/>
        <v>2.3329884646001238E-4</v>
      </c>
      <c r="W147" s="19">
        <f t="shared" si="250"/>
        <v>0.99949255634690559</v>
      </c>
      <c r="X147" s="2">
        <f t="shared" si="251"/>
        <v>-0.5074436530944082</v>
      </c>
      <c r="Y147" s="2">
        <f t="shared" si="252"/>
        <v>-7.8242478547600566E-2</v>
      </c>
      <c r="Z147" s="51">
        <f t="shared" si="257"/>
        <v>1.1884776323265088E-4</v>
      </c>
      <c r="AA147" s="51">
        <f t="shared" si="258"/>
        <v>8.4458108168950857E-5</v>
      </c>
      <c r="AB147" s="2">
        <f t="shared" si="259"/>
        <v>-0.50898109923685608</v>
      </c>
      <c r="AC147" s="2">
        <f t="shared" si="253"/>
        <v>-6.327550333890769E-2</v>
      </c>
      <c r="AD147" s="2"/>
      <c r="AE147" s="173">
        <v>45.1</v>
      </c>
      <c r="AF147" s="59"/>
      <c r="AG147" s="178">
        <f t="shared" si="260"/>
        <v>-9.1417549287362537E-2</v>
      </c>
      <c r="AH147" s="178">
        <f t="shared" si="260"/>
        <v>0.15154888485079809</v>
      </c>
      <c r="AI147" s="59"/>
      <c r="AJ147" s="3"/>
      <c r="AK147" s="3"/>
      <c r="AM147" s="43" t="s">
        <v>194</v>
      </c>
      <c r="AN147" s="18">
        <v>9.0042602439999994E-2</v>
      </c>
      <c r="AO147" s="18">
        <v>-3.1174539999999998E-6</v>
      </c>
      <c r="AP147" s="18">
        <v>9.3172566000000007E-6</v>
      </c>
      <c r="AQ147" s="18">
        <v>5.1715350230252701E-8</v>
      </c>
      <c r="AR147" s="18">
        <v>1.6982250520469899E-7</v>
      </c>
      <c r="AS147" s="2">
        <v>1.6912408160412899E-7</v>
      </c>
      <c r="AT147">
        <v>11</v>
      </c>
      <c r="AU147">
        <v>1</v>
      </c>
      <c r="AW147">
        <f>VLOOKUP(AT147,Constants!$B$15:$L$33,2,FALSE)</f>
        <v>1.0014538869894722</v>
      </c>
      <c r="AX147">
        <f>VLOOKUP(AT147,Constants!$B$15:$L$33,3,FALSE)</f>
        <v>-1.6494401832275451E-4</v>
      </c>
    </row>
    <row r="148" spans="2:50" x14ac:dyDescent="0.2">
      <c r="B148" s="66" t="s">
        <v>111</v>
      </c>
      <c r="C148" s="18">
        <f t="shared" si="254"/>
        <v>0.15032254987999999</v>
      </c>
      <c r="D148" s="18">
        <f t="shared" si="238"/>
        <v>-6.7342364999999997E-6</v>
      </c>
      <c r="E148" s="18">
        <f t="shared" si="239"/>
        <v>1.8618679000000001E-5</v>
      </c>
      <c r="F148" s="18">
        <f t="shared" si="240"/>
        <v>3.4924545804946002E-7</v>
      </c>
      <c r="G148" s="18">
        <f t="shared" si="241"/>
        <v>2.16775679680055E-7</v>
      </c>
      <c r="H148" s="18">
        <f t="shared" si="242"/>
        <v>1.8396499085152001E-7</v>
      </c>
      <c r="I148" s="2">
        <v>20.63</v>
      </c>
      <c r="J148" s="17">
        <f t="shared" si="243"/>
        <v>100.31700204966857</v>
      </c>
      <c r="K148" s="2">
        <f t="shared" si="255"/>
        <v>75.163522254151871</v>
      </c>
      <c r="L148">
        <v>100</v>
      </c>
      <c r="M148">
        <v>75</v>
      </c>
      <c r="N148">
        <v>0.66734499999999997</v>
      </c>
      <c r="O148" s="2">
        <f t="shared" si="244"/>
        <v>0.19999402020000001</v>
      </c>
      <c r="P148" s="2">
        <f t="shared" si="245"/>
        <v>0.1000646</v>
      </c>
      <c r="Q148">
        <v>1</v>
      </c>
      <c r="R148" s="52">
        <f t="shared" si="246"/>
        <v>-6.7129562909642863E-5</v>
      </c>
      <c r="S148" s="52">
        <f t="shared" si="247"/>
        <v>1.8559843914376137E-4</v>
      </c>
      <c r="T148" s="19">
        <f t="shared" si="248"/>
        <v>0.99954443654245306</v>
      </c>
      <c r="U148" s="19">
        <f t="shared" si="249"/>
        <v>1.0007972767333173</v>
      </c>
      <c r="V148" s="48">
        <f t="shared" si="256"/>
        <v>2.3329884646001238E-4</v>
      </c>
      <c r="W148" s="19">
        <f t="shared" si="250"/>
        <v>0.9994773069795434</v>
      </c>
      <c r="X148" s="2">
        <f t="shared" si="251"/>
        <v>-0.52269302045659938</v>
      </c>
      <c r="Y148" s="2">
        <f t="shared" si="252"/>
        <v>-4.7700407316251005E-2</v>
      </c>
      <c r="Z148" s="51">
        <f t="shared" si="257"/>
        <v>3.374439637890665E-4</v>
      </c>
      <c r="AA148" s="51">
        <f t="shared" si="258"/>
        <v>2.3732372549215659E-4</v>
      </c>
      <c r="AB148" s="2">
        <f t="shared" si="259"/>
        <v>-0.52506874859090369</v>
      </c>
      <c r="AC148" s="2">
        <f t="shared" si="253"/>
        <v>-2.8995526402221212E-2</v>
      </c>
      <c r="AD148" s="2"/>
      <c r="AE148" s="169"/>
      <c r="AF148" s="59"/>
      <c r="AG148" s="178">
        <f t="shared" si="260"/>
        <v>-9.0374969014643911E-2</v>
      </c>
      <c r="AH148" s="178">
        <f t="shared" si="260"/>
        <v>0.1477234651689657</v>
      </c>
      <c r="AI148" s="59"/>
      <c r="AJ148" s="3"/>
      <c r="AK148" s="3"/>
      <c r="AM148" s="43" t="s">
        <v>194</v>
      </c>
      <c r="AN148" s="18">
        <v>0.15032254987999999</v>
      </c>
      <c r="AO148" s="18">
        <v>-6.7342364999999997E-6</v>
      </c>
      <c r="AP148" s="18">
        <v>1.8618679000000001E-5</v>
      </c>
      <c r="AQ148" s="18">
        <v>3.4924545804946002E-7</v>
      </c>
      <c r="AR148" s="18">
        <v>2.16775679680055E-7</v>
      </c>
      <c r="AS148" s="2">
        <v>1.8396499085152001E-7</v>
      </c>
      <c r="AT148">
        <v>12</v>
      </c>
      <c r="AU148">
        <v>1</v>
      </c>
      <c r="AW148">
        <f>VLOOKUP(AT148,Constants!$B$15:$L$33,2,FALSE)</f>
        <v>1.0033014728677232</v>
      </c>
      <c r="AX148">
        <f>VLOOKUP(AT148,Constants!$B$15:$L$33,3,FALSE)</f>
        <v>-1.1639650509139207E-4</v>
      </c>
    </row>
    <row r="149" spans="2:50" x14ac:dyDescent="0.2">
      <c r="B149" s="162" t="s">
        <v>214</v>
      </c>
      <c r="C149" s="18">
        <f t="shared" si="254"/>
        <v>0.18042680874</v>
      </c>
      <c r="D149" s="18">
        <f t="shared" si="238"/>
        <v>-8.2913055999999997E-6</v>
      </c>
      <c r="E149" s="18">
        <f t="shared" si="239"/>
        <v>2.1187220000000001E-5</v>
      </c>
      <c r="F149" s="18">
        <f t="shared" si="240"/>
        <v>5.5145266311615305E-7</v>
      </c>
      <c r="G149" s="18">
        <f t="shared" si="241"/>
        <v>5.3941369914995703E-7</v>
      </c>
      <c r="H149" s="18">
        <f t="shared" si="242"/>
        <v>6.4287751461689799E-7</v>
      </c>
      <c r="I149" s="2">
        <v>20.64</v>
      </c>
      <c r="J149" s="17">
        <f t="shared" si="243"/>
        <v>120.40692867859528</v>
      </c>
      <c r="K149" s="2">
        <f t="shared" si="255"/>
        <v>90.216101741225955</v>
      </c>
      <c r="L149">
        <v>100</v>
      </c>
      <c r="M149">
        <v>75</v>
      </c>
      <c r="N149">
        <v>0.66734499999999997</v>
      </c>
      <c r="O149" s="2">
        <f t="shared" si="244"/>
        <v>0.19999402020000001</v>
      </c>
      <c r="P149" s="2">
        <f t="shared" si="245"/>
        <v>0.1000646</v>
      </c>
      <c r="Q149">
        <v>1</v>
      </c>
      <c r="R149" s="52">
        <f t="shared" si="246"/>
        <v>-6.8860701713704153E-5</v>
      </c>
      <c r="S149" s="52">
        <f t="shared" si="247"/>
        <v>1.7596346184159788E-4</v>
      </c>
      <c r="T149" s="19">
        <f t="shared" si="248"/>
        <v>0.99954443654245306</v>
      </c>
      <c r="U149" s="19">
        <f t="shared" si="249"/>
        <v>1.0007972767333173</v>
      </c>
      <c r="V149" s="48">
        <f t="shared" si="256"/>
        <v>2.3329884646001238E-4</v>
      </c>
      <c r="W149" s="19">
        <f t="shared" si="250"/>
        <v>0.99947557584073932</v>
      </c>
      <c r="X149" s="2">
        <f t="shared" si="251"/>
        <v>-0.52442415926068353</v>
      </c>
      <c r="Y149" s="2">
        <f t="shared" si="252"/>
        <v>-5.7335384618414503E-2</v>
      </c>
      <c r="Z149" s="51">
        <f t="shared" si="257"/>
        <v>4.8766307562454249E-4</v>
      </c>
      <c r="AA149" s="51">
        <f t="shared" si="258"/>
        <v>3.4237283982270191E-4</v>
      </c>
      <c r="AB149" s="2">
        <f t="shared" si="259"/>
        <v>-0.52690993766381478</v>
      </c>
      <c r="AC149" s="2">
        <f t="shared" si="253"/>
        <v>-3.9198161887223908E-2</v>
      </c>
      <c r="AD149" s="2"/>
      <c r="AE149" s="168"/>
      <c r="AF149" s="59"/>
      <c r="AG149" s="178">
        <f t="shared" si="260"/>
        <v>-0.1054059357627813</v>
      </c>
      <c r="AH149" s="178">
        <f t="shared" si="260"/>
        <v>0.18499345427294003</v>
      </c>
      <c r="AI149" s="59"/>
      <c r="AJ149" s="3"/>
      <c r="AK149" s="3"/>
      <c r="AM149" s="43" t="s">
        <v>194</v>
      </c>
      <c r="AN149" s="18">
        <v>0.18042680874</v>
      </c>
      <c r="AO149" s="18">
        <v>-8.2913055999999997E-6</v>
      </c>
      <c r="AP149" s="18">
        <v>2.1187220000000001E-5</v>
      </c>
      <c r="AQ149" s="18">
        <v>5.5145266311615305E-7</v>
      </c>
      <c r="AR149" s="18">
        <v>5.3941369914995703E-7</v>
      </c>
      <c r="AS149" s="2">
        <v>6.4287751461689799E-7</v>
      </c>
      <c r="AT149">
        <v>13</v>
      </c>
      <c r="AU149">
        <v>1</v>
      </c>
      <c r="AW149">
        <f>VLOOKUP(AT149,Constants!$B$15:$L$33,2,FALSE)</f>
        <v>1.000409916282643</v>
      </c>
      <c r="AX149">
        <f>VLOOKUP(AT149,Constants!$B$15:$L$33,3,FALSE)</f>
        <v>-7.0507061346368138E-5</v>
      </c>
    </row>
    <row r="150" spans="2:50" x14ac:dyDescent="0.2">
      <c r="I150" s="2"/>
      <c r="J150" s="17"/>
      <c r="K150" s="2"/>
      <c r="O150" s="2"/>
      <c r="P150" s="2"/>
      <c r="R150" s="52"/>
      <c r="S150" s="52"/>
      <c r="T150" s="19"/>
      <c r="U150" s="19"/>
      <c r="V150" s="48"/>
      <c r="W150" s="19"/>
      <c r="X150" s="2"/>
      <c r="Y150" s="2"/>
      <c r="AA150" s="2"/>
      <c r="AB150" s="2"/>
      <c r="AE150" s="168"/>
      <c r="AI150" s="3"/>
      <c r="AJ150" s="3"/>
    </row>
    <row r="151" spans="2:50" x14ac:dyDescent="0.2">
      <c r="B151" s="43" t="s">
        <v>52</v>
      </c>
      <c r="C151" s="18">
        <f t="shared" ref="C151:C161" si="261">AN151</f>
        <v>7.5024159730000001E-3</v>
      </c>
      <c r="D151" s="18">
        <f t="shared" ref="D151:D161" si="262">AO151</f>
        <v>-1.6070990069999999E-7</v>
      </c>
      <c r="E151" s="18">
        <f t="shared" ref="E151:E161" si="263">AP151</f>
        <v>1.3033618800000001E-6</v>
      </c>
      <c r="F151" s="18">
        <f t="shared" ref="F151:F161" si="264">AQ151</f>
        <v>5.2790766276126399E-8</v>
      </c>
      <c r="G151" s="18">
        <f t="shared" ref="G151:G161" si="265">AR151</f>
        <v>2.1784243912338899E-7</v>
      </c>
      <c r="H151" s="18">
        <f t="shared" ref="H151:H161" si="266">AS151</f>
        <v>1.9562864998845501E-7</v>
      </c>
      <c r="I151" s="2">
        <v>20.64</v>
      </c>
      <c r="J151" s="17">
        <f t="shared" ref="J151:J159" si="267">100*C151/0.1*N151</f>
        <v>5.0066997875016854</v>
      </c>
      <c r="K151" s="2">
        <f t="shared" ref="K151:K159" si="268">C151/O151*100</f>
        <v>3.7513201472210813</v>
      </c>
      <c r="L151">
        <v>100</v>
      </c>
      <c r="M151">
        <v>75</v>
      </c>
      <c r="N151">
        <v>0.66734499999999997</v>
      </c>
      <c r="O151" s="2">
        <f t="shared" ref="O151:O161" si="269">MSL0.2</f>
        <v>0.19999402020000001</v>
      </c>
      <c r="P151" s="2">
        <f t="shared" ref="P151:P161" si="270">Ti_969</f>
        <v>0.1000646</v>
      </c>
      <c r="Q151">
        <v>1</v>
      </c>
      <c r="R151" s="52">
        <f t="shared" ref="R151:R157" si="271">Q151*D151/C151/N151</f>
        <v>-3.2098968885888271E-5</v>
      </c>
      <c r="S151" s="52">
        <f t="shared" ref="S151:S157" si="272">Q151*E151/C151/N151</f>
        <v>2.6032355350197068E-4</v>
      </c>
      <c r="T151" s="19">
        <f t="shared" ref="T151:T157" si="273">M151*N151*O151/(P151*U151*L151)</f>
        <v>0.99954443654245306</v>
      </c>
      <c r="U151" s="19">
        <f t="shared" ref="U151:U158" si="274">$AA$16</f>
        <v>1.0007972767333173</v>
      </c>
      <c r="V151" s="48">
        <f>$AA$26</f>
        <v>1.9151650451155946E-4</v>
      </c>
      <c r="W151" s="19">
        <f t="shared" ref="W151:W157" si="275">R151+T151</f>
        <v>0.99951233757356717</v>
      </c>
      <c r="X151" s="2">
        <f t="shared" ref="X151:X157" si="276">1000*(W151-1)</f>
        <v>-0.48766242643283331</v>
      </c>
      <c r="Y151" s="2">
        <f t="shared" ref="Y151:Y157" si="277">1000*(S151-V151)</f>
        <v>6.8807048990411221E-2</v>
      </c>
      <c r="Z151" s="51">
        <f t="shared" ref="Z151:Z157" si="278">((C151*N151)^2/P151-$AB$10)*$Z$28*0.001</f>
        <v>-2.6221664790982458E-6</v>
      </c>
      <c r="AA151" s="51">
        <f>(C151^2/O151-$Z$10)*$AB$5*0.001</f>
        <v>-4.8653288303640376E-7</v>
      </c>
      <c r="AD151" s="18"/>
      <c r="AE151" s="168">
        <v>3.74</v>
      </c>
      <c r="AF151" s="3"/>
      <c r="AG151" s="3"/>
      <c r="AI151" s="3"/>
      <c r="AJ151" s="3"/>
      <c r="AM151" s="43" t="s">
        <v>195</v>
      </c>
      <c r="AN151" s="18">
        <v>7.5024159730000001E-3</v>
      </c>
      <c r="AO151" s="18">
        <v>-1.6070990069999999E-7</v>
      </c>
      <c r="AP151" s="18">
        <v>1.3033618800000001E-6</v>
      </c>
      <c r="AQ151" s="18">
        <v>5.2790766276126399E-8</v>
      </c>
      <c r="AR151" s="18">
        <v>2.1784243912338899E-7</v>
      </c>
      <c r="AS151" s="2">
        <v>1.9562864998845501E-7</v>
      </c>
      <c r="AT151">
        <v>9</v>
      </c>
      <c r="AU151">
        <v>1</v>
      </c>
      <c r="AW151">
        <f>VLOOKUP(AT151,Constants!$B$15:$L$33,2,FALSE)</f>
        <v>0.99371490585295241</v>
      </c>
      <c r="AX151">
        <f>VLOOKUP(AT151,Constants!$B$15:$L$33,3,FALSE)</f>
        <v>1.4986286639243325E-2</v>
      </c>
    </row>
    <row r="152" spans="2:50" x14ac:dyDescent="0.2">
      <c r="C152" s="18">
        <f t="shared" si="261"/>
        <v>1.5051575126E-2</v>
      </c>
      <c r="D152" s="18">
        <f t="shared" si="262"/>
        <v>-3.2009260799999999E-7</v>
      </c>
      <c r="E152" s="18">
        <f t="shared" si="263"/>
        <v>2.3276598E-6</v>
      </c>
      <c r="F152" s="18">
        <f t="shared" si="264"/>
        <v>9.1460183281004903E-8</v>
      </c>
      <c r="G152" s="18">
        <f t="shared" si="265"/>
        <v>2.5700527935136898E-7</v>
      </c>
      <c r="H152" s="18">
        <f t="shared" si="266"/>
        <v>1.9829638992669499E-7</v>
      </c>
      <c r="I152" s="2">
        <v>20.64</v>
      </c>
      <c r="J152" s="17">
        <f t="shared" si="267"/>
        <v>10.044593402460468</v>
      </c>
      <c r="K152" s="2">
        <f t="shared" si="268"/>
        <v>7.5260125832502256</v>
      </c>
      <c r="L152">
        <v>100</v>
      </c>
      <c r="M152">
        <v>75</v>
      </c>
      <c r="N152">
        <v>0.66734499999999997</v>
      </c>
      <c r="O152" s="2">
        <f t="shared" si="269"/>
        <v>0.19999402020000001</v>
      </c>
      <c r="P152" s="2">
        <f t="shared" si="270"/>
        <v>0.1000646</v>
      </c>
      <c r="Q152">
        <v>1</v>
      </c>
      <c r="R152" s="52">
        <f t="shared" si="271"/>
        <v>-3.1867154316230643E-5</v>
      </c>
      <c r="S152" s="52">
        <f t="shared" si="272"/>
        <v>2.3173260546612362E-4</v>
      </c>
      <c r="T152" s="19">
        <f t="shared" si="273"/>
        <v>0.99954443654245306</v>
      </c>
      <c r="U152" s="19">
        <f t="shared" si="274"/>
        <v>1.0007972767333173</v>
      </c>
      <c r="V152" s="48">
        <f t="shared" ref="V152:V161" si="279">$AA$26</f>
        <v>1.9151650451155946E-4</v>
      </c>
      <c r="W152" s="19">
        <f t="shared" si="275"/>
        <v>0.99951256938813682</v>
      </c>
      <c r="X152" s="2">
        <f t="shared" si="276"/>
        <v>-0.48743061186318215</v>
      </c>
      <c r="Y152" s="2">
        <f t="shared" si="277"/>
        <v>4.0216100954564162E-2</v>
      </c>
      <c r="Z152" s="51">
        <f t="shared" si="278"/>
        <v>-5.3426023607613819E-8</v>
      </c>
      <c r="AA152" s="51">
        <f t="shared" ref="AA152:AA157" si="280">(C152^2/O152-$Z$10)*$AB$5*0.001</f>
        <v>1.3098025266009055E-6</v>
      </c>
      <c r="AD152" s="18"/>
      <c r="AE152" s="168">
        <v>7.52</v>
      </c>
      <c r="AF152" s="3"/>
      <c r="AI152" s="3"/>
      <c r="AJ152" s="3"/>
      <c r="AM152" s="43" t="s">
        <v>195</v>
      </c>
      <c r="AN152">
        <v>1.5051575126E-2</v>
      </c>
      <c r="AO152" s="18">
        <v>-3.2009260799999999E-7</v>
      </c>
      <c r="AP152" s="18">
        <v>2.3276598E-6</v>
      </c>
      <c r="AQ152" s="18">
        <v>9.1460183281004903E-8</v>
      </c>
      <c r="AR152" s="18">
        <v>2.5700527935136898E-7</v>
      </c>
      <c r="AS152" s="2">
        <v>1.9829638992669499E-7</v>
      </c>
      <c r="AT152">
        <v>10</v>
      </c>
      <c r="AU152">
        <v>1</v>
      </c>
      <c r="AW152">
        <f>VLOOKUP(AT152,Constants!$B$15:$L$33,2,FALSE)</f>
        <v>0.99248924126722049</v>
      </c>
      <c r="AX152">
        <f>VLOOKUP(AT152,Constants!$B$15:$L$33,3,FALSE)</f>
        <v>-2.7303958893031477E-4</v>
      </c>
    </row>
    <row r="153" spans="2:50" x14ac:dyDescent="0.2">
      <c r="C153" s="18">
        <f t="shared" si="261"/>
        <v>3.0095802296E-2</v>
      </c>
      <c r="D153" s="18">
        <f t="shared" si="262"/>
        <v>-8.2565471000000002E-7</v>
      </c>
      <c r="E153" s="18">
        <f t="shared" si="263"/>
        <v>4.0433054999999999E-6</v>
      </c>
      <c r="F153" s="18">
        <f t="shared" si="264"/>
        <v>2.73680155016551E-8</v>
      </c>
      <c r="G153" s="18">
        <f t="shared" si="265"/>
        <v>2.50395753444195E-7</v>
      </c>
      <c r="H153" s="18">
        <f t="shared" si="266"/>
        <v>1.8305400062481599E-7</v>
      </c>
      <c r="I153" s="2">
        <v>20.64</v>
      </c>
      <c r="J153" s="17">
        <f t="shared" si="267"/>
        <v>20.08428318322412</v>
      </c>
      <c r="K153" s="2">
        <f t="shared" si="268"/>
        <v>15.048351078648899</v>
      </c>
      <c r="L153">
        <v>100</v>
      </c>
      <c r="M153">
        <v>75</v>
      </c>
      <c r="N153">
        <v>0.66734499999999997</v>
      </c>
      <c r="O153" s="2">
        <f t="shared" si="269"/>
        <v>0.19999402020000001</v>
      </c>
      <c r="P153" s="2">
        <f t="shared" si="270"/>
        <v>0.1000646</v>
      </c>
      <c r="Q153">
        <v>1</v>
      </c>
      <c r="R153" s="52">
        <f t="shared" si="271"/>
        <v>-4.1109493551138932E-5</v>
      </c>
      <c r="S153" s="52">
        <f t="shared" si="272"/>
        <v>2.0131689356866209E-4</v>
      </c>
      <c r="T153" s="19">
        <f t="shared" si="273"/>
        <v>0.99954443654245306</v>
      </c>
      <c r="U153" s="19">
        <f t="shared" si="274"/>
        <v>1.0007972767333173</v>
      </c>
      <c r="V153" s="48">
        <f t="shared" si="279"/>
        <v>1.9151650451155946E-4</v>
      </c>
      <c r="W153" s="19">
        <f t="shared" si="275"/>
        <v>0.99950332704890188</v>
      </c>
      <c r="X153" s="2">
        <f t="shared" si="276"/>
        <v>-0.49667295109812049</v>
      </c>
      <c r="Y153" s="2">
        <f t="shared" si="277"/>
        <v>9.8003890571026365E-3</v>
      </c>
      <c r="Z153" s="51">
        <f t="shared" si="278"/>
        <v>1.0193666314700252E-5</v>
      </c>
      <c r="AA153" s="51">
        <f t="shared" si="280"/>
        <v>8.4756548702195594E-6</v>
      </c>
      <c r="AD153" s="18"/>
      <c r="AE153" s="169">
        <v>15.05</v>
      </c>
      <c r="AF153" s="3"/>
      <c r="AI153" s="3"/>
      <c r="AJ153" s="3"/>
      <c r="AM153" s="43" t="s">
        <v>195</v>
      </c>
      <c r="AN153" s="18">
        <v>3.0095802296E-2</v>
      </c>
      <c r="AO153" s="18">
        <v>-8.2565471000000002E-7</v>
      </c>
      <c r="AP153" s="18">
        <v>4.0433054999999999E-6</v>
      </c>
      <c r="AQ153" s="18">
        <v>2.73680155016551E-8</v>
      </c>
      <c r="AR153" s="18">
        <v>2.50395753444195E-7</v>
      </c>
      <c r="AS153" s="2">
        <v>1.8305400062481599E-7</v>
      </c>
      <c r="AT153">
        <v>10</v>
      </c>
      <c r="AU153">
        <v>1</v>
      </c>
      <c r="AW153">
        <f>VLOOKUP(AT153,Constants!$B$15:$L$33,2,FALSE)</f>
        <v>0.99248924126722049</v>
      </c>
      <c r="AX153">
        <f>VLOOKUP(AT153,Constants!$B$15:$L$33,3,FALSE)</f>
        <v>-2.7303958893031477E-4</v>
      </c>
    </row>
    <row r="154" spans="2:50" x14ac:dyDescent="0.2">
      <c r="C154" s="18">
        <f t="shared" si="261"/>
        <v>5.9982274076E-2</v>
      </c>
      <c r="D154" s="18">
        <f t="shared" si="262"/>
        <v>-2.0431294999999998E-6</v>
      </c>
      <c r="E154" s="18">
        <f t="shared" si="263"/>
        <v>6.6806622000000004E-6</v>
      </c>
      <c r="F154" s="18">
        <f t="shared" si="264"/>
        <v>1.9324288136463699E-7</v>
      </c>
      <c r="G154" s="18">
        <f t="shared" si="265"/>
        <v>1.8726564010183501E-7</v>
      </c>
      <c r="H154" s="18">
        <f t="shared" si="266"/>
        <v>2.5092664774622898E-7</v>
      </c>
      <c r="I154" s="2">
        <v>20.65</v>
      </c>
      <c r="J154" s="17">
        <f t="shared" si="267"/>
        <v>40.028870693248216</v>
      </c>
      <c r="K154" s="2">
        <f t="shared" si="268"/>
        <v>29.992033769817684</v>
      </c>
      <c r="L154">
        <v>100</v>
      </c>
      <c r="M154">
        <v>75</v>
      </c>
      <c r="N154">
        <v>0.66734499999999997</v>
      </c>
      <c r="O154" s="2">
        <f t="shared" si="269"/>
        <v>0.19999402020000001</v>
      </c>
      <c r="P154" s="2">
        <f t="shared" si="270"/>
        <v>0.1000646</v>
      </c>
      <c r="Q154">
        <v>1</v>
      </c>
      <c r="R154" s="52">
        <f t="shared" si="271"/>
        <v>-5.1041397486754978E-5</v>
      </c>
      <c r="S154" s="52">
        <f t="shared" si="272"/>
        <v>1.6689609485103077E-4</v>
      </c>
      <c r="T154" s="19">
        <f t="shared" si="273"/>
        <v>0.99954443654245306</v>
      </c>
      <c r="U154" s="19">
        <f t="shared" si="274"/>
        <v>1.0007972767333173</v>
      </c>
      <c r="V154" s="48">
        <f t="shared" si="279"/>
        <v>1.9151650451155946E-4</v>
      </c>
      <c r="W154" s="19">
        <f t="shared" si="275"/>
        <v>0.99949339514496627</v>
      </c>
      <c r="X154" s="2">
        <f t="shared" si="276"/>
        <v>-0.50660485503373209</v>
      </c>
      <c r="Y154" s="2">
        <f t="shared" si="277"/>
        <v>-2.462040966052869E-2</v>
      </c>
      <c r="Z154" s="51">
        <f t="shared" si="278"/>
        <v>5.0809183755464567E-5</v>
      </c>
      <c r="AA154" s="51">
        <f t="shared" si="280"/>
        <v>3.6878326694707719E-5</v>
      </c>
      <c r="AD154" s="18"/>
      <c r="AE154" s="168">
        <v>30.02</v>
      </c>
      <c r="AF154" s="3"/>
      <c r="AI154" s="3"/>
      <c r="AJ154" s="3"/>
      <c r="AM154" s="43" t="s">
        <v>195</v>
      </c>
      <c r="AN154">
        <v>5.9982274076E-2</v>
      </c>
      <c r="AO154" s="18">
        <v>-2.0431294999999998E-6</v>
      </c>
      <c r="AP154" s="18">
        <v>6.6806622000000004E-6</v>
      </c>
      <c r="AQ154" s="18">
        <v>1.9324288136463699E-7</v>
      </c>
      <c r="AR154" s="18">
        <v>1.8726564010183501E-7</v>
      </c>
      <c r="AS154" s="18">
        <v>2.5092664774622898E-7</v>
      </c>
      <c r="AT154">
        <v>11</v>
      </c>
      <c r="AU154">
        <v>1</v>
      </c>
      <c r="AW154">
        <f>VLOOKUP(AT154,Constants!$B$15:$L$33,2,FALSE)</f>
        <v>1.0014538869894722</v>
      </c>
      <c r="AX154">
        <f>VLOOKUP(AT154,Constants!$B$15:$L$33,3,FALSE)</f>
        <v>-1.6494401832275451E-4</v>
      </c>
    </row>
    <row r="155" spans="2:50" x14ac:dyDescent="0.2">
      <c r="C155" s="18">
        <f t="shared" si="261"/>
        <v>9.0187120785999997E-2</v>
      </c>
      <c r="D155" s="18">
        <f t="shared" si="262"/>
        <v>-3.3033832E-6</v>
      </c>
      <c r="E155" s="18">
        <f t="shared" si="263"/>
        <v>8.6191043999999992E-6</v>
      </c>
      <c r="F155" s="18">
        <f t="shared" si="264"/>
        <v>5.4480814644122701E-8</v>
      </c>
      <c r="G155" s="18">
        <f t="shared" si="265"/>
        <v>2.45029143804895E-7</v>
      </c>
      <c r="H155" s="18">
        <f t="shared" si="266"/>
        <v>1.7584272645929899E-7</v>
      </c>
      <c r="I155" s="2">
        <v>20.65</v>
      </c>
      <c r="J155" s="17">
        <f t="shared" si="267"/>
        <v>60.185924120933166</v>
      </c>
      <c r="K155" s="2">
        <f t="shared" si="268"/>
        <v>45.094908685674788</v>
      </c>
      <c r="L155">
        <v>100</v>
      </c>
      <c r="M155">
        <v>75</v>
      </c>
      <c r="N155">
        <v>0.66734499999999997</v>
      </c>
      <c r="O155" s="2">
        <f t="shared" si="269"/>
        <v>0.19999402020000001</v>
      </c>
      <c r="P155" s="2">
        <f t="shared" si="270"/>
        <v>0.1000646</v>
      </c>
      <c r="Q155">
        <v>1</v>
      </c>
      <c r="R155" s="52">
        <f t="shared" si="271"/>
        <v>-5.488630852227882E-5</v>
      </c>
      <c r="S155" s="52">
        <f t="shared" si="272"/>
        <v>1.4320797638134466E-4</v>
      </c>
      <c r="T155" s="19">
        <f t="shared" si="273"/>
        <v>0.99954443654245306</v>
      </c>
      <c r="U155" s="19">
        <f t="shared" si="274"/>
        <v>1.0007972767333173</v>
      </c>
      <c r="V155" s="48">
        <f t="shared" si="279"/>
        <v>1.9151650451155946E-4</v>
      </c>
      <c r="W155" s="19">
        <f t="shared" si="275"/>
        <v>0.99948955023393082</v>
      </c>
      <c r="X155" s="2">
        <f t="shared" si="276"/>
        <v>-0.51044976606917647</v>
      </c>
      <c r="Y155" s="2">
        <f t="shared" si="277"/>
        <v>-4.8308528130214801E-2</v>
      </c>
      <c r="Z155" s="51">
        <f t="shared" si="278"/>
        <v>1.1924072259256829E-4</v>
      </c>
      <c r="AA155" s="51">
        <f t="shared" si="280"/>
        <v>8.4732906975992358E-5</v>
      </c>
      <c r="AD155" s="18"/>
      <c r="AE155" s="168">
        <v>45.1</v>
      </c>
      <c r="AF155" s="3"/>
      <c r="AI155" s="3"/>
      <c r="AJ155" s="3"/>
      <c r="AM155" s="43" t="s">
        <v>195</v>
      </c>
      <c r="AN155" s="18">
        <v>9.0187120785999997E-2</v>
      </c>
      <c r="AO155" s="18">
        <v>-3.3033832E-6</v>
      </c>
      <c r="AP155" s="18">
        <v>8.6191043999999992E-6</v>
      </c>
      <c r="AQ155" s="18">
        <v>5.4480814644122701E-8</v>
      </c>
      <c r="AR155" s="18">
        <v>2.45029143804895E-7</v>
      </c>
      <c r="AS155" s="18">
        <v>1.7584272645929899E-7</v>
      </c>
      <c r="AT155">
        <v>11</v>
      </c>
      <c r="AU155">
        <v>1</v>
      </c>
      <c r="AW155">
        <f>VLOOKUP(AT155,Constants!$B$15:$L$33,2,FALSE)</f>
        <v>1.0014538869894722</v>
      </c>
      <c r="AX155">
        <f>VLOOKUP(AT155,Constants!$B$15:$L$33,3,FALSE)</f>
        <v>-1.6494401832275451E-4</v>
      </c>
    </row>
    <row r="156" spans="2:50" x14ac:dyDescent="0.2">
      <c r="C156" s="18">
        <f t="shared" si="261"/>
        <v>0.1506151419</v>
      </c>
      <c r="D156" s="18">
        <f t="shared" si="262"/>
        <v>-7.2047972E-6</v>
      </c>
      <c r="E156" s="18">
        <f t="shared" si="263"/>
        <v>1.8215420999999999E-5</v>
      </c>
      <c r="F156" s="18">
        <f t="shared" si="264"/>
        <v>4.8015665090338102E-7</v>
      </c>
      <c r="G156" s="18">
        <f t="shared" si="265"/>
        <v>1.98157120917115E-7</v>
      </c>
      <c r="H156" s="18">
        <f t="shared" si="266"/>
        <v>2.4986970736565898E-7</v>
      </c>
      <c r="I156" s="2">
        <v>20.65</v>
      </c>
      <c r="J156" s="17">
        <f t="shared" si="267"/>
        <v>100.51226187125549</v>
      </c>
      <c r="K156" s="2">
        <f t="shared" si="268"/>
        <v>75.309822638387061</v>
      </c>
      <c r="L156">
        <v>100</v>
      </c>
      <c r="M156">
        <v>75</v>
      </c>
      <c r="N156">
        <v>0.66734499999999997</v>
      </c>
      <c r="O156" s="2">
        <f t="shared" si="269"/>
        <v>0.19999402020000001</v>
      </c>
      <c r="P156" s="2">
        <f t="shared" si="270"/>
        <v>0.1000646</v>
      </c>
      <c r="Q156">
        <v>1</v>
      </c>
      <c r="R156" s="52">
        <f t="shared" si="271"/>
        <v>-7.1680778701692203E-5</v>
      </c>
      <c r="S156" s="52">
        <f t="shared" si="272"/>
        <v>1.8122585902336804E-4</v>
      </c>
      <c r="T156" s="19">
        <f t="shared" si="273"/>
        <v>0.99954443654245306</v>
      </c>
      <c r="U156" s="19">
        <f t="shared" si="274"/>
        <v>1.0007972767333173</v>
      </c>
      <c r="V156" s="48">
        <f t="shared" si="279"/>
        <v>1.9151650451155946E-4</v>
      </c>
      <c r="W156" s="19">
        <f t="shared" si="275"/>
        <v>0.99947275576375139</v>
      </c>
      <c r="X156" s="2">
        <f t="shared" si="276"/>
        <v>-0.52724423624861405</v>
      </c>
      <c r="Y156" s="2">
        <f t="shared" si="277"/>
        <v>-1.0290645488191419E-2</v>
      </c>
      <c r="Z156" s="51">
        <f t="shared" si="278"/>
        <v>3.3877238959100387E-4</v>
      </c>
      <c r="AA156" s="51">
        <f t="shared" si="280"/>
        <v>2.3825270152085402E-4</v>
      </c>
      <c r="AD156" s="18"/>
      <c r="AE156" s="169"/>
      <c r="AF156" s="3"/>
      <c r="AI156" s="3"/>
      <c r="AJ156" s="3"/>
      <c r="AM156" s="43" t="s">
        <v>195</v>
      </c>
      <c r="AN156" s="18">
        <v>0.1506151419</v>
      </c>
      <c r="AO156" s="18">
        <v>-7.2047972E-6</v>
      </c>
      <c r="AP156" s="18">
        <v>1.8215420999999999E-5</v>
      </c>
      <c r="AQ156" s="18">
        <v>4.8015665090338102E-7</v>
      </c>
      <c r="AR156" s="18">
        <v>1.98157120917115E-7</v>
      </c>
      <c r="AS156" s="18">
        <v>2.4986970736565898E-7</v>
      </c>
      <c r="AT156">
        <v>12</v>
      </c>
      <c r="AU156">
        <v>1</v>
      </c>
      <c r="AW156">
        <f>VLOOKUP(AT156,Constants!$B$15:$L$33,2,FALSE)</f>
        <v>1.0033014728677232</v>
      </c>
      <c r="AX156">
        <f>VLOOKUP(AT156,Constants!$B$15:$L$33,3,FALSE)</f>
        <v>-1.1639650509139207E-4</v>
      </c>
    </row>
    <row r="157" spans="2:50" x14ac:dyDescent="0.2">
      <c r="C157" s="18">
        <f t="shared" si="261"/>
        <v>0.18016903808000001</v>
      </c>
      <c r="D157" s="18">
        <f t="shared" si="262"/>
        <v>-8.8422768000000006E-6</v>
      </c>
      <c r="E157" s="18">
        <f t="shared" si="263"/>
        <v>2.0494709E-5</v>
      </c>
      <c r="F157" s="18">
        <f t="shared" si="264"/>
        <v>1.2552113922493101E-6</v>
      </c>
      <c r="G157" s="18">
        <f t="shared" si="265"/>
        <v>1.8747553694218301E-7</v>
      </c>
      <c r="H157" s="18">
        <f t="shared" si="266"/>
        <v>2.7788047613857298E-7</v>
      </c>
      <c r="I157" s="2">
        <v>20.66</v>
      </c>
      <c r="J157" s="17">
        <f t="shared" si="267"/>
        <v>120.23490671749759</v>
      </c>
      <c r="K157" s="2">
        <f t="shared" si="268"/>
        <v>90.087212557568265</v>
      </c>
      <c r="L157">
        <v>100</v>
      </c>
      <c r="M157">
        <v>75</v>
      </c>
      <c r="N157">
        <v>0.66734499999999997</v>
      </c>
      <c r="O157" s="2">
        <f t="shared" si="269"/>
        <v>0.19999402020000001</v>
      </c>
      <c r="P157" s="2">
        <f t="shared" si="270"/>
        <v>0.1000646</v>
      </c>
      <c r="Q157">
        <v>1</v>
      </c>
      <c r="R157" s="52">
        <f t="shared" si="271"/>
        <v>-7.354167804841984E-5</v>
      </c>
      <c r="S157" s="52">
        <f t="shared" si="272"/>
        <v>1.7045556535552614E-4</v>
      </c>
      <c r="T157" s="19">
        <f t="shared" si="273"/>
        <v>0.99954443654245306</v>
      </c>
      <c r="U157" s="19">
        <f t="shared" si="274"/>
        <v>1.0007972767333173</v>
      </c>
      <c r="V157" s="48">
        <f t="shared" si="279"/>
        <v>1.9151650451155946E-4</v>
      </c>
      <c r="W157" s="19">
        <f t="shared" si="275"/>
        <v>0.99947089486440466</v>
      </c>
      <c r="X157" s="2">
        <f t="shared" si="276"/>
        <v>-0.52910513559534245</v>
      </c>
      <c r="Y157" s="2">
        <f t="shared" si="277"/>
        <v>-2.1060939156033315E-2</v>
      </c>
      <c r="Z157" s="51">
        <f t="shared" si="278"/>
        <v>4.8626073846126617E-4</v>
      </c>
      <c r="AA157" s="51">
        <f t="shared" si="280"/>
        <v>3.4139217714140261E-4</v>
      </c>
      <c r="AD157" s="18"/>
      <c r="AE157" s="173"/>
      <c r="AF157" s="3"/>
      <c r="AG157" s="167" t="s">
        <v>208</v>
      </c>
      <c r="AH157" s="168"/>
      <c r="AI157" s="185"/>
      <c r="AJ157" s="185"/>
      <c r="AK157" s="168"/>
      <c r="AM157" s="43" t="s">
        <v>195</v>
      </c>
      <c r="AN157" s="18">
        <v>0.18016903808000001</v>
      </c>
      <c r="AO157" s="18">
        <v>-8.8422768000000006E-6</v>
      </c>
      <c r="AP157" s="18">
        <v>2.0494709E-5</v>
      </c>
      <c r="AQ157" s="18">
        <v>1.2552113922493101E-6</v>
      </c>
      <c r="AR157" s="18">
        <v>1.8747553694218301E-7</v>
      </c>
      <c r="AS157" s="18">
        <v>2.7788047613857298E-7</v>
      </c>
      <c r="AT157">
        <v>13</v>
      </c>
      <c r="AU157">
        <v>1</v>
      </c>
      <c r="AW157">
        <f>VLOOKUP(AT157,Constants!$B$15:$L$33,2,FALSE)</f>
        <v>1.000409916282643</v>
      </c>
      <c r="AX157">
        <f>VLOOKUP(AT157,Constants!$B$15:$L$33,3,FALSE)</f>
        <v>-7.0507061346368138E-5</v>
      </c>
    </row>
    <row r="158" spans="2:50" x14ac:dyDescent="0.2">
      <c r="B158" s="164" t="s">
        <v>52</v>
      </c>
      <c r="C158" s="123">
        <f t="shared" si="261"/>
        <v>9.0056279771999995E-2</v>
      </c>
      <c r="D158" s="123">
        <f t="shared" si="262"/>
        <v>-2.9028068000000001E-6</v>
      </c>
      <c r="E158" s="123">
        <f t="shared" si="263"/>
        <v>5.5669349999999999E-6</v>
      </c>
      <c r="F158" s="123">
        <f t="shared" si="264"/>
        <v>9.0554215232191706E-8</v>
      </c>
      <c r="G158" s="123">
        <f t="shared" si="265"/>
        <v>2.0489029169719099E-7</v>
      </c>
      <c r="H158" s="123">
        <f t="shared" si="266"/>
        <v>2.07843424262111E-7</v>
      </c>
      <c r="I158" s="124">
        <v>20.66</v>
      </c>
      <c r="J158" s="125">
        <f t="shared" si="267"/>
        <v>60.098608024445333</v>
      </c>
      <c r="K158" s="124">
        <f t="shared" si="268"/>
        <v>45.029486222608568</v>
      </c>
      <c r="L158" s="122">
        <v>100</v>
      </c>
      <c r="M158" s="122">
        <v>75</v>
      </c>
      <c r="N158" s="126">
        <v>0.66734499999999997</v>
      </c>
      <c r="O158" s="124">
        <f t="shared" si="269"/>
        <v>0.19999402020000001</v>
      </c>
      <c r="P158" s="124">
        <f t="shared" si="270"/>
        <v>0.1000646</v>
      </c>
      <c r="Q158" s="126">
        <v>1</v>
      </c>
      <c r="R158" s="52">
        <f>Q158*D158/C158/N158</f>
        <v>-4.8300732669536581E-5</v>
      </c>
      <c r="S158" s="52">
        <f>Q158*E158/C158/N158</f>
        <v>9.2630015619257419E-5</v>
      </c>
      <c r="T158" s="19">
        <f>M158*N158*O158/(P158*U158*L158)</f>
        <v>0.99954443654245306</v>
      </c>
      <c r="U158" s="19">
        <f t="shared" si="274"/>
        <v>1.0007972767333173</v>
      </c>
      <c r="V158" s="48">
        <f t="shared" si="279"/>
        <v>1.9151650451155946E-4</v>
      </c>
      <c r="W158" s="19">
        <f>R158+T158</f>
        <v>0.99949613580978358</v>
      </c>
      <c r="X158" s="2">
        <f>1000*(W158-1)</f>
        <v>-0.50386419021641871</v>
      </c>
      <c r="Y158" s="2">
        <f>1000*(S158-V158)</f>
        <v>-9.8886488892302032E-2</v>
      </c>
      <c r="Z158" t="s">
        <v>68</v>
      </c>
      <c r="AA158" t="s">
        <v>67</v>
      </c>
      <c r="AB158" t="s">
        <v>66</v>
      </c>
      <c r="AE158" s="170" t="s">
        <v>205</v>
      </c>
      <c r="AF158" s="168"/>
      <c r="AG158" s="168"/>
      <c r="AH158" s="168"/>
      <c r="AI158" s="167"/>
      <c r="AJ158" s="168">
        <v>45.1</v>
      </c>
      <c r="AK158" s="168"/>
      <c r="AM158" s="43" t="s">
        <v>195</v>
      </c>
      <c r="AN158" s="18">
        <v>9.0056279771999995E-2</v>
      </c>
      <c r="AO158" s="18">
        <v>-2.9028068000000001E-6</v>
      </c>
      <c r="AP158" s="18">
        <v>5.5669349999999999E-6</v>
      </c>
      <c r="AQ158" s="18">
        <v>9.0554215232191706E-8</v>
      </c>
      <c r="AR158" s="18">
        <v>2.0489029169719099E-7</v>
      </c>
      <c r="AS158" s="18">
        <v>2.07843424262111E-7</v>
      </c>
      <c r="AT158">
        <v>11</v>
      </c>
      <c r="AU158">
        <v>1</v>
      </c>
      <c r="AW158">
        <f>VLOOKUP(AT158,Constants!$B$15:$L$33,2,FALSE)</f>
        <v>1.0014538869894722</v>
      </c>
      <c r="AX158">
        <f>VLOOKUP(AT158,Constants!$B$15:$L$33,3,FALSE)</f>
        <v>-1.6494401832275451E-4</v>
      </c>
    </row>
    <row r="159" spans="2:50" x14ac:dyDescent="0.2">
      <c r="B159" s="164" t="s">
        <v>199</v>
      </c>
      <c r="C159" s="123">
        <f t="shared" si="261"/>
        <v>9.1603762618000004E-2</v>
      </c>
      <c r="D159" s="123">
        <f t="shared" si="262"/>
        <v>-8.0447041000000098E-3</v>
      </c>
      <c r="E159" s="123">
        <f t="shared" si="263"/>
        <v>-5.2921667000000003E-4</v>
      </c>
      <c r="F159" s="123">
        <f t="shared" si="264"/>
        <v>6.8228506726601998E-9</v>
      </c>
      <c r="G159" s="123">
        <f t="shared" si="265"/>
        <v>6.97531497496534E-7</v>
      </c>
      <c r="H159" s="123">
        <f t="shared" si="266"/>
        <v>5.6323733993764005E-7</v>
      </c>
      <c r="I159" s="124">
        <v>20.67</v>
      </c>
      <c r="J159" s="125">
        <f t="shared" si="267"/>
        <v>61.131312964309203</v>
      </c>
      <c r="K159" s="124">
        <f t="shared" si="268"/>
        <v>45.803250780395082</v>
      </c>
      <c r="L159" s="122">
        <v>100</v>
      </c>
      <c r="M159" s="122">
        <v>75</v>
      </c>
      <c r="N159" s="126">
        <v>0.66734499999999997</v>
      </c>
      <c r="O159" s="124">
        <f t="shared" si="269"/>
        <v>0.19999402020000001</v>
      </c>
      <c r="P159" s="124">
        <f t="shared" si="270"/>
        <v>0.1000646</v>
      </c>
      <c r="Q159" s="126">
        <v>1</v>
      </c>
      <c r="R159" s="52">
        <f>Q159*D159/C159/N159</f>
        <v>-0.13159710972831246</v>
      </c>
      <c r="S159" s="52">
        <f>Q159*E159/C159/N159</f>
        <v>-8.6570473352826048E-3</v>
      </c>
      <c r="T159" s="19">
        <f>M159*N159*O159/(P159*U159*L159)</f>
        <v>0.99954443654245306</v>
      </c>
      <c r="U159" s="19">
        <f>$AA$16</f>
        <v>1.0007972767333173</v>
      </c>
      <c r="V159" s="48">
        <f t="shared" si="279"/>
        <v>1.9151650451155946E-4</v>
      </c>
      <c r="W159" s="19">
        <f>R159+T159</f>
        <v>0.86794732681414066</v>
      </c>
      <c r="X159" s="2">
        <f>1000*(W159-1)</f>
        <v>-132.05267318585933</v>
      </c>
      <c r="Y159" s="2">
        <f>1000*(S159-V159)</f>
        <v>-8.8485638397941653</v>
      </c>
      <c r="AA159" s="46">
        <f>100*-(X159-X158)/1000</f>
        <v>13.15488089956429</v>
      </c>
      <c r="AB159" s="46">
        <f>100*-(Y159-Y158)/1000</f>
        <v>0.87496773509018622</v>
      </c>
      <c r="AC159" s="46"/>
      <c r="AD159" s="46" t="s">
        <v>200</v>
      </c>
      <c r="AE159" s="46"/>
      <c r="AF159" s="46"/>
      <c r="AG159" s="46"/>
      <c r="AH159" s="46"/>
      <c r="AI159" s="46"/>
      <c r="AJ159" s="168">
        <v>45.8</v>
      </c>
      <c r="AK159" s="168"/>
      <c r="AM159" s="43" t="s">
        <v>195</v>
      </c>
      <c r="AN159" s="18">
        <v>9.1603762618000004E-2</v>
      </c>
      <c r="AO159" s="18">
        <v>-8.0447041000000098E-3</v>
      </c>
      <c r="AP159" s="18">
        <v>-5.2921667000000003E-4</v>
      </c>
      <c r="AQ159" s="18">
        <v>6.8228506726601998E-9</v>
      </c>
      <c r="AR159" s="18">
        <v>6.97531497496534E-7</v>
      </c>
      <c r="AS159" s="18">
        <v>5.6323733993764005E-7</v>
      </c>
      <c r="AT159">
        <v>20</v>
      </c>
      <c r="AU159">
        <v>1</v>
      </c>
      <c r="AW159">
        <f>VLOOKUP(AT159,Constants!$B$15:$L$33,2,FALSE)</f>
        <v>0.99947524245749575</v>
      </c>
      <c r="AX159">
        <f>VLOOKUP(AT159,Constants!$B$15:$L$33,3,FALSE)</f>
        <v>5.1024584713591989E-5</v>
      </c>
    </row>
    <row r="160" spans="2:50" x14ac:dyDescent="0.2">
      <c r="B160" s="164"/>
      <c r="C160" s="123">
        <f t="shared" si="261"/>
        <v>9.0176391526000002E-2</v>
      </c>
      <c r="D160" s="123">
        <f t="shared" si="262"/>
        <v>1.4016072E-5</v>
      </c>
      <c r="E160" s="123">
        <f t="shared" si="263"/>
        <v>-2.6177678E-4</v>
      </c>
      <c r="F160" s="123">
        <f t="shared" si="264"/>
        <v>2.8751488486929199E-8</v>
      </c>
      <c r="G160" s="123">
        <f t="shared" si="265"/>
        <v>7.9610117547959997E-8</v>
      </c>
      <c r="H160" s="123">
        <f t="shared" si="266"/>
        <v>1.2266797300029199E-7</v>
      </c>
      <c r="I160" s="124">
        <v>20.67</v>
      </c>
      <c r="J160" s="125">
        <f>100*C160/0.1*N160</f>
        <v>60.17876400291847</v>
      </c>
      <c r="K160" s="124">
        <f>C160/O160*100</f>
        <v>45.089543895272918</v>
      </c>
      <c r="L160" s="122">
        <v>100</v>
      </c>
      <c r="M160" s="122">
        <v>75</v>
      </c>
      <c r="N160" s="126">
        <v>0.66734499999999997</v>
      </c>
      <c r="O160" s="124">
        <f t="shared" si="269"/>
        <v>0.19999402020000001</v>
      </c>
      <c r="P160" s="124">
        <f t="shared" si="270"/>
        <v>0.1000646</v>
      </c>
      <c r="Q160" s="126">
        <v>1</v>
      </c>
      <c r="R160" s="52">
        <f>Q160*D160/C160/N160</f>
        <v>2.3290727605040654E-4</v>
      </c>
      <c r="S160" s="52">
        <f>Q160*E160/C160/N160</f>
        <v>-4.3499859848783982E-3</v>
      </c>
      <c r="T160" s="19">
        <f>M160*N160*O160/(P160*U160*L160)</f>
        <v>0.99954443654245306</v>
      </c>
      <c r="U160" s="19">
        <f>$AA$16</f>
        <v>1.0007972767333173</v>
      </c>
      <c r="V160" s="48">
        <f t="shared" si="279"/>
        <v>1.9151650451155946E-4</v>
      </c>
      <c r="W160" s="19">
        <f>R160+T160</f>
        <v>0.99977734381850347</v>
      </c>
      <c r="X160" s="2">
        <f>1000*(W160-1)</f>
        <v>-0.22265618149652777</v>
      </c>
      <c r="Y160" s="2">
        <f>1000*(S160-V160)</f>
        <v>-4.5415024893899574</v>
      </c>
      <c r="AA160" s="46">
        <f>100*-(X160-X158)/1000</f>
        <v>-2.8120800871989093E-2</v>
      </c>
      <c r="AB160" s="46">
        <f>100*-(Y160-Y158)/1000</f>
        <v>0.44426160004976556</v>
      </c>
      <c r="AC160" s="46"/>
      <c r="AD160" s="46" t="s">
        <v>201</v>
      </c>
      <c r="AE160" s="46"/>
      <c r="AF160" s="46"/>
      <c r="AG160" s="46"/>
      <c r="AH160" s="46"/>
      <c r="AI160" s="46"/>
      <c r="AJ160" s="168">
        <v>45.1</v>
      </c>
      <c r="AK160" s="168"/>
      <c r="AM160" s="43" t="s">
        <v>195</v>
      </c>
      <c r="AN160" s="18">
        <v>9.0176391526000002E-2</v>
      </c>
      <c r="AO160" s="18">
        <v>1.4016072E-5</v>
      </c>
      <c r="AP160" s="18">
        <v>-2.6177678E-4</v>
      </c>
      <c r="AQ160" s="18">
        <v>2.8751488486929199E-8</v>
      </c>
      <c r="AR160" s="18">
        <v>7.9610117547959997E-8</v>
      </c>
      <c r="AS160" s="18">
        <v>1.2266797300029199E-7</v>
      </c>
      <c r="AT160">
        <v>16</v>
      </c>
      <c r="AU160">
        <v>1</v>
      </c>
      <c r="AW160">
        <f>VLOOKUP(AT160,Constants!$B$15:$L$33,2,FALSE)</f>
        <v>0.9966633075004292</v>
      </c>
      <c r="AX160">
        <f>VLOOKUP(AT160,Constants!$B$15:$L$33,3,FALSE)</f>
        <v>5.1115740718113127E-6</v>
      </c>
    </row>
    <row r="161" spans="2:50" x14ac:dyDescent="0.2">
      <c r="B161" s="164" t="s">
        <v>209</v>
      </c>
      <c r="C161" s="123">
        <f t="shared" si="261"/>
        <v>9.0369660456000006E-2</v>
      </c>
      <c r="D161" s="123">
        <f t="shared" si="262"/>
        <v>-9.0523782999999997E-4</v>
      </c>
      <c r="E161" s="123">
        <f t="shared" si="263"/>
        <v>-5.5668020000000099E-5</v>
      </c>
      <c r="F161" s="123">
        <f t="shared" si="264"/>
        <v>2.9358030570911701E-8</v>
      </c>
      <c r="G161" s="123">
        <f t="shared" si="265"/>
        <v>1.16081700108149E-7</v>
      </c>
      <c r="H161" s="123">
        <f t="shared" si="266"/>
        <v>3.3049798789100298E-8</v>
      </c>
      <c r="I161" s="124">
        <v>20.68</v>
      </c>
      <c r="J161" s="125">
        <f>100*C161/0.1*N161</f>
        <v>60.307741057009309</v>
      </c>
      <c r="K161" s="124">
        <f>C161/O161*100</f>
        <v>45.186181249633186</v>
      </c>
      <c r="L161" s="122">
        <v>100</v>
      </c>
      <c r="M161" s="122">
        <v>75</v>
      </c>
      <c r="N161" s="126">
        <v>0.66734499999999997</v>
      </c>
      <c r="O161" s="124">
        <f t="shared" si="269"/>
        <v>0.19999402020000001</v>
      </c>
      <c r="P161" s="124">
        <f t="shared" si="270"/>
        <v>0.1000646</v>
      </c>
      <c r="Q161" s="126">
        <v>1</v>
      </c>
      <c r="R161" s="52">
        <f>Q161*D161/C161/N161</f>
        <v>-1.5010309027232049E-2</v>
      </c>
      <c r="S161" s="52">
        <f>Q161*E161/C161/N161</f>
        <v>-9.2306591200915216E-4</v>
      </c>
      <c r="T161" s="19">
        <f>M161*N161*O161/(P161*U161*L161)</f>
        <v>0.99954443654245306</v>
      </c>
      <c r="U161" s="19">
        <f>$AA$16</f>
        <v>1.0007972767333173</v>
      </c>
      <c r="V161" s="48">
        <f t="shared" si="279"/>
        <v>1.9151650451155946E-4</v>
      </c>
      <c r="W161" s="19">
        <f>R161+T161</f>
        <v>0.98453412751522107</v>
      </c>
      <c r="X161" s="2">
        <f>1000*(W161-1)</f>
        <v>-15.465872484778931</v>
      </c>
      <c r="Y161" s="2">
        <f>1000*(S161-V161)</f>
        <v>-1.1145824165207117</v>
      </c>
      <c r="AA161" s="46">
        <f>1000*-(X161-X158)/1000</f>
        <v>14.962008294562512</v>
      </c>
      <c r="AB161" s="46">
        <f>1000*-(Y161-Y158)/1000</f>
        <v>1.0156959276284097</v>
      </c>
      <c r="AC161" s="46"/>
      <c r="AD161" s="46" t="s">
        <v>207</v>
      </c>
      <c r="AE161" s="46"/>
      <c r="AF161" s="46"/>
      <c r="AG161" s="46"/>
      <c r="AH161" s="46"/>
      <c r="AI161" s="46"/>
      <c r="AJ161" s="168">
        <v>45.2</v>
      </c>
      <c r="AK161" s="168"/>
      <c r="AM161" s="43" t="s">
        <v>195</v>
      </c>
      <c r="AN161" s="18">
        <v>9.0369660456000006E-2</v>
      </c>
      <c r="AO161" s="18">
        <v>-9.0523782999999997E-4</v>
      </c>
      <c r="AP161" s="18">
        <v>-5.5668020000000099E-5</v>
      </c>
      <c r="AQ161" s="18">
        <v>2.9358030570911701E-8</v>
      </c>
      <c r="AR161" s="18">
        <v>1.16081700108149E-7</v>
      </c>
      <c r="AS161" s="18">
        <v>3.3049798789100298E-8</v>
      </c>
      <c r="AT161">
        <v>17</v>
      </c>
      <c r="AU161">
        <v>1</v>
      </c>
      <c r="AW161">
        <f>VLOOKUP(AT161,Constants!$B$15:$L$33,2,FALSE)</f>
        <v>0.99520419756607237</v>
      </c>
      <c r="AX161">
        <f>VLOOKUP(AT161,Constants!$B$15:$L$33,3,FALSE)</f>
        <v>5.4950063616585211E-6</v>
      </c>
    </row>
    <row r="162" spans="2:50" x14ac:dyDescent="0.2">
      <c r="R162" s="52"/>
      <c r="S162" s="52"/>
      <c r="T162" s="19"/>
      <c r="U162" s="19"/>
      <c r="V162" s="48"/>
      <c r="W162" s="19"/>
      <c r="X162" s="2"/>
      <c r="Y162" s="2"/>
      <c r="Z162" s="2"/>
      <c r="AA162" s="2"/>
      <c r="AB162" s="2"/>
      <c r="AC162" s="2"/>
    </row>
    <row r="163" spans="2:50" x14ac:dyDescent="0.2">
      <c r="R163" s="52"/>
      <c r="S163" s="52"/>
      <c r="T163" s="19"/>
      <c r="U163" s="19"/>
      <c r="V163" s="48"/>
      <c r="W163" s="19"/>
      <c r="X163" s="2"/>
      <c r="Y163" s="2"/>
    </row>
    <row r="164" spans="2:50" x14ac:dyDescent="0.2">
      <c r="B164" s="45" t="s">
        <v>215</v>
      </c>
      <c r="R164" s="50"/>
      <c r="S164" s="50"/>
      <c r="V164" s="47"/>
      <c r="AB164" t="s">
        <v>64</v>
      </c>
      <c r="AE164" s="170" t="s">
        <v>202</v>
      </c>
    </row>
    <row r="165" spans="2:50" x14ac:dyDescent="0.2">
      <c r="C165" s="5" t="str">
        <f>B169&amp;" range, "&amp;B171&amp;", vs shunts and 100 AT on "&amp;B173&amp;" range."</f>
        <v>75/1 range, l - 1200At(1A), vs shunts and 100 AT on 100/1 range.</v>
      </c>
      <c r="J165" s="5" t="s">
        <v>210</v>
      </c>
      <c r="R165" s="50"/>
      <c r="S165" s="50"/>
      <c r="V165" s="47"/>
      <c r="AB165" t="s">
        <v>65</v>
      </c>
      <c r="AE165" s="170" t="s">
        <v>203</v>
      </c>
    </row>
    <row r="166" spans="2:50" x14ac:dyDescent="0.2">
      <c r="B166" s="4">
        <v>43377</v>
      </c>
      <c r="E166" s="18"/>
      <c r="F166" s="18"/>
      <c r="G166" s="18"/>
      <c r="H166" s="18"/>
      <c r="R166" s="50"/>
      <c r="S166" s="50"/>
      <c r="V166" s="47"/>
      <c r="AB166" t="s">
        <v>6</v>
      </c>
      <c r="AC166" t="s">
        <v>7</v>
      </c>
      <c r="AE166" s="170" t="s">
        <v>204</v>
      </c>
      <c r="AW166" s="43" t="s">
        <v>247</v>
      </c>
    </row>
    <row r="167" spans="2:50" x14ac:dyDescent="0.2">
      <c r="B167" s="43" t="s">
        <v>51</v>
      </c>
      <c r="C167" s="18">
        <f>AN167</f>
        <v>7.4968909047999997E-3</v>
      </c>
      <c r="D167" s="18">
        <f>AO167*AW167</f>
        <v>2.6024943945741457E-7</v>
      </c>
      <c r="E167" s="18">
        <f t="shared" ref="E167:E173" si="281">AP167</f>
        <v>-5.3521089549999998E-8</v>
      </c>
      <c r="F167" s="18">
        <f t="shared" ref="F167:F173" si="282">AQ167</f>
        <v>2.9966422496532203E-8</v>
      </c>
      <c r="G167" s="18">
        <f t="shared" ref="G167:G173" si="283">AR167</f>
        <v>1.5137968071130701E-7</v>
      </c>
      <c r="H167" s="18">
        <f t="shared" ref="H167:H173" si="284">AS167</f>
        <v>1.7492869534408699E-7</v>
      </c>
      <c r="I167" s="2">
        <v>20.71</v>
      </c>
      <c r="J167" s="17">
        <f t="shared" ref="J167:J173" si="285">100*C167/0.1*N167</f>
        <v>5.0030126608637557</v>
      </c>
      <c r="K167" s="2">
        <f>C167/O167*100</f>
        <v>3.7485575305216048</v>
      </c>
      <c r="L167">
        <v>100</v>
      </c>
      <c r="M167">
        <v>75</v>
      </c>
      <c r="N167">
        <v>0.66734499999999997</v>
      </c>
      <c r="O167" s="2">
        <f t="shared" ref="O167:O173" si="286">MSL0.2</f>
        <v>0.19999402020000001</v>
      </c>
      <c r="P167" s="2">
        <f t="shared" ref="P167:P173" si="287">Ti_969</f>
        <v>0.1000646</v>
      </c>
      <c r="Q167">
        <v>1</v>
      </c>
      <c r="R167" s="52">
        <f t="shared" ref="R167:R173" si="288">Q167*D167/C167/N167</f>
        <v>5.2018545044513899E-5</v>
      </c>
      <c r="S167" s="52">
        <f t="shared" ref="S167:S173" si="289">Q167*E167/C167/N167</f>
        <v>-1.0697772158097984E-5</v>
      </c>
      <c r="T167" s="19">
        <f t="shared" ref="T167:T173" si="290">M167*N167*O167/(P167*U167*L167)</f>
        <v>0.99954443654245306</v>
      </c>
      <c r="U167" s="19">
        <f t="shared" ref="U167:U173" si="291">$AA$16</f>
        <v>1.0007972767333173</v>
      </c>
      <c r="V167" s="48">
        <f>AA$17</f>
        <v>2.3329884646001238E-4</v>
      </c>
      <c r="W167" s="19">
        <f t="shared" ref="W167:W173" si="292">R167+T167</f>
        <v>0.99959645508749762</v>
      </c>
      <c r="X167" s="2">
        <f t="shared" ref="X167:X173" si="293">1000*(W167-1)</f>
        <v>-0.40354491250238489</v>
      </c>
      <c r="Y167" s="2">
        <f t="shared" ref="Y167:Y173" si="294">1000*(S167-V167)</f>
        <v>-0.24399661861811037</v>
      </c>
      <c r="Z167" s="51">
        <f t="shared" ref="Z167:Z173" si="295">((C167*N167)^2/P167-$AB$10)*$Z$28*0.001</f>
        <v>-2.623416758491555E-6</v>
      </c>
      <c r="AA167" s="51">
        <f>(C167^2/O167-$Z$10)*$AB$5*0.001</f>
        <v>-4.874072108188549E-7</v>
      </c>
      <c r="AB167" s="2">
        <f t="shared" ref="AB167:AB173" si="296">0.5*(X167+X175)+AA167-Z167</f>
        <v>-0.40814660287301563</v>
      </c>
      <c r="AC167" s="2">
        <f t="shared" ref="AC167:AC173" si="297">0.5*(Y167+Y175)</f>
        <v>-0.17247652250447981</v>
      </c>
      <c r="AD167" s="2"/>
      <c r="AE167" s="168">
        <v>3.74</v>
      </c>
      <c r="AG167" s="17"/>
      <c r="AH167" s="11"/>
      <c r="AI167" s="11"/>
      <c r="AM167" s="43" t="s">
        <v>194</v>
      </c>
      <c r="AN167" s="18">
        <v>7.4968909047999997E-3</v>
      </c>
      <c r="AO167" s="18">
        <v>2.6049759319000001E-7</v>
      </c>
      <c r="AP167" s="18">
        <v>-5.3521089549999998E-8</v>
      </c>
      <c r="AQ167" s="18">
        <v>2.9966422496532203E-8</v>
      </c>
      <c r="AR167" s="18">
        <v>1.5137968071130701E-7</v>
      </c>
      <c r="AS167" s="18">
        <v>1.7492869534408699E-7</v>
      </c>
      <c r="AT167">
        <v>8</v>
      </c>
      <c r="AU167">
        <v>1</v>
      </c>
      <c r="AW167">
        <f>VLOOKUP(AT167,Constants!$B$15:$L$33,2,FALSE)</f>
        <v>0.99904738569924345</v>
      </c>
      <c r="AX167">
        <f>VLOOKUP(AT167,Constants!$B$15:$L$33,3,FALSE)</f>
        <v>-1.1844458223459616E-2</v>
      </c>
    </row>
    <row r="168" spans="2:50" x14ac:dyDescent="0.2">
      <c r="B168" s="5" t="s">
        <v>110</v>
      </c>
      <c r="C168" s="18">
        <f t="shared" ref="C168:C173" si="298">AN168</f>
        <v>1.5031564359999999E-2</v>
      </c>
      <c r="D168" s="18">
        <f t="shared" ref="D168:D181" si="299">AO168*AW168</f>
        <v>4.2704481609952901E-7</v>
      </c>
      <c r="E168" s="18">
        <f t="shared" si="281"/>
        <v>-2.4532742579999998E-7</v>
      </c>
      <c r="F168" s="18">
        <f t="shared" si="282"/>
        <v>6.4079019900271897E-8</v>
      </c>
      <c r="G168" s="18">
        <f t="shared" si="283"/>
        <v>1.6848836143158899E-7</v>
      </c>
      <c r="H168" s="18">
        <f t="shared" si="284"/>
        <v>1.7611369597979E-7</v>
      </c>
      <c r="I168" s="2">
        <v>20.71</v>
      </c>
      <c r="J168" s="17">
        <f t="shared" si="285"/>
        <v>10.031239317824198</v>
      </c>
      <c r="K168" s="2">
        <f t="shared" ref="K168:K173" si="300">C168/O168*100</f>
        <v>7.5160069010903348</v>
      </c>
      <c r="L168">
        <v>100</v>
      </c>
      <c r="M168">
        <v>75</v>
      </c>
      <c r="N168">
        <v>0.66734499999999997</v>
      </c>
      <c r="O168" s="2">
        <f t="shared" si="286"/>
        <v>0.19999402020000001</v>
      </c>
      <c r="P168" s="2">
        <f t="shared" si="287"/>
        <v>0.1000646</v>
      </c>
      <c r="Q168">
        <v>1</v>
      </c>
      <c r="R168" s="52">
        <f t="shared" si="288"/>
        <v>4.2571491175644295E-5</v>
      </c>
      <c r="S168" s="52">
        <f t="shared" si="289"/>
        <v>-2.4456342633964008E-5</v>
      </c>
      <c r="T168" s="19">
        <f t="shared" si="290"/>
        <v>0.99954443654245306</v>
      </c>
      <c r="U168" s="19">
        <f t="shared" si="291"/>
        <v>1.0007972767333173</v>
      </c>
      <c r="V168" s="48">
        <f t="shared" ref="V168:V173" si="301">AA$17</f>
        <v>2.3329884646001238E-4</v>
      </c>
      <c r="W168" s="19">
        <f t="shared" si="292"/>
        <v>0.99958700803362865</v>
      </c>
      <c r="X168" s="2">
        <f t="shared" si="293"/>
        <v>-0.4129919663713455</v>
      </c>
      <c r="Y168" s="2">
        <f t="shared" si="294"/>
        <v>-0.25775518909397638</v>
      </c>
      <c r="Z168" s="51">
        <f t="shared" si="295"/>
        <v>-6.2508099159008699E-8</v>
      </c>
      <c r="AA168" s="51">
        <f t="shared" ref="AA168:AA173" si="302">(C168^2/O168-$Z$10)*$AB$5*0.001</f>
        <v>1.3034513773942583E-6</v>
      </c>
      <c r="AB168" s="2">
        <f t="shared" si="296"/>
        <v>-0.41103187661221352</v>
      </c>
      <c r="AC168" s="2">
        <f t="shared" si="297"/>
        <v>-0.17795502867567939</v>
      </c>
      <c r="AD168" s="2"/>
      <c r="AE168" s="169">
        <v>7.5</v>
      </c>
      <c r="AG168" s="17"/>
      <c r="AH168" s="11"/>
      <c r="AI168" s="11"/>
      <c r="AM168" s="43" t="s">
        <v>194</v>
      </c>
      <c r="AN168" s="18">
        <v>1.5031564359999999E-2</v>
      </c>
      <c r="AO168" s="18">
        <v>4.2745201299999998E-7</v>
      </c>
      <c r="AP168" s="18">
        <v>-2.4532742579999998E-7</v>
      </c>
      <c r="AQ168" s="18">
        <v>6.4079019900271897E-8</v>
      </c>
      <c r="AR168" s="18">
        <v>1.6848836143158899E-7</v>
      </c>
      <c r="AS168" s="18">
        <v>1.7611369597979E-7</v>
      </c>
      <c r="AT168">
        <v>8</v>
      </c>
      <c r="AU168">
        <v>1</v>
      </c>
      <c r="AW168">
        <f>VLOOKUP(AT168,Constants!$B$15:$L$33,2,FALSE)</f>
        <v>0.99904738569924345</v>
      </c>
      <c r="AX168">
        <f>VLOOKUP(AT168,Constants!$B$15:$L$33,3,FALSE)</f>
        <v>-1.1844458223459616E-2</v>
      </c>
    </row>
    <row r="169" spans="2:50" x14ac:dyDescent="0.2">
      <c r="B169" s="161" t="s">
        <v>213</v>
      </c>
      <c r="C169" s="18">
        <f t="shared" si="298"/>
        <v>3.0061276695999999E-2</v>
      </c>
      <c r="D169" s="18">
        <f t="shared" si="299"/>
        <v>7.5832768387697943E-7</v>
      </c>
      <c r="E169" s="18">
        <f t="shared" si="281"/>
        <v>-7.9851423000000001E-7</v>
      </c>
      <c r="F169" s="18">
        <f t="shared" si="282"/>
        <v>1.06742567481822E-7</v>
      </c>
      <c r="G169" s="18">
        <f t="shared" si="283"/>
        <v>1.6816103966600001E-7</v>
      </c>
      <c r="H169" s="18">
        <f t="shared" si="284"/>
        <v>1.69352476941547E-7</v>
      </c>
      <c r="I169" s="2">
        <v>20.72</v>
      </c>
      <c r="J169" s="17">
        <f t="shared" si="285"/>
        <v>20.061242696692116</v>
      </c>
      <c r="K169" s="2">
        <f t="shared" si="300"/>
        <v>15.031087762493009</v>
      </c>
      <c r="L169">
        <v>100</v>
      </c>
      <c r="M169">
        <v>75</v>
      </c>
      <c r="N169">
        <v>0.66734499999999997</v>
      </c>
      <c r="O169" s="2">
        <f t="shared" si="286"/>
        <v>0.19999402020000001</v>
      </c>
      <c r="P169" s="2">
        <f t="shared" si="287"/>
        <v>0.1000646</v>
      </c>
      <c r="Q169">
        <v>1</v>
      </c>
      <c r="R169" s="52">
        <f t="shared" si="288"/>
        <v>3.7800633557063715E-5</v>
      </c>
      <c r="S169" s="52">
        <f t="shared" si="289"/>
        <v>-3.9803826815358073E-5</v>
      </c>
      <c r="T169" s="19">
        <f t="shared" si="290"/>
        <v>0.99954443654245306</v>
      </c>
      <c r="U169" s="19">
        <f t="shared" si="291"/>
        <v>1.0007972767333173</v>
      </c>
      <c r="V169" s="48">
        <f t="shared" si="301"/>
        <v>2.3329884646001238E-4</v>
      </c>
      <c r="W169" s="19">
        <f t="shared" si="292"/>
        <v>0.99958223717601014</v>
      </c>
      <c r="X169" s="2">
        <f t="shared" si="293"/>
        <v>-0.41776282398986453</v>
      </c>
      <c r="Y169" s="2">
        <f t="shared" si="294"/>
        <v>-0.27310267327537047</v>
      </c>
      <c r="Z169" s="51">
        <f t="shared" si="295"/>
        <v>1.0162331566114639E-5</v>
      </c>
      <c r="AA169" s="51">
        <f t="shared" si="302"/>
        <v>8.4537422950054632E-6</v>
      </c>
      <c r="AB169" s="2">
        <f t="shared" si="296"/>
        <v>-0.41724425279987643</v>
      </c>
      <c r="AC169" s="2">
        <f t="shared" si="297"/>
        <v>-0.19260408373595772</v>
      </c>
      <c r="AD169" s="2"/>
      <c r="AE169" s="168">
        <v>15.04</v>
      </c>
      <c r="AG169" s="17"/>
      <c r="AH169" s="11"/>
      <c r="AI169" s="11"/>
      <c r="AM169" s="43" t="s">
        <v>194</v>
      </c>
      <c r="AN169" s="18">
        <v>3.0061276695999999E-2</v>
      </c>
      <c r="AO169" s="18">
        <v>7.6312399000000004E-7</v>
      </c>
      <c r="AP169" s="18">
        <v>-7.9851423000000001E-7</v>
      </c>
      <c r="AQ169" s="18">
        <v>1.06742567481822E-7</v>
      </c>
      <c r="AR169" s="18">
        <v>1.6816103966600001E-7</v>
      </c>
      <c r="AS169" s="18">
        <v>1.69352476941547E-7</v>
      </c>
      <c r="AT169">
        <v>9</v>
      </c>
      <c r="AU169">
        <v>1</v>
      </c>
      <c r="AW169">
        <f>VLOOKUP(AT169,Constants!$B$15:$L$33,2,FALSE)</f>
        <v>0.99371490585295241</v>
      </c>
      <c r="AX169">
        <f>VLOOKUP(AT169,Constants!$B$15:$L$33,3,FALSE)</f>
        <v>1.4986286639243325E-2</v>
      </c>
    </row>
    <row r="170" spans="2:50" x14ac:dyDescent="0.2">
      <c r="B170" s="67" t="s">
        <v>112</v>
      </c>
      <c r="C170" s="18">
        <f t="shared" si="298"/>
        <v>6.0047947567999999E-2</v>
      </c>
      <c r="D170" s="18">
        <f t="shared" si="299"/>
        <v>1.3964747417535813E-6</v>
      </c>
      <c r="E170" s="18">
        <f t="shared" si="281"/>
        <v>-2.2621575000000001E-6</v>
      </c>
      <c r="F170" s="18">
        <f t="shared" si="282"/>
        <v>1.0078712273762501E-8</v>
      </c>
      <c r="G170" s="18">
        <f t="shared" si="283"/>
        <v>1.6461032770670901E-7</v>
      </c>
      <c r="H170" s="18">
        <f t="shared" si="284"/>
        <v>1.6340769613684099E-7</v>
      </c>
      <c r="I170" s="2">
        <v>20.72</v>
      </c>
      <c r="J170" s="17">
        <f t="shared" si="285"/>
        <v>40.072697569766959</v>
      </c>
      <c r="K170" s="2">
        <f t="shared" si="300"/>
        <v>30.024871497632905</v>
      </c>
      <c r="L170">
        <v>100</v>
      </c>
      <c r="M170">
        <v>75</v>
      </c>
      <c r="N170">
        <v>0.66734499999999997</v>
      </c>
      <c r="O170" s="2">
        <f t="shared" si="286"/>
        <v>0.19999402020000001</v>
      </c>
      <c r="P170" s="2">
        <f t="shared" si="287"/>
        <v>0.1000646</v>
      </c>
      <c r="Q170">
        <v>1</v>
      </c>
      <c r="R170" s="52">
        <f t="shared" si="288"/>
        <v>3.4848533451542795E-5</v>
      </c>
      <c r="S170" s="52">
        <f t="shared" si="289"/>
        <v>-5.6451340618174303E-5</v>
      </c>
      <c r="T170" s="19">
        <f t="shared" si="290"/>
        <v>0.99954443654245306</v>
      </c>
      <c r="U170" s="19">
        <f t="shared" si="291"/>
        <v>1.0007972767333173</v>
      </c>
      <c r="V170" s="48">
        <f t="shared" si="301"/>
        <v>2.3329884646001238E-4</v>
      </c>
      <c r="W170" s="19">
        <f t="shared" si="292"/>
        <v>0.99957928507590466</v>
      </c>
      <c r="X170" s="2">
        <f t="shared" si="293"/>
        <v>-0.4207149240953445</v>
      </c>
      <c r="Y170" s="2">
        <f t="shared" si="294"/>
        <v>-0.28975018707818667</v>
      </c>
      <c r="Z170" s="51">
        <f t="shared" si="295"/>
        <v>5.0928110342817427E-5</v>
      </c>
      <c r="AA170" s="51">
        <f t="shared" si="302"/>
        <v>3.6961492761389398E-5</v>
      </c>
      <c r="AB170" s="2">
        <f t="shared" si="296"/>
        <v>-0.41998719663743583</v>
      </c>
      <c r="AC170" s="2">
        <f t="shared" si="297"/>
        <v>-0.20789738291427953</v>
      </c>
      <c r="AD170" s="2"/>
      <c r="AE170" s="169">
        <v>30.05</v>
      </c>
      <c r="AG170" s="17"/>
      <c r="AH170" s="11"/>
      <c r="AI170" s="11"/>
      <c r="AM170" s="43" t="s">
        <v>194</v>
      </c>
      <c r="AN170" s="18">
        <v>6.0047947567999999E-2</v>
      </c>
      <c r="AO170" s="18">
        <v>1.4070426999999999E-6</v>
      </c>
      <c r="AP170" s="18">
        <v>-2.2621575000000001E-6</v>
      </c>
      <c r="AQ170" s="18">
        <v>1.0078712273762501E-8</v>
      </c>
      <c r="AR170" s="18">
        <v>1.6461032770670901E-7</v>
      </c>
      <c r="AS170" s="18">
        <v>1.6340769613684099E-7</v>
      </c>
      <c r="AT170">
        <v>10</v>
      </c>
      <c r="AU170">
        <v>1</v>
      </c>
      <c r="AW170">
        <f>VLOOKUP(AT170,Constants!$B$15:$L$33,2,FALSE)</f>
        <v>0.99248924126722049</v>
      </c>
      <c r="AX170">
        <f>VLOOKUP(AT170,Constants!$B$15:$L$33,3,FALSE)</f>
        <v>-2.7303958893031477E-4</v>
      </c>
    </row>
    <row r="171" spans="2:50" ht="13.5" x14ac:dyDescent="0.25">
      <c r="B171" s="163" t="s">
        <v>212</v>
      </c>
      <c r="C171" s="18">
        <f t="shared" si="298"/>
        <v>8.9973892338000003E-2</v>
      </c>
      <c r="D171" s="18">
        <f t="shared" si="299"/>
        <v>1.8882411516816697E-6</v>
      </c>
      <c r="E171" s="18">
        <f t="shared" si="281"/>
        <v>-3.7485907000000001E-6</v>
      </c>
      <c r="F171" s="18">
        <f t="shared" si="282"/>
        <v>8.6660017181075704E-8</v>
      </c>
      <c r="G171" s="18">
        <f t="shared" si="283"/>
        <v>1.6227549731749399E-7</v>
      </c>
      <c r="H171" s="18">
        <f t="shared" si="284"/>
        <v>1.7463156060835599E-7</v>
      </c>
      <c r="I171" s="2">
        <v>20.72</v>
      </c>
      <c r="J171" s="17">
        <f t="shared" si="285"/>
        <v>60.043627182302608</v>
      </c>
      <c r="K171" s="2">
        <f t="shared" si="300"/>
        <v>44.988291273920801</v>
      </c>
      <c r="L171">
        <v>100</v>
      </c>
      <c r="M171">
        <v>75</v>
      </c>
      <c r="N171">
        <v>0.66734499999999997</v>
      </c>
      <c r="O171" s="2">
        <f t="shared" si="286"/>
        <v>0.19999402020000001</v>
      </c>
      <c r="P171" s="2">
        <f t="shared" si="287"/>
        <v>0.1000646</v>
      </c>
      <c r="Q171">
        <v>1</v>
      </c>
      <c r="R171" s="52">
        <f t="shared" si="288"/>
        <v>3.1447819532098717E-5</v>
      </c>
      <c r="S171" s="52">
        <f t="shared" si="289"/>
        <v>-6.2431116771454281E-5</v>
      </c>
      <c r="T171" s="19">
        <f t="shared" si="290"/>
        <v>0.99954443654245306</v>
      </c>
      <c r="U171" s="19">
        <f t="shared" si="291"/>
        <v>1.0007972767333173</v>
      </c>
      <c r="V171" s="48">
        <f t="shared" si="301"/>
        <v>2.3329884646001238E-4</v>
      </c>
      <c r="W171" s="19">
        <f t="shared" si="292"/>
        <v>0.99957588436198519</v>
      </c>
      <c r="X171" s="2">
        <f t="shared" si="293"/>
        <v>-0.42411563801481034</v>
      </c>
      <c r="Y171" s="2">
        <f t="shared" si="294"/>
        <v>-0.29572996323146666</v>
      </c>
      <c r="Z171" s="51">
        <f t="shared" si="295"/>
        <v>1.1866115485648246E-4</v>
      </c>
      <c r="AA171" s="51">
        <f t="shared" si="302"/>
        <v>8.4327611826617114E-5</v>
      </c>
      <c r="AB171" s="2">
        <f t="shared" si="296"/>
        <v>-0.42304519329463453</v>
      </c>
      <c r="AC171" s="2">
        <f t="shared" si="297"/>
        <v>-0.21536729137111735</v>
      </c>
      <c r="AD171" s="2"/>
      <c r="AE171" s="173">
        <v>45</v>
      </c>
      <c r="AG171" s="17"/>
      <c r="AH171" s="11"/>
      <c r="AI171" s="11"/>
      <c r="AM171" s="43" t="s">
        <v>194</v>
      </c>
      <c r="AN171" s="18">
        <v>8.9973892338000003E-2</v>
      </c>
      <c r="AO171" s="18">
        <v>1.9025306E-6</v>
      </c>
      <c r="AP171" s="18">
        <v>-3.7485907000000001E-6</v>
      </c>
      <c r="AQ171" s="18">
        <v>8.6660017181075704E-8</v>
      </c>
      <c r="AR171" s="18">
        <v>1.6227549731749399E-7</v>
      </c>
      <c r="AS171" s="18">
        <v>1.7463156060835599E-7</v>
      </c>
      <c r="AT171">
        <v>10</v>
      </c>
      <c r="AU171">
        <v>1</v>
      </c>
      <c r="AW171">
        <f>VLOOKUP(AT171,Constants!$B$15:$L$33,2,FALSE)</f>
        <v>0.99248924126722049</v>
      </c>
      <c r="AX171">
        <f>VLOOKUP(AT171,Constants!$B$15:$L$33,3,FALSE)</f>
        <v>-2.7303958893031477E-4</v>
      </c>
    </row>
    <row r="172" spans="2:50" x14ac:dyDescent="0.2">
      <c r="B172" s="66" t="s">
        <v>111</v>
      </c>
      <c r="C172" s="18">
        <f t="shared" si="298"/>
        <v>0.15000025632</v>
      </c>
      <c r="D172" s="18">
        <f t="shared" si="299"/>
        <v>1.8172460346714149E-6</v>
      </c>
      <c r="E172" s="18">
        <f t="shared" si="281"/>
        <v>8.2651546000000006E-6</v>
      </c>
      <c r="F172" s="18">
        <f t="shared" si="282"/>
        <v>4.3497296761498102E-7</v>
      </c>
      <c r="G172" s="18">
        <f t="shared" si="283"/>
        <v>1.7734220870723401E-7</v>
      </c>
      <c r="H172" s="18">
        <f t="shared" si="284"/>
        <v>1.69746628080913E-7</v>
      </c>
      <c r="I172" s="2">
        <v>20.72</v>
      </c>
      <c r="J172" s="17">
        <f t="shared" si="285"/>
        <v>100.10192105387038</v>
      </c>
      <c r="K172" s="2">
        <f t="shared" si="300"/>
        <v>75.002370655880242</v>
      </c>
      <c r="L172">
        <v>100</v>
      </c>
      <c r="M172">
        <v>75</v>
      </c>
      <c r="N172">
        <v>0.66734499999999997</v>
      </c>
      <c r="O172" s="2">
        <f t="shared" si="286"/>
        <v>0.19999402020000001</v>
      </c>
      <c r="P172" s="2">
        <f t="shared" si="287"/>
        <v>0.1000646</v>
      </c>
      <c r="Q172">
        <v>1</v>
      </c>
      <c r="R172" s="52">
        <f t="shared" si="288"/>
        <v>1.8153957641766474E-5</v>
      </c>
      <c r="S172" s="52">
        <f t="shared" si="289"/>
        <v>8.2567392443468317E-5</v>
      </c>
      <c r="T172" s="19">
        <f t="shared" si="290"/>
        <v>0.99954443654245306</v>
      </c>
      <c r="U172" s="19">
        <f t="shared" si="291"/>
        <v>1.0007972767333173</v>
      </c>
      <c r="V172" s="48">
        <f t="shared" si="301"/>
        <v>2.3329884646001238E-4</v>
      </c>
      <c r="W172" s="19">
        <f t="shared" si="292"/>
        <v>0.99956259050009488</v>
      </c>
      <c r="X172" s="2">
        <f t="shared" si="293"/>
        <v>-0.43740949990511702</v>
      </c>
      <c r="Y172" s="2">
        <f t="shared" si="294"/>
        <v>-0.15073145401654406</v>
      </c>
      <c r="Z172" s="51">
        <f t="shared" si="295"/>
        <v>3.359836769187135E-4</v>
      </c>
      <c r="AA172" s="51">
        <f t="shared" si="302"/>
        <v>2.3630253823758731E-4</v>
      </c>
      <c r="AB172" s="2">
        <f t="shared" si="296"/>
        <v>-0.4365396643873965</v>
      </c>
      <c r="AC172" s="2">
        <f t="shared" si="297"/>
        <v>-0.12478915925451681</v>
      </c>
      <c r="AD172" s="2"/>
      <c r="AE172" s="169"/>
      <c r="AG172" s="17"/>
      <c r="AH172" s="11"/>
      <c r="AI172" s="11"/>
      <c r="AM172" s="43" t="s">
        <v>194</v>
      </c>
      <c r="AN172" s="18">
        <v>0.15000025632</v>
      </c>
      <c r="AO172" s="18">
        <v>1.8146078000000001E-6</v>
      </c>
      <c r="AP172" s="18">
        <v>8.2651546000000006E-6</v>
      </c>
      <c r="AQ172" s="18">
        <v>4.3497296761498102E-7</v>
      </c>
      <c r="AR172" s="18">
        <v>1.7734220870723401E-7</v>
      </c>
      <c r="AS172" s="18">
        <v>1.69746628080913E-7</v>
      </c>
      <c r="AT172">
        <v>11</v>
      </c>
      <c r="AU172">
        <v>1</v>
      </c>
      <c r="AW172">
        <f>VLOOKUP(AT172,Constants!$B$15:$L$33,2,FALSE)</f>
        <v>1.0014538869894722</v>
      </c>
      <c r="AX172">
        <f>VLOOKUP(AT172,Constants!$B$15:$L$33,3,FALSE)</f>
        <v>-1.6494401832275451E-4</v>
      </c>
    </row>
    <row r="173" spans="2:50" x14ac:dyDescent="0.2">
      <c r="B173" s="162" t="s">
        <v>214</v>
      </c>
      <c r="C173" s="18">
        <f t="shared" si="298"/>
        <v>0.18047729300000001</v>
      </c>
      <c r="D173" s="18">
        <f t="shared" si="299"/>
        <v>1.9069801084704423E-6</v>
      </c>
      <c r="E173" s="18">
        <f t="shared" si="281"/>
        <v>9.6490435000000094E-6</v>
      </c>
      <c r="F173" s="18">
        <f t="shared" si="282"/>
        <v>5.8027935613700498E-7</v>
      </c>
      <c r="G173" s="18">
        <f t="shared" si="283"/>
        <v>1.70697292501785E-7</v>
      </c>
      <c r="H173" s="18">
        <f t="shared" si="284"/>
        <v>1.6739895048879501E-7</v>
      </c>
      <c r="I173" s="2">
        <v>20.73</v>
      </c>
      <c r="J173" s="17">
        <f t="shared" si="285"/>
        <v>120.44061909708499</v>
      </c>
      <c r="K173" s="2">
        <f t="shared" si="300"/>
        <v>90.241344625962967</v>
      </c>
      <c r="L173">
        <v>100</v>
      </c>
      <c r="M173">
        <v>75</v>
      </c>
      <c r="N173">
        <v>0.66734499999999997</v>
      </c>
      <c r="O173" s="2">
        <f t="shared" si="286"/>
        <v>0.19999402020000001</v>
      </c>
      <c r="P173" s="2">
        <f t="shared" si="287"/>
        <v>0.1000646</v>
      </c>
      <c r="Q173">
        <v>1</v>
      </c>
      <c r="R173" s="52">
        <f t="shared" si="288"/>
        <v>1.5833363550989889E-5</v>
      </c>
      <c r="S173" s="52">
        <f t="shared" si="289"/>
        <v>8.0114529237201032E-5</v>
      </c>
      <c r="T173" s="19">
        <f t="shared" si="290"/>
        <v>0.99954443654245306</v>
      </c>
      <c r="U173" s="19">
        <f t="shared" si="291"/>
        <v>1.0007972767333173</v>
      </c>
      <c r="V173" s="48">
        <f t="shared" si="301"/>
        <v>2.3329884646001238E-4</v>
      </c>
      <c r="W173" s="19">
        <f t="shared" si="292"/>
        <v>0.99956026990600411</v>
      </c>
      <c r="X173" s="2">
        <f t="shared" si="293"/>
        <v>-0.43973009399589369</v>
      </c>
      <c r="Y173" s="2">
        <f t="shared" si="294"/>
        <v>-0.15318431722281134</v>
      </c>
      <c r="Z173" s="51">
        <f t="shared" si="295"/>
        <v>4.8793795746638387E-4</v>
      </c>
      <c r="AA173" s="51">
        <f t="shared" si="302"/>
        <v>3.4256506632223424E-4</v>
      </c>
      <c r="AB173" s="2">
        <f t="shared" si="296"/>
        <v>-0.43816447011910375</v>
      </c>
      <c r="AC173" s="2">
        <f t="shared" si="297"/>
        <v>-0.12853476349802043</v>
      </c>
      <c r="AD173" s="2"/>
      <c r="AE173" s="168"/>
      <c r="AG173" s="17"/>
      <c r="AH173" s="11"/>
      <c r="AI173" s="11"/>
      <c r="AM173" s="43" t="s">
        <v>194</v>
      </c>
      <c r="AN173" s="18">
        <v>0.18047729300000001</v>
      </c>
      <c r="AO173" s="18">
        <v>1.9042116000000001E-6</v>
      </c>
      <c r="AP173" s="18">
        <v>9.6490435000000094E-6</v>
      </c>
      <c r="AQ173" s="18">
        <v>5.8027935613700498E-7</v>
      </c>
      <c r="AR173" s="18">
        <v>1.70697292501785E-7</v>
      </c>
      <c r="AS173" s="18">
        <v>1.6739895048879501E-7</v>
      </c>
      <c r="AT173">
        <v>11</v>
      </c>
      <c r="AU173">
        <v>1</v>
      </c>
      <c r="AW173">
        <f>VLOOKUP(AT173,Constants!$B$15:$L$33,2,FALSE)</f>
        <v>1.0014538869894722</v>
      </c>
      <c r="AX173">
        <f>VLOOKUP(AT173,Constants!$B$15:$L$33,3,FALSE)</f>
        <v>-1.6494401832275451E-4</v>
      </c>
    </row>
    <row r="174" spans="2:50" x14ac:dyDescent="0.2">
      <c r="D174" s="18">
        <f t="shared" si="299"/>
        <v>0</v>
      </c>
      <c r="I174" s="2"/>
      <c r="J174" s="17"/>
      <c r="K174" s="2"/>
      <c r="O174" s="2"/>
      <c r="P174" s="2"/>
      <c r="R174" s="52"/>
      <c r="S174" s="52"/>
      <c r="U174" s="19"/>
      <c r="V174" s="48"/>
      <c r="AE174" s="168"/>
    </row>
    <row r="175" spans="2:50" x14ac:dyDescent="0.2">
      <c r="B175" s="43" t="s">
        <v>52</v>
      </c>
      <c r="C175" s="18">
        <f t="shared" ref="C175:C185" si="303">AN175</f>
        <v>7.4310178581999996E-3</v>
      </c>
      <c r="D175" s="18">
        <f t="shared" si="299"/>
        <v>2.1230146722882644E-7</v>
      </c>
      <c r="E175" s="18">
        <f t="shared" ref="E175:E185" si="304">AP175</f>
        <v>4.4909219200000002E-7</v>
      </c>
      <c r="F175" s="18">
        <f t="shared" ref="F175:F185" si="305">AQ175</f>
        <v>8.4151676491503905E-8</v>
      </c>
      <c r="G175" s="18">
        <f t="shared" ref="G175:G185" si="306">AR175</f>
        <v>2.5215289574109899E-7</v>
      </c>
      <c r="H175" s="18">
        <f t="shared" ref="H175:H185" si="307">AS175</f>
        <v>1.6669967806400001E-7</v>
      </c>
      <c r="I175" s="2">
        <v>20.74</v>
      </c>
      <c r="J175" s="17">
        <f t="shared" ref="J175:J183" si="308">100*C175/0.1*N175</f>
        <v>4.9590526125804786</v>
      </c>
      <c r="K175" s="2">
        <f t="shared" ref="K175:K183" si="309">C175/O175*100</f>
        <v>3.7156200224230505</v>
      </c>
      <c r="L175">
        <v>100</v>
      </c>
      <c r="M175">
        <v>75</v>
      </c>
      <c r="N175">
        <v>0.66734499999999997</v>
      </c>
      <c r="O175" s="2">
        <f t="shared" ref="O175:O185" si="310">MSL0.2</f>
        <v>0.19999402020000001</v>
      </c>
      <c r="P175" s="2">
        <f t="shared" ref="P175:P185" si="311">Ti_969</f>
        <v>0.1000646</v>
      </c>
      <c r="Q175">
        <v>1</v>
      </c>
      <c r="R175" s="52">
        <f t="shared" ref="R175:R181" si="312">Q175*D175/C175/N175</f>
        <v>4.2810892284192536E-5</v>
      </c>
      <c r="S175" s="52">
        <f t="shared" ref="S175:S181" si="313">Q175*E175/C175/N175</f>
        <v>9.0560078120710164E-5</v>
      </c>
      <c r="T175" s="19">
        <f t="shared" ref="T175:T181" si="314">M175*N175*O175/(P175*U175*L175)</f>
        <v>0.99954443654245306</v>
      </c>
      <c r="U175" s="19">
        <f t="shared" ref="U175:U182" si="315">$AA$16</f>
        <v>1.0007972767333173</v>
      </c>
      <c r="V175" s="48">
        <f>$AA$26</f>
        <v>1.9151650451155946E-4</v>
      </c>
      <c r="W175" s="19">
        <f t="shared" ref="W175:W181" si="316">R175+T175</f>
        <v>0.99958724743473726</v>
      </c>
      <c r="X175" s="2">
        <f t="shared" ref="X175:X181" si="317">1000*(W175-1)</f>
        <v>-0.41275256526274173</v>
      </c>
      <c r="Y175" s="2">
        <f t="shared" ref="Y175:Y181" si="318">1000*(S175-V175)</f>
        <v>-0.10095642639084929</v>
      </c>
      <c r="AE175" s="168">
        <v>3.71</v>
      </c>
      <c r="AM175" s="43" t="s">
        <v>195</v>
      </c>
      <c r="AN175">
        <v>7.4310178581999996E-3</v>
      </c>
      <c r="AO175" s="18">
        <v>2.1364424140000001E-7</v>
      </c>
      <c r="AP175" s="18">
        <v>4.4909219200000002E-7</v>
      </c>
      <c r="AQ175" s="18">
        <v>8.4151676491503905E-8</v>
      </c>
      <c r="AR175" s="18">
        <v>2.5215289574109899E-7</v>
      </c>
      <c r="AS175" s="18">
        <v>1.6669967806400001E-7</v>
      </c>
      <c r="AT175">
        <v>9</v>
      </c>
      <c r="AU175">
        <v>1</v>
      </c>
      <c r="AW175">
        <f>VLOOKUP(AT175,Constants!$B$15:$L$33,2,FALSE)</f>
        <v>0.99371490585295241</v>
      </c>
      <c r="AX175">
        <f>VLOOKUP(AT175,Constants!$B$15:$L$33,3,FALSE)</f>
        <v>1.4986286639243325E-2</v>
      </c>
    </row>
    <row r="176" spans="2:50" x14ac:dyDescent="0.2">
      <c r="C176" s="18">
        <f t="shared" si="303"/>
        <v>1.5127623412E-2</v>
      </c>
      <c r="D176" s="18">
        <f t="shared" si="299"/>
        <v>4.6932182196290707E-7</v>
      </c>
      <c r="E176" s="18">
        <f t="shared" si="304"/>
        <v>9.4251782000000003E-7</v>
      </c>
      <c r="F176" s="18">
        <f t="shared" si="305"/>
        <v>1.3006241824086501E-7</v>
      </c>
      <c r="G176" s="18">
        <f t="shared" si="306"/>
        <v>2.29918396420199E-7</v>
      </c>
      <c r="H176" s="18">
        <f t="shared" si="307"/>
        <v>1.9235836586441399E-7</v>
      </c>
      <c r="I176" s="2">
        <v>20.74</v>
      </c>
      <c r="J176" s="17">
        <f t="shared" si="308"/>
        <v>10.095343845881139</v>
      </c>
      <c r="K176" s="2">
        <f t="shared" si="309"/>
        <v>7.5640378631680703</v>
      </c>
      <c r="L176">
        <v>100</v>
      </c>
      <c r="M176">
        <v>75</v>
      </c>
      <c r="N176">
        <v>0.66734499999999997</v>
      </c>
      <c r="O176" s="2">
        <f t="shared" si="310"/>
        <v>0.19999402020000001</v>
      </c>
      <c r="P176" s="2">
        <f t="shared" si="311"/>
        <v>0.1000646</v>
      </c>
      <c r="Q176">
        <v>1</v>
      </c>
      <c r="R176" s="52">
        <f t="shared" si="312"/>
        <v>4.648893877491736E-5</v>
      </c>
      <c r="S176" s="52">
        <f t="shared" si="313"/>
        <v>9.3361636254177073E-5</v>
      </c>
      <c r="T176" s="19">
        <f t="shared" si="314"/>
        <v>0.99954443654245306</v>
      </c>
      <c r="U176" s="19">
        <f t="shared" si="315"/>
        <v>1.0007972767333173</v>
      </c>
      <c r="V176" s="48">
        <f t="shared" ref="V176:V185" si="319">$AA$26</f>
        <v>1.9151650451155946E-4</v>
      </c>
      <c r="W176" s="19">
        <f t="shared" si="316"/>
        <v>0.99959092548122797</v>
      </c>
      <c r="X176" s="2">
        <f t="shared" si="317"/>
        <v>-0.4090745187720346</v>
      </c>
      <c r="Y176" s="2">
        <f t="shared" si="318"/>
        <v>-9.8154868257382386E-2</v>
      </c>
      <c r="AE176" s="168">
        <v>7.55</v>
      </c>
      <c r="AM176" s="43" t="s">
        <v>195</v>
      </c>
      <c r="AN176" s="18">
        <v>1.5127623412E-2</v>
      </c>
      <c r="AO176" s="18">
        <v>4.722902104E-7</v>
      </c>
      <c r="AP176" s="18">
        <v>9.4251782000000003E-7</v>
      </c>
      <c r="AQ176" s="18">
        <v>1.3006241824086501E-7</v>
      </c>
      <c r="AR176" s="18">
        <v>2.29918396420199E-7</v>
      </c>
      <c r="AS176" s="18">
        <v>1.9235836586441399E-7</v>
      </c>
      <c r="AT176">
        <v>9</v>
      </c>
      <c r="AU176">
        <v>1</v>
      </c>
      <c r="AW176">
        <f>VLOOKUP(AT176,Constants!$B$15:$L$33,2,FALSE)</f>
        <v>0.99371490585295241</v>
      </c>
      <c r="AX176">
        <f>VLOOKUP(AT176,Constants!$B$15:$L$33,3,FALSE)</f>
        <v>1.4986286639243325E-2</v>
      </c>
    </row>
    <row r="177" spans="2:50" x14ac:dyDescent="0.2">
      <c r="C177" s="18">
        <f t="shared" si="303"/>
        <v>3.0094492367999999E-2</v>
      </c>
      <c r="D177" s="18">
        <f t="shared" si="299"/>
        <v>7.8006356775006719E-7</v>
      </c>
      <c r="E177" s="18">
        <f t="shared" si="304"/>
        <v>1.5948438E-6</v>
      </c>
      <c r="F177" s="18">
        <f t="shared" si="305"/>
        <v>1.08012066869198E-8</v>
      </c>
      <c r="G177" s="18">
        <f t="shared" si="306"/>
        <v>2.3271793260491901E-7</v>
      </c>
      <c r="H177" s="18">
        <f t="shared" si="307"/>
        <v>2.03928916099606E-7</v>
      </c>
      <c r="I177" s="2">
        <v>20.74</v>
      </c>
      <c r="J177" s="17">
        <f t="shared" si="308"/>
        <v>20.08340900932296</v>
      </c>
      <c r="K177" s="2">
        <f t="shared" si="309"/>
        <v>15.047696095065547</v>
      </c>
      <c r="L177">
        <v>100</v>
      </c>
      <c r="M177">
        <v>75</v>
      </c>
      <c r="N177">
        <v>0.66734499999999997</v>
      </c>
      <c r="O177" s="2">
        <f t="shared" si="310"/>
        <v>0.19999402020000001</v>
      </c>
      <c r="P177" s="2">
        <f t="shared" si="311"/>
        <v>0.1000646</v>
      </c>
      <c r="Q177">
        <v>1</v>
      </c>
      <c r="R177" s="52">
        <f t="shared" si="312"/>
        <v>3.8841193115568793E-5</v>
      </c>
      <c r="S177" s="52">
        <f t="shared" si="313"/>
        <v>7.941101031501447E-5</v>
      </c>
      <c r="T177" s="19">
        <f t="shared" si="314"/>
        <v>0.99954443654245306</v>
      </c>
      <c r="U177" s="19">
        <f t="shared" si="315"/>
        <v>1.0007972767333173</v>
      </c>
      <c r="V177" s="48">
        <f t="shared" si="319"/>
        <v>1.9151650451155946E-4</v>
      </c>
      <c r="W177" s="19">
        <f t="shared" si="316"/>
        <v>0.99958327773556865</v>
      </c>
      <c r="X177" s="2">
        <f t="shared" si="317"/>
        <v>-0.41672226443134619</v>
      </c>
      <c r="Y177" s="2">
        <f t="shared" si="318"/>
        <v>-0.11210549419654499</v>
      </c>
      <c r="AE177" s="169">
        <v>15.05</v>
      </c>
      <c r="AM177" s="43" t="s">
        <v>195</v>
      </c>
      <c r="AN177">
        <v>3.0094492367999999E-2</v>
      </c>
      <c r="AO177" s="18">
        <v>7.8499735000000002E-7</v>
      </c>
      <c r="AP177" s="18">
        <v>1.5948438E-6</v>
      </c>
      <c r="AQ177" s="18">
        <v>1.08012066869198E-8</v>
      </c>
      <c r="AR177" s="18">
        <v>2.3271793260491901E-7</v>
      </c>
      <c r="AS177" s="18">
        <v>2.03928916099606E-7</v>
      </c>
      <c r="AT177">
        <v>9</v>
      </c>
      <c r="AU177">
        <v>1</v>
      </c>
      <c r="AW177">
        <f>VLOOKUP(AT177,Constants!$B$15:$L$33,2,FALSE)</f>
        <v>0.99371490585295241</v>
      </c>
      <c r="AX177">
        <f>VLOOKUP(AT177,Constants!$B$15:$L$33,3,FALSE)</f>
        <v>1.4986286639243325E-2</v>
      </c>
    </row>
    <row r="178" spans="2:50" x14ac:dyDescent="0.2">
      <c r="C178" s="18">
        <f t="shared" si="303"/>
        <v>6.0023653154000003E-2</v>
      </c>
      <c r="D178" s="18">
        <f t="shared" si="299"/>
        <v>1.4553290659388474E-6</v>
      </c>
      <c r="E178" s="18">
        <f t="shared" si="304"/>
        <v>2.6225751999999999E-6</v>
      </c>
      <c r="F178" s="18">
        <f t="shared" si="305"/>
        <v>3.46863397966071E-8</v>
      </c>
      <c r="G178" s="18">
        <f t="shared" si="306"/>
        <v>1.8178537983512801E-7</v>
      </c>
      <c r="H178" s="18">
        <f t="shared" si="307"/>
        <v>2.4336516835192301E-7</v>
      </c>
      <c r="I178" s="2">
        <v>20.75</v>
      </c>
      <c r="J178" s="17">
        <f t="shared" si="308"/>
        <v>40.056484814056127</v>
      </c>
      <c r="K178" s="2">
        <f t="shared" si="309"/>
        <v>30.012723927432706</v>
      </c>
      <c r="L178">
        <v>100</v>
      </c>
      <c r="M178">
        <v>75</v>
      </c>
      <c r="N178">
        <v>0.66734499999999997</v>
      </c>
      <c r="O178" s="2">
        <f t="shared" si="310"/>
        <v>0.19999402020000001</v>
      </c>
      <c r="P178" s="2">
        <f t="shared" si="311"/>
        <v>0.1000646</v>
      </c>
      <c r="Q178">
        <v>1</v>
      </c>
      <c r="R178" s="52">
        <f t="shared" si="312"/>
        <v>3.6331921602570607E-5</v>
      </c>
      <c r="S178" s="52">
        <f t="shared" si="313"/>
        <v>6.5471925761187067E-5</v>
      </c>
      <c r="T178" s="19">
        <f t="shared" si="314"/>
        <v>0.99954443654245306</v>
      </c>
      <c r="U178" s="19">
        <f t="shared" si="315"/>
        <v>1.0007972767333173</v>
      </c>
      <c r="V178" s="48">
        <f t="shared" si="319"/>
        <v>1.9151650451155946E-4</v>
      </c>
      <c r="W178" s="19">
        <f t="shared" si="316"/>
        <v>0.99958076846405564</v>
      </c>
      <c r="X178" s="2">
        <f t="shared" si="317"/>
        <v>-0.41923153594436435</v>
      </c>
      <c r="Y178" s="2">
        <f t="shared" si="318"/>
        <v>-0.12604457875037239</v>
      </c>
      <c r="AE178" s="168">
        <v>30.02</v>
      </c>
      <c r="AM178" s="43" t="s">
        <v>195</v>
      </c>
      <c r="AN178" s="18">
        <v>6.0023653154000003E-2</v>
      </c>
      <c r="AO178" s="18">
        <v>1.4663424099999999E-6</v>
      </c>
      <c r="AP178" s="18">
        <v>2.6225751999999999E-6</v>
      </c>
      <c r="AQ178" s="18">
        <v>3.46863397966071E-8</v>
      </c>
      <c r="AR178" s="18">
        <v>1.8178537983512801E-7</v>
      </c>
      <c r="AS178" s="18">
        <v>2.4336516835192301E-7</v>
      </c>
      <c r="AT178">
        <v>10</v>
      </c>
      <c r="AU178">
        <v>1</v>
      </c>
      <c r="AW178">
        <f>VLOOKUP(AT178,Constants!$B$15:$L$33,2,FALSE)</f>
        <v>0.99248924126722049</v>
      </c>
      <c r="AX178">
        <f>VLOOKUP(AT178,Constants!$B$15:$L$33,3,FALSE)</f>
        <v>-2.7303958893031477E-4</v>
      </c>
    </row>
    <row r="179" spans="2:50" x14ac:dyDescent="0.2">
      <c r="C179" s="18">
        <f t="shared" si="303"/>
        <v>9.0262293356000001E-2</v>
      </c>
      <c r="D179" s="18">
        <f t="shared" si="299"/>
        <v>2.0273887388008788E-6</v>
      </c>
      <c r="E179" s="18">
        <f t="shared" si="304"/>
        <v>3.404055E-6</v>
      </c>
      <c r="F179" s="18">
        <f t="shared" si="305"/>
        <v>1.0437159031213301E-6</v>
      </c>
      <c r="G179" s="18">
        <f t="shared" si="306"/>
        <v>1.83549070345126E-7</v>
      </c>
      <c r="H179" s="18">
        <f t="shared" si="307"/>
        <v>2.23709754098922E-7</v>
      </c>
      <c r="I179" s="2">
        <v>20.75</v>
      </c>
      <c r="J179" s="17">
        <f t="shared" si="308"/>
        <v>60.236090159659817</v>
      </c>
      <c r="K179" s="2">
        <f t="shared" si="309"/>
        <v>45.132496094500731</v>
      </c>
      <c r="L179">
        <v>100</v>
      </c>
      <c r="M179">
        <v>75</v>
      </c>
      <c r="N179">
        <v>0.66734499999999997</v>
      </c>
      <c r="O179" s="2">
        <f t="shared" si="310"/>
        <v>0.19999402020000001</v>
      </c>
      <c r="P179" s="2">
        <f t="shared" si="311"/>
        <v>0.1000646</v>
      </c>
      <c r="Q179">
        <v>1</v>
      </c>
      <c r="R179" s="52">
        <f t="shared" si="312"/>
        <v>3.3657376058558052E-5</v>
      </c>
      <c r="S179" s="52">
        <f t="shared" si="313"/>
        <v>5.6511885000791429E-5</v>
      </c>
      <c r="T179" s="19">
        <f t="shared" si="314"/>
        <v>0.99954443654245306</v>
      </c>
      <c r="U179" s="19">
        <f t="shared" si="315"/>
        <v>1.0007972767333173</v>
      </c>
      <c r="V179" s="48">
        <f t="shared" si="319"/>
        <v>1.9151650451155946E-4</v>
      </c>
      <c r="W179" s="19">
        <f t="shared" si="316"/>
        <v>0.9995780939185116</v>
      </c>
      <c r="X179" s="2">
        <f t="shared" si="317"/>
        <v>-0.42190608148839903</v>
      </c>
      <c r="Y179" s="2">
        <f t="shared" si="318"/>
        <v>-0.13500461951076803</v>
      </c>
      <c r="AE179" s="168">
        <v>45.1</v>
      </c>
      <c r="AM179" s="43" t="s">
        <v>195</v>
      </c>
      <c r="AN179" s="18">
        <v>9.0262293356000001E-2</v>
      </c>
      <c r="AO179" s="18">
        <v>2.0427312E-6</v>
      </c>
      <c r="AP179" s="18">
        <v>3.404055E-6</v>
      </c>
      <c r="AQ179" s="18">
        <v>1.0437159031213301E-6</v>
      </c>
      <c r="AR179" s="18">
        <v>1.83549070345126E-7</v>
      </c>
      <c r="AS179" s="18">
        <v>2.23709754098922E-7</v>
      </c>
      <c r="AT179">
        <v>10</v>
      </c>
      <c r="AU179">
        <v>1</v>
      </c>
      <c r="AW179">
        <f>VLOOKUP(AT179,Constants!$B$15:$L$33,2,FALSE)</f>
        <v>0.99248924126722049</v>
      </c>
      <c r="AX179">
        <f>VLOOKUP(AT179,Constants!$B$15:$L$33,3,FALSE)</f>
        <v>-2.7303958893031477E-4</v>
      </c>
    </row>
    <row r="180" spans="2:50" x14ac:dyDescent="0.2">
      <c r="C180" s="18">
        <f t="shared" si="303"/>
        <v>0.15025911842</v>
      </c>
      <c r="D180" s="18">
        <f t="shared" si="299"/>
        <v>2.0148180650569104E-6</v>
      </c>
      <c r="E180" s="18">
        <f t="shared" si="304"/>
        <v>9.2924177000000004E-6</v>
      </c>
      <c r="F180" s="18">
        <f t="shared" si="305"/>
        <v>2.1206616031432799E-6</v>
      </c>
      <c r="G180" s="18">
        <f t="shared" si="306"/>
        <v>1.7776857200585299E-7</v>
      </c>
      <c r="H180" s="18">
        <f t="shared" si="307"/>
        <v>2.3376795572471001E-7</v>
      </c>
      <c r="I180" s="2">
        <v>20.75</v>
      </c>
      <c r="J180" s="17">
        <f t="shared" si="308"/>
        <v>100.27467138199489</v>
      </c>
      <c r="K180" s="2">
        <f t="shared" si="309"/>
        <v>75.131805575854912</v>
      </c>
      <c r="L180">
        <v>100</v>
      </c>
      <c r="M180">
        <v>75</v>
      </c>
      <c r="N180">
        <v>0.66734499999999997</v>
      </c>
      <c r="O180" s="2">
        <f t="shared" si="310"/>
        <v>0.19999402020000001</v>
      </c>
      <c r="P180" s="2">
        <f t="shared" si="311"/>
        <v>0.1000646</v>
      </c>
      <c r="Q180">
        <v>1</v>
      </c>
      <c r="R180" s="52">
        <f t="shared" si="312"/>
        <v>2.0092990954629911E-5</v>
      </c>
      <c r="S180" s="52">
        <f t="shared" si="313"/>
        <v>9.2669640019069917E-5</v>
      </c>
      <c r="T180" s="19">
        <f t="shared" si="314"/>
        <v>0.99954443654245306</v>
      </c>
      <c r="U180" s="19">
        <f t="shared" si="315"/>
        <v>1.0007972767333173</v>
      </c>
      <c r="V180" s="48">
        <f t="shared" si="319"/>
        <v>1.9151650451155946E-4</v>
      </c>
      <c r="W180" s="19">
        <f t="shared" si="316"/>
        <v>0.99956452953340769</v>
      </c>
      <c r="X180" s="2">
        <f t="shared" si="317"/>
        <v>-0.4354704665923137</v>
      </c>
      <c r="Y180" s="2">
        <f t="shared" si="318"/>
        <v>-9.8846864492489542E-2</v>
      </c>
      <c r="AE180" s="169"/>
      <c r="AM180" s="43" t="s">
        <v>195</v>
      </c>
      <c r="AN180" s="18">
        <v>0.15025911842</v>
      </c>
      <c r="AO180" s="18">
        <v>2.0118930000000002E-6</v>
      </c>
      <c r="AP180" s="18">
        <v>9.2924177000000004E-6</v>
      </c>
      <c r="AQ180" s="18">
        <v>2.1206616031432799E-6</v>
      </c>
      <c r="AR180" s="18">
        <v>1.7776857200585299E-7</v>
      </c>
      <c r="AS180" s="18">
        <v>2.3376795572471001E-7</v>
      </c>
      <c r="AT180">
        <v>11</v>
      </c>
      <c r="AU180">
        <v>1</v>
      </c>
      <c r="AW180">
        <f>VLOOKUP(AT180,Constants!$B$15:$L$33,2,FALSE)</f>
        <v>1.0014538869894722</v>
      </c>
      <c r="AX180">
        <f>VLOOKUP(AT180,Constants!$B$15:$L$33,3,FALSE)</f>
        <v>-1.6494401832275451E-4</v>
      </c>
    </row>
    <row r="181" spans="2:50" x14ac:dyDescent="0.2">
      <c r="C181" s="18">
        <f t="shared" si="303"/>
        <v>0.18073949596</v>
      </c>
      <c r="D181" s="18">
        <f t="shared" si="299"/>
        <v>2.3224964276737407E-6</v>
      </c>
      <c r="E181" s="18">
        <f t="shared" si="304"/>
        <v>1.0569701100000001E-5</v>
      </c>
      <c r="F181" s="18">
        <f t="shared" si="305"/>
        <v>8.9754750498644804E-7</v>
      </c>
      <c r="G181" s="18">
        <f t="shared" si="306"/>
        <v>2.44368690641825E-7</v>
      </c>
      <c r="H181" s="18">
        <f t="shared" si="307"/>
        <v>5.7953252632426905E-7</v>
      </c>
      <c r="I181" s="2">
        <v>20.75</v>
      </c>
      <c r="J181" s="17">
        <f t="shared" si="308"/>
        <v>120.61559893142618</v>
      </c>
      <c r="K181" s="2">
        <f t="shared" si="309"/>
        <v>90.372450025883325</v>
      </c>
      <c r="L181">
        <v>100</v>
      </c>
      <c r="M181">
        <v>75</v>
      </c>
      <c r="N181">
        <v>0.66734499999999997</v>
      </c>
      <c r="O181" s="2">
        <f t="shared" si="310"/>
        <v>0.19999402020000001</v>
      </c>
      <c r="P181" s="2">
        <f t="shared" si="311"/>
        <v>0.1000646</v>
      </c>
      <c r="Q181">
        <v>1</v>
      </c>
      <c r="R181" s="52">
        <f t="shared" si="312"/>
        <v>1.9255357086890179E-5</v>
      </c>
      <c r="S181" s="52">
        <f t="shared" si="313"/>
        <v>8.7631294738329922E-5</v>
      </c>
      <c r="T181" s="19">
        <f t="shared" si="314"/>
        <v>0.99954443654245306</v>
      </c>
      <c r="U181" s="19">
        <f t="shared" si="315"/>
        <v>1.0007972767333173</v>
      </c>
      <c r="V181" s="48">
        <f t="shared" si="319"/>
        <v>1.9151650451155946E-4</v>
      </c>
      <c r="W181" s="19">
        <f t="shared" si="316"/>
        <v>0.99956369189953997</v>
      </c>
      <c r="X181" s="2">
        <f t="shared" si="317"/>
        <v>-0.43630810046002555</v>
      </c>
      <c r="Y181" s="2">
        <f t="shared" si="318"/>
        <v>-0.10388520977322953</v>
      </c>
      <c r="AE181" s="173"/>
      <c r="AG181" s="167" t="s">
        <v>208</v>
      </c>
      <c r="AH181" s="168"/>
      <c r="AI181" s="168"/>
      <c r="AJ181" s="168"/>
      <c r="AK181" s="168"/>
      <c r="AM181" s="43" t="s">
        <v>195</v>
      </c>
      <c r="AN181" s="18">
        <v>0.18073949596</v>
      </c>
      <c r="AO181" s="18">
        <v>2.3148540000000001E-6</v>
      </c>
      <c r="AP181" s="18">
        <v>1.0569701100000001E-5</v>
      </c>
      <c r="AQ181" s="18">
        <v>8.9754750498644804E-7</v>
      </c>
      <c r="AR181" s="18">
        <v>2.44368690641825E-7</v>
      </c>
      <c r="AS181" s="18">
        <v>5.7953252632426905E-7</v>
      </c>
      <c r="AT181">
        <v>12</v>
      </c>
      <c r="AU181">
        <v>1</v>
      </c>
      <c r="AW181">
        <f>VLOOKUP(AT181,Constants!$B$15:$L$33,2,FALSE)</f>
        <v>1.0033014728677232</v>
      </c>
      <c r="AX181">
        <f>VLOOKUP(AT181,Constants!$B$15:$L$33,3,FALSE)</f>
        <v>-1.1639650509139207E-4</v>
      </c>
    </row>
    <row r="182" spans="2:50" x14ac:dyDescent="0.2">
      <c r="B182" s="164" t="s">
        <v>52</v>
      </c>
      <c r="C182" s="123">
        <f t="shared" si="303"/>
        <v>9.0290853643999996E-2</v>
      </c>
      <c r="D182" s="123">
        <f t="shared" ref="D182:D185" si="320">AO182</f>
        <v>1.8966536E-6</v>
      </c>
      <c r="E182" s="123">
        <f t="shared" si="304"/>
        <v>3.0545689000000002E-6</v>
      </c>
      <c r="F182" s="123">
        <f t="shared" si="305"/>
        <v>6.8004997232055695E-8</v>
      </c>
      <c r="G182" s="123">
        <f t="shared" si="306"/>
        <v>2.0286350150049199E-7</v>
      </c>
      <c r="H182" s="123">
        <f t="shared" si="307"/>
        <v>2.23427883675673E-7</v>
      </c>
      <c r="I182" s="124">
        <v>20.75</v>
      </c>
      <c r="J182" s="125">
        <f t="shared" si="308"/>
        <v>60.255149725055176</v>
      </c>
      <c r="K182" s="124">
        <f t="shared" si="309"/>
        <v>45.146776665475521</v>
      </c>
      <c r="L182" s="122">
        <v>100</v>
      </c>
      <c r="M182" s="122">
        <v>75</v>
      </c>
      <c r="N182" s="126">
        <v>0.66734499999999997</v>
      </c>
      <c r="O182" s="124">
        <f t="shared" si="310"/>
        <v>0.19999402020000001</v>
      </c>
      <c r="P182" s="124">
        <f t="shared" si="311"/>
        <v>0.1000646</v>
      </c>
      <c r="Q182" s="126">
        <v>1</v>
      </c>
      <c r="R182" s="52">
        <f>Q182*D182/C182/N182</f>
        <v>3.1477037376132141E-5</v>
      </c>
      <c r="S182" s="52">
        <f>Q182*E182/C182/N182</f>
        <v>5.0693906063432375E-5</v>
      </c>
      <c r="T182" s="19">
        <f>M182*N182*O182/(P182*U182*L182)</f>
        <v>0.99954443654245306</v>
      </c>
      <c r="U182" s="19">
        <f t="shared" si="315"/>
        <v>1.0007972767333173</v>
      </c>
      <c r="V182" s="48">
        <f t="shared" si="319"/>
        <v>1.9151650451155946E-4</v>
      </c>
      <c r="W182" s="19">
        <f>R182+T182</f>
        <v>0.99957591357982922</v>
      </c>
      <c r="X182" s="2">
        <f>1000*(W182-1)</f>
        <v>-0.42408642017077725</v>
      </c>
      <c r="Y182" s="2">
        <f>1000*(S182-V182)</f>
        <v>-0.14082259844812708</v>
      </c>
      <c r="Z182" t="s">
        <v>68</v>
      </c>
      <c r="AA182" t="s">
        <v>67</v>
      </c>
      <c r="AB182" t="s">
        <v>66</v>
      </c>
      <c r="AE182" s="170" t="s">
        <v>205</v>
      </c>
      <c r="AF182" s="168"/>
      <c r="AG182" s="168"/>
      <c r="AH182" s="168"/>
      <c r="AI182" s="167"/>
      <c r="AJ182" s="168">
        <v>45.2</v>
      </c>
      <c r="AK182" s="168"/>
      <c r="AM182" s="43" t="s">
        <v>195</v>
      </c>
      <c r="AN182" s="18">
        <v>9.0290853643999996E-2</v>
      </c>
      <c r="AO182" s="18">
        <v>1.8966536E-6</v>
      </c>
      <c r="AP182" s="18">
        <v>3.0545689000000002E-6</v>
      </c>
      <c r="AQ182" s="18">
        <v>6.8004997232055695E-8</v>
      </c>
      <c r="AR182" s="18">
        <v>2.0286350150049199E-7</v>
      </c>
      <c r="AS182" s="18">
        <v>2.23427883675673E-7</v>
      </c>
      <c r="AT182">
        <v>10</v>
      </c>
      <c r="AU182">
        <v>1</v>
      </c>
      <c r="AW182">
        <f>VLOOKUP(AT182,Constants!$B$15:$L$33,2,FALSE)</f>
        <v>0.99248924126722049</v>
      </c>
      <c r="AX182">
        <f>VLOOKUP(AT182,Constants!$B$15:$L$33,3,FALSE)</f>
        <v>-2.7303958893031477E-4</v>
      </c>
    </row>
    <row r="183" spans="2:50" x14ac:dyDescent="0.2">
      <c r="B183" s="164" t="s">
        <v>199</v>
      </c>
      <c r="C183" s="123">
        <f t="shared" si="303"/>
        <v>9.0481354974000006E-2</v>
      </c>
      <c r="D183" s="123">
        <f t="shared" si="320"/>
        <v>-2.2572403999999999E-3</v>
      </c>
      <c r="E183" s="123">
        <f t="shared" si="304"/>
        <v>-1.15872E-4</v>
      </c>
      <c r="F183" s="123">
        <f t="shared" si="305"/>
        <v>6.0221898858325904E-8</v>
      </c>
      <c r="G183" s="123">
        <f t="shared" si="306"/>
        <v>1.3683508322057699E-7</v>
      </c>
      <c r="H183" s="123">
        <f t="shared" si="307"/>
        <v>5.4210108624275198E-20</v>
      </c>
      <c r="I183" s="124">
        <v>20.75</v>
      </c>
      <c r="J183" s="125">
        <f t="shared" si="308"/>
        <v>60.382279835124024</v>
      </c>
      <c r="K183" s="124">
        <f t="shared" si="309"/>
        <v>45.242030178460304</v>
      </c>
      <c r="L183" s="122">
        <v>100</v>
      </c>
      <c r="M183" s="122">
        <v>75</v>
      </c>
      <c r="N183" s="126">
        <v>0.66734499999999997</v>
      </c>
      <c r="O183" s="124">
        <f t="shared" si="310"/>
        <v>0.19999402020000001</v>
      </c>
      <c r="P183" s="124">
        <f t="shared" si="311"/>
        <v>0.1000646</v>
      </c>
      <c r="Q183" s="126">
        <v>1</v>
      </c>
      <c r="R183" s="52">
        <f>Q183*D183/C183/N183</f>
        <v>-3.7382497086288817E-2</v>
      </c>
      <c r="S183" s="52">
        <f>Q183*E183/C183/N183</f>
        <v>-1.9189735849059132E-3</v>
      </c>
      <c r="T183" s="19">
        <f>M183*N183*O183/(P183*U183*L183)</f>
        <v>0.99954443654245306</v>
      </c>
      <c r="U183" s="19">
        <f>$AA$16</f>
        <v>1.0007972767333173</v>
      </c>
      <c r="V183" s="48">
        <f t="shared" si="319"/>
        <v>1.9151650451155946E-4</v>
      </c>
      <c r="W183" s="19">
        <f>R183+T183</f>
        <v>0.96216193945616424</v>
      </c>
      <c r="X183" s="2">
        <f>1000*(W183-1)</f>
        <v>-37.838060543835759</v>
      </c>
      <c r="Y183" s="2">
        <f>1000*(S183-V183)</f>
        <v>-2.1104900894174725</v>
      </c>
      <c r="AA183" s="46">
        <f>100*-(X183-X182)/1000</f>
        <v>3.7413974123664984</v>
      </c>
      <c r="AB183" s="46">
        <f>100*-(Y183-Y182)/1000</f>
        <v>0.19696674909693454</v>
      </c>
      <c r="AC183" s="46"/>
      <c r="AD183" s="46" t="s">
        <v>200</v>
      </c>
      <c r="AE183" s="46"/>
      <c r="AF183" s="46"/>
      <c r="AG183" s="46"/>
      <c r="AH183" s="46"/>
      <c r="AI183" s="46"/>
      <c r="AJ183" s="168">
        <v>45.3</v>
      </c>
      <c r="AK183" s="168"/>
      <c r="AM183" s="43" t="s">
        <v>195</v>
      </c>
      <c r="AN183">
        <v>9.0481354974000006E-2</v>
      </c>
      <c r="AO183" s="18">
        <v>-2.2572403999999999E-3</v>
      </c>
      <c r="AP183" s="18">
        <v>-1.15872E-4</v>
      </c>
      <c r="AQ183" s="18">
        <v>6.0221898858325904E-8</v>
      </c>
      <c r="AR183" s="18">
        <v>1.3683508322057699E-7</v>
      </c>
      <c r="AS183" s="18">
        <v>5.4210108624275198E-20</v>
      </c>
      <c r="AT183">
        <v>19</v>
      </c>
      <c r="AU183">
        <v>1</v>
      </c>
      <c r="AW183">
        <f>VLOOKUP(AT183,Constants!$B$15:$L$33,2,FALSE)</f>
        <v>0.99870131845225174</v>
      </c>
      <c r="AX183">
        <f>VLOOKUP(AT183,Constants!$B$15:$L$33,3,FALSE)</f>
        <v>1.8373671156545042E-5</v>
      </c>
    </row>
    <row r="184" spans="2:50" x14ac:dyDescent="0.2">
      <c r="B184" s="164"/>
      <c r="C184" s="123">
        <f t="shared" si="303"/>
        <v>9.0408651802000001E-2</v>
      </c>
      <c r="D184" s="123">
        <f t="shared" si="320"/>
        <v>5.7079930000000003E-6</v>
      </c>
      <c r="E184" s="123">
        <f t="shared" si="304"/>
        <v>-6.8346800000000001E-5</v>
      </c>
      <c r="F184" s="123">
        <f t="shared" si="305"/>
        <v>2.8749471269073601E-8</v>
      </c>
      <c r="G184" s="123">
        <f t="shared" si="306"/>
        <v>3.2668642755859899E-7</v>
      </c>
      <c r="H184" s="123">
        <f t="shared" si="307"/>
        <v>3.0886927302986899E-6</v>
      </c>
      <c r="I184" s="124">
        <v>20.76</v>
      </c>
      <c r="J184" s="125">
        <f>100*C184/0.1*N184</f>
        <v>60.333761736805691</v>
      </c>
      <c r="K184" s="124">
        <f>C184/O184*100</f>
        <v>45.205677505551741</v>
      </c>
      <c r="L184" s="122">
        <v>100</v>
      </c>
      <c r="M184" s="122">
        <v>75</v>
      </c>
      <c r="N184" s="126">
        <v>0.66734499999999997</v>
      </c>
      <c r="O184" s="124">
        <f t="shared" si="310"/>
        <v>0.19999402020000001</v>
      </c>
      <c r="P184" s="124">
        <f t="shared" si="311"/>
        <v>0.1000646</v>
      </c>
      <c r="Q184" s="126">
        <v>1</v>
      </c>
      <c r="R184" s="52">
        <f>Q184*D184/C184/N184</f>
        <v>9.4606947017492632E-5</v>
      </c>
      <c r="S184" s="52">
        <f>Q184*E184/C184/N184</f>
        <v>-1.1328118458475975E-3</v>
      </c>
      <c r="T184" s="19">
        <f>M184*N184*O184/(P184*U184*L184)</f>
        <v>0.99954443654245306</v>
      </c>
      <c r="U184" s="19">
        <f>$AA$16</f>
        <v>1.0007972767333173</v>
      </c>
      <c r="V184" s="48">
        <f t="shared" si="319"/>
        <v>1.9151650451155946E-4</v>
      </c>
      <c r="W184" s="19">
        <f>R184+T184</f>
        <v>0.99963904348947052</v>
      </c>
      <c r="X184" s="2">
        <f>1000*(W184-1)</f>
        <v>-0.36095651052947542</v>
      </c>
      <c r="Y184" s="2">
        <f>1000*(S184-V184)</f>
        <v>-1.3243283503591572</v>
      </c>
      <c r="AA184" s="46">
        <f>100*-(X184-X182)/1000</f>
        <v>-6.3129909641301829E-3</v>
      </c>
      <c r="AB184" s="46">
        <f>100*-(Y184-Y182)/1000</f>
        <v>0.11835057519110302</v>
      </c>
      <c r="AC184" s="46"/>
      <c r="AD184" s="46" t="s">
        <v>201</v>
      </c>
      <c r="AE184" s="46"/>
      <c r="AF184" s="46"/>
      <c r="AG184" s="46"/>
      <c r="AH184" s="46"/>
      <c r="AI184" s="46"/>
      <c r="AJ184" s="168">
        <v>45.2</v>
      </c>
      <c r="AK184" s="168"/>
      <c r="AM184" s="43" t="s">
        <v>195</v>
      </c>
      <c r="AN184" s="18">
        <v>9.0408651802000001E-2</v>
      </c>
      <c r="AO184" s="18">
        <v>5.7079930000000003E-6</v>
      </c>
      <c r="AP184" s="18">
        <v>-6.8346800000000001E-5</v>
      </c>
      <c r="AQ184" s="18">
        <v>2.8749471269073601E-8</v>
      </c>
      <c r="AR184" s="18">
        <v>3.2668642755859899E-7</v>
      </c>
      <c r="AS184" s="18">
        <v>3.0886927302986899E-6</v>
      </c>
      <c r="AT184">
        <v>14</v>
      </c>
      <c r="AU184">
        <v>1</v>
      </c>
      <c r="AW184">
        <f>VLOOKUP(AT184,Constants!$B$15:$L$33,2,FALSE)</f>
        <v>0.99369905746444864</v>
      </c>
      <c r="AX184">
        <f>VLOOKUP(AT184,Constants!$B$15:$L$33,3,FALSE)</f>
        <v>8.9784740924235424E-5</v>
      </c>
    </row>
    <row r="185" spans="2:50" x14ac:dyDescent="0.2">
      <c r="B185" s="164" t="s">
        <v>209</v>
      </c>
      <c r="C185" s="123">
        <f t="shared" si="303"/>
        <v>9.0429207775999998E-2</v>
      </c>
      <c r="D185" s="123">
        <f t="shared" si="320"/>
        <v>-2.3144164E-4</v>
      </c>
      <c r="E185" s="123">
        <f t="shared" si="304"/>
        <v>-1.4450623999999999E-5</v>
      </c>
      <c r="F185" s="123">
        <f t="shared" si="305"/>
        <v>3.9124790146992801E-8</v>
      </c>
      <c r="G185" s="123">
        <f t="shared" si="306"/>
        <v>4.2454315493245301E-7</v>
      </c>
      <c r="H185" s="123">
        <f t="shared" si="307"/>
        <v>2.83943946623273E-7</v>
      </c>
      <c r="I185" s="124">
        <v>20.76</v>
      </c>
      <c r="J185" s="125">
        <f>100*C185/0.1*N185</f>
        <v>60.347479663274704</v>
      </c>
      <c r="K185" s="124">
        <f>C185/O185*100</f>
        <v>45.215955799862456</v>
      </c>
      <c r="L185" s="122">
        <v>100</v>
      </c>
      <c r="M185" s="122">
        <v>75</v>
      </c>
      <c r="N185" s="126">
        <v>0.66734499999999997</v>
      </c>
      <c r="O185" s="124">
        <f t="shared" si="310"/>
        <v>0.19999402020000001</v>
      </c>
      <c r="P185" s="124">
        <f t="shared" si="311"/>
        <v>0.1000646</v>
      </c>
      <c r="Q185" s="126">
        <v>1</v>
      </c>
      <c r="R185" s="52">
        <f>Q185*D185/C185/N185</f>
        <v>-3.8351500558331847E-3</v>
      </c>
      <c r="S185" s="52">
        <f>Q185*E185/C185/N185</f>
        <v>-2.3945695960512706E-4</v>
      </c>
      <c r="T185" s="19">
        <f>M185*N185*O185/(P185*U185*L185)</f>
        <v>0.99954443654245306</v>
      </c>
      <c r="U185" s="19">
        <f>$AA$16</f>
        <v>1.0007972767333173</v>
      </c>
      <c r="V185" s="48">
        <f t="shared" si="319"/>
        <v>1.9151650451155946E-4</v>
      </c>
      <c r="W185" s="19">
        <f>R185+T185</f>
        <v>0.99570928648661983</v>
      </c>
      <c r="X185" s="2">
        <f>1000*(W185-1)</f>
        <v>-4.2907135133801733</v>
      </c>
      <c r="Y185" s="2">
        <f>1000*(S185-V185)</f>
        <v>-0.43097346411668652</v>
      </c>
      <c r="AA185" s="46">
        <f>1000*-(X185-X182)/1000</f>
        <v>3.866627093209396</v>
      </c>
      <c r="AB185" s="46">
        <f>1000*-(Y185-Y182)/1000</f>
        <v>0.29015086566855941</v>
      </c>
      <c r="AC185" s="46"/>
      <c r="AD185" s="46" t="s">
        <v>207</v>
      </c>
      <c r="AE185" s="46"/>
      <c r="AF185" s="46"/>
      <c r="AG185" s="46"/>
      <c r="AH185" s="46"/>
      <c r="AI185" s="46"/>
      <c r="AJ185" s="168">
        <v>45.2</v>
      </c>
      <c r="AK185" s="168"/>
      <c r="AM185" s="43" t="s">
        <v>195</v>
      </c>
      <c r="AN185">
        <v>9.0429207775999998E-2</v>
      </c>
      <c r="AO185">
        <v>-2.3144164E-4</v>
      </c>
      <c r="AP185" s="18">
        <v>-1.4450623999999999E-5</v>
      </c>
      <c r="AQ185" s="18">
        <v>3.9124790146992801E-8</v>
      </c>
      <c r="AR185" s="18">
        <v>4.2454315493245301E-7</v>
      </c>
      <c r="AS185" s="18">
        <v>2.83943946623273E-7</v>
      </c>
      <c r="AT185">
        <v>16</v>
      </c>
      <c r="AU185">
        <v>1</v>
      </c>
      <c r="AW185">
        <f>VLOOKUP(AT185,Constants!$B$15:$L$33,2,FALSE)</f>
        <v>0.9966633075004292</v>
      </c>
      <c r="AX185">
        <f>VLOOKUP(AT185,Constants!$B$15:$L$33,3,FALSE)</f>
        <v>5.1115740718113127E-6</v>
      </c>
    </row>
    <row r="186" spans="2:50" x14ac:dyDescent="0.2">
      <c r="D186" s="18"/>
      <c r="E186" s="18"/>
      <c r="F186" s="18"/>
      <c r="G186" s="18"/>
      <c r="H186" s="18"/>
      <c r="I186" s="2"/>
      <c r="J186" s="17"/>
      <c r="K186" s="2"/>
      <c r="R186" s="48"/>
      <c r="S186" s="48"/>
      <c r="T186" s="19"/>
      <c r="U186" s="19"/>
      <c r="V186" s="48"/>
      <c r="W186" s="19"/>
      <c r="X186" s="2"/>
      <c r="Y186" s="2"/>
      <c r="AA186" s="3"/>
      <c r="AC186" s="11"/>
    </row>
    <row r="187" spans="2:50" x14ac:dyDescent="0.2">
      <c r="R187" s="47"/>
      <c r="S187" s="47"/>
      <c r="V187" s="47"/>
      <c r="AA187" s="3"/>
    </row>
    <row r="188" spans="2:50" x14ac:dyDescent="0.2">
      <c r="R188" s="47"/>
      <c r="S188" s="47"/>
      <c r="V188" s="47"/>
      <c r="AA188" s="3"/>
    </row>
    <row r="189" spans="2:50" x14ac:dyDescent="0.2">
      <c r="R189" s="47"/>
      <c r="S189" s="47"/>
      <c r="AA189" s="3"/>
    </row>
    <row r="190" spans="2:50" x14ac:dyDescent="0.2">
      <c r="R190" s="47"/>
      <c r="S190" s="47"/>
      <c r="AA190" s="3"/>
    </row>
    <row r="191" spans="2:50" x14ac:dyDescent="0.2">
      <c r="R191" s="47"/>
      <c r="S191" s="47"/>
      <c r="AA191" s="3"/>
    </row>
    <row r="192" spans="2:50" x14ac:dyDescent="0.2">
      <c r="R192" s="47"/>
      <c r="S192" s="47"/>
      <c r="AA192" s="3"/>
    </row>
    <row r="193" spans="18:27" x14ac:dyDescent="0.2">
      <c r="R193" s="47"/>
      <c r="S193" s="47"/>
      <c r="AA193" s="3"/>
    </row>
    <row r="194" spans="18:27" x14ac:dyDescent="0.2">
      <c r="R194" s="47"/>
      <c r="S194" s="47"/>
      <c r="AA194" s="3"/>
    </row>
    <row r="195" spans="18:27" x14ac:dyDescent="0.2">
      <c r="R195" s="47"/>
      <c r="S195" s="47"/>
      <c r="AA195" s="3"/>
    </row>
    <row r="196" spans="18:27" x14ac:dyDescent="0.2">
      <c r="AA196" s="3"/>
    </row>
    <row r="197" spans="18:27" x14ac:dyDescent="0.2">
      <c r="AA197" s="3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BI192"/>
  <sheetViews>
    <sheetView topLeftCell="L1" workbookViewId="0">
      <selection activeCell="AC63" sqref="AC63"/>
    </sheetView>
  </sheetViews>
  <sheetFormatPr defaultRowHeight="12.75" x14ac:dyDescent="0.2"/>
  <cols>
    <col min="1" max="1" width="9.28515625" bestFit="1" customWidth="1"/>
    <col min="2" max="2" width="28.140625" customWidth="1"/>
    <col min="3" max="3" width="9.28515625" bestFit="1" customWidth="1"/>
    <col min="4" max="4" width="10.42578125" bestFit="1" customWidth="1"/>
    <col min="5" max="8" width="9.5703125" bestFit="1" customWidth="1"/>
    <col min="9" max="9" width="9.28515625" bestFit="1" customWidth="1"/>
    <col min="10" max="10" width="10.7109375" customWidth="1"/>
    <col min="11" max="16" width="9.28515625" bestFit="1" customWidth="1"/>
    <col min="18" max="18" width="10.28515625" customWidth="1"/>
    <col min="19" max="19" width="10.7109375" customWidth="1"/>
    <col min="20" max="20" width="9.42578125" customWidth="1"/>
    <col min="21" max="21" width="12.5703125" bestFit="1" customWidth="1"/>
    <col min="22" max="22" width="9.7109375" customWidth="1"/>
    <col min="23" max="23" width="10.140625" customWidth="1"/>
    <col min="29" max="29" width="10.5703125" bestFit="1" customWidth="1"/>
  </cols>
  <sheetData>
    <row r="1" spans="1:61" x14ac:dyDescent="0.2">
      <c r="B1" s="5" t="s">
        <v>177</v>
      </c>
      <c r="R1" s="47"/>
      <c r="S1" s="47"/>
    </row>
    <row r="2" spans="1:61" x14ac:dyDescent="0.2">
      <c r="R2" s="47"/>
      <c r="S2" s="47"/>
    </row>
    <row r="3" spans="1:61" x14ac:dyDescent="0.2">
      <c r="A3">
        <f>ROW()</f>
        <v>3</v>
      </c>
      <c r="B3" s="6" t="s">
        <v>80</v>
      </c>
      <c r="R3" s="61" t="s">
        <v>79</v>
      </c>
      <c r="S3" s="50"/>
    </row>
    <row r="4" spans="1:61" x14ac:dyDescent="0.2">
      <c r="A4">
        <f>ROW()</f>
        <v>4</v>
      </c>
      <c r="B4" t="s">
        <v>81</v>
      </c>
      <c r="R4" s="50" t="s">
        <v>94</v>
      </c>
      <c r="S4" s="50"/>
    </row>
    <row r="5" spans="1:61" x14ac:dyDescent="0.2">
      <c r="A5">
        <f>ROW()</f>
        <v>5</v>
      </c>
      <c r="R5" s="50" t="s">
        <v>93</v>
      </c>
      <c r="S5" s="50"/>
      <c r="Y5" t="s">
        <v>87</v>
      </c>
      <c r="AB5">
        <v>2.11</v>
      </c>
      <c r="AC5" t="s">
        <v>88</v>
      </c>
    </row>
    <row r="6" spans="1:61" x14ac:dyDescent="0.2">
      <c r="A6">
        <f>ROW()</f>
        <v>6</v>
      </c>
      <c r="C6" s="5" t="s">
        <v>82</v>
      </c>
      <c r="I6" s="5"/>
      <c r="R6" s="50"/>
      <c r="S6" s="50"/>
    </row>
    <row r="7" spans="1:61" x14ac:dyDescent="0.2">
      <c r="A7">
        <f>ROW()</f>
        <v>7</v>
      </c>
      <c r="L7" t="s">
        <v>23</v>
      </c>
      <c r="N7" t="s">
        <v>24</v>
      </c>
      <c r="O7" t="s">
        <v>25</v>
      </c>
      <c r="Q7" t="s">
        <v>26</v>
      </c>
      <c r="R7" s="50" t="s">
        <v>27</v>
      </c>
      <c r="S7" s="50" t="s">
        <v>27</v>
      </c>
      <c r="T7" t="s">
        <v>28</v>
      </c>
      <c r="U7" t="s">
        <v>29</v>
      </c>
      <c r="V7" t="s">
        <v>30</v>
      </c>
      <c r="W7" t="s">
        <v>3</v>
      </c>
      <c r="X7" t="s">
        <v>49</v>
      </c>
      <c r="Y7" t="s">
        <v>49</v>
      </c>
      <c r="Z7" t="s">
        <v>55</v>
      </c>
      <c r="AA7" t="s">
        <v>57</v>
      </c>
      <c r="AB7" t="s">
        <v>59</v>
      </c>
      <c r="AC7" t="s">
        <v>57</v>
      </c>
    </row>
    <row r="8" spans="1:61" x14ac:dyDescent="0.2">
      <c r="A8">
        <f>ROW()</f>
        <v>8</v>
      </c>
      <c r="C8" t="s">
        <v>31</v>
      </c>
      <c r="D8" t="s">
        <v>32</v>
      </c>
      <c r="E8" t="s">
        <v>33</v>
      </c>
      <c r="F8" t="s">
        <v>34</v>
      </c>
      <c r="G8" t="s">
        <v>35</v>
      </c>
      <c r="H8" t="s">
        <v>36</v>
      </c>
      <c r="I8" t="s">
        <v>77</v>
      </c>
      <c r="J8" t="s">
        <v>37</v>
      </c>
      <c r="K8" t="s">
        <v>38</v>
      </c>
      <c r="L8" t="s">
        <v>39</v>
      </c>
      <c r="M8" t="s">
        <v>40</v>
      </c>
      <c r="N8" t="s">
        <v>41</v>
      </c>
      <c r="O8" t="s">
        <v>42</v>
      </c>
      <c r="P8" t="s">
        <v>43</v>
      </c>
      <c r="Q8" t="s">
        <v>44</v>
      </c>
      <c r="R8" s="50" t="s">
        <v>45</v>
      </c>
      <c r="S8" s="50" t="s">
        <v>46</v>
      </c>
      <c r="U8" t="s">
        <v>47</v>
      </c>
      <c r="V8" t="s">
        <v>39</v>
      </c>
      <c r="W8" t="s">
        <v>48</v>
      </c>
      <c r="X8" t="s">
        <v>47</v>
      </c>
      <c r="Y8" t="s">
        <v>50</v>
      </c>
      <c r="Z8" t="s">
        <v>56</v>
      </c>
      <c r="AA8" t="s">
        <v>58</v>
      </c>
      <c r="AB8" t="s">
        <v>60</v>
      </c>
      <c r="AN8" t="s">
        <v>180</v>
      </c>
      <c r="BD8" t="s">
        <v>178</v>
      </c>
    </row>
    <row r="9" spans="1:61" x14ac:dyDescent="0.2">
      <c r="A9">
        <f>ROW()</f>
        <v>9</v>
      </c>
      <c r="B9" s="4">
        <v>43368</v>
      </c>
      <c r="R9" s="50"/>
      <c r="S9" s="50"/>
    </row>
    <row r="10" spans="1:61" x14ac:dyDescent="0.2">
      <c r="A10">
        <f>ROW()</f>
        <v>10</v>
      </c>
      <c r="B10" t="s">
        <v>51</v>
      </c>
      <c r="C10">
        <v>0.10343167984</v>
      </c>
      <c r="D10" s="18">
        <v>-3.1534693800000002E-8</v>
      </c>
      <c r="E10" s="18">
        <v>2.3281714999999999E-5</v>
      </c>
      <c r="F10" s="18">
        <v>5.80717456517408E-8</v>
      </c>
      <c r="G10" s="18">
        <v>5.85393177732468E-7</v>
      </c>
      <c r="H10" s="18">
        <v>6.8141906538854605E-7</v>
      </c>
      <c r="I10" s="2">
        <v>21.38</v>
      </c>
      <c r="J10" s="17">
        <f t="shared" ref="J10:J17" si="0">100*C10/0.5</f>
        <v>20.686335967999998</v>
      </c>
      <c r="K10" s="2">
        <f t="shared" ref="K10:K17" si="1">C10/P10</f>
        <v>1.0343167983999999</v>
      </c>
      <c r="L10">
        <v>2</v>
      </c>
      <c r="M10">
        <v>1</v>
      </c>
      <c r="N10">
        <v>1.000707</v>
      </c>
      <c r="O10">
        <v>0.2</v>
      </c>
      <c r="P10">
        <v>0.1</v>
      </c>
      <c r="Q10">
        <v>-1</v>
      </c>
      <c r="R10" s="52">
        <f t="shared" ref="R10:R17" si="2">Q10*D10/C10/N10</f>
        <v>3.0466888453981713E-7</v>
      </c>
      <c r="S10" s="52">
        <f t="shared" ref="S10:S17" si="3">Q10*E10/C10/N10</f>
        <v>-2.2493366145270538E-4</v>
      </c>
      <c r="T10" s="19">
        <f t="shared" ref="T10:T17" si="4">N10*M10/L10</f>
        <v>0.50035350000000001</v>
      </c>
      <c r="U10">
        <f t="shared" ref="U10:U17" si="5">T10/(1+R10)</f>
        <v>0.50035334755790373</v>
      </c>
      <c r="V10" s="19">
        <f t="shared" ref="V10:V17" si="6">U10*L10</f>
        <v>1.0007066951158075</v>
      </c>
      <c r="W10" s="52">
        <f>-T10*S10*L10</f>
        <v>2.2509268955135244E-4</v>
      </c>
      <c r="X10" s="19">
        <f>0.5*(V10+V14)</f>
        <v>1.0007093844531763</v>
      </c>
      <c r="Y10" s="19">
        <f t="shared" ref="X10:Y13" si="7">0.5*(W10+W14)</f>
        <v>2.243067033091104E-4</v>
      </c>
      <c r="Z10" s="2">
        <f>0.2*(K10/L10)^2</f>
        <v>5.3490561972621302E-2</v>
      </c>
      <c r="AA10" s="10">
        <f>2.11*Z10</f>
        <v>0.11286508576223094</v>
      </c>
      <c r="AB10" s="2">
        <f>0.1*K10^2</f>
        <v>0.1069811239452426</v>
      </c>
      <c r="AC10" s="10">
        <f>1000000*(X10-1.0007)+AA10</f>
        <v>9.4973182620931951</v>
      </c>
      <c r="AD10" s="10"/>
      <c r="AJ10">
        <v>13</v>
      </c>
      <c r="AK10">
        <v>1</v>
      </c>
      <c r="AN10">
        <v>0.10019819006</v>
      </c>
      <c r="AO10" s="18">
        <v>-1.283741316E-7</v>
      </c>
      <c r="AP10" s="18">
        <v>2.0484751999999999E-5</v>
      </c>
      <c r="AQ10" s="18">
        <v>5.54618520520131E-8</v>
      </c>
      <c r="AR10" s="18">
        <v>1.9857843763234201E-7</v>
      </c>
      <c r="AS10" s="18">
        <v>1.9582452169225401E-7</v>
      </c>
      <c r="AT10" s="2">
        <v>21.18</v>
      </c>
      <c r="AU10" s="17">
        <f t="shared" ref="AU10:AU17" si="8">100*AN10/0.5</f>
        <v>20.039638012000001</v>
      </c>
      <c r="AV10" s="2">
        <f t="shared" ref="AV10:AV17" si="9">AN10/BA10</f>
        <v>1.0019819005999999</v>
      </c>
      <c r="AW10">
        <v>2</v>
      </c>
      <c r="AX10">
        <v>1</v>
      </c>
      <c r="AY10">
        <v>1.000707</v>
      </c>
      <c r="AZ10">
        <v>0.2</v>
      </c>
      <c r="BA10">
        <v>0.1</v>
      </c>
      <c r="BB10">
        <v>-1</v>
      </c>
      <c r="BD10" s="19">
        <v>1.0007093844531763</v>
      </c>
      <c r="BE10" s="19">
        <v>2.043530475406179E-4</v>
      </c>
      <c r="BF10" s="2">
        <v>5.0198386456499412E-2</v>
      </c>
      <c r="BG10" s="10">
        <v>0.10591859542321376</v>
      </c>
      <c r="BH10" s="2">
        <v>0.10039677291299882</v>
      </c>
      <c r="BI10" s="10">
        <v>9.545666539851803</v>
      </c>
    </row>
    <row r="11" spans="1:61" x14ac:dyDescent="0.2">
      <c r="A11">
        <f>ROW()</f>
        <v>11</v>
      </c>
      <c r="C11">
        <v>0.30174477597999999</v>
      </c>
      <c r="D11" s="18">
        <v>1.6417058E-6</v>
      </c>
      <c r="E11" s="18">
        <v>6.8327135000000001E-5</v>
      </c>
      <c r="F11" s="18">
        <v>7.6804474362843401E-8</v>
      </c>
      <c r="G11" s="18">
        <v>2.1661336296350699E-7</v>
      </c>
      <c r="H11" s="18">
        <v>2.0483365513264701E-7</v>
      </c>
      <c r="I11" s="2">
        <v>21.37</v>
      </c>
      <c r="J11" s="17">
        <f t="shared" si="0"/>
        <v>60.348955195999999</v>
      </c>
      <c r="K11" s="2">
        <f t="shared" si="1"/>
        <v>3.0174477597999996</v>
      </c>
      <c r="L11">
        <v>2</v>
      </c>
      <c r="M11">
        <v>1</v>
      </c>
      <c r="N11">
        <v>1.000707</v>
      </c>
      <c r="O11">
        <v>0.2</v>
      </c>
      <c r="P11">
        <v>0.1</v>
      </c>
      <c r="Q11">
        <v>-1</v>
      </c>
      <c r="R11" s="52">
        <f t="shared" si="2"/>
        <v>-5.4368660690032357E-6</v>
      </c>
      <c r="S11" s="52">
        <f t="shared" si="3"/>
        <v>-2.2628017874682746E-4</v>
      </c>
      <c r="T11" s="19">
        <f t="shared" si="4"/>
        <v>0.50035350000000001</v>
      </c>
      <c r="U11">
        <f t="shared" si="5"/>
        <v>0.50035622036975691</v>
      </c>
      <c r="V11" s="19">
        <f t="shared" si="6"/>
        <v>1.0007124407395138</v>
      </c>
      <c r="W11" s="52">
        <f t="shared" ref="W11:W26" si="10">-T11*S11*L11</f>
        <v>2.2644015883320148E-4</v>
      </c>
      <c r="X11" s="19">
        <f t="shared" si="7"/>
        <v>1.0007146665653566</v>
      </c>
      <c r="Y11" s="19">
        <f t="shared" si="7"/>
        <v>2.2577966476619219E-4</v>
      </c>
      <c r="Z11" s="2">
        <f>0.2*(K11/L11)^2</f>
        <v>0.45524954915610183</v>
      </c>
      <c r="AA11" s="10">
        <f>2.11*Z11</f>
        <v>0.96057654871937481</v>
      </c>
      <c r="AB11" s="2">
        <f>0.1*K11^2</f>
        <v>0.91049909831220366</v>
      </c>
      <c r="AC11" s="10">
        <f>1000000*(X11-1.0007)+AA11</f>
        <v>15.627141905366274</v>
      </c>
      <c r="AD11" s="10"/>
      <c r="AJ11">
        <v>14</v>
      </c>
      <c r="AK11">
        <v>1</v>
      </c>
      <c r="AN11">
        <v>0.30059314856000002</v>
      </c>
      <c r="AO11" s="18">
        <v>7.7877652999999995E-7</v>
      </c>
      <c r="AP11" s="18">
        <v>6.2174632E-5</v>
      </c>
      <c r="AQ11" s="18">
        <v>2.3184696466456299E-7</v>
      </c>
      <c r="AR11" s="18">
        <v>2.3287597333161899E-7</v>
      </c>
      <c r="AS11" s="18">
        <v>1.9357791190112599E-7</v>
      </c>
      <c r="AT11" s="2">
        <v>21.18</v>
      </c>
      <c r="AU11" s="17">
        <f t="shared" si="8"/>
        <v>60.118629712000008</v>
      </c>
      <c r="AV11" s="2">
        <f t="shared" si="9"/>
        <v>3.0059314856000001</v>
      </c>
      <c r="AW11">
        <v>2</v>
      </c>
      <c r="AX11">
        <v>1</v>
      </c>
      <c r="AY11">
        <v>1.000707</v>
      </c>
      <c r="AZ11">
        <v>0.2</v>
      </c>
      <c r="BA11">
        <v>0.1</v>
      </c>
      <c r="BB11">
        <v>-1</v>
      </c>
      <c r="BD11" s="19">
        <v>1.0007146665653566</v>
      </c>
      <c r="BE11" s="19">
        <v>2.0679128569823618E-4</v>
      </c>
      <c r="BF11" s="2">
        <v>0.4517812048060712</v>
      </c>
      <c r="BG11" s="10">
        <v>0.95325834214081018</v>
      </c>
      <c r="BH11" s="2">
        <v>0.9035624096121424</v>
      </c>
      <c r="BI11" s="10">
        <v>13.913176552516486</v>
      </c>
    </row>
    <row r="12" spans="1:61" x14ac:dyDescent="0.2">
      <c r="A12">
        <f>ROW()</f>
        <v>12</v>
      </c>
      <c r="C12">
        <v>0.50384894191999996</v>
      </c>
      <c r="D12" s="18">
        <v>8.5739625000000003E-6</v>
      </c>
      <c r="E12">
        <v>1.1384954E-4</v>
      </c>
      <c r="F12" s="18">
        <v>4.9022678239659798E-8</v>
      </c>
      <c r="G12" s="18">
        <v>3.32779229097536E-7</v>
      </c>
      <c r="H12" s="18">
        <v>1.9353218957062501E-7</v>
      </c>
      <c r="I12" s="2">
        <v>21.36</v>
      </c>
      <c r="J12" s="17">
        <f t="shared" si="0"/>
        <v>100.76978838399999</v>
      </c>
      <c r="K12" s="2">
        <f t="shared" si="1"/>
        <v>5.0384894191999994</v>
      </c>
      <c r="L12">
        <v>2</v>
      </c>
      <c r="M12">
        <v>1</v>
      </c>
      <c r="N12">
        <v>1.000707</v>
      </c>
      <c r="O12">
        <v>0.2</v>
      </c>
      <c r="P12">
        <v>0.1</v>
      </c>
      <c r="Q12">
        <v>-1</v>
      </c>
      <c r="R12" s="52">
        <f t="shared" si="2"/>
        <v>-1.700490817450528E-5</v>
      </c>
      <c r="S12" s="52">
        <f t="shared" si="3"/>
        <v>-2.2580002809782123E-4</v>
      </c>
      <c r="T12" s="19">
        <f t="shared" si="4"/>
        <v>0.50035350000000001</v>
      </c>
      <c r="U12">
        <f t="shared" si="5"/>
        <v>0.50036200861001046</v>
      </c>
      <c r="V12" s="19">
        <f t="shared" si="6"/>
        <v>1.0007240172200209</v>
      </c>
      <c r="W12" s="52">
        <f t="shared" si="10"/>
        <v>2.2595966871768639E-4</v>
      </c>
      <c r="X12" s="19">
        <f t="shared" si="7"/>
        <v>1.000724629836077</v>
      </c>
      <c r="Y12" s="19">
        <f t="shared" si="7"/>
        <v>2.2617772789713914E-4</v>
      </c>
      <c r="Z12" s="2">
        <f>0.2*(K12/L12)^2</f>
        <v>1.2693187813695175</v>
      </c>
      <c r="AA12" s="10">
        <f>2.11*Z12</f>
        <v>2.6782626286896818</v>
      </c>
      <c r="AB12" s="2">
        <f>0.1*K12^2</f>
        <v>2.538637562739035</v>
      </c>
      <c r="AC12" s="10">
        <f>1000000*(X12-1.0007)+AA12</f>
        <v>27.30809870578436</v>
      </c>
      <c r="AD12" s="10"/>
      <c r="AJ12">
        <v>15</v>
      </c>
      <c r="AK12">
        <v>1</v>
      </c>
      <c r="AN12">
        <v>0.50034990680000002</v>
      </c>
      <c r="AO12" s="18">
        <v>5.8267184000000003E-6</v>
      </c>
      <c r="AP12" s="18">
        <v>1.0445905E-4</v>
      </c>
      <c r="AQ12" s="18">
        <v>1.9486096662068599E-7</v>
      </c>
      <c r="AR12" s="18">
        <v>3.4717921235212199E-7</v>
      </c>
      <c r="AS12" s="18">
        <v>2.26767518617636E-7</v>
      </c>
      <c r="AT12" s="2">
        <v>21.18</v>
      </c>
      <c r="AU12" s="17">
        <f t="shared" si="8"/>
        <v>100.06998136</v>
      </c>
      <c r="AV12" s="2">
        <f t="shared" si="9"/>
        <v>5.003499068</v>
      </c>
      <c r="AW12">
        <v>2</v>
      </c>
      <c r="AX12">
        <v>1</v>
      </c>
      <c r="AY12">
        <v>1.000707</v>
      </c>
      <c r="AZ12">
        <v>0.2</v>
      </c>
      <c r="BA12">
        <v>0.1</v>
      </c>
      <c r="BB12">
        <v>-1</v>
      </c>
      <c r="BD12" s="19">
        <v>1.000724629836077</v>
      </c>
      <c r="BE12" s="19">
        <v>2.0871087049744249E-4</v>
      </c>
      <c r="BF12" s="2">
        <v>1.2517501461738434</v>
      </c>
      <c r="BG12" s="10">
        <v>2.6411928084268093</v>
      </c>
      <c r="BH12" s="2">
        <v>2.5035002923476868</v>
      </c>
      <c r="BI12" s="10">
        <v>24.070779944117461</v>
      </c>
    </row>
    <row r="13" spans="1:61" x14ac:dyDescent="0.2">
      <c r="A13">
        <f>ROW()</f>
        <v>13</v>
      </c>
      <c r="C13">
        <v>0.605624198</v>
      </c>
      <c r="D13" s="18">
        <v>1.4223813999999999E-5</v>
      </c>
      <c r="E13">
        <v>1.3687842999999999E-4</v>
      </c>
      <c r="F13" s="18">
        <v>5.1998877317878004E-6</v>
      </c>
      <c r="G13" s="18">
        <v>4.8459101642931897E-7</v>
      </c>
      <c r="H13" s="18">
        <v>2.3393444615960201E-7</v>
      </c>
      <c r="I13" s="2">
        <v>21.35</v>
      </c>
      <c r="J13" s="17">
        <f t="shared" si="0"/>
        <v>121.1248396</v>
      </c>
      <c r="K13" s="2">
        <f>C13/P13</f>
        <v>6.0562419799999994</v>
      </c>
      <c r="L13">
        <v>2</v>
      </c>
      <c r="M13">
        <v>1</v>
      </c>
      <c r="N13">
        <v>1.000707</v>
      </c>
      <c r="O13">
        <v>0.2</v>
      </c>
      <c r="P13">
        <v>0.1</v>
      </c>
      <c r="Q13">
        <v>-1</v>
      </c>
      <c r="R13" s="52">
        <f t="shared" si="2"/>
        <v>-2.34696118734644E-5</v>
      </c>
      <c r="S13" s="52">
        <f t="shared" si="3"/>
        <v>-2.2585247711683838E-4</v>
      </c>
      <c r="T13" s="19">
        <f t="shared" si="4"/>
        <v>0.50035350000000001</v>
      </c>
      <c r="U13">
        <f t="shared" si="5"/>
        <v>0.5003652433780571</v>
      </c>
      <c r="V13" s="19">
        <f t="shared" si="6"/>
        <v>1.0007304867561142</v>
      </c>
      <c r="W13" s="52">
        <f t="shared" si="10"/>
        <v>2.2601215481815999E-4</v>
      </c>
      <c r="X13" s="19">
        <f t="shared" si="7"/>
        <v>1.0007317968275942</v>
      </c>
      <c r="Y13" s="19">
        <f t="shared" si="7"/>
        <v>2.2619176332021348E-4</v>
      </c>
      <c r="Z13" s="2">
        <f>0.2*(K13/L13)^2</f>
        <v>1.8339033460157159</v>
      </c>
      <c r="AA13" s="10">
        <f>2.11*Z13</f>
        <v>3.8695360600931603</v>
      </c>
      <c r="AB13" s="2">
        <f>0.1*K13^2</f>
        <v>3.6678066920314318</v>
      </c>
      <c r="AC13" s="10">
        <f>1000000*(X13-1.0007)+AA13</f>
        <v>35.666363654336898</v>
      </c>
      <c r="AD13" s="10"/>
      <c r="AJ13">
        <v>15</v>
      </c>
      <c r="AK13">
        <v>1</v>
      </c>
      <c r="AN13">
        <v>0.60081232559999997</v>
      </c>
      <c r="AO13" s="18">
        <v>1.2048765E-5</v>
      </c>
      <c r="AP13">
        <v>1.2585767E-4</v>
      </c>
      <c r="AQ13" s="18">
        <v>2.3487643848370999E-7</v>
      </c>
      <c r="AR13" s="18">
        <v>5.5853537871382901E-7</v>
      </c>
      <c r="AS13" s="18">
        <v>2.53442618949537E-7</v>
      </c>
      <c r="AT13" s="2">
        <v>21.18</v>
      </c>
      <c r="AU13" s="17">
        <f t="shared" si="8"/>
        <v>120.16246511999999</v>
      </c>
      <c r="AV13" s="2">
        <f t="shared" si="9"/>
        <v>6.0081232559999993</v>
      </c>
      <c r="AW13">
        <v>2</v>
      </c>
      <c r="AX13">
        <v>1</v>
      </c>
      <c r="AY13">
        <v>1.000707</v>
      </c>
      <c r="AZ13">
        <v>0.2</v>
      </c>
      <c r="BA13">
        <v>0.1</v>
      </c>
      <c r="BB13">
        <v>-1</v>
      </c>
      <c r="BD13" s="19">
        <v>1.0007317968275942</v>
      </c>
      <c r="BE13" s="19">
        <v>2.0932520911617612E-4</v>
      </c>
      <c r="BF13" s="2">
        <v>1.8048772529644017</v>
      </c>
      <c r="BG13" s="10">
        <v>3.8082910037548876</v>
      </c>
      <c r="BH13" s="2">
        <v>3.6097545059288034</v>
      </c>
      <c r="BI13" s="10">
        <v>33.171395065518567</v>
      </c>
    </row>
    <row r="14" spans="1:61" x14ac:dyDescent="0.2">
      <c r="A14">
        <f>ROW()</f>
        <v>14</v>
      </c>
      <c r="B14" t="s">
        <v>83</v>
      </c>
      <c r="C14">
        <v>0.100776766</v>
      </c>
      <c r="D14" s="18">
        <v>-5.1131761000000001E-7</v>
      </c>
      <c r="E14" s="18">
        <v>-2.2525695E-5</v>
      </c>
      <c r="F14" s="18">
        <v>4.3407632006373197E-8</v>
      </c>
      <c r="G14" s="18">
        <v>1.64957474464475E-7</v>
      </c>
      <c r="H14" s="18">
        <v>1.4010351699725499E-7</v>
      </c>
      <c r="I14" s="2">
        <v>21.41</v>
      </c>
      <c r="J14" s="17">
        <f t="shared" si="0"/>
        <v>20.1553532</v>
      </c>
      <c r="K14" s="2">
        <f t="shared" si="1"/>
        <v>1.0077676600000001</v>
      </c>
      <c r="L14">
        <v>2</v>
      </c>
      <c r="M14">
        <v>1</v>
      </c>
      <c r="N14">
        <v>1.000707</v>
      </c>
      <c r="O14">
        <v>0.2</v>
      </c>
      <c r="P14">
        <v>0.1</v>
      </c>
      <c r="Q14">
        <v>1</v>
      </c>
      <c r="R14" s="52">
        <f t="shared" si="2"/>
        <v>-5.0701802025553937E-6</v>
      </c>
      <c r="S14" s="52">
        <f t="shared" si="3"/>
        <v>-2.2336279956757408E-4</v>
      </c>
      <c r="T14" s="19">
        <f t="shared" si="4"/>
        <v>0.50035350000000001</v>
      </c>
      <c r="U14">
        <f t="shared" si="5"/>
        <v>0.50035603689527253</v>
      </c>
      <c r="V14" s="19">
        <f t="shared" si="6"/>
        <v>1.0007120737905451</v>
      </c>
      <c r="W14" s="52">
        <f t="shared" si="10"/>
        <v>2.2352071706686837E-4</v>
      </c>
      <c r="X14" s="19"/>
      <c r="Y14" t="s">
        <v>84</v>
      </c>
      <c r="Z14">
        <f>INDEX(LINEST(AC10:AC13,AB10:AB13),2)</f>
        <v>8.809828550844955</v>
      </c>
      <c r="AJ14">
        <v>13</v>
      </c>
      <c r="AK14">
        <v>1</v>
      </c>
      <c r="AN14">
        <v>0.1006784466</v>
      </c>
      <c r="AO14" s="18">
        <v>-6.2024551999999996E-7</v>
      </c>
      <c r="AP14" s="18">
        <v>-2.0564957999999999E-5</v>
      </c>
      <c r="AQ14" s="18">
        <v>7.0934790578400298E-8</v>
      </c>
      <c r="AR14" s="18">
        <v>1.56261351630304E-7</v>
      </c>
      <c r="AS14" s="18">
        <v>1.7133707140020799E-7</v>
      </c>
      <c r="AT14" s="2">
        <v>21.19</v>
      </c>
      <c r="AU14" s="17">
        <f t="shared" si="8"/>
        <v>20.135689320000001</v>
      </c>
      <c r="AV14" s="2">
        <f t="shared" si="9"/>
        <v>1.0067844659999998</v>
      </c>
      <c r="AW14">
        <v>2</v>
      </c>
      <c r="AX14">
        <v>1</v>
      </c>
      <c r="AY14">
        <v>1.000707</v>
      </c>
      <c r="AZ14">
        <v>0.2</v>
      </c>
      <c r="BA14">
        <v>0.1</v>
      </c>
      <c r="BB14">
        <v>1</v>
      </c>
      <c r="BE14" t="s">
        <v>84</v>
      </c>
      <c r="BF14">
        <v>8.2650026085503399</v>
      </c>
    </row>
    <row r="15" spans="1:61" x14ac:dyDescent="0.2">
      <c r="A15">
        <f>ROW()</f>
        <v>15</v>
      </c>
      <c r="C15">
        <v>0.30103981722000001</v>
      </c>
      <c r="D15" s="18">
        <v>-2.9779742000000001E-6</v>
      </c>
      <c r="E15" s="18">
        <v>-6.7769833999999996E-5</v>
      </c>
      <c r="F15" s="18">
        <v>6.5000124585734095E-8</v>
      </c>
      <c r="G15" s="18">
        <v>1.55354766242816E-7</v>
      </c>
      <c r="H15" s="18">
        <v>1.51897880972711E-7</v>
      </c>
      <c r="I15" s="2">
        <v>21.42</v>
      </c>
      <c r="J15" s="17">
        <f t="shared" si="0"/>
        <v>60.207963444000001</v>
      </c>
      <c r="K15" s="2">
        <f t="shared" si="1"/>
        <v>3.0103981721999999</v>
      </c>
      <c r="L15">
        <v>2</v>
      </c>
      <c r="M15">
        <v>1</v>
      </c>
      <c r="N15">
        <v>1.000707</v>
      </c>
      <c r="O15">
        <v>0.2</v>
      </c>
      <c r="P15">
        <v>0.1</v>
      </c>
      <c r="Q15">
        <v>1</v>
      </c>
      <c r="R15" s="52">
        <f t="shared" si="2"/>
        <v>-9.8853044996091221E-6</v>
      </c>
      <c r="S15" s="52">
        <f t="shared" si="3"/>
        <v>-2.2496012389159153E-4</v>
      </c>
      <c r="T15" s="19">
        <f t="shared" si="4"/>
        <v>0.50035350000000001</v>
      </c>
      <c r="U15">
        <f t="shared" si="5"/>
        <v>0.50035844619559966</v>
      </c>
      <c r="V15" s="19">
        <f t="shared" si="6"/>
        <v>1.0007168923911993</v>
      </c>
      <c r="W15" s="52">
        <f t="shared" si="10"/>
        <v>2.2511917069918289E-4</v>
      </c>
      <c r="X15" s="19"/>
      <c r="Y15" t="s">
        <v>85</v>
      </c>
      <c r="Z15">
        <f>INDEX(LINEST(AC10:AC13,AB10:AB13),1)</f>
        <v>7.3172980271726979</v>
      </c>
      <c r="AA15" t="s">
        <v>86</v>
      </c>
      <c r="AJ15">
        <v>14</v>
      </c>
      <c r="AK15">
        <v>1</v>
      </c>
      <c r="AN15">
        <v>0.30068614178000003</v>
      </c>
      <c r="AO15" s="18">
        <v>-2.805084E-6</v>
      </c>
      <c r="AP15" s="18">
        <v>-6.2164680999999999E-5</v>
      </c>
      <c r="AQ15" s="18">
        <v>1.16574922079104E-7</v>
      </c>
      <c r="AR15" s="18">
        <v>1.6210071236117399E-7</v>
      </c>
      <c r="AS15" s="18">
        <v>1.6166138419239101E-7</v>
      </c>
      <c r="AT15" s="2">
        <v>21.2</v>
      </c>
      <c r="AU15" s="17">
        <f t="shared" si="8"/>
        <v>60.137228356000008</v>
      </c>
      <c r="AV15" s="2">
        <f t="shared" si="9"/>
        <v>3.0068614178000002</v>
      </c>
      <c r="AW15">
        <v>2</v>
      </c>
      <c r="AX15">
        <v>1</v>
      </c>
      <c r="AY15">
        <v>1.000707</v>
      </c>
      <c r="AZ15">
        <v>0.2</v>
      </c>
      <c r="BA15">
        <v>0.1</v>
      </c>
      <c r="BB15">
        <v>1</v>
      </c>
      <c r="BE15" t="s">
        <v>85</v>
      </c>
      <c r="BF15">
        <v>6.6937720007172006</v>
      </c>
      <c r="BG15" t="s">
        <v>86</v>
      </c>
    </row>
    <row r="16" spans="1:61" x14ac:dyDescent="0.2">
      <c r="A16">
        <f>ROW()</f>
        <v>16</v>
      </c>
      <c r="C16">
        <v>0.50059628521999999</v>
      </c>
      <c r="D16" s="18">
        <v>-9.1319373000000008E-6</v>
      </c>
      <c r="E16">
        <v>-1.1333289E-4</v>
      </c>
      <c r="F16" s="18">
        <v>1.4048080034708E-7</v>
      </c>
      <c r="G16" s="18">
        <v>2.8588904109760799E-7</v>
      </c>
      <c r="H16" s="18">
        <v>2.6127119607794498E-7</v>
      </c>
      <c r="I16" s="2">
        <v>21.42</v>
      </c>
      <c r="J16" s="17">
        <f t="shared" si="0"/>
        <v>100.11925704399999</v>
      </c>
      <c r="K16" s="2">
        <f t="shared" si="1"/>
        <v>5.0059628521999997</v>
      </c>
      <c r="L16">
        <v>2</v>
      </c>
      <c r="M16">
        <v>1</v>
      </c>
      <c r="N16">
        <v>1.000707</v>
      </c>
      <c r="O16">
        <v>0.2</v>
      </c>
      <c r="P16">
        <v>0.1</v>
      </c>
      <c r="Q16">
        <v>1</v>
      </c>
      <c r="R16" s="52">
        <f t="shared" si="2"/>
        <v>-1.8229231520731946E-5</v>
      </c>
      <c r="S16" s="52">
        <f t="shared" si="3"/>
        <v>-2.2623583833888633E-4</v>
      </c>
      <c r="T16" s="19">
        <f t="shared" si="4"/>
        <v>0.50035350000000001</v>
      </c>
      <c r="U16">
        <f t="shared" si="5"/>
        <v>0.50036262122606667</v>
      </c>
      <c r="V16" s="19">
        <f t="shared" si="6"/>
        <v>1.0007252424521333</v>
      </c>
      <c r="W16" s="52">
        <f t="shared" si="10"/>
        <v>2.2639578707659192E-4</v>
      </c>
      <c r="X16" s="19"/>
      <c r="Z16" s="49" t="s">
        <v>90</v>
      </c>
      <c r="AA16" s="19">
        <f>AVERAGE(X10:X13)</f>
        <v>1.0007201194205511</v>
      </c>
      <c r="AJ16">
        <v>15</v>
      </c>
      <c r="AK16">
        <v>1</v>
      </c>
      <c r="AN16">
        <v>0.50043819253999999</v>
      </c>
      <c r="AO16" s="18">
        <v>-8.6142705000000008E-6</v>
      </c>
      <c r="AP16" s="18">
        <v>-1.0441630000000001E-4</v>
      </c>
      <c r="AQ16" s="18">
        <v>2.34388725165491E-7</v>
      </c>
      <c r="AR16" s="18">
        <v>3.8428159590949698E-7</v>
      </c>
      <c r="AS16" s="18">
        <v>1.7981799131343901E-7</v>
      </c>
      <c r="AT16" s="2">
        <v>21.21</v>
      </c>
      <c r="AU16" s="17">
        <f t="shared" si="8"/>
        <v>100.087638508</v>
      </c>
      <c r="AV16" s="2">
        <f t="shared" si="9"/>
        <v>5.0043819253999997</v>
      </c>
      <c r="AW16">
        <v>2</v>
      </c>
      <c r="AX16">
        <v>1</v>
      </c>
      <c r="AY16">
        <v>1.000707</v>
      </c>
      <c r="AZ16">
        <v>0.2</v>
      </c>
      <c r="BA16">
        <v>0.1</v>
      </c>
      <c r="BB16">
        <v>1</v>
      </c>
      <c r="BF16" s="19" t="s">
        <v>90</v>
      </c>
      <c r="BG16" s="19">
        <v>1.0007182980893381</v>
      </c>
    </row>
    <row r="17" spans="1:61" x14ac:dyDescent="0.2">
      <c r="A17">
        <f>ROW()</f>
        <v>17</v>
      </c>
      <c r="C17">
        <v>0.60050950305999995</v>
      </c>
      <c r="D17" s="18">
        <v>-1.5677032E-5</v>
      </c>
      <c r="E17">
        <v>-1.3593816000000001E-4</v>
      </c>
      <c r="F17" s="18">
        <v>2.9166027866166901E-7</v>
      </c>
      <c r="G17" s="18">
        <v>3.4791929692961802E-7</v>
      </c>
      <c r="H17" s="18">
        <v>6.4271100815218204E-8</v>
      </c>
      <c r="I17" s="2">
        <v>21.43</v>
      </c>
      <c r="J17" s="17">
        <f t="shared" si="0"/>
        <v>120.10190061199999</v>
      </c>
      <c r="K17" s="2">
        <f t="shared" si="1"/>
        <v>6.0050950305999988</v>
      </c>
      <c r="L17">
        <v>2</v>
      </c>
      <c r="M17">
        <v>1</v>
      </c>
      <c r="N17">
        <v>1.000707</v>
      </c>
      <c r="O17">
        <v>0.2</v>
      </c>
      <c r="P17">
        <v>0.1</v>
      </c>
      <c r="Q17">
        <v>1</v>
      </c>
      <c r="R17" s="52">
        <f t="shared" si="2"/>
        <v>-2.6087773947223047E-5</v>
      </c>
      <c r="S17" s="52">
        <f t="shared" si="3"/>
        <v>-2.2621144033395087E-4</v>
      </c>
      <c r="T17" s="19">
        <f t="shared" si="4"/>
        <v>0.50035350000000001</v>
      </c>
      <c r="U17">
        <f t="shared" si="5"/>
        <v>0.50036655344953718</v>
      </c>
      <c r="V17" s="19">
        <f t="shared" si="6"/>
        <v>1.0007331068990744</v>
      </c>
      <c r="W17" s="52">
        <f t="shared" si="10"/>
        <v>2.2637137182226696E-4</v>
      </c>
      <c r="X17" s="19"/>
      <c r="Z17" s="49" t="s">
        <v>89</v>
      </c>
      <c r="AA17" s="19">
        <f>AVERAGE(Y10:Y13)</f>
        <v>2.2561396482316382E-4</v>
      </c>
      <c r="AJ17">
        <v>15</v>
      </c>
      <c r="AK17">
        <v>1</v>
      </c>
      <c r="AN17">
        <v>0.59998863976000005</v>
      </c>
      <c r="AO17" s="18">
        <v>-1.4802364000000001E-5</v>
      </c>
      <c r="AP17">
        <v>-1.2550037E-4</v>
      </c>
      <c r="AQ17" s="18">
        <v>4.4104043913247298E-7</v>
      </c>
      <c r="AR17" s="18">
        <v>5.1679488068671897E-7</v>
      </c>
      <c r="AS17" s="18">
        <v>2.2033078109969299E-7</v>
      </c>
      <c r="AT17" s="2">
        <v>21.23</v>
      </c>
      <c r="AU17" s="17">
        <f t="shared" si="8"/>
        <v>119.99772795200001</v>
      </c>
      <c r="AV17" s="2">
        <f t="shared" si="9"/>
        <v>5.9998863976000001</v>
      </c>
      <c r="AW17">
        <v>2</v>
      </c>
      <c r="AX17">
        <v>1</v>
      </c>
      <c r="AY17">
        <v>1.000707</v>
      </c>
      <c r="AZ17">
        <v>0.2</v>
      </c>
      <c r="BA17">
        <v>0.1</v>
      </c>
      <c r="BB17">
        <v>1</v>
      </c>
      <c r="BF17" s="19" t="s">
        <v>89</v>
      </c>
      <c r="BG17" s="19">
        <v>2.0729510321311817E-4</v>
      </c>
    </row>
    <row r="18" spans="1:61" x14ac:dyDescent="0.2">
      <c r="A18">
        <f>ROW()</f>
        <v>18</v>
      </c>
      <c r="D18" s="18"/>
      <c r="E18" s="18"/>
      <c r="F18" s="18"/>
      <c r="G18" s="18"/>
      <c r="H18" s="18"/>
      <c r="I18" s="2"/>
      <c r="J18" s="17"/>
      <c r="K18" s="2"/>
      <c r="R18" s="52"/>
      <c r="S18" s="52"/>
      <c r="T18" s="19"/>
      <c r="V18" s="19"/>
      <c r="W18" s="52"/>
      <c r="X18" s="19"/>
      <c r="Y18" s="19"/>
      <c r="AA18" s="19"/>
      <c r="AO18" s="18"/>
      <c r="AP18" s="18"/>
      <c r="AQ18" s="18"/>
      <c r="AR18" s="18"/>
      <c r="AS18" s="18"/>
      <c r="AT18" s="2"/>
      <c r="AU18" s="17"/>
      <c r="AV18" s="2"/>
    </row>
    <row r="19" spans="1:61" x14ac:dyDescent="0.2">
      <c r="A19">
        <f>ROW()</f>
        <v>19</v>
      </c>
      <c r="B19" t="s">
        <v>52</v>
      </c>
      <c r="C19">
        <v>0.10009250847999999</v>
      </c>
      <c r="D19" s="18">
        <v>2.7782440599999998E-7</v>
      </c>
      <c r="E19" s="18">
        <v>1.8772588000000001E-5</v>
      </c>
      <c r="F19" s="18">
        <v>5.8686307859326997E-8</v>
      </c>
      <c r="G19" s="18">
        <v>1.83155498944246E-7</v>
      </c>
      <c r="H19" s="18">
        <v>2.0422963657608601E-7</v>
      </c>
      <c r="I19" s="2">
        <v>21.5</v>
      </c>
      <c r="J19" s="17">
        <f t="shared" ref="J19:J26" si="11">100*C19/0.5</f>
        <v>20.018501695999998</v>
      </c>
      <c r="K19" s="2">
        <f t="shared" ref="K19:K26" si="12">C19/P19</f>
        <v>1.0009250848</v>
      </c>
      <c r="L19">
        <v>2</v>
      </c>
      <c r="M19">
        <v>1</v>
      </c>
      <c r="N19">
        <v>1.000707</v>
      </c>
      <c r="O19">
        <v>0.2</v>
      </c>
      <c r="P19">
        <v>0.1</v>
      </c>
      <c r="Q19">
        <v>-1</v>
      </c>
      <c r="R19" s="52">
        <f t="shared" ref="R19:R26" si="13">Q19*D19/C19/N19</f>
        <v>-2.7737153073006645E-6</v>
      </c>
      <c r="S19" s="52">
        <f t="shared" ref="S19:S26" si="14">Q19*E19/C19/N19</f>
        <v>-1.874198722960602E-4</v>
      </c>
      <c r="T19" s="19">
        <f t="shared" ref="T19:T26" si="15">N19*M19/L19</f>
        <v>0.50035350000000001</v>
      </c>
      <c r="U19">
        <f t="shared" ref="U19:U26" si="16">T19/(1+R19)</f>
        <v>0.50035488784201154</v>
      </c>
      <c r="V19" s="19">
        <f>U19*L19</f>
        <v>1.0007097756840231</v>
      </c>
      <c r="W19" s="52">
        <f t="shared" si="10"/>
        <v>1.8755237814577352E-4</v>
      </c>
      <c r="X19" s="19">
        <f t="shared" ref="X19:Y22" si="17">0.5*(V19+V23)</f>
        <v>1.0007128970012054</v>
      </c>
      <c r="Y19" s="19">
        <f t="shared" si="17"/>
        <v>1.8737711352626886E-4</v>
      </c>
      <c r="Z19" s="2">
        <f>0.2*(K19/L19)^2</f>
        <v>5.0092551269094357E-2</v>
      </c>
      <c r="AA19" s="10">
        <f>2.11*Z19</f>
        <v>0.10569528317778909</v>
      </c>
      <c r="AB19" s="2">
        <f>0.1*K19^2</f>
        <v>0.10018510253818871</v>
      </c>
      <c r="AC19" s="10">
        <f>1000000*(X19-1.0007)+AA19</f>
        <v>13.002696488614143</v>
      </c>
      <c r="AE19" s="2"/>
      <c r="AF19" s="10"/>
      <c r="AJ19">
        <v>12</v>
      </c>
      <c r="AK19">
        <v>1</v>
      </c>
      <c r="AN19">
        <v>0.10010164058</v>
      </c>
      <c r="AO19" s="18">
        <v>-5.5004210800000002E-8</v>
      </c>
      <c r="AP19" s="18">
        <v>1.6992243000000001E-5</v>
      </c>
      <c r="AQ19" s="18">
        <v>4.0567810068565201E-8</v>
      </c>
      <c r="AR19" s="18">
        <v>1.9776738606141899E-7</v>
      </c>
      <c r="AS19" s="18">
        <v>2.2562977119830601E-7</v>
      </c>
      <c r="AT19" s="2">
        <v>21.18</v>
      </c>
      <c r="AU19" s="17">
        <f t="shared" ref="AU19:AU26" si="18">100*AN19/0.5</f>
        <v>20.020328115999998</v>
      </c>
      <c r="AV19" s="2">
        <f t="shared" ref="AV19:AV26" si="19">AN19/BA19</f>
        <v>1.0010164058</v>
      </c>
      <c r="AW19">
        <v>2</v>
      </c>
      <c r="AX19">
        <v>1</v>
      </c>
      <c r="AY19">
        <v>1.000707</v>
      </c>
      <c r="AZ19">
        <v>0.2</v>
      </c>
      <c r="BA19">
        <v>0.1</v>
      </c>
      <c r="BB19">
        <v>-1</v>
      </c>
      <c r="BD19" s="19">
        <v>1.0007111538426874</v>
      </c>
      <c r="BE19" s="19">
        <v>1.6998480775002852E-4</v>
      </c>
      <c r="BF19" s="2">
        <v>5.0101692234037515E-2</v>
      </c>
      <c r="BG19" s="10">
        <v>0.10571457061381916</v>
      </c>
      <c r="BH19" s="2">
        <v>0.10020338446807503</v>
      </c>
      <c r="BI19" s="10">
        <v>11.259557258075153</v>
      </c>
    </row>
    <row r="20" spans="1:61" x14ac:dyDescent="0.2">
      <c r="A20">
        <f>ROW()</f>
        <v>20</v>
      </c>
      <c r="C20">
        <v>0.30057629157999999</v>
      </c>
      <c r="D20" s="18">
        <v>2.0937750000000001E-6</v>
      </c>
      <c r="E20" s="18">
        <v>5.6944943999999998E-5</v>
      </c>
      <c r="F20" s="18">
        <v>7.23600480580415E-8</v>
      </c>
      <c r="G20" s="18">
        <v>2.1129339352426499E-7</v>
      </c>
      <c r="H20" s="18">
        <v>1.8361807934950201E-7</v>
      </c>
      <c r="I20" s="2">
        <v>21.5</v>
      </c>
      <c r="J20" s="17">
        <f t="shared" si="11"/>
        <v>60.115258315999995</v>
      </c>
      <c r="K20" s="2">
        <f t="shared" si="12"/>
        <v>3.0057629157999997</v>
      </c>
      <c r="L20">
        <v>2</v>
      </c>
      <c r="M20">
        <v>1</v>
      </c>
      <c r="N20">
        <v>1.000707</v>
      </c>
      <c r="O20">
        <v>0.2</v>
      </c>
      <c r="P20">
        <v>0.1</v>
      </c>
      <c r="Q20">
        <v>-1</v>
      </c>
      <c r="R20" s="52">
        <f t="shared" si="13"/>
        <v>-6.9609473718257687E-6</v>
      </c>
      <c r="S20" s="52">
        <f t="shared" si="14"/>
        <v>-1.8931869865461453E-4</v>
      </c>
      <c r="T20" s="19">
        <f t="shared" si="15"/>
        <v>0.50035350000000001</v>
      </c>
      <c r="U20">
        <f t="shared" si="16"/>
        <v>0.50035698295862552</v>
      </c>
      <c r="V20" s="19">
        <f t="shared" ref="V20:V26" si="20">U20*L20</f>
        <v>1.000713965917251</v>
      </c>
      <c r="W20" s="52">
        <f t="shared" si="10"/>
        <v>1.8945254697456335E-4</v>
      </c>
      <c r="X20" s="19">
        <f t="shared" si="17"/>
        <v>1.0007167335541063</v>
      </c>
      <c r="Y20" s="19">
        <f t="shared" si="17"/>
        <v>1.89524513031177E-4</v>
      </c>
      <c r="Z20" s="2">
        <f>0.2*(K20/L20)^2</f>
        <v>0.4517305352999258</v>
      </c>
      <c r="AA20" s="10">
        <f>2.11*Z20</f>
        <v>0.95315142948284337</v>
      </c>
      <c r="AB20" s="2">
        <f>0.1*K20^2</f>
        <v>0.90346107059985159</v>
      </c>
      <c r="AC20" s="10">
        <f>1000000*(X20-1.0007)+AA20</f>
        <v>17.686705535845746</v>
      </c>
      <c r="AE20" s="2"/>
      <c r="AF20" s="10"/>
      <c r="AJ20">
        <v>14</v>
      </c>
      <c r="AK20">
        <v>1</v>
      </c>
      <c r="AN20">
        <v>0.3006004095</v>
      </c>
      <c r="AO20" s="18">
        <v>1.23654269E-6</v>
      </c>
      <c r="AP20" s="18">
        <v>5.2107154999999998E-5</v>
      </c>
      <c r="AQ20" s="18">
        <v>5.8176224528278696E-7</v>
      </c>
      <c r="AR20" s="18">
        <v>2.2788586473893901E-7</v>
      </c>
      <c r="AS20" s="18">
        <v>1.8550359369834301E-7</v>
      </c>
      <c r="AT20" s="2">
        <v>21.18</v>
      </c>
      <c r="AU20" s="17">
        <f t="shared" si="18"/>
        <v>60.120081900000002</v>
      </c>
      <c r="AV20" s="2">
        <f t="shared" si="19"/>
        <v>3.0060040949999998</v>
      </c>
      <c r="AW20">
        <v>2</v>
      </c>
      <c r="AX20">
        <v>1</v>
      </c>
      <c r="AY20">
        <v>1.000707</v>
      </c>
      <c r="AZ20">
        <v>0.2</v>
      </c>
      <c r="BA20">
        <v>0.1</v>
      </c>
      <c r="BB20">
        <v>-1</v>
      </c>
      <c r="BD20" s="19">
        <v>1.0007147302395778</v>
      </c>
      <c r="BE20" s="19">
        <v>1.7339287670557911E-4</v>
      </c>
      <c r="BF20" s="2">
        <v>0.45180303095783841</v>
      </c>
      <c r="BG20" s="10">
        <v>0.95330439532103894</v>
      </c>
      <c r="BH20" s="2">
        <v>0.90360606191567683</v>
      </c>
      <c r="BI20" s="10">
        <v>15.683543973196931</v>
      </c>
    </row>
    <row r="21" spans="1:61" x14ac:dyDescent="0.2">
      <c r="A21">
        <f>ROW()</f>
        <v>21</v>
      </c>
      <c r="C21">
        <v>0.50076398345999995</v>
      </c>
      <c r="D21" s="18">
        <v>9.2390758999999903E-6</v>
      </c>
      <c r="E21" s="18">
        <v>9.5811805000000003E-5</v>
      </c>
      <c r="F21" s="18">
        <v>1.05213847325799E-7</v>
      </c>
      <c r="G21" s="18">
        <v>2.4045616722843699E-7</v>
      </c>
      <c r="H21" s="18">
        <v>1.8957588474012199E-7</v>
      </c>
      <c r="I21" s="2">
        <v>21.51</v>
      </c>
      <c r="J21" s="17">
        <f t="shared" si="11"/>
        <v>100.152796692</v>
      </c>
      <c r="K21" s="2">
        <f t="shared" si="12"/>
        <v>5.0076398345999991</v>
      </c>
      <c r="L21">
        <v>2</v>
      </c>
      <c r="M21">
        <v>1</v>
      </c>
      <c r="N21">
        <v>1.000707</v>
      </c>
      <c r="O21">
        <v>0.2</v>
      </c>
      <c r="P21">
        <v>0.1</v>
      </c>
      <c r="Q21">
        <v>-1</v>
      </c>
      <c r="R21" s="52">
        <f t="shared" si="13"/>
        <v>-1.8436925963458986E-5</v>
      </c>
      <c r="S21" s="52">
        <f t="shared" si="14"/>
        <v>-1.9119608652748177E-4</v>
      </c>
      <c r="T21" s="19">
        <f t="shared" si="15"/>
        <v>0.50035350000000001</v>
      </c>
      <c r="U21">
        <f t="shared" si="16"/>
        <v>0.50036272515051849</v>
      </c>
      <c r="V21" s="19">
        <f t="shared" si="20"/>
        <v>1.000725450301037</v>
      </c>
      <c r="W21" s="52">
        <f t="shared" si="10"/>
        <v>1.913312621606567E-4</v>
      </c>
      <c r="X21" s="19">
        <f t="shared" si="17"/>
        <v>1.0007262750324566</v>
      </c>
      <c r="Y21" s="19">
        <f t="shared" si="17"/>
        <v>1.9128844551764086E-4</v>
      </c>
      <c r="Z21" s="2">
        <f>0.2*(K21/L21)^2</f>
        <v>1.2538228356536354</v>
      </c>
      <c r="AA21" s="10">
        <f>2.11*Z21</f>
        <v>2.6455661832291706</v>
      </c>
      <c r="AB21" s="2">
        <f>0.1*K21^2</f>
        <v>2.5076456713072708</v>
      </c>
      <c r="AC21" s="10">
        <f>1000000*(X21-1.0007)+AA21</f>
        <v>28.920598639897683</v>
      </c>
      <c r="AE21" s="2"/>
      <c r="AF21" s="10"/>
      <c r="AJ21">
        <v>14</v>
      </c>
      <c r="AK21">
        <v>1</v>
      </c>
      <c r="AN21">
        <v>0.50095979451999995</v>
      </c>
      <c r="AO21" s="18">
        <v>7.1559044000000003E-6</v>
      </c>
      <c r="AP21" s="18">
        <v>8.8131521000000006E-5</v>
      </c>
      <c r="AQ21" s="18">
        <v>1.0274633594580501E-6</v>
      </c>
      <c r="AR21" s="18">
        <v>3.7909365557687699E-7</v>
      </c>
      <c r="AS21" s="18">
        <v>2.1119503748667899E-7</v>
      </c>
      <c r="AT21" s="2">
        <v>21.18</v>
      </c>
      <c r="AU21" s="17">
        <f t="shared" si="18"/>
        <v>100.19195890399999</v>
      </c>
      <c r="AV21" s="2">
        <f t="shared" si="19"/>
        <v>5.0095979451999995</v>
      </c>
      <c r="AW21">
        <v>2</v>
      </c>
      <c r="AX21">
        <v>1</v>
      </c>
      <c r="AY21">
        <v>1.000707</v>
      </c>
      <c r="AZ21">
        <v>0.2</v>
      </c>
      <c r="BA21">
        <v>0.1</v>
      </c>
      <c r="BB21">
        <v>-1</v>
      </c>
      <c r="BD21" s="19">
        <v>1.0007235869171631</v>
      </c>
      <c r="BE21" s="19">
        <v>1.759464051770549E-4</v>
      </c>
      <c r="BF21" s="2">
        <v>1.2548035786276028</v>
      </c>
      <c r="BG21" s="10">
        <v>2.647635550904242</v>
      </c>
      <c r="BH21" s="2">
        <v>2.5096071572552057</v>
      </c>
      <c r="BI21" s="10">
        <v>26.234552714102847</v>
      </c>
    </row>
    <row r="22" spans="1:61" x14ac:dyDescent="0.2">
      <c r="A22">
        <f>ROW()</f>
        <v>22</v>
      </c>
      <c r="C22">
        <v>0.60011282738000005</v>
      </c>
      <c r="D22" s="18">
        <v>1.4955025999999999E-5</v>
      </c>
      <c r="E22">
        <v>1.1527766000000001E-4</v>
      </c>
      <c r="F22" s="18">
        <v>2.5026960983733499E-7</v>
      </c>
      <c r="G22" s="18">
        <v>4.7141288540301901E-7</v>
      </c>
      <c r="H22" s="18">
        <v>2.2853626495591499E-7</v>
      </c>
      <c r="I22" s="2">
        <v>21.51</v>
      </c>
      <c r="J22" s="17">
        <f t="shared" si="11"/>
        <v>120.02256547600001</v>
      </c>
      <c r="K22" s="2">
        <f t="shared" si="12"/>
        <v>6.0011282738</v>
      </c>
      <c r="L22">
        <v>2</v>
      </c>
      <c r="M22">
        <v>1</v>
      </c>
      <c r="N22">
        <v>1.000707</v>
      </c>
      <c r="O22">
        <v>0.2</v>
      </c>
      <c r="P22">
        <v>0.1</v>
      </c>
      <c r="Q22">
        <v>-1</v>
      </c>
      <c r="R22" s="52">
        <f t="shared" si="13"/>
        <v>-2.4902750924083267E-5</v>
      </c>
      <c r="S22" s="52">
        <f t="shared" si="14"/>
        <v>-1.9195759700392075E-4</v>
      </c>
      <c r="T22" s="19">
        <f t="shared" si="15"/>
        <v>0.50035350000000001</v>
      </c>
      <c r="U22">
        <f t="shared" si="16"/>
        <v>0.50036596048888493</v>
      </c>
      <c r="V22" s="19">
        <f t="shared" si="20"/>
        <v>1.0007319209777699</v>
      </c>
      <c r="W22" s="52">
        <f t="shared" si="10"/>
        <v>1.9209331102500252E-4</v>
      </c>
      <c r="X22" s="19">
        <f t="shared" si="17"/>
        <v>1.0007330629441946</v>
      </c>
      <c r="Y22" s="19">
        <f t="shared" si="17"/>
        <v>1.9219246630911764E-4</v>
      </c>
      <c r="Z22" s="2">
        <f>0.2*(K22/L22)^2</f>
        <v>1.8006770279300885</v>
      </c>
      <c r="AA22" s="10">
        <f>2.11*Z22</f>
        <v>3.7994285289324865</v>
      </c>
      <c r="AB22" s="2">
        <f>0.1*K22^2</f>
        <v>3.6013540558601771</v>
      </c>
      <c r="AC22" s="10">
        <f>1000000*(X22-1.0007)+AA22</f>
        <v>36.862372723627509</v>
      </c>
      <c r="AE22" s="2"/>
      <c r="AF22" s="10"/>
      <c r="AJ22">
        <v>15</v>
      </c>
      <c r="AK22">
        <v>1</v>
      </c>
      <c r="AN22">
        <v>0.60008180022000002</v>
      </c>
      <c r="AO22" s="18">
        <v>1.3495033000000001E-5</v>
      </c>
      <c r="AP22">
        <v>1.0616836E-4</v>
      </c>
      <c r="AQ22" s="18">
        <v>1.6461674541947E-6</v>
      </c>
      <c r="AR22" s="18">
        <v>4.4247405439302298E-7</v>
      </c>
      <c r="AS22" s="18">
        <v>2.5788526596143498E-7</v>
      </c>
      <c r="AT22" s="2">
        <v>21.18</v>
      </c>
      <c r="AU22" s="17">
        <f t="shared" si="18"/>
        <v>120.01636004400001</v>
      </c>
      <c r="AV22" s="2">
        <f t="shared" si="19"/>
        <v>6.0008180021999999</v>
      </c>
      <c r="AW22">
        <v>2</v>
      </c>
      <c r="AX22">
        <v>1</v>
      </c>
      <c r="AY22">
        <v>1.000707</v>
      </c>
      <c r="AZ22">
        <v>0.2</v>
      </c>
      <c r="BA22">
        <v>0.1</v>
      </c>
      <c r="BB22">
        <v>-1</v>
      </c>
      <c r="BD22" s="19">
        <v>1.0007313583182018</v>
      </c>
      <c r="BE22" s="19">
        <v>1.7701554222262437E-4</v>
      </c>
      <c r="BF22" s="2">
        <v>1.8004908347763799</v>
      </c>
      <c r="BG22" s="10">
        <v>3.7990356613781615</v>
      </c>
      <c r="BH22" s="2">
        <v>3.6009816695527599</v>
      </c>
      <c r="BI22" s="10">
        <v>35.157353863268774</v>
      </c>
    </row>
    <row r="23" spans="1:61" x14ac:dyDescent="0.2">
      <c r="A23">
        <f>ROW()</f>
        <v>23</v>
      </c>
      <c r="B23" t="s">
        <v>83</v>
      </c>
      <c r="C23">
        <v>0.10043889048</v>
      </c>
      <c r="D23" s="18">
        <v>-9.0578172999999998E-7</v>
      </c>
      <c r="E23" s="18">
        <v>-1.8802346E-5</v>
      </c>
      <c r="F23" s="18">
        <v>5.4163946652384502E-8</v>
      </c>
      <c r="G23" s="18">
        <v>1.8966878028172501E-7</v>
      </c>
      <c r="H23" s="18">
        <v>1.90144191822942E-7</v>
      </c>
      <c r="I23" s="2">
        <v>21.53</v>
      </c>
      <c r="J23" s="17">
        <f t="shared" si="11"/>
        <v>20.087778096000001</v>
      </c>
      <c r="K23" s="2">
        <f t="shared" si="12"/>
        <v>1.0043889047999999</v>
      </c>
      <c r="L23">
        <v>2</v>
      </c>
      <c r="M23">
        <v>1</v>
      </c>
      <c r="N23">
        <v>1.000707</v>
      </c>
      <c r="O23">
        <v>0.2</v>
      </c>
      <c r="P23">
        <v>0.1</v>
      </c>
      <c r="Q23">
        <v>1</v>
      </c>
      <c r="R23" s="52">
        <f t="shared" si="13"/>
        <v>-9.0118657267659512E-6</v>
      </c>
      <c r="S23" s="52">
        <f t="shared" si="14"/>
        <v>-1.8706959070613499E-4</v>
      </c>
      <c r="T23" s="19">
        <f t="shared" si="15"/>
        <v>0.50035350000000001</v>
      </c>
      <c r="U23">
        <f t="shared" si="16"/>
        <v>0.50035800915919382</v>
      </c>
      <c r="V23" s="19">
        <f t="shared" si="20"/>
        <v>1.0007160183183876</v>
      </c>
      <c r="W23" s="52">
        <f t="shared" si="10"/>
        <v>1.8720184890676423E-4</v>
      </c>
      <c r="X23" s="19"/>
      <c r="Y23" t="s">
        <v>84</v>
      </c>
      <c r="Z23">
        <f>INDEX(LINEST(AC19:AC22,AB19:AB22),2)</f>
        <v>11.92026076402971</v>
      </c>
      <c r="AJ23">
        <v>12</v>
      </c>
      <c r="AK23">
        <v>1</v>
      </c>
      <c r="AN23">
        <v>0.10045553459999999</v>
      </c>
      <c r="AO23" s="18">
        <v>-8.8974373999999999E-7</v>
      </c>
      <c r="AP23" s="18">
        <v>-1.7099513E-5</v>
      </c>
      <c r="AQ23" s="18">
        <v>7.2274346466772594E-8</v>
      </c>
      <c r="AR23" s="18">
        <v>1.4155343342975599E-7</v>
      </c>
      <c r="AS23" s="18">
        <v>1.55658188769496E-7</v>
      </c>
      <c r="AT23" s="2">
        <v>21.19</v>
      </c>
      <c r="AU23" s="17">
        <f t="shared" si="18"/>
        <v>20.091106919999998</v>
      </c>
      <c r="AV23" s="2">
        <f t="shared" si="19"/>
        <v>1.0045553459999998</v>
      </c>
      <c r="AW23">
        <v>2</v>
      </c>
      <c r="AX23">
        <v>1</v>
      </c>
      <c r="AY23">
        <v>1.000707</v>
      </c>
      <c r="AZ23">
        <v>0.2</v>
      </c>
      <c r="BA23">
        <v>0.1</v>
      </c>
      <c r="BB23">
        <v>1</v>
      </c>
      <c r="BD23" s="19"/>
      <c r="BE23" t="s">
        <v>84</v>
      </c>
      <c r="BF23">
        <v>9.9778268209185637</v>
      </c>
    </row>
    <row r="24" spans="1:61" x14ac:dyDescent="0.2">
      <c r="A24">
        <f>ROW()</f>
        <v>24</v>
      </c>
      <c r="C24">
        <v>0.30010997183999999</v>
      </c>
      <c r="D24" s="18">
        <v>-3.7516852000000001E-6</v>
      </c>
      <c r="E24" s="18">
        <v>-5.6899793999999997E-5</v>
      </c>
      <c r="F24" s="18">
        <v>3.7213000731354303E-8</v>
      </c>
      <c r="G24" s="18">
        <v>1.9745281061296599E-7</v>
      </c>
      <c r="H24" s="18">
        <v>2.1435723585640899E-7</v>
      </c>
      <c r="I24" s="2">
        <v>21.54</v>
      </c>
      <c r="J24" s="17">
        <f t="shared" si="11"/>
        <v>60.021994367999994</v>
      </c>
      <c r="K24" s="2">
        <f t="shared" si="12"/>
        <v>3.0010997183999999</v>
      </c>
      <c r="L24">
        <v>2</v>
      </c>
      <c r="M24">
        <v>1</v>
      </c>
      <c r="N24">
        <v>1.000707</v>
      </c>
      <c r="O24">
        <v>0.2</v>
      </c>
      <c r="P24">
        <v>0.1</v>
      </c>
      <c r="Q24">
        <v>1</v>
      </c>
      <c r="R24" s="52">
        <f t="shared" si="13"/>
        <v>-1.2492202806621718E-5</v>
      </c>
      <c r="S24" s="52">
        <f t="shared" si="14"/>
        <v>-1.8946252907973128E-4</v>
      </c>
      <c r="T24" s="19">
        <f t="shared" si="15"/>
        <v>0.50035350000000001</v>
      </c>
      <c r="U24">
        <f t="shared" si="16"/>
        <v>0.50035975059548077</v>
      </c>
      <c r="V24" s="19">
        <f t="shared" si="20"/>
        <v>1.0007195011909615</v>
      </c>
      <c r="W24" s="52">
        <f t="shared" si="10"/>
        <v>1.8959647908779064E-4</v>
      </c>
      <c r="X24" s="19"/>
      <c r="Y24" t="s">
        <v>85</v>
      </c>
      <c r="Z24">
        <f>INDEX(LINEST(AC19:AC22,AB19:AB22),1)</f>
        <v>6.8598002790734531</v>
      </c>
      <c r="AA24" t="s">
        <v>86</v>
      </c>
      <c r="AJ24">
        <v>14</v>
      </c>
      <c r="AK24">
        <v>1</v>
      </c>
      <c r="AN24">
        <v>0.30012715383999999</v>
      </c>
      <c r="AO24" s="18">
        <v>-3.4054699999999999E-6</v>
      </c>
      <c r="AP24" s="18">
        <v>-5.2054702E-5</v>
      </c>
      <c r="AQ24" s="18">
        <v>1.3677391035957099E-7</v>
      </c>
      <c r="AR24" s="18">
        <v>1.32413328007418E-7</v>
      </c>
      <c r="AS24" s="18">
        <v>1.65971693357633E-7</v>
      </c>
      <c r="AT24" s="2">
        <v>21.2</v>
      </c>
      <c r="AU24" s="17">
        <f t="shared" si="18"/>
        <v>60.025430768</v>
      </c>
      <c r="AV24" s="2">
        <f t="shared" si="19"/>
        <v>3.0012715383999997</v>
      </c>
      <c r="AW24">
        <v>2</v>
      </c>
      <c r="AX24">
        <v>1</v>
      </c>
      <c r="AY24">
        <v>1.000707</v>
      </c>
      <c r="AZ24">
        <v>0.2</v>
      </c>
      <c r="BA24">
        <v>0.1</v>
      </c>
      <c r="BB24">
        <v>1</v>
      </c>
      <c r="BD24" s="19"/>
      <c r="BE24" t="s">
        <v>85</v>
      </c>
      <c r="BF24">
        <v>6.8064365622372192</v>
      </c>
      <c r="BG24" t="s">
        <v>86</v>
      </c>
    </row>
    <row r="25" spans="1:61" x14ac:dyDescent="0.2">
      <c r="A25">
        <f>ROW()</f>
        <v>25</v>
      </c>
      <c r="C25">
        <v>0.50018450912000001</v>
      </c>
      <c r="D25" s="18">
        <v>-1.0053388599999999E-5</v>
      </c>
      <c r="E25" s="18">
        <v>-9.5658101000000001E-5</v>
      </c>
      <c r="F25" s="18">
        <v>1.2640865790839501E-7</v>
      </c>
      <c r="G25" s="18">
        <v>3.5727444680251099E-7</v>
      </c>
      <c r="H25" s="18">
        <v>1.75728129504072E-7</v>
      </c>
      <c r="I25" s="2">
        <v>21.57</v>
      </c>
      <c r="J25" s="17">
        <f t="shared" si="11"/>
        <v>100.036901824</v>
      </c>
      <c r="K25" s="2">
        <f t="shared" si="12"/>
        <v>5.0018450911999999</v>
      </c>
      <c r="L25">
        <v>2</v>
      </c>
      <c r="M25">
        <v>1</v>
      </c>
      <c r="N25">
        <v>1.000707</v>
      </c>
      <c r="O25">
        <v>0.2</v>
      </c>
      <c r="P25">
        <v>0.1</v>
      </c>
      <c r="Q25">
        <v>1</v>
      </c>
      <c r="R25" s="52">
        <f t="shared" si="13"/>
        <v>-2.0085159961392424E-5</v>
      </c>
      <c r="S25" s="52">
        <f t="shared" si="14"/>
        <v>-1.9111051374140982E-4</v>
      </c>
      <c r="T25" s="19">
        <f t="shared" si="15"/>
        <v>0.50035350000000001</v>
      </c>
      <c r="U25">
        <f t="shared" si="16"/>
        <v>0.50036354988193821</v>
      </c>
      <c r="V25" s="19">
        <f t="shared" si="20"/>
        <v>1.0007270997638764</v>
      </c>
      <c r="W25" s="52">
        <f t="shared" si="10"/>
        <v>1.91245628874625E-4</v>
      </c>
      <c r="X25" s="19"/>
      <c r="Z25" s="49" t="s">
        <v>91</v>
      </c>
      <c r="AA25" s="19">
        <f>AVERAGE(X19:X22)</f>
        <v>1.0007222421329907</v>
      </c>
      <c r="AE25" s="19"/>
      <c r="AF25" s="19"/>
      <c r="AJ25">
        <v>14</v>
      </c>
      <c r="AK25">
        <v>1</v>
      </c>
      <c r="AN25">
        <v>0.50084852982000005</v>
      </c>
      <c r="AO25" s="18">
        <v>-9.4604703999999997E-6</v>
      </c>
      <c r="AP25" s="18">
        <v>-8.8133049999999995E-5</v>
      </c>
      <c r="AQ25" s="18">
        <v>1.02996364983456E-7</v>
      </c>
      <c r="AR25" s="18">
        <v>3.50946373789273E-7</v>
      </c>
      <c r="AS25" s="18">
        <v>1.5498091979337299E-7</v>
      </c>
      <c r="AT25" s="2">
        <v>21.21</v>
      </c>
      <c r="AU25" s="17">
        <f t="shared" si="18"/>
        <v>100.16970596400002</v>
      </c>
      <c r="AV25" s="2">
        <f t="shared" si="19"/>
        <v>5.0084852982000001</v>
      </c>
      <c r="AW25">
        <v>2</v>
      </c>
      <c r="AX25">
        <v>1</v>
      </c>
      <c r="AY25">
        <v>1.000707</v>
      </c>
      <c r="AZ25">
        <v>0.2</v>
      </c>
      <c r="BA25">
        <v>0.1</v>
      </c>
      <c r="BB25">
        <v>1</v>
      </c>
      <c r="BD25" s="19"/>
      <c r="BF25" s="19" t="s">
        <v>91</v>
      </c>
      <c r="BG25" s="19">
        <v>1.0007202073294077</v>
      </c>
    </row>
    <row r="26" spans="1:61" x14ac:dyDescent="0.2">
      <c r="A26">
        <f>ROW()</f>
        <v>26</v>
      </c>
      <c r="C26">
        <v>0.60076860886000005</v>
      </c>
      <c r="D26" s="18">
        <v>-1.6343412E-5</v>
      </c>
      <c r="E26">
        <v>-1.1552277E-4</v>
      </c>
      <c r="F26" s="18">
        <v>1.2606099724280101E-7</v>
      </c>
      <c r="G26" s="18">
        <v>4.6197283389394201E-7</v>
      </c>
      <c r="H26" s="18">
        <v>1.7809754939358301E-7</v>
      </c>
      <c r="I26" s="2">
        <v>21.58</v>
      </c>
      <c r="J26" s="17">
        <f t="shared" si="11"/>
        <v>120.15372177200001</v>
      </c>
      <c r="K26" s="2">
        <f t="shared" si="12"/>
        <v>6.0076860885999999</v>
      </c>
      <c r="L26">
        <v>2</v>
      </c>
      <c r="M26">
        <v>1</v>
      </c>
      <c r="N26">
        <v>1.000707</v>
      </c>
      <c r="O26">
        <v>0.2</v>
      </c>
      <c r="P26">
        <v>0.1</v>
      </c>
      <c r="Q26">
        <v>1</v>
      </c>
      <c r="R26" s="52">
        <f t="shared" si="13"/>
        <v>-2.7184951294598128E-5</v>
      </c>
      <c r="S26" s="52">
        <f t="shared" si="14"/>
        <v>-1.9215576746563456E-4</v>
      </c>
      <c r="T26" s="19">
        <f t="shared" si="15"/>
        <v>0.50035350000000001</v>
      </c>
      <c r="U26">
        <f t="shared" si="16"/>
        <v>0.50036710245530969</v>
      </c>
      <c r="V26" s="19">
        <f t="shared" si="20"/>
        <v>1.0007342049106194</v>
      </c>
      <c r="W26" s="52">
        <f t="shared" si="10"/>
        <v>1.9229162159323276E-4</v>
      </c>
      <c r="X26" s="19"/>
      <c r="Y26" s="19"/>
      <c r="Z26" s="49" t="s">
        <v>92</v>
      </c>
      <c r="AA26" s="19">
        <f>AVERAGE(Y19:Y22)</f>
        <v>1.9009563459605107E-4</v>
      </c>
      <c r="AE26" s="19"/>
      <c r="AF26" s="19"/>
      <c r="AJ26">
        <v>15</v>
      </c>
      <c r="AK26">
        <v>1</v>
      </c>
      <c r="AN26">
        <v>0.6000141551</v>
      </c>
      <c r="AO26" s="18">
        <v>-1.5736444000000001E-5</v>
      </c>
      <c r="AP26">
        <v>-1.0626727E-4</v>
      </c>
      <c r="AQ26" s="18">
        <v>2.6248636821245701E-7</v>
      </c>
      <c r="AR26" s="18">
        <v>4.16655268854241E-7</v>
      </c>
      <c r="AS26" s="18">
        <v>1.2901781698664599E-7</v>
      </c>
      <c r="AT26" s="2">
        <v>21.23</v>
      </c>
      <c r="AU26" s="17">
        <f t="shared" si="18"/>
        <v>120.00283102</v>
      </c>
      <c r="AV26" s="2">
        <f t="shared" si="19"/>
        <v>6.0001415509999996</v>
      </c>
      <c r="AW26">
        <v>2</v>
      </c>
      <c r="AX26">
        <v>1</v>
      </c>
      <c r="AY26">
        <v>1.000707</v>
      </c>
      <c r="AZ26">
        <v>0.2</v>
      </c>
      <c r="BA26">
        <v>0.1</v>
      </c>
      <c r="BB26">
        <v>1</v>
      </c>
      <c r="BD26" s="19"/>
      <c r="BE26" s="19"/>
      <c r="BF26" s="19" t="s">
        <v>92</v>
      </c>
      <c r="BG26" s="19">
        <v>1.7408490796382172E-4</v>
      </c>
    </row>
    <row r="27" spans="1:61" x14ac:dyDescent="0.2">
      <c r="A27">
        <f>ROW()</f>
        <v>27</v>
      </c>
      <c r="C27" s="6"/>
      <c r="D27" s="18"/>
      <c r="E27" s="18"/>
      <c r="F27" s="18"/>
      <c r="G27" s="18"/>
      <c r="H27" s="18"/>
      <c r="I27" s="2"/>
      <c r="J27" s="17"/>
      <c r="K27" s="2"/>
      <c r="R27" s="52"/>
      <c r="S27" s="52"/>
      <c r="T27" s="19"/>
      <c r="V27" s="19"/>
      <c r="W27" s="19"/>
      <c r="X27" s="19"/>
    </row>
    <row r="28" spans="1:61" x14ac:dyDescent="0.2">
      <c r="A28">
        <f>ROW()</f>
        <v>28</v>
      </c>
      <c r="C28" s="6"/>
      <c r="D28" s="18"/>
      <c r="E28" s="18"/>
      <c r="F28" s="18"/>
      <c r="G28" s="18"/>
      <c r="H28" s="18"/>
      <c r="I28" s="2"/>
      <c r="J28" s="17"/>
      <c r="K28" s="2"/>
      <c r="R28" s="52"/>
      <c r="S28" s="52"/>
      <c r="T28" s="19"/>
      <c r="V28" s="19"/>
      <c r="W28" s="19"/>
      <c r="X28" s="60"/>
      <c r="Y28" s="62" t="s">
        <v>95</v>
      </c>
      <c r="Z28" s="63">
        <f>(Z24+Z15)/2</f>
        <v>7.0885491531230755</v>
      </c>
      <c r="AA28" s="59" t="s">
        <v>86</v>
      </c>
    </row>
    <row r="29" spans="1:61" x14ac:dyDescent="0.2">
      <c r="A29">
        <f>ROW()</f>
        <v>29</v>
      </c>
      <c r="B29" s="45"/>
      <c r="D29" s="18"/>
      <c r="E29" s="18"/>
      <c r="F29" s="18"/>
      <c r="G29" s="18"/>
      <c r="H29" s="18"/>
      <c r="R29" s="52"/>
      <c r="S29" s="52"/>
      <c r="T29" s="19"/>
      <c r="V29" s="19"/>
      <c r="W29" s="19"/>
      <c r="X29" s="19"/>
      <c r="Y29" s="19"/>
      <c r="AB29" t="s">
        <v>64</v>
      </c>
    </row>
    <row r="30" spans="1:61" x14ac:dyDescent="0.2">
      <c r="A30">
        <f>ROW()</f>
        <v>30</v>
      </c>
      <c r="C30" s="5" t="str">
        <f>B34&amp;" range, "&amp;B36&amp;", vs shunts and 500 AT on "&amp;B38&amp;" range."</f>
        <v>30/5 range, l - 1200At(5A), vs shunts and 500 AT on 50/5 range.</v>
      </c>
      <c r="D30" s="18"/>
      <c r="E30" s="18"/>
      <c r="F30" s="18"/>
      <c r="G30" s="18"/>
      <c r="H30" s="18"/>
      <c r="L30" t="s">
        <v>23</v>
      </c>
      <c r="N30" t="s">
        <v>24</v>
      </c>
      <c r="O30" t="s">
        <v>25</v>
      </c>
      <c r="Q30" t="s">
        <v>26</v>
      </c>
      <c r="R30" s="50" t="s">
        <v>27</v>
      </c>
      <c r="S30" s="50" t="s">
        <v>27</v>
      </c>
      <c r="T30" s="19"/>
      <c r="V30" s="19"/>
      <c r="W30" s="19"/>
      <c r="X30" s="19"/>
      <c r="Y30" s="19"/>
      <c r="Z30" t="s">
        <v>63</v>
      </c>
      <c r="AA30" t="s">
        <v>63</v>
      </c>
      <c r="AB30" t="s">
        <v>65</v>
      </c>
    </row>
    <row r="31" spans="1:61" x14ac:dyDescent="0.2">
      <c r="A31">
        <f>ROW()</f>
        <v>31</v>
      </c>
      <c r="B31" s="4">
        <v>43368</v>
      </c>
      <c r="I31" t="s">
        <v>77</v>
      </c>
      <c r="J31" t="s">
        <v>37</v>
      </c>
      <c r="K31" t="s">
        <v>38</v>
      </c>
      <c r="L31" t="s">
        <v>39</v>
      </c>
      <c r="M31" t="s">
        <v>40</v>
      </c>
      <c r="N31" t="s">
        <v>41</v>
      </c>
      <c r="O31" t="s">
        <v>42</v>
      </c>
      <c r="P31" t="s">
        <v>43</v>
      </c>
      <c r="Q31" t="s">
        <v>44</v>
      </c>
      <c r="R31" s="50" t="s">
        <v>45</v>
      </c>
      <c r="S31" s="50" t="s">
        <v>46</v>
      </c>
      <c r="X31" t="s">
        <v>6</v>
      </c>
      <c r="Y31" t="s">
        <v>7</v>
      </c>
      <c r="Z31" t="s">
        <v>61</v>
      </c>
      <c r="AA31" t="s">
        <v>62</v>
      </c>
      <c r="AB31" t="s">
        <v>6</v>
      </c>
      <c r="AC31" t="s">
        <v>7</v>
      </c>
    </row>
    <row r="32" spans="1:61" x14ac:dyDescent="0.2">
      <c r="A32">
        <f>ROW()</f>
        <v>32</v>
      </c>
      <c r="B32" t="s">
        <v>51</v>
      </c>
      <c r="C32">
        <v>2.4783128562E-2</v>
      </c>
      <c r="D32" s="18">
        <v>4.5914439000000001E-8</v>
      </c>
      <c r="E32" s="18">
        <v>7.6968432999999997E-6</v>
      </c>
      <c r="F32" s="18">
        <v>4.2514955794137602E-8</v>
      </c>
      <c r="G32" s="18">
        <v>6.5839129072322693E-8</v>
      </c>
      <c r="H32" s="18">
        <v>1.02601101359147E-7</v>
      </c>
      <c r="I32" s="2">
        <v>21.56</v>
      </c>
      <c r="J32" s="17">
        <f>100*C32/0.5*N32</f>
        <v>4.1331814827989879</v>
      </c>
      <c r="K32" s="2">
        <f t="shared" ref="K32:K38" si="21">C32/P32</f>
        <v>0.24783128561999998</v>
      </c>
      <c r="L32">
        <v>10</v>
      </c>
      <c r="M32">
        <v>6</v>
      </c>
      <c r="N32">
        <v>0.83387</v>
      </c>
      <c r="O32">
        <v>0.2</v>
      </c>
      <c r="P32">
        <v>0.1</v>
      </c>
      <c r="Q32">
        <v>1</v>
      </c>
      <c r="R32" s="52">
        <f t="shared" ref="R32:R38" si="22">Q32*D32/C32/N32</f>
        <v>2.2217480258769945E-6</v>
      </c>
      <c r="S32" s="52">
        <f t="shared" ref="S32:S38" si="23">Q32*E32/C32/N32</f>
        <v>3.7244158438393571E-4</v>
      </c>
      <c r="T32" s="19">
        <f t="shared" ref="T32:T38" si="24">M32*N32*O32/(P32*U32*L32)</f>
        <v>0.99992393535507706</v>
      </c>
      <c r="U32" s="19">
        <f t="shared" ref="U32:U38" si="25">$AA$16</f>
        <v>1.0007201194205511</v>
      </c>
      <c r="V32" s="52">
        <f>AA$17</f>
        <v>2.2561396482316382E-4</v>
      </c>
      <c r="W32" s="19">
        <f t="shared" ref="W32:W38" si="26">R32+T32</f>
        <v>0.99992615710310295</v>
      </c>
      <c r="X32" s="3">
        <f>1000*(W32-1)</f>
        <v>-7.3842896897047261E-2</v>
      </c>
      <c r="Y32" s="3">
        <f t="shared" ref="Y32:Y38" si="27">1000*(S32-V32)</f>
        <v>0.14682761956077189</v>
      </c>
      <c r="Z32" s="51">
        <f>((C32*N32)^2/P32-$AB$10)*$Z$28*0.001</f>
        <v>-7.2806719901173178E-4</v>
      </c>
      <c r="AA32" s="51">
        <f>(C32^2/O32-$Z$10)*$AB$5*0.001</f>
        <v>-1.063852392452984E-4</v>
      </c>
      <c r="AB32" s="2">
        <f t="shared" ref="AB32:AB38" si="28">0.5*(X32+X40)+AA32-Z32</f>
        <v>-7.3052151605169188E-2</v>
      </c>
      <c r="AC32" s="2">
        <f t="shared" ref="AC32:AC38" si="29">0.5*(Y32+Y40)</f>
        <v>0.18219319179679463</v>
      </c>
      <c r="AG32" s="3"/>
    </row>
    <row r="33" spans="1:33" x14ac:dyDescent="0.2">
      <c r="A33">
        <f>ROW()</f>
        <v>33</v>
      </c>
      <c r="B33" s="5" t="s">
        <v>110</v>
      </c>
      <c r="C33">
        <v>4.9954182978E-2</v>
      </c>
      <c r="D33" s="18">
        <v>-6.4168493999999996E-9</v>
      </c>
      <c r="E33" s="18">
        <v>1.5077742E-5</v>
      </c>
      <c r="F33" s="18">
        <v>7.8887523748827803E-8</v>
      </c>
      <c r="G33" s="18">
        <v>2.0118371457478201E-8</v>
      </c>
      <c r="H33" s="18">
        <v>1.2995809415346199E-7</v>
      </c>
      <c r="I33" s="2">
        <v>21.55</v>
      </c>
      <c r="J33" s="17">
        <f t="shared" ref="J33:J38" si="30">100*C33/0.5*N33</f>
        <v>8.3310589119729723</v>
      </c>
      <c r="K33" s="2">
        <f t="shared" si="21"/>
        <v>0.49954182978</v>
      </c>
      <c r="L33">
        <v>10</v>
      </c>
      <c r="M33">
        <v>6</v>
      </c>
      <c r="N33">
        <v>0.83387</v>
      </c>
      <c r="O33">
        <v>0.2</v>
      </c>
      <c r="P33">
        <v>0.1</v>
      </c>
      <c r="Q33">
        <v>1</v>
      </c>
      <c r="R33" s="52">
        <f t="shared" si="22"/>
        <v>-1.5404642957879058E-7</v>
      </c>
      <c r="S33" s="52">
        <f t="shared" si="23"/>
        <v>3.6196459920193432E-4</v>
      </c>
      <c r="T33" s="19">
        <f t="shared" si="24"/>
        <v>0.99992393535507706</v>
      </c>
      <c r="U33" s="19">
        <f t="shared" si="25"/>
        <v>1.0007201194205511</v>
      </c>
      <c r="V33" s="52">
        <f t="shared" ref="V33:V38" si="31">AA$17</f>
        <v>2.2561396482316382E-4</v>
      </c>
      <c r="W33" s="19">
        <f>R33+T33</f>
        <v>0.99992378130864745</v>
      </c>
      <c r="X33" s="3">
        <f t="shared" ref="X33:X38" si="32">1000*(W33-1)</f>
        <v>-7.6218691352547552E-2</v>
      </c>
      <c r="Y33" s="3">
        <f t="shared" si="27"/>
        <v>0.13635063437877049</v>
      </c>
      <c r="Z33" s="51">
        <f t="shared" ref="Z33:Z38" si="33">((C33*N33)^2/P33-$AB$10)*$Z$28*0.001</f>
        <v>-6.3534303335937507E-4</v>
      </c>
      <c r="AA33" s="51">
        <f t="shared" ref="AA33:AA38" si="34">(C33^2/O33-$Z$10)*$AB$5*0.001</f>
        <v>-8.6538400573886158E-5</v>
      </c>
      <c r="AB33" s="2">
        <f t="shared" si="28"/>
        <v>-7.5057671674103169E-2</v>
      </c>
      <c r="AC33" s="2">
        <f t="shared" si="29"/>
        <v>0.16960689947787499</v>
      </c>
      <c r="AG33" s="3"/>
    </row>
    <row r="34" spans="1:33" x14ac:dyDescent="0.2">
      <c r="A34">
        <f>ROW()</f>
        <v>34</v>
      </c>
      <c r="B34" s="161" t="s">
        <v>113</v>
      </c>
      <c r="C34">
        <v>0.100039206618</v>
      </c>
      <c r="D34" s="18">
        <v>-2.5145775999999999E-9</v>
      </c>
      <c r="E34" s="18">
        <v>2.8783271E-5</v>
      </c>
      <c r="F34" s="18">
        <v>2.8122095378422901E-6</v>
      </c>
      <c r="G34" s="18">
        <v>4.3792227006219097E-9</v>
      </c>
      <c r="H34" s="18">
        <v>2.1230130065310501E-7</v>
      </c>
      <c r="I34" s="2">
        <v>21.54</v>
      </c>
      <c r="J34" s="17">
        <f t="shared" si="30"/>
        <v>16.683938644510334</v>
      </c>
      <c r="K34" s="2">
        <f t="shared" si="21"/>
        <v>1.0003920661799999</v>
      </c>
      <c r="L34">
        <v>10</v>
      </c>
      <c r="M34">
        <v>6</v>
      </c>
      <c r="N34">
        <v>0.83387</v>
      </c>
      <c r="O34">
        <v>0.2</v>
      </c>
      <c r="P34">
        <v>0.1</v>
      </c>
      <c r="Q34">
        <v>1</v>
      </c>
      <c r="R34" s="52">
        <f t="shared" si="22"/>
        <v>-3.0143692728424098E-8</v>
      </c>
      <c r="S34" s="52">
        <f t="shared" si="23"/>
        <v>3.4504167886604907E-4</v>
      </c>
      <c r="T34" s="19">
        <f t="shared" si="24"/>
        <v>0.99992393535507706</v>
      </c>
      <c r="U34" s="19">
        <f t="shared" si="25"/>
        <v>1.0007201194205511</v>
      </c>
      <c r="V34" s="52">
        <f t="shared" si="31"/>
        <v>2.2561396482316382E-4</v>
      </c>
      <c r="W34" s="19">
        <f t="shared" si="26"/>
        <v>0.9999239052113843</v>
      </c>
      <c r="X34" s="3">
        <f t="shared" si="32"/>
        <v>-7.6094788615699294E-2</v>
      </c>
      <c r="Y34" s="3">
        <f t="shared" si="27"/>
        <v>0.11942771404288526</v>
      </c>
      <c r="Z34" s="51">
        <f t="shared" si="33"/>
        <v>-2.6505979182097576E-4</v>
      </c>
      <c r="AA34" s="51">
        <f t="shared" si="34"/>
        <v>-7.2823435812246062E-6</v>
      </c>
      <c r="AB34" s="2">
        <f t="shared" si="28"/>
        <v>-7.5879944769966054E-2</v>
      </c>
      <c r="AC34" s="2">
        <f t="shared" si="29"/>
        <v>0.15406789605909399</v>
      </c>
      <c r="AG34" s="3"/>
    </row>
    <row r="35" spans="1:33" x14ac:dyDescent="0.2">
      <c r="A35">
        <f>ROW()</f>
        <v>35</v>
      </c>
      <c r="B35" s="67" t="s">
        <v>112</v>
      </c>
      <c r="C35">
        <v>0.19789374226000001</v>
      </c>
      <c r="D35" s="18">
        <v>-7.3358849000000002E-6</v>
      </c>
      <c r="E35">
        <v>9.1412542999999997E-5</v>
      </c>
      <c r="F35" s="18">
        <v>1.32783738484416E-5</v>
      </c>
      <c r="G35" s="18">
        <v>1.8604758232239899E-6</v>
      </c>
      <c r="H35" s="18">
        <v>8.4309432231305505E-6</v>
      </c>
      <c r="I35" s="2">
        <v>21.54</v>
      </c>
      <c r="J35" s="17">
        <f t="shared" si="30"/>
        <v>33.003530971669242</v>
      </c>
      <c r="K35" s="2">
        <f t="shared" si="21"/>
        <v>1.9789374226000001</v>
      </c>
      <c r="L35">
        <v>10</v>
      </c>
      <c r="M35">
        <v>6</v>
      </c>
      <c r="N35">
        <v>0.83387</v>
      </c>
      <c r="O35">
        <v>0.2</v>
      </c>
      <c r="P35">
        <v>0.1</v>
      </c>
      <c r="Q35">
        <v>1</v>
      </c>
      <c r="R35" s="52">
        <f t="shared" si="22"/>
        <v>-4.4455151821768658E-5</v>
      </c>
      <c r="S35" s="52">
        <f t="shared" si="23"/>
        <v>5.5395613928988375E-4</v>
      </c>
      <c r="T35" s="19">
        <f t="shared" si="24"/>
        <v>0.99992393535507706</v>
      </c>
      <c r="U35" s="19">
        <f t="shared" si="25"/>
        <v>1.0007201194205511</v>
      </c>
      <c r="V35" s="52">
        <f t="shared" si="31"/>
        <v>2.2561396482316382E-4</v>
      </c>
      <c r="W35" s="19">
        <f>R35+T35</f>
        <v>0.99987948020325534</v>
      </c>
      <c r="X35" s="3">
        <f t="shared" si="32"/>
        <v>-0.12051979674465585</v>
      </c>
      <c r="Y35" s="3">
        <f t="shared" si="27"/>
        <v>0.32834217446671998</v>
      </c>
      <c r="Z35" s="51">
        <f t="shared" si="33"/>
        <v>1.1719295596830262E-3</v>
      </c>
      <c r="AA35" s="51">
        <f t="shared" si="34"/>
        <v>3.002933097685592E-4</v>
      </c>
      <c r="AB35" s="2">
        <f t="shared" si="28"/>
        <v>-9.9889022813507949E-2</v>
      </c>
      <c r="AC35" s="2">
        <f t="shared" si="29"/>
        <v>0.24733875187494833</v>
      </c>
      <c r="AG35" s="3"/>
    </row>
    <row r="36" spans="1:33" ht="13.5" x14ac:dyDescent="0.25">
      <c r="A36">
        <f>ROW()</f>
        <v>36</v>
      </c>
      <c r="B36" s="163" t="s">
        <v>181</v>
      </c>
      <c r="C36">
        <v>0.29819372129999999</v>
      </c>
      <c r="D36" s="18">
        <v>-2.3551411E-5</v>
      </c>
      <c r="E36">
        <v>1.9304627999999999E-4</v>
      </c>
      <c r="F36" s="18">
        <v>1.3505669013687001E-5</v>
      </c>
      <c r="G36" s="18">
        <v>4.12927410199166E-6</v>
      </c>
      <c r="H36" s="18">
        <v>1.69870707646021E-5</v>
      </c>
      <c r="I36" s="2">
        <v>21.52</v>
      </c>
      <c r="J36" s="17">
        <f t="shared" si="30"/>
        <v>49.730959676086194</v>
      </c>
      <c r="K36" s="2">
        <f t="shared" si="21"/>
        <v>2.9819372129999997</v>
      </c>
      <c r="L36">
        <v>10</v>
      </c>
      <c r="M36">
        <v>6</v>
      </c>
      <c r="N36">
        <v>0.83387</v>
      </c>
      <c r="O36">
        <v>0.2</v>
      </c>
      <c r="P36">
        <v>0.1</v>
      </c>
      <c r="Q36">
        <v>1</v>
      </c>
      <c r="R36" s="52">
        <f t="shared" si="22"/>
        <v>-9.4715288638698883E-5</v>
      </c>
      <c r="S36" s="52">
        <f t="shared" si="23"/>
        <v>7.7636257678264308E-4</v>
      </c>
      <c r="T36" s="19">
        <f t="shared" si="24"/>
        <v>0.99992393535507706</v>
      </c>
      <c r="U36" s="19">
        <f t="shared" si="25"/>
        <v>1.0007201194205511</v>
      </c>
      <c r="V36" s="52">
        <f t="shared" si="31"/>
        <v>2.2561396482316382E-4</v>
      </c>
      <c r="W36" s="19">
        <f t="shared" si="26"/>
        <v>0.99982922006643837</v>
      </c>
      <c r="X36" s="3">
        <f t="shared" si="32"/>
        <v>-0.17077993356162668</v>
      </c>
      <c r="Y36" s="3">
        <f t="shared" si="27"/>
        <v>0.55074861195947933</v>
      </c>
      <c r="Z36" s="51">
        <f t="shared" si="33"/>
        <v>3.6244528982282559E-3</v>
      </c>
      <c r="AA36" s="51">
        <f t="shared" si="34"/>
        <v>8.2523559094769769E-4</v>
      </c>
      <c r="AB36" s="2">
        <f t="shared" si="28"/>
        <v>-0.12730880684602658</v>
      </c>
      <c r="AC36" s="2">
        <f t="shared" si="29"/>
        <v>0.3484768267525537</v>
      </c>
      <c r="AG36" s="3"/>
    </row>
    <row r="37" spans="1:33" x14ac:dyDescent="0.2">
      <c r="A37">
        <f>ROW()</f>
        <v>37</v>
      </c>
      <c r="B37" s="66" t="s">
        <v>111</v>
      </c>
      <c r="C37">
        <v>0.50465032541999999</v>
      </c>
      <c r="D37" s="18">
        <v>-5.7919946E-5</v>
      </c>
      <c r="E37">
        <v>4.8887683E-4</v>
      </c>
      <c r="F37" s="18">
        <v>5.34224587478525E-6</v>
      </c>
      <c r="G37" s="18">
        <v>4.4624324132118798E-6</v>
      </c>
      <c r="H37" s="18">
        <v>1.9736543048393798E-5</v>
      </c>
      <c r="I37" s="2">
        <v>21.5</v>
      </c>
      <c r="J37" s="17">
        <f t="shared" si="30"/>
        <v>84.162553371595067</v>
      </c>
      <c r="K37" s="2">
        <f t="shared" si="21"/>
        <v>5.0465032541999992</v>
      </c>
      <c r="L37">
        <v>10</v>
      </c>
      <c r="M37">
        <v>6</v>
      </c>
      <c r="N37">
        <v>0.83387</v>
      </c>
      <c r="O37">
        <v>0.2</v>
      </c>
      <c r="P37">
        <v>0.1</v>
      </c>
      <c r="Q37">
        <v>1</v>
      </c>
      <c r="R37" s="52">
        <f t="shared" si="22"/>
        <v>-1.376382813488832E-4</v>
      </c>
      <c r="S37" s="52">
        <f t="shared" si="23"/>
        <v>1.1617442922424363E-3</v>
      </c>
      <c r="T37" s="19">
        <f t="shared" si="24"/>
        <v>0.99992393535507706</v>
      </c>
      <c r="U37" s="19">
        <f t="shared" si="25"/>
        <v>1.0007201194205511</v>
      </c>
      <c r="V37" s="52">
        <f t="shared" si="31"/>
        <v>2.2561396482316382E-4</v>
      </c>
      <c r="W37" s="19">
        <f t="shared" si="26"/>
        <v>0.99978629707372824</v>
      </c>
      <c r="X37" s="3">
        <f t="shared" si="32"/>
        <v>-0.21370292627176379</v>
      </c>
      <c r="Y37" s="3">
        <f t="shared" si="27"/>
        <v>0.93613032741927249</v>
      </c>
      <c r="Z37" s="51">
        <f t="shared" si="33"/>
        <v>1.179430181452272E-2</v>
      </c>
      <c r="AA37" s="51">
        <f t="shared" si="34"/>
        <v>2.5739239967234695E-3</v>
      </c>
      <c r="AB37" s="2">
        <f t="shared" si="28"/>
        <v>-0.19036706039425999</v>
      </c>
      <c r="AC37" s="2">
        <f t="shared" si="29"/>
        <v>0.77358972621738864</v>
      </c>
      <c r="AG37" s="3"/>
    </row>
    <row r="38" spans="1:33" x14ac:dyDescent="0.2">
      <c r="A38">
        <f>ROW()</f>
        <v>38</v>
      </c>
      <c r="B38" s="162" t="s">
        <v>114</v>
      </c>
      <c r="C38">
        <v>0.60799329400000002</v>
      </c>
      <c r="D38" s="18">
        <v>-7.6448195000000004E-5</v>
      </c>
      <c r="E38">
        <v>6.5446630000000003E-4</v>
      </c>
      <c r="F38" s="18">
        <v>5.8320776212833499E-6</v>
      </c>
      <c r="G38" s="18">
        <v>8.4331889179168195E-6</v>
      </c>
      <c r="H38" s="18">
        <v>3.70081446734364E-5</v>
      </c>
      <c r="I38" s="2">
        <v>21.5</v>
      </c>
      <c r="J38" s="17">
        <f t="shared" si="30"/>
        <v>101.397473613556</v>
      </c>
      <c r="K38" s="2">
        <f t="shared" si="21"/>
        <v>6.07993294</v>
      </c>
      <c r="L38">
        <v>10</v>
      </c>
      <c r="M38">
        <v>6</v>
      </c>
      <c r="N38">
        <v>0.83387</v>
      </c>
      <c r="O38">
        <v>0.2</v>
      </c>
      <c r="P38">
        <v>0.1</v>
      </c>
      <c r="Q38">
        <v>1</v>
      </c>
      <c r="R38" s="52">
        <f t="shared" si="22"/>
        <v>-1.5078915139712023E-4</v>
      </c>
      <c r="S38" s="52">
        <f t="shared" si="23"/>
        <v>1.2908927149295429E-3</v>
      </c>
      <c r="T38" s="19">
        <f t="shared" si="24"/>
        <v>0.99992393535507706</v>
      </c>
      <c r="U38" s="19">
        <f t="shared" si="25"/>
        <v>1.0007201194205511</v>
      </c>
      <c r="V38" s="52">
        <f t="shared" si="31"/>
        <v>2.2561396482316382E-4</v>
      </c>
      <c r="W38" s="19">
        <f t="shared" si="26"/>
        <v>0.99977314620367996</v>
      </c>
      <c r="X38" s="3">
        <f t="shared" si="32"/>
        <v>-0.22685379632003677</v>
      </c>
      <c r="Y38" s="3">
        <f t="shared" si="27"/>
        <v>1.0652787501063792</v>
      </c>
      <c r="Z38" s="51">
        <f t="shared" si="33"/>
        <v>1.7461795811765476E-2</v>
      </c>
      <c r="AA38" s="51">
        <f t="shared" si="34"/>
        <v>3.7870040847794071E-3</v>
      </c>
      <c r="AB38" s="2">
        <f t="shared" si="28"/>
        <v>-0.22067681422600038</v>
      </c>
      <c r="AC38" s="2">
        <f t="shared" si="29"/>
        <v>0.95834972704127352</v>
      </c>
      <c r="AG38" s="3"/>
    </row>
    <row r="39" spans="1:33" x14ac:dyDescent="0.2">
      <c r="A39">
        <f>ROW()</f>
        <v>39</v>
      </c>
      <c r="D39" s="18"/>
      <c r="F39" s="18"/>
      <c r="G39" s="18"/>
      <c r="H39" s="18"/>
      <c r="I39" s="2"/>
      <c r="J39" s="17"/>
      <c r="K39" s="2"/>
      <c r="R39" s="52"/>
      <c r="S39" s="52"/>
      <c r="T39" s="19"/>
      <c r="U39" s="19"/>
      <c r="V39" s="52"/>
      <c r="W39" s="19"/>
      <c r="X39" s="3"/>
      <c r="Y39" s="3"/>
      <c r="AA39" s="2"/>
      <c r="AB39" s="2"/>
    </row>
    <row r="40" spans="1:33" x14ac:dyDescent="0.2">
      <c r="A40">
        <f>ROW()</f>
        <v>40</v>
      </c>
      <c r="B40" t="s">
        <v>52</v>
      </c>
      <c r="C40">
        <v>2.4810218315999999E-2</v>
      </c>
      <c r="D40" s="18">
        <v>5.2959959199999999E-8</v>
      </c>
      <c r="E40" s="18">
        <v>8.4337566999999997E-6</v>
      </c>
      <c r="F40" s="18">
        <v>3.5565496462806502E-7</v>
      </c>
      <c r="G40" s="18">
        <v>8.0483672483178003E-8</v>
      </c>
      <c r="H40" s="18">
        <v>1.1674934345901E-7</v>
      </c>
      <c r="I40" s="2">
        <v>21.5</v>
      </c>
      <c r="J40" s="17">
        <f t="shared" ref="J40:J46" si="35">100*C40/0.5</f>
        <v>4.9620436631999993</v>
      </c>
      <c r="K40" s="2">
        <f t="shared" ref="K40:K46" si="36">C40/P40</f>
        <v>0.24810218315999999</v>
      </c>
      <c r="L40">
        <v>10</v>
      </c>
      <c r="M40">
        <v>6</v>
      </c>
      <c r="N40">
        <v>0.83387</v>
      </c>
      <c r="O40">
        <v>0.2</v>
      </c>
      <c r="P40">
        <v>0.1</v>
      </c>
      <c r="Q40">
        <v>1</v>
      </c>
      <c r="R40" s="52">
        <f t="shared" ref="R40:R46" si="37">Q40*D40/C40/N40</f>
        <v>2.5598746901348728E-6</v>
      </c>
      <c r="S40" s="52">
        <f t="shared" ref="S40:S46" si="38">Q40*E40/C40/N40</f>
        <v>4.0765439862886844E-4</v>
      </c>
      <c r="T40" s="19">
        <f t="shared" ref="T40:T46" si="39">M40*N40*O40/(P40*U40*L40)</f>
        <v>0.99992393535507706</v>
      </c>
      <c r="U40" s="19">
        <f t="shared" ref="U40:U47" si="40">$AA$16</f>
        <v>1.0007201194205511</v>
      </c>
      <c r="V40" s="52">
        <f>$AA$26</f>
        <v>1.9009563459605107E-4</v>
      </c>
      <c r="W40" s="19">
        <f t="shared" ref="W40:W46" si="41">R40+T40</f>
        <v>0.99992649522976718</v>
      </c>
      <c r="X40" s="3">
        <f t="shared" ref="X40:X46" si="42">1000*(W40-1)</f>
        <v>-7.3504770232823979E-2</v>
      </c>
      <c r="Y40" s="3">
        <f t="shared" ref="Y40:Y46" si="43">1000*(S40-V40)</f>
        <v>0.21755876403281738</v>
      </c>
      <c r="Z40" s="51">
        <f t="shared" ref="Z40:Z46" si="44">((C40*N40)^2/P40-$AB$10)*$Z$28*0.001</f>
        <v>-7.2800098002456359E-4</v>
      </c>
      <c r="AA40" s="51">
        <f>(C40^2/O40-$Z$10)*$AB$5*0.001</f>
        <v>-1.0637106562026697E-4</v>
      </c>
      <c r="AC40" s="2"/>
    </row>
    <row r="41" spans="1:33" x14ac:dyDescent="0.2">
      <c r="A41">
        <f>ROW()</f>
        <v>41</v>
      </c>
      <c r="C41">
        <v>5.0929978978000001E-2</v>
      </c>
      <c r="D41" s="18">
        <v>4.5458104000000003E-8</v>
      </c>
      <c r="E41" s="18">
        <v>1.6688559999999999E-5</v>
      </c>
      <c r="F41" s="18">
        <v>2.7122408602743001E-7</v>
      </c>
      <c r="G41" s="18">
        <v>7.7253805443165102E-8</v>
      </c>
      <c r="H41" s="18">
        <v>1.6874292281455799E-7</v>
      </c>
      <c r="I41" s="2">
        <v>21.51</v>
      </c>
      <c r="J41" s="17">
        <f t="shared" si="35"/>
        <v>10.1859957956</v>
      </c>
      <c r="K41" s="2">
        <f t="shared" si="36"/>
        <v>0.50929978978000001</v>
      </c>
      <c r="L41">
        <v>10</v>
      </c>
      <c r="M41">
        <v>6</v>
      </c>
      <c r="N41">
        <v>0.83387</v>
      </c>
      <c r="O41">
        <v>0.2</v>
      </c>
      <c r="P41">
        <v>0.1</v>
      </c>
      <c r="Q41">
        <v>1</v>
      </c>
      <c r="R41" s="52">
        <f t="shared" si="37"/>
        <v>1.0703836616534163E-6</v>
      </c>
      <c r="S41" s="52">
        <f t="shared" si="38"/>
        <v>3.9295879917303054E-4</v>
      </c>
      <c r="T41" s="19">
        <f t="shared" si="39"/>
        <v>0.99992393535507706</v>
      </c>
      <c r="U41" s="19">
        <f t="shared" si="40"/>
        <v>1.0007201194205511</v>
      </c>
      <c r="V41" s="52">
        <f t="shared" ref="V41:V48" si="45">$AA$26</f>
        <v>1.9009563459605107E-4</v>
      </c>
      <c r="W41" s="19">
        <f t="shared" si="41"/>
        <v>0.99992500573873877</v>
      </c>
      <c r="X41" s="3">
        <f t="shared" si="42"/>
        <v>-7.4994261261229767E-2</v>
      </c>
      <c r="Y41" s="3">
        <f t="shared" si="43"/>
        <v>0.20286316457697948</v>
      </c>
      <c r="Z41" s="51">
        <f t="shared" si="44"/>
        <v>-6.3049086257547366E-4</v>
      </c>
      <c r="AA41" s="51">
        <f t="shared" ref="AA41:AA46" si="46">(C41^2/O41-$Z$10)*$AB$5*0.001</f>
        <v>-8.5499833657950983E-5</v>
      </c>
      <c r="AC41" s="2"/>
    </row>
    <row r="42" spans="1:33" x14ac:dyDescent="0.2">
      <c r="A42">
        <f>ROW()</f>
        <v>42</v>
      </c>
      <c r="C42">
        <v>0.10089425106</v>
      </c>
      <c r="D42" s="18">
        <v>-9.7603088000000101E-9</v>
      </c>
      <c r="E42" s="18">
        <v>3.1869775000000003E-5</v>
      </c>
      <c r="F42" s="18">
        <v>4.1884819194335502E-7</v>
      </c>
      <c r="G42" s="18">
        <v>1.70554964968107E-8</v>
      </c>
      <c r="H42" s="18">
        <v>2.03004263686751E-7</v>
      </c>
      <c r="I42" s="2">
        <v>21.52</v>
      </c>
      <c r="J42" s="17">
        <f t="shared" si="35"/>
        <v>20.178850212</v>
      </c>
      <c r="K42" s="2">
        <f t="shared" si="36"/>
        <v>1.0089425105999998</v>
      </c>
      <c r="L42">
        <v>10</v>
      </c>
      <c r="M42">
        <v>6</v>
      </c>
      <c r="N42">
        <v>0.83387</v>
      </c>
      <c r="O42">
        <v>0.2</v>
      </c>
      <c r="P42">
        <v>0.1</v>
      </c>
      <c r="Q42">
        <v>1</v>
      </c>
      <c r="R42" s="52">
        <f t="shared" si="37"/>
        <v>-1.1601089779450558E-7</v>
      </c>
      <c r="S42" s="52">
        <f t="shared" si="38"/>
        <v>3.7880371267135377E-4</v>
      </c>
      <c r="T42" s="19">
        <f t="shared" si="39"/>
        <v>0.99992393535507706</v>
      </c>
      <c r="U42" s="19">
        <f t="shared" si="40"/>
        <v>1.0007201194205511</v>
      </c>
      <c r="V42" s="52">
        <f t="shared" si="45"/>
        <v>1.9009563459605107E-4</v>
      </c>
      <c r="W42" s="19">
        <f t="shared" si="41"/>
        <v>0.99992381934417929</v>
      </c>
      <c r="X42" s="3">
        <f t="shared" si="42"/>
        <v>-7.6180655820712317E-2</v>
      </c>
      <c r="Y42" s="3">
        <f t="shared" si="43"/>
        <v>0.18870807807530271</v>
      </c>
      <c r="Z42" s="51">
        <f t="shared" si="44"/>
        <v>-2.5659151589667577E-4</v>
      </c>
      <c r="AA42" s="51">
        <f t="shared" si="46"/>
        <v>-5.4697793493207833E-6</v>
      </c>
      <c r="AC42" s="2"/>
      <c r="AD42" s="2"/>
      <c r="AE42" s="2"/>
      <c r="AF42" s="2"/>
      <c r="AG42" s="2"/>
    </row>
    <row r="43" spans="1:33" x14ac:dyDescent="0.2">
      <c r="A43">
        <f>ROW()</f>
        <v>43</v>
      </c>
      <c r="C43">
        <v>0.20089894034</v>
      </c>
      <c r="D43" s="18">
        <v>-2.4296474639999999E-7</v>
      </c>
      <c r="E43" s="18">
        <v>5.9710597999999998E-5</v>
      </c>
      <c r="F43" s="18">
        <v>1.9755090448765198E-8</v>
      </c>
      <c r="G43" s="18">
        <v>2.7835237078349502E-7</v>
      </c>
      <c r="H43" s="18">
        <v>2.13977052965966E-7</v>
      </c>
      <c r="I43" s="2">
        <v>21.53</v>
      </c>
      <c r="J43" s="17">
        <f t="shared" si="35"/>
        <v>40.179788068000001</v>
      </c>
      <c r="K43" s="2">
        <f t="shared" si="36"/>
        <v>2.0089894033999998</v>
      </c>
      <c r="L43">
        <v>10</v>
      </c>
      <c r="M43">
        <v>6</v>
      </c>
      <c r="N43">
        <v>0.83387</v>
      </c>
      <c r="O43">
        <v>0.2</v>
      </c>
      <c r="P43">
        <v>0.1</v>
      </c>
      <c r="Q43">
        <v>1</v>
      </c>
      <c r="R43" s="52">
        <f t="shared" si="37"/>
        <v>-1.4503314595513536E-6</v>
      </c>
      <c r="S43" s="52">
        <f t="shared" si="38"/>
        <v>3.5643096387922776E-4</v>
      </c>
      <c r="T43" s="19">
        <f t="shared" si="39"/>
        <v>0.99992393535507706</v>
      </c>
      <c r="U43" s="19">
        <f t="shared" si="40"/>
        <v>1.0007201194205511</v>
      </c>
      <c r="V43" s="52">
        <f t="shared" si="45"/>
        <v>1.9009563459605107E-4</v>
      </c>
      <c r="W43" s="19">
        <f t="shared" si="41"/>
        <v>0.99992248502361747</v>
      </c>
      <c r="X43" s="3">
        <f t="shared" si="42"/>
        <v>-7.7514976382531131E-2</v>
      </c>
      <c r="Y43" s="3">
        <f t="shared" si="43"/>
        <v>0.16633532928317668</v>
      </c>
      <c r="Z43" s="51">
        <f t="shared" si="44"/>
        <v>1.2310005617135772E-3</v>
      </c>
      <c r="AA43" s="51">
        <f t="shared" si="46"/>
        <v>3.1293696786147194E-4</v>
      </c>
      <c r="AC43" s="2"/>
      <c r="AD43" s="2"/>
      <c r="AE43" s="2"/>
      <c r="AF43" s="2"/>
      <c r="AG43" s="2"/>
    </row>
    <row r="44" spans="1:33" x14ac:dyDescent="0.2">
      <c r="A44">
        <f>ROW()</f>
        <v>44</v>
      </c>
      <c r="C44">
        <v>0.29918201480000001</v>
      </c>
      <c r="D44" s="18">
        <v>-5.4251697840000005E-7</v>
      </c>
      <c r="E44">
        <v>8.3899924999999994E-5</v>
      </c>
      <c r="F44" s="18">
        <v>1.19559349189472E-5</v>
      </c>
      <c r="G44" s="18">
        <v>3.7938787003494499E-7</v>
      </c>
      <c r="H44" s="18">
        <v>9.8335514820433994E-8</v>
      </c>
      <c r="I44" s="2">
        <v>21.53</v>
      </c>
      <c r="J44" s="17">
        <f t="shared" si="35"/>
        <v>59.836402960000001</v>
      </c>
      <c r="K44" s="2">
        <f t="shared" si="36"/>
        <v>2.991820148</v>
      </c>
      <c r="L44">
        <v>10</v>
      </c>
      <c r="M44">
        <v>6</v>
      </c>
      <c r="N44">
        <v>0.83387</v>
      </c>
      <c r="O44">
        <v>0.2</v>
      </c>
      <c r="P44">
        <v>0.1</v>
      </c>
      <c r="Q44">
        <v>1</v>
      </c>
      <c r="R44" s="52">
        <f t="shared" si="37"/>
        <v>-2.1746005929595379E-6</v>
      </c>
      <c r="S44" s="52">
        <f t="shared" si="38"/>
        <v>3.3630067614167915E-4</v>
      </c>
      <c r="T44" s="19">
        <f t="shared" si="39"/>
        <v>0.99992393535507706</v>
      </c>
      <c r="U44" s="19">
        <f t="shared" si="40"/>
        <v>1.0007201194205511</v>
      </c>
      <c r="V44" s="52">
        <f t="shared" si="45"/>
        <v>1.9009563459605107E-4</v>
      </c>
      <c r="W44" s="19">
        <f t="shared" si="41"/>
        <v>0.99992176075448413</v>
      </c>
      <c r="X44" s="3">
        <f t="shared" si="42"/>
        <v>-7.8239245515865363E-2</v>
      </c>
      <c r="Y44" s="3">
        <f t="shared" si="43"/>
        <v>0.14620504154562808</v>
      </c>
      <c r="Z44" s="51">
        <f t="shared" si="44"/>
        <v>3.6535525352661175E-3</v>
      </c>
      <c r="AA44" s="51">
        <f t="shared" si="46"/>
        <v>8.3146412692452619E-4</v>
      </c>
      <c r="AC44" s="2"/>
      <c r="AD44" s="2"/>
      <c r="AE44" s="2"/>
      <c r="AF44" s="2"/>
      <c r="AG44" s="2"/>
    </row>
    <row r="45" spans="1:33" x14ac:dyDescent="0.2">
      <c r="A45">
        <f>ROW()</f>
        <v>45</v>
      </c>
      <c r="C45">
        <v>0.50717447120000003</v>
      </c>
      <c r="D45" s="18">
        <v>-3.0672432999999998E-5</v>
      </c>
      <c r="E45">
        <v>3.3881820000000002E-4</v>
      </c>
      <c r="F45" s="18">
        <v>8.1267724250325592E-6</v>
      </c>
      <c r="G45" s="18">
        <v>3.1599517526713902E-6</v>
      </c>
      <c r="H45" s="18">
        <v>1.6321913966198902E-5</v>
      </c>
      <c r="I45" s="2">
        <v>21.54</v>
      </c>
      <c r="J45" s="17">
        <f t="shared" si="35"/>
        <v>101.43489424000001</v>
      </c>
      <c r="K45" s="2">
        <f t="shared" si="36"/>
        <v>5.0717447120000001</v>
      </c>
      <c r="L45">
        <v>10</v>
      </c>
      <c r="M45">
        <v>6</v>
      </c>
      <c r="N45">
        <v>0.83387</v>
      </c>
      <c r="O45">
        <v>0.2</v>
      </c>
      <c r="P45">
        <v>0.1</v>
      </c>
      <c r="Q45">
        <v>1</v>
      </c>
      <c r="R45" s="52">
        <f t="shared" si="37"/>
        <v>-7.2525793958195129E-5</v>
      </c>
      <c r="S45" s="52">
        <f t="shared" si="38"/>
        <v>8.0114475961155589E-4</v>
      </c>
      <c r="T45" s="19">
        <f t="shared" si="39"/>
        <v>0.99992393535507706</v>
      </c>
      <c r="U45" s="19">
        <f t="shared" si="40"/>
        <v>1.0007201194205511</v>
      </c>
      <c r="V45" s="52">
        <f t="shared" si="45"/>
        <v>1.9009563459605107E-4</v>
      </c>
      <c r="W45" s="19">
        <f t="shared" si="41"/>
        <v>0.99985140956111884</v>
      </c>
      <c r="X45" s="3">
        <f t="shared" si="42"/>
        <v>-0.14859043888115764</v>
      </c>
      <c r="Y45" s="3">
        <f t="shared" si="43"/>
        <v>0.61104912501550479</v>
      </c>
      <c r="Z45" s="51">
        <f t="shared" si="44"/>
        <v>1.1920186762957301E-2</v>
      </c>
      <c r="AA45" s="51">
        <f t="shared" si="46"/>
        <v>2.6008686259381148E-3</v>
      </c>
      <c r="AC45" s="2"/>
      <c r="AD45" s="2"/>
      <c r="AE45" s="2"/>
      <c r="AF45" s="2"/>
      <c r="AG45" s="2"/>
    </row>
    <row r="46" spans="1:33" x14ac:dyDescent="0.2">
      <c r="A46">
        <f>ROW()</f>
        <v>46</v>
      </c>
      <c r="C46">
        <v>0.60169271235999999</v>
      </c>
      <c r="D46" s="18">
        <v>-5.5735368999999997E-5</v>
      </c>
      <c r="E46">
        <v>5.2256364000000002E-4</v>
      </c>
      <c r="F46" s="18">
        <v>9.3402687817301292E-6</v>
      </c>
      <c r="G46" s="18">
        <v>4.5866191267140297E-6</v>
      </c>
      <c r="H46" s="18">
        <v>2.1859847954420901E-5</v>
      </c>
      <c r="I46" s="2">
        <v>21.54</v>
      </c>
      <c r="J46" s="17">
        <f t="shared" si="35"/>
        <v>120.338542472</v>
      </c>
      <c r="K46" s="2">
        <f t="shared" si="36"/>
        <v>6.0169271235999995</v>
      </c>
      <c r="L46">
        <v>10</v>
      </c>
      <c r="M46">
        <v>6</v>
      </c>
      <c r="N46">
        <v>0.83387</v>
      </c>
      <c r="O46">
        <v>0.2</v>
      </c>
      <c r="P46">
        <v>0.1</v>
      </c>
      <c r="Q46">
        <v>1</v>
      </c>
      <c r="R46" s="52">
        <f t="shared" si="37"/>
        <v>-1.1108560375507862E-4</v>
      </c>
      <c r="S46" s="52">
        <f t="shared" si="38"/>
        <v>1.041516338572219E-3</v>
      </c>
      <c r="T46" s="19">
        <f t="shared" si="39"/>
        <v>0.99992393535507706</v>
      </c>
      <c r="U46" s="19">
        <f t="shared" si="40"/>
        <v>1.0007201194205511</v>
      </c>
      <c r="V46" s="52">
        <f t="shared" si="45"/>
        <v>1.9009563459605107E-4</v>
      </c>
      <c r="W46" s="19">
        <f t="shared" si="41"/>
        <v>0.99981284975132201</v>
      </c>
      <c r="X46" s="3">
        <f t="shared" si="42"/>
        <v>-0.1871502486779919</v>
      </c>
      <c r="Y46" s="3">
        <f t="shared" si="43"/>
        <v>0.85142070397616787</v>
      </c>
      <c r="Z46" s="51">
        <f t="shared" si="44"/>
        <v>1.7086125085533883E-2</v>
      </c>
      <c r="AA46" s="51">
        <f t="shared" si="46"/>
        <v>3.7065948813680286E-3</v>
      </c>
      <c r="AC46" s="2"/>
      <c r="AD46" s="2"/>
      <c r="AE46" s="2"/>
      <c r="AF46" s="2"/>
      <c r="AG46" s="2"/>
    </row>
    <row r="47" spans="1:33" x14ac:dyDescent="0.2">
      <c r="A47">
        <f>ROW()</f>
        <v>47</v>
      </c>
      <c r="B47" s="164" t="s">
        <v>52</v>
      </c>
      <c r="C47" s="122">
        <v>0.30067040258</v>
      </c>
      <c r="D47" s="123">
        <v>-9.3892085000000099E-6</v>
      </c>
      <c r="E47" s="122">
        <v>1.4466612000000001E-4</v>
      </c>
      <c r="F47" s="123">
        <v>8.7778185708703707E-6</v>
      </c>
      <c r="G47" s="123">
        <v>7.8765380459104596E-7</v>
      </c>
      <c r="H47" s="123">
        <v>2.1682935745880901E-6</v>
      </c>
      <c r="I47" s="124">
        <v>21.54</v>
      </c>
      <c r="J47" s="125">
        <f>100*C47/0.5</f>
        <v>60.134080515999997</v>
      </c>
      <c r="K47" s="124">
        <f>C47/P47</f>
        <v>3.0067040258</v>
      </c>
      <c r="L47" s="122">
        <v>10</v>
      </c>
      <c r="M47" s="122">
        <v>6</v>
      </c>
      <c r="N47" s="122">
        <v>0.83387</v>
      </c>
      <c r="O47" s="126">
        <v>0.2</v>
      </c>
      <c r="P47" s="126">
        <v>0.1</v>
      </c>
      <c r="Q47" s="126">
        <v>1</v>
      </c>
      <c r="R47" s="52">
        <f>Q47*D47/C47/N47</f>
        <v>-3.7448976663139453E-5</v>
      </c>
      <c r="S47" s="52">
        <f>Q47*E47/C47/N47</f>
        <v>5.770026463707698E-4</v>
      </c>
      <c r="T47" s="19">
        <f>M47*N47*O47/(P47*U47*L47)</f>
        <v>0.99992393535507706</v>
      </c>
      <c r="U47" s="19">
        <f t="shared" si="40"/>
        <v>1.0007201194205511</v>
      </c>
      <c r="V47" s="52">
        <f t="shared" si="45"/>
        <v>1.9009563459605107E-4</v>
      </c>
      <c r="W47" s="19">
        <f>R47+T47</f>
        <v>0.99988648637841393</v>
      </c>
      <c r="X47" s="3">
        <f>1000*(W47-1)</f>
        <v>-0.11351362158606992</v>
      </c>
      <c r="Y47" s="3">
        <f>1000*(S47-V47)</f>
        <v>0.3869070117747187</v>
      </c>
      <c r="Z47" t="s">
        <v>68</v>
      </c>
      <c r="AA47" t="s">
        <v>67</v>
      </c>
      <c r="AB47" t="s">
        <v>66</v>
      </c>
      <c r="AD47" s="2"/>
      <c r="AE47" s="2"/>
      <c r="AF47" s="2"/>
      <c r="AG47" s="2"/>
    </row>
    <row r="48" spans="1:33" x14ac:dyDescent="0.2">
      <c r="A48">
        <f>ROW()</f>
        <v>48</v>
      </c>
      <c r="B48" s="122" t="s">
        <v>179</v>
      </c>
      <c r="C48" s="122">
        <v>0.30093748492</v>
      </c>
      <c r="D48" s="123">
        <v>-3.3740569000000097E-5</v>
      </c>
      <c r="E48" s="122">
        <v>1.4412516999999999E-4</v>
      </c>
      <c r="F48" s="123">
        <v>3.7412579908371899E-6</v>
      </c>
      <c r="G48" s="123">
        <v>4.3074901497275499E-8</v>
      </c>
      <c r="H48" s="123">
        <v>1.9063467578328999E-6</v>
      </c>
      <c r="I48" s="124">
        <v>21.54</v>
      </c>
      <c r="J48" s="125">
        <f>100*C48/0.5</f>
        <v>60.187496983999999</v>
      </c>
      <c r="K48" s="124">
        <f>C48/P48</f>
        <v>3.0093748491999999</v>
      </c>
      <c r="L48" s="122">
        <v>10</v>
      </c>
      <c r="M48" s="122">
        <v>6</v>
      </c>
      <c r="N48" s="122">
        <v>0.83387</v>
      </c>
      <c r="O48" s="126">
        <v>0.2</v>
      </c>
      <c r="P48" s="126">
        <v>0.1</v>
      </c>
      <c r="Q48" s="126">
        <v>1</v>
      </c>
      <c r="R48" s="52">
        <f>Q48*D48/C48/N48</f>
        <v>-1.3445525033327279E-4</v>
      </c>
      <c r="S48" s="52">
        <f>Q48*E48/C48/N48</f>
        <v>5.7433488485850496E-4</v>
      </c>
      <c r="T48" s="19">
        <f>M48*N48*O48/(P48*U48*L48)</f>
        <v>0.99992393535507706</v>
      </c>
      <c r="U48" s="19">
        <f>$AA$16</f>
        <v>1.0007201194205511</v>
      </c>
      <c r="V48" s="52">
        <f t="shared" si="45"/>
        <v>1.9009563459605107E-4</v>
      </c>
      <c r="W48" s="19">
        <f>R48+T48</f>
        <v>0.99978948010474378</v>
      </c>
      <c r="X48" s="44">
        <f>1000*(W48-1)</f>
        <v>-0.21051989525622261</v>
      </c>
      <c r="Y48" s="42">
        <f>1000*(S48-V48)</f>
        <v>0.38423925026245387</v>
      </c>
      <c r="Z48" s="43"/>
      <c r="AA48" s="175">
        <f>1000*-(X48-X47)/1000</f>
        <v>9.7006273670152701E-2</v>
      </c>
      <c r="AB48" s="175">
        <f>1000*-(Y48-Y47)/1000</f>
        <v>2.6677615122648324E-3</v>
      </c>
      <c r="AC48" s="5"/>
      <c r="AD48" s="174" t="s">
        <v>183</v>
      </c>
      <c r="AE48" s="2"/>
      <c r="AF48" s="2"/>
      <c r="AG48" s="2"/>
    </row>
    <row r="49" spans="1:36" x14ac:dyDescent="0.2">
      <c r="A49">
        <f>ROW()</f>
        <v>49</v>
      </c>
      <c r="D49" s="18"/>
      <c r="F49" s="18"/>
      <c r="G49" s="18"/>
      <c r="H49" s="18"/>
      <c r="I49" s="2"/>
      <c r="J49" s="17"/>
      <c r="K49" s="2"/>
      <c r="R49" s="52"/>
      <c r="S49" s="52"/>
      <c r="T49" s="19"/>
      <c r="U49" s="19"/>
      <c r="V49" s="19"/>
      <c r="W49" s="19"/>
      <c r="X49" s="44"/>
      <c r="Y49" s="42"/>
      <c r="Z49" s="43"/>
      <c r="AA49" s="43"/>
      <c r="AB49" s="43"/>
      <c r="AC49" s="5"/>
    </row>
    <row r="50" spans="1:36" x14ac:dyDescent="0.2">
      <c r="A50">
        <f>ROW()</f>
        <v>50</v>
      </c>
      <c r="D50" s="18"/>
      <c r="F50" s="18"/>
      <c r="G50" s="18"/>
      <c r="H50" s="18"/>
      <c r="J50" s="18"/>
      <c r="L50" s="18"/>
      <c r="M50" s="18"/>
      <c r="N50" s="18"/>
      <c r="R50" s="52"/>
      <c r="S50" s="52"/>
      <c r="T50" s="19"/>
      <c r="U50" s="19"/>
      <c r="V50" s="19"/>
      <c r="W50" s="19"/>
      <c r="X50" s="2"/>
      <c r="Y50" s="2"/>
      <c r="AA50" s="3"/>
      <c r="AB50" t="s">
        <v>64</v>
      </c>
    </row>
    <row r="51" spans="1:36" x14ac:dyDescent="0.2">
      <c r="A51">
        <f>ROW()</f>
        <v>51</v>
      </c>
      <c r="C51" s="5" t="str">
        <f>B55&amp;" range, "&amp;B57&amp;", vs shunts and 500 AT on "&amp;B59&amp;" range."</f>
        <v>30/5 range, l - 1200At(5A), vs shunts and 500 AT on 50/5 range.</v>
      </c>
      <c r="F51" s="18"/>
      <c r="G51" s="18"/>
      <c r="H51" s="18"/>
      <c r="J51" s="18"/>
      <c r="L51" s="18"/>
      <c r="M51" s="18"/>
      <c r="N51" s="18"/>
      <c r="R51" s="50"/>
      <c r="S51" s="50"/>
      <c r="X51" s="19"/>
      <c r="Y51" s="19"/>
      <c r="Z51" t="s">
        <v>63</v>
      </c>
      <c r="AA51" t="s">
        <v>63</v>
      </c>
      <c r="AB51" t="s">
        <v>65</v>
      </c>
      <c r="AF51" s="176"/>
      <c r="AG51" s="177" t="s">
        <v>218</v>
      </c>
      <c r="AH51" s="176">
        <f>Calculations!K3</f>
        <v>0.6</v>
      </c>
      <c r="AI51" s="176" t="s">
        <v>14</v>
      </c>
      <c r="AJ51" s="5" t="s">
        <v>219</v>
      </c>
    </row>
    <row r="52" spans="1:36" x14ac:dyDescent="0.2">
      <c r="A52">
        <f>ROW()</f>
        <v>52</v>
      </c>
      <c r="B52" s="4">
        <v>43369</v>
      </c>
      <c r="I52" s="2"/>
      <c r="J52" s="17"/>
      <c r="K52" s="2"/>
      <c r="L52" s="18"/>
      <c r="M52" s="18"/>
      <c r="N52" s="18"/>
      <c r="R52" s="52"/>
      <c r="S52" s="52"/>
      <c r="T52" s="19"/>
      <c r="U52" s="19"/>
      <c r="V52" s="19"/>
      <c r="W52" s="19"/>
      <c r="X52" t="s">
        <v>6</v>
      </c>
      <c r="Y52" t="s">
        <v>7</v>
      </c>
      <c r="Z52" t="s">
        <v>61</v>
      </c>
      <c r="AA52" t="s">
        <v>62</v>
      </c>
      <c r="AB52" t="s">
        <v>6</v>
      </c>
      <c r="AC52" t="s">
        <v>7</v>
      </c>
      <c r="AF52" s="59"/>
      <c r="AG52" s="176" t="s">
        <v>5</v>
      </c>
      <c r="AH52" s="176" t="s">
        <v>3</v>
      </c>
      <c r="AI52" s="59"/>
    </row>
    <row r="53" spans="1:36" x14ac:dyDescent="0.2">
      <c r="A53">
        <f>ROW()</f>
        <v>53</v>
      </c>
      <c r="B53" s="43" t="s">
        <v>52</v>
      </c>
      <c r="C53">
        <v>2.4800776654E-2</v>
      </c>
      <c r="D53" s="18">
        <v>2.3406127335E-7</v>
      </c>
      <c r="E53" s="18">
        <v>8.2206378999999995E-6</v>
      </c>
      <c r="F53" s="18">
        <v>4.3190982552453E-8</v>
      </c>
      <c r="G53" s="18">
        <v>1.2115311879184301E-7</v>
      </c>
      <c r="H53" s="18">
        <v>1.51347227555017E-7</v>
      </c>
      <c r="I53" s="2">
        <v>20.53</v>
      </c>
      <c r="J53" s="17">
        <f t="shared" ref="J53:J59" si="47">100*C53/0.5</f>
        <v>4.9601553308000002</v>
      </c>
      <c r="K53" s="2">
        <f t="shared" ref="K53:K59" si="48">C53/P53</f>
        <v>0.24800776653999998</v>
      </c>
      <c r="L53">
        <v>10</v>
      </c>
      <c r="M53">
        <v>6</v>
      </c>
      <c r="N53">
        <v>0.83384899999999995</v>
      </c>
      <c r="O53">
        <v>0.2</v>
      </c>
      <c r="P53">
        <v>0.1</v>
      </c>
      <c r="Q53">
        <v>1</v>
      </c>
      <c r="R53" s="52">
        <f t="shared" ref="R53:R59" si="49">Q53*D53/C53/N53</f>
        <v>1.1318187122955537E-5</v>
      </c>
      <c r="S53" s="52">
        <f t="shared" ref="S53:S59" si="50">Q53*E53/C53/N53</f>
        <v>3.975143631861313E-4</v>
      </c>
      <c r="T53" s="19">
        <f t="shared" ref="T53:T59" si="51">M53*N53*O53/(P53*U53*L53)</f>
        <v>0.99989875348902779</v>
      </c>
      <c r="U53" s="19">
        <f t="shared" ref="U53:U59" si="52">$AA$16</f>
        <v>1.0007201194205511</v>
      </c>
      <c r="V53" s="52">
        <f>AA$17</f>
        <v>2.2561396482316382E-4</v>
      </c>
      <c r="W53" s="19">
        <f t="shared" ref="W53:W59" si="53">R53+T53</f>
        <v>0.99991007167615076</v>
      </c>
      <c r="X53" s="2">
        <f t="shared" ref="X53:X59" si="54">1000*(W53-1)</f>
        <v>-8.9928323849242098E-2</v>
      </c>
      <c r="Y53" s="2">
        <f t="shared" ref="Y53:Y59" si="55">1000*(S53-V53)</f>
        <v>0.17190039836296747</v>
      </c>
      <c r="Z53" s="51">
        <f t="shared" ref="Z53:Z59" si="56">((C53*N53)^2/P53-$AB$10)*$Z$28*0.001</f>
        <v>-7.2802559468087462E-4</v>
      </c>
      <c r="AA53" s="51">
        <f>(C53^2/O53-$Z$10)*$AB$5*0.001</f>
        <v>-1.0637600734836214E-4</v>
      </c>
      <c r="AB53" s="2">
        <f>0.5*(X53+X61)+AA53-Z53</f>
        <v>-8.0147469453813847E-2</v>
      </c>
      <c r="AC53" s="2">
        <f t="shared" ref="AC53:AC59" si="57">0.5*(Y53+Y61)</f>
        <v>0.19456538315416455</v>
      </c>
      <c r="AF53" s="59"/>
      <c r="AG53" s="178">
        <f>(X97-X53)*($AA$69-$AH$51)/($AA$69-$AA$113)</f>
        <v>-1.5575377494852454E-2</v>
      </c>
      <c r="AH53" s="178">
        <f>(Y97-Y53)*($AA$69-$AH$51)/($AA$69-$AA$113)</f>
        <v>0.22679751441296903</v>
      </c>
      <c r="AI53" s="59"/>
    </row>
    <row r="54" spans="1:36" x14ac:dyDescent="0.2">
      <c r="A54">
        <f>ROW()</f>
        <v>54</v>
      </c>
      <c r="B54" s="5" t="s">
        <v>110</v>
      </c>
      <c r="C54">
        <v>5.0470108223999999E-2</v>
      </c>
      <c r="D54" s="18">
        <v>1.9565335689999999E-7</v>
      </c>
      <c r="E54" s="18">
        <v>1.6254493999999999E-5</v>
      </c>
      <c r="F54" s="18">
        <v>6.2999217889142504E-9</v>
      </c>
      <c r="G54" s="18">
        <v>1.81567623107558E-7</v>
      </c>
      <c r="H54" s="18">
        <v>4.43558492647813E-8</v>
      </c>
      <c r="I54" s="2">
        <v>20.53</v>
      </c>
      <c r="J54" s="17">
        <f t="shared" si="47"/>
        <v>10.0940216448</v>
      </c>
      <c r="K54" s="2">
        <f t="shared" si="48"/>
        <v>0.50470108223999999</v>
      </c>
      <c r="L54">
        <v>10</v>
      </c>
      <c r="M54">
        <v>6</v>
      </c>
      <c r="N54">
        <v>0.83384899999999995</v>
      </c>
      <c r="O54">
        <v>0.2</v>
      </c>
      <c r="P54">
        <v>0.1</v>
      </c>
      <c r="Q54">
        <v>1</v>
      </c>
      <c r="R54" s="52">
        <f t="shared" si="49"/>
        <v>4.6490653978444569E-6</v>
      </c>
      <c r="S54" s="52">
        <f t="shared" si="50"/>
        <v>3.862351600412041E-4</v>
      </c>
      <c r="T54" s="19">
        <f t="shared" si="51"/>
        <v>0.99989875348902779</v>
      </c>
      <c r="U54" s="19">
        <f t="shared" si="52"/>
        <v>1.0007201194205511</v>
      </c>
      <c r="V54" s="52">
        <f t="shared" ref="V54:V59" si="58">AA$17</f>
        <v>2.2561396482316382E-4</v>
      </c>
      <c r="W54" s="19">
        <f t="shared" si="53"/>
        <v>0.99990340255442567</v>
      </c>
      <c r="X54" s="2">
        <f t="shared" si="54"/>
        <v>-9.6597445574331253E-2</v>
      </c>
      <c r="Y54" s="2">
        <f t="shared" si="55"/>
        <v>0.16062119521804027</v>
      </c>
      <c r="Z54" s="51">
        <f t="shared" si="56"/>
        <v>-6.3279559978063967E-4</v>
      </c>
      <c r="AA54" s="51">
        <f t="shared" ref="AA54:AA59" si="59">(C54^2/O54-$Z$10)*$AB$5*0.001</f>
        <v>-8.5991790017529975E-5</v>
      </c>
      <c r="AB54" s="2">
        <f t="shared" ref="AB54:AB59" si="60">0.5*(X54+X62)+AA54-Z54</f>
        <v>-8.5231855725532962E-2</v>
      </c>
      <c r="AC54" s="2">
        <f t="shared" si="57"/>
        <v>0.18298371732238528</v>
      </c>
      <c r="AF54" s="59"/>
      <c r="AG54" s="178">
        <f t="shared" ref="AG54:AG59" si="61">(X98-X54)*($AA$69-$AH$51)/($AA$69-$AA$113)</f>
        <v>-2.1282484731862679E-2</v>
      </c>
      <c r="AH54" s="178">
        <f t="shared" ref="AH54:AH59" si="62">(Y98-Y54)*($AA$69-$AH$51)/($AA$69-$AA$113)</f>
        <v>0.20371948219608796</v>
      </c>
      <c r="AI54" s="59"/>
    </row>
    <row r="55" spans="1:36" x14ac:dyDescent="0.2">
      <c r="A55">
        <f>ROW()</f>
        <v>55</v>
      </c>
      <c r="B55" s="64" t="s">
        <v>113</v>
      </c>
      <c r="C55">
        <v>0.100190976</v>
      </c>
      <c r="D55" s="18">
        <v>1.835274052E-7</v>
      </c>
      <c r="E55" s="18">
        <v>3.1350748000000003E-5</v>
      </c>
      <c r="F55" s="18">
        <v>1.60608710473462E-8</v>
      </c>
      <c r="G55" s="18">
        <v>2.1216464116249601E-7</v>
      </c>
      <c r="H55" s="18">
        <v>1.0877976878078001E-7</v>
      </c>
      <c r="I55" s="2">
        <v>20.53</v>
      </c>
      <c r="J55" s="17">
        <f t="shared" si="47"/>
        <v>20.038195200000001</v>
      </c>
      <c r="K55" s="2">
        <f t="shared" si="48"/>
        <v>1.00190976</v>
      </c>
      <c r="L55">
        <v>10</v>
      </c>
      <c r="M55">
        <v>6</v>
      </c>
      <c r="N55">
        <v>0.83384899999999995</v>
      </c>
      <c r="O55">
        <v>0.2</v>
      </c>
      <c r="P55">
        <v>0.1</v>
      </c>
      <c r="Q55">
        <v>1</v>
      </c>
      <c r="R55" s="52">
        <f t="shared" si="49"/>
        <v>2.1967715975536115E-6</v>
      </c>
      <c r="S55" s="52">
        <f t="shared" si="50"/>
        <v>3.7525966595238879E-4</v>
      </c>
      <c r="T55" s="19">
        <f t="shared" si="51"/>
        <v>0.99989875348902779</v>
      </c>
      <c r="U55" s="19">
        <f t="shared" si="52"/>
        <v>1.0007201194205511</v>
      </c>
      <c r="V55" s="52">
        <f t="shared" si="58"/>
        <v>2.2561396482316382E-4</v>
      </c>
      <c r="W55" s="19">
        <f t="shared" si="53"/>
        <v>0.99990095026062531</v>
      </c>
      <c r="X55" s="2">
        <f t="shared" si="54"/>
        <v>-9.9049739374690304E-2</v>
      </c>
      <c r="Y55" s="2">
        <f t="shared" si="55"/>
        <v>0.14964570112922498</v>
      </c>
      <c r="Z55" s="51">
        <f t="shared" si="56"/>
        <v>-2.6358686425269638E-4</v>
      </c>
      <c r="AA55" s="51">
        <f t="shared" si="59"/>
        <v>-6.9617416243972855E-6</v>
      </c>
      <c r="AB55" s="2">
        <f t="shared" si="60"/>
        <v>-8.679850683409758E-2</v>
      </c>
      <c r="AC55" s="2">
        <f t="shared" si="57"/>
        <v>0.17215375742995709</v>
      </c>
      <c r="AF55" s="59"/>
      <c r="AG55" s="178">
        <f t="shared" si="61"/>
        <v>-2.6812282110745256E-2</v>
      </c>
      <c r="AH55" s="178">
        <f t="shared" si="62"/>
        <v>0.18824874332902103</v>
      </c>
      <c r="AI55" s="59"/>
    </row>
    <row r="56" spans="1:36" x14ac:dyDescent="0.2">
      <c r="A56">
        <f>ROW()</f>
        <v>56</v>
      </c>
      <c r="B56" s="67" t="s">
        <v>112</v>
      </c>
      <c r="C56">
        <v>0.19997436265999999</v>
      </c>
      <c r="D56" s="18">
        <v>4.3586178000000001E-9</v>
      </c>
      <c r="E56" s="18">
        <v>5.8616066000000003E-5</v>
      </c>
      <c r="F56" s="18">
        <v>1.14252697973226E-6</v>
      </c>
      <c r="G56" s="18">
        <v>1.6718779047036201E-8</v>
      </c>
      <c r="H56" s="18">
        <v>2.3303331178181801E-8</v>
      </c>
      <c r="I56" s="2">
        <v>20.54</v>
      </c>
      <c r="J56" s="17">
        <f t="shared" si="47"/>
        <v>39.994872531999995</v>
      </c>
      <c r="K56" s="2">
        <f t="shared" si="48"/>
        <v>1.9997436265999997</v>
      </c>
      <c r="L56">
        <v>10</v>
      </c>
      <c r="M56">
        <v>6</v>
      </c>
      <c r="N56">
        <v>0.83384899999999995</v>
      </c>
      <c r="O56">
        <v>0.2</v>
      </c>
      <c r="P56">
        <v>0.1</v>
      </c>
      <c r="Q56">
        <v>1</v>
      </c>
      <c r="R56" s="52">
        <f t="shared" si="49"/>
        <v>2.6138884788862208E-8</v>
      </c>
      <c r="S56" s="52">
        <f t="shared" si="50"/>
        <v>3.5152396155275264E-4</v>
      </c>
      <c r="T56" s="19">
        <f t="shared" si="51"/>
        <v>0.99989875348902779</v>
      </c>
      <c r="U56" s="19">
        <f t="shared" si="52"/>
        <v>1.0007201194205511</v>
      </c>
      <c r="V56" s="52">
        <f t="shared" si="58"/>
        <v>2.2561396482316382E-4</v>
      </c>
      <c r="W56" s="19">
        <f t="shared" si="53"/>
        <v>0.99989877962791263</v>
      </c>
      <c r="X56" s="2">
        <f t="shared" si="54"/>
        <v>-0.10122037208737389</v>
      </c>
      <c r="Y56" s="2">
        <f t="shared" si="55"/>
        <v>0.1259099967295888</v>
      </c>
      <c r="Z56" s="51">
        <f t="shared" si="56"/>
        <v>1.2126327131313586E-3</v>
      </c>
      <c r="AA56" s="51">
        <f t="shared" si="59"/>
        <v>3.0902673159720117E-4</v>
      </c>
      <c r="AB56" s="2">
        <f t="shared" si="60"/>
        <v>-9.472853958630334E-2</v>
      </c>
      <c r="AC56" s="2">
        <f t="shared" si="57"/>
        <v>0.15321822890937967</v>
      </c>
      <c r="AF56" s="59"/>
      <c r="AG56" s="178">
        <f t="shared" si="61"/>
        <v>-3.5744020641437731E-2</v>
      </c>
      <c r="AH56" s="178">
        <f t="shared" si="62"/>
        <v>0.17922302231537138</v>
      </c>
      <c r="AI56" s="59"/>
    </row>
    <row r="57" spans="1:36" ht="13.5" x14ac:dyDescent="0.25">
      <c r="A57">
        <f>ROW()</f>
        <v>57</v>
      </c>
      <c r="B57" s="163" t="s">
        <v>181</v>
      </c>
      <c r="C57">
        <v>0.29846864721999999</v>
      </c>
      <c r="D57" s="18">
        <v>-3.53532002E-8</v>
      </c>
      <c r="E57" s="18">
        <v>8.58695339999999E-5</v>
      </c>
      <c r="F57" s="18">
        <v>5.8115337898276399E-6</v>
      </c>
      <c r="G57" s="18">
        <v>9.2725832802032501E-8</v>
      </c>
      <c r="H57" s="18">
        <v>3.9963789465464999E-7</v>
      </c>
      <c r="I57" s="2">
        <v>20.54</v>
      </c>
      <c r="J57" s="17">
        <f t="shared" si="47"/>
        <v>59.693729443999999</v>
      </c>
      <c r="K57" s="2">
        <f t="shared" si="48"/>
        <v>2.9846864721999999</v>
      </c>
      <c r="L57">
        <v>10</v>
      </c>
      <c r="M57">
        <v>6</v>
      </c>
      <c r="N57">
        <v>0.83384899999999995</v>
      </c>
      <c r="O57">
        <v>0.2</v>
      </c>
      <c r="P57">
        <v>0.1</v>
      </c>
      <c r="Q57">
        <v>1</v>
      </c>
      <c r="R57" s="52">
        <f t="shared" si="49"/>
        <v>-1.4205044649470674E-7</v>
      </c>
      <c r="S57" s="52">
        <f t="shared" si="50"/>
        <v>3.4502691626180955E-4</v>
      </c>
      <c r="T57" s="19">
        <f t="shared" si="51"/>
        <v>0.99989875348902779</v>
      </c>
      <c r="U57" s="19">
        <f t="shared" si="52"/>
        <v>1.0007201194205511</v>
      </c>
      <c r="V57" s="52">
        <f t="shared" si="58"/>
        <v>2.2561396482316382E-4</v>
      </c>
      <c r="W57" s="19">
        <f t="shared" si="53"/>
        <v>0.99989861143858128</v>
      </c>
      <c r="X57" s="2">
        <f t="shared" si="54"/>
        <v>-0.10138856141872488</v>
      </c>
      <c r="Y57" s="2">
        <f t="shared" si="55"/>
        <v>0.11941295143864572</v>
      </c>
      <c r="Z57" s="51">
        <f t="shared" si="56"/>
        <v>3.6323170850225813E-3</v>
      </c>
      <c r="AA57" s="51">
        <f t="shared" si="59"/>
        <v>8.2696619132647229E-4</v>
      </c>
      <c r="AB57" s="2">
        <f t="shared" si="60"/>
        <v>-9.3595189973814844E-2</v>
      </c>
      <c r="AC57" s="2">
        <f t="shared" si="57"/>
        <v>0.15063342325090795</v>
      </c>
      <c r="AF57" s="59"/>
      <c r="AG57" s="178">
        <f t="shared" si="61"/>
        <v>-3.5346826593170622E-2</v>
      </c>
      <c r="AH57" s="178">
        <f t="shared" si="62"/>
        <v>0.20116913790302926</v>
      </c>
      <c r="AI57" s="59"/>
    </row>
    <row r="58" spans="1:36" x14ac:dyDescent="0.2">
      <c r="A58">
        <f>ROW()</f>
        <v>58</v>
      </c>
      <c r="B58" s="66" t="s">
        <v>111</v>
      </c>
      <c r="C58">
        <v>0.50013261210000004</v>
      </c>
      <c r="D58" s="18">
        <v>-3.8220218000000003E-6</v>
      </c>
      <c r="E58" s="18">
        <v>1.9603945E-4</v>
      </c>
      <c r="F58" s="18">
        <v>6.0233684958053E-6</v>
      </c>
      <c r="G58" s="18">
        <v>8.4155883782345196E-7</v>
      </c>
      <c r="H58" s="18">
        <v>2.5220650204742899E-6</v>
      </c>
      <c r="I58" s="2">
        <v>20.54</v>
      </c>
      <c r="J58" s="17">
        <f t="shared" si="47"/>
        <v>100.02652242000001</v>
      </c>
      <c r="K58" s="2">
        <f t="shared" si="48"/>
        <v>5.001326121</v>
      </c>
      <c r="L58">
        <v>10</v>
      </c>
      <c r="M58">
        <v>6</v>
      </c>
      <c r="N58">
        <v>0.83384899999999995</v>
      </c>
      <c r="O58">
        <v>0.2</v>
      </c>
      <c r="P58">
        <v>0.1</v>
      </c>
      <c r="Q58">
        <v>1</v>
      </c>
      <c r="R58" s="52">
        <f t="shared" si="49"/>
        <v>-9.1647489560106275E-6</v>
      </c>
      <c r="S58" s="52">
        <f t="shared" si="50"/>
        <v>4.7007904160159363E-4</v>
      </c>
      <c r="T58" s="19">
        <f t="shared" si="51"/>
        <v>0.99989875348902779</v>
      </c>
      <c r="U58" s="19">
        <f t="shared" si="52"/>
        <v>1.0007201194205511</v>
      </c>
      <c r="V58" s="52">
        <f t="shared" si="58"/>
        <v>2.2561396482316382E-4</v>
      </c>
      <c r="W58" s="19">
        <f t="shared" si="53"/>
        <v>0.99988958874007183</v>
      </c>
      <c r="X58" s="2">
        <f t="shared" si="54"/>
        <v>-0.11041125992816703</v>
      </c>
      <c r="Y58" s="2">
        <f t="shared" si="55"/>
        <v>0.24446507677842977</v>
      </c>
      <c r="Z58" s="51">
        <f t="shared" si="56"/>
        <v>1.1569940154904026E-2</v>
      </c>
      <c r="AA58" s="51">
        <f t="shared" si="59"/>
        <v>2.5260341574247429E-3</v>
      </c>
      <c r="AB58" s="2">
        <f t="shared" si="60"/>
        <v>-9.9017207034306831E-2</v>
      </c>
      <c r="AC58" s="2">
        <f t="shared" si="57"/>
        <v>0.22977967102230401</v>
      </c>
      <c r="AF58" s="59"/>
      <c r="AG58" s="178">
        <f t="shared" si="61"/>
        <v>-1.5189599601472132E-2</v>
      </c>
      <c r="AH58" s="178">
        <f t="shared" si="62"/>
        <v>0.3309824212141867</v>
      </c>
      <c r="AI58" s="59"/>
    </row>
    <row r="59" spans="1:36" x14ac:dyDescent="0.2">
      <c r="A59">
        <f>ROW()</f>
        <v>59</v>
      </c>
      <c r="B59" s="65" t="s">
        <v>114</v>
      </c>
      <c r="C59">
        <v>0.60236094652000005</v>
      </c>
      <c r="D59" s="18">
        <v>-1.4600225500000001E-6</v>
      </c>
      <c r="E59" s="18">
        <v>2.6800313000000002E-4</v>
      </c>
      <c r="F59" s="18">
        <v>1.45194520246215E-6</v>
      </c>
      <c r="G59" s="18">
        <v>1.71398364592139E-6</v>
      </c>
      <c r="H59" s="18">
        <v>1.2819940699281701E-5</v>
      </c>
      <c r="I59" s="2">
        <v>20.54</v>
      </c>
      <c r="J59" s="17">
        <f t="shared" si="47"/>
        <v>120.47218930400001</v>
      </c>
      <c r="K59" s="2">
        <f t="shared" si="48"/>
        <v>6.0236094651999998</v>
      </c>
      <c r="L59">
        <v>10</v>
      </c>
      <c r="M59">
        <v>6</v>
      </c>
      <c r="N59">
        <v>0.83384899999999995</v>
      </c>
      <c r="O59">
        <v>0.2</v>
      </c>
      <c r="P59">
        <v>0.1</v>
      </c>
      <c r="Q59">
        <v>1</v>
      </c>
      <c r="R59" s="52">
        <f t="shared" si="49"/>
        <v>-2.9068012895437005E-6</v>
      </c>
      <c r="S59" s="52">
        <f t="shared" si="50"/>
        <v>5.3357521353745399E-4</v>
      </c>
      <c r="T59" s="19">
        <f t="shared" si="51"/>
        <v>0.99989875348902779</v>
      </c>
      <c r="U59" s="19">
        <f t="shared" si="52"/>
        <v>1.0007201194205511</v>
      </c>
      <c r="V59" s="52">
        <f t="shared" si="58"/>
        <v>2.2561396482316382E-4</v>
      </c>
      <c r="W59" s="19">
        <f t="shared" si="53"/>
        <v>0.99989584668773823</v>
      </c>
      <c r="X59" s="2">
        <f t="shared" si="54"/>
        <v>-0.10415331226176772</v>
      </c>
      <c r="Y59" s="2">
        <f t="shared" si="55"/>
        <v>0.3079612487142902</v>
      </c>
      <c r="Z59" s="51">
        <f t="shared" si="56"/>
        <v>1.7124882112643285E-2</v>
      </c>
      <c r="AA59" s="51">
        <f t="shared" si="59"/>
        <v>3.7150833036033309E-3</v>
      </c>
      <c r="AB59" s="2">
        <f t="shared" si="60"/>
        <v>-0.10644900791739867</v>
      </c>
      <c r="AC59" s="2">
        <f t="shared" si="57"/>
        <v>0.33782468235980712</v>
      </c>
      <c r="AF59" s="59"/>
      <c r="AG59" s="178">
        <f t="shared" si="61"/>
        <v>-9.2989117774152155E-3</v>
      </c>
      <c r="AH59" s="178">
        <f t="shared" si="62"/>
        <v>0.54558754249192987</v>
      </c>
      <c r="AI59" s="59"/>
    </row>
    <row r="60" spans="1:36" x14ac:dyDescent="0.2">
      <c r="A60">
        <f>ROW()</f>
        <v>60</v>
      </c>
      <c r="J60" s="17"/>
      <c r="K60" s="2"/>
      <c r="R60" s="52"/>
      <c r="S60" s="52"/>
      <c r="T60" s="19"/>
      <c r="U60" s="19"/>
      <c r="V60" s="52"/>
      <c r="W60" s="19"/>
      <c r="X60" s="2"/>
      <c r="Y60" s="2"/>
      <c r="AA60" s="2"/>
      <c r="AB60" s="2"/>
    </row>
    <row r="61" spans="1:36" x14ac:dyDescent="0.2">
      <c r="A61">
        <f>ROW()</f>
        <v>61</v>
      </c>
      <c r="B61" s="43" t="s">
        <v>51</v>
      </c>
      <c r="C61">
        <v>2.4739742326E-2</v>
      </c>
      <c r="D61" s="18">
        <v>6.1137955999999995E-7</v>
      </c>
      <c r="E61" s="18">
        <v>8.4028134000000006E-6</v>
      </c>
      <c r="F61" s="18">
        <v>4.9868960274160797E-8</v>
      </c>
      <c r="G61" s="18">
        <v>1.16249646349253E-7</v>
      </c>
      <c r="H61" s="18">
        <v>9.7878609320116499E-8</v>
      </c>
      <c r="I61" s="2">
        <v>20.54</v>
      </c>
      <c r="J61" s="17">
        <f t="shared" ref="J61:J67" si="63">100*C61/0.5</f>
        <v>4.9479484651999996</v>
      </c>
      <c r="K61" s="2">
        <f t="shared" ref="K61:K67" si="64">C61/P61</f>
        <v>0.24739742326</v>
      </c>
      <c r="L61">
        <v>10</v>
      </c>
      <c r="M61">
        <v>6</v>
      </c>
      <c r="N61">
        <v>0.83384899999999995</v>
      </c>
      <c r="O61">
        <v>0.2</v>
      </c>
      <c r="P61">
        <v>0.1</v>
      </c>
      <c r="Q61">
        <v>1</v>
      </c>
      <c r="R61" s="52">
        <f t="shared" ref="R61:R67" si="65">Q61*D61/C61/N61</f>
        <v>2.9636596739174021E-5</v>
      </c>
      <c r="S61" s="52">
        <f t="shared" ref="S61:S67" si="66">Q61*E61/C61/N61</f>
        <v>4.0732600254141273E-4</v>
      </c>
      <c r="T61" s="19">
        <f t="shared" ref="T61:T67" si="67">M61*N61*O61/(P61*U61*L61)</f>
        <v>0.99989875348902779</v>
      </c>
      <c r="U61" s="19">
        <f t="shared" ref="U61:U68" si="68">$AA$16</f>
        <v>1.0007201194205511</v>
      </c>
      <c r="V61" s="52">
        <f>$AA$26</f>
        <v>1.9009563459605107E-4</v>
      </c>
      <c r="W61" s="19">
        <f t="shared" ref="W61:W67" si="69">R61+T61</f>
        <v>0.99992839008576695</v>
      </c>
      <c r="X61" s="2">
        <f t="shared" ref="X61:X67" si="70">1000*(W61-1)</f>
        <v>-7.1609914233050631E-2</v>
      </c>
      <c r="Y61" s="2">
        <f t="shared" ref="Y61:Y67" si="71">1000*(S61-V61)</f>
        <v>0.21723036794536166</v>
      </c>
      <c r="Z61" s="51">
        <f t="shared" ref="Z61:Z67" si="72">((C61*N61)^2/P61-$AB$10)*$Z$28*0.001</f>
        <v>-7.2817462234655195E-4</v>
      </c>
      <c r="AA61" s="51">
        <f>(C61^2/O61-$Z$10)*$AB$5*0.001</f>
        <v>-1.064079070909659E-4</v>
      </c>
    </row>
    <row r="62" spans="1:36" x14ac:dyDescent="0.2">
      <c r="A62">
        <f>ROW()</f>
        <v>62</v>
      </c>
      <c r="C62">
        <v>5.0565312401999997E-2</v>
      </c>
      <c r="D62" s="18">
        <v>1.10834545E-6</v>
      </c>
      <c r="E62" s="18">
        <v>1.6673346000000001E-5</v>
      </c>
      <c r="F62" s="18">
        <v>3.1551932711054098E-8</v>
      </c>
      <c r="G62" s="18">
        <v>2.18471406863799E-7</v>
      </c>
      <c r="H62" s="18">
        <v>1.0066050210484701E-7</v>
      </c>
      <c r="I62" s="2">
        <v>20.56</v>
      </c>
      <c r="J62" s="17">
        <f t="shared" si="63"/>
        <v>10.1130624804</v>
      </c>
      <c r="K62" s="2">
        <f t="shared" si="64"/>
        <v>0.50565312401999996</v>
      </c>
      <c r="L62">
        <v>10</v>
      </c>
      <c r="M62">
        <v>6</v>
      </c>
      <c r="N62">
        <v>0.83384899999999995</v>
      </c>
      <c r="O62">
        <v>0.2</v>
      </c>
      <c r="P62">
        <v>0.1</v>
      </c>
      <c r="Q62">
        <v>1</v>
      </c>
      <c r="R62" s="52">
        <f t="shared" si="65"/>
        <v>2.6286637475922522E-5</v>
      </c>
      <c r="S62" s="52">
        <f t="shared" si="66"/>
        <v>3.9544187402278135E-4</v>
      </c>
      <c r="T62" s="19">
        <f t="shared" si="67"/>
        <v>0.99989875348902779</v>
      </c>
      <c r="U62" s="19">
        <f t="shared" si="68"/>
        <v>1.0007201194205511</v>
      </c>
      <c r="V62" s="52">
        <f t="shared" ref="V62:V70" si="73">$AA$26</f>
        <v>1.9009563459605107E-4</v>
      </c>
      <c r="W62" s="19">
        <f t="shared" si="69"/>
        <v>0.99992504012650374</v>
      </c>
      <c r="X62" s="2">
        <f t="shared" si="70"/>
        <v>-7.4959873496260876E-2</v>
      </c>
      <c r="Y62" s="2">
        <f t="shared" si="71"/>
        <v>0.20534623942673028</v>
      </c>
      <c r="Z62" s="51">
        <f t="shared" si="72"/>
        <v>-6.3232150863838763E-4</v>
      </c>
      <c r="AA62" s="51">
        <f t="shared" ref="AA62:AA67" si="74">(C62^2/O62-$Z$10)*$AB$5*0.001</f>
        <v>-8.5890309629040878E-5</v>
      </c>
    </row>
    <row r="63" spans="1:36" x14ac:dyDescent="0.2">
      <c r="A63">
        <f>ROW()</f>
        <v>63</v>
      </c>
      <c r="C63">
        <v>0.10070119664</v>
      </c>
      <c r="D63" s="18">
        <v>2.1988266E-6</v>
      </c>
      <c r="E63" s="18">
        <v>3.2307926000000001E-5</v>
      </c>
      <c r="F63" s="18">
        <v>9.3900481099094594E-8</v>
      </c>
      <c r="G63" s="18">
        <v>1.85088747480769E-8</v>
      </c>
      <c r="H63" s="18">
        <v>2.31119458990367E-7</v>
      </c>
      <c r="I63" s="2">
        <v>20.57</v>
      </c>
      <c r="J63" s="17">
        <f t="shared" si="63"/>
        <v>20.140239328</v>
      </c>
      <c r="K63" s="2">
        <f t="shared" si="64"/>
        <v>1.0070119663999999</v>
      </c>
      <c r="L63">
        <v>10</v>
      </c>
      <c r="M63">
        <v>6</v>
      </c>
      <c r="N63">
        <v>0.83384899999999995</v>
      </c>
      <c r="O63">
        <v>0.2</v>
      </c>
      <c r="P63">
        <v>0.1</v>
      </c>
      <c r="Q63">
        <v>1</v>
      </c>
      <c r="R63" s="52">
        <f t="shared" si="65"/>
        <v>2.6185986433451714E-5</v>
      </c>
      <c r="S63" s="52">
        <f t="shared" si="66"/>
        <v>3.8475744832674026E-4</v>
      </c>
      <c r="T63" s="19">
        <f t="shared" si="67"/>
        <v>0.99989875348902779</v>
      </c>
      <c r="U63" s="19">
        <f t="shared" si="68"/>
        <v>1.0007201194205511</v>
      </c>
      <c r="V63" s="52">
        <f t="shared" si="73"/>
        <v>1.9009563459605107E-4</v>
      </c>
      <c r="W63" s="19">
        <f t="shared" si="69"/>
        <v>0.99992493947546124</v>
      </c>
      <c r="X63" s="2">
        <f t="shared" si="70"/>
        <v>-7.5060524538761442E-2</v>
      </c>
      <c r="Y63" s="2">
        <f t="shared" si="71"/>
        <v>0.19466181373068919</v>
      </c>
      <c r="Z63" s="51">
        <f t="shared" si="72"/>
        <v>-2.5853498201264708E-4</v>
      </c>
      <c r="AA63" s="51">
        <f t="shared" si="74"/>
        <v>-5.8803736623510884E-6</v>
      </c>
    </row>
    <row r="64" spans="1:36" x14ac:dyDescent="0.2">
      <c r="A64">
        <f>ROW()</f>
        <v>64</v>
      </c>
      <c r="C64">
        <v>0.20060953753999999</v>
      </c>
      <c r="D64" s="18">
        <v>2.4785616999999998E-6</v>
      </c>
      <c r="E64" s="18">
        <v>6.1996946000000103E-5</v>
      </c>
      <c r="F64" s="18">
        <v>6.3747548401443804E-7</v>
      </c>
      <c r="G64" s="18">
        <v>3.2093317764000299E-7</v>
      </c>
      <c r="H64" s="18">
        <v>9.9248157081125696E-8</v>
      </c>
      <c r="I64" s="2">
        <v>20.58</v>
      </c>
      <c r="J64" s="17">
        <f t="shared" si="63"/>
        <v>40.121907508</v>
      </c>
      <c r="K64" s="2">
        <f t="shared" si="64"/>
        <v>2.0060953753999997</v>
      </c>
      <c r="L64">
        <v>10</v>
      </c>
      <c r="M64">
        <v>6</v>
      </c>
      <c r="N64">
        <v>0.83384899999999995</v>
      </c>
      <c r="O64">
        <v>0.2</v>
      </c>
      <c r="P64">
        <v>0.1</v>
      </c>
      <c r="Q64">
        <v>1</v>
      </c>
      <c r="R64" s="52">
        <f t="shared" si="65"/>
        <v>1.4817015850089195E-5</v>
      </c>
      <c r="S64" s="52">
        <f t="shared" si="66"/>
        <v>3.706220956852216E-4</v>
      </c>
      <c r="T64" s="19">
        <f t="shared" si="67"/>
        <v>0.99989875348902779</v>
      </c>
      <c r="U64" s="19">
        <f t="shared" si="68"/>
        <v>1.0007201194205511</v>
      </c>
      <c r="V64" s="52">
        <f t="shared" si="73"/>
        <v>1.9009563459605107E-4</v>
      </c>
      <c r="W64" s="19">
        <f t="shared" si="69"/>
        <v>0.99991357050487784</v>
      </c>
      <c r="X64" s="2">
        <f t="shared" si="70"/>
        <v>-8.6429495122164468E-2</v>
      </c>
      <c r="Y64" s="2">
        <f t="shared" si="71"/>
        <v>0.18052646108917053</v>
      </c>
      <c r="Z64" s="51">
        <f t="shared" si="72"/>
        <v>1.2251733324470783E-3</v>
      </c>
      <c r="AA64" s="51">
        <f t="shared" si="74"/>
        <v>3.117110823615026E-4</v>
      </c>
    </row>
    <row r="65" spans="1:31" x14ac:dyDescent="0.2">
      <c r="A65">
        <f>ROW()</f>
        <v>65</v>
      </c>
      <c r="C65">
        <v>0.30042832856000001</v>
      </c>
      <c r="D65" s="18">
        <v>5.2746259999999997E-6</v>
      </c>
      <c r="E65" s="18">
        <v>9.3177768999999996E-5</v>
      </c>
      <c r="F65" s="18">
        <v>2.9087762321304898E-6</v>
      </c>
      <c r="G65" s="18">
        <v>1.37275152309586E-6</v>
      </c>
      <c r="H65" s="18">
        <v>1.20961373956276E-6</v>
      </c>
      <c r="I65" s="2">
        <v>20.6</v>
      </c>
      <c r="J65" s="17">
        <f t="shared" si="63"/>
        <v>60.085665712000001</v>
      </c>
      <c r="K65" s="2">
        <f t="shared" si="64"/>
        <v>3.0042832856000001</v>
      </c>
      <c r="L65">
        <v>10</v>
      </c>
      <c r="M65">
        <v>6</v>
      </c>
      <c r="N65">
        <v>0.83384899999999995</v>
      </c>
      <c r="O65">
        <v>0.2</v>
      </c>
      <c r="P65">
        <v>0.1</v>
      </c>
      <c r="Q65">
        <v>1</v>
      </c>
      <c r="R65" s="52">
        <f t="shared" si="65"/>
        <v>2.1055394230659244E-5</v>
      </c>
      <c r="S65" s="52">
        <f t="shared" si="66"/>
        <v>3.7194952965922127E-4</v>
      </c>
      <c r="T65" s="19">
        <f t="shared" si="67"/>
        <v>0.99989875348902779</v>
      </c>
      <c r="U65" s="19">
        <f t="shared" si="68"/>
        <v>1.0007201194205511</v>
      </c>
      <c r="V65" s="52">
        <f t="shared" si="73"/>
        <v>1.9009563459605107E-4</v>
      </c>
      <c r="W65" s="19">
        <f t="shared" si="69"/>
        <v>0.99991980888325849</v>
      </c>
      <c r="X65" s="2">
        <f t="shared" si="70"/>
        <v>-8.019111674151258E-2</v>
      </c>
      <c r="Y65" s="2">
        <f t="shared" si="71"/>
        <v>0.18185389506317021</v>
      </c>
      <c r="Z65" s="51">
        <f t="shared" si="72"/>
        <v>3.6901626086940581E-3</v>
      </c>
      <c r="AA65" s="51">
        <f t="shared" si="74"/>
        <v>8.3934816958206764E-4</v>
      </c>
    </row>
    <row r="66" spans="1:31" x14ac:dyDescent="0.2">
      <c r="A66">
        <f>ROW()</f>
        <v>66</v>
      </c>
      <c r="C66">
        <v>0.50069720766000003</v>
      </c>
      <c r="D66" s="18">
        <v>1.3239599E-5</v>
      </c>
      <c r="E66" s="18">
        <v>1.6916916E-4</v>
      </c>
      <c r="F66" s="18">
        <v>5.8011749910628101E-6</v>
      </c>
      <c r="G66" s="18">
        <v>1.03190357592171E-8</v>
      </c>
      <c r="H66" s="18">
        <v>3.8118636720638398E-6</v>
      </c>
      <c r="I66" s="2">
        <v>20.61</v>
      </c>
      <c r="J66" s="17">
        <f t="shared" si="63"/>
        <v>100.13944153200001</v>
      </c>
      <c r="K66" s="2">
        <f t="shared" si="64"/>
        <v>5.0069720766000003</v>
      </c>
      <c r="L66">
        <v>10</v>
      </c>
      <c r="M66">
        <v>6</v>
      </c>
      <c r="N66">
        <v>0.83384899999999995</v>
      </c>
      <c r="O66">
        <v>0.2</v>
      </c>
      <c r="P66">
        <v>0.1</v>
      </c>
      <c r="Q66">
        <v>1</v>
      </c>
      <c r="R66" s="52">
        <f t="shared" si="65"/>
        <v>3.1711168826670717E-5</v>
      </c>
      <c r="S66" s="52">
        <f t="shared" si="66"/>
        <v>4.0518989986222935E-4</v>
      </c>
      <c r="T66" s="19">
        <f t="shared" si="67"/>
        <v>0.99989875348902779</v>
      </c>
      <c r="U66" s="19">
        <f t="shared" si="68"/>
        <v>1.0007201194205511</v>
      </c>
      <c r="V66" s="52">
        <f t="shared" si="73"/>
        <v>1.9009563459605107E-4</v>
      </c>
      <c r="W66" s="19">
        <f t="shared" si="69"/>
        <v>0.99993046465785451</v>
      </c>
      <c r="X66" s="2">
        <f t="shared" si="70"/>
        <v>-6.9535342145488066E-2</v>
      </c>
      <c r="Y66" s="2">
        <f t="shared" si="71"/>
        <v>0.21509426526617828</v>
      </c>
      <c r="Z66" s="51">
        <f t="shared" si="72"/>
        <v>1.1597790454725289E-2</v>
      </c>
      <c r="AA66" s="51">
        <f t="shared" si="74"/>
        <v>2.5319955833901669E-3</v>
      </c>
    </row>
    <row r="67" spans="1:31" x14ac:dyDescent="0.2">
      <c r="A67">
        <f>ROW()</f>
        <v>67</v>
      </c>
      <c r="C67">
        <v>0.60067039653999998</v>
      </c>
      <c r="D67" s="18">
        <v>9.6774814000000097E-6</v>
      </c>
      <c r="E67" s="18">
        <v>2.7937626000000001E-4</v>
      </c>
      <c r="F67" s="18">
        <v>2.7377107246340901E-6</v>
      </c>
      <c r="G67" s="18">
        <v>1.3688877256130401E-6</v>
      </c>
      <c r="H67" s="18">
        <v>7.1158863940060202E-6</v>
      </c>
      <c r="I67" s="2">
        <v>20.64</v>
      </c>
      <c r="J67" s="17">
        <f t="shared" si="63"/>
        <v>120.134079308</v>
      </c>
      <c r="K67" s="2">
        <f t="shared" si="64"/>
        <v>6.0067039653999998</v>
      </c>
      <c r="L67">
        <v>10</v>
      </c>
      <c r="M67">
        <v>6</v>
      </c>
      <c r="N67">
        <v>0.83384899999999995</v>
      </c>
      <c r="O67">
        <v>0.2</v>
      </c>
      <c r="P67">
        <v>0.1</v>
      </c>
      <c r="Q67">
        <v>1</v>
      </c>
      <c r="R67" s="52">
        <f t="shared" si="65"/>
        <v>1.9321405017258992E-5</v>
      </c>
      <c r="S67" s="52">
        <f t="shared" si="66"/>
        <v>5.5778375060137517E-4</v>
      </c>
      <c r="T67" s="19">
        <f t="shared" si="67"/>
        <v>0.99989875348902779</v>
      </c>
      <c r="U67" s="19">
        <f t="shared" si="68"/>
        <v>1.0007201194205511</v>
      </c>
      <c r="V67" s="52">
        <f t="shared" si="73"/>
        <v>1.9009563459605107E-4</v>
      </c>
      <c r="W67" s="19">
        <f t="shared" si="69"/>
        <v>0.99991807489404505</v>
      </c>
      <c r="X67" s="2">
        <f t="shared" si="70"/>
        <v>-8.1925105954949728E-2</v>
      </c>
      <c r="Y67" s="2">
        <f t="shared" si="71"/>
        <v>0.36768811600532408</v>
      </c>
      <c r="Z67" s="51">
        <f t="shared" si="72"/>
        <v>1.7024643017655879E-2</v>
      </c>
      <c r="AA67" s="51">
        <f t="shared" si="74"/>
        <v>3.6936268759367136E-3</v>
      </c>
    </row>
    <row r="68" spans="1:31" x14ac:dyDescent="0.2">
      <c r="A68">
        <f>ROW()</f>
        <v>68</v>
      </c>
      <c r="B68" s="122" t="s">
        <v>51</v>
      </c>
      <c r="C68" s="122">
        <v>0.30103090354000001</v>
      </c>
      <c r="D68" s="123">
        <v>4.41822E-6</v>
      </c>
      <c r="E68" s="123">
        <v>1.1613485E-4</v>
      </c>
      <c r="F68" s="123">
        <v>5.9702619151347996E-6</v>
      </c>
      <c r="G68" s="123">
        <v>0</v>
      </c>
      <c r="H68" s="123">
        <v>1.0488715400371999E-6</v>
      </c>
      <c r="I68" s="124">
        <v>20.64</v>
      </c>
      <c r="J68" s="125">
        <f>100*C68/0.5</f>
        <v>60.206180707999998</v>
      </c>
      <c r="K68" s="124">
        <f>C68/P68</f>
        <v>3.0103090353999997</v>
      </c>
      <c r="L68" s="122">
        <v>10</v>
      </c>
      <c r="M68" s="122">
        <v>6</v>
      </c>
      <c r="N68" s="122">
        <v>0.83384899999999995</v>
      </c>
      <c r="O68" s="126">
        <v>0.2</v>
      </c>
      <c r="P68" s="126">
        <v>0.1</v>
      </c>
      <c r="Q68" s="126">
        <v>1</v>
      </c>
      <c r="R68" s="52">
        <f>Q68*D68/C68/N68</f>
        <v>1.7601466072576305E-5</v>
      </c>
      <c r="S68" s="52">
        <f>Q68*E68/C68/N68</f>
        <v>4.6266225360410708E-4</v>
      </c>
      <c r="T68" s="19">
        <f>M68*N68*O68/(P68*U68*L68)</f>
        <v>0.99989875348902779</v>
      </c>
      <c r="U68" s="19">
        <f t="shared" si="68"/>
        <v>1.0007201194205511</v>
      </c>
      <c r="V68" s="52">
        <f t="shared" si="73"/>
        <v>1.9009563459605107E-4</v>
      </c>
      <c r="W68" s="19">
        <f>R68+T68</f>
        <v>0.99991635495510034</v>
      </c>
      <c r="X68" s="2">
        <f>1000*(W68-1)</f>
        <v>-8.3645044899660626E-2</v>
      </c>
      <c r="Y68" s="2">
        <f>1000*(S68-V68)</f>
        <v>0.27256661900805601</v>
      </c>
      <c r="Z68" t="s">
        <v>68</v>
      </c>
      <c r="AA68" t="s">
        <v>67</v>
      </c>
      <c r="AB68" t="s">
        <v>66</v>
      </c>
    </row>
    <row r="69" spans="1:31" x14ac:dyDescent="0.2">
      <c r="A69">
        <f>ROW()</f>
        <v>69</v>
      </c>
      <c r="B69" s="164" t="s">
        <v>54</v>
      </c>
      <c r="C69" s="122">
        <v>0.30183233718000002</v>
      </c>
      <c r="D69" s="123">
        <v>-3.2350125E-4</v>
      </c>
      <c r="E69" s="123">
        <v>1.726442E-4</v>
      </c>
      <c r="F69" s="123">
        <v>5.9890590503056902E-6</v>
      </c>
      <c r="G69" s="123">
        <v>1.42835634471934E-6</v>
      </c>
      <c r="H69" s="123">
        <v>1.20068851081369E-6</v>
      </c>
      <c r="I69" s="124">
        <v>20.65</v>
      </c>
      <c r="J69" s="125">
        <f>100*C69/0.5</f>
        <v>60.366467436000008</v>
      </c>
      <c r="K69" s="124">
        <f>C69/P69</f>
        <v>3.0183233718000002</v>
      </c>
      <c r="L69" s="122">
        <v>10</v>
      </c>
      <c r="M69" s="122">
        <v>6</v>
      </c>
      <c r="N69" s="122">
        <v>0.83384899999999995</v>
      </c>
      <c r="O69" s="126">
        <v>0.2</v>
      </c>
      <c r="P69" s="126">
        <v>0.1</v>
      </c>
      <c r="Q69" s="126">
        <v>1</v>
      </c>
      <c r="R69" s="52">
        <f>Q69*D69/C69/N69</f>
        <v>-1.2853540912552447E-3</v>
      </c>
      <c r="S69" s="52">
        <f>Q69*E69/C69/N69</f>
        <v>6.8596003508947408E-4</v>
      </c>
      <c r="T69" s="19">
        <f>M69*N69*O69/(P69*U69*L69)</f>
        <v>0.99989875348902779</v>
      </c>
      <c r="U69" s="19">
        <f>$AA$16</f>
        <v>1.0007201194205511</v>
      </c>
      <c r="V69" s="52">
        <f t="shared" si="73"/>
        <v>1.9009563459605107E-4</v>
      </c>
      <c r="W69" s="19">
        <f>R69+T69</f>
        <v>0.99861339939777249</v>
      </c>
      <c r="X69" s="2">
        <f>1000*(W69-1)</f>
        <v>-1.3866006022275057</v>
      </c>
      <c r="Y69" s="2">
        <f>1000*(S69-V69)</f>
        <v>0.49586440049342295</v>
      </c>
      <c r="AA69" s="46">
        <f>100*-(X69-X68)/1000</f>
        <v>0.13029555573278453</v>
      </c>
      <c r="AB69" s="46">
        <f>100*-(Y69-Y68)/1000</f>
        <v>-2.2329778148536695E-2</v>
      </c>
    </row>
    <row r="70" spans="1:31" x14ac:dyDescent="0.2">
      <c r="B70" s="164"/>
      <c r="C70" s="122">
        <v>0.30483214862000002</v>
      </c>
      <c r="D70" s="123">
        <v>4.6795503999999904E-6</v>
      </c>
      <c r="E70" s="123">
        <v>9.4393441000000002E-5</v>
      </c>
      <c r="F70" s="123">
        <v>2.09404070275636E-6</v>
      </c>
      <c r="G70" s="123">
        <v>1.8621564162013801E-8</v>
      </c>
      <c r="H70" s="123">
        <v>2.4154700705699101E-6</v>
      </c>
      <c r="I70" s="124">
        <v>20.68</v>
      </c>
      <c r="J70" s="125">
        <f>100*C70/0.5</f>
        <v>60.966429724000001</v>
      </c>
      <c r="K70" s="124">
        <f>C70/P70</f>
        <v>3.0483214861999999</v>
      </c>
      <c r="L70" s="122">
        <v>10</v>
      </c>
      <c r="M70" s="122">
        <v>6</v>
      </c>
      <c r="N70" s="122">
        <v>0.83384899999999995</v>
      </c>
      <c r="O70" s="126">
        <v>0.2</v>
      </c>
      <c r="P70" s="126">
        <v>0.1</v>
      </c>
      <c r="Q70" s="126">
        <v>1</v>
      </c>
      <c r="R70" s="52">
        <f>Q70*D70/C70/N70</f>
        <v>1.8410091610633713E-5</v>
      </c>
      <c r="S70" s="52">
        <f>Q70*E70/C70/N70</f>
        <v>3.7135873058509038E-4</v>
      </c>
      <c r="T70" s="19">
        <f>M70*N70*O70/(P70*U70*L70)</f>
        <v>0.99989875348902779</v>
      </c>
      <c r="U70" s="19">
        <f>$AA$16</f>
        <v>1.0007201194205511</v>
      </c>
      <c r="V70" s="52">
        <f t="shared" si="73"/>
        <v>1.9009563459605107E-4</v>
      </c>
      <c r="W70" s="19">
        <f>R70+T70</f>
        <v>0.99991716358063842</v>
      </c>
      <c r="X70" s="2">
        <f>1000*(W70-1)</f>
        <v>-8.2836419361576041E-2</v>
      </c>
      <c r="Y70" s="2">
        <f>1000*(S70-V70)</f>
        <v>0.18126309598903931</v>
      </c>
      <c r="AA70" s="46"/>
      <c r="AB70" s="46"/>
    </row>
    <row r="71" spans="1:31" x14ac:dyDescent="0.2">
      <c r="A71">
        <f>ROW()</f>
        <v>71</v>
      </c>
      <c r="F71" s="18"/>
      <c r="G71" s="18"/>
      <c r="H71" s="18"/>
      <c r="I71" s="2"/>
      <c r="J71" s="17"/>
      <c r="K71" s="2"/>
      <c r="R71" s="52"/>
      <c r="S71" s="52"/>
      <c r="T71" s="19"/>
      <c r="U71" s="19"/>
      <c r="V71" s="19"/>
      <c r="W71" s="19"/>
      <c r="X71" s="2"/>
      <c r="Y71" s="2"/>
      <c r="AA71" s="43"/>
      <c r="AB71" s="43"/>
    </row>
    <row r="72" spans="1:31" x14ac:dyDescent="0.2">
      <c r="A72">
        <f>ROW()</f>
        <v>72</v>
      </c>
      <c r="B72" s="45" t="s">
        <v>217</v>
      </c>
      <c r="F72" s="18"/>
      <c r="G72" s="18"/>
      <c r="H72" s="18"/>
      <c r="J72" s="17"/>
      <c r="K72" s="2"/>
      <c r="R72" s="52"/>
      <c r="S72" s="52"/>
      <c r="T72" s="19"/>
      <c r="U72" s="19"/>
      <c r="V72" s="19"/>
      <c r="W72" s="19"/>
      <c r="X72" s="2"/>
      <c r="Y72" s="2"/>
      <c r="AA72" s="3"/>
      <c r="AB72" t="s">
        <v>64</v>
      </c>
    </row>
    <row r="73" spans="1:31" x14ac:dyDescent="0.2">
      <c r="A73">
        <f>ROW()</f>
        <v>73</v>
      </c>
      <c r="C73" s="5" t="str">
        <f>B77&amp;" range, "&amp;B79&amp;", vs shunts and 500 AT on "&amp;B81&amp;" range."</f>
        <v>30/5 range, l - 1200At(5A), vs shunts and 500 AT on 50/5 range.</v>
      </c>
      <c r="G73" s="18"/>
      <c r="J73" s="5" t="s">
        <v>53</v>
      </c>
      <c r="R73" s="50"/>
      <c r="S73" s="50"/>
      <c r="X73" s="19"/>
      <c r="Y73" s="19"/>
      <c r="Z73" t="s">
        <v>63</v>
      </c>
      <c r="AA73" t="s">
        <v>63</v>
      </c>
      <c r="AB73" t="s">
        <v>65</v>
      </c>
    </row>
    <row r="74" spans="1:31" x14ac:dyDescent="0.2">
      <c r="A74">
        <f>ROW()</f>
        <v>74</v>
      </c>
      <c r="B74" s="4">
        <v>43369</v>
      </c>
      <c r="E74" s="18"/>
      <c r="F74" s="18"/>
      <c r="G74" s="18"/>
      <c r="H74" s="18"/>
      <c r="R74" s="50"/>
      <c r="S74" s="50"/>
      <c r="X74" t="s">
        <v>6</v>
      </c>
      <c r="Y74" t="s">
        <v>7</v>
      </c>
      <c r="Z74" t="s">
        <v>61</v>
      </c>
      <c r="AA74" t="s">
        <v>62</v>
      </c>
      <c r="AB74" t="s">
        <v>6</v>
      </c>
      <c r="AC74" t="s">
        <v>7</v>
      </c>
    </row>
    <row r="75" spans="1:31" x14ac:dyDescent="0.2">
      <c r="A75">
        <f>ROW()</f>
        <v>75</v>
      </c>
      <c r="B75" s="43" t="s">
        <v>51</v>
      </c>
      <c r="C75">
        <v>2.4680412289999999E-2</v>
      </c>
      <c r="D75" s="18">
        <v>5.7395427999999999E-7</v>
      </c>
      <c r="E75" s="18">
        <v>8.7652004000000001E-6</v>
      </c>
      <c r="F75" s="18">
        <v>3.16158204367992E-8</v>
      </c>
      <c r="G75" s="18">
        <v>1.96624753277357E-7</v>
      </c>
      <c r="H75" s="18">
        <v>2.2925289281455101E-7</v>
      </c>
      <c r="I75" s="2">
        <v>20.64</v>
      </c>
      <c r="J75" s="17">
        <f t="shared" ref="J75:J81" si="75">100*C75/0.5</f>
        <v>4.9360824579999996</v>
      </c>
      <c r="K75" s="2">
        <f t="shared" ref="K75:K81" si="76">C75/P75</f>
        <v>0.24680412289999998</v>
      </c>
      <c r="L75">
        <v>10</v>
      </c>
      <c r="M75">
        <v>6</v>
      </c>
      <c r="N75">
        <v>0.83384899999999995</v>
      </c>
      <c r="O75">
        <v>0.2</v>
      </c>
      <c r="P75">
        <v>0.1</v>
      </c>
      <c r="Q75">
        <v>1</v>
      </c>
      <c r="R75" s="52">
        <f t="shared" ref="R75:R81" si="77">Q75*D75/C75/N75</f>
        <v>2.7889291150756441E-5</v>
      </c>
      <c r="S75" s="52">
        <f t="shared" ref="S75:S81" si="78">Q75*E75/C75/N75</f>
        <v>4.2591410930906695E-4</v>
      </c>
      <c r="T75" s="19">
        <f t="shared" ref="T75:T81" si="79">M75*N75*O75/(P75*U75*L75)</f>
        <v>0.99989875348902779</v>
      </c>
      <c r="U75" s="19">
        <f t="shared" ref="U75:U81" si="80">$AA$16</f>
        <v>1.0007201194205511</v>
      </c>
      <c r="V75" s="52">
        <f>AA$17</f>
        <v>2.2561396482316382E-4</v>
      </c>
      <c r="W75" s="19">
        <f t="shared" ref="W75:W81" si="81">R75+T75</f>
        <v>0.99992664278017851</v>
      </c>
      <c r="X75" s="2">
        <f t="shared" ref="X75:X81" si="82">1000*(W75-1)</f>
        <v>-7.335721982149046E-2</v>
      </c>
      <c r="Y75" s="2">
        <f t="shared" ref="Y75:Y81" si="83">1000*(S75-V75)</f>
        <v>0.20030014448590314</v>
      </c>
      <c r="Z75" s="51">
        <f t="shared" ref="Z75:Z81" si="84">((C75*N75)^2/P75-$AB$10)*$Z$28*0.001</f>
        <v>-7.2831913666910274E-4</v>
      </c>
      <c r="AA75" s="51">
        <f>(C75^2/O75-$Z$10)*$AB$5*0.001</f>
        <v>-1.064388407412447E-4</v>
      </c>
      <c r="AB75" s="2">
        <f>0.5*(X75+X83)+AA75-Z75</f>
        <v>-8.2309193556116045E-2</v>
      </c>
      <c r="AC75" s="2">
        <f t="shared" ref="AC75:AC81" si="85">0.5*(Y75+Y83)</f>
        <v>0.21822078388636873</v>
      </c>
      <c r="AE75" s="2"/>
    </row>
    <row r="76" spans="1:31" x14ac:dyDescent="0.2">
      <c r="A76">
        <f>ROW()</f>
        <v>76</v>
      </c>
      <c r="B76" s="5" t="s">
        <v>110</v>
      </c>
      <c r="C76">
        <v>5.0428703046000001E-2</v>
      </c>
      <c r="D76" s="18">
        <v>8.7143389999999997E-7</v>
      </c>
      <c r="E76" s="18">
        <v>1.7413056000000001E-5</v>
      </c>
      <c r="F76" s="18">
        <v>1.04649126407351E-8</v>
      </c>
      <c r="G76" s="18">
        <v>1.65677893588825E-7</v>
      </c>
      <c r="H76" s="18">
        <v>1.8626341311164701E-7</v>
      </c>
      <c r="I76" s="2">
        <v>20.64</v>
      </c>
      <c r="J76" s="17">
        <f t="shared" si="75"/>
        <v>10.0857406092</v>
      </c>
      <c r="K76" s="2">
        <f t="shared" si="76"/>
        <v>0.50428703046000001</v>
      </c>
      <c r="L76">
        <v>10</v>
      </c>
      <c r="M76">
        <v>6</v>
      </c>
      <c r="N76">
        <v>0.83384899999999995</v>
      </c>
      <c r="O76">
        <v>0.2</v>
      </c>
      <c r="P76">
        <v>0.1</v>
      </c>
      <c r="Q76">
        <v>1</v>
      </c>
      <c r="R76" s="52">
        <f t="shared" si="77"/>
        <v>2.0723792703191226E-5</v>
      </c>
      <c r="S76" s="52">
        <f t="shared" si="78"/>
        <v>4.1410434328187162E-4</v>
      </c>
      <c r="T76" s="19">
        <f t="shared" si="79"/>
        <v>0.99989875348902779</v>
      </c>
      <c r="U76" s="19">
        <f t="shared" si="80"/>
        <v>1.0007201194205511</v>
      </c>
      <c r="V76" s="52">
        <f t="shared" ref="V76:V81" si="86">AA$17</f>
        <v>2.2561396482316382E-4</v>
      </c>
      <c r="W76" s="19">
        <f t="shared" si="81"/>
        <v>0.99991947728173103</v>
      </c>
      <c r="X76" s="2">
        <f t="shared" si="82"/>
        <v>-8.0522718268971616E-2</v>
      </c>
      <c r="Y76" s="2">
        <f t="shared" si="83"/>
        <v>0.18849037845870778</v>
      </c>
      <c r="Z76" s="51">
        <f t="shared" si="84"/>
        <v>-6.3300150762184983E-4</v>
      </c>
      <c r="AA76" s="51">
        <f t="shared" ref="AA76:AA81" si="87">(C76^2/O76-$Z$10)*$AB$5*0.001</f>
        <v>-8.6035865103218552E-5</v>
      </c>
      <c r="AB76" s="2">
        <f t="shared" ref="AB76:AB81" si="88">0.5*(X76+X84)+AA76-Z76</f>
        <v>-8.7886526472107068E-2</v>
      </c>
      <c r="AC76" s="2">
        <f t="shared" si="85"/>
        <v>0.20565484351657953</v>
      </c>
      <c r="AE76" s="2"/>
    </row>
    <row r="77" spans="1:31" x14ac:dyDescent="0.2">
      <c r="A77">
        <f>ROW()</f>
        <v>77</v>
      </c>
      <c r="B77" s="64" t="s">
        <v>113</v>
      </c>
      <c r="C77">
        <v>0.10013195078000001</v>
      </c>
      <c r="D77" s="18">
        <v>1.3725351E-6</v>
      </c>
      <c r="E77" s="18">
        <v>3.3884955999999998E-5</v>
      </c>
      <c r="F77" s="18">
        <v>1.3659121924935299E-8</v>
      </c>
      <c r="G77" s="18">
        <v>2.17004308742914E-7</v>
      </c>
      <c r="H77" s="18">
        <v>6.8447102670602499E-8</v>
      </c>
      <c r="I77" s="2">
        <v>20.63</v>
      </c>
      <c r="J77" s="17">
        <f t="shared" si="75"/>
        <v>20.026390156000001</v>
      </c>
      <c r="K77" s="2">
        <f t="shared" si="76"/>
        <v>1.0013195077999999</v>
      </c>
      <c r="L77">
        <v>10</v>
      </c>
      <c r="M77">
        <v>6</v>
      </c>
      <c r="N77">
        <v>0.83384899999999995</v>
      </c>
      <c r="O77">
        <v>0.2</v>
      </c>
      <c r="P77">
        <v>0.1</v>
      </c>
      <c r="Q77">
        <v>1</v>
      </c>
      <c r="R77" s="52">
        <f t="shared" si="77"/>
        <v>1.6438544818098748E-5</v>
      </c>
      <c r="S77" s="52">
        <f t="shared" si="78"/>
        <v>4.0583251230901418E-4</v>
      </c>
      <c r="T77" s="19">
        <f t="shared" si="79"/>
        <v>0.99989875348902779</v>
      </c>
      <c r="U77" s="19">
        <f t="shared" si="80"/>
        <v>1.0007201194205511</v>
      </c>
      <c r="V77" s="52">
        <f t="shared" si="86"/>
        <v>2.2561396482316382E-4</v>
      </c>
      <c r="W77" s="19">
        <f t="shared" si="81"/>
        <v>0.99991519203384593</v>
      </c>
      <c r="X77" s="2">
        <f t="shared" si="82"/>
        <v>-8.4807966154065717E-2</v>
      </c>
      <c r="Y77" s="2">
        <f t="shared" si="83"/>
        <v>0.18021854748585037</v>
      </c>
      <c r="Z77" s="51">
        <f t="shared" si="84"/>
        <v>-2.6416963863257447E-4</v>
      </c>
      <c r="AA77" s="51">
        <f t="shared" si="87"/>
        <v>-7.0864859302929169E-6</v>
      </c>
      <c r="AB77" s="2">
        <f t="shared" si="88"/>
        <v>-9.258730005824152E-2</v>
      </c>
      <c r="AC77" s="2">
        <f t="shared" si="85"/>
        <v>0.19147303139669178</v>
      </c>
      <c r="AE77" s="2"/>
    </row>
    <row r="78" spans="1:31" x14ac:dyDescent="0.2">
      <c r="A78">
        <f>ROW()</f>
        <v>78</v>
      </c>
      <c r="B78" s="67" t="s">
        <v>112</v>
      </c>
      <c r="C78">
        <v>0.20039583835999999</v>
      </c>
      <c r="D78" s="18">
        <v>1.5609E-6</v>
      </c>
      <c r="E78" s="18">
        <v>6.3695086999999997E-5</v>
      </c>
      <c r="F78" s="18">
        <v>4.1995942883059001E-8</v>
      </c>
      <c r="G78" s="18">
        <v>2.3293406049493301E-21</v>
      </c>
      <c r="H78" s="18">
        <v>1.98676932055536E-7</v>
      </c>
      <c r="I78" s="2">
        <v>20.64</v>
      </c>
      <c r="J78" s="17">
        <f t="shared" si="75"/>
        <v>40.079167671999997</v>
      </c>
      <c r="K78" s="2">
        <f t="shared" si="76"/>
        <v>2.0039583835999997</v>
      </c>
      <c r="L78">
        <v>10</v>
      </c>
      <c r="M78">
        <v>6</v>
      </c>
      <c r="N78">
        <v>0.83384899999999995</v>
      </c>
      <c r="O78">
        <v>0.2</v>
      </c>
      <c r="P78">
        <v>0.1</v>
      </c>
      <c r="Q78">
        <v>1</v>
      </c>
      <c r="R78" s="52">
        <f t="shared" si="77"/>
        <v>9.3411204054904427E-6</v>
      </c>
      <c r="S78" s="52">
        <f t="shared" si="78"/>
        <v>3.8117975328668649E-4</v>
      </c>
      <c r="T78" s="19">
        <f t="shared" si="79"/>
        <v>0.99989875348902779</v>
      </c>
      <c r="U78" s="19">
        <f t="shared" si="80"/>
        <v>1.0007201194205511</v>
      </c>
      <c r="V78" s="52">
        <f t="shared" si="86"/>
        <v>2.2561396482316382E-4</v>
      </c>
      <c r="W78" s="19">
        <f t="shared" si="81"/>
        <v>0.99990809460943331</v>
      </c>
      <c r="X78" s="2">
        <f t="shared" si="82"/>
        <v>-9.1905390566693335E-2</v>
      </c>
      <c r="Y78" s="2">
        <f t="shared" si="83"/>
        <v>0.15556578846352268</v>
      </c>
      <c r="Z78" s="51">
        <f t="shared" si="84"/>
        <v>1.2209497086296747E-3</v>
      </c>
      <c r="AA78" s="51">
        <f t="shared" si="87"/>
        <v>3.1080700517544549E-4</v>
      </c>
      <c r="AB78" s="2">
        <f t="shared" si="88"/>
        <v>-9.9029457167805313E-2</v>
      </c>
      <c r="AC78" s="2">
        <f t="shared" si="85"/>
        <v>0.1711162217706953</v>
      </c>
      <c r="AE78" s="2"/>
    </row>
    <row r="79" spans="1:31" ht="13.5" x14ac:dyDescent="0.25">
      <c r="A79">
        <f>ROW()</f>
        <v>79</v>
      </c>
      <c r="B79" s="163" t="s">
        <v>181</v>
      </c>
      <c r="C79">
        <v>0.30033862266</v>
      </c>
      <c r="D79" s="18">
        <v>1.49466945E-6</v>
      </c>
      <c r="E79" s="18">
        <v>9.7608917E-5</v>
      </c>
      <c r="F79" s="18">
        <v>1.64261531089517E-6</v>
      </c>
      <c r="G79" s="18">
        <v>1.3813402154019699E-7</v>
      </c>
      <c r="H79" s="18">
        <v>5.0916741039760105E-7</v>
      </c>
      <c r="I79" s="2">
        <v>20.63</v>
      </c>
      <c r="J79" s="17">
        <f t="shared" si="75"/>
        <v>60.067724532</v>
      </c>
      <c r="K79" s="2">
        <f t="shared" si="76"/>
        <v>3.0033862266</v>
      </c>
      <c r="L79">
        <v>10</v>
      </c>
      <c r="M79">
        <v>6</v>
      </c>
      <c r="N79">
        <v>0.83384899999999995</v>
      </c>
      <c r="O79">
        <v>0.2</v>
      </c>
      <c r="P79">
        <v>0.1</v>
      </c>
      <c r="Q79">
        <v>1</v>
      </c>
      <c r="R79" s="52">
        <f t="shared" si="77"/>
        <v>5.9682438733579393E-6</v>
      </c>
      <c r="S79" s="52">
        <f t="shared" si="78"/>
        <v>3.8975428371159498E-4</v>
      </c>
      <c r="T79" s="19">
        <f t="shared" si="79"/>
        <v>0.99989875348902779</v>
      </c>
      <c r="U79" s="19">
        <f t="shared" si="80"/>
        <v>1.0007201194205511</v>
      </c>
      <c r="V79" s="52">
        <f t="shared" si="86"/>
        <v>2.2561396482316382E-4</v>
      </c>
      <c r="W79" s="19">
        <f t="shared" si="81"/>
        <v>0.99990472173290113</v>
      </c>
      <c r="X79" s="2">
        <f t="shared" si="82"/>
        <v>-9.5278267098874991E-2</v>
      </c>
      <c r="Y79" s="2">
        <f t="shared" si="83"/>
        <v>0.16414031888843117</v>
      </c>
      <c r="Z79" s="51">
        <f t="shared" si="84"/>
        <v>3.6875064181815936E-3</v>
      </c>
      <c r="AA79" s="51">
        <f t="shared" si="87"/>
        <v>8.387796053945458E-4</v>
      </c>
      <c r="AB79" s="2">
        <f t="shared" si="88"/>
        <v>-0.10367977366150206</v>
      </c>
      <c r="AC79" s="2">
        <f t="shared" si="85"/>
        <v>0.17212242912627479</v>
      </c>
      <c r="AE79" s="2"/>
    </row>
    <row r="80" spans="1:31" x14ac:dyDescent="0.2">
      <c r="A80">
        <f>ROW()</f>
        <v>80</v>
      </c>
      <c r="B80" s="66" t="s">
        <v>111</v>
      </c>
      <c r="C80">
        <v>0.49870724004</v>
      </c>
      <c r="D80" s="18">
        <v>-5.5939215500000002E-7</v>
      </c>
      <c r="E80">
        <v>2.7172572E-4</v>
      </c>
      <c r="F80" s="18">
        <v>3.2166158544223001E-6</v>
      </c>
      <c r="G80" s="18">
        <v>1.2526810544063901E-6</v>
      </c>
      <c r="H80" s="18">
        <v>8.8558549774485402E-6</v>
      </c>
      <c r="I80" s="2">
        <v>20.63</v>
      </c>
      <c r="J80" s="17">
        <f t="shared" si="75"/>
        <v>99.741448008000006</v>
      </c>
      <c r="K80" s="2">
        <f t="shared" si="76"/>
        <v>4.9870724003999998</v>
      </c>
      <c r="L80">
        <v>10</v>
      </c>
      <c r="M80">
        <v>6</v>
      </c>
      <c r="N80">
        <v>0.83384899999999995</v>
      </c>
      <c r="O80">
        <v>0.2</v>
      </c>
      <c r="P80">
        <v>0.1</v>
      </c>
      <c r="Q80">
        <v>1</v>
      </c>
      <c r="R80" s="52">
        <f t="shared" si="77"/>
        <v>-1.3451889340671048E-6</v>
      </c>
      <c r="S80" s="52">
        <f t="shared" si="78"/>
        <v>6.5342788306606942E-4</v>
      </c>
      <c r="T80" s="19">
        <f t="shared" si="79"/>
        <v>0.99989875348902779</v>
      </c>
      <c r="U80" s="19">
        <f t="shared" si="80"/>
        <v>1.0007201194205511</v>
      </c>
      <c r="V80" s="52">
        <f t="shared" si="86"/>
        <v>2.2561396482316382E-4</v>
      </c>
      <c r="W80" s="19">
        <f t="shared" si="81"/>
        <v>0.99989740830009377</v>
      </c>
      <c r="X80" s="2">
        <f t="shared" si="82"/>
        <v>-0.10259169990622929</v>
      </c>
      <c r="Y80" s="2">
        <f t="shared" si="83"/>
        <v>0.4278139182429056</v>
      </c>
      <c r="Z80" s="51">
        <f t="shared" si="84"/>
        <v>1.1499769378316401E-2</v>
      </c>
      <c r="AA80" s="51">
        <f t="shared" si="87"/>
        <v>2.511013928118483E-3</v>
      </c>
      <c r="AB80" s="2">
        <f t="shared" si="88"/>
        <v>-0.12435709505021728</v>
      </c>
      <c r="AC80" s="2">
        <f t="shared" si="85"/>
        <v>0.45050919744360307</v>
      </c>
      <c r="AE80" s="2"/>
    </row>
    <row r="81" spans="1:31" x14ac:dyDescent="0.2">
      <c r="A81">
        <f>ROW()</f>
        <v>81</v>
      </c>
      <c r="B81" s="65" t="s">
        <v>114</v>
      </c>
      <c r="C81">
        <v>0.60113018797999995</v>
      </c>
      <c r="D81" s="18">
        <v>7.0274186099999998E-7</v>
      </c>
      <c r="E81">
        <v>3.4833998000000001E-4</v>
      </c>
      <c r="F81" s="18">
        <v>2.6377346915251002E-6</v>
      </c>
      <c r="G81" s="18">
        <v>1.3403032664131999E-6</v>
      </c>
      <c r="H81" s="18">
        <v>6.6432182426592001E-6</v>
      </c>
      <c r="I81" s="2">
        <v>20.64</v>
      </c>
      <c r="J81" s="17">
        <f t="shared" si="75"/>
        <v>120.226037596</v>
      </c>
      <c r="K81" s="2">
        <f t="shared" si="76"/>
        <v>6.0113018797999995</v>
      </c>
      <c r="L81">
        <v>10</v>
      </c>
      <c r="M81">
        <v>6</v>
      </c>
      <c r="N81">
        <v>0.83384899999999995</v>
      </c>
      <c r="O81">
        <v>0.2</v>
      </c>
      <c r="P81">
        <v>0.1</v>
      </c>
      <c r="Q81">
        <v>1</v>
      </c>
      <c r="R81" s="52">
        <f t="shared" si="77"/>
        <v>1.4019737234344453E-6</v>
      </c>
      <c r="S81" s="52">
        <f t="shared" si="78"/>
        <v>6.9494009946517233E-4</v>
      </c>
      <c r="T81" s="19">
        <f t="shared" si="79"/>
        <v>0.99989875348902779</v>
      </c>
      <c r="U81" s="19">
        <f t="shared" si="80"/>
        <v>1.0007201194205511</v>
      </c>
      <c r="V81" s="52">
        <f t="shared" si="86"/>
        <v>2.2561396482316382E-4</v>
      </c>
      <c r="W81" s="19">
        <f t="shared" si="81"/>
        <v>0.99990015546275124</v>
      </c>
      <c r="X81" s="2">
        <f t="shared" si="82"/>
        <v>-9.9844537248761078E-2</v>
      </c>
      <c r="Y81" s="2">
        <f t="shared" si="83"/>
        <v>0.46932613464200851</v>
      </c>
      <c r="Z81" s="51">
        <f t="shared" si="84"/>
        <v>1.7051877898046693E-2</v>
      </c>
      <c r="AA81" s="51">
        <f t="shared" si="87"/>
        <v>3.6994565698419482E-3</v>
      </c>
      <c r="AB81" s="2">
        <f t="shared" si="88"/>
        <v>-0.12254872123300603</v>
      </c>
      <c r="AC81" s="2">
        <f t="shared" si="85"/>
        <v>0.48069276192120403</v>
      </c>
      <c r="AE81" s="2"/>
    </row>
    <row r="82" spans="1:31" x14ac:dyDescent="0.2">
      <c r="A82">
        <f>ROW()</f>
        <v>82</v>
      </c>
      <c r="J82" s="17"/>
      <c r="K82" s="2"/>
      <c r="R82" s="52"/>
      <c r="S82" s="52"/>
      <c r="T82" s="19"/>
      <c r="U82" s="19"/>
      <c r="V82" s="52"/>
      <c r="W82" s="19"/>
      <c r="X82" s="2"/>
      <c r="Y82" s="2"/>
      <c r="AA82" s="2"/>
      <c r="AB82" s="2"/>
    </row>
    <row r="83" spans="1:31" x14ac:dyDescent="0.2">
      <c r="A83">
        <f>ROW()</f>
        <v>83</v>
      </c>
      <c r="B83" s="43" t="s">
        <v>52</v>
      </c>
      <c r="C83">
        <v>2.4997971928000001E-2</v>
      </c>
      <c r="D83" s="18">
        <v>1.8221422499999999E-7</v>
      </c>
      <c r="E83" s="18">
        <v>8.8847128000000005E-6</v>
      </c>
      <c r="F83" s="18">
        <v>2.22643042799269E-8</v>
      </c>
      <c r="G83" s="18">
        <v>1.38408473021409E-7</v>
      </c>
      <c r="H83" s="18">
        <v>1.07147148875553E-7</v>
      </c>
      <c r="I83" s="2">
        <v>20.69</v>
      </c>
      <c r="J83" s="17">
        <f t="shared" ref="J83:J89" si="89">100*C83/0.5</f>
        <v>4.9995943856</v>
      </c>
      <c r="K83" s="2">
        <f t="shared" ref="K83:K89" si="90">C83/P83</f>
        <v>0.24997971927999998</v>
      </c>
      <c r="L83">
        <v>10</v>
      </c>
      <c r="M83">
        <v>6</v>
      </c>
      <c r="N83">
        <v>0.83384899999999995</v>
      </c>
      <c r="O83">
        <v>0.2</v>
      </c>
      <c r="P83">
        <v>0.1</v>
      </c>
      <c r="Q83">
        <v>1</v>
      </c>
      <c r="R83" s="52">
        <f t="shared" ref="R83:R89" si="91">Q83*D83/C83/N83</f>
        <v>8.7415830895974592E-6</v>
      </c>
      <c r="S83" s="52">
        <f t="shared" ref="S83:S89" si="92">Q83*E83/C83/N83</f>
        <v>4.2623705788288538E-4</v>
      </c>
      <c r="T83" s="19">
        <f t="shared" ref="T83:T89" si="93">M83*N83*O83/(P83*U83*L83)</f>
        <v>0.99989875348902779</v>
      </c>
      <c r="U83" s="19">
        <f t="shared" ref="U83:U90" si="94">$AA$16</f>
        <v>1.0007201194205511</v>
      </c>
      <c r="V83" s="52">
        <f>$AA$26</f>
        <v>1.9009563459605107E-4</v>
      </c>
      <c r="W83" s="19">
        <f t="shared" ref="W83:W89" si="95">R83+T83</f>
        <v>0.9999074950721174</v>
      </c>
      <c r="X83" s="2">
        <f t="shared" ref="X83:X89" si="96">1000*(W83-1)</f>
        <v>-9.2504927882597343E-2</v>
      </c>
      <c r="Y83" s="2">
        <f t="shared" ref="Y83:Y89" si="97">1000*(S83-V83)</f>
        <v>0.2361414232868343</v>
      </c>
      <c r="Z83" s="51">
        <f t="shared" ref="Z83:Z89" si="98">((C83*N83)^2/P83-$AB$10)*$Z$28*0.001</f>
        <v>-7.2754159273087659E-4</v>
      </c>
      <c r="AA83" s="51">
        <f>(C83^2/O83-$Z$10)*$AB$5*0.001</f>
        <v>-1.0627240552681799E-4</v>
      </c>
    </row>
    <row r="84" spans="1:31" x14ac:dyDescent="0.2">
      <c r="C84">
        <v>5.0501850145999998E-2</v>
      </c>
      <c r="D84" s="18">
        <v>2.06438034E-7</v>
      </c>
      <c r="E84" s="18">
        <v>1.7388227000000001E-5</v>
      </c>
      <c r="F84" s="18">
        <v>2.74426944028921E-8</v>
      </c>
      <c r="G84" s="18">
        <v>1.7080039227485601E-7</v>
      </c>
      <c r="H84" s="18">
        <v>1.89267905285075E-7</v>
      </c>
      <c r="I84" s="2">
        <v>20.69</v>
      </c>
      <c r="J84" s="17">
        <f t="shared" si="89"/>
        <v>10.100370029199999</v>
      </c>
      <c r="K84" s="2">
        <f t="shared" si="90"/>
        <v>0.50501850145999994</v>
      </c>
      <c r="L84">
        <v>10</v>
      </c>
      <c r="M84">
        <v>6</v>
      </c>
      <c r="N84">
        <v>0.83384899999999995</v>
      </c>
      <c r="O84">
        <v>0.2</v>
      </c>
      <c r="P84">
        <v>0.1</v>
      </c>
      <c r="Q84">
        <v>1</v>
      </c>
      <c r="R84" s="52">
        <f t="shared" si="91"/>
        <v>4.9022450119463155E-6</v>
      </c>
      <c r="S84" s="52">
        <f t="shared" si="92"/>
        <v>4.1291494317050238E-4</v>
      </c>
      <c r="T84" s="19">
        <f t="shared" si="93"/>
        <v>0.99989875348902779</v>
      </c>
      <c r="U84" s="19">
        <f t="shared" si="94"/>
        <v>1.0007201194205511</v>
      </c>
      <c r="V84" s="52">
        <f t="shared" ref="V84:V92" si="99">$AA$26</f>
        <v>1.9009563459605107E-4</v>
      </c>
      <c r="W84" s="19">
        <f t="shared" si="95"/>
        <v>0.99990365573403972</v>
      </c>
      <c r="X84" s="2">
        <f t="shared" si="96"/>
        <v>-9.6344265960279785E-2</v>
      </c>
      <c r="Y84" s="2">
        <f t="shared" si="97"/>
        <v>0.22281930857445131</v>
      </c>
      <c r="Z84" s="51">
        <f t="shared" si="98"/>
        <v>-6.3263763285012389E-4</v>
      </c>
      <c r="AA84" s="51">
        <f t="shared" ref="AA84:AA89" si="100">(C84^2/O84-$Z$10)*$AB$5*0.001</f>
        <v>-8.5957976803047577E-5</v>
      </c>
    </row>
    <row r="85" spans="1:31" x14ac:dyDescent="0.2">
      <c r="C85">
        <v>0.10011208776</v>
      </c>
      <c r="D85" s="18">
        <v>3.0528931400000003E-8</v>
      </c>
      <c r="E85" s="18">
        <v>3.2792234000000001E-5</v>
      </c>
      <c r="F85" s="18">
        <v>3.2275447446010098E-8</v>
      </c>
      <c r="G85" s="18">
        <v>5.9374556680919997E-8</v>
      </c>
      <c r="H85" s="18">
        <v>1.79803268724459E-7</v>
      </c>
      <c r="I85" s="2">
        <v>20.69</v>
      </c>
      <c r="J85" s="17">
        <f t="shared" si="89"/>
        <v>20.022417552</v>
      </c>
      <c r="K85" s="2">
        <f t="shared" si="90"/>
        <v>1.0011208775999998</v>
      </c>
      <c r="L85">
        <v>10</v>
      </c>
      <c r="M85">
        <v>6</v>
      </c>
      <c r="N85">
        <v>0.83384899999999995</v>
      </c>
      <c r="O85">
        <v>0.2</v>
      </c>
      <c r="P85">
        <v>0.1</v>
      </c>
      <c r="Q85">
        <v>1</v>
      </c>
      <c r="R85" s="52">
        <f t="shared" si="91"/>
        <v>3.6571070442283501E-7</v>
      </c>
      <c r="S85" s="52">
        <f t="shared" si="92"/>
        <v>3.9282314990358427E-4</v>
      </c>
      <c r="T85" s="19">
        <f t="shared" si="93"/>
        <v>0.99989875348902779</v>
      </c>
      <c r="U85" s="19">
        <f t="shared" si="94"/>
        <v>1.0007201194205511</v>
      </c>
      <c r="V85" s="52">
        <f t="shared" si="99"/>
        <v>1.9009563459605107E-4</v>
      </c>
      <c r="W85" s="19">
        <f t="shared" si="95"/>
        <v>0.99989911919973218</v>
      </c>
      <c r="X85" s="2">
        <f t="shared" si="96"/>
        <v>-0.10088080026782187</v>
      </c>
      <c r="Y85" s="2">
        <f t="shared" si="97"/>
        <v>0.20272751530753319</v>
      </c>
      <c r="Z85" s="51">
        <f t="shared" si="98"/>
        <v>-2.6436567518451818E-4</v>
      </c>
      <c r="AA85" s="51">
        <f t="shared" si="100"/>
        <v>-7.1284480419552697E-6</v>
      </c>
    </row>
    <row r="86" spans="1:31" x14ac:dyDescent="0.2">
      <c r="C86">
        <v>0.20102397306</v>
      </c>
      <c r="D86" s="18">
        <v>-5.1740847740000004E-7</v>
      </c>
      <c r="E86" s="18">
        <v>6.3154266000000007E-5</v>
      </c>
      <c r="F86" s="18">
        <v>1.72529945816566E-7</v>
      </c>
      <c r="G86" s="18">
        <v>3.4268166684182899E-7</v>
      </c>
      <c r="H86" s="18">
        <v>1.58206453231212E-7</v>
      </c>
      <c r="I86" s="2">
        <v>20.69</v>
      </c>
      <c r="J86" s="17">
        <f t="shared" si="89"/>
        <v>40.204794612000001</v>
      </c>
      <c r="K86" s="2">
        <f t="shared" si="90"/>
        <v>2.0102397305999999</v>
      </c>
      <c r="L86">
        <v>10</v>
      </c>
      <c r="M86">
        <v>6</v>
      </c>
      <c r="N86">
        <v>0.83384899999999995</v>
      </c>
      <c r="O86">
        <v>0.2</v>
      </c>
      <c r="P86">
        <v>0.1</v>
      </c>
      <c r="Q86">
        <v>1</v>
      </c>
      <c r="R86" s="52">
        <f t="shared" si="91"/>
        <v>-3.0867273897525809E-6</v>
      </c>
      <c r="S86" s="52">
        <f t="shared" si="92"/>
        <v>3.7676228967391896E-4</v>
      </c>
      <c r="T86" s="19">
        <f t="shared" si="93"/>
        <v>0.99989875348902779</v>
      </c>
      <c r="U86" s="19">
        <f t="shared" si="94"/>
        <v>1.0007201194205511</v>
      </c>
      <c r="V86" s="52">
        <f t="shared" si="99"/>
        <v>1.9009563459605107E-4</v>
      </c>
      <c r="W86" s="19">
        <f t="shared" si="95"/>
        <v>0.99989566676163799</v>
      </c>
      <c r="X86" s="2">
        <f t="shared" si="96"/>
        <v>-0.10433323836200881</v>
      </c>
      <c r="Y86" s="2">
        <f t="shared" si="97"/>
        <v>0.18666665507786789</v>
      </c>
      <c r="Z86" s="51">
        <f t="shared" si="98"/>
        <v>1.2333772085218152E-3</v>
      </c>
      <c r="AA86" s="51">
        <f t="shared" si="100"/>
        <v>3.1346714244570025E-4</v>
      </c>
    </row>
    <row r="87" spans="1:31" x14ac:dyDescent="0.2">
      <c r="C87">
        <v>0.30074673219999998</v>
      </c>
      <c r="D87" s="18">
        <v>-1.28832246E-6</v>
      </c>
      <c r="E87" s="18">
        <v>9.2837822999999997E-5</v>
      </c>
      <c r="F87" s="18">
        <v>3.1141140877943001E-7</v>
      </c>
      <c r="G87" s="18">
        <v>3.58305706879905E-7</v>
      </c>
      <c r="H87" s="18">
        <v>1.41018801972326E-6</v>
      </c>
      <c r="I87" s="2">
        <v>20.69</v>
      </c>
      <c r="J87" s="17">
        <f t="shared" si="89"/>
        <v>60.149346439999995</v>
      </c>
      <c r="K87" s="2">
        <f t="shared" si="90"/>
        <v>3.0074673219999997</v>
      </c>
      <c r="L87">
        <v>10</v>
      </c>
      <c r="M87">
        <v>6</v>
      </c>
      <c r="N87">
        <v>0.83384899999999995</v>
      </c>
      <c r="O87">
        <v>0.2</v>
      </c>
      <c r="P87">
        <v>0.1</v>
      </c>
      <c r="Q87">
        <v>1</v>
      </c>
      <c r="R87" s="52">
        <f t="shared" si="91"/>
        <v>-5.1373156262915984E-6</v>
      </c>
      <c r="S87" s="52">
        <f t="shared" si="92"/>
        <v>3.7020017396016951E-4</v>
      </c>
      <c r="T87" s="19">
        <f t="shared" si="93"/>
        <v>0.99989875348902779</v>
      </c>
      <c r="U87" s="19">
        <f t="shared" si="94"/>
        <v>1.0007201194205511</v>
      </c>
      <c r="V87" s="52">
        <f t="shared" si="99"/>
        <v>1.9009563459605107E-4</v>
      </c>
      <c r="W87" s="19">
        <f t="shared" si="95"/>
        <v>0.99989361617340144</v>
      </c>
      <c r="X87" s="2">
        <f t="shared" si="96"/>
        <v>-0.10638382659855505</v>
      </c>
      <c r="Y87" s="2">
        <f t="shared" si="97"/>
        <v>0.18010453936411844</v>
      </c>
      <c r="Z87" s="51">
        <f t="shared" si="98"/>
        <v>3.6995969407883182E-3</v>
      </c>
      <c r="AA87" s="51">
        <f t="shared" si="100"/>
        <v>8.4136761183849218E-4</v>
      </c>
    </row>
    <row r="88" spans="1:31" x14ac:dyDescent="0.2">
      <c r="C88">
        <v>0.50079925702000005</v>
      </c>
      <c r="D88" s="18">
        <v>-1.12325572E-5</v>
      </c>
      <c r="E88" s="18">
        <v>2.7698813000000001E-4</v>
      </c>
      <c r="F88" s="18">
        <v>3.1052770551597898E-6</v>
      </c>
      <c r="G88" s="18">
        <v>1.69569016091978E-6</v>
      </c>
      <c r="H88" s="18">
        <v>1.1512699439015199E-5</v>
      </c>
      <c r="I88" s="2">
        <v>20.69</v>
      </c>
      <c r="J88" s="17">
        <f t="shared" si="89"/>
        <v>100.15985140400001</v>
      </c>
      <c r="K88" s="2">
        <f t="shared" si="90"/>
        <v>5.0079925701999999</v>
      </c>
      <c r="L88">
        <v>10</v>
      </c>
      <c r="M88">
        <v>6</v>
      </c>
      <c r="N88">
        <v>0.83384899999999995</v>
      </c>
      <c r="O88">
        <v>0.2</v>
      </c>
      <c r="P88">
        <v>0.1</v>
      </c>
      <c r="Q88">
        <v>1</v>
      </c>
      <c r="R88" s="52">
        <f t="shared" si="91"/>
        <v>-2.6898468321633893E-5</v>
      </c>
      <c r="S88" s="52">
        <f t="shared" si="92"/>
        <v>6.6330011124035159E-4</v>
      </c>
      <c r="T88" s="19">
        <f t="shared" si="93"/>
        <v>0.99989875348902779</v>
      </c>
      <c r="U88" s="19">
        <f t="shared" si="94"/>
        <v>1.0007201194205511</v>
      </c>
      <c r="V88" s="52">
        <f t="shared" si="99"/>
        <v>1.9009563459605107E-4</v>
      </c>
      <c r="W88" s="19">
        <f t="shared" si="95"/>
        <v>0.99987185502070619</v>
      </c>
      <c r="X88" s="2">
        <f t="shared" si="96"/>
        <v>-0.12814497929380941</v>
      </c>
      <c r="Y88" s="2">
        <f t="shared" si="97"/>
        <v>0.47320447664430049</v>
      </c>
      <c r="Z88" s="51">
        <f t="shared" si="98"/>
        <v>1.1602827685936736E-2</v>
      </c>
      <c r="AA88" s="51">
        <f t="shared" si="100"/>
        <v>2.5330738152630908E-3</v>
      </c>
    </row>
    <row r="89" spans="1:31" x14ac:dyDescent="0.2">
      <c r="C89">
        <v>0.60080630769999999</v>
      </c>
      <c r="D89" s="18">
        <v>-8.6677614E-6</v>
      </c>
      <c r="E89">
        <v>3.4174721000000002E-4</v>
      </c>
      <c r="F89" s="18">
        <v>5.27172732838005E-6</v>
      </c>
      <c r="G89" s="18">
        <v>4.4936063396686197E-6</v>
      </c>
      <c r="H89" s="18">
        <v>1.9410633310788701E-5</v>
      </c>
      <c r="I89" s="2">
        <v>20.7</v>
      </c>
      <c r="J89" s="17">
        <f t="shared" si="89"/>
        <v>120.16126154</v>
      </c>
      <c r="K89" s="2">
        <f t="shared" si="90"/>
        <v>6.0080630769999992</v>
      </c>
      <c r="L89">
        <v>10</v>
      </c>
      <c r="M89">
        <v>6</v>
      </c>
      <c r="N89">
        <v>0.83384899999999995</v>
      </c>
      <c r="O89">
        <v>0.2</v>
      </c>
      <c r="P89">
        <v>0.1</v>
      </c>
      <c r="Q89">
        <v>1</v>
      </c>
      <c r="R89" s="52">
        <f t="shared" si="91"/>
        <v>-1.7301551588611231E-5</v>
      </c>
      <c r="S89" s="52">
        <f t="shared" si="92"/>
        <v>6.8215502379645064E-4</v>
      </c>
      <c r="T89" s="19">
        <f t="shared" si="93"/>
        <v>0.99989875348902779</v>
      </c>
      <c r="U89" s="19">
        <f t="shared" si="94"/>
        <v>1.0007201194205511</v>
      </c>
      <c r="V89" s="52">
        <f t="shared" si="99"/>
        <v>1.9009563459605107E-4</v>
      </c>
      <c r="W89" s="19">
        <f t="shared" si="95"/>
        <v>0.99988145193743916</v>
      </c>
      <c r="X89" s="2">
        <f t="shared" si="96"/>
        <v>-0.11854806256084149</v>
      </c>
      <c r="Y89" s="2">
        <f t="shared" si="97"/>
        <v>0.49205938920039954</v>
      </c>
      <c r="Z89" s="51">
        <f t="shared" si="98"/>
        <v>1.7032691289804964E-2</v>
      </c>
      <c r="AA89" s="51">
        <f t="shared" si="100"/>
        <v>3.6953496286134977E-3</v>
      </c>
    </row>
    <row r="90" spans="1:31" x14ac:dyDescent="0.2">
      <c r="B90" s="122" t="s">
        <v>51</v>
      </c>
      <c r="C90" s="122">
        <v>0.30166156935999999</v>
      </c>
      <c r="D90" s="123">
        <v>4.41822E-6</v>
      </c>
      <c r="E90" s="123">
        <v>1.1866330000000001E-4</v>
      </c>
      <c r="F90" s="123">
        <v>9.772919651167579E-7</v>
      </c>
      <c r="G90" s="123">
        <v>0</v>
      </c>
      <c r="H90" s="123">
        <v>1.0413361272903201E-6</v>
      </c>
      <c r="I90" s="124">
        <v>20.71</v>
      </c>
      <c r="J90" s="125">
        <f>100*C90/0.5</f>
        <v>60.332313872</v>
      </c>
      <c r="K90" s="124">
        <f>C90/P90</f>
        <v>3.0166156935999999</v>
      </c>
      <c r="L90" s="122">
        <v>10</v>
      </c>
      <c r="M90" s="122">
        <v>6</v>
      </c>
      <c r="N90" s="122">
        <v>0.83384899999999995</v>
      </c>
      <c r="O90" s="126">
        <v>0.2</v>
      </c>
      <c r="P90" s="126">
        <v>0.1</v>
      </c>
      <c r="Q90" s="126">
        <v>1</v>
      </c>
      <c r="R90" s="52">
        <f>Q90*D90/C90/N90</f>
        <v>1.756466773907491E-5</v>
      </c>
      <c r="S90" s="52">
        <f>Q90*E90/C90/N90</f>
        <v>4.7174686577901683E-4</v>
      </c>
      <c r="T90" s="19">
        <f>M90*N90*O90/(P90*U90*L90)</f>
        <v>0.99989875348902779</v>
      </c>
      <c r="U90" s="19">
        <f t="shared" si="94"/>
        <v>1.0007201194205511</v>
      </c>
      <c r="V90" s="52">
        <f t="shared" si="99"/>
        <v>1.9009563459605107E-4</v>
      </c>
      <c r="W90" s="19">
        <f>R90+T90</f>
        <v>0.99991631815676685</v>
      </c>
      <c r="X90" s="2">
        <f>1000*(W90-1)</f>
        <v>-8.3681843233152087E-2</v>
      </c>
      <c r="Y90" s="2">
        <f>1000*(S90-V90)</f>
        <v>0.28165123118296576</v>
      </c>
      <c r="Z90" t="s">
        <v>68</v>
      </c>
      <c r="AA90" t="s">
        <v>67</v>
      </c>
      <c r="AB90" t="s">
        <v>66</v>
      </c>
    </row>
    <row r="91" spans="1:31" x14ac:dyDescent="0.2">
      <c r="B91" s="164" t="s">
        <v>54</v>
      </c>
      <c r="C91" s="122">
        <v>0.30056997474000002</v>
      </c>
      <c r="D91" s="123">
        <v>-4.4279914000000103E-4</v>
      </c>
      <c r="E91" s="123">
        <v>1.8584934E-4</v>
      </c>
      <c r="F91" s="123">
        <v>6.6197004018263903E-6</v>
      </c>
      <c r="G91" s="123">
        <v>1.14180616586179E-6</v>
      </c>
      <c r="H91" s="123">
        <v>1.7398378385355299E-6</v>
      </c>
      <c r="I91" s="124">
        <v>20.71</v>
      </c>
      <c r="J91" s="125">
        <f>100*C91/0.5</f>
        <v>60.113994948000006</v>
      </c>
      <c r="K91" s="124">
        <f>C91/P91</f>
        <v>3.0056997474</v>
      </c>
      <c r="L91" s="122">
        <v>10</v>
      </c>
      <c r="M91" s="122">
        <v>6</v>
      </c>
      <c r="N91" s="122">
        <v>0.83384899999999995</v>
      </c>
      <c r="O91" s="126">
        <v>0.2</v>
      </c>
      <c r="P91" s="126">
        <v>0.1</v>
      </c>
      <c r="Q91" s="126">
        <v>1</v>
      </c>
      <c r="R91" s="52">
        <f>Q91*D91/C91/N91</f>
        <v>-1.7667445554687248E-3</v>
      </c>
      <c r="S91" s="52">
        <f>Q91*E91/C91/N91</f>
        <v>7.4152878793408482E-4</v>
      </c>
      <c r="T91" s="19">
        <f>M91*N91*O91/(P91*U91*L91)</f>
        <v>0.99989875348902779</v>
      </c>
      <c r="U91" s="19">
        <f>$AA$16</f>
        <v>1.0007201194205511</v>
      </c>
      <c r="V91" s="52">
        <f t="shared" si="99"/>
        <v>1.9009563459605107E-4</v>
      </c>
      <c r="W91" s="19">
        <f>R91+T91</f>
        <v>0.99813200893355902</v>
      </c>
      <c r="X91" s="2">
        <f>1000*(W91-1)</f>
        <v>-1.8679910664409771</v>
      </c>
      <c r="Y91" s="2">
        <f>1000*(S91-V91)</f>
        <v>0.55143315333803367</v>
      </c>
      <c r="AA91" s="46">
        <f>100*-(X91-X90)/1000</f>
        <v>0.1784309223207825</v>
      </c>
      <c r="AB91" s="46">
        <f>100*-(Y91-Y90)/1000</f>
        <v>-2.6978192215506791E-2</v>
      </c>
    </row>
    <row r="92" spans="1:31" x14ac:dyDescent="0.2">
      <c r="B92" s="164"/>
      <c r="C92" s="122">
        <v>0.29568696841999997</v>
      </c>
      <c r="D92" s="123">
        <v>3.0994563799999997E-8</v>
      </c>
      <c r="E92" s="123">
        <v>1.01424579E-4</v>
      </c>
      <c r="F92" s="123">
        <v>2.4008454267948699E-6</v>
      </c>
      <c r="G92" s="123">
        <v>8.7653040871294099E-8</v>
      </c>
      <c r="H92" s="123">
        <v>1.29180040906442E-6</v>
      </c>
      <c r="I92" s="124">
        <v>20.71</v>
      </c>
      <c r="J92" s="125">
        <f>100*C92/0.5</f>
        <v>59.137393683999996</v>
      </c>
      <c r="K92" s="124">
        <f>C92/P92</f>
        <v>2.9568696841999995</v>
      </c>
      <c r="L92" s="122">
        <v>10</v>
      </c>
      <c r="M92" s="122">
        <v>6</v>
      </c>
      <c r="N92" s="122">
        <v>0.83384899999999995</v>
      </c>
      <c r="O92" s="126">
        <v>0.2</v>
      </c>
      <c r="P92" s="126">
        <v>0.1</v>
      </c>
      <c r="Q92" s="126">
        <v>1</v>
      </c>
      <c r="R92" s="52">
        <f>Q92*D92/C92/N92</f>
        <v>1.2570887269195298E-7</v>
      </c>
      <c r="S92" s="52">
        <f>Q92*E92/C92/N92</f>
        <v>4.113614752450857E-4</v>
      </c>
      <c r="T92" s="19">
        <f>M92*N92*O92/(P92*U92*L92)</f>
        <v>0.99989875348902779</v>
      </c>
      <c r="U92" s="19">
        <f>$AA$16</f>
        <v>1.0007201194205511</v>
      </c>
      <c r="V92" s="52">
        <f t="shared" si="99"/>
        <v>1.9009563459605107E-4</v>
      </c>
      <c r="W92" s="19">
        <f>R92+T92</f>
        <v>0.99989887919790044</v>
      </c>
      <c r="X92" s="2">
        <f>1000*(W92-1)</f>
        <v>-0.10112080209956353</v>
      </c>
      <c r="Y92" s="2">
        <f>1000*(S92-V92)</f>
        <v>0.22126584064903462</v>
      </c>
      <c r="AA92" s="46"/>
      <c r="AB92" s="46"/>
    </row>
    <row r="93" spans="1:31" x14ac:dyDescent="0.2">
      <c r="R93" s="52"/>
      <c r="S93" s="52"/>
      <c r="T93" s="19"/>
      <c r="U93" s="19"/>
      <c r="V93" s="52"/>
      <c r="W93" s="19"/>
      <c r="X93" s="2"/>
      <c r="Y93" s="2"/>
    </row>
    <row r="94" spans="1:31" x14ac:dyDescent="0.2">
      <c r="A94">
        <f>ROW()</f>
        <v>94</v>
      </c>
      <c r="B94" s="45" t="s">
        <v>215</v>
      </c>
      <c r="R94" s="50"/>
      <c r="S94" s="50"/>
      <c r="AB94" t="s">
        <v>64</v>
      </c>
    </row>
    <row r="95" spans="1:31" x14ac:dyDescent="0.2">
      <c r="A95">
        <f>ROW()</f>
        <v>95</v>
      </c>
      <c r="C95" s="5" t="str">
        <f>B99&amp;" range, "&amp;B101&amp;", vs shunts and 500 AT on "&amp;B103&amp;" range."</f>
        <v>30/5 range, l - 1200At(5A), vs shunts and 500 AT on 50/5 range.</v>
      </c>
      <c r="J95" s="5" t="s">
        <v>182</v>
      </c>
      <c r="R95" s="50"/>
      <c r="S95" s="50"/>
      <c r="AB95" t="s">
        <v>65</v>
      </c>
    </row>
    <row r="96" spans="1:31" x14ac:dyDescent="0.2">
      <c r="A96">
        <f>ROW()</f>
        <v>96</v>
      </c>
      <c r="B96" s="4">
        <v>43369</v>
      </c>
      <c r="R96" s="50"/>
      <c r="S96" s="50"/>
      <c r="AB96" t="s">
        <v>6</v>
      </c>
      <c r="AC96" t="s">
        <v>7</v>
      </c>
    </row>
    <row r="97" spans="1:31" x14ac:dyDescent="0.2">
      <c r="A97">
        <f>ROW()</f>
        <v>97</v>
      </c>
      <c r="B97" s="43" t="s">
        <v>51</v>
      </c>
      <c r="C97">
        <v>2.4716728223999999E-2</v>
      </c>
      <c r="D97" s="18">
        <v>-1.022691127E-7</v>
      </c>
      <c r="E97" s="18">
        <v>1.3078631E-5</v>
      </c>
      <c r="F97" s="18">
        <v>1.7767973212675301E-8</v>
      </c>
      <c r="G97" s="18">
        <v>9.6212884633275096E-8</v>
      </c>
      <c r="H97" s="18">
        <v>1.3283672511395301E-7</v>
      </c>
      <c r="I97" s="2">
        <v>20.73</v>
      </c>
      <c r="J97" s="17">
        <f t="shared" ref="J97:J103" si="101">100*C97/0.5</f>
        <v>4.9433456447999999</v>
      </c>
      <c r="K97" s="2">
        <f t="shared" ref="K97:K103" si="102">C97/P97</f>
        <v>0.24716728223999998</v>
      </c>
      <c r="L97">
        <v>10</v>
      </c>
      <c r="M97">
        <v>6</v>
      </c>
      <c r="N97">
        <v>0.83384899999999995</v>
      </c>
      <c r="O97">
        <v>0.2</v>
      </c>
      <c r="P97">
        <v>0.1</v>
      </c>
      <c r="Q97">
        <v>1</v>
      </c>
      <c r="R97" s="52">
        <f t="shared" ref="R97:R103" si="103">Q97*D97/C97/N97</f>
        <v>-4.9621066404647931E-6</v>
      </c>
      <c r="S97" s="52">
        <f t="shared" ref="S97:S103" si="104">Q97*E97/C97/N97</f>
        <v>6.3457636445582162E-4</v>
      </c>
      <c r="T97" s="19">
        <f t="shared" ref="T97:T103" si="105">M97*N97*O97/(P97*U97*L97)</f>
        <v>0.99989875348902779</v>
      </c>
      <c r="U97" s="19">
        <f t="shared" ref="U97:U103" si="106">$AA$16</f>
        <v>1.0007201194205511</v>
      </c>
      <c r="V97" s="52">
        <f>AA$17</f>
        <v>2.2561396482316382E-4</v>
      </c>
      <c r="W97" s="19">
        <f t="shared" ref="W97:W103" si="107">R97+T97</f>
        <v>0.99989379138238732</v>
      </c>
      <c r="X97" s="2">
        <f t="shared" ref="X97:X103" si="108">1000*(W97-1)</f>
        <v>-0.10620861761267975</v>
      </c>
      <c r="Y97" s="2">
        <f t="shared" ref="Y97:Y103" si="109">1000*(S97-V97)</f>
        <v>0.40896239963265785</v>
      </c>
      <c r="Z97" s="51">
        <f t="shared" ref="Z97:Z103" si="110">((C97*N97)^2/P97-$AB$10)*$Z$28*0.001</f>
        <v>-7.2823072059907733E-4</v>
      </c>
      <c r="AA97" s="51">
        <f>(C97^2/O97-$Z$10)*$AB$5*0.001</f>
        <v>-1.0641991506148568E-4</v>
      </c>
      <c r="AB97" s="2">
        <f t="shared" ref="AB97:AB103" si="111">0.5*(X97+X105)+AA97-Z97</f>
        <v>-0.11771407122421439</v>
      </c>
      <c r="AC97" s="2">
        <f t="shared" ref="AC97:AC103" si="112">0.5*(Y97+Y105)</f>
        <v>0.43368156854481488</v>
      </c>
      <c r="AD97" s="2"/>
      <c r="AE97" s="2"/>
    </row>
    <row r="98" spans="1:31" x14ac:dyDescent="0.2">
      <c r="A98">
        <f>ROW()</f>
        <v>98</v>
      </c>
      <c r="B98" s="5" t="s">
        <v>110</v>
      </c>
      <c r="C98">
        <v>5.0558376362000002E-2</v>
      </c>
      <c r="D98" s="18">
        <v>-7.4183963500000003E-7</v>
      </c>
      <c r="E98" s="18">
        <v>2.5260036000000001E-5</v>
      </c>
      <c r="F98" s="18">
        <v>1.10031921959866E-8</v>
      </c>
      <c r="G98" s="18">
        <v>2.6832134638457802E-7</v>
      </c>
      <c r="H98" s="18">
        <v>3.3893918392537897E-8</v>
      </c>
      <c r="I98" s="2">
        <v>20.73</v>
      </c>
      <c r="J98" s="17">
        <f t="shared" si="101"/>
        <v>10.111675272399999</v>
      </c>
      <c r="K98" s="2">
        <f t="shared" si="102"/>
        <v>0.50558376362000002</v>
      </c>
      <c r="L98">
        <v>10</v>
      </c>
      <c r="M98">
        <v>6</v>
      </c>
      <c r="N98">
        <v>0.83384899999999995</v>
      </c>
      <c r="O98">
        <v>0.2</v>
      </c>
      <c r="P98">
        <v>0.1</v>
      </c>
      <c r="Q98">
        <v>1</v>
      </c>
      <c r="R98" s="52">
        <f t="shared" si="103"/>
        <v>-1.7596629999592806E-5</v>
      </c>
      <c r="S98" s="52">
        <f t="shared" si="104"/>
        <v>5.9917465486781954E-4</v>
      </c>
      <c r="T98" s="19">
        <f t="shared" si="105"/>
        <v>0.99989875348902779</v>
      </c>
      <c r="U98" s="19">
        <f t="shared" si="106"/>
        <v>1.0007201194205511</v>
      </c>
      <c r="V98" s="52">
        <f t="shared" ref="V98:V103" si="113">AA$17</f>
        <v>2.2561396482316382E-4</v>
      </c>
      <c r="W98" s="19">
        <f t="shared" si="107"/>
        <v>0.99988115685902823</v>
      </c>
      <c r="X98" s="2">
        <f t="shared" si="108"/>
        <v>-0.1188431409717694</v>
      </c>
      <c r="Y98" s="2">
        <f t="shared" si="109"/>
        <v>0.37356069004465575</v>
      </c>
      <c r="Z98" s="51">
        <f t="shared" si="110"/>
        <v>-6.32356078422871E-4</v>
      </c>
      <c r="AA98" s="51">
        <f t="shared" ref="AA98:AA103" si="114">(C98^2/O98-$Z$10)*$AB$5*0.001</f>
        <v>-8.5897709377415635E-5</v>
      </c>
      <c r="AB98" s="2">
        <f t="shared" si="111"/>
        <v>-0.12402857279648481</v>
      </c>
      <c r="AC98" s="2">
        <f t="shared" si="112"/>
        <v>0.40049085781603683</v>
      </c>
      <c r="AD98" s="2"/>
      <c r="AE98" s="2"/>
    </row>
    <row r="99" spans="1:31" x14ac:dyDescent="0.2">
      <c r="A99">
        <f>ROW()</f>
        <v>99</v>
      </c>
      <c r="B99" s="64" t="s">
        <v>113</v>
      </c>
      <c r="C99">
        <v>0.10016200984</v>
      </c>
      <c r="D99" s="18">
        <v>-2.1572371000000002E-6</v>
      </c>
      <c r="E99" s="18">
        <v>4.7775794000000001E-5</v>
      </c>
      <c r="F99" s="18">
        <v>2.1722774754613999E-8</v>
      </c>
      <c r="G99" s="18">
        <v>8.6250487202044199E-8</v>
      </c>
      <c r="H99" s="18">
        <v>3.02815367119966E-7</v>
      </c>
      <c r="I99" s="2">
        <v>20.73</v>
      </c>
      <c r="J99" s="17">
        <f t="shared" si="101"/>
        <v>20.032401967999999</v>
      </c>
      <c r="K99" s="2">
        <f t="shared" si="102"/>
        <v>1.0016200983999999</v>
      </c>
      <c r="L99">
        <v>10</v>
      </c>
      <c r="M99">
        <v>6</v>
      </c>
      <c r="N99">
        <v>0.83384899999999995</v>
      </c>
      <c r="O99">
        <v>0.2</v>
      </c>
      <c r="P99">
        <v>0.1</v>
      </c>
      <c r="Q99">
        <v>1</v>
      </c>
      <c r="R99" s="52">
        <f t="shared" si="103"/>
        <v>-2.582899081978044E-5</v>
      </c>
      <c r="S99" s="52">
        <f t="shared" si="104"/>
        <v>5.7202824141756197E-4</v>
      </c>
      <c r="T99" s="19">
        <f t="shared" si="105"/>
        <v>0.99989875348902779</v>
      </c>
      <c r="U99" s="19">
        <f t="shared" si="106"/>
        <v>1.0007201194205511</v>
      </c>
      <c r="V99" s="52">
        <f t="shared" si="113"/>
        <v>2.2561396482316382E-4</v>
      </c>
      <c r="W99" s="19">
        <f t="shared" si="107"/>
        <v>0.99987292449820797</v>
      </c>
      <c r="X99" s="2">
        <f t="shared" si="108"/>
        <v>-0.12707550179202887</v>
      </c>
      <c r="Y99" s="2">
        <f t="shared" si="109"/>
        <v>0.34641427659439816</v>
      </c>
      <c r="Z99" s="51">
        <f t="shared" si="110"/>
        <v>-2.6387289908555005E-4</v>
      </c>
      <c r="AA99" s="51">
        <f t="shared" si="114"/>
        <v>-7.022968091994857E-6</v>
      </c>
      <c r="AB99" s="2">
        <f t="shared" si="111"/>
        <v>-0.14012136038698825</v>
      </c>
      <c r="AC99" s="2">
        <f t="shared" si="112"/>
        <v>0.35792396895232886</v>
      </c>
      <c r="AD99" s="2"/>
      <c r="AE99" s="2"/>
    </row>
    <row r="100" spans="1:31" x14ac:dyDescent="0.2">
      <c r="A100">
        <f>ROW()</f>
        <v>100</v>
      </c>
      <c r="B100" s="67" t="s">
        <v>112</v>
      </c>
      <c r="C100">
        <v>0.20006912714</v>
      </c>
      <c r="D100" s="18">
        <v>-6.2286023000000104E-6</v>
      </c>
      <c r="E100" s="18">
        <v>8.9896355999999995E-5</v>
      </c>
      <c r="F100" s="18">
        <v>5.6151627063167901E-8</v>
      </c>
      <c r="G100" s="18">
        <v>2.3651279747827701E-8</v>
      </c>
      <c r="H100" s="18">
        <v>3.4110380590079402E-8</v>
      </c>
      <c r="I100" s="2">
        <v>20.73</v>
      </c>
      <c r="J100" s="17">
        <f t="shared" si="101"/>
        <v>40.013825427999997</v>
      </c>
      <c r="K100" s="2">
        <f t="shared" si="102"/>
        <v>2.0006912714</v>
      </c>
      <c r="L100">
        <v>10</v>
      </c>
      <c r="M100">
        <v>6</v>
      </c>
      <c r="N100">
        <v>0.83384899999999995</v>
      </c>
      <c r="O100">
        <v>0.2</v>
      </c>
      <c r="P100">
        <v>0.1</v>
      </c>
      <c r="Q100">
        <v>1</v>
      </c>
      <c r="R100" s="52">
        <f t="shared" si="103"/>
        <v>-3.7335598031063832E-5</v>
      </c>
      <c r="S100" s="52">
        <f t="shared" si="104"/>
        <v>5.388583265419607E-4</v>
      </c>
      <c r="T100" s="19">
        <f t="shared" si="105"/>
        <v>0.99989875348902779</v>
      </c>
      <c r="U100" s="19">
        <f t="shared" si="106"/>
        <v>1.0007201194205511</v>
      </c>
      <c r="V100" s="52">
        <f t="shared" si="113"/>
        <v>2.2561396482316382E-4</v>
      </c>
      <c r="W100" s="19">
        <f t="shared" si="107"/>
        <v>0.9998614178909967</v>
      </c>
      <c r="X100" s="2">
        <f t="shared" si="108"/>
        <v>-0.13858210900330459</v>
      </c>
      <c r="Y100" s="2">
        <f t="shared" si="109"/>
        <v>0.31324436171879688</v>
      </c>
      <c r="Z100" s="51">
        <f t="shared" si="110"/>
        <v>1.2145011781472079E-3</v>
      </c>
      <c r="AA100" s="51">
        <f t="shared" si="114"/>
        <v>3.0942668118239263E-4</v>
      </c>
      <c r="AB100" s="2">
        <f t="shared" si="111"/>
        <v>-0.15307399270753602</v>
      </c>
      <c r="AC100" s="2">
        <f t="shared" si="112"/>
        <v>0.3263706140049244</v>
      </c>
      <c r="AD100" s="2"/>
      <c r="AE100" s="2"/>
    </row>
    <row r="101" spans="1:31" ht="13.5" x14ac:dyDescent="0.25">
      <c r="A101">
        <f>ROW()</f>
        <v>101</v>
      </c>
      <c r="B101" s="163" t="s">
        <v>181</v>
      </c>
      <c r="C101">
        <v>0.3011010449</v>
      </c>
      <c r="D101" s="18">
        <v>-9.3119431000000006E-6</v>
      </c>
      <c r="E101" s="18">
        <v>1.3942089000000001E-4</v>
      </c>
      <c r="F101" s="18">
        <v>2.8372890923353702E-6</v>
      </c>
      <c r="G101" s="18">
        <v>4.5163311643345E-7</v>
      </c>
      <c r="H101" s="18">
        <v>1.1773392790100901E-6</v>
      </c>
      <c r="I101" s="2">
        <v>20.73</v>
      </c>
      <c r="J101" s="17">
        <f t="shared" si="101"/>
        <v>60.220208980000002</v>
      </c>
      <c r="K101" s="2">
        <f t="shared" si="102"/>
        <v>3.011010449</v>
      </c>
      <c r="L101">
        <v>10</v>
      </c>
      <c r="M101">
        <v>6</v>
      </c>
      <c r="N101">
        <v>0.83384899999999995</v>
      </c>
      <c r="O101">
        <v>0.2</v>
      </c>
      <c r="P101">
        <v>0.1</v>
      </c>
      <c r="Q101">
        <v>1</v>
      </c>
      <c r="R101" s="52">
        <f t="shared" si="103"/>
        <v>-3.7088616957128927E-5</v>
      </c>
      <c r="S101" s="52">
        <f t="shared" si="104"/>
        <v>5.553006423580925E-4</v>
      </c>
      <c r="T101" s="19">
        <f t="shared" si="105"/>
        <v>0.99989875348902779</v>
      </c>
      <c r="U101" s="19">
        <f t="shared" si="106"/>
        <v>1.0007201194205511</v>
      </c>
      <c r="V101" s="52">
        <f t="shared" si="113"/>
        <v>2.2561396482316382E-4</v>
      </c>
      <c r="W101" s="19">
        <f t="shared" si="107"/>
        <v>0.99986166487207062</v>
      </c>
      <c r="X101" s="2">
        <f t="shared" si="108"/>
        <v>-0.13833512792937874</v>
      </c>
      <c r="Y101" s="2">
        <f t="shared" si="109"/>
        <v>0.3296866775349287</v>
      </c>
      <c r="Z101" s="51">
        <f t="shared" si="110"/>
        <v>3.7101070096131426E-3</v>
      </c>
      <c r="AA101" s="51">
        <f t="shared" si="114"/>
        <v>8.4361731821841674E-4</v>
      </c>
      <c r="AB101" s="2">
        <f t="shared" si="111"/>
        <v>-0.15509891040855242</v>
      </c>
      <c r="AC101" s="2">
        <f t="shared" si="112"/>
        <v>0.32480356547861045</v>
      </c>
      <c r="AD101" s="2"/>
      <c r="AE101" s="2"/>
    </row>
    <row r="102" spans="1:31" x14ac:dyDescent="0.2">
      <c r="A102">
        <f>ROW()</f>
        <v>102</v>
      </c>
      <c r="B102" s="66" t="s">
        <v>111</v>
      </c>
      <c r="C102">
        <v>0.50237822472000004</v>
      </c>
      <c r="D102" s="18">
        <v>-1.0490202E-5</v>
      </c>
      <c r="E102">
        <v>3.4184584000000002E-4</v>
      </c>
      <c r="F102" s="18">
        <v>2.71745840068431E-6</v>
      </c>
      <c r="G102" s="18">
        <v>2.9650625625778301E-9</v>
      </c>
      <c r="H102" s="18">
        <v>2.8499497864601101E-5</v>
      </c>
      <c r="I102" s="2">
        <v>20.73</v>
      </c>
      <c r="J102" s="17">
        <f t="shared" si="101"/>
        <v>100.47564494400001</v>
      </c>
      <c r="K102" s="2">
        <f t="shared" si="102"/>
        <v>5.0237822471999998</v>
      </c>
      <c r="L102">
        <v>10</v>
      </c>
      <c r="M102">
        <v>6</v>
      </c>
      <c r="N102">
        <v>0.83384899999999995</v>
      </c>
      <c r="O102">
        <v>0.2</v>
      </c>
      <c r="P102">
        <v>0.1</v>
      </c>
      <c r="Q102">
        <v>1</v>
      </c>
      <c r="R102" s="52">
        <f t="shared" si="103"/>
        <v>-2.5041805145597E-5</v>
      </c>
      <c r="S102" s="52">
        <f t="shared" si="104"/>
        <v>8.1604118920807519E-4</v>
      </c>
      <c r="T102" s="19">
        <f t="shared" si="105"/>
        <v>0.99989875348902779</v>
      </c>
      <c r="U102" s="19">
        <f t="shared" si="106"/>
        <v>1.0007201194205511</v>
      </c>
      <c r="V102" s="52">
        <f t="shared" si="113"/>
        <v>2.2561396482316382E-4</v>
      </c>
      <c r="W102" s="19">
        <f t="shared" si="107"/>
        <v>0.99987371168388217</v>
      </c>
      <c r="X102" s="2">
        <f t="shared" si="108"/>
        <v>-0.12628831611782854</v>
      </c>
      <c r="Y102" s="2">
        <f t="shared" si="109"/>
        <v>0.59042722438491135</v>
      </c>
      <c r="Z102" s="51">
        <f t="shared" si="110"/>
        <v>1.1680897510011584E-2</v>
      </c>
      <c r="AA102" s="51">
        <f t="shared" si="114"/>
        <v>2.5497848553360071E-3</v>
      </c>
      <c r="AB102" s="2">
        <f t="shared" si="111"/>
        <v>-0.15294387097793405</v>
      </c>
      <c r="AC102" s="2">
        <f t="shared" si="112"/>
        <v>0.69621106623487827</v>
      </c>
      <c r="AD102" s="2"/>
      <c r="AE102" s="2"/>
    </row>
    <row r="103" spans="1:31" x14ac:dyDescent="0.2">
      <c r="A103">
        <f>ROW()</f>
        <v>103</v>
      </c>
      <c r="B103" s="65" t="s">
        <v>114</v>
      </c>
      <c r="C103">
        <v>0.60116460236000002</v>
      </c>
      <c r="D103" s="18">
        <v>-6.3294516999999897E-6</v>
      </c>
      <c r="E103">
        <v>5.5334106999999999E-4</v>
      </c>
      <c r="F103" s="18">
        <v>5.2794693767995897E-6</v>
      </c>
      <c r="G103" s="18">
        <v>2.0055962963912001E-6</v>
      </c>
      <c r="H103" s="18">
        <v>2.40528483395439E-5</v>
      </c>
      <c r="I103" s="2">
        <v>20.73</v>
      </c>
      <c r="J103" s="17">
        <f t="shared" si="101"/>
        <v>120.232920472</v>
      </c>
      <c r="K103" s="2">
        <f t="shared" si="102"/>
        <v>6.0116460236</v>
      </c>
      <c r="L103">
        <v>10</v>
      </c>
      <c r="M103">
        <v>6</v>
      </c>
      <c r="N103">
        <v>0.83384899999999995</v>
      </c>
      <c r="O103">
        <v>0.2</v>
      </c>
      <c r="P103">
        <v>0.1</v>
      </c>
      <c r="Q103">
        <v>1</v>
      </c>
      <c r="R103" s="52">
        <f t="shared" si="103"/>
        <v>-1.2626566699215002E-5</v>
      </c>
      <c r="S103" s="52">
        <f t="shared" si="104"/>
        <v>1.1038551613830956E-3</v>
      </c>
      <c r="T103" s="19">
        <f t="shared" si="105"/>
        <v>0.99989875348902779</v>
      </c>
      <c r="U103" s="19">
        <f t="shared" si="106"/>
        <v>1.0007201194205511</v>
      </c>
      <c r="V103" s="52">
        <f t="shared" si="113"/>
        <v>2.2561396482316382E-4</v>
      </c>
      <c r="W103" s="19">
        <f t="shared" si="107"/>
        <v>0.99988612692232859</v>
      </c>
      <c r="X103" s="2">
        <f t="shared" si="108"/>
        <v>-0.11387307767141142</v>
      </c>
      <c r="Y103" s="2">
        <f t="shared" si="109"/>
        <v>0.87824119655993182</v>
      </c>
      <c r="Z103" s="51">
        <f t="shared" si="110"/>
        <v>1.7053917207323299E-2</v>
      </c>
      <c r="AA103" s="51">
        <f t="shared" si="114"/>
        <v>3.6998930890661994E-3</v>
      </c>
      <c r="AB103" s="2">
        <f t="shared" si="111"/>
        <v>-0.13874078883483004</v>
      </c>
      <c r="AC103" s="2">
        <f t="shared" si="112"/>
        <v>0.83086667708452588</v>
      </c>
      <c r="AD103" s="2"/>
      <c r="AE103" s="2"/>
    </row>
    <row r="104" spans="1:31" x14ac:dyDescent="0.2">
      <c r="A104">
        <f>ROW()</f>
        <v>104</v>
      </c>
      <c r="R104" s="52"/>
      <c r="S104" s="52"/>
      <c r="U104" s="19"/>
      <c r="V104" s="52"/>
    </row>
    <row r="105" spans="1:31" x14ac:dyDescent="0.2">
      <c r="A105">
        <f>ROW()</f>
        <v>105</v>
      </c>
      <c r="B105" s="43" t="s">
        <v>52</v>
      </c>
      <c r="C105">
        <v>2.4976080758000001E-2</v>
      </c>
      <c r="D105" s="18">
        <v>-6.0847383000000002E-7</v>
      </c>
      <c r="E105" s="18">
        <v>1.3505767E-5</v>
      </c>
      <c r="F105" s="18">
        <v>1.8099335093798099E-8</v>
      </c>
      <c r="G105" s="18">
        <v>9.7463225957389203E-8</v>
      </c>
      <c r="H105" s="18">
        <v>6.7487923445606101E-8</v>
      </c>
      <c r="I105" s="2">
        <v>20.66</v>
      </c>
      <c r="J105" s="17">
        <f t="shared" ref="J105:J111" si="115">100*C105/0.5</f>
        <v>4.9952161516000002</v>
      </c>
      <c r="K105" s="2">
        <f t="shared" ref="K105:K111" si="116">C105/P105</f>
        <v>0.24976080757999999</v>
      </c>
      <c r="L105">
        <v>10</v>
      </c>
      <c r="M105">
        <v>6</v>
      </c>
      <c r="N105">
        <v>0.83384899999999995</v>
      </c>
      <c r="O105">
        <v>0.2</v>
      </c>
      <c r="P105">
        <v>0.1</v>
      </c>
      <c r="Q105">
        <v>1</v>
      </c>
      <c r="R105" s="52">
        <f t="shared" ref="R105:R111" si="117">Q105*D105/C105/N105</f>
        <v>-2.9216635474624131E-5</v>
      </c>
      <c r="S105" s="52">
        <f t="shared" ref="S105:S111" si="118">Q105*E105/C105/N105</f>
        <v>6.4849637205302308E-4</v>
      </c>
      <c r="T105" s="19">
        <f t="shared" ref="T105:T111" si="119">M105*N105*O105/(P105*U105*L105)</f>
        <v>0.99989875348902779</v>
      </c>
      <c r="U105" s="19">
        <f t="shared" ref="U105:U112" si="120">$AA$16</f>
        <v>1.0007201194205511</v>
      </c>
      <c r="V105" s="52">
        <f>$AA$26</f>
        <v>1.9009563459605107E-4</v>
      </c>
      <c r="W105" s="19">
        <f t="shared" ref="W105:W111" si="121">R105+T105</f>
        <v>0.99986953685355318</v>
      </c>
      <c r="X105" s="2">
        <f t="shared" ref="X105:X111" si="122">1000*(W105-1)</f>
        <v>-0.13046314644682422</v>
      </c>
      <c r="Y105" s="2">
        <f t="shared" ref="Y105:Y111" si="123">1000*(S105-V105)</f>
        <v>0.45840073745697196</v>
      </c>
    </row>
    <row r="106" spans="1:31" x14ac:dyDescent="0.2">
      <c r="A106">
        <f>ROW()</f>
        <v>106</v>
      </c>
      <c r="C106">
        <v>5.0348254167999998E-2</v>
      </c>
      <c r="D106" s="18">
        <v>-1.2200386E-6</v>
      </c>
      <c r="E106" s="18">
        <v>2.5925104000000001E-5</v>
      </c>
      <c r="F106" s="18">
        <v>4.3931532991316598E-9</v>
      </c>
      <c r="G106" s="18">
        <v>1.5137781521755399E-7</v>
      </c>
      <c r="H106" s="18">
        <v>2.5969205337091102E-7</v>
      </c>
      <c r="I106" s="2">
        <v>20.66</v>
      </c>
      <c r="J106" s="17">
        <f t="shared" si="115"/>
        <v>10.069650833599999</v>
      </c>
      <c r="K106" s="2">
        <f t="shared" si="116"/>
        <v>0.50348254167999995</v>
      </c>
      <c r="L106">
        <v>10</v>
      </c>
      <c r="M106">
        <v>6</v>
      </c>
      <c r="N106">
        <v>0.83384899999999995</v>
      </c>
      <c r="O106">
        <v>0.2</v>
      </c>
      <c r="P106">
        <v>0.1</v>
      </c>
      <c r="Q106">
        <v>1</v>
      </c>
      <c r="R106" s="52">
        <f t="shared" si="117"/>
        <v>-2.9060410387048603E-5</v>
      </c>
      <c r="S106" s="52">
        <f t="shared" si="118"/>
        <v>6.1751666018346901E-4</v>
      </c>
      <c r="T106" s="19">
        <f t="shared" si="119"/>
        <v>0.99989875348902779</v>
      </c>
      <c r="U106" s="19">
        <f t="shared" si="120"/>
        <v>1.0007201194205511</v>
      </c>
      <c r="V106" s="52">
        <f t="shared" ref="V106:V114" si="124">$AA$26</f>
        <v>1.9009563459605107E-4</v>
      </c>
      <c r="W106" s="19">
        <f t="shared" si="121"/>
        <v>0.99986969307864071</v>
      </c>
      <c r="X106" s="2">
        <f t="shared" si="122"/>
        <v>-0.13030692135929112</v>
      </c>
      <c r="Y106" s="2">
        <f t="shared" si="123"/>
        <v>0.4274210255874179</v>
      </c>
    </row>
    <row r="107" spans="1:31" x14ac:dyDescent="0.2">
      <c r="A107">
        <f>ROW()</f>
        <v>107</v>
      </c>
      <c r="C107">
        <v>0.10063986782000001</v>
      </c>
      <c r="D107" s="18">
        <v>-4.4002144000000004E-6</v>
      </c>
      <c r="E107" s="18">
        <v>4.6954832999999997E-5</v>
      </c>
      <c r="F107" s="18">
        <v>1.5165793344249001E-8</v>
      </c>
      <c r="G107" s="18">
        <v>3.4088093531906503E-8</v>
      </c>
      <c r="H107" s="18">
        <v>1.05994180080795E-7</v>
      </c>
      <c r="I107" s="2">
        <v>20.66</v>
      </c>
      <c r="J107" s="17">
        <f t="shared" si="115"/>
        <v>20.127973564000001</v>
      </c>
      <c r="K107" s="2">
        <f t="shared" si="116"/>
        <v>1.0063986782000001</v>
      </c>
      <c r="L107">
        <v>10</v>
      </c>
      <c r="M107">
        <v>6</v>
      </c>
      <c r="N107">
        <v>0.83384899999999995</v>
      </c>
      <c r="O107">
        <v>0.2</v>
      </c>
      <c r="P107">
        <v>0.1</v>
      </c>
      <c r="Q107">
        <v>1</v>
      </c>
      <c r="R107" s="52">
        <f t="shared" si="117"/>
        <v>-5.2434407871684038E-5</v>
      </c>
      <c r="S107" s="52">
        <f t="shared" si="118"/>
        <v>5.5952929590631065E-4</v>
      </c>
      <c r="T107" s="19">
        <f t="shared" si="119"/>
        <v>0.99989875348902779</v>
      </c>
      <c r="U107" s="19">
        <f t="shared" si="120"/>
        <v>1.0007201194205511</v>
      </c>
      <c r="V107" s="52">
        <f t="shared" si="124"/>
        <v>1.9009563459605107E-4</v>
      </c>
      <c r="W107" s="19">
        <f t="shared" si="121"/>
        <v>0.99984631908115607</v>
      </c>
      <c r="X107" s="2">
        <f t="shared" si="122"/>
        <v>-0.15368091884393476</v>
      </c>
      <c r="Y107" s="2">
        <f t="shared" si="123"/>
        <v>0.36943366131025956</v>
      </c>
    </row>
    <row r="108" spans="1:31" x14ac:dyDescent="0.2">
      <c r="A108">
        <f>ROW()</f>
        <v>108</v>
      </c>
      <c r="C108">
        <v>0.20028569632000001</v>
      </c>
      <c r="D108" s="18">
        <v>-1.0773557E-5</v>
      </c>
      <c r="E108" s="18">
        <v>8.8446199000000004E-5</v>
      </c>
      <c r="F108" s="18">
        <v>6.2230245544789699E-8</v>
      </c>
      <c r="G108" s="18">
        <v>1.8977632268278399E-7</v>
      </c>
      <c r="H108" s="18">
        <v>1.03033783289754E-7</v>
      </c>
      <c r="I108" s="2">
        <v>20.66</v>
      </c>
      <c r="J108" s="17">
        <f t="shared" si="115"/>
        <v>40.057139264</v>
      </c>
      <c r="K108" s="2">
        <f t="shared" si="116"/>
        <v>2.0028569632000002</v>
      </c>
      <c r="L108">
        <v>10</v>
      </c>
      <c r="M108">
        <v>6</v>
      </c>
      <c r="N108">
        <v>0.83384899999999995</v>
      </c>
      <c r="O108">
        <v>0.2</v>
      </c>
      <c r="P108">
        <v>0.1</v>
      </c>
      <c r="Q108">
        <v>1</v>
      </c>
      <c r="R108" s="52">
        <f t="shared" si="117"/>
        <v>-6.4509216445579018E-5</v>
      </c>
      <c r="S108" s="52">
        <f t="shared" si="118"/>
        <v>5.2959250088710302E-4</v>
      </c>
      <c r="T108" s="19">
        <f t="shared" si="119"/>
        <v>0.99989875348902779</v>
      </c>
      <c r="U108" s="19">
        <f t="shared" si="120"/>
        <v>1.0007201194205511</v>
      </c>
      <c r="V108" s="52">
        <f t="shared" si="124"/>
        <v>1.9009563459605107E-4</v>
      </c>
      <c r="W108" s="19">
        <f t="shared" si="121"/>
        <v>0.99983424427258216</v>
      </c>
      <c r="X108" s="2">
        <f t="shared" si="122"/>
        <v>-0.16575572741783784</v>
      </c>
      <c r="Y108" s="2">
        <f t="shared" si="123"/>
        <v>0.33949686629105191</v>
      </c>
    </row>
    <row r="109" spans="1:31" x14ac:dyDescent="0.2">
      <c r="A109">
        <f>ROW()</f>
        <v>109</v>
      </c>
      <c r="C109">
        <v>0.30013901195999998</v>
      </c>
      <c r="D109" s="18">
        <v>-1.6238359000000001E-5</v>
      </c>
      <c r="E109" s="18">
        <v>1.2764204E-4</v>
      </c>
      <c r="F109" s="18">
        <v>6.0591557108652996E-7</v>
      </c>
      <c r="G109" s="18">
        <v>2.2297779400424601E-7</v>
      </c>
      <c r="H109" s="18">
        <v>3.4985116835589601E-8</v>
      </c>
      <c r="I109" s="2">
        <v>20.66</v>
      </c>
      <c r="J109" s="17">
        <f t="shared" si="115"/>
        <v>60.027802391999998</v>
      </c>
      <c r="K109" s="2">
        <f t="shared" si="116"/>
        <v>3.0013901195999995</v>
      </c>
      <c r="L109">
        <v>10</v>
      </c>
      <c r="M109">
        <v>6</v>
      </c>
      <c r="N109">
        <v>0.83384899999999995</v>
      </c>
      <c r="O109">
        <v>0.2</v>
      </c>
      <c r="P109">
        <v>0.1</v>
      </c>
      <c r="Q109">
        <v>1</v>
      </c>
      <c r="R109" s="52">
        <f t="shared" si="117"/>
        <v>-6.4883202532781977E-5</v>
      </c>
      <c r="S109" s="52">
        <f t="shared" si="118"/>
        <v>5.1001608801834334E-4</v>
      </c>
      <c r="T109" s="19">
        <f t="shared" si="119"/>
        <v>0.99989875348902779</v>
      </c>
      <c r="U109" s="19">
        <f t="shared" si="120"/>
        <v>1.0007201194205511</v>
      </c>
      <c r="V109" s="52">
        <f t="shared" si="124"/>
        <v>1.9009563459605107E-4</v>
      </c>
      <c r="W109" s="19">
        <f t="shared" si="121"/>
        <v>0.99983387028649506</v>
      </c>
      <c r="X109" s="2">
        <f t="shared" si="122"/>
        <v>-0.16612971350493666</v>
      </c>
      <c r="Y109" s="2">
        <f t="shared" si="123"/>
        <v>0.31992045342229225</v>
      </c>
    </row>
    <row r="110" spans="1:31" x14ac:dyDescent="0.2">
      <c r="A110">
        <f>ROW()</f>
        <v>110</v>
      </c>
      <c r="C110">
        <v>0.50083572491999995</v>
      </c>
      <c r="D110" s="18">
        <v>-2.5095156E-5</v>
      </c>
      <c r="E110" s="18">
        <v>4.1431820999999997E-4</v>
      </c>
      <c r="F110" s="18">
        <v>4.4473642101820998E-6</v>
      </c>
      <c r="G110" s="18">
        <v>5.2329681851125398E-7</v>
      </c>
      <c r="H110" s="18">
        <v>2.4987074166974801E-5</v>
      </c>
      <c r="I110" s="2">
        <v>20.67</v>
      </c>
      <c r="J110" s="17">
        <f t="shared" si="115"/>
        <v>100.16714498399999</v>
      </c>
      <c r="K110" s="2">
        <f t="shared" si="116"/>
        <v>5.0083572491999995</v>
      </c>
      <c r="L110">
        <v>10</v>
      </c>
      <c r="M110">
        <v>6</v>
      </c>
      <c r="N110">
        <v>0.83384899999999995</v>
      </c>
      <c r="O110">
        <v>0.2</v>
      </c>
      <c r="P110">
        <v>0.1</v>
      </c>
      <c r="Q110">
        <v>1</v>
      </c>
      <c r="R110" s="52">
        <f t="shared" si="117"/>
        <v>-6.0090689556468568E-5</v>
      </c>
      <c r="S110" s="52">
        <f t="shared" si="118"/>
        <v>9.9209054268089626E-4</v>
      </c>
      <c r="T110" s="19">
        <f t="shared" si="119"/>
        <v>0.99989875348902779</v>
      </c>
      <c r="U110" s="19">
        <f t="shared" si="120"/>
        <v>1.0007201194205511</v>
      </c>
      <c r="V110" s="52">
        <f t="shared" si="124"/>
        <v>1.9009563459605107E-4</v>
      </c>
      <c r="W110" s="19">
        <f t="shared" si="121"/>
        <v>0.99983866279947131</v>
      </c>
      <c r="X110" s="2">
        <f t="shared" si="122"/>
        <v>-0.16133720052868838</v>
      </c>
      <c r="Y110" s="2">
        <f t="shared" si="123"/>
        <v>0.80199490808484519</v>
      </c>
    </row>
    <row r="111" spans="1:31" x14ac:dyDescent="0.2">
      <c r="A111">
        <f>ROW()</f>
        <v>111</v>
      </c>
      <c r="C111">
        <v>0.60209556911999995</v>
      </c>
      <c r="D111" s="18">
        <v>-1.7900303E-5</v>
      </c>
      <c r="E111">
        <v>4.8879635999999997E-4</v>
      </c>
      <c r="F111" s="18">
        <v>3.6657623856771498E-6</v>
      </c>
      <c r="G111" s="18">
        <v>5.1949477080236302E-7</v>
      </c>
      <c r="H111" s="18">
        <v>3.0725185185290599E-5</v>
      </c>
      <c r="I111" s="2">
        <v>20.67</v>
      </c>
      <c r="J111" s="17">
        <f t="shared" si="115"/>
        <v>120.41911382399999</v>
      </c>
      <c r="K111" s="2">
        <f t="shared" si="116"/>
        <v>6.0209556911999993</v>
      </c>
      <c r="L111">
        <v>10</v>
      </c>
      <c r="M111">
        <v>6</v>
      </c>
      <c r="N111">
        <v>0.83384899999999995</v>
      </c>
      <c r="O111">
        <v>0.2</v>
      </c>
      <c r="P111">
        <v>0.1</v>
      </c>
      <c r="Q111">
        <v>1</v>
      </c>
      <c r="R111" s="52">
        <f t="shared" si="117"/>
        <v>-3.5653940789521426E-5</v>
      </c>
      <c r="S111" s="52">
        <f t="shared" si="118"/>
        <v>9.7358779220517097E-4</v>
      </c>
      <c r="T111" s="19">
        <f t="shared" si="119"/>
        <v>0.99989875348902779</v>
      </c>
      <c r="U111" s="19">
        <f t="shared" si="120"/>
        <v>1.0007201194205511</v>
      </c>
      <c r="V111" s="52">
        <f t="shared" si="124"/>
        <v>1.9009563459605107E-4</v>
      </c>
      <c r="W111" s="19">
        <f t="shared" si="121"/>
        <v>0.99986309954823827</v>
      </c>
      <c r="X111" s="2">
        <f t="shared" si="122"/>
        <v>-0.13690045176173449</v>
      </c>
      <c r="Y111" s="2">
        <f t="shared" si="123"/>
        <v>0.78349215760911983</v>
      </c>
    </row>
    <row r="112" spans="1:31" x14ac:dyDescent="0.2">
      <c r="A112">
        <f>ROW()</f>
        <v>112</v>
      </c>
      <c r="B112" s="122" t="s">
        <v>51</v>
      </c>
      <c r="C112" s="122">
        <v>0.30243963864000001</v>
      </c>
      <c r="D112" s="123">
        <v>-7.9442309000000008E-6</v>
      </c>
      <c r="E112" s="123">
        <v>1.6053787999999999E-4</v>
      </c>
      <c r="F112" s="123">
        <v>2.5587099486121001E-6</v>
      </c>
      <c r="G112" s="123">
        <v>5.1742517201059104E-7</v>
      </c>
      <c r="H112" s="123">
        <v>9.0572584461303396E-7</v>
      </c>
      <c r="I112" s="124">
        <v>20.67</v>
      </c>
      <c r="J112" s="125">
        <f>100*C112/0.5</f>
        <v>60.487927728000003</v>
      </c>
      <c r="K112" s="124">
        <f>C112/P112</f>
        <v>3.0243963863999999</v>
      </c>
      <c r="L112" s="122">
        <v>10</v>
      </c>
      <c r="M112" s="122">
        <v>6</v>
      </c>
      <c r="N112" s="122">
        <v>0.83384899999999995</v>
      </c>
      <c r="O112" s="126">
        <v>0.2</v>
      </c>
      <c r="P112" s="126">
        <v>0.1</v>
      </c>
      <c r="Q112" s="126">
        <v>1</v>
      </c>
      <c r="R112" s="52">
        <f>Q112*D112/C112/N112</f>
        <v>-3.1501101187761954E-5</v>
      </c>
      <c r="S112" s="52">
        <f>Q112*E112/C112/N112</f>
        <v>6.3657767076593719E-4</v>
      </c>
      <c r="T112" s="19">
        <f>M112*N112*O112/(P112*U112*L112)</f>
        <v>0.99989875348902779</v>
      </c>
      <c r="U112" s="19">
        <f t="shared" si="120"/>
        <v>1.0007201194205511</v>
      </c>
      <c r="V112" s="52">
        <f t="shared" si="124"/>
        <v>1.9009563459605107E-4</v>
      </c>
      <c r="W112" s="19">
        <f>R112+T112</f>
        <v>0.99986725238784002</v>
      </c>
      <c r="X112" s="2">
        <f>1000*(W112-1)</f>
        <v>-0.13274761215997799</v>
      </c>
      <c r="Y112" s="2">
        <f>1000*(S112-V112)</f>
        <v>0.44648203616988608</v>
      </c>
      <c r="Z112" t="s">
        <v>68</v>
      </c>
      <c r="AA112" t="s">
        <v>67</v>
      </c>
      <c r="AB112" t="s">
        <v>66</v>
      </c>
    </row>
    <row r="113" spans="1:29" x14ac:dyDescent="0.2">
      <c r="A113">
        <f>ROW()</f>
        <v>113</v>
      </c>
      <c r="B113" s="164" t="s">
        <v>54</v>
      </c>
      <c r="C113" s="122">
        <v>0.30513087368000003</v>
      </c>
      <c r="D113" s="123">
        <v>-1.5887009000000001E-3</v>
      </c>
      <c r="E113" s="123">
        <v>3.5858575000000001E-4</v>
      </c>
      <c r="F113" s="123">
        <v>1.6912358448479301E-7</v>
      </c>
      <c r="G113" s="123">
        <v>1.56918711121396E-6</v>
      </c>
      <c r="H113" s="123">
        <v>7.7089386615473895E-6</v>
      </c>
      <c r="I113" s="124">
        <v>20.67</v>
      </c>
      <c r="J113" s="125">
        <f>100*C113/0.5</f>
        <v>61.026174736000002</v>
      </c>
      <c r="K113" s="124">
        <f>C113/P113</f>
        <v>3.0513087368000003</v>
      </c>
      <c r="L113" s="122">
        <v>10</v>
      </c>
      <c r="M113" s="122">
        <v>6</v>
      </c>
      <c r="N113" s="122">
        <v>0.83384899999999995</v>
      </c>
      <c r="O113" s="126">
        <v>0.2</v>
      </c>
      <c r="P113" s="126">
        <v>0.1</v>
      </c>
      <c r="Q113" s="126">
        <v>1</v>
      </c>
      <c r="R113" s="52">
        <f>Q113*D113/C113/N113</f>
        <v>-6.2440816979020888E-3</v>
      </c>
      <c r="S113" s="52">
        <f>Q113*E113/C113/N113</f>
        <v>1.4093519546086329E-3</v>
      </c>
      <c r="T113" s="19">
        <f>M113*N113*O113/(P113*U113*L113)</f>
        <v>0.99989875348902779</v>
      </c>
      <c r="U113" s="19">
        <f>$AA$16</f>
        <v>1.0007201194205511</v>
      </c>
      <c r="V113" s="52">
        <f t="shared" si="124"/>
        <v>1.9009563459605107E-4</v>
      </c>
      <c r="W113" s="19">
        <f>R113+T113</f>
        <v>0.99365467179112565</v>
      </c>
      <c r="X113" s="2">
        <f>1000*(W113-1)</f>
        <v>-6.3453282088743457</v>
      </c>
      <c r="Y113" s="2">
        <f>1000*(S113-V113)</f>
        <v>1.2192563200125819</v>
      </c>
      <c r="AA113" s="46">
        <f>100*-(X113-X112)/1000</f>
        <v>0.62125805967143677</v>
      </c>
      <c r="AB113" s="46">
        <f>100*-(Y113-Y112)/1000</f>
        <v>-7.7277428384269584E-2</v>
      </c>
    </row>
    <row r="114" spans="1:29" x14ac:dyDescent="0.2">
      <c r="B114" s="164"/>
      <c r="C114" s="122">
        <v>0.30339690666000002</v>
      </c>
      <c r="D114" s="123">
        <v>-1.5522355999999999E-5</v>
      </c>
      <c r="E114" s="123">
        <v>9.6595632999999997E-5</v>
      </c>
      <c r="F114" s="123">
        <v>5.4539196098678804E-7</v>
      </c>
      <c r="G114" s="123">
        <v>7.8869704348374595E-8</v>
      </c>
      <c r="H114" s="123">
        <v>6.6306669521859596E-6</v>
      </c>
      <c r="I114" s="124">
        <v>20.68</v>
      </c>
      <c r="J114" s="125">
        <f>100*C114/0.5</f>
        <v>60.679381332000006</v>
      </c>
      <c r="K114" s="124">
        <f>C114/P114</f>
        <v>3.0339690666000001</v>
      </c>
      <c r="L114" s="122">
        <v>10</v>
      </c>
      <c r="M114" s="122">
        <v>6</v>
      </c>
      <c r="N114" s="122">
        <v>0.83384899999999995</v>
      </c>
      <c r="O114" s="126">
        <v>0.2</v>
      </c>
      <c r="P114" s="126">
        <v>0.1</v>
      </c>
      <c r="Q114" s="126">
        <v>1</v>
      </c>
      <c r="R114" s="52">
        <f>Q114*D114/C114/N114</f>
        <v>-6.1356288211077305E-5</v>
      </c>
      <c r="S114" s="52">
        <f>Q114*E114/C114/N114</f>
        <v>3.8182022743708815E-4</v>
      </c>
      <c r="T114" s="19">
        <f>M114*N114*O114/(P114*U114*L114)</f>
        <v>0.99989875348902779</v>
      </c>
      <c r="U114" s="19">
        <f>$AA$16</f>
        <v>1.0007201194205511</v>
      </c>
      <c r="V114" s="52">
        <f t="shared" si="124"/>
        <v>1.9009563459605107E-4</v>
      </c>
      <c r="W114" s="19">
        <f>R114+T114</f>
        <v>0.99983739720081677</v>
      </c>
      <c r="X114" s="2">
        <f>1000*(W114-1)</f>
        <v>-0.16260279918323128</v>
      </c>
      <c r="Y114" s="2">
        <f>1000*(S114-V114)</f>
        <v>0.19172459284103707</v>
      </c>
      <c r="AA114" s="46"/>
      <c r="AB114" s="46"/>
    </row>
    <row r="115" spans="1:29" x14ac:dyDescent="0.2">
      <c r="R115" s="52"/>
      <c r="S115" s="52"/>
      <c r="T115" s="19"/>
      <c r="U115" s="19"/>
      <c r="V115" s="52"/>
      <c r="W115" s="19"/>
      <c r="X115" s="2"/>
      <c r="Y115" s="2"/>
      <c r="AA115" s="46"/>
      <c r="AB115" s="46"/>
    </row>
    <row r="116" spans="1:29" x14ac:dyDescent="0.2">
      <c r="A116">
        <f>ROW()</f>
        <v>116</v>
      </c>
      <c r="C116" s="5" t="str">
        <f>B120&amp;" range, "&amp;B122&amp;", vs shunts and 500 AT on "&amp;B124&amp;" range."</f>
        <v>75/5 range, l - 1200At(5A), vs shunts and 500 AT on 100/5 range.</v>
      </c>
      <c r="F116" s="18"/>
      <c r="G116" s="18"/>
      <c r="H116" s="18"/>
      <c r="J116" s="18"/>
      <c r="L116" s="18"/>
      <c r="M116" s="18"/>
      <c r="N116" s="18"/>
      <c r="R116" s="50"/>
      <c r="S116" s="50"/>
      <c r="X116" s="19"/>
      <c r="Y116" s="19"/>
      <c r="Z116" t="s">
        <v>63</v>
      </c>
      <c r="AA116" t="s">
        <v>63</v>
      </c>
      <c r="AB116" t="s">
        <v>65</v>
      </c>
    </row>
    <row r="117" spans="1:29" x14ac:dyDescent="0.2">
      <c r="B117" s="4">
        <v>43369</v>
      </c>
      <c r="I117" s="2"/>
      <c r="J117" s="17"/>
      <c r="K117" s="2"/>
      <c r="L117" s="18"/>
      <c r="M117" s="18"/>
      <c r="N117" s="18"/>
      <c r="R117" s="52"/>
      <c r="S117" s="52"/>
      <c r="T117" s="19"/>
      <c r="U117" s="19"/>
      <c r="V117" s="19"/>
      <c r="W117" s="19"/>
      <c r="X117" t="s">
        <v>6</v>
      </c>
      <c r="Y117" t="s">
        <v>7</v>
      </c>
      <c r="Z117" t="s">
        <v>61</v>
      </c>
      <c r="AA117" t="s">
        <v>62</v>
      </c>
      <c r="AB117" t="s">
        <v>6</v>
      </c>
      <c r="AC117" t="s">
        <v>7</v>
      </c>
    </row>
    <row r="118" spans="1:29" x14ac:dyDescent="0.2">
      <c r="B118" s="43" t="s">
        <v>51</v>
      </c>
      <c r="C118">
        <v>2.4791812707999999E-2</v>
      </c>
      <c r="D118" s="18">
        <v>1.2869788219999999E-7</v>
      </c>
      <c r="E118" s="18">
        <v>4.3345888999999999E-6</v>
      </c>
      <c r="F118" s="18">
        <v>1.6390239781026501E-7</v>
      </c>
      <c r="G118" s="18">
        <v>1.2621899658481901E-7</v>
      </c>
      <c r="H118" s="18">
        <v>8.8433622315214498E-8</v>
      </c>
      <c r="I118" s="2">
        <v>20.69</v>
      </c>
      <c r="J118" s="17">
        <f t="shared" ref="J118:J124" si="125">100*C118/0.5</f>
        <v>4.9583625415999997</v>
      </c>
      <c r="K118" s="2">
        <f t="shared" ref="K118:K124" si="126">C118/P118</f>
        <v>0.24791812707999997</v>
      </c>
      <c r="L118">
        <v>20</v>
      </c>
      <c r="M118">
        <v>15</v>
      </c>
      <c r="N118">
        <v>0.66707000000000005</v>
      </c>
      <c r="O118">
        <v>0.2</v>
      </c>
      <c r="P118">
        <v>0.1</v>
      </c>
      <c r="Q118">
        <v>1</v>
      </c>
      <c r="R118" s="52">
        <f t="shared" ref="R118:R124" si="127">Q118*D118/C118/N118</f>
        <v>7.7820086357335003E-6</v>
      </c>
      <c r="S118" s="52">
        <f t="shared" ref="S118:S124" si="128">Q118*E118/C118/N118</f>
        <v>2.6210072516760167E-4</v>
      </c>
      <c r="T118" s="19">
        <f t="shared" ref="T118:T124" si="129">M118*N118*O118/(P118*U118*L118)</f>
        <v>0.9998849634195246</v>
      </c>
      <c r="U118" s="19">
        <f t="shared" ref="U118:U124" si="130">$AA$16</f>
        <v>1.0007201194205511</v>
      </c>
      <c r="V118" s="52">
        <f>AA$17</f>
        <v>2.2561396482316382E-4</v>
      </c>
      <c r="W118" s="19">
        <f t="shared" ref="W118:W124" si="131">R118+T118</f>
        <v>0.99989274542816031</v>
      </c>
      <c r="X118" s="2">
        <f t="shared" ref="X118:X124" si="132">1000*(W118-1)</f>
        <v>-0.10725457183968778</v>
      </c>
      <c r="Y118" s="2">
        <f t="shared" ref="Y118:Y124" si="133">1000*(S118-V118)</f>
        <v>3.6486760344437846E-2</v>
      </c>
      <c r="Z118" s="51">
        <f t="shared" ref="Z118:Z124" si="134">((C118*N118)^2/P118-$AB$10)*$Z$28*0.001</f>
        <v>-7.3895368194772115E-4</v>
      </c>
      <c r="AA118" s="51">
        <f>(C118^2/O118-$Z$10)*$AB$5*0.001</f>
        <v>-1.0638069730120374E-4</v>
      </c>
      <c r="AB118" s="2">
        <f>0.5*(X118+X126)+AA118-Z118</f>
        <v>-0.1101251991551669</v>
      </c>
      <c r="AC118" s="2">
        <f t="shared" ref="AC118:AC124" si="135">0.5*(Y118+Y126)</f>
        <v>5.0467752466347479E-2</v>
      </c>
    </row>
    <row r="119" spans="1:29" x14ac:dyDescent="0.2">
      <c r="B119" s="5" t="s">
        <v>110</v>
      </c>
      <c r="C119">
        <v>5.0304594197999999E-2</v>
      </c>
      <c r="D119" s="18">
        <v>5.6256858049999997E-8</v>
      </c>
      <c r="E119" s="18">
        <v>8.4152418000000003E-6</v>
      </c>
      <c r="F119" s="18">
        <v>2.6426527793952401E-7</v>
      </c>
      <c r="G119" s="18">
        <v>8.9036305181707598E-8</v>
      </c>
      <c r="H119" s="18">
        <v>1.22743746418137E-7</v>
      </c>
      <c r="I119" s="2">
        <v>20.69</v>
      </c>
      <c r="J119" s="17">
        <f t="shared" si="125"/>
        <v>10.060918839599999</v>
      </c>
      <c r="K119" s="2">
        <f t="shared" si="126"/>
        <v>0.50304594197999997</v>
      </c>
      <c r="L119">
        <v>20</v>
      </c>
      <c r="M119">
        <v>15</v>
      </c>
      <c r="N119">
        <v>0.66707000000000005</v>
      </c>
      <c r="O119">
        <v>0.2</v>
      </c>
      <c r="P119">
        <v>0.1</v>
      </c>
      <c r="Q119">
        <v>1</v>
      </c>
      <c r="R119" s="52">
        <f t="shared" si="127"/>
        <v>1.6764724214418145E-6</v>
      </c>
      <c r="S119" s="52">
        <f t="shared" si="128"/>
        <v>2.5077690590053089E-4</v>
      </c>
      <c r="T119" s="19">
        <f t="shared" si="129"/>
        <v>0.9998849634195246</v>
      </c>
      <c r="U119" s="19">
        <f t="shared" si="130"/>
        <v>1.0007201194205511</v>
      </c>
      <c r="V119" s="52">
        <f t="shared" ref="V119:V124" si="136">AA$17</f>
        <v>2.2561396482316382E-4</v>
      </c>
      <c r="W119" s="19">
        <f t="shared" si="131"/>
        <v>0.99988663989194604</v>
      </c>
      <c r="X119" s="2">
        <f t="shared" si="132"/>
        <v>-0.11336010805396146</v>
      </c>
      <c r="Y119" s="2">
        <f t="shared" si="133"/>
        <v>2.5162941077367062E-2</v>
      </c>
      <c r="Z119" s="51">
        <f t="shared" si="134"/>
        <v>-6.7852026614874058E-4</v>
      </c>
      <c r="AA119" s="51">
        <f t="shared" ref="AA119:AA124" si="137">(C119^2/O119-$Z$10)*$AB$5*0.001</f>
        <v>-8.6167760079392387E-5</v>
      </c>
      <c r="AB119" s="2">
        <f t="shared" ref="AB119:AB124" si="138">0.5*(X119+X127)+AA119-Z119</f>
        <v>-0.1139546194446104</v>
      </c>
      <c r="AC119" s="2">
        <f t="shared" si="135"/>
        <v>4.200792842485554E-2</v>
      </c>
    </row>
    <row r="120" spans="1:29" x14ac:dyDescent="0.2">
      <c r="B120" s="161" t="s">
        <v>184</v>
      </c>
      <c r="C120">
        <v>0.10030874882</v>
      </c>
      <c r="D120" s="18">
        <v>2.11038812E-8</v>
      </c>
      <c r="E120" s="18">
        <v>1.6488611999999999E-5</v>
      </c>
      <c r="F120" s="18">
        <v>1.8888147335336599E-8</v>
      </c>
      <c r="G120" s="18">
        <v>4.19794564587726E-8</v>
      </c>
      <c r="H120" s="18">
        <v>1.6609721929039099E-7</v>
      </c>
      <c r="I120" s="2">
        <v>20.69</v>
      </c>
      <c r="J120" s="17">
        <f t="shared" si="125"/>
        <v>20.061749764000002</v>
      </c>
      <c r="K120" s="2">
        <f t="shared" si="126"/>
        <v>1.0030874882</v>
      </c>
      <c r="L120">
        <v>20</v>
      </c>
      <c r="M120">
        <v>15</v>
      </c>
      <c r="N120">
        <v>0.66707000000000005</v>
      </c>
      <c r="O120">
        <v>0.2</v>
      </c>
      <c r="P120">
        <v>0.1</v>
      </c>
      <c r="Q120">
        <v>1</v>
      </c>
      <c r="R120" s="52">
        <f t="shared" si="127"/>
        <v>3.1539304377525563E-7</v>
      </c>
      <c r="S120" s="52">
        <f t="shared" si="128"/>
        <v>2.4641882111756797E-4</v>
      </c>
      <c r="T120" s="19">
        <f t="shared" si="129"/>
        <v>0.9998849634195246</v>
      </c>
      <c r="U120" s="19">
        <f t="shared" si="130"/>
        <v>1.0007201194205511</v>
      </c>
      <c r="V120" s="52">
        <f t="shared" si="136"/>
        <v>2.2561396482316382E-4</v>
      </c>
      <c r="W120" s="19">
        <f t="shared" si="131"/>
        <v>0.99988527881256839</v>
      </c>
      <c r="X120" s="2">
        <f t="shared" si="132"/>
        <v>-0.11472118743161008</v>
      </c>
      <c r="Y120" s="2">
        <f t="shared" si="133"/>
        <v>2.0804856294404143E-2</v>
      </c>
      <c r="Z120" s="51">
        <f t="shared" si="134"/>
        <v>-4.4096223778333679E-4</v>
      </c>
      <c r="AA120" s="51">
        <f t="shared" si="137"/>
        <v>-6.7126200644838157E-6</v>
      </c>
      <c r="AB120" s="2">
        <f t="shared" si="138"/>
        <v>-0.1152796866972129</v>
      </c>
      <c r="AC120" s="2">
        <f t="shared" si="135"/>
        <v>3.5761326234600682E-2</v>
      </c>
    </row>
    <row r="121" spans="1:29" x14ac:dyDescent="0.2">
      <c r="B121" s="67" t="s">
        <v>112</v>
      </c>
      <c r="C121">
        <v>0.20009979374</v>
      </c>
      <c r="D121" s="18">
        <v>-1.047743914E-7</v>
      </c>
      <c r="E121" s="18">
        <v>3.1510007999999997E-5</v>
      </c>
      <c r="F121" s="18">
        <v>4.7508066574705899E-7</v>
      </c>
      <c r="G121" s="18">
        <v>1.69369827093873E-7</v>
      </c>
      <c r="H121" s="18">
        <v>2.07656279789463E-7</v>
      </c>
      <c r="I121" s="2">
        <v>20.69</v>
      </c>
      <c r="J121" s="17">
        <f t="shared" si="125"/>
        <v>40.019958748000001</v>
      </c>
      <c r="K121" s="2">
        <f t="shared" si="126"/>
        <v>2.0009979373999998</v>
      </c>
      <c r="L121">
        <v>20</v>
      </c>
      <c r="M121">
        <v>15</v>
      </c>
      <c r="N121">
        <v>0.66707000000000005</v>
      </c>
      <c r="O121">
        <v>0.2</v>
      </c>
      <c r="P121">
        <v>0.1</v>
      </c>
      <c r="Q121">
        <v>1</v>
      </c>
      <c r="R121" s="52">
        <f t="shared" si="127"/>
        <v>-7.8494114808622676E-7</v>
      </c>
      <c r="S121" s="52">
        <f t="shared" si="128"/>
        <v>2.3606438104994984E-4</v>
      </c>
      <c r="T121" s="19">
        <f t="shared" si="129"/>
        <v>0.9998849634195246</v>
      </c>
      <c r="U121" s="19">
        <f t="shared" si="130"/>
        <v>1.0007201194205511</v>
      </c>
      <c r="V121" s="52">
        <f t="shared" si="136"/>
        <v>2.2561396482316382E-4</v>
      </c>
      <c r="W121" s="19">
        <f t="shared" si="131"/>
        <v>0.99988417847837652</v>
      </c>
      <c r="X121" s="2">
        <f t="shared" si="132"/>
        <v>-0.11582152162348258</v>
      </c>
      <c r="Y121" s="2">
        <f t="shared" si="133"/>
        <v>1.0450416226786012E-2</v>
      </c>
      <c r="Z121" s="51">
        <f t="shared" si="134"/>
        <v>5.046302710372076E-4</v>
      </c>
      <c r="AA121" s="51">
        <f t="shared" si="137"/>
        <v>3.0955614888580923E-4</v>
      </c>
      <c r="AB121" s="2">
        <f t="shared" si="138"/>
        <v>-0.1196916728370591</v>
      </c>
      <c r="AC121" s="2">
        <f t="shared" si="135"/>
        <v>2.4541085449895375E-2</v>
      </c>
    </row>
    <row r="122" spans="1:29" ht="13.5" x14ac:dyDescent="0.25">
      <c r="B122" s="163" t="s">
        <v>181</v>
      </c>
      <c r="C122">
        <v>0.30058177553999998</v>
      </c>
      <c r="D122" s="18">
        <v>-1.0122977300000001E-6</v>
      </c>
      <c r="E122" s="18">
        <v>4.5899965000000002E-5</v>
      </c>
      <c r="F122" s="18">
        <v>1.54755377440221E-7</v>
      </c>
      <c r="G122" s="18">
        <v>1.4134677678722301E-7</v>
      </c>
      <c r="H122" s="18">
        <v>1.5279275203686799E-7</v>
      </c>
      <c r="I122" s="2">
        <v>20.69</v>
      </c>
      <c r="J122" s="17">
        <f t="shared" si="125"/>
        <v>60.116355107999993</v>
      </c>
      <c r="K122" s="2">
        <f t="shared" si="126"/>
        <v>3.0058177553999998</v>
      </c>
      <c r="L122">
        <v>20</v>
      </c>
      <c r="M122">
        <v>15</v>
      </c>
      <c r="N122">
        <v>0.66707000000000005</v>
      </c>
      <c r="O122">
        <v>0.2</v>
      </c>
      <c r="P122">
        <v>0.1</v>
      </c>
      <c r="Q122">
        <v>1</v>
      </c>
      <c r="R122" s="52">
        <f t="shared" si="127"/>
        <v>-5.0486377210897975E-6</v>
      </c>
      <c r="S122" s="52">
        <f t="shared" si="128"/>
        <v>2.2891713359438382E-4</v>
      </c>
      <c r="T122" s="19">
        <f t="shared" si="129"/>
        <v>0.9998849634195246</v>
      </c>
      <c r="U122" s="19">
        <f t="shared" si="130"/>
        <v>1.0007201194205511</v>
      </c>
      <c r="V122" s="52">
        <f t="shared" si="136"/>
        <v>2.2561396482316382E-4</v>
      </c>
      <c r="W122" s="19">
        <f t="shared" si="131"/>
        <v>0.99987991478180349</v>
      </c>
      <c r="X122" s="2">
        <f t="shared" si="132"/>
        <v>-0.12008521819650841</v>
      </c>
      <c r="Y122" s="2">
        <f t="shared" si="133"/>
        <v>3.3031687712200002E-3</v>
      </c>
      <c r="Z122" s="51">
        <f t="shared" si="134"/>
        <v>2.0915317733768975E-3</v>
      </c>
      <c r="AA122" s="51">
        <f t="shared" si="137"/>
        <v>8.4032112418828671E-4</v>
      </c>
      <c r="AB122" s="2">
        <f t="shared" si="138"/>
        <v>-0.12248204017488669</v>
      </c>
      <c r="AC122" s="2">
        <f t="shared" si="135"/>
        <v>1.7832578346829969E-2</v>
      </c>
    </row>
    <row r="123" spans="1:29" x14ac:dyDescent="0.2">
      <c r="B123" s="66" t="s">
        <v>111</v>
      </c>
      <c r="C123">
        <v>0.49938330019999999</v>
      </c>
      <c r="D123" s="18">
        <v>-1.56463E-6</v>
      </c>
      <c r="E123" s="18">
        <v>7.2324782999999996E-5</v>
      </c>
      <c r="F123" s="18">
        <v>6.3544853982253104E-6</v>
      </c>
      <c r="G123" s="18">
        <v>8.4703294725429996E-22</v>
      </c>
      <c r="H123" s="18">
        <v>4.3664772759170503E-7</v>
      </c>
      <c r="I123" s="2">
        <v>20.69</v>
      </c>
      <c r="J123" s="17">
        <f t="shared" si="125"/>
        <v>99.876660040000004</v>
      </c>
      <c r="K123" s="2">
        <f t="shared" si="126"/>
        <v>4.9938330019999997</v>
      </c>
      <c r="L123">
        <v>20</v>
      </c>
      <c r="M123">
        <v>15</v>
      </c>
      <c r="N123">
        <v>0.66707000000000005</v>
      </c>
      <c r="O123">
        <v>0.2</v>
      </c>
      <c r="P123">
        <v>0.1</v>
      </c>
      <c r="Q123">
        <v>1</v>
      </c>
      <c r="R123" s="52">
        <f t="shared" si="127"/>
        <v>-4.6968450003369542E-6</v>
      </c>
      <c r="S123" s="52">
        <f t="shared" si="128"/>
        <v>2.1711094343966633E-4</v>
      </c>
      <c r="T123" s="19">
        <f t="shared" si="129"/>
        <v>0.9998849634195246</v>
      </c>
      <c r="U123" s="19">
        <f t="shared" si="130"/>
        <v>1.0007201194205511</v>
      </c>
      <c r="V123" s="52">
        <f t="shared" si="136"/>
        <v>2.2561396482316382E-4</v>
      </c>
      <c r="W123" s="19">
        <f t="shared" si="131"/>
        <v>0.99988026657452422</v>
      </c>
      <c r="X123" s="2">
        <f t="shared" si="132"/>
        <v>-0.11973342547577648</v>
      </c>
      <c r="Y123" s="2">
        <f t="shared" si="133"/>
        <v>-8.5030213834974937E-3</v>
      </c>
      <c r="Z123" s="51">
        <f t="shared" si="134"/>
        <v>7.1079173744497395E-3</v>
      </c>
      <c r="AA123" s="51">
        <f t="shared" si="137"/>
        <v>2.5181327437094557E-3</v>
      </c>
      <c r="AB123" s="2">
        <f t="shared" si="138"/>
        <v>-0.12569735229777396</v>
      </c>
      <c r="AC123" s="2">
        <f t="shared" si="135"/>
        <v>5.6399341647809902E-3</v>
      </c>
    </row>
    <row r="124" spans="1:29" x14ac:dyDescent="0.2">
      <c r="B124" s="162" t="s">
        <v>185</v>
      </c>
      <c r="C124">
        <v>0.60106333164000003</v>
      </c>
      <c r="D124" s="18">
        <v>-7.1972961799999996E-8</v>
      </c>
      <c r="E124" s="18">
        <v>8.5060323999999995E-5</v>
      </c>
      <c r="F124" s="18">
        <v>8.5056507332635501E-7</v>
      </c>
      <c r="G124" s="18">
        <v>1.8464434813583001E-7</v>
      </c>
      <c r="H124" s="18">
        <v>3.6448363148981002E-7</v>
      </c>
      <c r="I124" s="2">
        <v>20.69</v>
      </c>
      <c r="J124" s="17">
        <f t="shared" si="125"/>
        <v>120.21266632800001</v>
      </c>
      <c r="K124" s="2">
        <f t="shared" si="126"/>
        <v>6.0106333163999999</v>
      </c>
      <c r="L124">
        <v>20</v>
      </c>
      <c r="M124">
        <v>15</v>
      </c>
      <c r="N124">
        <v>0.66707000000000005</v>
      </c>
      <c r="O124">
        <v>0.2</v>
      </c>
      <c r="P124">
        <v>0.1</v>
      </c>
      <c r="Q124">
        <v>1</v>
      </c>
      <c r="R124" s="52">
        <f t="shared" si="127"/>
        <v>-1.7950548810678546E-7</v>
      </c>
      <c r="S124" s="52">
        <f t="shared" si="128"/>
        <v>2.1214626432312968E-4</v>
      </c>
      <c r="T124" s="19">
        <f t="shared" si="129"/>
        <v>0.9998849634195246</v>
      </c>
      <c r="U124" s="19">
        <f t="shared" si="130"/>
        <v>1.0007201194205511</v>
      </c>
      <c r="V124" s="52">
        <f t="shared" si="136"/>
        <v>2.2561396482316382E-4</v>
      </c>
      <c r="W124" s="19">
        <f t="shared" si="131"/>
        <v>0.99988478391403646</v>
      </c>
      <c r="X124" s="2">
        <f t="shared" si="132"/>
        <v>-0.11521608596354316</v>
      </c>
      <c r="Y124" s="2">
        <f t="shared" si="133"/>
        <v>-1.3467700500034143E-2</v>
      </c>
      <c r="Z124" s="51">
        <f t="shared" si="134"/>
        <v>1.0637349478999442E-2</v>
      </c>
      <c r="AA124" s="51">
        <f t="shared" si="137"/>
        <v>3.698608621412732E-3</v>
      </c>
      <c r="AB124" s="2">
        <f t="shared" si="138"/>
        <v>-0.12401718818714168</v>
      </c>
      <c r="AC124" s="2">
        <f t="shared" si="135"/>
        <v>7.6935710236225325E-4</v>
      </c>
    </row>
    <row r="125" spans="1:29" x14ac:dyDescent="0.2">
      <c r="I125" s="2"/>
      <c r="J125" s="17"/>
      <c r="K125" s="2"/>
      <c r="R125" s="52"/>
      <c r="S125" s="52"/>
      <c r="T125" s="19"/>
      <c r="U125" s="19"/>
      <c r="V125" s="52"/>
      <c r="W125" s="19"/>
      <c r="X125" s="2"/>
      <c r="Y125" s="2"/>
      <c r="AA125" s="2"/>
      <c r="AB125" s="2"/>
    </row>
    <row r="126" spans="1:29" x14ac:dyDescent="0.2">
      <c r="B126" s="43" t="s">
        <v>52</v>
      </c>
      <c r="C126">
        <v>2.4813919454000001E-2</v>
      </c>
      <c r="D126" s="18">
        <v>1.2838346049999999E-8</v>
      </c>
      <c r="E126" s="18">
        <v>4.2133766999999999E-6</v>
      </c>
      <c r="F126" s="18">
        <v>8.7968812769391495E-7</v>
      </c>
      <c r="G126" s="18">
        <v>1.7809398356069899E-7</v>
      </c>
      <c r="H126" s="18">
        <v>1.8530556864840801E-7</v>
      </c>
      <c r="I126" s="2">
        <v>20.7</v>
      </c>
      <c r="J126" s="17">
        <f t="shared" ref="J126:J132" si="139">100*C126/0.5</f>
        <v>4.9627838907999999</v>
      </c>
      <c r="K126" s="2">
        <f t="shared" ref="K126:K132" si="140">C126/P126</f>
        <v>0.24813919454</v>
      </c>
      <c r="L126">
        <v>20</v>
      </c>
      <c r="M126">
        <v>15</v>
      </c>
      <c r="N126">
        <v>0.66707000000000005</v>
      </c>
      <c r="O126">
        <v>0.2</v>
      </c>
      <c r="P126">
        <v>0.1</v>
      </c>
      <c r="Q126">
        <v>1</v>
      </c>
      <c r="R126" s="52">
        <f t="shared" ref="R126:R132" si="141">Q126*D126/C126/N126</f>
        <v>7.7560803548625616E-7</v>
      </c>
      <c r="S126" s="52">
        <f t="shared" ref="S126:S132" si="142">Q126*E126/C126/N126</f>
        <v>2.5454437918430819E-4</v>
      </c>
      <c r="T126" s="19">
        <f t="shared" ref="T126:T132" si="143">M126*N126*O126/(P126*U126*L126)</f>
        <v>0.9998849634195246</v>
      </c>
      <c r="U126" s="19">
        <f t="shared" ref="U126:U133" si="144">$AA$16</f>
        <v>1.0007201194205511</v>
      </c>
      <c r="V126" s="52">
        <f>$AA$26</f>
        <v>1.9009563459605107E-4</v>
      </c>
      <c r="W126" s="19">
        <f t="shared" ref="W126:W132" si="145">R126+T126</f>
        <v>0.99988573902756006</v>
      </c>
      <c r="X126" s="2">
        <f t="shared" ref="X126:X132" si="146">1000*(W126-1)</f>
        <v>-0.11426097243993905</v>
      </c>
      <c r="Y126" s="2">
        <f t="shared" ref="Y126:Y132" si="147">1000*(S126-V126)</f>
        <v>6.4448744588257112E-2</v>
      </c>
      <c r="Z126" s="51">
        <f t="shared" ref="Z126:Z132" si="148">((C126*N126)^2/P126-$AB$10)*$Z$28*0.001</f>
        <v>-7.3891909144611478E-4</v>
      </c>
      <c r="AA126" s="51">
        <f>(C126^2/O126-$Z$10)*$AB$5*0.001</f>
        <v>-1.0636912794626667E-4</v>
      </c>
    </row>
    <row r="127" spans="1:29" x14ac:dyDescent="0.2">
      <c r="C127">
        <v>5.0248867305999999E-2</v>
      </c>
      <c r="D127" s="18">
        <v>-2.3371659749999999E-8</v>
      </c>
      <c r="E127" s="18">
        <v>8.3446338999999994E-6</v>
      </c>
      <c r="F127" s="18">
        <v>2.8282926709992101E-8</v>
      </c>
      <c r="G127" s="18">
        <v>8.4119521693458897E-8</v>
      </c>
      <c r="H127" s="18">
        <v>1.2811714025761701E-7</v>
      </c>
      <c r="I127" s="2">
        <v>20.7</v>
      </c>
      <c r="J127" s="17">
        <f t="shared" si="139"/>
        <v>10.049773461199999</v>
      </c>
      <c r="K127" s="2">
        <f t="shared" si="140"/>
        <v>0.50248867306</v>
      </c>
      <c r="L127">
        <v>20</v>
      </c>
      <c r="M127">
        <v>15</v>
      </c>
      <c r="N127">
        <v>0.66707000000000005</v>
      </c>
      <c r="O127">
        <v>0.2</v>
      </c>
      <c r="P127">
        <v>0.1</v>
      </c>
      <c r="Q127">
        <v>1</v>
      </c>
      <c r="R127" s="52">
        <f t="shared" si="141"/>
        <v>-6.9725537203805516E-7</v>
      </c>
      <c r="S127" s="52">
        <f t="shared" si="142"/>
        <v>2.4894855036839509E-4</v>
      </c>
      <c r="T127" s="19">
        <f t="shared" si="143"/>
        <v>0.9998849634195246</v>
      </c>
      <c r="U127" s="19">
        <f t="shared" si="144"/>
        <v>1.0007201194205511</v>
      </c>
      <c r="V127" s="52">
        <f t="shared" ref="V127:V135" si="149">$AA$26</f>
        <v>1.9009563459605107E-4</v>
      </c>
      <c r="W127" s="19">
        <f t="shared" si="145"/>
        <v>0.9998842661641526</v>
      </c>
      <c r="X127" s="2">
        <f t="shared" si="146"/>
        <v>-0.11573383584739805</v>
      </c>
      <c r="Y127" s="2">
        <f t="shared" si="147"/>
        <v>5.8852915772344021E-2</v>
      </c>
      <c r="Z127" s="51">
        <f t="shared" si="148"/>
        <v>-6.7869701720683375E-4</v>
      </c>
      <c r="AA127" s="51">
        <f t="shared" ref="AA127:AA132" si="150">(C127^2/O127-$Z$10)*$AB$5*0.001</f>
        <v>-8.622687734082618E-5</v>
      </c>
    </row>
    <row r="128" spans="1:29" x14ac:dyDescent="0.2">
      <c r="C128">
        <v>0.10024042962</v>
      </c>
      <c r="D128" s="18">
        <v>-1.116755328E-7</v>
      </c>
      <c r="E128" s="18">
        <v>1.6102563999999999E-5</v>
      </c>
      <c r="F128" s="18">
        <v>1.6087096461422599E-8</v>
      </c>
      <c r="G128" s="18">
        <v>1.5556257689305799E-7</v>
      </c>
      <c r="H128" s="18">
        <v>1.5797542120216101E-7</v>
      </c>
      <c r="I128" s="2">
        <v>20.7</v>
      </c>
      <c r="J128" s="17">
        <f t="shared" si="139"/>
        <v>20.048085923999999</v>
      </c>
      <c r="K128" s="2">
        <f t="shared" si="140"/>
        <v>1.0024042961999999</v>
      </c>
      <c r="L128">
        <v>20</v>
      </c>
      <c r="M128">
        <v>15</v>
      </c>
      <c r="N128">
        <v>0.66707000000000005</v>
      </c>
      <c r="O128">
        <v>0.2</v>
      </c>
      <c r="P128">
        <v>0.1</v>
      </c>
      <c r="Q128">
        <v>1</v>
      </c>
      <c r="R128" s="52">
        <f t="shared" si="141"/>
        <v>-1.6701047228708668E-6</v>
      </c>
      <c r="S128" s="52">
        <f t="shared" si="142"/>
        <v>2.4081343077084829E-4</v>
      </c>
      <c r="T128" s="19">
        <f t="shared" si="143"/>
        <v>0.9998849634195246</v>
      </c>
      <c r="U128" s="19">
        <f t="shared" si="144"/>
        <v>1.0007201194205511</v>
      </c>
      <c r="V128" s="52">
        <f t="shared" si="149"/>
        <v>1.9009563459605107E-4</v>
      </c>
      <c r="W128" s="19">
        <f t="shared" si="145"/>
        <v>0.99988329331480175</v>
      </c>
      <c r="X128" s="2">
        <f t="shared" si="146"/>
        <v>-0.11670668519825345</v>
      </c>
      <c r="Y128" s="2">
        <f t="shared" si="147"/>
        <v>5.0717796174797214E-2</v>
      </c>
      <c r="Z128" s="51">
        <f t="shared" si="148"/>
        <v>-4.4139441695615803E-4</v>
      </c>
      <c r="AA128" s="51">
        <f t="shared" si="150"/>
        <v>-6.8571694064880201E-6</v>
      </c>
    </row>
    <row r="129" spans="1:31" x14ac:dyDescent="0.2">
      <c r="C129">
        <v>0.20054498377999999</v>
      </c>
      <c r="D129" s="18">
        <v>-1.08829306E-6</v>
      </c>
      <c r="E129" s="18">
        <v>3.0598588000000003E-5</v>
      </c>
      <c r="F129" s="18">
        <v>8.2902356939664806E-8</v>
      </c>
      <c r="G129" s="18">
        <v>4.26481101918525E-8</v>
      </c>
      <c r="H129" s="18">
        <v>2.3871116407910201E-7</v>
      </c>
      <c r="I129" s="2">
        <v>20.71</v>
      </c>
      <c r="J129" s="17">
        <f t="shared" si="139"/>
        <v>40.108996755999996</v>
      </c>
      <c r="K129" s="2">
        <f t="shared" si="140"/>
        <v>2.0054498377999996</v>
      </c>
      <c r="L129">
        <v>20</v>
      </c>
      <c r="M129">
        <v>15</v>
      </c>
      <c r="N129">
        <v>0.66707000000000005</v>
      </c>
      <c r="O129">
        <v>0.2</v>
      </c>
      <c r="P129">
        <v>0.1</v>
      </c>
      <c r="Q129">
        <v>1</v>
      </c>
      <c r="R129" s="52">
        <f t="shared" si="141"/>
        <v>-8.1350953309816757E-6</v>
      </c>
      <c r="S129" s="52">
        <f t="shared" si="142"/>
        <v>2.2872738926905581E-4</v>
      </c>
      <c r="T129" s="19">
        <f t="shared" si="143"/>
        <v>0.9998849634195246</v>
      </c>
      <c r="U129" s="19">
        <f t="shared" si="144"/>
        <v>1.0007201194205511</v>
      </c>
      <c r="V129" s="52">
        <f t="shared" si="149"/>
        <v>1.9009563459605107E-4</v>
      </c>
      <c r="W129" s="19">
        <f t="shared" si="145"/>
        <v>0.99987682832419367</v>
      </c>
      <c r="X129" s="2">
        <f t="shared" si="146"/>
        <v>-0.12317167580633281</v>
      </c>
      <c r="Y129" s="2">
        <f t="shared" si="147"/>
        <v>3.863175467300474E-2</v>
      </c>
      <c r="Z129" s="51">
        <f t="shared" si="148"/>
        <v>5.1025634063086927E-4</v>
      </c>
      <c r="AA129" s="51">
        <f t="shared" si="150"/>
        <v>3.1143787921659983E-4</v>
      </c>
    </row>
    <row r="130" spans="1:31" x14ac:dyDescent="0.2">
      <c r="C130">
        <v>0.30059192856</v>
      </c>
      <c r="D130" s="18">
        <v>-1.4717583999999999E-6</v>
      </c>
      <c r="E130" s="18">
        <v>4.4606281000000002E-5</v>
      </c>
      <c r="F130" s="18">
        <v>4.42648685646591E-8</v>
      </c>
      <c r="G130" s="18">
        <v>3.0137034107794998E-7</v>
      </c>
      <c r="H130" s="18">
        <v>1.7199628350345301E-7</v>
      </c>
      <c r="I130" s="2">
        <v>20.71</v>
      </c>
      <c r="J130" s="17">
        <f t="shared" si="139"/>
        <v>60.118385711999998</v>
      </c>
      <c r="K130" s="2">
        <f t="shared" si="140"/>
        <v>3.0059192855999997</v>
      </c>
      <c r="L130">
        <v>20</v>
      </c>
      <c r="M130">
        <v>15</v>
      </c>
      <c r="N130">
        <v>0.66707000000000005</v>
      </c>
      <c r="O130">
        <v>0.2</v>
      </c>
      <c r="P130">
        <v>0.1</v>
      </c>
      <c r="Q130">
        <v>1</v>
      </c>
      <c r="R130" s="52">
        <f t="shared" si="141"/>
        <v>-7.3398603794299338E-6</v>
      </c>
      <c r="S130" s="52">
        <f t="shared" si="142"/>
        <v>2.2245762251849101E-4</v>
      </c>
      <c r="T130" s="19">
        <f t="shared" si="143"/>
        <v>0.9998849634195246</v>
      </c>
      <c r="U130" s="19">
        <f t="shared" si="144"/>
        <v>1.0007201194205511</v>
      </c>
      <c r="V130" s="52">
        <f t="shared" si="149"/>
        <v>1.9009563459605107E-4</v>
      </c>
      <c r="W130" s="19">
        <f t="shared" si="145"/>
        <v>0.99987762355914511</v>
      </c>
      <c r="X130" s="2">
        <f t="shared" si="146"/>
        <v>-0.12237644085488775</v>
      </c>
      <c r="Y130" s="2">
        <f t="shared" si="147"/>
        <v>3.2361987922439939E-2</v>
      </c>
      <c r="Z130" s="51">
        <f t="shared" si="148"/>
        <v>2.0917243020386286E-3</v>
      </c>
      <c r="AA130" s="51">
        <f t="shared" si="150"/>
        <v>8.4038551852545144E-4</v>
      </c>
    </row>
    <row r="131" spans="1:31" x14ac:dyDescent="0.2">
      <c r="C131">
        <v>0.50060137278000005</v>
      </c>
      <c r="D131" s="18">
        <v>-2.4861979E-6</v>
      </c>
      <c r="E131" s="18">
        <v>7.0086028000000003E-5</v>
      </c>
      <c r="F131" s="18">
        <v>2.6133498785697802E-7</v>
      </c>
      <c r="G131" s="18">
        <v>4.2163346091906701E-7</v>
      </c>
      <c r="H131" s="18">
        <v>5.3062088218991103E-7</v>
      </c>
      <c r="I131" s="2">
        <v>20.71</v>
      </c>
      <c r="J131" s="17">
        <f t="shared" si="139"/>
        <v>100.12027455600001</v>
      </c>
      <c r="K131" s="2">
        <f t="shared" si="140"/>
        <v>5.0060137278000001</v>
      </c>
      <c r="L131">
        <v>20</v>
      </c>
      <c r="M131">
        <v>15</v>
      </c>
      <c r="N131">
        <v>0.66707000000000005</v>
      </c>
      <c r="O131">
        <v>0.2</v>
      </c>
      <c r="P131">
        <v>0.1</v>
      </c>
      <c r="Q131">
        <v>1</v>
      </c>
      <c r="R131" s="52">
        <f t="shared" si="141"/>
        <v>-7.4451293828836986E-6</v>
      </c>
      <c r="S131" s="52">
        <f t="shared" si="142"/>
        <v>2.0987852430911054E-4</v>
      </c>
      <c r="T131" s="19">
        <f t="shared" si="143"/>
        <v>0.9998849634195246</v>
      </c>
      <c r="U131" s="19">
        <f t="shared" si="144"/>
        <v>1.0007201194205511</v>
      </c>
      <c r="V131" s="52">
        <f t="shared" si="149"/>
        <v>1.9009563459605107E-4</v>
      </c>
      <c r="W131" s="19">
        <f t="shared" si="145"/>
        <v>0.99987751829014171</v>
      </c>
      <c r="X131" s="2">
        <f t="shared" si="146"/>
        <v>-0.12248170985829088</v>
      </c>
      <c r="Y131" s="2">
        <f t="shared" si="147"/>
        <v>1.9782889713059474E-2</v>
      </c>
      <c r="Z131" s="51">
        <f t="shared" si="148"/>
        <v>7.1463381993430572E-3</v>
      </c>
      <c r="AA131" s="51">
        <f t="shared" si="150"/>
        <v>2.5309832124660457E-3</v>
      </c>
    </row>
    <row r="132" spans="1:31" x14ac:dyDescent="0.2">
      <c r="C132">
        <v>0.60076558658000001</v>
      </c>
      <c r="D132" s="18">
        <v>-1.56463E-6</v>
      </c>
      <c r="E132" s="18">
        <v>8.2195199999999995E-5</v>
      </c>
      <c r="F132" s="18">
        <v>3.0798216640422398E-7</v>
      </c>
      <c r="G132" s="18">
        <v>8.4703294725429996E-22</v>
      </c>
      <c r="H132" s="18">
        <v>1.66798068334138E-7</v>
      </c>
      <c r="I132" s="2">
        <v>20.71</v>
      </c>
      <c r="J132" s="17">
        <f t="shared" si="139"/>
        <v>120.15311731600001</v>
      </c>
      <c r="K132" s="2">
        <f t="shared" si="140"/>
        <v>6.0076558657999994</v>
      </c>
      <c r="L132">
        <v>20</v>
      </c>
      <c r="M132">
        <v>15</v>
      </c>
      <c r="N132">
        <v>0.66707000000000005</v>
      </c>
      <c r="O132">
        <v>0.2</v>
      </c>
      <c r="P132">
        <v>0.1</v>
      </c>
      <c r="Q132">
        <v>1</v>
      </c>
      <c r="R132" s="52">
        <f t="shared" si="141"/>
        <v>-3.9042282201092758E-6</v>
      </c>
      <c r="S132" s="52">
        <f t="shared" si="142"/>
        <v>2.0510204930080972E-4</v>
      </c>
      <c r="T132" s="19">
        <f t="shared" si="143"/>
        <v>0.9998849634195246</v>
      </c>
      <c r="U132" s="19">
        <f t="shared" si="144"/>
        <v>1.0007201194205511</v>
      </c>
      <c r="V132" s="52">
        <f t="shared" si="149"/>
        <v>1.9009563459605107E-4</v>
      </c>
      <c r="W132" s="19">
        <f t="shared" si="145"/>
        <v>0.99988105919130443</v>
      </c>
      <c r="X132" s="2">
        <f t="shared" si="146"/>
        <v>-0.11894080869556678</v>
      </c>
      <c r="Y132" s="2">
        <f t="shared" si="147"/>
        <v>1.500641470475865E-2</v>
      </c>
      <c r="Z132" s="51">
        <f t="shared" si="148"/>
        <v>1.0626062248632218E-2</v>
      </c>
      <c r="AA132" s="51">
        <f t="shared" si="150"/>
        <v>3.6948334239362297E-3</v>
      </c>
    </row>
    <row r="133" spans="1:31" x14ac:dyDescent="0.2">
      <c r="B133" s="122" t="s">
        <v>51</v>
      </c>
      <c r="C133" s="122">
        <v>0.30145977563999998</v>
      </c>
      <c r="D133" s="123">
        <v>-3.8219823200000001E-7</v>
      </c>
      <c r="E133" s="123">
        <v>4.4675397999999997E-5</v>
      </c>
      <c r="F133" s="123">
        <v>2.6454247338334201E-8</v>
      </c>
      <c r="G133" s="123">
        <v>2.9016591794434498E-7</v>
      </c>
      <c r="H133" s="123">
        <v>2.8150118080747102E-7</v>
      </c>
      <c r="I133" s="124">
        <v>20.73</v>
      </c>
      <c r="J133" s="125">
        <f>100*C133/0.5</f>
        <v>60.291955127999998</v>
      </c>
      <c r="K133" s="124">
        <f>C133/P133</f>
        <v>3.0145977563999997</v>
      </c>
      <c r="L133" s="122">
        <v>20</v>
      </c>
      <c r="M133" s="122">
        <v>15</v>
      </c>
      <c r="N133" s="122">
        <v>0.66707000000000005</v>
      </c>
      <c r="O133" s="126">
        <v>0.2</v>
      </c>
      <c r="P133" s="126">
        <v>0.1</v>
      </c>
      <c r="Q133" s="126">
        <v>1</v>
      </c>
      <c r="R133" s="52">
        <f>Q133*D133/C133/N133</f>
        <v>-1.9005876044403224E-6</v>
      </c>
      <c r="S133" s="52">
        <f>Q133*E133/C133/N133</f>
        <v>2.2216091167642546E-4</v>
      </c>
      <c r="T133" s="19">
        <f>M133*N133*O133/(P133*U133*L133)</f>
        <v>0.9998849634195246</v>
      </c>
      <c r="U133" s="19">
        <f t="shared" si="144"/>
        <v>1.0007201194205511</v>
      </c>
      <c r="V133" s="52">
        <f t="shared" si="149"/>
        <v>1.9009563459605107E-4</v>
      </c>
      <c r="W133" s="19">
        <f>R133+T133</f>
        <v>0.99988306283192019</v>
      </c>
      <c r="X133" s="2">
        <f>1000*(W133-1)</f>
        <v>-0.11693716807981147</v>
      </c>
      <c r="Y133" s="2">
        <f>1000*(S133-V133)</f>
        <v>3.2065277080374391E-2</v>
      </c>
      <c r="Z133" t="s">
        <v>68</v>
      </c>
      <c r="AA133" t="s">
        <v>67</v>
      </c>
      <c r="AB133" t="s">
        <v>66</v>
      </c>
    </row>
    <row r="134" spans="1:31" x14ac:dyDescent="0.2">
      <c r="B134" s="164" t="s">
        <v>54</v>
      </c>
      <c r="C134" s="122">
        <v>0.30153370685999997</v>
      </c>
      <c r="D134" s="122">
        <v>-2.6525417E-4</v>
      </c>
      <c r="E134" s="123">
        <v>7.2837299999999907E-5</v>
      </c>
      <c r="F134" s="123">
        <v>1.6365229843765E-8</v>
      </c>
      <c r="G134" s="123">
        <v>1.0245333870108901E-6</v>
      </c>
      <c r="H134" s="123">
        <v>8.1315162936412796E-20</v>
      </c>
      <c r="I134" s="124">
        <v>20.73</v>
      </c>
      <c r="J134" s="125">
        <f>100*C134/0.5</f>
        <v>60.306741371999998</v>
      </c>
      <c r="K134" s="124">
        <f>C134/P134</f>
        <v>3.0153370685999996</v>
      </c>
      <c r="L134" s="122">
        <v>20</v>
      </c>
      <c r="M134" s="122">
        <v>15</v>
      </c>
      <c r="N134" s="122">
        <v>0.66707000000000005</v>
      </c>
      <c r="O134" s="126">
        <v>0.2</v>
      </c>
      <c r="P134" s="126">
        <v>0.1</v>
      </c>
      <c r="Q134" s="126">
        <v>1</v>
      </c>
      <c r="R134" s="52">
        <f>Q134*D134/C134/N134</f>
        <v>-1.3187271384282673E-3</v>
      </c>
      <c r="S134" s="52">
        <f>Q134*E134/C134/N134</f>
        <v>3.6211503932187419E-4</v>
      </c>
      <c r="T134" s="19">
        <f>M134*N134*O134/(P134*U134*L134)</f>
        <v>0.9998849634195246</v>
      </c>
      <c r="U134" s="19">
        <f>$AA$16</f>
        <v>1.0007201194205511</v>
      </c>
      <c r="V134" s="52">
        <f t="shared" si="149"/>
        <v>1.9009563459605107E-4</v>
      </c>
      <c r="W134" s="19">
        <f>R134+T134</f>
        <v>0.99856623628109631</v>
      </c>
      <c r="X134" s="2">
        <f>1000*(W134-1)</f>
        <v>-1.4337637189036911</v>
      </c>
      <c r="Y134" s="2">
        <f>1000*(S134-V134)</f>
        <v>0.17201940472582311</v>
      </c>
      <c r="AA134" s="46">
        <f>100*-(X134-X133)/1000</f>
        <v>0.13168265508238794</v>
      </c>
      <c r="AB134" s="46">
        <f>100*-(Y134-Y133)/1000</f>
        <v>-1.3995412764544874E-2</v>
      </c>
    </row>
    <row r="135" spans="1:31" x14ac:dyDescent="0.2">
      <c r="B135" s="164"/>
      <c r="C135" s="122">
        <v>0.30155402592000002</v>
      </c>
      <c r="D135" s="123">
        <v>-1.1552549000000001E-6</v>
      </c>
      <c r="E135" s="123">
        <v>3.6111442000000003E-5</v>
      </c>
      <c r="F135" s="123">
        <v>2.79747667756982E-8</v>
      </c>
      <c r="G135" s="123">
        <v>1.0219853793959101E-7</v>
      </c>
      <c r="H135" s="123">
        <v>4.1378158924727699E-8</v>
      </c>
      <c r="I135" s="124">
        <v>20.74</v>
      </c>
      <c r="J135" s="125">
        <f>100*C135/0.5</f>
        <v>60.310805184000003</v>
      </c>
      <c r="K135" s="124">
        <f>C135/P135</f>
        <v>3.0155402592000002</v>
      </c>
      <c r="L135" s="122">
        <v>20</v>
      </c>
      <c r="M135" s="122">
        <v>15</v>
      </c>
      <c r="N135" s="122">
        <v>0.66707000000000005</v>
      </c>
      <c r="O135" s="126">
        <v>0.2</v>
      </c>
      <c r="P135" s="126">
        <v>0.1</v>
      </c>
      <c r="Q135" s="126">
        <v>1</v>
      </c>
      <c r="R135" s="52">
        <f>Q135*D135/C135/N135</f>
        <v>-5.7430325620406348E-6</v>
      </c>
      <c r="S135" s="52">
        <f>Q135*E135/C135/N135</f>
        <v>1.7951811956672228E-4</v>
      </c>
      <c r="T135" s="19">
        <f>M135*N135*O135/(P135*U135*L135)</f>
        <v>0.9998849634195246</v>
      </c>
      <c r="U135" s="19">
        <f>$AA$16</f>
        <v>1.0007201194205511</v>
      </c>
      <c r="V135" s="52">
        <f t="shared" si="149"/>
        <v>1.9009563459605107E-4</v>
      </c>
      <c r="W135" s="19">
        <f>R135+T135</f>
        <v>0.99987922038696253</v>
      </c>
      <c r="X135" s="2">
        <f>1000*(W135-1)</f>
        <v>-0.12077961303746942</v>
      </c>
      <c r="Y135" s="2">
        <f>1000*(S135-V135)</f>
        <v>-1.0577515029328787E-2</v>
      </c>
      <c r="AA135" s="46"/>
      <c r="AB135" s="46"/>
    </row>
    <row r="136" spans="1:31" x14ac:dyDescent="0.2">
      <c r="F136" s="18"/>
      <c r="G136" s="18"/>
      <c r="H136" s="18"/>
      <c r="I136" s="2"/>
      <c r="J136" s="17"/>
      <c r="K136" s="2"/>
      <c r="R136" s="52"/>
      <c r="S136" s="52"/>
      <c r="T136" s="19"/>
      <c r="U136" s="19"/>
      <c r="V136" s="19"/>
      <c r="W136" s="19"/>
      <c r="X136" s="2"/>
      <c r="Y136" s="2"/>
      <c r="AA136" s="43"/>
      <c r="AB136" s="43"/>
    </row>
    <row r="137" spans="1:31" x14ac:dyDescent="0.2">
      <c r="B137" s="45" t="s">
        <v>217</v>
      </c>
      <c r="F137" s="18"/>
      <c r="G137" s="18"/>
      <c r="H137" s="18"/>
      <c r="J137" s="17"/>
      <c r="K137" s="2"/>
      <c r="R137" s="52"/>
      <c r="S137" s="52"/>
      <c r="T137" s="19"/>
      <c r="U137" s="19"/>
      <c r="V137" s="19"/>
      <c r="W137" s="19"/>
      <c r="X137" s="2"/>
      <c r="Y137" s="2"/>
      <c r="AA137" s="3"/>
      <c r="AB137" t="s">
        <v>64</v>
      </c>
    </row>
    <row r="138" spans="1:31" x14ac:dyDescent="0.2">
      <c r="C138" s="5" t="str">
        <f>B142&amp;" range, "&amp;B144&amp;", vs shunts and 500 AT on "&amp;B146&amp;" range."</f>
        <v>75/5 range, l - 1200At(5A), vs shunts and 500 AT on 100/5 range.</v>
      </c>
      <c r="G138" s="18"/>
      <c r="J138" s="5" t="s">
        <v>53</v>
      </c>
      <c r="R138" s="50"/>
      <c r="S138" s="50"/>
      <c r="X138" s="19"/>
      <c r="Y138" s="19"/>
      <c r="Z138" t="s">
        <v>63</v>
      </c>
      <c r="AA138" t="s">
        <v>63</v>
      </c>
      <c r="AB138" t="s">
        <v>65</v>
      </c>
    </row>
    <row r="139" spans="1:31" x14ac:dyDescent="0.2">
      <c r="A139" s="50"/>
      <c r="B139" s="4">
        <v>43369</v>
      </c>
      <c r="E139" s="18"/>
      <c r="F139" s="18"/>
      <c r="G139" s="18"/>
      <c r="H139" s="18"/>
      <c r="R139" s="50"/>
      <c r="S139" s="50"/>
      <c r="X139" t="s">
        <v>6</v>
      </c>
      <c r="Y139" t="s">
        <v>7</v>
      </c>
      <c r="Z139" t="s">
        <v>61</v>
      </c>
      <c r="AA139" t="s">
        <v>62</v>
      </c>
      <c r="AB139" t="s">
        <v>6</v>
      </c>
      <c r="AC139" t="s">
        <v>7</v>
      </c>
    </row>
    <row r="140" spans="1:31" x14ac:dyDescent="0.2">
      <c r="A140" s="50"/>
      <c r="B140" s="43" t="s">
        <v>51</v>
      </c>
      <c r="C140">
        <v>2.4598909732000001E-2</v>
      </c>
      <c r="D140" s="18">
        <v>2.3259667199999998E-9</v>
      </c>
      <c r="E140" s="18">
        <v>4.4490268999999998E-6</v>
      </c>
      <c r="F140" s="18">
        <v>2.0767232956406002E-8</v>
      </c>
      <c r="G140" s="18">
        <v>1.0114870668265801E-7</v>
      </c>
      <c r="H140" s="18">
        <v>8.2634350008879496E-8</v>
      </c>
      <c r="I140" s="2">
        <v>20.75</v>
      </c>
      <c r="J140" s="17">
        <f t="shared" ref="J140:J146" si="151">100*C140/0.5</f>
        <v>4.9197819464000005</v>
      </c>
      <c r="K140" s="2">
        <f t="shared" ref="K140:K146" si="152">C140/P140</f>
        <v>0.24598909731999999</v>
      </c>
      <c r="L140">
        <v>20</v>
      </c>
      <c r="M140">
        <v>15</v>
      </c>
      <c r="N140">
        <v>0.66707000000000005</v>
      </c>
      <c r="O140">
        <v>0.2</v>
      </c>
      <c r="P140">
        <v>0.1</v>
      </c>
      <c r="Q140">
        <v>1</v>
      </c>
      <c r="R140" s="52">
        <f t="shared" ref="R140:R146" si="153">Q140*D140/C140/N140</f>
        <v>1.4174776766372211E-7</v>
      </c>
      <c r="S140" s="52">
        <f t="shared" ref="S140:S146" si="154">Q140*E140/C140/N140</f>
        <v>2.711301180400594E-4</v>
      </c>
      <c r="T140" s="19">
        <f t="shared" ref="T140:T146" si="155">M140*N140*O140/(P140*U140*L140)</f>
        <v>0.9998849634195246</v>
      </c>
      <c r="U140" s="19">
        <f t="shared" ref="U140:U146" si="156">$AA$16</f>
        <v>1.0007201194205511</v>
      </c>
      <c r="V140" s="52">
        <f>AA$17</f>
        <v>2.2561396482316382E-4</v>
      </c>
      <c r="W140" s="19">
        <f t="shared" ref="W140:W146" si="157">R140+T140</f>
        <v>0.99988510516729223</v>
      </c>
      <c r="X140" s="2">
        <f t="shared" ref="X140:X146" si="158">1000*(W140-1)</f>
        <v>-0.11489483270776812</v>
      </c>
      <c r="Y140" s="2">
        <f t="shared" ref="Y140:Y146" si="159">1000*(S140-V140)</f>
        <v>4.5516153216895582E-2</v>
      </c>
      <c r="Z140" s="51">
        <f t="shared" ref="Z140:Z146" si="160">((C140*N140)^2/P140-$AB$10)*$Z$28*0.001</f>
        <v>-7.3925420962921531E-4</v>
      </c>
      <c r="AA140" s="51">
        <f>(C140^2/O140-$Z$10)*$AB$5*0.001</f>
        <v>-1.0648121366419841E-4</v>
      </c>
      <c r="AB140" s="2">
        <f>0.5*(X140+X148)+AA140-Z140</f>
        <v>-0.11502539192840541</v>
      </c>
      <c r="AC140" s="2">
        <f t="shared" ref="AC140:AC146" si="161">0.5*(Y140+Y148)</f>
        <v>6.8326478167080734E-2</v>
      </c>
      <c r="AE140" s="2"/>
    </row>
    <row r="141" spans="1:31" x14ac:dyDescent="0.2">
      <c r="A141" s="50"/>
      <c r="B141" s="5" t="s">
        <v>110</v>
      </c>
      <c r="C141">
        <v>5.0655373596000003E-2</v>
      </c>
      <c r="D141" s="18">
        <v>-1.7464722290000001E-7</v>
      </c>
      <c r="E141" s="18">
        <v>9.0642582000000006E-6</v>
      </c>
      <c r="F141" s="18">
        <v>2.1345133804450599E-8</v>
      </c>
      <c r="G141" s="18">
        <v>1.2297256018024299E-7</v>
      </c>
      <c r="H141" s="18">
        <v>1.3544323801785E-7</v>
      </c>
      <c r="I141" s="2">
        <v>20.75</v>
      </c>
      <c r="J141" s="17">
        <f t="shared" si="151"/>
        <v>10.131074719200001</v>
      </c>
      <c r="K141" s="2">
        <f t="shared" si="152"/>
        <v>0.50655373595999997</v>
      </c>
      <c r="L141">
        <v>20</v>
      </c>
      <c r="M141">
        <v>15</v>
      </c>
      <c r="N141">
        <v>0.66707000000000005</v>
      </c>
      <c r="O141">
        <v>0.2</v>
      </c>
      <c r="P141">
        <v>0.1</v>
      </c>
      <c r="Q141">
        <v>1</v>
      </c>
      <c r="R141" s="52">
        <f t="shared" si="153"/>
        <v>-5.1685027518144654E-6</v>
      </c>
      <c r="S141" s="52">
        <f t="shared" si="154"/>
        <v>2.682472854245244E-4</v>
      </c>
      <c r="T141" s="19">
        <f t="shared" si="155"/>
        <v>0.9998849634195246</v>
      </c>
      <c r="U141" s="19">
        <f t="shared" si="156"/>
        <v>1.0007201194205511</v>
      </c>
      <c r="V141" s="52">
        <f t="shared" ref="V141:V146" si="162">AA$17</f>
        <v>2.2561396482316382E-4</v>
      </c>
      <c r="W141" s="19">
        <f t="shared" si="157"/>
        <v>0.99987979491677281</v>
      </c>
      <c r="X141" s="2">
        <f t="shared" si="158"/>
        <v>-0.12020508322718726</v>
      </c>
      <c r="Y141" s="2">
        <f t="shared" si="159"/>
        <v>4.2633320601360575E-2</v>
      </c>
      <c r="Z141" s="51">
        <f t="shared" si="160"/>
        <v>-6.7740318825811161E-4</v>
      </c>
      <c r="AA141" s="51">
        <f t="shared" ref="AA141:AA146" si="163">(C141^2/O141-$Z$10)*$AB$5*0.001</f>
        <v>-8.579413523994492E-5</v>
      </c>
      <c r="AB141" s="2">
        <f t="shared" ref="AB141:AB146" si="164">0.5*(X141+X149)+AA141-Z141</f>
        <v>-0.11862684867675685</v>
      </c>
      <c r="AC141" s="2">
        <f t="shared" si="161"/>
        <v>6.1225718263616676E-2</v>
      </c>
      <c r="AE141" s="2"/>
    </row>
    <row r="142" spans="1:31" x14ac:dyDescent="0.2">
      <c r="A142" s="50"/>
      <c r="B142" s="161" t="s">
        <v>184</v>
      </c>
      <c r="C142">
        <v>0.10032391441999999</v>
      </c>
      <c r="D142" s="18">
        <v>-5.31015127E-7</v>
      </c>
      <c r="E142" s="18">
        <v>1.7337643999999998E-5</v>
      </c>
      <c r="F142" s="18">
        <v>1.6879782207139799E-8</v>
      </c>
      <c r="G142" s="18">
        <v>1.6939077352480799E-7</v>
      </c>
      <c r="H142" s="18">
        <v>6.2517319712220595E-8</v>
      </c>
      <c r="I142" s="2">
        <v>20.75</v>
      </c>
      <c r="J142" s="17">
        <f t="shared" si="151"/>
        <v>20.064782884</v>
      </c>
      <c r="K142" s="2">
        <f t="shared" si="152"/>
        <v>1.0032391441999999</v>
      </c>
      <c r="L142">
        <v>20</v>
      </c>
      <c r="M142">
        <v>15</v>
      </c>
      <c r="N142">
        <v>0.66707000000000005</v>
      </c>
      <c r="O142">
        <v>0.2</v>
      </c>
      <c r="P142">
        <v>0.1</v>
      </c>
      <c r="Q142">
        <v>1</v>
      </c>
      <c r="R142" s="52">
        <f t="shared" si="153"/>
        <v>-7.9347091891830301E-6</v>
      </c>
      <c r="S142" s="52">
        <f t="shared" si="154"/>
        <v>2.5906825657263059E-4</v>
      </c>
      <c r="T142" s="19">
        <f t="shared" si="155"/>
        <v>0.9998849634195246</v>
      </c>
      <c r="U142" s="19">
        <f t="shared" si="156"/>
        <v>1.0007201194205511</v>
      </c>
      <c r="V142" s="52">
        <f t="shared" si="162"/>
        <v>2.2561396482316382E-4</v>
      </c>
      <c r="W142" s="19">
        <f t="shared" si="157"/>
        <v>0.99987702871033546</v>
      </c>
      <c r="X142" s="2">
        <f t="shared" si="158"/>
        <v>-0.12297128966454185</v>
      </c>
      <c r="Y142" s="2">
        <f t="shared" si="159"/>
        <v>3.345429174946677E-2</v>
      </c>
      <c r="Z142" s="51">
        <f t="shared" si="160"/>
        <v>-4.4086626205652269E-4</v>
      </c>
      <c r="AA142" s="51">
        <f t="shared" si="163"/>
        <v>-6.680519424212806E-6</v>
      </c>
      <c r="AB142" s="2">
        <f t="shared" si="164"/>
        <v>-0.12302057949881628</v>
      </c>
      <c r="AC142" s="2">
        <f t="shared" si="161"/>
        <v>5.0589713846637532E-2</v>
      </c>
      <c r="AE142" s="2"/>
    </row>
    <row r="143" spans="1:31" x14ac:dyDescent="0.2">
      <c r="A143" s="50"/>
      <c r="B143" s="67" t="s">
        <v>112</v>
      </c>
      <c r="C143">
        <v>0.20044275723999999</v>
      </c>
      <c r="D143" s="18">
        <v>-1.2489278000000001E-6</v>
      </c>
      <c r="E143" s="18">
        <v>3.2928558E-5</v>
      </c>
      <c r="F143" s="18">
        <v>1.1961454503517699E-8</v>
      </c>
      <c r="G143" s="18">
        <v>1.9610790092487401E-7</v>
      </c>
      <c r="H143" s="18">
        <v>6.50517258495113E-8</v>
      </c>
      <c r="I143" s="2">
        <v>20.75</v>
      </c>
      <c r="J143" s="17">
        <f t="shared" si="151"/>
        <v>40.088551447999997</v>
      </c>
      <c r="K143" s="2">
        <f t="shared" si="152"/>
        <v>2.0044275723999996</v>
      </c>
      <c r="L143">
        <v>20</v>
      </c>
      <c r="M143">
        <v>15</v>
      </c>
      <c r="N143">
        <v>0.66707000000000005</v>
      </c>
      <c r="O143">
        <v>0.2</v>
      </c>
      <c r="P143">
        <v>0.1</v>
      </c>
      <c r="Q143">
        <v>1</v>
      </c>
      <c r="R143" s="52">
        <f t="shared" si="153"/>
        <v>-9.3406167880306417E-6</v>
      </c>
      <c r="S143" s="52">
        <f t="shared" si="154"/>
        <v>2.4626967360358271E-4</v>
      </c>
      <c r="T143" s="19">
        <f t="shared" si="155"/>
        <v>0.9998849634195246</v>
      </c>
      <c r="U143" s="19">
        <f t="shared" si="156"/>
        <v>1.0007201194205511</v>
      </c>
      <c r="V143" s="52">
        <f t="shared" si="162"/>
        <v>2.2561396482316382E-4</v>
      </c>
      <c r="W143" s="19">
        <f t="shared" si="157"/>
        <v>0.99987562280273656</v>
      </c>
      <c r="X143" s="2">
        <f t="shared" si="158"/>
        <v>-0.12437719726343666</v>
      </c>
      <c r="Y143" s="2">
        <f t="shared" si="159"/>
        <v>2.0655708780418891E-2</v>
      </c>
      <c r="Z143" s="51">
        <f t="shared" si="160"/>
        <v>5.0896335132824566E-4</v>
      </c>
      <c r="AA143" s="51">
        <f t="shared" si="163"/>
        <v>3.1100541794899019E-4</v>
      </c>
      <c r="AB143" s="2">
        <f t="shared" si="164"/>
        <v>-0.12434199853156344</v>
      </c>
      <c r="AC143" s="2">
        <f t="shared" si="161"/>
        <v>3.6450195505621313E-2</v>
      </c>
      <c r="AE143" s="2"/>
    </row>
    <row r="144" spans="1:31" ht="13.5" x14ac:dyDescent="0.25">
      <c r="B144" s="163" t="s">
        <v>181</v>
      </c>
      <c r="C144">
        <v>0.30039959474</v>
      </c>
      <c r="D144" s="18">
        <v>-2.2116290999999998E-6</v>
      </c>
      <c r="E144" s="18">
        <v>4.8189082E-5</v>
      </c>
      <c r="F144" s="18">
        <v>8.3607686356264998E-8</v>
      </c>
      <c r="G144" s="18">
        <v>3.16437800997297E-9</v>
      </c>
      <c r="H144" s="18">
        <v>4.6369935044163802E-8</v>
      </c>
      <c r="I144" s="2">
        <v>20.75</v>
      </c>
      <c r="J144" s="17">
        <f t="shared" si="151"/>
        <v>60.079918948</v>
      </c>
      <c r="K144" s="2">
        <f t="shared" si="152"/>
        <v>3.0039959474</v>
      </c>
      <c r="L144">
        <v>20</v>
      </c>
      <c r="M144">
        <v>15</v>
      </c>
      <c r="N144">
        <v>0.66707000000000005</v>
      </c>
      <c r="O144">
        <v>0.2</v>
      </c>
      <c r="P144">
        <v>0.1</v>
      </c>
      <c r="Q144">
        <v>1</v>
      </c>
      <c r="R144" s="52">
        <f t="shared" si="153"/>
        <v>-1.1036758598141356E-5</v>
      </c>
      <c r="S144" s="52">
        <f t="shared" si="154"/>
        <v>2.4047941180555045E-4</v>
      </c>
      <c r="T144" s="19">
        <f t="shared" si="155"/>
        <v>0.9998849634195246</v>
      </c>
      <c r="U144" s="19">
        <f t="shared" si="156"/>
        <v>1.0007201194205511</v>
      </c>
      <c r="V144" s="52">
        <f t="shared" si="162"/>
        <v>2.2561396482316382E-4</v>
      </c>
      <c r="W144" s="19">
        <f t="shared" si="157"/>
        <v>0.99987392666092645</v>
      </c>
      <c r="X144" s="2">
        <f t="shared" si="158"/>
        <v>-0.12607333907355134</v>
      </c>
      <c r="Y144" s="2">
        <f t="shared" si="159"/>
        <v>1.4865446982386624E-2</v>
      </c>
      <c r="Z144" s="51">
        <f t="shared" si="160"/>
        <v>2.0880782389560361E-3</v>
      </c>
      <c r="AA144" s="51">
        <f t="shared" si="163"/>
        <v>8.391660335233072E-4</v>
      </c>
      <c r="AB144" s="2">
        <f t="shared" si="164"/>
        <v>-0.1281916149532559</v>
      </c>
      <c r="AC144" s="2">
        <f t="shared" si="161"/>
        <v>2.9752985839584037E-2</v>
      </c>
      <c r="AE144" s="2"/>
    </row>
    <row r="145" spans="2:31" x14ac:dyDescent="0.2">
      <c r="B145" s="66" t="s">
        <v>111</v>
      </c>
      <c r="C145">
        <v>0.50078041912000004</v>
      </c>
      <c r="D145" s="18">
        <v>-3.2702996000000001E-6</v>
      </c>
      <c r="E145" s="18">
        <v>7.6000974000000002E-5</v>
      </c>
      <c r="F145" s="18">
        <v>5.5825206590797801E-7</v>
      </c>
      <c r="G145" s="18">
        <v>2.7355593478087802E-7</v>
      </c>
      <c r="H145" s="18">
        <v>9.5847706931360707E-8</v>
      </c>
      <c r="I145" s="2">
        <v>20.75</v>
      </c>
      <c r="J145" s="17">
        <f t="shared" si="151"/>
        <v>100.15608382400001</v>
      </c>
      <c r="K145" s="2">
        <f t="shared" si="152"/>
        <v>5.0078041912</v>
      </c>
      <c r="L145">
        <v>20</v>
      </c>
      <c r="M145">
        <v>15</v>
      </c>
      <c r="N145">
        <v>0.66707000000000005</v>
      </c>
      <c r="O145">
        <v>0.2</v>
      </c>
      <c r="P145">
        <v>0.1</v>
      </c>
      <c r="Q145">
        <v>1</v>
      </c>
      <c r="R145" s="52">
        <f t="shared" si="153"/>
        <v>-9.7896866777646957E-6</v>
      </c>
      <c r="S145" s="52">
        <f t="shared" si="154"/>
        <v>2.2750995739501698E-4</v>
      </c>
      <c r="T145" s="19">
        <f t="shared" si="155"/>
        <v>0.9998849634195246</v>
      </c>
      <c r="U145" s="19">
        <f t="shared" si="156"/>
        <v>1.0007201194205511</v>
      </c>
      <c r="V145" s="52">
        <f t="shared" si="162"/>
        <v>2.2561396482316382E-4</v>
      </c>
      <c r="W145" s="19">
        <f t="shared" si="157"/>
        <v>0.99987517373284684</v>
      </c>
      <c r="X145" s="2">
        <f t="shared" si="158"/>
        <v>-0.12482626715315526</v>
      </c>
      <c r="Y145" s="2">
        <f t="shared" si="159"/>
        <v>1.895992571853154E-3</v>
      </c>
      <c r="Z145" s="51">
        <f t="shared" si="160"/>
        <v>7.1519936251932016E-3</v>
      </c>
      <c r="AA145" s="51">
        <f t="shared" si="163"/>
        <v>2.5328747614734989E-3</v>
      </c>
      <c r="AB145" s="2">
        <f t="shared" si="164"/>
        <v>-0.1314280097855898</v>
      </c>
      <c r="AC145" s="2">
        <f t="shared" si="161"/>
        <v>1.738409420251048E-2</v>
      </c>
      <c r="AE145" s="2"/>
    </row>
    <row r="146" spans="2:31" x14ac:dyDescent="0.2">
      <c r="B146" s="162" t="s">
        <v>185</v>
      </c>
      <c r="C146">
        <v>0.60432324084</v>
      </c>
      <c r="D146" s="18">
        <v>-3.12926E-6</v>
      </c>
      <c r="E146" s="18">
        <v>8.9867376999999997E-5</v>
      </c>
      <c r="F146" s="18">
        <v>3.59859945833551E-7</v>
      </c>
      <c r="G146" s="18">
        <v>1.6940658945085999E-21</v>
      </c>
      <c r="H146" s="18">
        <v>1.5797818574411E-7</v>
      </c>
      <c r="I146" s="2">
        <v>20.75</v>
      </c>
      <c r="J146" s="17">
        <f t="shared" si="151"/>
        <v>120.864648168</v>
      </c>
      <c r="K146" s="2">
        <f t="shared" si="152"/>
        <v>6.0432324083999998</v>
      </c>
      <c r="L146">
        <v>20</v>
      </c>
      <c r="M146">
        <v>15</v>
      </c>
      <c r="N146">
        <v>0.66707000000000005</v>
      </c>
      <c r="O146">
        <v>0.2</v>
      </c>
      <c r="P146">
        <v>0.1</v>
      </c>
      <c r="Q146">
        <v>1</v>
      </c>
      <c r="R146" s="52">
        <f t="shared" si="153"/>
        <v>-7.7624880139836867E-6</v>
      </c>
      <c r="S146" s="52">
        <f t="shared" si="154"/>
        <v>2.2292632661097294E-4</v>
      </c>
      <c r="T146" s="19">
        <f t="shared" si="155"/>
        <v>0.9998849634195246</v>
      </c>
      <c r="U146" s="19">
        <f t="shared" si="156"/>
        <v>1.0007201194205511</v>
      </c>
      <c r="V146" s="52">
        <f t="shared" si="162"/>
        <v>2.2561396482316382E-4</v>
      </c>
      <c r="W146" s="19">
        <f t="shared" si="157"/>
        <v>0.99987720093151067</v>
      </c>
      <c r="X146" s="2">
        <f t="shared" si="158"/>
        <v>-0.12279906848933209</v>
      </c>
      <c r="Y146" s="2">
        <f t="shared" si="159"/>
        <v>-2.6876382121908829E-3</v>
      </c>
      <c r="Z146" s="51">
        <f t="shared" si="160"/>
        <v>1.076129533962686E-2</v>
      </c>
      <c r="AA146" s="51">
        <f t="shared" si="163"/>
        <v>3.7400643271120236E-3</v>
      </c>
      <c r="AB146" s="2">
        <f t="shared" si="164"/>
        <v>-0.13134942015577833</v>
      </c>
      <c r="AC146" s="2">
        <f t="shared" si="161"/>
        <v>1.2328919130087424E-2</v>
      </c>
      <c r="AE146" s="2"/>
    </row>
    <row r="147" spans="2:31" x14ac:dyDescent="0.2">
      <c r="I147" s="2"/>
      <c r="J147" s="17"/>
      <c r="K147" s="2"/>
      <c r="R147" s="52"/>
      <c r="S147" s="52"/>
      <c r="T147" s="19"/>
      <c r="U147" s="19"/>
      <c r="V147" s="52"/>
      <c r="W147" s="19"/>
      <c r="X147" s="2"/>
      <c r="Y147" s="2"/>
      <c r="AA147" s="2"/>
      <c r="AB147" s="2"/>
    </row>
    <row r="148" spans="2:31" x14ac:dyDescent="0.2">
      <c r="B148" s="43" t="s">
        <v>52</v>
      </c>
      <c r="C148">
        <v>2.4633165118000001E-2</v>
      </c>
      <c r="D148" s="18">
        <v>-2.2757013600000001E-8</v>
      </c>
      <c r="E148" s="18">
        <v>4.6212241999999996E-6</v>
      </c>
      <c r="F148" s="18">
        <v>3.4597996594106701E-8</v>
      </c>
      <c r="G148" s="18">
        <v>9.97158838695372E-8</v>
      </c>
      <c r="H148" s="18">
        <v>1.23092712523366E-7</v>
      </c>
      <c r="I148" s="2">
        <v>20.75</v>
      </c>
      <c r="J148" s="17">
        <f t="shared" ref="J148:J154" si="165">100*C148/0.5</f>
        <v>4.9266330236</v>
      </c>
      <c r="K148" s="2">
        <f t="shared" ref="K148:K154" si="166">C148/P148</f>
        <v>0.24633165118</v>
      </c>
      <c r="L148">
        <v>20</v>
      </c>
      <c r="M148">
        <v>15</v>
      </c>
      <c r="N148">
        <v>0.66707000000000005</v>
      </c>
      <c r="O148">
        <v>0.2</v>
      </c>
      <c r="P148">
        <v>0.1</v>
      </c>
      <c r="Q148">
        <v>1</v>
      </c>
      <c r="R148" s="52">
        <f t="shared" ref="R148:R154" si="167">Q148*D148/C148/N148</f>
        <v>-1.3849166655457027E-6</v>
      </c>
      <c r="S148" s="52">
        <f t="shared" ref="S148:S154" si="168">Q148*E148/C148/N148</f>
        <v>2.8123243771331695E-4</v>
      </c>
      <c r="T148" s="19">
        <f t="shared" ref="T148:T154" si="169">M148*N148*O148/(P148*U148*L148)</f>
        <v>0.9998849634195246</v>
      </c>
      <c r="U148" s="19">
        <f t="shared" ref="U148:U155" si="170">$AA$16</f>
        <v>1.0007201194205511</v>
      </c>
      <c r="V148" s="52">
        <f>$AA$26</f>
        <v>1.9009563459605107E-4</v>
      </c>
      <c r="W148" s="19">
        <f t="shared" ref="W148:W154" si="171">R148+T148</f>
        <v>0.99988357850285903</v>
      </c>
      <c r="X148" s="2">
        <f t="shared" ref="X148:X154" si="172">1000*(W148-1)</f>
        <v>-0.11642149714097272</v>
      </c>
      <c r="Y148" s="2">
        <f t="shared" ref="Y148:Y154" si="173">1000*(S148-V148)</f>
        <v>9.113680311726588E-2</v>
      </c>
      <c r="Z148" s="51">
        <f t="shared" ref="Z148:Z154" si="174">((C148*N148)^2/P148-$AB$10)*$Z$28*0.001</f>
        <v>-7.3920101384945282E-4</v>
      </c>
      <c r="AA148" s="51">
        <f>(C148^2/O148-$Z$10)*$AB$5*0.001</f>
        <v>-1.0646342147187255E-4</v>
      </c>
    </row>
    <row r="149" spans="2:31" x14ac:dyDescent="0.2">
      <c r="C149">
        <v>5.0012642070000002E-2</v>
      </c>
      <c r="D149" s="18">
        <v>-1.0659977549999999E-7</v>
      </c>
      <c r="E149" s="18">
        <v>9.0048445000000007E-6</v>
      </c>
      <c r="F149" s="18">
        <v>3.0408389983878199E-8</v>
      </c>
      <c r="G149" s="18">
        <v>1.0690574893931E-7</v>
      </c>
      <c r="H149" s="18">
        <v>1.06176038241922E-7</v>
      </c>
      <c r="I149" s="2">
        <v>20.75</v>
      </c>
      <c r="J149" s="17">
        <f t="shared" si="165"/>
        <v>10.002528414</v>
      </c>
      <c r="K149" s="2">
        <f t="shared" si="166"/>
        <v>0.50012642070000002</v>
      </c>
      <c r="L149">
        <v>20</v>
      </c>
      <c r="M149">
        <v>15</v>
      </c>
      <c r="N149">
        <v>0.66707000000000005</v>
      </c>
      <c r="O149">
        <v>0.2</v>
      </c>
      <c r="P149">
        <v>0.1</v>
      </c>
      <c r="Q149">
        <v>1</v>
      </c>
      <c r="R149" s="52">
        <f t="shared" si="167"/>
        <v>-3.1952517569848186E-6</v>
      </c>
      <c r="S149" s="52">
        <f t="shared" si="168"/>
        <v>2.6991375052192384E-4</v>
      </c>
      <c r="T149" s="19">
        <f t="shared" si="169"/>
        <v>0.9998849634195246</v>
      </c>
      <c r="U149" s="19">
        <f t="shared" si="170"/>
        <v>1.0007201194205511</v>
      </c>
      <c r="V149" s="52">
        <f t="shared" ref="V149:V157" si="175">$AA$26</f>
        <v>1.9009563459605107E-4</v>
      </c>
      <c r="W149" s="19">
        <f t="shared" si="171"/>
        <v>0.99988176816776764</v>
      </c>
      <c r="X149" s="2">
        <f t="shared" si="172"/>
        <v>-0.11823183223236278</v>
      </c>
      <c r="Y149" s="2">
        <f t="shared" si="173"/>
        <v>7.9818115925872776E-2</v>
      </c>
      <c r="Z149" s="51">
        <f t="shared" si="174"/>
        <v>-6.794440861876992E-4</v>
      </c>
      <c r="AA149" s="51">
        <f t="shared" ref="AA149:AA154" si="176">(C149^2/O149-$Z$10)*$AB$5*0.001</f>
        <v>-8.6476746692259541E-5</v>
      </c>
    </row>
    <row r="150" spans="2:31" x14ac:dyDescent="0.2">
      <c r="C150">
        <v>0.10053049466</v>
      </c>
      <c r="D150" s="18">
        <v>-5.9695314999999995E-7</v>
      </c>
      <c r="E150" s="18">
        <v>1.7289686999999999E-5</v>
      </c>
      <c r="F150" s="18">
        <v>3.5421707364827301E-8</v>
      </c>
      <c r="G150" s="18">
        <v>1.3940665472927601E-7</v>
      </c>
      <c r="H150" s="18">
        <v>2.0021012894206899E-7</v>
      </c>
      <c r="I150" s="2">
        <v>20.76</v>
      </c>
      <c r="J150" s="17">
        <f t="shared" si="165"/>
        <v>20.106098931999998</v>
      </c>
      <c r="K150" s="2">
        <f t="shared" si="166"/>
        <v>1.0053049465999999</v>
      </c>
      <c r="L150">
        <v>20</v>
      </c>
      <c r="M150">
        <v>15</v>
      </c>
      <c r="N150">
        <v>0.66707000000000005</v>
      </c>
      <c r="O150">
        <v>0.2</v>
      </c>
      <c r="P150">
        <v>0.1</v>
      </c>
      <c r="Q150">
        <v>1</v>
      </c>
      <c r="R150" s="52">
        <f t="shared" si="167"/>
        <v>-8.9016603429082465E-6</v>
      </c>
      <c r="S150" s="52">
        <f t="shared" si="168"/>
        <v>2.5782077053985937E-4</v>
      </c>
      <c r="T150" s="19">
        <f t="shared" si="169"/>
        <v>0.9998849634195246</v>
      </c>
      <c r="U150" s="19">
        <f t="shared" si="170"/>
        <v>1.0007201194205511</v>
      </c>
      <c r="V150" s="52">
        <f t="shared" si="175"/>
        <v>1.9009563459605107E-4</v>
      </c>
      <c r="W150" s="19">
        <f t="shared" si="171"/>
        <v>0.99987606175918164</v>
      </c>
      <c r="X150" s="2">
        <f t="shared" si="172"/>
        <v>-0.12393824081835536</v>
      </c>
      <c r="Y150" s="2">
        <f t="shared" si="173"/>
        <v>6.7725135943808301E-2</v>
      </c>
      <c r="Z150" s="51">
        <f t="shared" si="174"/>
        <v>-4.3955747099055605E-4</v>
      </c>
      <c r="AA150" s="51">
        <f t="shared" si="176"/>
        <v>-6.2427730002667079E-6</v>
      </c>
    </row>
    <row r="151" spans="2:31" x14ac:dyDescent="0.2">
      <c r="C151">
        <v>0.20020196328000001</v>
      </c>
      <c r="D151" s="18">
        <v>-1.1851518999999999E-6</v>
      </c>
      <c r="E151" s="18">
        <v>3.236424E-5</v>
      </c>
      <c r="F151" s="18">
        <v>4.76848939828586E-8</v>
      </c>
      <c r="G151" s="18">
        <v>1.3595359970000799E-7</v>
      </c>
      <c r="H151" s="18">
        <v>6.7945542900178201E-8</v>
      </c>
      <c r="I151" s="2">
        <v>20.77</v>
      </c>
      <c r="J151" s="17">
        <f t="shared" si="165"/>
        <v>40.040392656000002</v>
      </c>
      <c r="K151" s="2">
        <f t="shared" si="166"/>
        <v>2.0020196327999997</v>
      </c>
      <c r="L151">
        <v>20</v>
      </c>
      <c r="M151">
        <v>15</v>
      </c>
      <c r="N151">
        <v>0.66707000000000005</v>
      </c>
      <c r="O151">
        <v>0.2</v>
      </c>
      <c r="P151">
        <v>0.1</v>
      </c>
      <c r="Q151">
        <v>1</v>
      </c>
      <c r="R151" s="52">
        <f t="shared" si="167"/>
        <v>-8.8743034575807326E-6</v>
      </c>
      <c r="S151" s="52">
        <f t="shared" si="168"/>
        <v>2.4234031682687481E-4</v>
      </c>
      <c r="T151" s="19">
        <f t="shared" si="169"/>
        <v>0.9998849634195246</v>
      </c>
      <c r="U151" s="19">
        <f t="shared" si="170"/>
        <v>1.0007201194205511</v>
      </c>
      <c r="V151" s="52">
        <f t="shared" si="175"/>
        <v>1.9009563459605107E-4</v>
      </c>
      <c r="W151" s="19">
        <f t="shared" si="171"/>
        <v>0.99987608911606707</v>
      </c>
      <c r="X151" s="2">
        <f t="shared" si="172"/>
        <v>-0.1239108839329317</v>
      </c>
      <c r="Y151" s="2">
        <f t="shared" si="173"/>
        <v>5.2244682230823736E-2</v>
      </c>
      <c r="Z151" s="51">
        <f t="shared" si="174"/>
        <v>5.0592032865874473E-4</v>
      </c>
      <c r="AA151" s="51">
        <f t="shared" si="176"/>
        <v>3.0998762960507528E-4</v>
      </c>
    </row>
    <row r="152" spans="2:31" x14ac:dyDescent="0.2">
      <c r="C152">
        <v>0.30037167607999998</v>
      </c>
      <c r="D152" s="18">
        <v>-2.5598105E-6</v>
      </c>
      <c r="E152" s="18">
        <v>4.7033834000000003E-5</v>
      </c>
      <c r="F152" s="18">
        <v>2.2955380767116399E-8</v>
      </c>
      <c r="G152" s="18">
        <v>2.3502889000875999E-7</v>
      </c>
      <c r="H152" s="18">
        <v>1.1993622990573001E-7</v>
      </c>
      <c r="I152" s="2">
        <v>20.77</v>
      </c>
      <c r="J152" s="17">
        <f t="shared" si="165"/>
        <v>60.074335215999994</v>
      </c>
      <c r="K152" s="2">
        <f t="shared" si="166"/>
        <v>3.0037167607999997</v>
      </c>
      <c r="L152">
        <v>20</v>
      </c>
      <c r="M152">
        <v>15</v>
      </c>
      <c r="N152">
        <v>0.66707000000000005</v>
      </c>
      <c r="O152">
        <v>0.2</v>
      </c>
      <c r="P152">
        <v>0.1</v>
      </c>
      <c r="Q152">
        <v>1</v>
      </c>
      <c r="R152" s="52">
        <f t="shared" si="167"/>
        <v>-1.2775485946722209E-5</v>
      </c>
      <c r="S152" s="52">
        <f t="shared" si="168"/>
        <v>2.3473615929283252E-4</v>
      </c>
      <c r="T152" s="19">
        <f t="shared" si="169"/>
        <v>0.9998849634195246</v>
      </c>
      <c r="U152" s="19">
        <f t="shared" si="170"/>
        <v>1.0007201194205511</v>
      </c>
      <c r="V152" s="52">
        <f t="shared" si="175"/>
        <v>1.9009563459605107E-4</v>
      </c>
      <c r="W152" s="19">
        <f t="shared" si="171"/>
        <v>0.99987218793357791</v>
      </c>
      <c r="X152" s="2">
        <f t="shared" si="172"/>
        <v>-0.12781206642209497</v>
      </c>
      <c r="Y152" s="2">
        <f t="shared" si="173"/>
        <v>4.4640524696781446E-2</v>
      </c>
      <c r="Z152" s="51">
        <f t="shared" si="174"/>
        <v>2.0875491802071176E-3</v>
      </c>
      <c r="AA152" s="51">
        <f t="shared" si="176"/>
        <v>8.3898908123396286E-4</v>
      </c>
    </row>
    <row r="153" spans="2:31" x14ac:dyDescent="0.2">
      <c r="C153">
        <v>0.50110135820000001</v>
      </c>
      <c r="D153" s="18">
        <v>-4.5978574999999899E-6</v>
      </c>
      <c r="E153" s="18">
        <v>7.4531385999999998E-5</v>
      </c>
      <c r="F153" s="18">
        <v>2.3203474435787499E-7</v>
      </c>
      <c r="G153" s="18">
        <v>1.7957670410370601E-7</v>
      </c>
      <c r="H153" s="18">
        <v>3.37565574968776E-7</v>
      </c>
      <c r="I153" s="2">
        <v>20.77</v>
      </c>
      <c r="J153" s="17">
        <f t="shared" si="165"/>
        <v>100.22027164000001</v>
      </c>
      <c r="K153" s="2">
        <f t="shared" si="166"/>
        <v>5.0110135819999995</v>
      </c>
      <c r="L153">
        <v>20</v>
      </c>
      <c r="M153">
        <v>15</v>
      </c>
      <c r="N153">
        <v>0.66707000000000005</v>
      </c>
      <c r="O153">
        <v>0.2</v>
      </c>
      <c r="P153">
        <v>0.1</v>
      </c>
      <c r="Q153">
        <v>1</v>
      </c>
      <c r="R153" s="52">
        <f t="shared" si="167"/>
        <v>-1.3754934215200427E-5</v>
      </c>
      <c r="S153" s="52">
        <f t="shared" si="168"/>
        <v>2.2296783042921887E-4</v>
      </c>
      <c r="T153" s="19">
        <f t="shared" si="169"/>
        <v>0.9998849634195246</v>
      </c>
      <c r="U153" s="19">
        <f t="shared" si="170"/>
        <v>1.0007201194205511</v>
      </c>
      <c r="V153" s="52">
        <f t="shared" si="175"/>
        <v>1.9009563459605107E-4</v>
      </c>
      <c r="W153" s="19">
        <f t="shared" si="171"/>
        <v>0.99987120848530942</v>
      </c>
      <c r="X153" s="2">
        <f t="shared" si="172"/>
        <v>-0.12879151469058492</v>
      </c>
      <c r="Y153" s="2">
        <f t="shared" si="173"/>
        <v>3.2872195833167805E-2</v>
      </c>
      <c r="Z153" s="51">
        <f t="shared" si="174"/>
        <v>7.1621359906514004E-3</v>
      </c>
      <c r="AA153" s="51">
        <f t="shared" si="176"/>
        <v>2.5362670402910522E-3</v>
      </c>
    </row>
    <row r="154" spans="2:31" x14ac:dyDescent="0.2">
      <c r="C154">
        <v>0.60077797336000005</v>
      </c>
      <c r="D154" s="18">
        <v>-4.3365259000000003E-6</v>
      </c>
      <c r="E154" s="18">
        <v>8.7141908999999998E-5</v>
      </c>
      <c r="F154" s="18">
        <v>3.0631139981301699E-7</v>
      </c>
      <c r="G154" s="18">
        <v>3.4928733374714599E-7</v>
      </c>
      <c r="H154" s="18">
        <v>1.9120485197557201E-7</v>
      </c>
      <c r="I154" s="2">
        <v>20.77</v>
      </c>
      <c r="J154" s="17">
        <f t="shared" si="165"/>
        <v>120.15559467200001</v>
      </c>
      <c r="K154" s="2">
        <f t="shared" si="166"/>
        <v>6.0077797336000005</v>
      </c>
      <c r="L154">
        <v>20</v>
      </c>
      <c r="M154">
        <v>15</v>
      </c>
      <c r="N154">
        <v>0.66707000000000005</v>
      </c>
      <c r="O154">
        <v>0.2</v>
      </c>
      <c r="P154">
        <v>0.1</v>
      </c>
      <c r="Q154">
        <v>1</v>
      </c>
      <c r="R154" s="52">
        <f t="shared" si="167"/>
        <v>-1.0820729321788971E-5</v>
      </c>
      <c r="S154" s="52">
        <f t="shared" si="168"/>
        <v>2.174411110684168E-4</v>
      </c>
      <c r="T154" s="19">
        <f t="shared" si="169"/>
        <v>0.9998849634195246</v>
      </c>
      <c r="U154" s="19">
        <f t="shared" si="170"/>
        <v>1.0007201194205511</v>
      </c>
      <c r="V154" s="52">
        <f t="shared" si="175"/>
        <v>1.9009563459605107E-4</v>
      </c>
      <c r="W154" s="19">
        <f t="shared" si="171"/>
        <v>0.99987414269020281</v>
      </c>
      <c r="X154" s="2">
        <f t="shared" si="172"/>
        <v>-0.12585730979719489</v>
      </c>
      <c r="Y154" s="2">
        <f t="shared" si="173"/>
        <v>2.734547647236573E-2</v>
      </c>
      <c r="Z154" s="51">
        <f t="shared" si="174"/>
        <v>1.0626531708118015E-2</v>
      </c>
      <c r="AA154" s="51">
        <f t="shared" si="176"/>
        <v>3.6949904422842596E-3</v>
      </c>
    </row>
    <row r="155" spans="2:31" x14ac:dyDescent="0.2">
      <c r="B155" s="122" t="s">
        <v>51</v>
      </c>
      <c r="C155" s="122">
        <v>0.30192221157999999</v>
      </c>
      <c r="D155" s="123">
        <v>-1.9536108E-6</v>
      </c>
      <c r="E155" s="123">
        <v>4.7388426E-5</v>
      </c>
      <c r="F155" s="123">
        <v>2.3273304066229599E-8</v>
      </c>
      <c r="G155" s="123">
        <v>2.3824122088202999E-7</v>
      </c>
      <c r="H155" s="123">
        <v>2.6737757670380698E-7</v>
      </c>
      <c r="I155" s="124">
        <v>20.77</v>
      </c>
      <c r="J155" s="125">
        <f>100*C155/0.5</f>
        <v>60.384442315999998</v>
      </c>
      <c r="K155" s="124">
        <f>C155/P155</f>
        <v>3.0192221157999999</v>
      </c>
      <c r="L155" s="122">
        <v>20</v>
      </c>
      <c r="M155" s="122">
        <v>15</v>
      </c>
      <c r="N155" s="122">
        <v>0.66707000000000005</v>
      </c>
      <c r="O155" s="126">
        <v>0.2</v>
      </c>
      <c r="P155" s="126">
        <v>0.1</v>
      </c>
      <c r="Q155" s="126">
        <v>1</v>
      </c>
      <c r="R155" s="52">
        <f>Q155*D155/C155/N155</f>
        <v>-9.6999964157325858E-6</v>
      </c>
      <c r="S155" s="52">
        <f>Q155*E155/C155/N155</f>
        <v>2.3529126801879313E-4</v>
      </c>
      <c r="T155" s="19">
        <f>M155*N155*O155/(P155*U155*L155)</f>
        <v>0.9998849634195246</v>
      </c>
      <c r="U155" s="19">
        <f t="shared" si="170"/>
        <v>1.0007201194205511</v>
      </c>
      <c r="V155" s="52">
        <f t="shared" si="175"/>
        <v>1.9009563459605107E-4</v>
      </c>
      <c r="W155" s="19">
        <f>R155+T155</f>
        <v>0.99987526342310884</v>
      </c>
      <c r="X155" s="2">
        <f>1000*(W155-1)</f>
        <v>-0.12473657689116013</v>
      </c>
      <c r="Y155" s="2">
        <f>1000*(S155-V155)</f>
        <v>4.5195633422742063E-2</v>
      </c>
      <c r="Z155" t="s">
        <v>68</v>
      </c>
      <c r="AA155" t="s">
        <v>67</v>
      </c>
      <c r="AB155" t="s">
        <v>66</v>
      </c>
    </row>
    <row r="156" spans="2:31" x14ac:dyDescent="0.2">
      <c r="B156" s="164" t="s">
        <v>54</v>
      </c>
      <c r="C156" s="122">
        <v>0.30194799494000002</v>
      </c>
      <c r="D156" s="123">
        <v>-3.6620654000000001E-4</v>
      </c>
      <c r="E156" s="123">
        <v>8.5851712999999999E-5</v>
      </c>
      <c r="F156" s="123">
        <v>1.7619039617480801E-8</v>
      </c>
      <c r="G156" s="123">
        <v>8.5653173676402705E-6</v>
      </c>
      <c r="H156" s="123">
        <v>3.14502532411601E-6</v>
      </c>
      <c r="I156" s="124">
        <v>20.78</v>
      </c>
      <c r="J156" s="125">
        <f>100*C156/0.5</f>
        <v>60.389598988000003</v>
      </c>
      <c r="K156" s="124">
        <f>C156/P156</f>
        <v>3.0194799494</v>
      </c>
      <c r="L156" s="122">
        <v>20</v>
      </c>
      <c r="M156" s="122">
        <v>15</v>
      </c>
      <c r="N156" s="122">
        <v>0.66707000000000005</v>
      </c>
      <c r="O156" s="126">
        <v>0.2</v>
      </c>
      <c r="P156" s="126">
        <v>0.1</v>
      </c>
      <c r="Q156" s="126">
        <v>1</v>
      </c>
      <c r="R156" s="52">
        <f>Q156*D156/C156/N156</f>
        <v>-1.8181199666968872E-3</v>
      </c>
      <c r="S156" s="52">
        <f>Q156*E156/C156/N156</f>
        <v>4.2623136544866379E-4</v>
      </c>
      <c r="T156" s="19">
        <f>M156*N156*O156/(P156*U156*L156)</f>
        <v>0.9998849634195246</v>
      </c>
      <c r="U156" s="19">
        <f>$AA$16</f>
        <v>1.0007201194205511</v>
      </c>
      <c r="V156" s="52">
        <f t="shared" si="175"/>
        <v>1.9009563459605107E-4</v>
      </c>
      <c r="W156" s="19">
        <f>R156+T156</f>
        <v>0.9980668434528277</v>
      </c>
      <c r="X156" s="2">
        <f>1000*(W156-1)</f>
        <v>-1.9331565471722989</v>
      </c>
      <c r="Y156" s="2">
        <f>1000*(S156-V156)</f>
        <v>0.23613573085261272</v>
      </c>
      <c r="AA156" s="46">
        <f>100*-(X156-X155)/1000</f>
        <v>0.18084199702811388</v>
      </c>
      <c r="AB156" s="46">
        <f>100*-(Y156-Y155)/1000</f>
        <v>-1.9094009742987066E-2</v>
      </c>
    </row>
    <row r="157" spans="2:31" x14ac:dyDescent="0.2">
      <c r="B157" s="164"/>
      <c r="C157" s="122">
        <v>0.30194123470000001</v>
      </c>
      <c r="D157" s="123">
        <v>-3.2794787999999999E-6</v>
      </c>
      <c r="E157" s="123">
        <v>3.5154083000000003E-5</v>
      </c>
      <c r="F157" s="123">
        <v>1.4436407558534799E-8</v>
      </c>
      <c r="G157" s="123">
        <v>7.5205856278351199E-8</v>
      </c>
      <c r="H157" s="123">
        <v>9.60825031470347E-8</v>
      </c>
      <c r="I157" s="124">
        <v>20.78</v>
      </c>
      <c r="J157" s="125">
        <f>100*C157/0.5</f>
        <v>60.388246940000002</v>
      </c>
      <c r="K157" s="124">
        <f>C157/P157</f>
        <v>3.0194123469999998</v>
      </c>
      <c r="L157" s="122">
        <v>20</v>
      </c>
      <c r="M157" s="122">
        <v>15</v>
      </c>
      <c r="N157" s="122">
        <v>0.66707000000000005</v>
      </c>
      <c r="O157" s="126">
        <v>0.2</v>
      </c>
      <c r="P157" s="126">
        <v>0.1</v>
      </c>
      <c r="Q157" s="126">
        <v>1</v>
      </c>
      <c r="R157" s="52">
        <f>Q157*D157/C157/N157</f>
        <v>-1.6282121510636992E-5</v>
      </c>
      <c r="S157" s="52">
        <f>Q157*E157/C157/N157</f>
        <v>1.7453476174354848E-4</v>
      </c>
      <c r="T157" s="19">
        <f>M157*N157*O157/(P157*U157*L157)</f>
        <v>0.9998849634195246</v>
      </c>
      <c r="U157" s="19">
        <f>$AA$16</f>
        <v>1.0007201194205511</v>
      </c>
      <c r="V157" s="52">
        <f t="shared" si="175"/>
        <v>1.9009563459605107E-4</v>
      </c>
      <c r="W157" s="19">
        <f>R157+T157</f>
        <v>0.99986868129801398</v>
      </c>
      <c r="X157" s="2">
        <f>1000*(W157-1)</f>
        <v>-0.13131870198601625</v>
      </c>
      <c r="Y157" s="2">
        <f>1000*(S157-V157)</f>
        <v>-1.5560872852502589E-2</v>
      </c>
      <c r="AA157" s="46"/>
      <c r="AB157" s="46"/>
    </row>
    <row r="158" spans="2:31" x14ac:dyDescent="0.2">
      <c r="R158" s="52"/>
      <c r="S158" s="52"/>
      <c r="T158" s="19"/>
      <c r="U158" s="19"/>
      <c r="V158" s="52"/>
      <c r="W158" s="19"/>
      <c r="X158" s="2"/>
      <c r="Y158" s="2"/>
    </row>
    <row r="159" spans="2:31" x14ac:dyDescent="0.2">
      <c r="B159" s="45" t="s">
        <v>215</v>
      </c>
      <c r="R159" s="50"/>
      <c r="S159" s="50"/>
      <c r="AB159" t="s">
        <v>64</v>
      </c>
    </row>
    <row r="160" spans="2:31" x14ac:dyDescent="0.2">
      <c r="C160" s="5" t="str">
        <f>B164&amp;" range, "&amp;B166&amp;", vs shunts and 500 AT on "&amp;B168&amp;" range."</f>
        <v>75/5 range, l - 1200At(5A), vs shunts and 500 AT on 100/5 range.</v>
      </c>
      <c r="J160" s="5" t="s">
        <v>182</v>
      </c>
      <c r="R160" s="50"/>
      <c r="S160" s="50"/>
      <c r="AB160" t="s">
        <v>65</v>
      </c>
    </row>
    <row r="161" spans="2:31" x14ac:dyDescent="0.2">
      <c r="B161" s="4">
        <v>43369</v>
      </c>
      <c r="R161" s="50"/>
      <c r="S161" s="50"/>
      <c r="AB161" t="s">
        <v>6</v>
      </c>
      <c r="AC161" t="s">
        <v>7</v>
      </c>
    </row>
    <row r="162" spans="2:31" x14ac:dyDescent="0.2">
      <c r="B162" s="43" t="s">
        <v>51</v>
      </c>
      <c r="C162">
        <v>2.480507333E-2</v>
      </c>
      <c r="D162" s="18">
        <v>-7.6240815999999995E-7</v>
      </c>
      <c r="E162" s="18">
        <v>7.5094382000000001E-6</v>
      </c>
      <c r="F162" s="18">
        <v>2.2886099754480601E-8</v>
      </c>
      <c r="G162" s="18">
        <v>1.52650395202352E-7</v>
      </c>
      <c r="H162" s="18">
        <v>1.4844609059439699E-7</v>
      </c>
      <c r="I162" s="2">
        <v>20.75</v>
      </c>
      <c r="J162" s="17">
        <f t="shared" ref="J162:J168" si="177">100*C162/0.5</f>
        <v>4.9610146659999996</v>
      </c>
      <c r="K162" s="2">
        <f t="shared" ref="K162:K168" si="178">C162/P162</f>
        <v>0.24805073329999999</v>
      </c>
      <c r="L162">
        <v>20</v>
      </c>
      <c r="M162">
        <v>15</v>
      </c>
      <c r="N162">
        <v>0.66707000000000005</v>
      </c>
      <c r="O162">
        <v>0.2</v>
      </c>
      <c r="P162">
        <v>0.1</v>
      </c>
      <c r="Q162">
        <v>1</v>
      </c>
      <c r="R162" s="52">
        <f t="shared" ref="R162:R168" si="179">Q162*D162/C162/N162</f>
        <v>-4.6076089263162675E-5</v>
      </c>
      <c r="S162" s="52">
        <f t="shared" ref="S162:S168" si="180">Q162*E162/C162/N162</f>
        <v>4.5383242595331563E-4</v>
      </c>
      <c r="T162" s="19">
        <f t="shared" ref="T162:T168" si="181">M162*N162*O162/(P162*U162*L162)</f>
        <v>0.9998849634195246</v>
      </c>
      <c r="U162" s="19">
        <f t="shared" ref="U162:U168" si="182">$AA$16</f>
        <v>1.0007201194205511</v>
      </c>
      <c r="V162" s="52">
        <f>AA$17</f>
        <v>2.2561396482316382E-4</v>
      </c>
      <c r="W162" s="19">
        <f t="shared" ref="W162:W168" si="183">R162+T162</f>
        <v>0.99983888733026138</v>
      </c>
      <c r="X162" s="2">
        <f t="shared" ref="X162:X168" si="184">1000*(W162-1)</f>
        <v>-0.16111266973861671</v>
      </c>
      <c r="Y162" s="2">
        <f t="shared" ref="Y162:Y168" si="185">1000*(S162-V162)</f>
        <v>0.22821846113015182</v>
      </c>
      <c r="Z162" s="51">
        <f t="shared" ref="Z162:Z168" si="186">((C162*N162)^2/P162-$AB$10)*$Z$28*0.001</f>
        <v>-7.389329367069365E-4</v>
      </c>
      <c r="AA162" s="51">
        <f>(C162^2/O162-$Z$10)*$AB$5*0.001</f>
        <v>-1.0637375871856551E-4</v>
      </c>
      <c r="AB162" s="2">
        <f t="shared" ref="AB162:AB168" si="187">0.5*(X162+X170)+AA162-Z162</f>
        <v>-0.1651160045145143</v>
      </c>
      <c r="AC162" s="2">
        <f t="shared" ref="AC162:AC168" si="188">0.5*(Y162+Y170)</f>
        <v>0.25418840616984206</v>
      </c>
      <c r="AD162" s="2"/>
      <c r="AE162" s="2"/>
    </row>
    <row r="163" spans="2:31" x14ac:dyDescent="0.2">
      <c r="B163" s="5" t="s">
        <v>110</v>
      </c>
      <c r="C163">
        <v>5.0507948810000002E-2</v>
      </c>
      <c r="D163" s="18">
        <v>-1.6699258000000001E-6</v>
      </c>
      <c r="E163" s="18">
        <v>1.4748381000000001E-5</v>
      </c>
      <c r="F163" s="18">
        <v>2.29950355656852E-8</v>
      </c>
      <c r="G163" s="18">
        <v>1.90451420037657E-7</v>
      </c>
      <c r="H163" s="18">
        <v>1.9568355306208001E-7</v>
      </c>
      <c r="I163" s="2">
        <v>20.74</v>
      </c>
      <c r="J163" s="17">
        <f t="shared" si="177"/>
        <v>10.101589762</v>
      </c>
      <c r="K163" s="2">
        <f t="shared" si="178"/>
        <v>0.50507948810000003</v>
      </c>
      <c r="L163">
        <v>20</v>
      </c>
      <c r="M163">
        <v>15</v>
      </c>
      <c r="N163">
        <v>0.66707000000000005</v>
      </c>
      <c r="O163">
        <v>0.2</v>
      </c>
      <c r="P163">
        <v>0.1</v>
      </c>
      <c r="Q163">
        <v>1</v>
      </c>
      <c r="R163" s="52">
        <f t="shared" si="179"/>
        <v>-4.9563964041604209E-5</v>
      </c>
      <c r="S163" s="52">
        <f t="shared" si="180"/>
        <v>4.3773694948355117E-4</v>
      </c>
      <c r="T163" s="19">
        <f t="shared" si="181"/>
        <v>0.9998849634195246</v>
      </c>
      <c r="U163" s="19">
        <f t="shared" si="182"/>
        <v>1.0007201194205511</v>
      </c>
      <c r="V163" s="52">
        <f t="shared" ref="V163:V168" si="189">AA$17</f>
        <v>2.2561396482316382E-4</v>
      </c>
      <c r="W163" s="19">
        <f t="shared" si="183"/>
        <v>0.99983539945548294</v>
      </c>
      <c r="X163" s="2">
        <f t="shared" si="184"/>
        <v>-0.1646005445170573</v>
      </c>
      <c r="Y163" s="2">
        <f t="shared" si="185"/>
        <v>0.21212298466038734</v>
      </c>
      <c r="Z163" s="51">
        <f t="shared" si="186"/>
        <v>-6.7787361690951203E-4</v>
      </c>
      <c r="AA163" s="51">
        <f t="shared" ref="AA163:AA168" si="190">(C163^2/O163-$Z$10)*$AB$5*0.001</f>
        <v>-8.5951477741148675E-5</v>
      </c>
      <c r="AB163" s="2">
        <f t="shared" si="187"/>
        <v>-0.16973860737720314</v>
      </c>
      <c r="AC163" s="2">
        <f t="shared" si="188"/>
        <v>0.23216694348331224</v>
      </c>
      <c r="AD163" s="2"/>
      <c r="AE163" s="2"/>
    </row>
    <row r="164" spans="2:31" x14ac:dyDescent="0.2">
      <c r="B164" s="161" t="s">
        <v>184</v>
      </c>
      <c r="C164">
        <v>0.10079489234</v>
      </c>
      <c r="D164" s="18">
        <v>-3.77605E-6</v>
      </c>
      <c r="E164" s="18">
        <v>2.8131534999999999E-5</v>
      </c>
      <c r="F164" s="18">
        <v>8.0493047302163595E-9</v>
      </c>
      <c r="G164" s="18">
        <v>2.8164409487507498E-7</v>
      </c>
      <c r="H164" s="18">
        <v>2.11830925209234E-7</v>
      </c>
      <c r="I164" s="2">
        <v>20.74</v>
      </c>
      <c r="J164" s="17">
        <f t="shared" si="177"/>
        <v>20.158978468000001</v>
      </c>
      <c r="K164" s="2">
        <f t="shared" si="178"/>
        <v>1.0079489233999999</v>
      </c>
      <c r="L164">
        <v>20</v>
      </c>
      <c r="M164">
        <v>15</v>
      </c>
      <c r="N164">
        <v>0.66707000000000005</v>
      </c>
      <c r="O164">
        <v>0.2</v>
      </c>
      <c r="P164">
        <v>0.1</v>
      </c>
      <c r="Q164">
        <v>1</v>
      </c>
      <c r="R164" s="52">
        <f t="shared" si="179"/>
        <v>-5.6160090805693786E-5</v>
      </c>
      <c r="S164" s="52">
        <f t="shared" si="180"/>
        <v>4.1839211877585115E-4</v>
      </c>
      <c r="T164" s="19">
        <f t="shared" si="181"/>
        <v>0.9998849634195246</v>
      </c>
      <c r="U164" s="19">
        <f t="shared" si="182"/>
        <v>1.0007201194205511</v>
      </c>
      <c r="V164" s="52">
        <f t="shared" si="189"/>
        <v>2.2561396482316382E-4</v>
      </c>
      <c r="W164" s="19">
        <f t="shared" si="183"/>
        <v>0.99982880332871893</v>
      </c>
      <c r="X164" s="2">
        <f t="shared" si="184"/>
        <v>-0.17119667128107086</v>
      </c>
      <c r="Y164" s="2">
        <f t="shared" si="185"/>
        <v>0.19277815395268733</v>
      </c>
      <c r="Z164" s="51">
        <f t="shared" si="186"/>
        <v>-4.3787844910481887E-4</v>
      </c>
      <c r="AA164" s="51">
        <f t="shared" si="190"/>
        <v>-5.6811968669013474E-6</v>
      </c>
      <c r="AB164" s="2">
        <f t="shared" si="187"/>
        <v>-0.17567589989667026</v>
      </c>
      <c r="AC164" s="2">
        <f t="shared" si="188"/>
        <v>0.20954736823252032</v>
      </c>
      <c r="AD164" s="2"/>
      <c r="AE164" s="2"/>
    </row>
    <row r="165" spans="2:31" x14ac:dyDescent="0.2">
      <c r="B165" s="67" t="s">
        <v>112</v>
      </c>
      <c r="C165">
        <v>0.20018129236000001</v>
      </c>
      <c r="D165" s="18">
        <v>-8.6368819999999993E-6</v>
      </c>
      <c r="E165" s="18">
        <v>5.2455781999999998E-5</v>
      </c>
      <c r="F165" s="18">
        <v>1.8341688173105099E-8</v>
      </c>
      <c r="G165" s="18">
        <v>1.8431098568452199E-7</v>
      </c>
      <c r="H165" s="18">
        <v>3.90050927285143E-7</v>
      </c>
      <c r="I165" s="2">
        <v>20.74</v>
      </c>
      <c r="J165" s="17">
        <f t="shared" si="177"/>
        <v>40.036258472</v>
      </c>
      <c r="K165" s="2">
        <f t="shared" si="178"/>
        <v>2.0018129236000002</v>
      </c>
      <c r="L165">
        <v>20</v>
      </c>
      <c r="M165">
        <v>15</v>
      </c>
      <c r="N165">
        <v>0.66707000000000005</v>
      </c>
      <c r="O165">
        <v>0.2</v>
      </c>
      <c r="P165">
        <v>0.1</v>
      </c>
      <c r="Q165">
        <v>1</v>
      </c>
      <c r="R165" s="52">
        <f t="shared" si="179"/>
        <v>-6.4678819963883352E-5</v>
      </c>
      <c r="S165" s="52">
        <f t="shared" si="180"/>
        <v>3.9282441048085569E-4</v>
      </c>
      <c r="T165" s="19">
        <f t="shared" si="181"/>
        <v>0.9998849634195246</v>
      </c>
      <c r="U165" s="19">
        <f t="shared" si="182"/>
        <v>1.0007201194205511</v>
      </c>
      <c r="V165" s="52">
        <f t="shared" si="189"/>
        <v>2.2561396482316382E-4</v>
      </c>
      <c r="W165" s="19">
        <f t="shared" si="183"/>
        <v>0.99982028459956074</v>
      </c>
      <c r="X165" s="2">
        <f t="shared" si="184"/>
        <v>-0.17971540043926204</v>
      </c>
      <c r="Y165" s="2">
        <f t="shared" si="185"/>
        <v>0.16721044565769186</v>
      </c>
      <c r="Z165" s="51">
        <f t="shared" si="186"/>
        <v>5.0565927133150153E-4</v>
      </c>
      <c r="AA165" s="51">
        <f t="shared" si="190"/>
        <v>3.0990031474297295E-4</v>
      </c>
      <c r="AB165" s="2">
        <f t="shared" si="187"/>
        <v>-0.18511183136270459</v>
      </c>
      <c r="AC165" s="2">
        <f t="shared" si="188"/>
        <v>0.18190442064419513</v>
      </c>
      <c r="AD165" s="2"/>
      <c r="AE165" s="2"/>
    </row>
    <row r="166" spans="2:31" ht="13.5" x14ac:dyDescent="0.25">
      <c r="B166" s="163" t="s">
        <v>181</v>
      </c>
      <c r="C166">
        <v>0.30069903151999999</v>
      </c>
      <c r="D166" s="18">
        <v>-1.385287E-5</v>
      </c>
      <c r="E166" s="18">
        <v>7.4518710999999904E-5</v>
      </c>
      <c r="F166" s="18">
        <v>5.2305528990297897E-8</v>
      </c>
      <c r="G166" s="18">
        <v>1.72225520756943E-8</v>
      </c>
      <c r="H166" s="18">
        <v>3.8167682389685699E-8</v>
      </c>
      <c r="I166" s="2">
        <v>20.75</v>
      </c>
      <c r="J166" s="17">
        <f t="shared" si="177"/>
        <v>60.139806303999997</v>
      </c>
      <c r="K166" s="2">
        <f t="shared" si="178"/>
        <v>3.0069903151999999</v>
      </c>
      <c r="L166">
        <v>20</v>
      </c>
      <c r="M166">
        <v>15</v>
      </c>
      <c r="N166">
        <v>0.66707000000000005</v>
      </c>
      <c r="O166">
        <v>0.2</v>
      </c>
      <c r="P166">
        <v>0.1</v>
      </c>
      <c r="Q166">
        <v>1</v>
      </c>
      <c r="R166" s="52">
        <f t="shared" si="179"/>
        <v>-6.9061549738447318E-5</v>
      </c>
      <c r="S166" s="52">
        <f t="shared" si="180"/>
        <v>3.715026320301479E-4</v>
      </c>
      <c r="T166" s="19">
        <f t="shared" si="181"/>
        <v>0.9998849634195246</v>
      </c>
      <c r="U166" s="19">
        <f t="shared" si="182"/>
        <v>1.0007201194205511</v>
      </c>
      <c r="V166" s="52">
        <f t="shared" si="189"/>
        <v>2.2561396482316382E-4</v>
      </c>
      <c r="W166" s="19">
        <f t="shared" si="183"/>
        <v>0.99981590186978619</v>
      </c>
      <c r="X166" s="2">
        <f t="shared" si="184"/>
        <v>-0.18409813021380561</v>
      </c>
      <c r="Y166" s="2">
        <f t="shared" si="185"/>
        <v>0.14588866720698407</v>
      </c>
      <c r="Z166" s="51">
        <f t="shared" si="186"/>
        <v>2.0937556593551717E-3</v>
      </c>
      <c r="AA166" s="51">
        <f t="shared" si="190"/>
        <v>8.4106493896481463E-4</v>
      </c>
      <c r="AB166" s="2">
        <f t="shared" si="187"/>
        <v>-0.19068247681115713</v>
      </c>
      <c r="AC166" s="2">
        <f t="shared" si="188"/>
        <v>0.16158240637734742</v>
      </c>
      <c r="AD166" s="2"/>
      <c r="AE166" s="2"/>
    </row>
    <row r="167" spans="2:31" x14ac:dyDescent="0.2">
      <c r="B167" s="66" t="s">
        <v>111</v>
      </c>
      <c r="C167">
        <v>0.50021038462</v>
      </c>
      <c r="D167" s="18">
        <v>-2.4276041000000002E-5</v>
      </c>
      <c r="E167" s="18">
        <v>1.1304606000000001E-4</v>
      </c>
      <c r="F167" s="18">
        <v>1.8868117555022601E-7</v>
      </c>
      <c r="G167" s="18">
        <v>1.41575852107628E-8</v>
      </c>
      <c r="H167" s="18">
        <v>8.9557204980950704E-7</v>
      </c>
      <c r="I167" s="2">
        <v>20.75</v>
      </c>
      <c r="J167" s="17">
        <f t="shared" si="177"/>
        <v>100.042076924</v>
      </c>
      <c r="K167" s="2">
        <f t="shared" si="178"/>
        <v>5.0021038461999998</v>
      </c>
      <c r="L167">
        <v>20</v>
      </c>
      <c r="M167">
        <v>15</v>
      </c>
      <c r="N167">
        <v>0.66707000000000005</v>
      </c>
      <c r="O167">
        <v>0.2</v>
      </c>
      <c r="P167">
        <v>0.1</v>
      </c>
      <c r="Q167">
        <v>1</v>
      </c>
      <c r="R167" s="52">
        <f t="shared" si="179"/>
        <v>-7.2753476201492382E-5</v>
      </c>
      <c r="S167" s="52">
        <f t="shared" si="180"/>
        <v>3.3879057280725795E-4</v>
      </c>
      <c r="T167" s="19">
        <f t="shared" si="181"/>
        <v>0.9998849634195246</v>
      </c>
      <c r="U167" s="19">
        <f t="shared" si="182"/>
        <v>1.0007201194205511</v>
      </c>
      <c r="V167" s="52">
        <f t="shared" si="189"/>
        <v>2.2561396482316382E-4</v>
      </c>
      <c r="W167" s="19">
        <f t="shared" si="183"/>
        <v>0.99981220994332309</v>
      </c>
      <c r="X167" s="2">
        <f t="shared" si="184"/>
        <v>-0.1877900566769064</v>
      </c>
      <c r="Y167" s="2">
        <f t="shared" si="185"/>
        <v>0.11317660798409412</v>
      </c>
      <c r="Z167" s="51">
        <f t="shared" si="186"/>
        <v>7.1339953286449972E-3</v>
      </c>
      <c r="AA167" s="51">
        <f t="shared" si="190"/>
        <v>2.5268549389395804E-3</v>
      </c>
      <c r="AB167" s="2">
        <f t="shared" si="187"/>
        <v>-0.19889687850850787</v>
      </c>
      <c r="AC167" s="2">
        <f t="shared" si="188"/>
        <v>0.12894429494703608</v>
      </c>
      <c r="AD167" s="2"/>
      <c r="AE167" s="2"/>
    </row>
    <row r="168" spans="2:31" x14ac:dyDescent="0.2">
      <c r="B168" s="162" t="s">
        <v>185</v>
      </c>
      <c r="C168">
        <v>0.60092505163999999</v>
      </c>
      <c r="D168" s="18">
        <v>-3.0591876000000002E-5</v>
      </c>
      <c r="E168">
        <v>1.2844215000000001E-4</v>
      </c>
      <c r="F168" s="18">
        <v>3.1197547758929302E-7</v>
      </c>
      <c r="G168" s="18">
        <v>5.3256917146976398E-8</v>
      </c>
      <c r="H168" s="18">
        <v>1.0267988934061E-6</v>
      </c>
      <c r="I168" s="2">
        <v>20.75</v>
      </c>
      <c r="J168" s="17">
        <f t="shared" si="177"/>
        <v>120.185010328</v>
      </c>
      <c r="K168" s="2">
        <f t="shared" si="178"/>
        <v>6.0092505163999999</v>
      </c>
      <c r="L168">
        <v>20</v>
      </c>
      <c r="M168">
        <v>15</v>
      </c>
      <c r="N168">
        <v>0.66707000000000005</v>
      </c>
      <c r="O168">
        <v>0.2</v>
      </c>
      <c r="P168">
        <v>0.1</v>
      </c>
      <c r="Q168">
        <v>1</v>
      </c>
      <c r="R168" s="52">
        <f t="shared" si="179"/>
        <v>-7.6315787689835426E-5</v>
      </c>
      <c r="S168" s="52">
        <f t="shared" si="180"/>
        <v>3.2041721958555257E-4</v>
      </c>
      <c r="T168" s="19">
        <f t="shared" si="181"/>
        <v>0.9998849634195246</v>
      </c>
      <c r="U168" s="19">
        <f t="shared" si="182"/>
        <v>1.0007201194205511</v>
      </c>
      <c r="V168" s="52">
        <f t="shared" si="189"/>
        <v>2.2561396482316382E-4</v>
      </c>
      <c r="W168" s="19">
        <f t="shared" si="183"/>
        <v>0.99980864763183475</v>
      </c>
      <c r="X168" s="2">
        <f t="shared" si="184"/>
        <v>-0.19135236816525403</v>
      </c>
      <c r="Y168" s="2">
        <f t="shared" si="185"/>
        <v>9.4803254762388753E-2</v>
      </c>
      <c r="Z168" s="51">
        <f t="shared" si="186"/>
        <v>1.0632106720949323E-2</v>
      </c>
      <c r="AA168" s="51">
        <f t="shared" si="190"/>
        <v>3.6968550958518301E-3</v>
      </c>
      <c r="AB168" s="2">
        <f t="shared" si="187"/>
        <v>-0.20224877253472101</v>
      </c>
      <c r="AC168" s="2">
        <f t="shared" si="188"/>
        <v>0.11111777253648858</v>
      </c>
      <c r="AD168" s="2"/>
      <c r="AE168" s="2"/>
    </row>
    <row r="169" spans="2:31" x14ac:dyDescent="0.2">
      <c r="R169" s="52"/>
      <c r="S169" s="52"/>
      <c r="U169" s="19"/>
      <c r="V169" s="52"/>
    </row>
    <row r="170" spans="2:31" x14ac:dyDescent="0.2">
      <c r="B170" s="43" t="s">
        <v>52</v>
      </c>
      <c r="C170">
        <v>2.4752484676000001E-2</v>
      </c>
      <c r="D170" s="18">
        <v>-9.1388421999999998E-7</v>
      </c>
      <c r="E170" s="18">
        <v>7.7646644999999999E-6</v>
      </c>
      <c r="F170" s="18">
        <v>2.6617573085063099E-8</v>
      </c>
      <c r="G170" s="18">
        <v>1.1942079837461999E-7</v>
      </c>
      <c r="H170" s="18">
        <v>1.60074337995664E-7</v>
      </c>
      <c r="I170" s="2">
        <v>20.77</v>
      </c>
      <c r="J170" s="17">
        <f t="shared" ref="J170:J176" si="191">100*C170/0.5</f>
        <v>4.9504969352000003</v>
      </c>
      <c r="K170" s="2">
        <f t="shared" ref="K170:K176" si="192">C170/P170</f>
        <v>0.24752484676</v>
      </c>
      <c r="L170">
        <v>20</v>
      </c>
      <c r="M170">
        <v>15</v>
      </c>
      <c r="N170">
        <v>0.66707000000000005</v>
      </c>
      <c r="O170">
        <v>0.2</v>
      </c>
      <c r="P170">
        <v>0.1</v>
      </c>
      <c r="Q170">
        <v>1</v>
      </c>
      <c r="R170" s="52">
        <f t="shared" ref="R170:R176" si="193">Q170*D170/C170/N170</f>
        <v>-5.5347877170974552E-5</v>
      </c>
      <c r="S170" s="52">
        <f t="shared" ref="S170:S176" si="194">Q170*E170/C170/N170</f>
        <v>4.7025398580558334E-4</v>
      </c>
      <c r="T170" s="19">
        <f t="shared" ref="T170:T176" si="195">M170*N170*O170/(P170*U170*L170)</f>
        <v>0.9998849634195246</v>
      </c>
      <c r="U170" s="19">
        <f t="shared" ref="U170:U177" si="196">$AA$16</f>
        <v>1.0007201194205511</v>
      </c>
      <c r="V170" s="52">
        <f>$AA$26</f>
        <v>1.9009563459605107E-4</v>
      </c>
      <c r="W170" s="19">
        <f t="shared" ref="W170:W176" si="197">R170+T170</f>
        <v>0.99982961554235361</v>
      </c>
      <c r="X170" s="2">
        <f t="shared" ref="X170:X176" si="198">1000*(W170-1)</f>
        <v>-0.17038445764638865</v>
      </c>
      <c r="Y170" s="2">
        <f t="shared" ref="Y170:Y176" si="199">1000*(S170-V170)</f>
        <v>0.28015835120953225</v>
      </c>
    </row>
    <row r="171" spans="2:31" x14ac:dyDescent="0.2">
      <c r="C171">
        <v>5.0444589658E-2</v>
      </c>
      <c r="D171" s="18">
        <v>-2.0534598000000002E-6</v>
      </c>
      <c r="E171" s="18">
        <v>1.4883646999999999E-5</v>
      </c>
      <c r="F171" s="18">
        <v>2.6023782328110499E-8</v>
      </c>
      <c r="G171" s="18">
        <v>7.61133379241773E-8</v>
      </c>
      <c r="H171" s="18">
        <v>4.9112795593409302E-8</v>
      </c>
      <c r="I171" s="2">
        <v>20.77</v>
      </c>
      <c r="J171" s="17">
        <f t="shared" si="191"/>
        <v>10.088917931599999</v>
      </c>
      <c r="K171" s="2">
        <f t="shared" si="192"/>
        <v>0.50444589657999994</v>
      </c>
      <c r="L171">
        <v>20</v>
      </c>
      <c r="M171">
        <v>15</v>
      </c>
      <c r="N171">
        <v>0.66707000000000005</v>
      </c>
      <c r="O171">
        <v>0.2</v>
      </c>
      <c r="P171">
        <v>0.1</v>
      </c>
      <c r="Q171">
        <v>1</v>
      </c>
      <c r="R171" s="52">
        <f t="shared" si="193"/>
        <v>-6.1023934040229881E-5</v>
      </c>
      <c r="S171" s="52">
        <f t="shared" si="194"/>
        <v>4.4230653690228815E-4</v>
      </c>
      <c r="T171" s="19">
        <f t="shared" si="195"/>
        <v>0.9998849634195246</v>
      </c>
      <c r="U171" s="19">
        <f t="shared" si="196"/>
        <v>1.0007201194205511</v>
      </c>
      <c r="V171" s="52">
        <f t="shared" ref="V171:V179" si="200">$AA$26</f>
        <v>1.9009563459605107E-4</v>
      </c>
      <c r="W171" s="19">
        <f t="shared" si="197"/>
        <v>0.99982393948548431</v>
      </c>
      <c r="X171" s="2">
        <f t="shared" si="198"/>
        <v>-0.17606051451568572</v>
      </c>
      <c r="Y171" s="2">
        <f t="shared" si="199"/>
        <v>0.25221090230623711</v>
      </c>
    </row>
    <row r="172" spans="2:31" x14ac:dyDescent="0.2">
      <c r="C172">
        <v>0.1007373753</v>
      </c>
      <c r="D172" s="18">
        <v>-4.4339798999999997E-6</v>
      </c>
      <c r="E172" s="18">
        <v>2.7982435000000001E-5</v>
      </c>
      <c r="F172" s="18">
        <v>4.2068581796856998E-8</v>
      </c>
      <c r="G172" s="18">
        <v>2.46302823164899E-8</v>
      </c>
      <c r="H172" s="18">
        <v>1.15215935855245E-7</v>
      </c>
      <c r="I172" s="2">
        <v>20.77</v>
      </c>
      <c r="J172" s="17">
        <f t="shared" si="191"/>
        <v>20.147475060000001</v>
      </c>
      <c r="K172" s="2">
        <f t="shared" si="192"/>
        <v>1.007373753</v>
      </c>
      <c r="L172">
        <v>20</v>
      </c>
      <c r="M172">
        <v>15</v>
      </c>
      <c r="N172">
        <v>0.66707000000000005</v>
      </c>
      <c r="O172">
        <v>0.2</v>
      </c>
      <c r="P172">
        <v>0.1</v>
      </c>
      <c r="Q172">
        <v>1</v>
      </c>
      <c r="R172" s="52">
        <f t="shared" si="193"/>
        <v>-6.5982942541387162E-5</v>
      </c>
      <c r="S172" s="52">
        <f t="shared" si="194"/>
        <v>4.164122171084044E-4</v>
      </c>
      <c r="T172" s="19">
        <f t="shared" si="195"/>
        <v>0.9998849634195246</v>
      </c>
      <c r="U172" s="19">
        <f t="shared" si="196"/>
        <v>1.0007201194205511</v>
      </c>
      <c r="V172" s="52">
        <f t="shared" si="200"/>
        <v>1.9009563459605107E-4</v>
      </c>
      <c r="W172" s="19">
        <f t="shared" si="197"/>
        <v>0.99981898047698325</v>
      </c>
      <c r="X172" s="2">
        <f t="shared" si="198"/>
        <v>-0.18101952301674551</v>
      </c>
      <c r="Y172" s="2">
        <f t="shared" si="199"/>
        <v>0.22631658251235331</v>
      </c>
    </row>
    <row r="173" spans="2:31" x14ac:dyDescent="0.2">
      <c r="C173">
        <v>0.20016826252</v>
      </c>
      <c r="D173" s="18">
        <v>-1.00251722E-5</v>
      </c>
      <c r="E173" s="18">
        <v>5.1633801000000003E-5</v>
      </c>
      <c r="F173" s="18">
        <v>3.2846515817678799E-8</v>
      </c>
      <c r="G173" s="18">
        <v>6.6376455774318101E-8</v>
      </c>
      <c r="H173" s="18">
        <v>1.80297558216965E-7</v>
      </c>
      <c r="I173" s="2">
        <v>20.77</v>
      </c>
      <c r="J173" s="17">
        <f t="shared" si="191"/>
        <v>40.033652504000003</v>
      </c>
      <c r="K173" s="2">
        <f t="shared" si="192"/>
        <v>2.0016826252</v>
      </c>
      <c r="L173">
        <v>20</v>
      </c>
      <c r="M173">
        <v>15</v>
      </c>
      <c r="N173">
        <v>0.66707000000000005</v>
      </c>
      <c r="O173">
        <v>0.2</v>
      </c>
      <c r="P173">
        <v>0.1</v>
      </c>
      <c r="Q173">
        <v>1</v>
      </c>
      <c r="R173" s="52">
        <f t="shared" si="193"/>
        <v>-7.5080163897582673E-5</v>
      </c>
      <c r="S173" s="52">
        <f t="shared" si="194"/>
        <v>3.8669403022674947E-4</v>
      </c>
      <c r="T173" s="19">
        <f t="shared" si="195"/>
        <v>0.9998849634195246</v>
      </c>
      <c r="U173" s="19">
        <f t="shared" si="196"/>
        <v>1.0007201194205511</v>
      </c>
      <c r="V173" s="52">
        <f t="shared" si="200"/>
        <v>1.9009563459605107E-4</v>
      </c>
      <c r="W173" s="19">
        <f t="shared" si="197"/>
        <v>0.99980988325562703</v>
      </c>
      <c r="X173" s="2">
        <f t="shared" si="198"/>
        <v>-0.1901167443729701</v>
      </c>
      <c r="Y173" s="2">
        <f t="shared" si="199"/>
        <v>0.19659839563069839</v>
      </c>
    </row>
    <row r="174" spans="2:31" x14ac:dyDescent="0.2">
      <c r="C174">
        <v>0.30078272618000002</v>
      </c>
      <c r="D174" s="18">
        <v>-1.5996246E-5</v>
      </c>
      <c r="E174" s="18">
        <v>7.3710624999999994E-5</v>
      </c>
      <c r="F174" s="18">
        <v>3.9708302216921099E-8</v>
      </c>
      <c r="G174" s="18">
        <v>8.0990397480195296E-8</v>
      </c>
      <c r="H174" s="18">
        <v>3.5727117946316398E-7</v>
      </c>
      <c r="I174" s="2">
        <v>20.77</v>
      </c>
      <c r="J174" s="17">
        <f t="shared" si="191"/>
        <v>60.156545235999999</v>
      </c>
      <c r="K174" s="2">
        <f t="shared" si="192"/>
        <v>3.0078272618000002</v>
      </c>
      <c r="L174">
        <v>20</v>
      </c>
      <c r="M174">
        <v>15</v>
      </c>
      <c r="N174">
        <v>0.66707000000000005</v>
      </c>
      <c r="O174">
        <v>0.2</v>
      </c>
      <c r="P174">
        <v>0.1</v>
      </c>
      <c r="Q174">
        <v>1</v>
      </c>
      <c r="R174" s="52">
        <f t="shared" si="193"/>
        <v>-7.9724861492322572E-5</v>
      </c>
      <c r="S174" s="52">
        <f t="shared" si="194"/>
        <v>3.6737178014376184E-4</v>
      </c>
      <c r="T174" s="19">
        <f t="shared" si="195"/>
        <v>0.9998849634195246</v>
      </c>
      <c r="U174" s="19">
        <f t="shared" si="196"/>
        <v>1.0007201194205511</v>
      </c>
      <c r="V174" s="52">
        <f t="shared" si="200"/>
        <v>1.9009563459605107E-4</v>
      </c>
      <c r="W174" s="19">
        <f t="shared" si="197"/>
        <v>0.99980523855803227</v>
      </c>
      <c r="X174" s="2">
        <f t="shared" si="198"/>
        <v>-0.19476144196772793</v>
      </c>
      <c r="Y174" s="2">
        <f t="shared" si="199"/>
        <v>0.17727614554771076</v>
      </c>
    </row>
    <row r="175" spans="2:31" x14ac:dyDescent="0.2">
      <c r="C175">
        <v>0.50078495359999997</v>
      </c>
      <c r="D175" s="18">
        <v>-2.8646474999999999E-5</v>
      </c>
      <c r="E175" s="18">
        <v>1.1184537E-4</v>
      </c>
      <c r="F175" s="18">
        <v>1.8869944850897299E-7</v>
      </c>
      <c r="G175" s="18">
        <v>1.0375818847204301E-7</v>
      </c>
      <c r="H175" s="18">
        <v>3.3986184413669999E-7</v>
      </c>
      <c r="I175" s="2">
        <v>20.77</v>
      </c>
      <c r="J175" s="17">
        <f t="shared" si="191"/>
        <v>100.15699072</v>
      </c>
      <c r="K175" s="2">
        <f t="shared" si="192"/>
        <v>5.0078495359999993</v>
      </c>
      <c r="L175">
        <v>20</v>
      </c>
      <c r="M175">
        <v>15</v>
      </c>
      <c r="N175">
        <v>0.66707000000000005</v>
      </c>
      <c r="O175">
        <v>0.2</v>
      </c>
      <c r="P175">
        <v>0.1</v>
      </c>
      <c r="Q175">
        <v>1</v>
      </c>
      <c r="R175" s="52">
        <f t="shared" si="193"/>
        <v>-8.5752839085333172E-5</v>
      </c>
      <c r="S175" s="52">
        <f t="shared" si="194"/>
        <v>3.3480761650602907E-4</v>
      </c>
      <c r="T175" s="19">
        <f t="shared" si="195"/>
        <v>0.9998849634195246</v>
      </c>
      <c r="U175" s="19">
        <f t="shared" si="196"/>
        <v>1.0007201194205511</v>
      </c>
      <c r="V175" s="52">
        <f t="shared" si="200"/>
        <v>1.9009563459605107E-4</v>
      </c>
      <c r="W175" s="19">
        <f t="shared" si="197"/>
        <v>0.9997992105804393</v>
      </c>
      <c r="X175" s="2">
        <f t="shared" si="198"/>
        <v>-0.20078941956069851</v>
      </c>
      <c r="Y175" s="2">
        <f t="shared" si="199"/>
        <v>0.144711981909978</v>
      </c>
    </row>
    <row r="176" spans="2:31" x14ac:dyDescent="0.2">
      <c r="C176">
        <v>0.60029945364000004</v>
      </c>
      <c r="D176" s="18">
        <v>-3.3732450000000101E-5</v>
      </c>
      <c r="E176" s="18">
        <v>1.2715143999999999E-4</v>
      </c>
      <c r="F176" s="18">
        <v>4.4849758917551202E-7</v>
      </c>
      <c r="G176" s="18">
        <v>3.7379807383111999E-9</v>
      </c>
      <c r="H176" s="18">
        <v>8.9871605437980203E-7</v>
      </c>
      <c r="I176" s="2">
        <v>20.77</v>
      </c>
      <c r="J176" s="17">
        <f t="shared" si="191"/>
        <v>120.05989072800001</v>
      </c>
      <c r="K176" s="2">
        <f t="shared" si="192"/>
        <v>6.0029945364000001</v>
      </c>
      <c r="L176">
        <v>20</v>
      </c>
      <c r="M176">
        <v>15</v>
      </c>
      <c r="N176">
        <v>0.66707000000000005</v>
      </c>
      <c r="O176">
        <v>0.2</v>
      </c>
      <c r="P176">
        <v>0.1</v>
      </c>
      <c r="Q176">
        <v>1</v>
      </c>
      <c r="R176" s="52">
        <f t="shared" si="193"/>
        <v>-8.4238093178630178E-5</v>
      </c>
      <c r="S176" s="52">
        <f t="shared" si="194"/>
        <v>3.1752792490663946E-4</v>
      </c>
      <c r="T176" s="19">
        <f t="shared" si="195"/>
        <v>0.9998849634195246</v>
      </c>
      <c r="U176" s="19">
        <f t="shared" si="196"/>
        <v>1.0007201194205511</v>
      </c>
      <c r="V176" s="52">
        <f t="shared" si="200"/>
        <v>1.9009563459605107E-4</v>
      </c>
      <c r="W176" s="19">
        <f t="shared" si="197"/>
        <v>0.99980072532634601</v>
      </c>
      <c r="X176" s="2">
        <f t="shared" si="198"/>
        <v>-0.19927467365399298</v>
      </c>
      <c r="Y176" s="2">
        <f t="shared" si="199"/>
        <v>0.12743229031058839</v>
      </c>
    </row>
    <row r="177" spans="2:29" x14ac:dyDescent="0.2">
      <c r="B177" s="122" t="s">
        <v>51</v>
      </c>
      <c r="C177" s="122">
        <v>0.30011237868000001</v>
      </c>
      <c r="D177" s="123">
        <v>-1.3873856000000001E-5</v>
      </c>
      <c r="E177" s="123">
        <v>6.9657321000000006E-5</v>
      </c>
      <c r="F177" s="123">
        <v>4.69889714949737E-8</v>
      </c>
      <c r="G177" s="123">
        <v>4.4285890123153298E-8</v>
      </c>
      <c r="H177" s="123">
        <v>1.5553014003401401E-7</v>
      </c>
      <c r="I177" s="124">
        <v>20.77</v>
      </c>
      <c r="J177" s="125">
        <f>100*C177/0.5</f>
        <v>60.022475736000004</v>
      </c>
      <c r="K177" s="124">
        <f>C177/P177</f>
        <v>3.0011237868</v>
      </c>
      <c r="L177" s="122">
        <v>20</v>
      </c>
      <c r="M177" s="122">
        <v>15</v>
      </c>
      <c r="N177" s="122">
        <v>0.66707000000000005</v>
      </c>
      <c r="O177" s="126">
        <v>0.2</v>
      </c>
      <c r="P177" s="126">
        <v>0.1</v>
      </c>
      <c r="Q177" s="126">
        <v>1</v>
      </c>
      <c r="R177" s="52">
        <f>Q177*D177/C177/N177</f>
        <v>-6.9301376970251502E-5</v>
      </c>
      <c r="S177" s="52">
        <f>Q177*E177/C177/N177</f>
        <v>3.4794568008769997E-4</v>
      </c>
      <c r="T177" s="19">
        <f>M177*N177*O177/(P177*U177*L177)</f>
        <v>0.9998849634195246</v>
      </c>
      <c r="U177" s="19">
        <f t="shared" si="196"/>
        <v>1.0007201194205511</v>
      </c>
      <c r="V177" s="52">
        <f t="shared" si="200"/>
        <v>1.9009563459605107E-4</v>
      </c>
      <c r="W177" s="19">
        <f>R177+T177</f>
        <v>0.99981566204255434</v>
      </c>
      <c r="X177" s="2">
        <f>1000*(W177-1)</f>
        <v>-0.18433795744565717</v>
      </c>
      <c r="Y177" s="2">
        <f>1000*(S177-V177)</f>
        <v>0.15785004549164891</v>
      </c>
      <c r="Z177" t="s">
        <v>68</v>
      </c>
      <c r="AA177" t="s">
        <v>67</v>
      </c>
      <c r="AB177" t="s">
        <v>66</v>
      </c>
    </row>
    <row r="178" spans="2:29" x14ac:dyDescent="0.2">
      <c r="B178" s="164" t="s">
        <v>54</v>
      </c>
      <c r="C178" s="122">
        <v>0.30045720428</v>
      </c>
      <c r="D178" s="123">
        <v>-1.2730421000000001E-3</v>
      </c>
      <c r="E178" s="122">
        <v>1.8608302999999999E-4</v>
      </c>
      <c r="F178" s="123">
        <v>2.17939937449818E-8</v>
      </c>
      <c r="G178" s="123">
        <v>1.4027681882620499E-6</v>
      </c>
      <c r="H178" s="123">
        <v>1.01928862894668E-6</v>
      </c>
      <c r="I178" s="124">
        <v>20.78</v>
      </c>
      <c r="J178" s="125">
        <f>100*C178/0.5</f>
        <v>60.091440855999998</v>
      </c>
      <c r="K178" s="124">
        <f>C178/P178</f>
        <v>3.0045720428</v>
      </c>
      <c r="L178" s="122">
        <v>20</v>
      </c>
      <c r="M178" s="122">
        <v>15</v>
      </c>
      <c r="N178" s="122">
        <v>0.66707000000000005</v>
      </c>
      <c r="O178" s="126">
        <v>0.2</v>
      </c>
      <c r="P178" s="126">
        <v>0.1</v>
      </c>
      <c r="Q178" s="126">
        <v>1</v>
      </c>
      <c r="R178" s="52">
        <f>Q178*D178/C178/N178</f>
        <v>-6.3516818223503906E-3</v>
      </c>
      <c r="S178" s="52">
        <f>Q178*E178/C178/N178</f>
        <v>9.284376369790774E-4</v>
      </c>
      <c r="T178" s="19">
        <f>M178*N178*O178/(P178*U178*L178)</f>
        <v>0.9998849634195246</v>
      </c>
      <c r="U178" s="19">
        <f>$AA$16</f>
        <v>1.0007201194205511</v>
      </c>
      <c r="V178" s="52">
        <f t="shared" si="200"/>
        <v>1.9009563459605107E-4</v>
      </c>
      <c r="W178" s="19">
        <f>R178+T178</f>
        <v>0.99353328159717424</v>
      </c>
      <c r="X178" s="2">
        <f>1000*(W178-1)</f>
        <v>-6.4667184028257552</v>
      </c>
      <c r="Y178" s="2">
        <f>1000*(S178-V178)</f>
        <v>0.73834200238302627</v>
      </c>
      <c r="AA178" s="46">
        <f>100*-(X178-X177)/1000</f>
        <v>0.6282380445380098</v>
      </c>
      <c r="AB178" s="46">
        <f>100*-(Y178-Y177)/1000</f>
        <v>-5.8049195689137731E-2</v>
      </c>
    </row>
    <row r="179" spans="2:29" x14ac:dyDescent="0.2">
      <c r="B179" s="164"/>
      <c r="C179" s="122">
        <v>0.30029146468000001</v>
      </c>
      <c r="D179" s="123">
        <v>-1.7571833E-5</v>
      </c>
      <c r="E179" s="123">
        <v>2.8063420000000001E-5</v>
      </c>
      <c r="F179" s="123">
        <v>2.41366152093602E-8</v>
      </c>
      <c r="G179" s="123">
        <v>2.5131933831482201E-7</v>
      </c>
      <c r="H179" s="123">
        <v>3.9577543935924101E-7</v>
      </c>
      <c r="I179" s="124">
        <v>20.78</v>
      </c>
      <c r="J179" s="125">
        <f>100*C179/0.5</f>
        <v>60.058292936000001</v>
      </c>
      <c r="K179" s="124">
        <f>C179/P179</f>
        <v>3.0029146467999999</v>
      </c>
      <c r="L179" s="122">
        <v>20</v>
      </c>
      <c r="M179" s="122">
        <v>15</v>
      </c>
      <c r="N179" s="122">
        <v>0.66707000000000005</v>
      </c>
      <c r="O179" s="126">
        <v>0.2</v>
      </c>
      <c r="P179" s="126">
        <v>0.1</v>
      </c>
      <c r="Q179" s="126">
        <v>1</v>
      </c>
      <c r="R179" s="52">
        <f>Q179*D179/C179/N179</f>
        <v>-8.772081727792415E-5</v>
      </c>
      <c r="S179" s="52">
        <f>Q179*E179/C179/N179</f>
        <v>1.4009614921867527E-4</v>
      </c>
      <c r="T179" s="19">
        <f>M179*N179*O179/(P179*U179*L179)</f>
        <v>0.9998849634195246</v>
      </c>
      <c r="U179" s="19">
        <f>$AA$16</f>
        <v>1.0007201194205511</v>
      </c>
      <c r="V179" s="52">
        <f t="shared" si="200"/>
        <v>1.9009563459605107E-4</v>
      </c>
      <c r="W179" s="19">
        <f>R179+T179</f>
        <v>0.99979724260224667</v>
      </c>
      <c r="X179" s="2">
        <f>1000*(W179-1)</f>
        <v>-0.20275739775332813</v>
      </c>
      <c r="Y179" s="2">
        <f>1000*(S179-V179)</f>
        <v>-4.9999485377375807E-2</v>
      </c>
      <c r="AA179" s="46"/>
      <c r="AB179" s="46"/>
    </row>
    <row r="180" spans="2:29" x14ac:dyDescent="0.2">
      <c r="R180" s="52"/>
      <c r="S180" s="52"/>
      <c r="T180" s="19"/>
      <c r="U180" s="19"/>
      <c r="V180" s="52"/>
      <c r="W180" s="19"/>
      <c r="X180" s="2"/>
      <c r="Y180" s="2"/>
      <c r="AA180" s="46"/>
      <c r="AB180" s="46"/>
    </row>
    <row r="181" spans="2:29" x14ac:dyDescent="0.2">
      <c r="D181" s="18"/>
      <c r="E181" s="18"/>
      <c r="F181" s="18"/>
      <c r="G181" s="18"/>
      <c r="H181" s="18"/>
      <c r="I181" s="2"/>
      <c r="J181" s="17"/>
      <c r="K181" s="2"/>
      <c r="R181" s="48"/>
      <c r="S181" s="48"/>
      <c r="T181" s="19"/>
      <c r="U181" s="19"/>
      <c r="V181" s="19"/>
      <c r="W181" s="19"/>
      <c r="X181" s="2"/>
      <c r="Y181" s="2"/>
      <c r="AA181" s="3"/>
      <c r="AC181" s="11"/>
    </row>
    <row r="182" spans="2:29" x14ac:dyDescent="0.2">
      <c r="R182" s="47"/>
      <c r="S182" s="47"/>
      <c r="AA182" s="3"/>
    </row>
    <row r="183" spans="2:29" x14ac:dyDescent="0.2">
      <c r="R183" s="47"/>
      <c r="S183" s="47"/>
      <c r="AA183" s="3"/>
    </row>
    <row r="184" spans="2:29" x14ac:dyDescent="0.2">
      <c r="R184" s="47"/>
      <c r="S184" s="47"/>
      <c r="AA184" s="3"/>
    </row>
    <row r="185" spans="2:29" x14ac:dyDescent="0.2">
      <c r="R185" s="47"/>
      <c r="S185" s="47"/>
      <c r="AA185" s="3"/>
    </row>
    <row r="186" spans="2:29" x14ac:dyDescent="0.2">
      <c r="R186" s="47"/>
      <c r="S186" s="47"/>
      <c r="AA186" s="3"/>
    </row>
    <row r="187" spans="2:29" x14ac:dyDescent="0.2">
      <c r="R187" s="47"/>
      <c r="S187" s="47"/>
      <c r="AA187" s="3"/>
    </row>
    <row r="188" spans="2:29" x14ac:dyDescent="0.2">
      <c r="R188" s="47"/>
      <c r="S188" s="47"/>
      <c r="AA188" s="3"/>
    </row>
    <row r="189" spans="2:29" x14ac:dyDescent="0.2">
      <c r="R189" s="47"/>
      <c r="S189" s="47"/>
      <c r="AA189" s="3"/>
    </row>
    <row r="190" spans="2:29" x14ac:dyDescent="0.2">
      <c r="R190" s="47"/>
      <c r="S190" s="47"/>
      <c r="AA190" s="3"/>
    </row>
    <row r="191" spans="2:29" x14ac:dyDescent="0.2">
      <c r="AA191" s="3"/>
    </row>
    <row r="192" spans="2:29" x14ac:dyDescent="0.2">
      <c r="AA192" s="3"/>
    </row>
  </sheetData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DD125-373E-4379-B752-7F305D220D5E}">
  <sheetPr codeName="Sheet12"/>
  <dimension ref="A1:AV193"/>
  <sheetViews>
    <sheetView tabSelected="1" workbookViewId="0">
      <pane xSplit="2" ySplit="8" topLeftCell="I27" activePane="bottomRight" state="frozen"/>
      <selection pane="topRight" activeCell="C1" sqref="C1"/>
      <selection pane="bottomLeft" activeCell="A9" sqref="A9"/>
      <selection pane="bottomRight" activeCell="J28" sqref="J28"/>
    </sheetView>
  </sheetViews>
  <sheetFormatPr defaultRowHeight="12.75" x14ac:dyDescent="0.2"/>
  <cols>
    <col min="1" max="1" width="9.28515625" bestFit="1" customWidth="1"/>
    <col min="2" max="2" width="28.140625" customWidth="1"/>
    <col min="3" max="3" width="9.28515625" bestFit="1" customWidth="1"/>
    <col min="4" max="4" width="10.42578125" bestFit="1" customWidth="1"/>
    <col min="5" max="8" width="9.5703125" bestFit="1" customWidth="1"/>
    <col min="9" max="9" width="9.28515625" bestFit="1" customWidth="1"/>
    <col min="10" max="10" width="10.7109375" customWidth="1"/>
    <col min="11" max="16" width="9.28515625" bestFit="1" customWidth="1"/>
    <col min="18" max="18" width="10.28515625" customWidth="1"/>
    <col min="19" max="19" width="10.7109375" customWidth="1"/>
    <col min="20" max="20" width="9.42578125" customWidth="1"/>
    <col min="21" max="21" width="12.5703125" bestFit="1" customWidth="1"/>
    <col min="22" max="22" width="9.7109375" customWidth="1"/>
    <col min="23" max="23" width="10.140625" customWidth="1"/>
    <col min="29" max="29" width="10.5703125" bestFit="1" customWidth="1"/>
  </cols>
  <sheetData>
    <row r="1" spans="1:48" x14ac:dyDescent="0.2">
      <c r="B1" s="5" t="s">
        <v>177</v>
      </c>
      <c r="R1" s="47"/>
      <c r="S1" s="47"/>
    </row>
    <row r="2" spans="1:48" x14ac:dyDescent="0.2">
      <c r="R2" s="47"/>
      <c r="S2" s="47"/>
    </row>
    <row r="3" spans="1:48" x14ac:dyDescent="0.2">
      <c r="A3">
        <f>ROW()</f>
        <v>3</v>
      </c>
      <c r="B3" s="6" t="s">
        <v>80</v>
      </c>
      <c r="R3" s="61" t="s">
        <v>79</v>
      </c>
      <c r="S3" s="50"/>
    </row>
    <row r="4" spans="1:48" x14ac:dyDescent="0.2">
      <c r="A4">
        <f>ROW()</f>
        <v>4</v>
      </c>
      <c r="B4" t="s">
        <v>81</v>
      </c>
      <c r="R4" s="50" t="s">
        <v>94</v>
      </c>
      <c r="S4" s="50"/>
    </row>
    <row r="5" spans="1:48" x14ac:dyDescent="0.2">
      <c r="A5">
        <f>ROW()</f>
        <v>5</v>
      </c>
      <c r="R5" s="50" t="s">
        <v>93</v>
      </c>
      <c r="S5" s="50"/>
      <c r="Y5" t="s">
        <v>87</v>
      </c>
      <c r="AB5">
        <v>2.11</v>
      </c>
      <c r="AC5" t="s">
        <v>88</v>
      </c>
    </row>
    <row r="6" spans="1:48" x14ac:dyDescent="0.2">
      <c r="A6">
        <f>ROW()</f>
        <v>6</v>
      </c>
      <c r="C6" s="5" t="s">
        <v>82</v>
      </c>
      <c r="I6" s="5"/>
      <c r="R6" s="50"/>
      <c r="S6" s="50"/>
    </row>
    <row r="7" spans="1:48" x14ac:dyDescent="0.2">
      <c r="A7">
        <f>ROW()</f>
        <v>7</v>
      </c>
      <c r="L7" t="s">
        <v>23</v>
      </c>
      <c r="N7" t="s">
        <v>24</v>
      </c>
      <c r="O7" t="s">
        <v>25</v>
      </c>
      <c r="Q7" t="s">
        <v>26</v>
      </c>
      <c r="R7" s="50" t="s">
        <v>27</v>
      </c>
      <c r="S7" s="50" t="s">
        <v>27</v>
      </c>
      <c r="T7" t="s">
        <v>28</v>
      </c>
      <c r="U7" t="s">
        <v>29</v>
      </c>
      <c r="V7" t="s">
        <v>30</v>
      </c>
      <c r="W7" t="s">
        <v>3</v>
      </c>
      <c r="X7" t="s">
        <v>49</v>
      </c>
      <c r="Y7" t="s">
        <v>49</v>
      </c>
      <c r="Z7" t="s">
        <v>55</v>
      </c>
      <c r="AA7" t="s">
        <v>57</v>
      </c>
      <c r="AB7" t="s">
        <v>59</v>
      </c>
      <c r="AC7" t="s">
        <v>57</v>
      </c>
    </row>
    <row r="8" spans="1:48" x14ac:dyDescent="0.2">
      <c r="A8">
        <f>ROW()</f>
        <v>8</v>
      </c>
      <c r="C8" t="s">
        <v>31</v>
      </c>
      <c r="D8" t="s">
        <v>32</v>
      </c>
      <c r="E8" t="s">
        <v>33</v>
      </c>
      <c r="F8" t="s">
        <v>34</v>
      </c>
      <c r="G8" t="s">
        <v>35</v>
      </c>
      <c r="H8" t="s">
        <v>36</v>
      </c>
      <c r="I8" t="s">
        <v>77</v>
      </c>
      <c r="J8" t="s">
        <v>37</v>
      </c>
      <c r="K8" t="s">
        <v>38</v>
      </c>
      <c r="L8" t="s">
        <v>39</v>
      </c>
      <c r="M8" t="s">
        <v>40</v>
      </c>
      <c r="N8" t="s">
        <v>41</v>
      </c>
      <c r="O8" t="s">
        <v>42</v>
      </c>
      <c r="P8" t="s">
        <v>43</v>
      </c>
      <c r="Q8" t="s">
        <v>44</v>
      </c>
      <c r="R8" s="50" t="s">
        <v>45</v>
      </c>
      <c r="S8" s="50" t="s">
        <v>46</v>
      </c>
      <c r="U8" t="s">
        <v>47</v>
      </c>
      <c r="V8" t="s">
        <v>39</v>
      </c>
      <c r="W8" t="s">
        <v>48</v>
      </c>
      <c r="X8" t="s">
        <v>47</v>
      </c>
      <c r="Y8" t="s">
        <v>50</v>
      </c>
      <c r="Z8" t="s">
        <v>56</v>
      </c>
      <c r="AA8" t="s">
        <v>58</v>
      </c>
      <c r="AB8" t="s">
        <v>60</v>
      </c>
      <c r="AM8" t="s">
        <v>180</v>
      </c>
    </row>
    <row r="9" spans="1:48" x14ac:dyDescent="0.2">
      <c r="A9">
        <f>ROW()</f>
        <v>9</v>
      </c>
      <c r="B9" s="4">
        <v>43383</v>
      </c>
      <c r="R9" s="50"/>
      <c r="S9" s="50"/>
    </row>
    <row r="10" spans="1:48" x14ac:dyDescent="0.2">
      <c r="A10">
        <f>ROW()</f>
        <v>10</v>
      </c>
      <c r="B10" t="s">
        <v>51</v>
      </c>
      <c r="C10" s="18">
        <f>AM10</f>
        <v>0.10017241334</v>
      </c>
      <c r="D10" s="18">
        <f t="shared" ref="D10:H17" si="0">AN10</f>
        <v>1.151773122E-7</v>
      </c>
      <c r="E10" s="18">
        <f t="shared" si="0"/>
        <v>1.4345909000000001E-5</v>
      </c>
      <c r="F10" s="18">
        <f t="shared" si="0"/>
        <v>4.3799930272095E-8</v>
      </c>
      <c r="G10" s="18">
        <f t="shared" si="0"/>
        <v>1.10824061228985E-7</v>
      </c>
      <c r="H10" s="18">
        <f t="shared" si="0"/>
        <v>1.1190977624408E-7</v>
      </c>
      <c r="I10" s="2">
        <v>20.440000000000001</v>
      </c>
      <c r="J10" s="17">
        <f t="shared" ref="J10:J17" si="1">100*C10/0.5</f>
        <v>20.034482667999999</v>
      </c>
      <c r="K10" s="2">
        <f t="shared" ref="K10:K17" si="2">C10/P10</f>
        <v>1.0010774373754554</v>
      </c>
      <c r="L10">
        <v>2</v>
      </c>
      <c r="M10">
        <v>1</v>
      </c>
      <c r="N10">
        <v>1.000723</v>
      </c>
      <c r="O10">
        <f t="shared" ref="O10:O17" si="3">MSL0.2</f>
        <v>0.19999402020000001</v>
      </c>
      <c r="P10">
        <f t="shared" ref="P10:P17" si="4">Ti_969</f>
        <v>0.1000646</v>
      </c>
      <c r="Q10">
        <v>-1</v>
      </c>
      <c r="R10" s="52">
        <f t="shared" ref="R10:R17" si="5">Q10*D10/C10/N10</f>
        <v>-1.1489600312978018E-6</v>
      </c>
      <c r="S10" s="52">
        <f t="shared" ref="S10:S17" si="6">Q10*E10/C10/N10</f>
        <v>-1.4310870551496877E-4</v>
      </c>
      <c r="T10" s="19">
        <f t="shared" ref="T10:T17" si="7">N10*M10/L10</f>
        <v>0.50036150000000001</v>
      </c>
      <c r="U10">
        <f t="shared" ref="U10:U17" si="8">T10/(1+R10)</f>
        <v>0.50036207489602524</v>
      </c>
      <c r="V10" s="19">
        <f t="shared" ref="V10:V17" si="9">U10*L10</f>
        <v>1.0007241497920505</v>
      </c>
      <c r="W10" s="52">
        <f>-T10*S10*L10</f>
        <v>1.432121731090561E-4</v>
      </c>
      <c r="X10" s="19">
        <f>0.5*(V10+V14)</f>
        <v>1.0006942644604639</v>
      </c>
      <c r="Y10" s="19">
        <f t="shared" ref="X10:Y13" si="10">0.5*(W10+W14)</f>
        <v>1.0877525127103428E-4</v>
      </c>
      <c r="Z10" s="2">
        <f>0.2*(K10/L10)^2</f>
        <v>5.0107801781110441E-2</v>
      </c>
      <c r="AA10" s="10">
        <f>2.11*Z10</f>
        <v>0.10572746175814303</v>
      </c>
      <c r="AB10" s="2">
        <f>0.1*K10^2</f>
        <v>0.10021560356222088</v>
      </c>
      <c r="AC10" s="10">
        <f>1000000*(X10-1.0007)+AA10</f>
        <v>-5.6298120742200197</v>
      </c>
      <c r="AD10" s="10"/>
      <c r="AL10" t="s">
        <v>194</v>
      </c>
      <c r="AM10" s="18">
        <v>0.10017241334</v>
      </c>
      <c r="AN10" s="18">
        <v>1.151773122E-7</v>
      </c>
      <c r="AO10" s="18">
        <v>1.4345909000000001E-5</v>
      </c>
      <c r="AP10" s="18">
        <v>4.3799930272095E-8</v>
      </c>
      <c r="AQ10" s="18">
        <v>1.10824061228985E-7</v>
      </c>
      <c r="AR10" s="18">
        <v>1.1190977624408E-7</v>
      </c>
      <c r="AS10">
        <v>12</v>
      </c>
      <c r="AT10">
        <v>2</v>
      </c>
      <c r="AV10" t="str">
        <f>AS10&amp;","&amp;AT10</f>
        <v>12,2</v>
      </c>
    </row>
    <row r="11" spans="1:48" x14ac:dyDescent="0.2">
      <c r="A11">
        <f>ROW()</f>
        <v>11</v>
      </c>
      <c r="C11" s="18">
        <f t="shared" ref="C11:C17" si="11">AM11</f>
        <v>0.30123399752000002</v>
      </c>
      <c r="D11" s="18">
        <f t="shared" si="0"/>
        <v>2.5058682999999998E-6</v>
      </c>
      <c r="E11" s="18">
        <f t="shared" si="0"/>
        <v>4.5483737999999997E-5</v>
      </c>
      <c r="F11" s="18">
        <f t="shared" si="0"/>
        <v>6.5790420693045901E-8</v>
      </c>
      <c r="G11" s="18">
        <f t="shared" si="0"/>
        <v>1.2878136996518601E-7</v>
      </c>
      <c r="H11" s="18">
        <f t="shared" si="0"/>
        <v>6.5352737938053905E-8</v>
      </c>
      <c r="I11" s="2">
        <v>20.440000000000001</v>
      </c>
      <c r="J11" s="17">
        <f t="shared" si="1"/>
        <v>60.246799504000002</v>
      </c>
      <c r="K11" s="2">
        <f t="shared" si="2"/>
        <v>3.0103952598621291</v>
      </c>
      <c r="L11">
        <v>2</v>
      </c>
      <c r="M11">
        <v>1</v>
      </c>
      <c r="N11">
        <v>1.000723</v>
      </c>
      <c r="O11">
        <f t="shared" si="3"/>
        <v>0.19999402020000001</v>
      </c>
      <c r="P11">
        <f t="shared" si="4"/>
        <v>0.1000646</v>
      </c>
      <c r="Q11">
        <v>-1</v>
      </c>
      <c r="R11" s="52">
        <f t="shared" si="5"/>
        <v>-8.3126668529388366E-6</v>
      </c>
      <c r="S11" s="52">
        <f t="shared" si="6"/>
        <v>-1.5088229545836651E-4</v>
      </c>
      <c r="T11" s="19">
        <f t="shared" si="7"/>
        <v>0.50036150000000001</v>
      </c>
      <c r="U11">
        <f t="shared" si="8"/>
        <v>0.50036565937303101</v>
      </c>
      <c r="V11" s="19">
        <f t="shared" si="9"/>
        <v>1.000731318746062</v>
      </c>
      <c r="W11" s="52">
        <f t="shared" ref="W11:W26" si="12">-T11*S11*L11</f>
        <v>1.5099138335798292E-4</v>
      </c>
      <c r="X11" s="19">
        <f t="shared" si="10"/>
        <v>1.0007000502858603</v>
      </c>
      <c r="Y11" s="19">
        <f t="shared" si="10"/>
        <v>1.1712308178893089E-4</v>
      </c>
      <c r="Z11" s="2">
        <f>0.2*(K11/L11)^2</f>
        <v>0.45312398103001883</v>
      </c>
      <c r="AA11" s="10">
        <f>2.11*Z11</f>
        <v>0.9560915999733397</v>
      </c>
      <c r="AB11" s="2">
        <f>0.1*K11^2</f>
        <v>0.90624796206003766</v>
      </c>
      <c r="AC11" s="10">
        <f>1000000*(X11-1.0007)+AA11</f>
        <v>1.0063774603379358</v>
      </c>
      <c r="AD11" s="10"/>
      <c r="AL11" t="s">
        <v>194</v>
      </c>
      <c r="AM11" s="18">
        <v>0.30123399752000002</v>
      </c>
      <c r="AN11" s="18">
        <v>2.5058682999999998E-6</v>
      </c>
      <c r="AO11" s="18">
        <v>4.5483737999999997E-5</v>
      </c>
      <c r="AP11" s="18">
        <v>6.5790420693045901E-8</v>
      </c>
      <c r="AQ11" s="18">
        <v>1.2878136996518601E-7</v>
      </c>
      <c r="AR11" s="18">
        <v>6.5352737938053905E-8</v>
      </c>
      <c r="AS11">
        <v>13</v>
      </c>
      <c r="AT11">
        <v>2</v>
      </c>
      <c r="AV11" t="str">
        <f t="shared" ref="AV11:AV28" si="13">AS11&amp;","&amp;AT11</f>
        <v>13,2</v>
      </c>
    </row>
    <row r="12" spans="1:48" x14ac:dyDescent="0.2">
      <c r="A12">
        <f>ROW()</f>
        <v>12</v>
      </c>
      <c r="C12" s="18">
        <f t="shared" si="11"/>
        <v>0.50087110128000001</v>
      </c>
      <c r="D12" s="18">
        <f t="shared" si="0"/>
        <v>9.8790800000000003E-6</v>
      </c>
      <c r="E12" s="18">
        <f t="shared" si="0"/>
        <v>7.9211308999999996E-5</v>
      </c>
      <c r="F12" s="18">
        <f t="shared" si="0"/>
        <v>1.7810887191983099E-7</v>
      </c>
      <c r="G12" s="18">
        <f t="shared" si="0"/>
        <v>4.45666613672148E-7</v>
      </c>
      <c r="H12" s="18">
        <f t="shared" si="0"/>
        <v>8.1189671873952897E-8</v>
      </c>
      <c r="I12" s="2">
        <v>20.45</v>
      </c>
      <c r="J12" s="17">
        <f t="shared" si="1"/>
        <v>100.174220256</v>
      </c>
      <c r="K12" s="2">
        <f t="shared" si="2"/>
        <v>5.0054774743515686</v>
      </c>
      <c r="L12">
        <v>2</v>
      </c>
      <c r="M12">
        <v>1</v>
      </c>
      <c r="N12">
        <v>1.000723</v>
      </c>
      <c r="O12">
        <f t="shared" si="3"/>
        <v>0.19999402020000001</v>
      </c>
      <c r="P12">
        <f t="shared" si="4"/>
        <v>0.1000646</v>
      </c>
      <c r="Q12">
        <v>-1</v>
      </c>
      <c r="R12" s="52">
        <f t="shared" si="5"/>
        <v>-1.9709547147524496E-5</v>
      </c>
      <c r="S12" s="52">
        <f t="shared" si="6"/>
        <v>-1.5803283598803038E-4</v>
      </c>
      <c r="T12" s="19">
        <f t="shared" si="7"/>
        <v>0.50036150000000001</v>
      </c>
      <c r="U12">
        <f t="shared" si="8"/>
        <v>0.50037136209295241</v>
      </c>
      <c r="V12" s="19">
        <f t="shared" si="9"/>
        <v>1.0007427241859048</v>
      </c>
      <c r="W12" s="52">
        <f t="shared" si="12"/>
        <v>1.5814709372844973E-4</v>
      </c>
      <c r="X12" s="19">
        <f t="shared" si="10"/>
        <v>1.0007103898165797</v>
      </c>
      <c r="Y12" s="19">
        <f t="shared" si="10"/>
        <v>1.2405527307746939E-4</v>
      </c>
      <c r="Z12" s="2">
        <f>0.2*(K12/L12)^2</f>
        <v>1.252740237312048</v>
      </c>
      <c r="AA12" s="10">
        <f>2.11*Z12</f>
        <v>2.6432819007284212</v>
      </c>
      <c r="AB12" s="2">
        <f>0.1*K12^2</f>
        <v>2.505480474624096</v>
      </c>
      <c r="AC12" s="10">
        <f>1000000*(X12-1.0007)+AA12</f>
        <v>13.033098480476223</v>
      </c>
      <c r="AD12" s="10"/>
      <c r="AL12" t="s">
        <v>194</v>
      </c>
      <c r="AM12" s="18">
        <v>0.50087110128000001</v>
      </c>
      <c r="AN12" s="18">
        <v>9.8790800000000003E-6</v>
      </c>
      <c r="AO12" s="18">
        <v>7.9211308999999996E-5</v>
      </c>
      <c r="AP12" s="18">
        <v>1.7810887191983099E-7</v>
      </c>
      <c r="AQ12" s="18">
        <v>4.45666613672148E-7</v>
      </c>
      <c r="AR12" s="18">
        <v>8.1189671873952897E-8</v>
      </c>
      <c r="AS12">
        <v>14</v>
      </c>
      <c r="AT12">
        <v>2</v>
      </c>
      <c r="AV12" t="str">
        <f t="shared" si="13"/>
        <v>14,2</v>
      </c>
    </row>
    <row r="13" spans="1:48" x14ac:dyDescent="0.2">
      <c r="A13">
        <f>ROW()</f>
        <v>13</v>
      </c>
      <c r="C13" s="18">
        <f t="shared" si="11"/>
        <v>0.60003846876</v>
      </c>
      <c r="D13" s="18">
        <f t="shared" si="0"/>
        <v>1.6966280999999999E-5</v>
      </c>
      <c r="E13" s="18">
        <f t="shared" si="0"/>
        <v>9.6685274000000003E-5</v>
      </c>
      <c r="F13" s="18">
        <f t="shared" si="0"/>
        <v>2.70137442170636E-7</v>
      </c>
      <c r="G13" s="18">
        <f t="shared" si="0"/>
        <v>5.4214964773483005E-7</v>
      </c>
      <c r="H13" s="18">
        <f t="shared" si="0"/>
        <v>7.6550875396693102E-8</v>
      </c>
      <c r="I13" s="2">
        <v>20.45</v>
      </c>
      <c r="J13" s="17">
        <f t="shared" si="1"/>
        <v>120.00769375199999</v>
      </c>
      <c r="K13" s="2">
        <f>C13/P13</f>
        <v>5.9965109415317706</v>
      </c>
      <c r="L13">
        <v>2</v>
      </c>
      <c r="M13">
        <v>1</v>
      </c>
      <c r="N13">
        <v>1.000723</v>
      </c>
      <c r="O13">
        <f t="shared" si="3"/>
        <v>0.19999402020000001</v>
      </c>
      <c r="P13">
        <f t="shared" si="4"/>
        <v>0.1000646</v>
      </c>
      <c r="Q13">
        <v>-1</v>
      </c>
      <c r="R13" s="52">
        <f t="shared" si="5"/>
        <v>-2.825489385077707E-5</v>
      </c>
      <c r="S13" s="52">
        <f t="shared" si="6"/>
        <v>-1.6101537831439292E-4</v>
      </c>
      <c r="T13" s="19">
        <f t="shared" si="7"/>
        <v>0.50036150000000001</v>
      </c>
      <c r="U13">
        <f t="shared" si="8"/>
        <v>0.50037563806053897</v>
      </c>
      <c r="V13" s="19">
        <f t="shared" si="9"/>
        <v>1.0007512761210779</v>
      </c>
      <c r="W13" s="52">
        <f t="shared" si="12"/>
        <v>1.6113179243291422E-4</v>
      </c>
      <c r="X13" s="19">
        <f t="shared" si="10"/>
        <v>1.000719025145441</v>
      </c>
      <c r="Y13" s="19">
        <f t="shared" si="10"/>
        <v>1.271621610373556E-4</v>
      </c>
      <c r="Z13" s="2">
        <f>0.2*(K13/L13)^2</f>
        <v>1.7979071735955121</v>
      </c>
      <c r="AA13" s="10">
        <f>2.11*Z13</f>
        <v>3.7935841362865301</v>
      </c>
      <c r="AB13" s="2">
        <f>0.1*K13^2</f>
        <v>3.5958143471910242</v>
      </c>
      <c r="AC13" s="10">
        <f>1000000*(X13-1.0007)+AA13</f>
        <v>22.818729577340466</v>
      </c>
      <c r="AD13" s="10"/>
      <c r="AL13" t="s">
        <v>194</v>
      </c>
      <c r="AM13" s="18">
        <v>0.60003846876</v>
      </c>
      <c r="AN13" s="18">
        <v>1.6966280999999999E-5</v>
      </c>
      <c r="AO13" s="18">
        <v>9.6685274000000003E-5</v>
      </c>
      <c r="AP13" s="18">
        <v>2.70137442170636E-7</v>
      </c>
      <c r="AQ13" s="18">
        <v>5.4214964773483005E-7</v>
      </c>
      <c r="AR13" s="18">
        <v>7.6550875396693102E-8</v>
      </c>
      <c r="AS13">
        <v>14</v>
      </c>
      <c r="AT13">
        <v>2</v>
      </c>
      <c r="AV13" t="str">
        <f t="shared" si="13"/>
        <v>14,2</v>
      </c>
    </row>
    <row r="14" spans="1:48" x14ac:dyDescent="0.2">
      <c r="A14">
        <f>ROW()</f>
        <v>14</v>
      </c>
      <c r="B14" t="s">
        <v>83</v>
      </c>
      <c r="C14" s="18">
        <f t="shared" si="11"/>
        <v>0.10039230444</v>
      </c>
      <c r="D14" s="18">
        <f t="shared" si="0"/>
        <v>5.8854290999999997E-6</v>
      </c>
      <c r="E14" s="18">
        <f t="shared" si="0"/>
        <v>-7.4629962000000001E-6</v>
      </c>
      <c r="F14" s="18">
        <f t="shared" si="0"/>
        <v>1.7842062735043401E-8</v>
      </c>
      <c r="G14" s="18">
        <f t="shared" si="0"/>
        <v>6.8587376930379803E-8</v>
      </c>
      <c r="H14" s="18">
        <f t="shared" si="0"/>
        <v>5.4643689915305E-8</v>
      </c>
      <c r="I14" s="2">
        <v>20.47</v>
      </c>
      <c r="J14" s="17">
        <f t="shared" si="1"/>
        <v>20.078460887999999</v>
      </c>
      <c r="K14" s="2">
        <f t="shared" si="2"/>
        <v>1.0032749287959977</v>
      </c>
      <c r="L14">
        <v>2</v>
      </c>
      <c r="M14">
        <v>1</v>
      </c>
      <c r="N14">
        <v>1.000723</v>
      </c>
      <c r="O14">
        <f t="shared" si="3"/>
        <v>0.19999402020000001</v>
      </c>
      <c r="P14">
        <f t="shared" si="4"/>
        <v>0.1000646</v>
      </c>
      <c r="Q14">
        <v>1</v>
      </c>
      <c r="R14" s="52">
        <f t="shared" si="5"/>
        <v>5.8581950497384922E-5</v>
      </c>
      <c r="S14" s="52">
        <f t="shared" si="6"/>
        <v>-7.4284621651558391E-5</v>
      </c>
      <c r="T14" s="19">
        <f t="shared" si="7"/>
        <v>0.50036150000000001</v>
      </c>
      <c r="U14">
        <f t="shared" si="8"/>
        <v>0.5003321895644387</v>
      </c>
      <c r="V14" s="19">
        <f t="shared" si="9"/>
        <v>1.0006643791288774</v>
      </c>
      <c r="W14" s="52">
        <f t="shared" si="12"/>
        <v>7.4338329433012464E-5</v>
      </c>
      <c r="X14" s="19"/>
      <c r="Y14" t="s">
        <v>84</v>
      </c>
      <c r="Z14">
        <f>INDEX(LINEST(AC10:AC13,AB10:AB13),2)</f>
        <v>-6.4790004016924421</v>
      </c>
      <c r="AK14" s="188" t="s">
        <v>278</v>
      </c>
      <c r="AL14" t="s">
        <v>194</v>
      </c>
      <c r="AM14" s="18">
        <v>0.10039230444</v>
      </c>
      <c r="AN14" s="18">
        <v>5.8854290999999997E-6</v>
      </c>
      <c r="AO14" s="18">
        <v>-7.4629962000000001E-6</v>
      </c>
      <c r="AP14" s="18">
        <v>1.7842062735043401E-8</v>
      </c>
      <c r="AQ14" s="18">
        <v>6.8587376930379803E-8</v>
      </c>
      <c r="AR14" s="18">
        <v>5.4643689915305E-8</v>
      </c>
      <c r="AS14">
        <v>11</v>
      </c>
      <c r="AT14">
        <v>2</v>
      </c>
      <c r="AV14" t="str">
        <f t="shared" si="13"/>
        <v>11,2</v>
      </c>
    </row>
    <row r="15" spans="1:48" x14ac:dyDescent="0.2">
      <c r="A15">
        <f>ROW()</f>
        <v>15</v>
      </c>
      <c r="C15" s="18">
        <f t="shared" si="11"/>
        <v>0.30069045806</v>
      </c>
      <c r="D15" s="18">
        <f t="shared" si="0"/>
        <v>1.6303770999999999E-5</v>
      </c>
      <c r="E15" s="18">
        <f t="shared" si="0"/>
        <v>-2.5033918E-5</v>
      </c>
      <c r="F15" s="18">
        <f t="shared" si="0"/>
        <v>1.5020783707726101E-7</v>
      </c>
      <c r="G15" s="18">
        <f t="shared" si="0"/>
        <v>4.8407971027507401E-8</v>
      </c>
      <c r="H15" s="18">
        <f t="shared" si="0"/>
        <v>3.24435429014776E-8</v>
      </c>
      <c r="I15" s="2">
        <v>20.48</v>
      </c>
      <c r="J15" s="17">
        <f t="shared" si="1"/>
        <v>60.138091611999997</v>
      </c>
      <c r="K15" s="2">
        <f t="shared" si="2"/>
        <v>3.0049633742602277</v>
      </c>
      <c r="L15">
        <v>2</v>
      </c>
      <c r="M15">
        <v>1</v>
      </c>
      <c r="N15">
        <v>1.000723</v>
      </c>
      <c r="O15">
        <f t="shared" si="3"/>
        <v>0.19999402020000001</v>
      </c>
      <c r="P15">
        <f t="shared" si="4"/>
        <v>0.1000646</v>
      </c>
      <c r="Q15">
        <v>1</v>
      </c>
      <c r="R15" s="52">
        <f t="shared" si="5"/>
        <v>5.4181938445857538E-5</v>
      </c>
      <c r="S15" s="52">
        <f t="shared" si="6"/>
        <v>-8.3194630502025891E-5</v>
      </c>
      <c r="T15" s="19">
        <f t="shared" si="7"/>
        <v>0.50036150000000001</v>
      </c>
      <c r="U15">
        <f t="shared" si="8"/>
        <v>0.50033439091282927</v>
      </c>
      <c r="V15" s="19">
        <f t="shared" si="9"/>
        <v>1.0006687818256585</v>
      </c>
      <c r="W15" s="52">
        <f t="shared" si="12"/>
        <v>8.3254780219878857E-5</v>
      </c>
      <c r="X15" s="19"/>
      <c r="Y15" t="s">
        <v>85</v>
      </c>
      <c r="Z15">
        <f>INDEX(LINEST(AC10:AC13,AB10:AB13),1)</f>
        <v>8.0397210957120251</v>
      </c>
      <c r="AA15" t="s">
        <v>86</v>
      </c>
      <c r="AK15" s="188" t="s">
        <v>278</v>
      </c>
      <c r="AL15" t="s">
        <v>194</v>
      </c>
      <c r="AM15">
        <v>0.30069045806</v>
      </c>
      <c r="AN15" s="18">
        <v>1.6303770999999999E-5</v>
      </c>
      <c r="AO15" s="18">
        <v>-2.5033918E-5</v>
      </c>
      <c r="AP15" s="18">
        <v>1.5020783707726101E-7</v>
      </c>
      <c r="AQ15" s="18">
        <v>4.8407971027507401E-8</v>
      </c>
      <c r="AR15" s="18">
        <v>3.24435429014776E-8</v>
      </c>
      <c r="AS15">
        <v>13</v>
      </c>
      <c r="AT15">
        <v>2</v>
      </c>
      <c r="AV15" t="str">
        <f t="shared" si="13"/>
        <v>13,2</v>
      </c>
    </row>
    <row r="16" spans="1:48" x14ac:dyDescent="0.2">
      <c r="A16">
        <f>ROW()</f>
        <v>16</v>
      </c>
      <c r="C16" s="18">
        <f t="shared" si="11"/>
        <v>0.49747084836</v>
      </c>
      <c r="D16" s="18">
        <f t="shared" si="0"/>
        <v>2.2359609E-5</v>
      </c>
      <c r="E16" s="18">
        <f t="shared" si="0"/>
        <v>-4.4754194999999999E-5</v>
      </c>
      <c r="F16" s="18">
        <f t="shared" si="0"/>
        <v>5.1478581461125098E-7</v>
      </c>
      <c r="G16" s="18">
        <f t="shared" si="0"/>
        <v>3.5798408095751898E-7</v>
      </c>
      <c r="H16" s="18">
        <f t="shared" si="0"/>
        <v>5.2747921996984899E-8</v>
      </c>
      <c r="I16" s="2">
        <v>20.5</v>
      </c>
      <c r="J16" s="17">
        <f t="shared" si="1"/>
        <v>99.494169671999998</v>
      </c>
      <c r="K16" s="2">
        <f t="shared" si="2"/>
        <v>4.9714968966047932</v>
      </c>
      <c r="L16">
        <v>2</v>
      </c>
      <c r="M16">
        <v>1</v>
      </c>
      <c r="N16">
        <v>1.000723</v>
      </c>
      <c r="O16">
        <f t="shared" si="3"/>
        <v>0.19999402020000001</v>
      </c>
      <c r="P16">
        <f t="shared" si="4"/>
        <v>0.1000646</v>
      </c>
      <c r="Q16">
        <v>1</v>
      </c>
      <c r="R16" s="52">
        <f t="shared" si="5"/>
        <v>4.4914098496271378E-5</v>
      </c>
      <c r="S16" s="52">
        <f t="shared" si="6"/>
        <v>-8.9898455842914602E-5</v>
      </c>
      <c r="T16" s="19">
        <f t="shared" si="7"/>
        <v>0.50036150000000001</v>
      </c>
      <c r="U16">
        <f t="shared" si="8"/>
        <v>0.50033902772362737</v>
      </c>
      <c r="V16" s="19">
        <f t="shared" si="9"/>
        <v>1.0006780554472547</v>
      </c>
      <c r="W16" s="52">
        <f t="shared" si="12"/>
        <v>8.9963452426489033E-5</v>
      </c>
      <c r="X16" s="19"/>
      <c r="Z16" s="49" t="s">
        <v>90</v>
      </c>
      <c r="AA16" s="19">
        <f>AVERAGE(X10:X13)</f>
        <v>1.0007059324270862</v>
      </c>
      <c r="AK16" s="188" t="s">
        <v>278</v>
      </c>
      <c r="AL16" t="s">
        <v>194</v>
      </c>
      <c r="AM16" s="18">
        <v>0.49747084836</v>
      </c>
      <c r="AN16" s="18">
        <v>2.2359609E-5</v>
      </c>
      <c r="AO16" s="18">
        <v>-4.4754194999999999E-5</v>
      </c>
      <c r="AP16" s="18">
        <v>5.1478581461125098E-7</v>
      </c>
      <c r="AQ16" s="18">
        <v>3.5798408095751898E-7</v>
      </c>
      <c r="AR16" s="18">
        <v>5.2747921996984899E-8</v>
      </c>
      <c r="AS16">
        <v>13</v>
      </c>
      <c r="AT16">
        <v>2</v>
      </c>
      <c r="AV16" t="str">
        <f t="shared" si="13"/>
        <v>13,2</v>
      </c>
    </row>
    <row r="17" spans="1:48" x14ac:dyDescent="0.2">
      <c r="A17">
        <f>ROW()</f>
        <v>17</v>
      </c>
      <c r="C17" s="18">
        <f t="shared" si="11"/>
        <v>0.60449088801999995</v>
      </c>
      <c r="D17" s="18">
        <f t="shared" si="0"/>
        <v>2.1898976999999999E-5</v>
      </c>
      <c r="E17" s="18">
        <f t="shared" si="0"/>
        <v>-5.6334035000000002E-5</v>
      </c>
      <c r="F17" s="18">
        <f t="shared" si="0"/>
        <v>1.5796468322557399E-7</v>
      </c>
      <c r="G17" s="18">
        <f t="shared" si="0"/>
        <v>4.9680256578544395E-7</v>
      </c>
      <c r="H17" s="18">
        <f t="shared" si="0"/>
        <v>5.61387965225476E-8</v>
      </c>
      <c r="I17" s="2">
        <v>20.52</v>
      </c>
      <c r="J17" s="17">
        <f t="shared" si="1"/>
        <v>120.89817760399998</v>
      </c>
      <c r="K17" s="2">
        <f t="shared" si="2"/>
        <v>6.0410063900720123</v>
      </c>
      <c r="L17">
        <v>2</v>
      </c>
      <c r="M17">
        <v>1</v>
      </c>
      <c r="N17">
        <v>1.000723</v>
      </c>
      <c r="O17">
        <f t="shared" si="3"/>
        <v>0.19999402020000001</v>
      </c>
      <c r="P17">
        <f t="shared" si="4"/>
        <v>0.1000646</v>
      </c>
      <c r="Q17">
        <v>1</v>
      </c>
      <c r="R17" s="52">
        <f t="shared" si="5"/>
        <v>3.6200968306183898E-5</v>
      </c>
      <c r="S17" s="52">
        <f t="shared" si="6"/>
        <v>-9.3125200122108663E-5</v>
      </c>
      <c r="T17" s="19">
        <f t="shared" si="7"/>
        <v>0.50036150000000001</v>
      </c>
      <c r="U17">
        <f t="shared" si="8"/>
        <v>0.500343387084902</v>
      </c>
      <c r="V17" s="19">
        <f t="shared" si="9"/>
        <v>1.000686774169804</v>
      </c>
      <c r="W17" s="52">
        <f t="shared" si="12"/>
        <v>9.3192529641796944E-5</v>
      </c>
      <c r="X17" s="19"/>
      <c r="Z17" s="49" t="s">
        <v>89</v>
      </c>
      <c r="AA17" s="19">
        <f>AVERAGE(Y10:Y13)</f>
        <v>1.1927894179369755E-4</v>
      </c>
      <c r="AK17" s="188" t="s">
        <v>278</v>
      </c>
      <c r="AL17" t="s">
        <v>194</v>
      </c>
      <c r="AM17" s="18">
        <v>0.60449088801999995</v>
      </c>
      <c r="AN17" s="18">
        <v>2.1898976999999999E-5</v>
      </c>
      <c r="AO17" s="18">
        <v>-5.6334035000000002E-5</v>
      </c>
      <c r="AP17" s="18">
        <v>1.5796468322557399E-7</v>
      </c>
      <c r="AQ17" s="18">
        <v>4.9680256578544395E-7</v>
      </c>
      <c r="AR17" s="18">
        <v>5.61387965225476E-8</v>
      </c>
      <c r="AS17">
        <v>14</v>
      </c>
      <c r="AT17">
        <v>2</v>
      </c>
      <c r="AV17" t="str">
        <f t="shared" si="13"/>
        <v>14,2</v>
      </c>
    </row>
    <row r="18" spans="1:48" x14ac:dyDescent="0.2">
      <c r="A18">
        <f>ROW()</f>
        <v>18</v>
      </c>
      <c r="D18" s="18"/>
      <c r="E18" s="18"/>
      <c r="F18" s="18"/>
      <c r="G18" s="18"/>
      <c r="H18" s="18"/>
      <c r="I18" s="2"/>
      <c r="J18" s="17"/>
      <c r="K18" s="2"/>
      <c r="R18" s="52"/>
      <c r="S18" s="52"/>
      <c r="T18" s="19"/>
      <c r="V18" s="19"/>
      <c r="W18" s="52"/>
      <c r="X18" s="19"/>
      <c r="Y18" s="19"/>
      <c r="AA18" s="19"/>
      <c r="AO18" s="18"/>
      <c r="AP18" s="18"/>
      <c r="AQ18" s="18"/>
      <c r="AR18" s="18"/>
      <c r="AS18" s="18"/>
      <c r="AT18" s="2"/>
      <c r="AU18" s="17"/>
    </row>
    <row r="19" spans="1:48" x14ac:dyDescent="0.2">
      <c r="A19">
        <f>ROW()</f>
        <v>19</v>
      </c>
      <c r="B19" t="s">
        <v>52</v>
      </c>
      <c r="C19" s="18">
        <f>AM19</f>
        <v>0.10070662512</v>
      </c>
      <c r="D19" s="18">
        <f t="shared" ref="D19:D26" si="14">AN19</f>
        <v>-1.5788335849999999E-7</v>
      </c>
      <c r="E19" s="18">
        <f t="shared" ref="E19:E26" si="15">AO19</f>
        <v>1.0614427999999999E-5</v>
      </c>
      <c r="F19" s="18">
        <f t="shared" ref="F19:F26" si="16">AP19</f>
        <v>5.18655603744715E-8</v>
      </c>
      <c r="G19" s="18">
        <f t="shared" ref="G19:G26" si="17">AQ19</f>
        <v>9.0334298250187396E-8</v>
      </c>
      <c r="H19" s="18">
        <f t="shared" ref="H19:H26" si="18">AR19</f>
        <v>8.7481224362716799E-8</v>
      </c>
      <c r="I19" s="2">
        <v>20.47</v>
      </c>
      <c r="J19" s="17">
        <f t="shared" ref="J19:J26" si="19">100*C19/0.5</f>
        <v>20.141325024</v>
      </c>
      <c r="K19" s="2">
        <f t="shared" ref="K19:K26" si="20">C19/P19</f>
        <v>1.0064161063952686</v>
      </c>
      <c r="L19">
        <v>2</v>
      </c>
      <c r="M19">
        <v>1</v>
      </c>
      <c r="N19">
        <v>1.000723</v>
      </c>
      <c r="O19">
        <f t="shared" ref="O19:O26" si="21">MSL0.2</f>
        <v>0.19999402020000001</v>
      </c>
      <c r="P19">
        <f t="shared" ref="P19:P26" si="22">Ti_969</f>
        <v>0.1000646</v>
      </c>
      <c r="Q19">
        <v>-1</v>
      </c>
      <c r="R19" s="52">
        <f t="shared" ref="R19:R26" si="23">Q19*D19/C19/N19</f>
        <v>1.5666227630445726E-6</v>
      </c>
      <c r="S19" s="52">
        <f t="shared" ref="S19:S26" si="24">Q19*E19/C19/N19</f>
        <v>-1.053233518686371E-4</v>
      </c>
      <c r="T19" s="19">
        <f t="shared" ref="T19:T26" si="25">N19*M19/L19</f>
        <v>0.50036150000000001</v>
      </c>
      <c r="U19">
        <f t="shared" ref="U19:U26" si="26">T19/(1+R19)</f>
        <v>0.50036071612351241</v>
      </c>
      <c r="V19" s="19">
        <f>U19*L19</f>
        <v>1.0007214322470248</v>
      </c>
      <c r="W19" s="52">
        <f t="shared" si="12"/>
        <v>1.0539950065203812E-4</v>
      </c>
      <c r="X19" s="19">
        <f t="shared" ref="X19:Y22" si="27">0.5*(V19+V23)</f>
        <v>1.0006918573722206</v>
      </c>
      <c r="Y19" s="19">
        <f t="shared" si="27"/>
        <v>6.576592619190738E-5</v>
      </c>
      <c r="Z19" s="2">
        <f>0.2*(K19/L19)^2</f>
        <v>5.0643668960590631E-2</v>
      </c>
      <c r="AA19" s="10">
        <f>2.11*Z19</f>
        <v>0.10685814150684622</v>
      </c>
      <c r="AB19" s="2">
        <f>0.1*K19^2</f>
        <v>0.10128733792118126</v>
      </c>
      <c r="AC19" s="10">
        <f>1000000*(X19-1.0007)+AA19</f>
        <v>-8.0357696378659558</v>
      </c>
      <c r="AE19" s="2"/>
      <c r="AF19" s="10"/>
      <c r="AL19" s="43" t="s">
        <v>195</v>
      </c>
      <c r="AM19" s="18">
        <v>0.10070662512</v>
      </c>
      <c r="AN19" s="18">
        <v>-1.5788335849999999E-7</v>
      </c>
      <c r="AO19" s="18">
        <v>1.0614427999999999E-5</v>
      </c>
      <c r="AP19" s="18">
        <v>5.18655603744715E-8</v>
      </c>
      <c r="AQ19" s="18">
        <v>9.0334298250187396E-8</v>
      </c>
      <c r="AR19" s="18">
        <v>8.7481224362716799E-8</v>
      </c>
      <c r="AS19">
        <v>11</v>
      </c>
      <c r="AT19">
        <v>2</v>
      </c>
      <c r="AU19" s="17"/>
      <c r="AV19" t="str">
        <f t="shared" si="13"/>
        <v>11,2</v>
      </c>
    </row>
    <row r="20" spans="1:48" x14ac:dyDescent="0.2">
      <c r="A20">
        <f>ROW()</f>
        <v>20</v>
      </c>
      <c r="C20" s="18">
        <f t="shared" ref="C20:C26" si="28">AM20</f>
        <v>0.30065495617999999</v>
      </c>
      <c r="D20" s="18">
        <f t="shared" si="14"/>
        <v>1.9494376999999999E-6</v>
      </c>
      <c r="E20" s="18">
        <f t="shared" si="15"/>
        <v>3.4623657999999997E-5</v>
      </c>
      <c r="F20" s="18">
        <f t="shared" si="16"/>
        <v>8.5778593997368004E-8</v>
      </c>
      <c r="G20" s="18">
        <f t="shared" si="17"/>
        <v>1.3152935017595901E-7</v>
      </c>
      <c r="H20" s="18">
        <f t="shared" si="18"/>
        <v>7.20267355639556E-8</v>
      </c>
      <c r="I20" s="2">
        <v>20.47</v>
      </c>
      <c r="J20" s="17">
        <f t="shared" si="19"/>
        <v>60.130991236</v>
      </c>
      <c r="K20" s="2">
        <f t="shared" si="20"/>
        <v>3.0046085846543131</v>
      </c>
      <c r="L20">
        <v>2</v>
      </c>
      <c r="M20">
        <v>1</v>
      </c>
      <c r="N20">
        <v>1.000723</v>
      </c>
      <c r="O20">
        <f t="shared" si="21"/>
        <v>0.19999402020000001</v>
      </c>
      <c r="P20">
        <f t="shared" si="22"/>
        <v>0.1000646</v>
      </c>
      <c r="Q20">
        <v>-1</v>
      </c>
      <c r="R20" s="52">
        <f t="shared" si="23"/>
        <v>-6.4792854226824161E-6</v>
      </c>
      <c r="S20" s="52">
        <f t="shared" si="24"/>
        <v>-1.1507757470748689E-4</v>
      </c>
      <c r="T20" s="19">
        <f t="shared" si="25"/>
        <v>0.50036150000000001</v>
      </c>
      <c r="U20">
        <f t="shared" si="26"/>
        <v>0.50036474200597891</v>
      </c>
      <c r="V20" s="19">
        <f t="shared" ref="V20:V26" si="29">U20*L20</f>
        <v>1.0007294840119578</v>
      </c>
      <c r="W20" s="52">
        <f t="shared" si="12"/>
        <v>1.1516077579400041E-4</v>
      </c>
      <c r="X20" s="19">
        <f t="shared" si="27"/>
        <v>1.000698529823588</v>
      </c>
      <c r="Y20" s="19">
        <f t="shared" si="27"/>
        <v>7.5504235568515961E-5</v>
      </c>
      <c r="Z20" s="2">
        <f>0.2*(K20/L20)^2</f>
        <v>0.45138363734891973</v>
      </c>
      <c r="AA20" s="10">
        <f>2.11*Z20</f>
        <v>0.95241947480622058</v>
      </c>
      <c r="AB20" s="2">
        <f>0.1*K20^2</f>
        <v>0.90276727469783946</v>
      </c>
      <c r="AC20" s="10">
        <f>1000000*(X20-1.0007)+AA20</f>
        <v>-0.51775693713780357</v>
      </c>
      <c r="AE20" s="2"/>
      <c r="AF20" s="10"/>
      <c r="AL20" s="43" t="s">
        <v>195</v>
      </c>
      <c r="AM20" s="18">
        <v>0.30065495617999999</v>
      </c>
      <c r="AN20" s="18">
        <v>1.9494376999999999E-6</v>
      </c>
      <c r="AO20" s="18">
        <v>3.4623657999999997E-5</v>
      </c>
      <c r="AP20" s="18">
        <v>8.5778593997368004E-8</v>
      </c>
      <c r="AQ20" s="18">
        <v>1.3152935017595901E-7</v>
      </c>
      <c r="AR20" s="18">
        <v>7.20267355639556E-8</v>
      </c>
      <c r="AS20">
        <v>13</v>
      </c>
      <c r="AT20">
        <v>2</v>
      </c>
      <c r="AU20" s="17"/>
      <c r="AV20" t="str">
        <f t="shared" si="13"/>
        <v>13,2</v>
      </c>
    </row>
    <row r="21" spans="1:48" x14ac:dyDescent="0.2">
      <c r="A21">
        <f>ROW()</f>
        <v>21</v>
      </c>
      <c r="C21" s="18">
        <f t="shared" si="28"/>
        <v>0.50136972528000001</v>
      </c>
      <c r="D21" s="18">
        <f t="shared" si="14"/>
        <v>9.2621725000000006E-6</v>
      </c>
      <c r="E21" s="18">
        <f t="shared" si="15"/>
        <v>6.1685611999999997E-5</v>
      </c>
      <c r="F21" s="18">
        <f t="shared" si="16"/>
        <v>3.6750796641152199E-6</v>
      </c>
      <c r="G21" s="18">
        <f t="shared" si="17"/>
        <v>4.0410447999341699E-7</v>
      </c>
      <c r="H21" s="18">
        <f t="shared" si="18"/>
        <v>8.76999284834381E-8</v>
      </c>
      <c r="I21" s="2">
        <v>20.47</v>
      </c>
      <c r="J21" s="17">
        <f t="shared" si="19"/>
        <v>100.273945056</v>
      </c>
      <c r="K21" s="2">
        <f t="shared" si="20"/>
        <v>5.0104604953200234</v>
      </c>
      <c r="L21">
        <v>2</v>
      </c>
      <c r="M21">
        <v>1</v>
      </c>
      <c r="N21">
        <v>1.000723</v>
      </c>
      <c r="O21">
        <f t="shared" si="21"/>
        <v>0.19999402020000001</v>
      </c>
      <c r="P21">
        <f t="shared" si="22"/>
        <v>0.1000646</v>
      </c>
      <c r="Q21">
        <v>-1</v>
      </c>
      <c r="R21" s="52">
        <f t="shared" si="23"/>
        <v>-1.8460390248377697E-5</v>
      </c>
      <c r="S21" s="52">
        <f t="shared" si="24"/>
        <v>-1.229452885087176E-4</v>
      </c>
      <c r="T21" s="19">
        <f t="shared" si="25"/>
        <v>0.50036150000000001</v>
      </c>
      <c r="U21">
        <f t="shared" si="26"/>
        <v>0.50037073703907464</v>
      </c>
      <c r="V21" s="19">
        <f t="shared" si="29"/>
        <v>1.0007414740781493</v>
      </c>
      <c r="W21" s="52">
        <f t="shared" si="12"/>
        <v>1.2303417795230941E-4</v>
      </c>
      <c r="X21" s="19">
        <f t="shared" si="27"/>
        <v>1.0007094417538351</v>
      </c>
      <c r="Y21" s="19">
        <f t="shared" si="27"/>
        <v>8.3410515205981382E-5</v>
      </c>
      <c r="Z21" s="2">
        <f>0.2*(K21/L21)^2</f>
        <v>1.2552357187581287</v>
      </c>
      <c r="AA21" s="10">
        <f>2.11*Z21</f>
        <v>2.6485473665796513</v>
      </c>
      <c r="AB21" s="2">
        <f>0.1*K21^2</f>
        <v>2.5104714375162573</v>
      </c>
      <c r="AC21" s="10">
        <f>1000000*(X21-1.0007)+AA21</f>
        <v>12.090301201795045</v>
      </c>
      <c r="AE21" s="2"/>
      <c r="AF21" s="10"/>
      <c r="AL21" s="43" t="s">
        <v>195</v>
      </c>
      <c r="AM21" s="18">
        <v>0.50136972528000001</v>
      </c>
      <c r="AN21" s="18">
        <v>9.2621725000000006E-6</v>
      </c>
      <c r="AO21" s="18">
        <v>6.1685611999999997E-5</v>
      </c>
      <c r="AP21" s="18">
        <v>3.6750796641152199E-6</v>
      </c>
      <c r="AQ21" s="18">
        <v>4.0410447999341699E-7</v>
      </c>
      <c r="AR21" s="18">
        <v>8.76999284834381E-8</v>
      </c>
      <c r="AS21">
        <v>14</v>
      </c>
      <c r="AT21">
        <v>2</v>
      </c>
      <c r="AU21" s="17"/>
      <c r="AV21" t="str">
        <f t="shared" si="13"/>
        <v>14,2</v>
      </c>
    </row>
    <row r="22" spans="1:48" x14ac:dyDescent="0.2">
      <c r="A22">
        <f>ROW()</f>
        <v>22</v>
      </c>
      <c r="C22" s="18">
        <f t="shared" si="28"/>
        <v>0.60235689349999999</v>
      </c>
      <c r="D22" s="18">
        <f t="shared" si="14"/>
        <v>1.6244171999999999E-5</v>
      </c>
      <c r="E22" s="18">
        <f t="shared" si="15"/>
        <v>7.6347309000000005E-5</v>
      </c>
      <c r="F22" s="18">
        <f t="shared" si="16"/>
        <v>7.9235869937887903E-7</v>
      </c>
      <c r="G22" s="18">
        <f t="shared" si="17"/>
        <v>5.5853066327284105E-7</v>
      </c>
      <c r="H22" s="18">
        <f t="shared" si="18"/>
        <v>8.2275243050385896E-8</v>
      </c>
      <c r="I22" s="2">
        <v>20.47</v>
      </c>
      <c r="J22" s="17">
        <f t="shared" si="19"/>
        <v>120.4713787</v>
      </c>
      <c r="K22" s="2">
        <f t="shared" si="20"/>
        <v>6.019680221576861</v>
      </c>
      <c r="L22">
        <v>2</v>
      </c>
      <c r="M22">
        <v>1</v>
      </c>
      <c r="N22">
        <v>1.000723</v>
      </c>
      <c r="O22">
        <f t="shared" si="21"/>
        <v>0.19999402020000001</v>
      </c>
      <c r="P22">
        <f t="shared" si="22"/>
        <v>0.1000646</v>
      </c>
      <c r="Q22">
        <v>-1</v>
      </c>
      <c r="R22" s="52">
        <f t="shared" si="23"/>
        <v>-2.6948203173189071E-5</v>
      </c>
      <c r="S22" s="52">
        <f t="shared" si="24"/>
        <v>-1.2665605822557446E-4</v>
      </c>
      <c r="T22" s="19">
        <f t="shared" si="25"/>
        <v>0.50036150000000001</v>
      </c>
      <c r="U22">
        <f t="shared" si="26"/>
        <v>0.50037498420673721</v>
      </c>
      <c r="V22" s="19">
        <f t="shared" si="29"/>
        <v>1.0007499684134744</v>
      </c>
      <c r="W22" s="52">
        <f t="shared" si="12"/>
        <v>1.2674763055567156E-4</v>
      </c>
      <c r="X22" s="19">
        <f t="shared" si="27"/>
        <v>1.0007179788982672</v>
      </c>
      <c r="Y22" s="19">
        <f t="shared" si="27"/>
        <v>8.7011712064543042E-5</v>
      </c>
      <c r="Z22" s="2">
        <f>0.2*(K22/L22)^2</f>
        <v>1.8118274985021825</v>
      </c>
      <c r="AA22" s="10">
        <f>2.11*Z22</f>
        <v>3.8229560218396048</v>
      </c>
      <c r="AB22" s="2">
        <f>0.1*K22^2</f>
        <v>3.623654997004365</v>
      </c>
      <c r="AC22" s="10">
        <f>1000000*(X22-1.0007)+AA22</f>
        <v>21.801854289107556</v>
      </c>
      <c r="AE22" s="2"/>
      <c r="AF22" s="10"/>
      <c r="AL22" s="43" t="s">
        <v>195</v>
      </c>
      <c r="AM22" s="18">
        <v>0.60235689349999999</v>
      </c>
      <c r="AN22" s="18">
        <v>1.6244171999999999E-5</v>
      </c>
      <c r="AO22" s="18">
        <v>7.6347309000000005E-5</v>
      </c>
      <c r="AP22" s="18">
        <v>7.9235869937887903E-7</v>
      </c>
      <c r="AQ22" s="18">
        <v>5.5853066327284105E-7</v>
      </c>
      <c r="AR22" s="18">
        <v>8.2275243050385896E-8</v>
      </c>
      <c r="AS22">
        <v>14</v>
      </c>
      <c r="AT22">
        <v>2</v>
      </c>
      <c r="AU22" s="17"/>
      <c r="AV22" t="str">
        <f t="shared" si="13"/>
        <v>14,2</v>
      </c>
    </row>
    <row r="23" spans="1:48" x14ac:dyDescent="0.2">
      <c r="A23">
        <f>ROW()</f>
        <v>23</v>
      </c>
      <c r="B23" t="s">
        <v>83</v>
      </c>
      <c r="C23" s="18">
        <f t="shared" si="28"/>
        <v>0.10098664777999999</v>
      </c>
      <c r="D23" s="18">
        <f t="shared" si="14"/>
        <v>6.1320291E-6</v>
      </c>
      <c r="E23" s="18">
        <f t="shared" si="15"/>
        <v>-2.6390186000000002E-6</v>
      </c>
      <c r="F23" s="18">
        <f t="shared" si="16"/>
        <v>4.3073420827204097E-8</v>
      </c>
      <c r="G23" s="18">
        <f t="shared" si="17"/>
        <v>8.9797077358842896E-8</v>
      </c>
      <c r="H23" s="18">
        <f t="shared" si="18"/>
        <v>6.4520833674403201E-8</v>
      </c>
      <c r="I23" s="2">
        <v>20.47</v>
      </c>
      <c r="J23" s="17">
        <f t="shared" si="19"/>
        <v>20.197329556</v>
      </c>
      <c r="K23" s="2">
        <f t="shared" si="20"/>
        <v>1.00921452521671</v>
      </c>
      <c r="L23">
        <v>2</v>
      </c>
      <c r="M23">
        <v>1</v>
      </c>
      <c r="N23">
        <v>1.000723</v>
      </c>
      <c r="O23">
        <f t="shared" si="21"/>
        <v>0.19999402020000001</v>
      </c>
      <c r="P23">
        <f t="shared" si="22"/>
        <v>0.1000646</v>
      </c>
      <c r="Q23">
        <v>1</v>
      </c>
      <c r="R23" s="52">
        <f t="shared" si="23"/>
        <v>6.0677317058620727E-5</v>
      </c>
      <c r="S23" s="52">
        <f t="shared" si="24"/>
        <v>-2.6113471691743508E-5</v>
      </c>
      <c r="T23" s="19">
        <f t="shared" si="25"/>
        <v>0.50036150000000001</v>
      </c>
      <c r="U23">
        <f t="shared" si="26"/>
        <v>0.50033114124870814</v>
      </c>
      <c r="V23" s="19">
        <f t="shared" si="29"/>
        <v>1.0006622824974163</v>
      </c>
      <c r="W23" s="52">
        <f t="shared" si="12"/>
        <v>2.6132351731776639E-5</v>
      </c>
      <c r="X23" s="19"/>
      <c r="Y23" t="s">
        <v>84</v>
      </c>
      <c r="Z23">
        <f>INDEX(LINEST(AC19:AC22,AB19:AB22),2)</f>
        <v>-8.5809987180500968</v>
      </c>
      <c r="AK23" s="188" t="s">
        <v>278</v>
      </c>
      <c r="AL23" s="43" t="s">
        <v>195</v>
      </c>
      <c r="AM23" s="18">
        <v>0.10098664777999999</v>
      </c>
      <c r="AN23" s="18">
        <v>6.1320291E-6</v>
      </c>
      <c r="AO23" s="18">
        <v>-2.6390186000000002E-6</v>
      </c>
      <c r="AP23" s="18">
        <v>4.3073420827204097E-8</v>
      </c>
      <c r="AQ23" s="18">
        <v>8.9797077358842896E-8</v>
      </c>
      <c r="AR23" s="18">
        <v>6.4520833674403201E-8</v>
      </c>
      <c r="AS23">
        <v>11</v>
      </c>
      <c r="AT23">
        <v>2</v>
      </c>
      <c r="AU23" s="17"/>
      <c r="AV23" t="str">
        <f t="shared" si="13"/>
        <v>11,2</v>
      </c>
    </row>
    <row r="24" spans="1:48" x14ac:dyDescent="0.2">
      <c r="A24">
        <f>ROW()</f>
        <v>24</v>
      </c>
      <c r="C24" s="18">
        <f t="shared" si="28"/>
        <v>0.30081830636000001</v>
      </c>
      <c r="D24" s="18">
        <f t="shared" si="14"/>
        <v>1.6673587E-5</v>
      </c>
      <c r="E24" s="18">
        <f t="shared" si="15"/>
        <v>-1.0783643000000001E-5</v>
      </c>
      <c r="F24" s="18">
        <f t="shared" si="16"/>
        <v>1.6155407159651301E-7</v>
      </c>
      <c r="G24" s="18">
        <f t="shared" si="17"/>
        <v>9.6420118911978196E-8</v>
      </c>
      <c r="H24" s="18">
        <f t="shared" si="18"/>
        <v>6.4223455613973395E-8</v>
      </c>
      <c r="I24" s="2">
        <v>20.47</v>
      </c>
      <c r="J24" s="17">
        <f t="shared" si="19"/>
        <v>60.163661271999999</v>
      </c>
      <c r="K24" s="2">
        <f t="shared" si="20"/>
        <v>3.006241031893397</v>
      </c>
      <c r="L24">
        <v>2</v>
      </c>
      <c r="M24">
        <v>1</v>
      </c>
      <c r="N24">
        <v>1.000723</v>
      </c>
      <c r="O24">
        <f t="shared" si="21"/>
        <v>0.19999402020000001</v>
      </c>
      <c r="P24">
        <f t="shared" si="22"/>
        <v>0.1000646</v>
      </c>
      <c r="Q24">
        <v>1</v>
      </c>
      <c r="R24" s="52">
        <f t="shared" si="23"/>
        <v>5.5387389509899212E-5</v>
      </c>
      <c r="S24" s="52">
        <f t="shared" si="24"/>
        <v>-3.5821796184390201E-5</v>
      </c>
      <c r="T24" s="19">
        <f t="shared" si="25"/>
        <v>0.50036150000000001</v>
      </c>
      <c r="U24">
        <f t="shared" si="26"/>
        <v>0.50033378781760918</v>
      </c>
      <c r="V24" s="19">
        <f t="shared" si="29"/>
        <v>1.0006675756352184</v>
      </c>
      <c r="W24" s="52">
        <f t="shared" si="12"/>
        <v>3.5847695343031517E-5</v>
      </c>
      <c r="X24" s="19"/>
      <c r="Y24" t="s">
        <v>85</v>
      </c>
      <c r="Z24">
        <f>INDEX(LINEST(AC19:AC22,AB19:AB22),1)</f>
        <v>8.3582390799693691</v>
      </c>
      <c r="AA24" t="s">
        <v>86</v>
      </c>
      <c r="AK24" s="188" t="s">
        <v>278</v>
      </c>
      <c r="AL24" s="43" t="s">
        <v>195</v>
      </c>
      <c r="AM24" s="18">
        <v>0.30081830636000001</v>
      </c>
      <c r="AN24" s="18">
        <v>1.6673587E-5</v>
      </c>
      <c r="AO24" s="18">
        <v>-1.0783643000000001E-5</v>
      </c>
      <c r="AP24" s="18">
        <v>1.6155407159651301E-7</v>
      </c>
      <c r="AQ24" s="18">
        <v>9.6420118911978196E-8</v>
      </c>
      <c r="AR24" s="18">
        <v>6.4223455613973395E-8</v>
      </c>
      <c r="AS24">
        <v>12</v>
      </c>
      <c r="AT24">
        <v>2</v>
      </c>
      <c r="AU24" s="17"/>
      <c r="AV24" t="str">
        <f t="shared" si="13"/>
        <v>12,2</v>
      </c>
    </row>
    <row r="25" spans="1:48" x14ac:dyDescent="0.2">
      <c r="A25">
        <f>ROW()</f>
        <v>25</v>
      </c>
      <c r="C25" s="18">
        <f t="shared" si="28"/>
        <v>0.50094941216</v>
      </c>
      <c r="D25" s="18">
        <f t="shared" si="14"/>
        <v>2.2839610000000001E-5</v>
      </c>
      <c r="E25" s="18">
        <f t="shared" si="15"/>
        <v>-2.1934998E-5</v>
      </c>
      <c r="F25" s="18">
        <f t="shared" si="16"/>
        <v>2.5303094891916299E-6</v>
      </c>
      <c r="G25" s="18">
        <f t="shared" si="17"/>
        <v>3.7965773072597899E-7</v>
      </c>
      <c r="H25" s="18">
        <f t="shared" si="18"/>
        <v>7.5886740580947294E-8</v>
      </c>
      <c r="I25" s="2">
        <v>20.48</v>
      </c>
      <c r="J25" s="17">
        <f t="shared" si="19"/>
        <v>100.189882432</v>
      </c>
      <c r="K25" s="2">
        <f t="shared" si="20"/>
        <v>5.0062600775898769</v>
      </c>
      <c r="L25">
        <v>2</v>
      </c>
      <c r="M25">
        <v>1</v>
      </c>
      <c r="N25">
        <v>1.000723</v>
      </c>
      <c r="O25">
        <f t="shared" si="21"/>
        <v>0.19999402020000001</v>
      </c>
      <c r="P25">
        <f t="shared" si="22"/>
        <v>0.1000646</v>
      </c>
      <c r="Q25">
        <v>1</v>
      </c>
      <c r="R25" s="52">
        <f t="shared" si="23"/>
        <v>4.5559707903163154E-5</v>
      </c>
      <c r="S25" s="52">
        <f t="shared" si="24"/>
        <v>-4.3755217437446084E-5</v>
      </c>
      <c r="T25" s="19">
        <f t="shared" si="25"/>
        <v>0.50036150000000001</v>
      </c>
      <c r="U25">
        <f t="shared" si="26"/>
        <v>0.5003387047147605</v>
      </c>
      <c r="V25" s="19">
        <f t="shared" si="29"/>
        <v>1.000677409429521</v>
      </c>
      <c r="W25" s="52">
        <f t="shared" si="12"/>
        <v>4.378685245965336E-5</v>
      </c>
      <c r="X25" s="19"/>
      <c r="Z25" s="49" t="s">
        <v>91</v>
      </c>
      <c r="AA25" s="19">
        <f>AVERAGE(X19:X22)</f>
        <v>1.0007044519619777</v>
      </c>
      <c r="AE25" s="19"/>
      <c r="AF25" s="19"/>
      <c r="AK25" s="188" t="s">
        <v>278</v>
      </c>
      <c r="AL25" s="43" t="s">
        <v>195</v>
      </c>
      <c r="AM25" s="18">
        <v>0.50094941216</v>
      </c>
      <c r="AN25" s="18">
        <v>2.2839610000000001E-5</v>
      </c>
      <c r="AO25" s="18">
        <v>-2.1934998E-5</v>
      </c>
      <c r="AP25" s="18">
        <v>2.5303094891916299E-6</v>
      </c>
      <c r="AQ25" s="18">
        <v>3.7965773072597899E-7</v>
      </c>
      <c r="AR25" s="18">
        <v>7.5886740580947294E-8</v>
      </c>
      <c r="AS25">
        <v>13</v>
      </c>
      <c r="AT25">
        <v>2</v>
      </c>
      <c r="AU25" s="17"/>
      <c r="AV25" t="str">
        <f t="shared" si="13"/>
        <v>13,2</v>
      </c>
    </row>
    <row r="26" spans="1:48" x14ac:dyDescent="0.2">
      <c r="A26">
        <f>ROW()</f>
        <v>26</v>
      </c>
      <c r="C26" s="18">
        <f t="shared" si="28"/>
        <v>0.60183931034000004</v>
      </c>
      <c r="D26" s="18">
        <f t="shared" si="14"/>
        <v>2.2275267999999999E-5</v>
      </c>
      <c r="E26" s="18">
        <f t="shared" si="15"/>
        <v>-2.8452431E-5</v>
      </c>
      <c r="F26" s="18">
        <f t="shared" si="16"/>
        <v>2.6261722183466403E-7</v>
      </c>
      <c r="G26" s="18">
        <f t="shared" si="17"/>
        <v>5.3037587028069101E-7</v>
      </c>
      <c r="H26" s="18">
        <f t="shared" si="18"/>
        <v>8.7077434154894499E-8</v>
      </c>
      <c r="I26" s="2">
        <v>20.51</v>
      </c>
      <c r="J26" s="17">
        <f t="shared" si="19"/>
        <v>120.36786206800001</v>
      </c>
      <c r="K26" s="2">
        <f t="shared" si="20"/>
        <v>6.0145077314055122</v>
      </c>
      <c r="L26">
        <v>2</v>
      </c>
      <c r="M26">
        <v>1</v>
      </c>
      <c r="N26">
        <v>1.000723</v>
      </c>
      <c r="O26">
        <f t="shared" si="21"/>
        <v>0.19999402020000001</v>
      </c>
      <c r="P26">
        <f t="shared" si="22"/>
        <v>0.1000646</v>
      </c>
      <c r="Q26">
        <v>1</v>
      </c>
      <c r="R26" s="52">
        <f t="shared" si="23"/>
        <v>3.6985245453935374E-5</v>
      </c>
      <c r="S26" s="52">
        <f t="shared" si="24"/>
        <v>-4.7241637869235063E-5</v>
      </c>
      <c r="T26" s="19">
        <f t="shared" si="25"/>
        <v>0.50036150000000001</v>
      </c>
      <c r="U26">
        <f t="shared" si="26"/>
        <v>0.5003429946915301</v>
      </c>
      <c r="V26" s="19">
        <f t="shared" si="29"/>
        <v>1.0006859893830602</v>
      </c>
      <c r="W26" s="52">
        <f t="shared" si="12"/>
        <v>4.7275793573414518E-5</v>
      </c>
      <c r="X26" s="19"/>
      <c r="Y26" s="19"/>
      <c r="Z26" s="49" t="s">
        <v>92</v>
      </c>
      <c r="AA26" s="19">
        <f>AVERAGE(Y19:Y22)</f>
        <v>7.7923097257736945E-5</v>
      </c>
      <c r="AE26" s="19"/>
      <c r="AF26" s="19"/>
      <c r="AK26" s="188" t="s">
        <v>278</v>
      </c>
      <c r="AL26" s="43" t="s">
        <v>195</v>
      </c>
      <c r="AM26">
        <v>0.60183931034000004</v>
      </c>
      <c r="AN26" s="18">
        <v>2.2275267999999999E-5</v>
      </c>
      <c r="AO26" s="18">
        <v>-2.8452431E-5</v>
      </c>
      <c r="AP26" s="18">
        <v>2.6261722183466403E-7</v>
      </c>
      <c r="AQ26" s="18">
        <v>5.3037587028069101E-7</v>
      </c>
      <c r="AR26" s="18">
        <v>8.7077434154894499E-8</v>
      </c>
      <c r="AS26">
        <v>13</v>
      </c>
      <c r="AT26">
        <v>2</v>
      </c>
      <c r="AU26" s="17"/>
      <c r="AV26" t="str">
        <f t="shared" si="13"/>
        <v>13,2</v>
      </c>
    </row>
    <row r="27" spans="1:48" x14ac:dyDescent="0.2">
      <c r="A27">
        <f>ROW()</f>
        <v>27</v>
      </c>
      <c r="C27" s="6"/>
      <c r="D27" s="18"/>
      <c r="E27" s="18"/>
      <c r="F27" s="18"/>
      <c r="G27" s="18"/>
      <c r="H27" s="18"/>
      <c r="I27" s="2"/>
      <c r="J27" s="17"/>
      <c r="K27" s="2"/>
      <c r="R27" s="52"/>
      <c r="S27" s="52"/>
      <c r="T27" s="19"/>
      <c r="V27" s="19"/>
      <c r="W27" s="19"/>
      <c r="X27" s="19"/>
      <c r="AK27" s="188" t="s">
        <v>279</v>
      </c>
      <c r="AL27" s="43" t="s">
        <v>195</v>
      </c>
      <c r="AM27">
        <v>0.10114510206000001</v>
      </c>
      <c r="AN27" s="18">
        <v>6.4215631E-6</v>
      </c>
      <c r="AO27" s="18">
        <v>-2.7139540000000002E-6</v>
      </c>
      <c r="AP27" s="18">
        <v>4.3211410005255701E-8</v>
      </c>
      <c r="AQ27" s="18">
        <v>6.4329578215545598E-8</v>
      </c>
      <c r="AR27" s="18">
        <v>7.1740069807604799E-8</v>
      </c>
      <c r="AS27">
        <v>11</v>
      </c>
      <c r="AT27">
        <v>2</v>
      </c>
      <c r="AV27" t="str">
        <f t="shared" si="13"/>
        <v>11,2</v>
      </c>
    </row>
    <row r="28" spans="1:48" x14ac:dyDescent="0.2">
      <c r="A28">
        <f>ROW()</f>
        <v>28</v>
      </c>
      <c r="C28" s="6"/>
      <c r="D28" s="18"/>
      <c r="E28" s="18"/>
      <c r="F28" s="18"/>
      <c r="G28" s="18"/>
      <c r="H28" s="18"/>
      <c r="I28" s="2"/>
      <c r="J28" s="17"/>
      <c r="K28" s="2"/>
      <c r="R28" s="52"/>
      <c r="S28" s="52"/>
      <c r="T28" s="19"/>
      <c r="V28" s="19"/>
      <c r="W28" s="19"/>
      <c r="X28" s="60"/>
      <c r="Y28" s="62" t="s">
        <v>95</v>
      </c>
      <c r="Z28" s="63">
        <f>(Z24+Z15)/2</f>
        <v>8.1989800878406971</v>
      </c>
      <c r="AA28" s="59" t="s">
        <v>86</v>
      </c>
      <c r="AK28" s="188" t="s">
        <v>280</v>
      </c>
      <c r="AL28" s="43" t="s">
        <v>195</v>
      </c>
      <c r="AM28" s="18">
        <v>0.1011177093</v>
      </c>
      <c r="AN28" s="18">
        <v>1.6933952999999999E-5</v>
      </c>
      <c r="AO28" s="18">
        <v>-2.5039403999999999E-6</v>
      </c>
      <c r="AP28" s="18">
        <v>1.1959792489842101E-8</v>
      </c>
      <c r="AQ28" s="18">
        <v>6.3074463065491196E-8</v>
      </c>
      <c r="AR28" s="18">
        <v>6.1846165037453997E-8</v>
      </c>
      <c r="AS28">
        <v>12</v>
      </c>
      <c r="AT28">
        <v>2</v>
      </c>
      <c r="AV28" t="str">
        <f t="shared" si="13"/>
        <v>12,2</v>
      </c>
    </row>
    <row r="29" spans="1:48" x14ac:dyDescent="0.2">
      <c r="A29">
        <f>ROW()</f>
        <v>29</v>
      </c>
      <c r="B29" s="45"/>
      <c r="C29" s="5" t="str">
        <f>B34&amp;" range, "&amp;B36&amp;", vs shunts and 500 AT on "&amp;B38&amp;" range."</f>
        <v>30/5 range, l - 1200At(5A), vs shunts and 500 AT on 50/5 range.</v>
      </c>
      <c r="D29" s="18"/>
      <c r="E29" s="18"/>
      <c r="F29" s="18"/>
      <c r="G29" s="18"/>
      <c r="H29" s="18"/>
      <c r="R29" s="52"/>
      <c r="S29" s="52"/>
      <c r="T29" s="19"/>
      <c r="V29" s="19"/>
      <c r="W29" s="19"/>
      <c r="X29" s="19"/>
      <c r="Y29" s="19"/>
      <c r="AB29" t="s">
        <v>64</v>
      </c>
      <c r="AK29" s="188" t="s">
        <v>281</v>
      </c>
      <c r="AL29" s="43" t="s">
        <v>282</v>
      </c>
    </row>
    <row r="30" spans="1:48" x14ac:dyDescent="0.2">
      <c r="A30">
        <f>ROW()</f>
        <v>30</v>
      </c>
      <c r="D30" s="18"/>
      <c r="E30" s="18"/>
      <c r="F30" s="18"/>
      <c r="G30" s="18"/>
      <c r="H30" s="18"/>
      <c r="L30" t="s">
        <v>23</v>
      </c>
      <c r="N30" t="s">
        <v>24</v>
      </c>
      <c r="O30" t="s">
        <v>25</v>
      </c>
      <c r="Q30" t="s">
        <v>26</v>
      </c>
      <c r="R30" s="50" t="s">
        <v>27</v>
      </c>
      <c r="S30" s="50" t="s">
        <v>27</v>
      </c>
      <c r="T30" s="19"/>
      <c r="V30" s="19"/>
      <c r="W30" s="19"/>
      <c r="X30" s="19"/>
      <c r="Y30" s="19"/>
      <c r="Z30" t="s">
        <v>63</v>
      </c>
      <c r="AA30" t="s">
        <v>63</v>
      </c>
      <c r="AB30" t="s">
        <v>65</v>
      </c>
    </row>
    <row r="31" spans="1:48" x14ac:dyDescent="0.2">
      <c r="A31">
        <f>ROW()</f>
        <v>31</v>
      </c>
      <c r="B31" s="4">
        <v>43383</v>
      </c>
      <c r="I31" t="s">
        <v>77</v>
      </c>
      <c r="J31" t="s">
        <v>37</v>
      </c>
      <c r="K31" t="s">
        <v>38</v>
      </c>
      <c r="L31" t="s">
        <v>39</v>
      </c>
      <c r="M31" t="s">
        <v>40</v>
      </c>
      <c r="N31" t="s">
        <v>41</v>
      </c>
      <c r="O31" t="s">
        <v>42</v>
      </c>
      <c r="P31" t="s">
        <v>43</v>
      </c>
      <c r="Q31" t="s">
        <v>44</v>
      </c>
      <c r="R31" s="50" t="s">
        <v>45</v>
      </c>
      <c r="S31" s="50" t="s">
        <v>46</v>
      </c>
      <c r="X31" t="s">
        <v>6</v>
      </c>
      <c r="Y31" t="s">
        <v>7</v>
      </c>
      <c r="Z31" t="s">
        <v>61</v>
      </c>
      <c r="AA31" t="s">
        <v>62</v>
      </c>
      <c r="AB31" t="s">
        <v>6</v>
      </c>
      <c r="AC31" t="s">
        <v>7</v>
      </c>
    </row>
    <row r="32" spans="1:48" x14ac:dyDescent="0.2">
      <c r="A32">
        <f>ROW()</f>
        <v>32</v>
      </c>
      <c r="B32" t="s">
        <v>51</v>
      </c>
      <c r="C32" s="18">
        <f t="shared" ref="C32:C38" si="30">AM32</f>
        <v>3.015195687E-2</v>
      </c>
      <c r="D32" s="18">
        <f t="shared" ref="D32:D38" si="31">AN32</f>
        <v>-1.305628229E-7</v>
      </c>
      <c r="E32" s="18">
        <f t="shared" ref="E32:E38" si="32">AO32</f>
        <v>6.9734370000000004E-6</v>
      </c>
      <c r="F32" s="18">
        <f t="shared" ref="F32:F38" si="33">AP32</f>
        <v>3.5004648641855602E-8</v>
      </c>
      <c r="G32" s="18">
        <f t="shared" ref="G32:G38" si="34">AQ32</f>
        <v>1.38199474650812E-7</v>
      </c>
      <c r="H32" s="18">
        <f t="shared" ref="H32:H38" si="35">AR32</f>
        <v>1.7796868453466701E-7</v>
      </c>
      <c r="I32" s="2">
        <v>20.67</v>
      </c>
      <c r="J32" s="17">
        <f>(C32/O32/5*100)*L32/M32</f>
        <v>5.0253261449999984</v>
      </c>
      <c r="K32" s="2">
        <f>J32*5/100</f>
        <v>0.25126630724999993</v>
      </c>
      <c r="L32">
        <v>10</v>
      </c>
      <c r="M32">
        <v>6</v>
      </c>
      <c r="N32">
        <v>0.83382000000000001</v>
      </c>
      <c r="O32">
        <v>0.2</v>
      </c>
      <c r="P32">
        <v>0.1</v>
      </c>
      <c r="Q32">
        <v>1</v>
      </c>
      <c r="R32" s="52">
        <f t="shared" ref="R32:R38" si="36">Q32*D32/C32/N32</f>
        <v>-5.1931602029253216E-6</v>
      </c>
      <c r="S32" s="52">
        <f t="shared" ref="S32:S38" si="37">Q32*E32/C32/N32</f>
        <v>2.7736973436721663E-4</v>
      </c>
      <c r="T32" s="19">
        <f t="shared" ref="T32:T38" si="38">M32*N32*O32/(P32*U32*L32)</f>
        <v>0.99987815358824694</v>
      </c>
      <c r="U32" s="19">
        <f t="shared" ref="U32:U38" si="39">$AA$16</f>
        <v>1.0007059324270862</v>
      </c>
      <c r="V32" s="52">
        <f>AA$17</f>
        <v>1.1927894179369755E-4</v>
      </c>
      <c r="W32" s="19">
        <f t="shared" ref="W32:W38" si="40">R32+T32</f>
        <v>0.99987296042804397</v>
      </c>
      <c r="X32" s="3">
        <f>1000*(W32-1)</f>
        <v>-0.12703957195603355</v>
      </c>
      <c r="Y32" s="3">
        <f t="shared" ref="Y32:Y38" si="41">1000*(S32-V32)</f>
        <v>0.15809079257351907</v>
      </c>
      <c r="Z32" s="51">
        <f>((C32*N32)^2/P32-$AB$10)*$Z$28*0.001</f>
        <v>-7.6984119833932842E-4</v>
      </c>
      <c r="AA32" s="51">
        <f>(C32^2/O32-$Z$10)*$AB$5*0.001</f>
        <v>-9.6136029450539937E-5</v>
      </c>
      <c r="AB32" s="2">
        <f t="shared" ref="AB32:AB38" si="42">0.5*(X32+X40)+AA32-Z32</f>
        <v>-0.1313824277747033</v>
      </c>
      <c r="AC32" s="2">
        <f t="shared" ref="AC32:AC38" si="43">0.5*(Y32+Y40)</f>
        <v>0.16523873340988862</v>
      </c>
      <c r="AG32" s="3"/>
      <c r="AL32" s="43" t="s">
        <v>194</v>
      </c>
      <c r="AM32" s="18">
        <v>3.015195687E-2</v>
      </c>
      <c r="AN32" s="18">
        <v>-1.305628229E-7</v>
      </c>
      <c r="AO32" s="18">
        <v>6.9734370000000004E-6</v>
      </c>
      <c r="AP32" s="18">
        <v>3.5004648641855602E-8</v>
      </c>
      <c r="AQ32" s="18">
        <v>1.38199474650812E-7</v>
      </c>
      <c r="AR32" s="2">
        <v>1.7796868453466701E-7</v>
      </c>
      <c r="AS32">
        <v>11</v>
      </c>
      <c r="AT32">
        <v>2</v>
      </c>
    </row>
    <row r="33" spans="1:46" x14ac:dyDescent="0.2">
      <c r="A33">
        <f>ROW()</f>
        <v>33</v>
      </c>
      <c r="B33" s="5" t="s">
        <v>110</v>
      </c>
      <c r="C33" s="18">
        <f t="shared" si="30"/>
        <v>6.0053137774000002E-2</v>
      </c>
      <c r="D33" s="18">
        <f t="shared" si="31"/>
        <v>-2.0447302119999999E-7</v>
      </c>
      <c r="E33" s="18">
        <f t="shared" si="32"/>
        <v>1.3502017E-5</v>
      </c>
      <c r="F33" s="18">
        <f t="shared" si="33"/>
        <v>3.3726391162441202E-8</v>
      </c>
      <c r="G33" s="18">
        <f t="shared" si="34"/>
        <v>1.14744719131998E-7</v>
      </c>
      <c r="H33" s="18">
        <f t="shared" si="35"/>
        <v>1.5083653937624E-7</v>
      </c>
      <c r="I33" s="2">
        <v>20.67</v>
      </c>
      <c r="J33" s="17">
        <f t="shared" ref="J33:J38" si="44">(C33/O33/5*100)*L33/M33</f>
        <v>10.008856295666666</v>
      </c>
      <c r="K33" s="2">
        <f t="shared" ref="K33:K38" si="45">J33*5/100</f>
        <v>0.5004428147833333</v>
      </c>
      <c r="L33">
        <v>10</v>
      </c>
      <c r="M33">
        <v>6</v>
      </c>
      <c r="N33">
        <v>0.83382000000000001</v>
      </c>
      <c r="O33">
        <v>0.2</v>
      </c>
      <c r="P33">
        <v>0.1</v>
      </c>
      <c r="Q33">
        <v>1</v>
      </c>
      <c r="R33" s="52">
        <f t="shared" si="36"/>
        <v>-4.0834571426535983E-6</v>
      </c>
      <c r="S33" s="52">
        <f t="shared" si="37"/>
        <v>2.6964392385512572E-4</v>
      </c>
      <c r="T33" s="19">
        <f t="shared" si="38"/>
        <v>0.99987815358824694</v>
      </c>
      <c r="U33" s="19">
        <f t="shared" si="39"/>
        <v>1.0007059324270862</v>
      </c>
      <c r="V33" s="52">
        <f t="shared" ref="V33:V38" si="46">AA$17</f>
        <v>1.1927894179369755E-4</v>
      </c>
      <c r="W33" s="19">
        <f>R33+T33</f>
        <v>0.9998740701311043</v>
      </c>
      <c r="X33" s="3">
        <f t="shared" ref="X33:X38" si="47">1000*(W33-1)</f>
        <v>-0.12592986889570223</v>
      </c>
      <c r="Y33" s="3">
        <f t="shared" si="41"/>
        <v>0.15036498206142818</v>
      </c>
      <c r="Z33" s="51">
        <f t="shared" ref="Z33:Z38" si="48">((C33*N33)^2/P33-$AB$10)*$Z$28*0.001</f>
        <v>-6.1608810767726455E-4</v>
      </c>
      <c r="AA33" s="51">
        <f t="shared" ref="AA33:AA38" si="49">(C33^2/O33-$Z$10)*$AB$5*0.001</f>
        <v>-6.7680159547036094E-5</v>
      </c>
      <c r="AB33" s="2">
        <f t="shared" si="42"/>
        <v>-0.13137477910116849</v>
      </c>
      <c r="AC33" s="2">
        <f t="shared" si="43"/>
        <v>0.15640807897239525</v>
      </c>
      <c r="AG33" s="3"/>
      <c r="AL33" s="43" t="s">
        <v>194</v>
      </c>
      <c r="AM33" s="18">
        <v>6.0053137774000002E-2</v>
      </c>
      <c r="AN33" s="18">
        <v>-2.0447302119999999E-7</v>
      </c>
      <c r="AO33" s="18">
        <v>1.3502017E-5</v>
      </c>
      <c r="AP33" s="18">
        <v>3.3726391162441202E-8</v>
      </c>
      <c r="AQ33" s="18">
        <v>1.14744719131998E-7</v>
      </c>
      <c r="AR33" s="2">
        <v>1.5083653937624E-7</v>
      </c>
      <c r="AS33">
        <v>12</v>
      </c>
      <c r="AT33">
        <v>2</v>
      </c>
    </row>
    <row r="34" spans="1:46" x14ac:dyDescent="0.2">
      <c r="A34">
        <f>ROW()</f>
        <v>34</v>
      </c>
      <c r="B34" s="161" t="s">
        <v>113</v>
      </c>
      <c r="C34" s="18">
        <f t="shared" si="30"/>
        <v>0.1201974811</v>
      </c>
      <c r="D34" s="18">
        <f t="shared" si="31"/>
        <v>-5.9606829299999997E-7</v>
      </c>
      <c r="E34" s="18">
        <f t="shared" si="32"/>
        <v>2.6061163999999999E-5</v>
      </c>
      <c r="F34" s="18">
        <f t="shared" si="33"/>
        <v>5.3852795180941798E-8</v>
      </c>
      <c r="G34" s="18">
        <f t="shared" si="34"/>
        <v>2.51841906253318E-7</v>
      </c>
      <c r="H34" s="18">
        <f t="shared" si="35"/>
        <v>1.9117778088470401E-7</v>
      </c>
      <c r="I34" s="2">
        <v>20.67</v>
      </c>
      <c r="J34" s="17">
        <f t="shared" si="44"/>
        <v>20.032913516666664</v>
      </c>
      <c r="K34" s="2">
        <f t="shared" si="45"/>
        <v>1.0016456758333332</v>
      </c>
      <c r="L34">
        <v>10</v>
      </c>
      <c r="M34">
        <v>6</v>
      </c>
      <c r="N34">
        <v>0.83382000000000001</v>
      </c>
      <c r="O34">
        <v>0.2</v>
      </c>
      <c r="P34">
        <v>0.1</v>
      </c>
      <c r="Q34">
        <v>1</v>
      </c>
      <c r="R34" s="52">
        <f t="shared" si="36"/>
        <v>-5.9474164034630707E-6</v>
      </c>
      <c r="S34" s="52">
        <f t="shared" si="37"/>
        <v>2.600316039070732E-4</v>
      </c>
      <c r="T34" s="19">
        <f t="shared" si="38"/>
        <v>0.99987815358824694</v>
      </c>
      <c r="U34" s="19">
        <f t="shared" si="39"/>
        <v>1.0007059324270862</v>
      </c>
      <c r="V34" s="52">
        <f t="shared" si="46"/>
        <v>1.1927894179369755E-4</v>
      </c>
      <c r="W34" s="19">
        <f t="shared" si="40"/>
        <v>0.99987220617184347</v>
      </c>
      <c r="X34" s="3">
        <f t="shared" si="47"/>
        <v>-0.12779382815653051</v>
      </c>
      <c r="Y34" s="3">
        <f t="shared" si="41"/>
        <v>0.14075266211337564</v>
      </c>
      <c r="Z34" s="51">
        <f t="shared" si="48"/>
        <v>1.8941398050459334E-6</v>
      </c>
      <c r="AA34" s="51">
        <f t="shared" si="49"/>
        <v>4.6692971824237192E-5</v>
      </c>
      <c r="AB34" s="2">
        <f t="shared" si="42"/>
        <v>-0.13320393682682269</v>
      </c>
      <c r="AC34" s="2">
        <f t="shared" si="43"/>
        <v>0.14614822437181546</v>
      </c>
      <c r="AG34" s="3"/>
      <c r="AL34" s="43" t="s">
        <v>194</v>
      </c>
      <c r="AM34" s="18">
        <v>0.1201974811</v>
      </c>
      <c r="AN34" s="18">
        <v>-5.9606829299999997E-7</v>
      </c>
      <c r="AO34" s="18">
        <v>2.6061163999999999E-5</v>
      </c>
      <c r="AP34" s="18">
        <v>5.3852795180941798E-8</v>
      </c>
      <c r="AQ34" s="18">
        <v>2.51841906253318E-7</v>
      </c>
      <c r="AR34" s="2">
        <v>1.9117778088470401E-7</v>
      </c>
      <c r="AS34">
        <v>13</v>
      </c>
      <c r="AT34">
        <v>2</v>
      </c>
    </row>
    <row r="35" spans="1:46" x14ac:dyDescent="0.2">
      <c r="A35">
        <f>ROW()</f>
        <v>35</v>
      </c>
      <c r="B35" s="67" t="s">
        <v>112</v>
      </c>
      <c r="C35" s="18">
        <f t="shared" si="30"/>
        <v>0.23978191262000001</v>
      </c>
      <c r="D35" s="18">
        <f t="shared" si="31"/>
        <v>-2.0768600300000001E-7</v>
      </c>
      <c r="E35" s="18">
        <f t="shared" si="32"/>
        <v>4.9604261999999998E-5</v>
      </c>
      <c r="F35" s="18">
        <f t="shared" si="33"/>
        <v>6.2778505679542095E-8</v>
      </c>
      <c r="G35" s="18">
        <f t="shared" si="34"/>
        <v>1.3863317237256999E-7</v>
      </c>
      <c r="H35" s="18">
        <f t="shared" si="35"/>
        <v>1.49222477381928E-7</v>
      </c>
      <c r="I35" s="2">
        <v>20.67</v>
      </c>
      <c r="J35" s="17">
        <f t="shared" si="44"/>
        <v>39.963652103333331</v>
      </c>
      <c r="K35" s="2">
        <f t="shared" si="45"/>
        <v>1.9981826051666667</v>
      </c>
      <c r="L35">
        <v>10</v>
      </c>
      <c r="M35">
        <v>6</v>
      </c>
      <c r="N35">
        <v>0.83382000000000001</v>
      </c>
      <c r="O35">
        <v>0.2</v>
      </c>
      <c r="P35">
        <v>0.1</v>
      </c>
      <c r="Q35">
        <v>1</v>
      </c>
      <c r="R35" s="52">
        <f t="shared" si="36"/>
        <v>-1.0387678514904825E-6</v>
      </c>
      <c r="S35" s="52">
        <f t="shared" si="37"/>
        <v>2.481019997409791E-4</v>
      </c>
      <c r="T35" s="19">
        <f t="shared" si="38"/>
        <v>0.99987815358824694</v>
      </c>
      <c r="U35" s="19">
        <f t="shared" si="39"/>
        <v>1.0007059324270862</v>
      </c>
      <c r="V35" s="52">
        <f t="shared" si="46"/>
        <v>1.1927894179369755E-4</v>
      </c>
      <c r="W35" s="19">
        <f>R35+T35</f>
        <v>0.99987711482039543</v>
      </c>
      <c r="X35" s="3">
        <f t="shared" si="47"/>
        <v>-0.12288517960457046</v>
      </c>
      <c r="Y35" s="3">
        <f t="shared" si="41"/>
        <v>0.12882305794728155</v>
      </c>
      <c r="Z35" s="51">
        <f t="shared" si="48"/>
        <v>2.4557934129857996E-3</v>
      </c>
      <c r="AA35" s="51">
        <f t="shared" si="49"/>
        <v>5.0084864552974806E-4</v>
      </c>
      <c r="AB35" s="2">
        <f t="shared" si="42"/>
        <v>-0.13045210907291938</v>
      </c>
      <c r="AC35" s="2">
        <f t="shared" si="43"/>
        <v>0.13380297822853199</v>
      </c>
      <c r="AG35" s="3"/>
      <c r="AL35" s="43" t="s">
        <v>194</v>
      </c>
      <c r="AM35" s="18">
        <v>0.23978191262000001</v>
      </c>
      <c r="AN35" s="18">
        <v>-2.0768600300000001E-7</v>
      </c>
      <c r="AO35" s="18">
        <v>4.9604261999999998E-5</v>
      </c>
      <c r="AP35" s="18">
        <v>6.2778505679542095E-8</v>
      </c>
      <c r="AQ35" s="18">
        <v>1.3863317237256999E-7</v>
      </c>
      <c r="AR35" s="2">
        <v>1.49222477381928E-7</v>
      </c>
      <c r="AS35">
        <v>13</v>
      </c>
      <c r="AT35">
        <v>2</v>
      </c>
    </row>
    <row r="36" spans="1:46" ht="13.5" x14ac:dyDescent="0.25">
      <c r="A36">
        <f>ROW()</f>
        <v>36</v>
      </c>
      <c r="B36" s="163" t="s">
        <v>181</v>
      </c>
      <c r="C36" s="18">
        <f t="shared" si="30"/>
        <v>0.35945534810000002</v>
      </c>
      <c r="D36" s="18">
        <f t="shared" si="31"/>
        <v>2.5168204000000001E-6</v>
      </c>
      <c r="E36" s="18">
        <f t="shared" si="32"/>
        <v>7.1804547000000002E-5</v>
      </c>
      <c r="F36" s="18">
        <f t="shared" si="33"/>
        <v>6.7085193791103104E-8</v>
      </c>
      <c r="G36" s="18">
        <f t="shared" si="34"/>
        <v>2.6775246926562599E-7</v>
      </c>
      <c r="H36" s="18">
        <f t="shared" si="35"/>
        <v>2.5770427526721399E-7</v>
      </c>
      <c r="I36" s="2">
        <v>20.67</v>
      </c>
      <c r="J36" s="17">
        <f t="shared" si="44"/>
        <v>59.909224683333328</v>
      </c>
      <c r="K36" s="2">
        <f t="shared" si="45"/>
        <v>2.9954612341666667</v>
      </c>
      <c r="L36">
        <v>10</v>
      </c>
      <c r="M36">
        <v>6</v>
      </c>
      <c r="N36">
        <v>0.83382000000000001</v>
      </c>
      <c r="O36">
        <v>0.2</v>
      </c>
      <c r="P36">
        <v>0.1</v>
      </c>
      <c r="Q36">
        <v>1</v>
      </c>
      <c r="R36" s="52">
        <f t="shared" si="36"/>
        <v>8.3972091044665651E-6</v>
      </c>
      <c r="S36" s="52">
        <f t="shared" si="37"/>
        <v>2.3957124465873587E-4</v>
      </c>
      <c r="T36" s="19">
        <f t="shared" si="38"/>
        <v>0.99987815358824694</v>
      </c>
      <c r="U36" s="19">
        <f t="shared" si="39"/>
        <v>1.0007059324270862</v>
      </c>
      <c r="V36" s="52">
        <f t="shared" si="46"/>
        <v>1.1927894179369755E-4</v>
      </c>
      <c r="W36" s="19">
        <f t="shared" si="40"/>
        <v>0.99988655079735145</v>
      </c>
      <c r="X36" s="3">
        <f t="shared" si="47"/>
        <v>-0.11344920264855229</v>
      </c>
      <c r="Y36" s="3">
        <f t="shared" si="41"/>
        <v>0.12029230286503832</v>
      </c>
      <c r="Z36" s="51">
        <f t="shared" si="48"/>
        <v>6.5437004983885279E-3</v>
      </c>
      <c r="AA36" s="51">
        <f t="shared" si="49"/>
        <v>1.2574184920215094E-3</v>
      </c>
      <c r="AB36" s="2">
        <f t="shared" si="42"/>
        <v>-0.12446775951964192</v>
      </c>
      <c r="AC36" s="2">
        <f t="shared" si="43"/>
        <v>0.12557821128308908</v>
      </c>
      <c r="AG36" s="3"/>
      <c r="AL36" s="43" t="s">
        <v>194</v>
      </c>
      <c r="AM36" s="18">
        <v>0.35945534810000002</v>
      </c>
      <c r="AN36" s="18">
        <v>2.5168204000000001E-6</v>
      </c>
      <c r="AO36" s="18">
        <v>7.1804547000000002E-5</v>
      </c>
      <c r="AP36" s="18">
        <v>6.7085193791103104E-8</v>
      </c>
      <c r="AQ36" s="18">
        <v>2.6775246926562599E-7</v>
      </c>
      <c r="AR36" s="2">
        <v>2.5770427526721399E-7</v>
      </c>
      <c r="AS36">
        <v>14</v>
      </c>
      <c r="AT36">
        <v>2</v>
      </c>
    </row>
    <row r="37" spans="1:46" x14ac:dyDescent="0.2">
      <c r="A37">
        <f>ROW()</f>
        <v>37</v>
      </c>
      <c r="B37" s="66" t="s">
        <v>111</v>
      </c>
      <c r="C37" s="18">
        <f t="shared" si="30"/>
        <v>0.60059052012000003</v>
      </c>
      <c r="D37" s="18">
        <f t="shared" si="31"/>
        <v>1.4444579E-5</v>
      </c>
      <c r="E37" s="18">
        <f t="shared" si="32"/>
        <v>1.1564175E-4</v>
      </c>
      <c r="F37" s="18">
        <f t="shared" si="33"/>
        <v>6.7592197134373998E-7</v>
      </c>
      <c r="G37" s="18">
        <f t="shared" si="34"/>
        <v>4.5574752600425598E-7</v>
      </c>
      <c r="H37" s="18">
        <f t="shared" si="35"/>
        <v>2.3269118483518101E-7</v>
      </c>
      <c r="I37" s="2">
        <v>20.67</v>
      </c>
      <c r="J37" s="17">
        <f t="shared" si="44"/>
        <v>100.09842002000001</v>
      </c>
      <c r="K37" s="2">
        <f t="shared" si="45"/>
        <v>5.0049210010000005</v>
      </c>
      <c r="L37">
        <v>10</v>
      </c>
      <c r="M37">
        <v>6</v>
      </c>
      <c r="N37">
        <v>0.83382000000000001</v>
      </c>
      <c r="O37">
        <v>0.2</v>
      </c>
      <c r="P37">
        <v>0.1</v>
      </c>
      <c r="Q37">
        <v>1</v>
      </c>
      <c r="R37" s="52">
        <f t="shared" si="36"/>
        <v>2.8843908398383511E-5</v>
      </c>
      <c r="S37" s="52">
        <f t="shared" si="37"/>
        <v>2.3092123654339569E-4</v>
      </c>
      <c r="T37" s="19">
        <f t="shared" si="38"/>
        <v>0.99987815358824694</v>
      </c>
      <c r="U37" s="19">
        <f t="shared" si="39"/>
        <v>1.0007059324270862</v>
      </c>
      <c r="V37" s="52">
        <f t="shared" si="46"/>
        <v>1.1927894179369755E-4</v>
      </c>
      <c r="W37" s="19">
        <f t="shared" si="40"/>
        <v>0.99990699749664536</v>
      </c>
      <c r="X37" s="3">
        <f t="shared" si="47"/>
        <v>-9.3002503354644439E-2</v>
      </c>
      <c r="Y37" s="3">
        <f t="shared" si="41"/>
        <v>0.11164229474969814</v>
      </c>
      <c r="Z37" s="51">
        <f t="shared" si="48"/>
        <v>1.9740146700681013E-2</v>
      </c>
      <c r="AA37" s="51">
        <f t="shared" si="49"/>
        <v>3.699752201893885E-3</v>
      </c>
      <c r="AB37" s="2">
        <f t="shared" si="42"/>
        <v>-0.11448710528674542</v>
      </c>
      <c r="AC37" s="2">
        <f t="shared" si="43"/>
        <v>0.11780944203688726</v>
      </c>
      <c r="AG37" s="3"/>
      <c r="AL37" s="43" t="s">
        <v>194</v>
      </c>
      <c r="AM37" s="18">
        <v>0.60059052012000003</v>
      </c>
      <c r="AN37" s="18">
        <v>1.4444579E-5</v>
      </c>
      <c r="AO37" s="18">
        <v>1.1564175E-4</v>
      </c>
      <c r="AP37" s="18">
        <v>6.7592197134373998E-7</v>
      </c>
      <c r="AQ37" s="18">
        <v>4.5574752600425598E-7</v>
      </c>
      <c r="AR37" s="18">
        <v>2.3269118483518101E-7</v>
      </c>
      <c r="AS37">
        <v>15</v>
      </c>
      <c r="AT37">
        <v>2</v>
      </c>
    </row>
    <row r="38" spans="1:46" x14ac:dyDescent="0.2">
      <c r="A38">
        <f>ROW()</f>
        <v>38</v>
      </c>
      <c r="B38" s="162" t="s">
        <v>114</v>
      </c>
      <c r="C38" s="18">
        <f t="shared" si="30"/>
        <v>0.72140143241999999</v>
      </c>
      <c r="D38" s="18">
        <f t="shared" si="31"/>
        <v>2.4835063000000001E-5</v>
      </c>
      <c r="E38" s="18">
        <f t="shared" si="32"/>
        <v>1.3777416E-4</v>
      </c>
      <c r="F38" s="18">
        <f t="shared" si="33"/>
        <v>2.2111708273934898E-6</v>
      </c>
      <c r="G38" s="18">
        <f t="shared" si="34"/>
        <v>4.3534066491771701E-7</v>
      </c>
      <c r="H38" s="18">
        <f t="shared" si="35"/>
        <v>1.8333006954670701E-7</v>
      </c>
      <c r="I38" s="2">
        <v>20.68</v>
      </c>
      <c r="J38" s="17">
        <f t="shared" si="44"/>
        <v>120.23357206999999</v>
      </c>
      <c r="K38" s="2">
        <f t="shared" si="45"/>
        <v>6.0116786034999992</v>
      </c>
      <c r="L38">
        <v>10</v>
      </c>
      <c r="M38">
        <v>6</v>
      </c>
      <c r="N38">
        <v>0.83382000000000001</v>
      </c>
      <c r="O38">
        <v>0.2</v>
      </c>
      <c r="P38">
        <v>0.1</v>
      </c>
      <c r="Q38">
        <v>1</v>
      </c>
      <c r="R38" s="52">
        <f t="shared" si="36"/>
        <v>4.1287250076810544E-5</v>
      </c>
      <c r="S38" s="52">
        <f t="shared" si="37"/>
        <v>2.2904375954441945E-4</v>
      </c>
      <c r="T38" s="19">
        <f t="shared" si="38"/>
        <v>0.99987815358824694</v>
      </c>
      <c r="U38" s="19">
        <f t="shared" si="39"/>
        <v>1.0007059324270862</v>
      </c>
      <c r="V38" s="52">
        <f t="shared" si="46"/>
        <v>1.1927894179369755E-4</v>
      </c>
      <c r="W38" s="19">
        <f t="shared" si="40"/>
        <v>0.99991944083832374</v>
      </c>
      <c r="X38" s="3">
        <f t="shared" si="47"/>
        <v>-8.0559161676263535E-2</v>
      </c>
      <c r="Y38" s="3">
        <f t="shared" si="41"/>
        <v>0.1097648177507219</v>
      </c>
      <c r="Z38" s="51">
        <f t="shared" si="48"/>
        <v>2.8844297083828057E-2</v>
      </c>
      <c r="AA38" s="51">
        <f t="shared" si="49"/>
        <v>5.384703819901829E-3</v>
      </c>
      <c r="AB38" s="2">
        <f t="shared" si="42"/>
        <v>-0.10945201120747407</v>
      </c>
      <c r="AC38" s="2">
        <f t="shared" si="43"/>
        <v>0.11650103351845911</v>
      </c>
      <c r="AG38" s="3"/>
      <c r="AL38" s="43" t="s">
        <v>194</v>
      </c>
      <c r="AM38" s="18">
        <v>0.72140143241999999</v>
      </c>
      <c r="AN38" s="18">
        <v>2.4835063000000001E-5</v>
      </c>
      <c r="AO38" s="18">
        <v>1.3777416E-4</v>
      </c>
      <c r="AP38" s="18">
        <v>2.2111708273934898E-6</v>
      </c>
      <c r="AQ38" s="18">
        <v>4.3534066491771701E-7</v>
      </c>
      <c r="AR38" s="2">
        <v>1.8333006954670701E-7</v>
      </c>
      <c r="AS38">
        <v>15</v>
      </c>
      <c r="AT38">
        <v>2</v>
      </c>
    </row>
    <row r="39" spans="1:46" x14ac:dyDescent="0.2">
      <c r="A39">
        <f>ROW()</f>
        <v>39</v>
      </c>
      <c r="D39" s="18"/>
      <c r="F39" s="18"/>
      <c r="G39" s="18"/>
      <c r="H39" s="18"/>
      <c r="I39" s="2"/>
      <c r="J39" s="17"/>
      <c r="K39" s="2"/>
      <c r="R39" s="52"/>
      <c r="S39" s="52"/>
      <c r="T39" s="19"/>
      <c r="U39" s="19"/>
      <c r="V39" s="52"/>
      <c r="W39" s="19"/>
      <c r="X39" s="3"/>
      <c r="Y39" s="3"/>
      <c r="AA39" s="2"/>
      <c r="AB39" s="2"/>
    </row>
    <row r="40" spans="1:46" x14ac:dyDescent="0.2">
      <c r="A40">
        <f>ROW()</f>
        <v>40</v>
      </c>
      <c r="B40" t="s">
        <v>52</v>
      </c>
      <c r="C40" s="18">
        <f t="shared" ref="C40:C46" si="50">AM40</f>
        <v>2.9685372171999999E-2</v>
      </c>
      <c r="D40" s="18">
        <f t="shared" ref="D40:D49" si="51">AN40</f>
        <v>-3.7688484999999999E-7</v>
      </c>
      <c r="E40" s="18">
        <f t="shared" ref="E40:E49" si="52">AO40</f>
        <v>6.1957318E-6</v>
      </c>
      <c r="F40" s="18">
        <f t="shared" ref="F40:F49" si="53">AP40</f>
        <v>2.8489445736098601E-8</v>
      </c>
      <c r="G40" s="18">
        <f t="shared" ref="G40:G49" si="54">AQ40</f>
        <v>9.1634441757711904E-8</v>
      </c>
      <c r="H40" s="18">
        <f t="shared" ref="H40:H49" si="55">AR40</f>
        <v>1.1429417193698E-7</v>
      </c>
      <c r="I40" s="2">
        <v>21.5</v>
      </c>
      <c r="J40" s="17">
        <f t="shared" ref="J40:J48" si="56">100*C40/0.5*N40</f>
        <v>4.9504514048914077</v>
      </c>
      <c r="K40" s="2">
        <f t="shared" ref="K40:K48" si="57">C40/P40*N40</f>
        <v>0.24752257024457036</v>
      </c>
      <c r="L40">
        <v>10</v>
      </c>
      <c r="M40">
        <v>6</v>
      </c>
      <c r="N40">
        <v>0.83382000000000001</v>
      </c>
      <c r="O40">
        <v>0.2</v>
      </c>
      <c r="P40">
        <v>0.1</v>
      </c>
      <c r="Q40">
        <v>1</v>
      </c>
      <c r="R40" s="52">
        <f t="shared" ref="R40:R46" si="58">Q40*D40/C40/N40</f>
        <v>-1.5226282178130672E-5</v>
      </c>
      <c r="S40" s="52">
        <f t="shared" ref="S40:S46" si="59">Q40*E40/C40/N40</f>
        <v>2.5030977150399512E-4</v>
      </c>
      <c r="T40" s="19">
        <f t="shared" ref="T40:T46" si="60">M40*N40*O40/(P40*U40*L40)</f>
        <v>0.99987815358824694</v>
      </c>
      <c r="U40" s="19">
        <f t="shared" ref="U40:U47" si="61">$AA$16</f>
        <v>1.0007059324270862</v>
      </c>
      <c r="V40" s="52">
        <f>$AA$26</f>
        <v>7.7923097257736945E-5</v>
      </c>
      <c r="W40" s="19">
        <f t="shared" ref="W40:W46" si="62">R40+T40</f>
        <v>0.99986292730606885</v>
      </c>
      <c r="X40" s="3">
        <f t="shared" ref="X40:X46" si="63">1000*(W40-1)</f>
        <v>-0.13707269393115062</v>
      </c>
      <c r="Y40" s="3">
        <f t="shared" ref="Y40:Y46" si="64">1000*(S40-V40)</f>
        <v>0.17238667424625817</v>
      </c>
      <c r="Z40" s="51">
        <f t="shared" ref="Z40:Z46" si="65">((C40*N40)^2/P40-$AB$10)*$Z$28*0.001</f>
        <v>-7.7143270015654045E-4</v>
      </c>
      <c r="AA40" s="51">
        <f>(C40^2/O40-$Z$10)*$AB$5*0.001</f>
        <v>-9.643057682169693E-5</v>
      </c>
      <c r="AC40" s="2"/>
      <c r="AL40" s="43" t="s">
        <v>195</v>
      </c>
      <c r="AM40" s="18">
        <v>2.9685372171999999E-2</v>
      </c>
      <c r="AN40" s="18">
        <v>-3.7688484999999999E-7</v>
      </c>
      <c r="AO40" s="18">
        <v>6.1957318E-6</v>
      </c>
      <c r="AP40" s="18">
        <v>2.8489445736098601E-8</v>
      </c>
      <c r="AQ40" s="18">
        <v>9.1634441757711904E-8</v>
      </c>
      <c r="AR40" s="2">
        <v>1.1429417193698E-7</v>
      </c>
      <c r="AS40">
        <v>11</v>
      </c>
      <c r="AT40">
        <v>2</v>
      </c>
    </row>
    <row r="41" spans="1:46" x14ac:dyDescent="0.2">
      <c r="A41">
        <f>ROW()</f>
        <v>41</v>
      </c>
      <c r="C41" s="18">
        <f t="shared" si="50"/>
        <v>6.022475511E-2</v>
      </c>
      <c r="D41" s="18">
        <f t="shared" si="51"/>
        <v>-8.0698554000000002E-7</v>
      </c>
      <c r="E41" s="18">
        <f t="shared" si="52"/>
        <v>1.207078E-5</v>
      </c>
      <c r="F41" s="18">
        <f t="shared" si="53"/>
        <v>3.3845822858611599E-7</v>
      </c>
      <c r="G41" s="18">
        <f t="shared" si="54"/>
        <v>9.1269731654631306E-8</v>
      </c>
      <c r="H41" s="18">
        <f t="shared" si="55"/>
        <v>9.1749355311086496E-8</v>
      </c>
      <c r="I41" s="2">
        <v>21.51</v>
      </c>
      <c r="J41" s="17">
        <f t="shared" si="56"/>
        <v>10.04332106116404</v>
      </c>
      <c r="K41" s="2">
        <f t="shared" si="57"/>
        <v>0.50216605305820194</v>
      </c>
      <c r="L41">
        <v>10</v>
      </c>
      <c r="M41">
        <v>6</v>
      </c>
      <c r="N41">
        <v>0.83382000000000001</v>
      </c>
      <c r="O41">
        <v>0.2</v>
      </c>
      <c r="P41">
        <v>0.1</v>
      </c>
      <c r="Q41">
        <v>1</v>
      </c>
      <c r="R41" s="52">
        <f t="shared" si="58"/>
        <v>-1.6070093449874616E-5</v>
      </c>
      <c r="S41" s="52">
        <f t="shared" si="59"/>
        <v>2.4037427314109927E-4</v>
      </c>
      <c r="T41" s="19">
        <f t="shared" si="60"/>
        <v>0.99987815358824694</v>
      </c>
      <c r="U41" s="19">
        <f t="shared" si="61"/>
        <v>1.0007059324270862</v>
      </c>
      <c r="V41" s="52">
        <f t="shared" ref="V41:V49" si="66">$AA$26</f>
        <v>7.7923097257736945E-5</v>
      </c>
      <c r="W41" s="19">
        <f t="shared" si="62"/>
        <v>0.9998620834947971</v>
      </c>
      <c r="X41" s="3">
        <f t="shared" si="63"/>
        <v>-0.13791650520289522</v>
      </c>
      <c r="Y41" s="3">
        <f t="shared" si="64"/>
        <v>0.16245117588336233</v>
      </c>
      <c r="Z41" s="51">
        <f t="shared" si="65"/>
        <v>-6.1491144652635159E-4</v>
      </c>
      <c r="AA41" s="51">
        <f t="shared" ref="AA41:AA46" si="67">(C41^2/O41-$Z$10)*$AB$5*0.001</f>
        <v>-6.7462388857115614E-5</v>
      </c>
      <c r="AC41" s="2"/>
      <c r="AL41" s="43" t="s">
        <v>195</v>
      </c>
      <c r="AM41" s="18">
        <v>6.022475511E-2</v>
      </c>
      <c r="AN41" s="18">
        <v>-8.0698554000000002E-7</v>
      </c>
      <c r="AO41" s="18">
        <v>1.207078E-5</v>
      </c>
      <c r="AP41" s="18">
        <v>3.3845822858611599E-7</v>
      </c>
      <c r="AQ41" s="18">
        <v>9.1269731654631306E-8</v>
      </c>
      <c r="AR41" s="2">
        <v>9.1749355311086496E-8</v>
      </c>
      <c r="AS41">
        <v>12</v>
      </c>
      <c r="AT41">
        <v>2</v>
      </c>
    </row>
    <row r="42" spans="1:46" x14ac:dyDescent="0.2">
      <c r="A42">
        <f>ROW()</f>
        <v>42</v>
      </c>
      <c r="C42" s="18">
        <f t="shared" si="50"/>
        <v>0.11991113316</v>
      </c>
      <c r="D42" s="18">
        <f t="shared" si="51"/>
        <v>-1.6854585E-6</v>
      </c>
      <c r="E42" s="18">
        <f t="shared" si="52"/>
        <v>2.2943085999999999E-5</v>
      </c>
      <c r="F42" s="18">
        <f t="shared" si="53"/>
        <v>7.3372865811812104E-8</v>
      </c>
      <c r="G42" s="18">
        <f t="shared" si="54"/>
        <v>7.4041956097539703E-8</v>
      </c>
      <c r="H42" s="18">
        <f t="shared" si="55"/>
        <v>9.6447740274202605E-8</v>
      </c>
      <c r="I42" s="2">
        <v>21.52</v>
      </c>
      <c r="J42" s="17">
        <f t="shared" si="56"/>
        <v>19.996860210294241</v>
      </c>
      <c r="K42" s="2">
        <f t="shared" si="57"/>
        <v>0.99984301051471192</v>
      </c>
      <c r="L42">
        <v>10</v>
      </c>
      <c r="M42">
        <v>6</v>
      </c>
      <c r="N42">
        <v>0.83382000000000001</v>
      </c>
      <c r="O42">
        <v>0.2</v>
      </c>
      <c r="P42">
        <v>0.1</v>
      </c>
      <c r="Q42">
        <v>1</v>
      </c>
      <c r="R42" s="52">
        <f t="shared" si="58"/>
        <v>-1.6857231408082137E-5</v>
      </c>
      <c r="S42" s="52">
        <f t="shared" si="59"/>
        <v>2.294668838879922E-4</v>
      </c>
      <c r="T42" s="19">
        <f t="shared" si="60"/>
        <v>0.99987815358824694</v>
      </c>
      <c r="U42" s="19">
        <f t="shared" si="61"/>
        <v>1.0007059324270862</v>
      </c>
      <c r="V42" s="52">
        <f t="shared" si="66"/>
        <v>7.7923097257736945E-5</v>
      </c>
      <c r="W42" s="19">
        <f t="shared" si="62"/>
        <v>0.99986129635683885</v>
      </c>
      <c r="X42" s="3">
        <f t="shared" si="63"/>
        <v>-0.13870364316115324</v>
      </c>
      <c r="Y42" s="3">
        <f t="shared" si="64"/>
        <v>0.15154378663025525</v>
      </c>
      <c r="Z42" s="51">
        <f t="shared" si="65"/>
        <v>-2.0251398393327532E-6</v>
      </c>
      <c r="AA42" s="51">
        <f t="shared" si="67"/>
        <v>4.5967610719652871E-5</v>
      </c>
      <c r="AC42" s="2"/>
      <c r="AD42" s="2"/>
      <c r="AE42" s="2"/>
      <c r="AF42" s="2"/>
      <c r="AG42" s="2"/>
      <c r="AL42" s="43" t="s">
        <v>195</v>
      </c>
      <c r="AM42" s="18">
        <v>0.11991113316</v>
      </c>
      <c r="AN42" s="18">
        <v>-1.6854585E-6</v>
      </c>
      <c r="AO42" s="18">
        <v>2.2943085999999999E-5</v>
      </c>
      <c r="AP42" s="18">
        <v>7.3372865811812104E-8</v>
      </c>
      <c r="AQ42" s="18">
        <v>7.4041956097539703E-8</v>
      </c>
      <c r="AR42" s="2">
        <v>9.6447740274202605E-8</v>
      </c>
      <c r="AS42">
        <v>13</v>
      </c>
      <c r="AT42">
        <v>2</v>
      </c>
    </row>
    <row r="43" spans="1:46" x14ac:dyDescent="0.2">
      <c r="A43">
        <f>ROW()</f>
        <v>43</v>
      </c>
      <c r="C43" s="18">
        <f t="shared" si="50"/>
        <v>0.2410543228</v>
      </c>
      <c r="D43" s="18">
        <f t="shared" si="51"/>
        <v>-2.4647601000000002E-6</v>
      </c>
      <c r="E43" s="18">
        <f t="shared" si="52"/>
        <v>4.3557019999999998E-5</v>
      </c>
      <c r="F43" s="18">
        <f t="shared" si="53"/>
        <v>3.4930318423933199E-8</v>
      </c>
      <c r="G43" s="18">
        <f t="shared" si="54"/>
        <v>1.20573033083646E-7</v>
      </c>
      <c r="H43" s="18">
        <f t="shared" si="55"/>
        <v>1.11726722855367E-7</v>
      </c>
      <c r="I43" s="2">
        <v>21.53</v>
      </c>
      <c r="J43" s="17">
        <f t="shared" si="56"/>
        <v>40.1991830874192</v>
      </c>
      <c r="K43" s="2">
        <f t="shared" si="57"/>
        <v>2.0099591543709598</v>
      </c>
      <c r="L43">
        <v>10</v>
      </c>
      <c r="M43">
        <v>6</v>
      </c>
      <c r="N43">
        <v>0.83382000000000001</v>
      </c>
      <c r="O43">
        <v>0.2</v>
      </c>
      <c r="P43">
        <v>0.1</v>
      </c>
      <c r="Q43">
        <v>1</v>
      </c>
      <c r="R43" s="52">
        <f t="shared" si="58"/>
        <v>-1.2262737253341725E-5</v>
      </c>
      <c r="S43" s="52">
        <f t="shared" si="59"/>
        <v>2.1670599576751934E-4</v>
      </c>
      <c r="T43" s="19">
        <f t="shared" si="60"/>
        <v>0.99987815358824694</v>
      </c>
      <c r="U43" s="19">
        <f t="shared" si="61"/>
        <v>1.0007059324270862</v>
      </c>
      <c r="V43" s="52">
        <f t="shared" si="66"/>
        <v>7.7923097257736945E-5</v>
      </c>
      <c r="W43" s="19">
        <f t="shared" si="62"/>
        <v>0.99986589085099364</v>
      </c>
      <c r="X43" s="3">
        <f t="shared" si="63"/>
        <v>-0.13410914900635618</v>
      </c>
      <c r="Y43" s="3">
        <f t="shared" si="64"/>
        <v>0.1387828985097824</v>
      </c>
      <c r="Z43" s="51">
        <f t="shared" si="65"/>
        <v>2.4906695817741545E-3</v>
      </c>
      <c r="AA43" s="51">
        <f t="shared" si="67"/>
        <v>5.0730335624483449E-4</v>
      </c>
      <c r="AC43" s="2"/>
      <c r="AD43" s="2"/>
      <c r="AE43" s="2"/>
      <c r="AF43" s="2"/>
      <c r="AG43" s="2"/>
      <c r="AL43" s="43" t="s">
        <v>195</v>
      </c>
      <c r="AM43" s="18">
        <v>0.2410543228</v>
      </c>
      <c r="AN43" s="18">
        <v>-2.4647601000000002E-6</v>
      </c>
      <c r="AO43" s="18">
        <v>4.3557019999999998E-5</v>
      </c>
      <c r="AP43" s="18">
        <v>3.4930318423933199E-8</v>
      </c>
      <c r="AQ43" s="18">
        <v>1.20573033083646E-7</v>
      </c>
      <c r="AR43" s="2">
        <v>1.11726722855367E-7</v>
      </c>
      <c r="AS43">
        <v>13</v>
      </c>
      <c r="AT43">
        <v>2</v>
      </c>
    </row>
    <row r="44" spans="1:46" x14ac:dyDescent="0.2">
      <c r="A44">
        <f>ROW()</f>
        <v>44</v>
      </c>
      <c r="C44" s="18">
        <f t="shared" si="50"/>
        <v>0.35965372924</v>
      </c>
      <c r="D44" s="18">
        <f t="shared" si="51"/>
        <v>-9.1985396000000004E-7</v>
      </c>
      <c r="E44" s="18">
        <f t="shared" si="52"/>
        <v>6.2612462E-5</v>
      </c>
      <c r="F44" s="18">
        <f t="shared" si="53"/>
        <v>6.3655141876949399E-6</v>
      </c>
      <c r="G44" s="18">
        <f t="shared" si="54"/>
        <v>1.5157516008791901E-7</v>
      </c>
      <c r="H44" s="18">
        <f t="shared" si="55"/>
        <v>1.5077607222633101E-7</v>
      </c>
      <c r="I44" s="2">
        <v>21.53</v>
      </c>
      <c r="J44" s="17">
        <f t="shared" si="56"/>
        <v>59.977294502979362</v>
      </c>
      <c r="K44" s="2">
        <f t="shared" si="57"/>
        <v>2.9988647251489677</v>
      </c>
      <c r="L44">
        <v>10</v>
      </c>
      <c r="M44">
        <v>6</v>
      </c>
      <c r="N44">
        <v>0.83382000000000001</v>
      </c>
      <c r="O44">
        <v>0.2</v>
      </c>
      <c r="P44">
        <v>0.1</v>
      </c>
      <c r="Q44">
        <v>1</v>
      </c>
      <c r="R44" s="52">
        <f t="shared" si="58"/>
        <v>-3.0673406248903293E-6</v>
      </c>
      <c r="S44" s="52">
        <f t="shared" si="59"/>
        <v>2.087872169588768E-4</v>
      </c>
      <c r="T44" s="19">
        <f t="shared" si="60"/>
        <v>0.99987815358824694</v>
      </c>
      <c r="U44" s="19">
        <f t="shared" si="61"/>
        <v>1.0007059324270862</v>
      </c>
      <c r="V44" s="52">
        <f t="shared" si="66"/>
        <v>7.7923097257736945E-5</v>
      </c>
      <c r="W44" s="19">
        <f t="shared" si="62"/>
        <v>0.999875086247622</v>
      </c>
      <c r="X44" s="3">
        <f t="shared" si="63"/>
        <v>-0.12491375237799751</v>
      </c>
      <c r="Y44" s="3">
        <f t="shared" si="64"/>
        <v>0.13086411970113984</v>
      </c>
      <c r="Z44" s="51">
        <f t="shared" si="65"/>
        <v>6.5518325401450568E-3</v>
      </c>
      <c r="AA44" s="51">
        <f t="shared" si="67"/>
        <v>1.2589235305301809E-3</v>
      </c>
      <c r="AC44" s="2"/>
      <c r="AD44" s="2"/>
      <c r="AE44" s="2"/>
      <c r="AF44" s="2"/>
      <c r="AG44" s="2"/>
      <c r="AL44" s="43" t="s">
        <v>195</v>
      </c>
      <c r="AM44" s="18">
        <v>0.35965372924</v>
      </c>
      <c r="AN44" s="18">
        <v>-9.1985396000000004E-7</v>
      </c>
      <c r="AO44" s="18">
        <v>6.2612462E-5</v>
      </c>
      <c r="AP44" s="18">
        <v>6.3655141876949399E-6</v>
      </c>
      <c r="AQ44" s="18">
        <v>1.5157516008791901E-7</v>
      </c>
      <c r="AR44" s="2">
        <v>1.5077607222633101E-7</v>
      </c>
      <c r="AS44">
        <v>14</v>
      </c>
      <c r="AT44">
        <v>2</v>
      </c>
    </row>
    <row r="45" spans="1:46" x14ac:dyDescent="0.2">
      <c r="A45">
        <f>ROW()</f>
        <v>45</v>
      </c>
      <c r="C45" s="18">
        <f t="shared" si="50"/>
        <v>0.59989118967999999</v>
      </c>
      <c r="D45" s="18">
        <f t="shared" si="51"/>
        <v>8.9813607000000003E-6</v>
      </c>
      <c r="E45" s="18">
        <f t="shared" si="52"/>
        <v>1.0099048E-4</v>
      </c>
      <c r="F45" s="18">
        <f t="shared" si="53"/>
        <v>2.9676327807394501E-6</v>
      </c>
      <c r="G45" s="18">
        <f t="shared" si="54"/>
        <v>3.9543788474362198E-7</v>
      </c>
      <c r="H45" s="18">
        <f t="shared" si="55"/>
        <v>2.3371677218376901E-7</v>
      </c>
      <c r="I45" s="2">
        <v>21.54</v>
      </c>
      <c r="J45" s="17">
        <f t="shared" si="56"/>
        <v>100.04025435579553</v>
      </c>
      <c r="K45" s="2">
        <f t="shared" si="57"/>
        <v>5.0020127177897757</v>
      </c>
      <c r="L45">
        <v>10</v>
      </c>
      <c r="M45">
        <v>6</v>
      </c>
      <c r="N45">
        <v>0.83382000000000001</v>
      </c>
      <c r="O45">
        <v>0.2</v>
      </c>
      <c r="P45">
        <v>0.1</v>
      </c>
      <c r="Q45">
        <v>1</v>
      </c>
      <c r="R45" s="52">
        <f t="shared" si="58"/>
        <v>1.7955493531748889E-5</v>
      </c>
      <c r="S45" s="52">
        <f t="shared" si="59"/>
        <v>2.0189968658181333E-4</v>
      </c>
      <c r="T45" s="19">
        <f t="shared" si="60"/>
        <v>0.99987815358824694</v>
      </c>
      <c r="U45" s="19">
        <f t="shared" si="61"/>
        <v>1.0007059324270862</v>
      </c>
      <c r="V45" s="52">
        <f t="shared" si="66"/>
        <v>7.7923097257736945E-5</v>
      </c>
      <c r="W45" s="19">
        <f t="shared" si="62"/>
        <v>0.99989610908177873</v>
      </c>
      <c r="X45" s="3">
        <f t="shared" si="63"/>
        <v>-0.10389091822127217</v>
      </c>
      <c r="Y45" s="3">
        <f t="shared" si="64"/>
        <v>0.12397658932407639</v>
      </c>
      <c r="Z45" s="51">
        <f t="shared" si="65"/>
        <v>1.9692290036018779E-2</v>
      </c>
      <c r="AA45" s="51">
        <f t="shared" si="67"/>
        <v>3.690895124499341E-3</v>
      </c>
      <c r="AC45" s="2"/>
      <c r="AD45" s="2"/>
      <c r="AE45" s="2"/>
      <c r="AF45" s="2"/>
      <c r="AG45" s="2"/>
      <c r="AL45" s="43" t="s">
        <v>195</v>
      </c>
      <c r="AM45" s="18">
        <v>0.59989118967999999</v>
      </c>
      <c r="AN45" s="18">
        <v>8.9813607000000003E-6</v>
      </c>
      <c r="AO45" s="18">
        <v>1.0099048E-4</v>
      </c>
      <c r="AP45" s="18">
        <v>2.9676327807394501E-6</v>
      </c>
      <c r="AQ45" s="18">
        <v>3.9543788474362198E-7</v>
      </c>
      <c r="AR45" s="2">
        <v>2.3371677218376901E-7</v>
      </c>
      <c r="AS45">
        <v>14</v>
      </c>
      <c r="AT45">
        <v>2</v>
      </c>
    </row>
    <row r="46" spans="1:46" x14ac:dyDescent="0.2">
      <c r="A46">
        <f>ROW()</f>
        <v>46</v>
      </c>
      <c r="C46" s="18">
        <f t="shared" si="50"/>
        <v>0.72273577373999998</v>
      </c>
      <c r="D46" s="18">
        <f t="shared" si="51"/>
        <v>1.8332496E-5</v>
      </c>
      <c r="E46" s="18">
        <f t="shared" si="52"/>
        <v>1.2122557E-4</v>
      </c>
      <c r="F46" s="18">
        <f t="shared" si="53"/>
        <v>1.20609096926829E-6</v>
      </c>
      <c r="G46" s="18">
        <f t="shared" si="54"/>
        <v>5.3789098912697902E-7</v>
      </c>
      <c r="H46" s="18">
        <f t="shared" si="55"/>
        <v>2.0933968830587299E-7</v>
      </c>
      <c r="I46" s="2">
        <v>21.54</v>
      </c>
      <c r="J46" s="17">
        <f t="shared" si="56"/>
        <v>120.52630857197735</v>
      </c>
      <c r="K46" s="2">
        <f t="shared" si="57"/>
        <v>6.0263154285988678</v>
      </c>
      <c r="L46">
        <v>10</v>
      </c>
      <c r="M46">
        <v>6</v>
      </c>
      <c r="N46">
        <v>0.83382000000000001</v>
      </c>
      <c r="O46">
        <v>0.2</v>
      </c>
      <c r="P46">
        <v>0.1</v>
      </c>
      <c r="Q46">
        <v>1</v>
      </c>
      <c r="R46" s="52">
        <f t="shared" si="58"/>
        <v>3.0420737542213829E-5</v>
      </c>
      <c r="S46" s="52">
        <f t="shared" si="59"/>
        <v>2.0116034654393326E-4</v>
      </c>
      <c r="T46" s="19">
        <f t="shared" si="60"/>
        <v>0.99987815358824694</v>
      </c>
      <c r="U46" s="19">
        <f t="shared" si="61"/>
        <v>1.0007059324270862</v>
      </c>
      <c r="V46" s="52">
        <f t="shared" si="66"/>
        <v>7.7923097257736945E-5</v>
      </c>
      <c r="W46" s="19">
        <f t="shared" si="62"/>
        <v>0.99990857432578917</v>
      </c>
      <c r="X46" s="3">
        <f t="shared" si="63"/>
        <v>-9.1425674210832142E-2</v>
      </c>
      <c r="Y46" s="3">
        <f t="shared" si="64"/>
        <v>0.12323724928619631</v>
      </c>
      <c r="Z46" s="51">
        <f t="shared" si="65"/>
        <v>2.8954141969063475E-2</v>
      </c>
      <c r="AA46" s="51">
        <f t="shared" si="67"/>
        <v>5.4050333739313781E-3</v>
      </c>
      <c r="AC46" s="2"/>
      <c r="AD46" s="2"/>
      <c r="AE46" s="2"/>
      <c r="AF46" s="2"/>
      <c r="AG46" s="2"/>
      <c r="AL46" s="43" t="s">
        <v>195</v>
      </c>
      <c r="AM46" s="18">
        <v>0.72273577373999998</v>
      </c>
      <c r="AN46" s="18">
        <v>1.8332496E-5</v>
      </c>
      <c r="AO46" s="18">
        <v>1.2122557E-4</v>
      </c>
      <c r="AP46" s="18">
        <v>1.20609096926829E-6</v>
      </c>
      <c r="AQ46" s="18">
        <v>5.3789098912697902E-7</v>
      </c>
      <c r="AR46" s="2">
        <v>2.0933968830587299E-7</v>
      </c>
      <c r="AS46">
        <v>15</v>
      </c>
      <c r="AT46">
        <v>2</v>
      </c>
    </row>
    <row r="47" spans="1:46" x14ac:dyDescent="0.2">
      <c r="A47">
        <f>ROW()</f>
        <v>47</v>
      </c>
      <c r="B47" s="164" t="s">
        <v>52</v>
      </c>
      <c r="C47" s="122">
        <f>AM47</f>
        <v>0.24111372548000001</v>
      </c>
      <c r="D47" s="122">
        <f t="shared" si="51"/>
        <v>-1.3362689139999999E-7</v>
      </c>
      <c r="E47" s="122">
        <f t="shared" si="52"/>
        <v>4.3268307E-5</v>
      </c>
      <c r="F47" s="122">
        <f t="shared" si="53"/>
        <v>1.97092898066336E-7</v>
      </c>
      <c r="G47" s="122">
        <f t="shared" si="54"/>
        <v>1.4973376477913E-7</v>
      </c>
      <c r="H47" s="122">
        <f t="shared" si="55"/>
        <v>1.2004908434053099E-7</v>
      </c>
      <c r="I47" s="124">
        <v>21.54</v>
      </c>
      <c r="J47" s="125">
        <f t="shared" si="56"/>
        <v>40.209089315946727</v>
      </c>
      <c r="K47" s="124">
        <f t="shared" si="57"/>
        <v>2.010454465797336</v>
      </c>
      <c r="L47" s="122">
        <v>10</v>
      </c>
      <c r="M47" s="126">
        <v>6</v>
      </c>
      <c r="N47" s="126">
        <v>0.83382000000000001</v>
      </c>
      <c r="O47" s="126">
        <v>0.2</v>
      </c>
      <c r="P47" s="126">
        <v>0.1</v>
      </c>
      <c r="Q47" s="126">
        <v>1</v>
      </c>
      <c r="R47" s="52">
        <f>Q47*D47/C47/N47</f>
        <v>-6.646601237347808E-7</v>
      </c>
      <c r="S47" s="52">
        <f>Q47*E47/C47/N47</f>
        <v>2.1521654798006083E-4</v>
      </c>
      <c r="T47" s="19">
        <f>M47*N47*O47/(P47*U47*L47)</f>
        <v>0.99987815358824694</v>
      </c>
      <c r="U47" s="19">
        <f t="shared" si="61"/>
        <v>1.0007059324270862</v>
      </c>
      <c r="V47" s="52">
        <f t="shared" si="66"/>
        <v>7.7923097257736945E-5</v>
      </c>
      <c r="W47" s="19">
        <f>R47+T47</f>
        <v>0.99987748892812323</v>
      </c>
      <c r="X47" s="3">
        <f>1000*(W47-1)</f>
        <v>-0.12251107187677412</v>
      </c>
      <c r="Y47" s="3">
        <f>1000*(S47-V47)</f>
        <v>0.13729345072232388</v>
      </c>
      <c r="Z47" t="s">
        <v>68</v>
      </c>
      <c r="AA47" t="s">
        <v>67</v>
      </c>
      <c r="AB47" t="s">
        <v>66</v>
      </c>
      <c r="AD47" s="2"/>
      <c r="AE47" s="2"/>
      <c r="AF47" s="2"/>
      <c r="AG47" s="2"/>
      <c r="AL47" s="43" t="s">
        <v>195</v>
      </c>
      <c r="AM47" s="18">
        <v>0.24111372548000001</v>
      </c>
      <c r="AN47" s="18">
        <v>-1.3362689139999999E-7</v>
      </c>
      <c r="AO47" s="18">
        <v>4.3268307E-5</v>
      </c>
      <c r="AP47" s="18">
        <v>1.97092898066336E-7</v>
      </c>
      <c r="AQ47" s="18">
        <v>1.4973376477913E-7</v>
      </c>
      <c r="AR47" s="2">
        <v>1.2004908434053099E-7</v>
      </c>
      <c r="AS47">
        <v>13</v>
      </c>
      <c r="AT47">
        <v>2</v>
      </c>
    </row>
    <row r="48" spans="1:46" x14ac:dyDescent="0.2">
      <c r="A48">
        <f>ROW()</f>
        <v>48</v>
      </c>
      <c r="B48" s="164" t="s">
        <v>193</v>
      </c>
      <c r="C48" s="122">
        <f t="shared" ref="C48:C49" si="68">AM48</f>
        <v>0.24133191141999999</v>
      </c>
      <c r="D48" s="122">
        <f t="shared" si="51"/>
        <v>-2.6025395E-4</v>
      </c>
      <c r="E48" s="122">
        <f t="shared" si="52"/>
        <v>3.3018220000000003E-5</v>
      </c>
      <c r="F48" s="122">
        <f t="shared" si="53"/>
        <v>1.23674300868718E-7</v>
      </c>
      <c r="G48" s="122">
        <f t="shared" si="54"/>
        <v>1.3770580053142399E-7</v>
      </c>
      <c r="H48" s="122">
        <f t="shared" si="55"/>
        <v>1.5922795608811901E-7</v>
      </c>
      <c r="I48" s="124">
        <v>21.54</v>
      </c>
      <c r="J48" s="125">
        <f t="shared" si="56"/>
        <v>40.245474876044874</v>
      </c>
      <c r="K48" s="124">
        <f t="shared" si="57"/>
        <v>2.0122737438022438</v>
      </c>
      <c r="L48" s="122">
        <v>10</v>
      </c>
      <c r="M48" s="122">
        <v>6</v>
      </c>
      <c r="N48" s="126">
        <v>0.83382000000000001</v>
      </c>
      <c r="O48" s="126">
        <v>0.2</v>
      </c>
      <c r="P48" s="126">
        <v>0.1</v>
      </c>
      <c r="Q48" s="126">
        <v>1</v>
      </c>
      <c r="R48" s="52">
        <f>Q48*D48/C48/N48</f>
        <v>-1.2933327326939293E-3</v>
      </c>
      <c r="S48" s="52">
        <f>Q48*E48/C48/N48</f>
        <v>1.6408413667223632E-4</v>
      </c>
      <c r="T48" s="19">
        <f>M48*N48*O48/(P48*U48*L48)</f>
        <v>0.99987815358824694</v>
      </c>
      <c r="U48" s="19">
        <f>$AA$16</f>
        <v>1.0007059324270862</v>
      </c>
      <c r="V48" s="52">
        <f t="shared" si="66"/>
        <v>7.7923097257736945E-5</v>
      </c>
      <c r="W48" s="19">
        <f>R48+T48</f>
        <v>0.998584820855553</v>
      </c>
      <c r="X48" s="44">
        <f>1000*(W48-1)</f>
        <v>-1.4151791444469985</v>
      </c>
      <c r="Y48" s="44">
        <f>1000*(S48-V48)</f>
        <v>8.6161039414499374E-2</v>
      </c>
      <c r="Z48" s="43"/>
      <c r="AA48" s="46">
        <f>100*-(X48-X47)/1000</f>
        <v>0.12926680725702244</v>
      </c>
      <c r="AB48" s="46">
        <f>100*-(Y48-Y47)/1000</f>
        <v>5.1132411307824501E-3</v>
      </c>
      <c r="AC48" s="5"/>
      <c r="AD48" s="2"/>
      <c r="AE48" s="3"/>
      <c r="AF48" s="2"/>
      <c r="AG48" s="2"/>
      <c r="AL48" s="43" t="s">
        <v>195</v>
      </c>
      <c r="AM48" s="18">
        <v>0.24133191141999999</v>
      </c>
      <c r="AN48" s="18">
        <v>-2.6025395E-4</v>
      </c>
      <c r="AO48" s="18">
        <v>3.3018220000000003E-5</v>
      </c>
      <c r="AP48" s="18">
        <v>1.23674300868718E-7</v>
      </c>
      <c r="AQ48" s="18">
        <v>1.3770580053142399E-7</v>
      </c>
      <c r="AR48" s="2">
        <v>1.5922795608811901E-7</v>
      </c>
      <c r="AS48">
        <v>16</v>
      </c>
      <c r="AT48">
        <v>2</v>
      </c>
    </row>
    <row r="49" spans="1:46" x14ac:dyDescent="0.2">
      <c r="A49">
        <f>ROW()</f>
        <v>49</v>
      </c>
      <c r="B49" s="164" t="s">
        <v>283</v>
      </c>
      <c r="C49" s="122">
        <f t="shared" si="68"/>
        <v>0.24143034074</v>
      </c>
      <c r="D49" s="122">
        <f t="shared" si="51"/>
        <v>-3.8948131999999999E-7</v>
      </c>
      <c r="E49" s="122">
        <f t="shared" si="52"/>
        <v>3.6028609000000001E-5</v>
      </c>
      <c r="F49" s="122">
        <f t="shared" si="53"/>
        <v>3.1634450199722503E-8</v>
      </c>
      <c r="G49" s="122">
        <f t="shared" si="54"/>
        <v>1.3243437399632201E-7</v>
      </c>
      <c r="H49" s="122">
        <f t="shared" si="55"/>
        <v>1.3358825778862499E-7</v>
      </c>
      <c r="I49" s="124">
        <v>21.54</v>
      </c>
      <c r="J49" s="125">
        <f t="shared" ref="J49" si="69">100*C49/0.5*N49</f>
        <v>40.261889343165358</v>
      </c>
      <c r="K49" s="124">
        <f t="shared" ref="K49" si="70">C49/P49*N49</f>
        <v>2.0130944671582678</v>
      </c>
      <c r="L49" s="122">
        <v>10</v>
      </c>
      <c r="M49" s="122">
        <v>6</v>
      </c>
      <c r="N49" s="126">
        <v>0.83382000000000001</v>
      </c>
      <c r="O49" s="126">
        <v>0.2</v>
      </c>
      <c r="P49" s="126">
        <v>0.1</v>
      </c>
      <c r="Q49" s="126">
        <v>1</v>
      </c>
      <c r="R49" s="52">
        <f>Q49*D49/C49/N49</f>
        <v>-1.9347394091733859E-6</v>
      </c>
      <c r="S49" s="52">
        <f>Q49*E49/C49/N49</f>
        <v>1.7897127823742341E-4</v>
      </c>
      <c r="T49" s="19">
        <f>M49*N49*O49/(P49*U49*L49)</f>
        <v>0.99987815358824694</v>
      </c>
      <c r="U49" s="19">
        <f>$AA$16</f>
        <v>1.0007059324270862</v>
      </c>
      <c r="V49" s="52">
        <f t="shared" si="66"/>
        <v>7.7923097257736945E-5</v>
      </c>
      <c r="W49" s="19">
        <f>R49+T49</f>
        <v>0.99987621884883782</v>
      </c>
      <c r="X49" s="44">
        <f>1000*(W49-1)</f>
        <v>-0.12378115116218336</v>
      </c>
      <c r="Y49" s="44">
        <f>1000*(S49-V49)</f>
        <v>0.10104818097968646</v>
      </c>
      <c r="Z49" s="43"/>
      <c r="AA49" s="46">
        <f>100*-(X49-X47)/1000</f>
        <v>1.2700792854092313E-4</v>
      </c>
      <c r="AB49" s="46">
        <f>100*-(Y49-Y47)/1000</f>
        <v>3.624526974263742E-3</v>
      </c>
      <c r="AC49" s="5"/>
      <c r="AL49" s="43" t="s">
        <v>195</v>
      </c>
      <c r="AM49">
        <v>0.24143034074</v>
      </c>
      <c r="AN49" s="18">
        <v>-3.8948131999999999E-7</v>
      </c>
      <c r="AO49" s="18">
        <v>3.6028609000000001E-5</v>
      </c>
      <c r="AP49" s="18">
        <v>3.1634450199722503E-8</v>
      </c>
      <c r="AQ49" s="18">
        <v>1.3243437399632201E-7</v>
      </c>
      <c r="AR49" s="18">
        <v>1.3358825778862499E-7</v>
      </c>
      <c r="AS49">
        <v>13</v>
      </c>
      <c r="AT49">
        <v>2</v>
      </c>
    </row>
    <row r="50" spans="1:46" x14ac:dyDescent="0.2">
      <c r="D50" s="18"/>
      <c r="F50" s="18"/>
      <c r="G50" s="18"/>
      <c r="H50" s="18"/>
      <c r="I50" s="2"/>
      <c r="J50" s="17"/>
      <c r="K50" s="2"/>
      <c r="R50" s="52"/>
      <c r="S50" s="52"/>
      <c r="T50" s="19"/>
      <c r="U50" s="19"/>
      <c r="V50" s="19"/>
      <c r="W50" s="19"/>
      <c r="X50" s="44"/>
      <c r="Y50" s="42"/>
      <c r="Z50" s="43"/>
      <c r="AA50" s="43"/>
      <c r="AB50" s="43"/>
      <c r="AC50" s="5"/>
    </row>
    <row r="51" spans="1:46" x14ac:dyDescent="0.2">
      <c r="A51">
        <f>ROW()</f>
        <v>51</v>
      </c>
      <c r="B51" s="45" t="s">
        <v>215</v>
      </c>
      <c r="D51" s="18"/>
      <c r="F51" s="18"/>
      <c r="G51" s="18"/>
      <c r="H51" s="18"/>
      <c r="J51" s="18"/>
      <c r="L51" s="18"/>
      <c r="M51" s="18"/>
      <c r="N51" s="18"/>
      <c r="R51" s="52"/>
      <c r="S51" s="52"/>
      <c r="T51" s="19"/>
      <c r="U51" s="19"/>
      <c r="V51" s="19"/>
      <c r="W51" s="19"/>
      <c r="X51" s="2"/>
      <c r="Y51" s="2"/>
      <c r="AA51" s="3"/>
      <c r="AB51" t="s">
        <v>64</v>
      </c>
    </row>
    <row r="52" spans="1:46" x14ac:dyDescent="0.2">
      <c r="A52">
        <f>ROW()</f>
        <v>52</v>
      </c>
      <c r="C52" s="5" t="str">
        <f>B56&amp;" range, "&amp;B58&amp;", vs shunts and 500 AT on "&amp;B60&amp;" range."</f>
        <v>30/5 range, l - 1200At(5A), vs shunts and 500 AT on 50/5 range.</v>
      </c>
      <c r="F52" s="18"/>
      <c r="G52" s="18"/>
      <c r="H52" s="18"/>
      <c r="J52" s="5" t="s">
        <v>182</v>
      </c>
      <c r="L52" s="18"/>
      <c r="M52" s="18"/>
      <c r="N52" s="18"/>
      <c r="R52" s="50"/>
      <c r="S52" s="50"/>
      <c r="X52" s="19"/>
      <c r="Y52" s="19"/>
      <c r="Z52" t="s">
        <v>63</v>
      </c>
      <c r="AA52" t="s">
        <v>63</v>
      </c>
      <c r="AB52" t="s">
        <v>65</v>
      </c>
      <c r="AF52" s="176"/>
      <c r="AG52" s="177" t="s">
        <v>218</v>
      </c>
      <c r="AH52" s="176">
        <f>Calculations!K3</f>
        <v>0.6</v>
      </c>
      <c r="AI52" s="176" t="s">
        <v>14</v>
      </c>
      <c r="AJ52" s="5" t="s">
        <v>219</v>
      </c>
    </row>
    <row r="53" spans="1:46" x14ac:dyDescent="0.2">
      <c r="A53">
        <f>ROW()</f>
        <v>53</v>
      </c>
      <c r="B53" s="4">
        <v>43383</v>
      </c>
      <c r="I53" s="2"/>
      <c r="J53" s="17"/>
      <c r="K53" s="2"/>
      <c r="L53" s="18"/>
      <c r="M53" s="18"/>
      <c r="N53" s="18"/>
      <c r="R53" s="52"/>
      <c r="S53" s="52"/>
      <c r="T53" s="19"/>
      <c r="U53" s="19"/>
      <c r="V53" s="19"/>
      <c r="W53" s="19"/>
      <c r="X53" t="s">
        <v>6</v>
      </c>
      <c r="Y53" t="s">
        <v>7</v>
      </c>
      <c r="Z53" t="s">
        <v>61</v>
      </c>
      <c r="AA53" t="s">
        <v>62</v>
      </c>
      <c r="AB53" t="s">
        <v>6</v>
      </c>
      <c r="AC53" t="s">
        <v>7</v>
      </c>
      <c r="AF53" s="59"/>
      <c r="AG53" s="176" t="s">
        <v>5</v>
      </c>
      <c r="AH53" s="176" t="s">
        <v>3</v>
      </c>
      <c r="AI53" s="59"/>
    </row>
    <row r="54" spans="1:46" x14ac:dyDescent="0.2">
      <c r="A54">
        <f>ROW()</f>
        <v>54</v>
      </c>
      <c r="B54" s="43" t="s">
        <v>51</v>
      </c>
      <c r="C54" s="18">
        <f t="shared" ref="C54:C60" si="71">AM54</f>
        <v>2.9913531992E-2</v>
      </c>
      <c r="D54" s="18">
        <f t="shared" ref="D54:D60" si="72">AN54</f>
        <v>-2.4998987999999999E-6</v>
      </c>
      <c r="E54" s="18">
        <f t="shared" ref="E54:E60" si="73">AO54</f>
        <v>1.0905928999999999E-5</v>
      </c>
      <c r="F54" s="18">
        <f t="shared" ref="F54:F60" si="74">AP54</f>
        <v>2.6476681319403201E-8</v>
      </c>
      <c r="G54" s="18">
        <f t="shared" ref="G54:G60" si="75">AQ54</f>
        <v>8.2951849458345405E-8</v>
      </c>
      <c r="H54" s="18">
        <f t="shared" ref="H54:H60" si="76">AR54</f>
        <v>1.0757388836980801E-7</v>
      </c>
      <c r="I54" s="2">
        <v>20.94</v>
      </c>
      <c r="J54" s="17">
        <f>100*C54/0.5*N54</f>
        <v>4.9885002491138879</v>
      </c>
      <c r="K54" s="2">
        <f>C54/P54*N54</f>
        <v>0.24942501245569437</v>
      </c>
      <c r="L54">
        <v>10</v>
      </c>
      <c r="M54">
        <v>6</v>
      </c>
      <c r="N54">
        <v>0.83382000000000001</v>
      </c>
      <c r="O54">
        <v>0.2</v>
      </c>
      <c r="P54">
        <v>0.1</v>
      </c>
      <c r="Q54">
        <v>1</v>
      </c>
      <c r="R54" s="52">
        <f t="shared" ref="R54:R60" si="77">Q54*D54/C54/N54</f>
        <v>-1.002264678825689E-4</v>
      </c>
      <c r="S54" s="52">
        <f t="shared" ref="S54:S60" si="78">Q54*E54/C54/N54</f>
        <v>4.3724279664763893E-4</v>
      </c>
      <c r="T54" s="19">
        <f t="shared" ref="T54:T60" si="79">M54*N54*O54/(P54*U54*L54)</f>
        <v>0.99987815358824694</v>
      </c>
      <c r="U54" s="19">
        <f t="shared" ref="U54:U60" si="80">$AA$16</f>
        <v>1.0007059324270862</v>
      </c>
      <c r="V54" s="52">
        <f>AA$17</f>
        <v>1.1927894179369755E-4</v>
      </c>
      <c r="W54" s="19">
        <f t="shared" ref="W54:W60" si="81">R54+T54</f>
        <v>0.9997779271203644</v>
      </c>
      <c r="X54" s="2">
        <f t="shared" ref="X54:X60" si="82">1000*(W54-1)</f>
        <v>-0.22207287963560418</v>
      </c>
      <c r="Y54" s="2">
        <f t="shared" ref="Y54:Y60" si="83">1000*(S54-V54)</f>
        <v>0.31796385485394135</v>
      </c>
      <c r="Z54" s="51">
        <f t="shared" ref="Z54:Z60" si="84">((C54*N54)^2/P54-$AB$10)*$Z$28*0.001</f>
        <v>-7.706575570528728E-4</v>
      </c>
      <c r="AA54" s="51">
        <f>(C54^2/O54-$Z$10)*$AB$5*0.001</f>
        <v>-9.6287117127848932E-5</v>
      </c>
      <c r="AB54" s="2">
        <f>0.5*(X54+X62)+AA54-Z54</f>
        <v>-0.22973471918148333</v>
      </c>
      <c r="AC54" s="2">
        <f t="shared" ref="AC54:AC60" si="85">0.5*(Y54+Y62)</f>
        <v>0.33629938856407737</v>
      </c>
      <c r="AF54" s="59"/>
      <c r="AG54" s="178">
        <f>(AB54-AB32)*($AA$48-$AH$52)/($AA$48-$AA$70)</f>
        <v>-9.3965562224815433E-2</v>
      </c>
      <c r="AH54" s="178">
        <f>(Y54-Y32)*($AA$48-$AH$52)/($AA$48-$AA$70)</f>
        <v>0.15274237099012025</v>
      </c>
      <c r="AI54" s="59"/>
      <c r="AL54" s="43" t="s">
        <v>194</v>
      </c>
      <c r="AM54" s="18">
        <v>2.9913531992E-2</v>
      </c>
      <c r="AN54" s="18">
        <v>-2.4998987999999999E-6</v>
      </c>
      <c r="AO54" s="18">
        <v>1.0905928999999999E-5</v>
      </c>
      <c r="AP54" s="18">
        <v>2.6476681319403201E-8</v>
      </c>
      <c r="AQ54" s="18">
        <v>8.2951849458345405E-8</v>
      </c>
      <c r="AR54" s="2">
        <v>1.0757388836980801E-7</v>
      </c>
      <c r="AS54">
        <v>12</v>
      </c>
      <c r="AT54">
        <v>2</v>
      </c>
    </row>
    <row r="55" spans="1:46" x14ac:dyDescent="0.2">
      <c r="A55">
        <f>ROW()</f>
        <v>55</v>
      </c>
      <c r="B55" s="5" t="s">
        <v>110</v>
      </c>
      <c r="C55" s="18">
        <f t="shared" si="71"/>
        <v>5.9987968904000002E-2</v>
      </c>
      <c r="D55" s="18">
        <f t="shared" si="72"/>
        <v>-5.1321749999999997E-6</v>
      </c>
      <c r="E55" s="18">
        <f t="shared" si="73"/>
        <v>2.0717994000000001E-5</v>
      </c>
      <c r="F55" s="18">
        <f t="shared" si="74"/>
        <v>3.2556369520504902E-8</v>
      </c>
      <c r="G55" s="18">
        <f t="shared" si="75"/>
        <v>1.15436099072171E-7</v>
      </c>
      <c r="H55" s="18">
        <f t="shared" si="76"/>
        <v>1.21324993978982E-7</v>
      </c>
      <c r="I55" s="2">
        <v>20.94</v>
      </c>
      <c r="J55" s="17">
        <f t="shared" ref="J55:J60" si="86">100*C55/0.5*N55</f>
        <v>10.003833646306656</v>
      </c>
      <c r="K55" s="2">
        <f t="shared" ref="K55:K60" si="87">C55/P55*N55</f>
        <v>0.50019168231533284</v>
      </c>
      <c r="L55">
        <v>10</v>
      </c>
      <c r="M55">
        <v>6</v>
      </c>
      <c r="N55">
        <v>0.83382000000000001</v>
      </c>
      <c r="O55">
        <v>0.2</v>
      </c>
      <c r="P55">
        <v>0.1</v>
      </c>
      <c r="Q55">
        <v>1</v>
      </c>
      <c r="R55" s="52">
        <f t="shared" si="77"/>
        <v>-1.0260416519210637E-4</v>
      </c>
      <c r="S55" s="52">
        <f t="shared" si="78"/>
        <v>4.1420108995212924E-4</v>
      </c>
      <c r="T55" s="19">
        <f t="shared" si="79"/>
        <v>0.99987815358824694</v>
      </c>
      <c r="U55" s="19">
        <f t="shared" si="80"/>
        <v>1.0007059324270862</v>
      </c>
      <c r="V55" s="52">
        <f t="shared" ref="V55:V60" si="88">AA$17</f>
        <v>1.1927894179369755E-4</v>
      </c>
      <c r="W55" s="19">
        <f t="shared" si="81"/>
        <v>0.9997755494230548</v>
      </c>
      <c r="X55" s="2">
        <f t="shared" si="82"/>
        <v>-0.22445057694520099</v>
      </c>
      <c r="Y55" s="2">
        <f t="shared" si="83"/>
        <v>0.29492214815843171</v>
      </c>
      <c r="Z55" s="51">
        <f t="shared" si="84"/>
        <v>-6.1653404582812554E-4</v>
      </c>
      <c r="AA55" s="51">
        <f t="shared" ref="AA55:AA60" si="89">(C55^2/O55-$Z$10)*$AB$5*0.001</f>
        <v>-6.7762691598595334E-5</v>
      </c>
      <c r="AB55" s="2">
        <f t="shared" ref="AB55:AB60" si="90">0.5*(X55+X63)+AA55-Z55</f>
        <v>-0.23134193362990946</v>
      </c>
      <c r="AC55" s="2">
        <f t="shared" si="85"/>
        <v>0.30982849024614173</v>
      </c>
      <c r="AF55" s="59"/>
      <c r="AG55" s="178">
        <f t="shared" ref="AG55:AH55" si="91">(X55-X33)*($AA$48-$AH$52)/($AA$48-$AA$70)</f>
        <v>-9.4126467113707424E-2</v>
      </c>
      <c r="AH55" s="178">
        <f t="shared" si="91"/>
        <v>0.13810959756647398</v>
      </c>
      <c r="AI55" s="59"/>
      <c r="AL55" s="43" t="s">
        <v>194</v>
      </c>
      <c r="AM55" s="18">
        <v>5.9987968904000002E-2</v>
      </c>
      <c r="AN55" s="18">
        <v>-5.1321749999999997E-6</v>
      </c>
      <c r="AO55" s="18">
        <v>2.0717994000000001E-5</v>
      </c>
      <c r="AP55" s="18">
        <v>3.2556369520504902E-8</v>
      </c>
      <c r="AQ55" s="18">
        <v>1.15436099072171E-7</v>
      </c>
      <c r="AR55" s="2">
        <v>1.21324993978982E-7</v>
      </c>
      <c r="AS55">
        <v>12</v>
      </c>
      <c r="AT55">
        <v>2</v>
      </c>
    </row>
    <row r="56" spans="1:46" x14ac:dyDescent="0.2">
      <c r="A56">
        <f>ROW()</f>
        <v>56</v>
      </c>
      <c r="B56" s="64" t="s">
        <v>113</v>
      </c>
      <c r="C56" s="18">
        <f t="shared" si="71"/>
        <v>0.120033232</v>
      </c>
      <c r="D56" s="18">
        <f t="shared" si="72"/>
        <v>-1.0610226E-5</v>
      </c>
      <c r="E56" s="18">
        <f t="shared" si="73"/>
        <v>3.8717790000000003E-5</v>
      </c>
      <c r="F56" s="18">
        <f t="shared" si="74"/>
        <v>1.5295380008390398E-8</v>
      </c>
      <c r="G56" s="18">
        <f t="shared" si="75"/>
        <v>1.40910103697357E-7</v>
      </c>
      <c r="H56" s="18">
        <f t="shared" si="76"/>
        <v>9.3233099809027095E-8</v>
      </c>
      <c r="I56" s="2">
        <v>20.94</v>
      </c>
      <c r="J56" s="17">
        <f t="shared" si="86"/>
        <v>20.017221901248</v>
      </c>
      <c r="K56" s="2">
        <f t="shared" si="87"/>
        <v>1.0008610950624</v>
      </c>
      <c r="L56">
        <v>10</v>
      </c>
      <c r="M56">
        <v>6</v>
      </c>
      <c r="N56">
        <v>0.83382000000000001</v>
      </c>
      <c r="O56">
        <v>0.2</v>
      </c>
      <c r="P56">
        <v>0.1</v>
      </c>
      <c r="Q56">
        <v>1</v>
      </c>
      <c r="R56" s="52">
        <f t="shared" si="77"/>
        <v>-1.0601097447332081E-4</v>
      </c>
      <c r="S56" s="52">
        <f t="shared" si="78"/>
        <v>3.8684478986153513E-4</v>
      </c>
      <c r="T56" s="19">
        <f t="shared" si="79"/>
        <v>0.99987815358824694</v>
      </c>
      <c r="U56" s="19">
        <f t="shared" si="80"/>
        <v>1.0007059324270862</v>
      </c>
      <c r="V56" s="52">
        <f t="shared" si="88"/>
        <v>1.1927894179369755E-4</v>
      </c>
      <c r="W56" s="19">
        <f t="shared" si="81"/>
        <v>0.99977214261377367</v>
      </c>
      <c r="X56" s="2">
        <f t="shared" si="82"/>
        <v>-0.22785738622632667</v>
      </c>
      <c r="Y56" s="2">
        <f t="shared" si="83"/>
        <v>0.26756584806783756</v>
      </c>
      <c r="Z56" s="51">
        <f t="shared" si="84"/>
        <v>-3.5510111761100719E-7</v>
      </c>
      <c r="AA56" s="51">
        <f t="shared" si="89"/>
        <v>4.6276693316916426E-5</v>
      </c>
      <c r="AB56" s="2">
        <f t="shared" si="90"/>
        <v>-0.23525018270264231</v>
      </c>
      <c r="AC56" s="2">
        <f t="shared" si="85"/>
        <v>0.27999408514804408</v>
      </c>
      <c r="AF56" s="59"/>
      <c r="AG56" s="178">
        <f t="shared" ref="AG56:AH56" si="92">(X56-X34)*($AA$48-$AH$52)/($AA$48-$AA$70)</f>
        <v>-9.5600502619257621E-2</v>
      </c>
      <c r="AH56" s="178">
        <f t="shared" si="92"/>
        <v>0.12115703808513031</v>
      </c>
      <c r="AI56" s="59"/>
      <c r="AL56" s="43" t="s">
        <v>194</v>
      </c>
      <c r="AM56" s="18">
        <v>0.120033232</v>
      </c>
      <c r="AN56" s="18">
        <v>-1.0610226E-5</v>
      </c>
      <c r="AO56" s="18">
        <v>3.8717790000000003E-5</v>
      </c>
      <c r="AP56" s="18">
        <v>1.5295380008390398E-8</v>
      </c>
      <c r="AQ56" s="18">
        <v>1.40910103697357E-7</v>
      </c>
      <c r="AR56" s="2">
        <v>9.3233099809027095E-8</v>
      </c>
      <c r="AS56">
        <v>13</v>
      </c>
      <c r="AT56">
        <v>2</v>
      </c>
    </row>
    <row r="57" spans="1:46" x14ac:dyDescent="0.2">
      <c r="A57">
        <f>ROW()</f>
        <v>57</v>
      </c>
      <c r="B57" s="67" t="s">
        <v>112</v>
      </c>
      <c r="C57" s="18">
        <f t="shared" si="71"/>
        <v>0.24039735851999999</v>
      </c>
      <c r="D57" s="18">
        <f t="shared" si="72"/>
        <v>-2.1058432999999998E-5</v>
      </c>
      <c r="E57" s="18">
        <f t="shared" si="73"/>
        <v>7.1247686000000001E-5</v>
      </c>
      <c r="F57" s="18">
        <f t="shared" si="74"/>
        <v>3.1803207469276898E-7</v>
      </c>
      <c r="G57" s="18">
        <f t="shared" si="75"/>
        <v>1.8518053950402001E-7</v>
      </c>
      <c r="H57" s="18">
        <f t="shared" si="76"/>
        <v>1.8005381974287599E-7</v>
      </c>
      <c r="I57" s="2">
        <v>20.94</v>
      </c>
      <c r="J57" s="17">
        <f t="shared" si="86"/>
        <v>40.089625096229277</v>
      </c>
      <c r="K57" s="2">
        <f t="shared" si="87"/>
        <v>2.0044812548114637</v>
      </c>
      <c r="L57">
        <v>10</v>
      </c>
      <c r="M57">
        <v>6</v>
      </c>
      <c r="N57">
        <v>0.83382000000000001</v>
      </c>
      <c r="O57">
        <v>0.2</v>
      </c>
      <c r="P57">
        <v>0.1</v>
      </c>
      <c r="Q57">
        <v>1</v>
      </c>
      <c r="R57" s="52">
        <f t="shared" si="77"/>
        <v>-1.0505677191768349E-4</v>
      </c>
      <c r="S57" s="52">
        <f t="shared" si="78"/>
        <v>3.5544201687583941E-4</v>
      </c>
      <c r="T57" s="19">
        <f t="shared" si="79"/>
        <v>0.99987815358824694</v>
      </c>
      <c r="U57" s="19">
        <f t="shared" si="80"/>
        <v>1.0007059324270862</v>
      </c>
      <c r="V57" s="52">
        <f t="shared" si="88"/>
        <v>1.1927894179369755E-4</v>
      </c>
      <c r="W57" s="19">
        <f t="shared" si="81"/>
        <v>0.99977309681632931</v>
      </c>
      <c r="X57" s="2">
        <f t="shared" si="82"/>
        <v>-0.22690318367069029</v>
      </c>
      <c r="Y57" s="2">
        <f t="shared" si="83"/>
        <v>0.23616307508214185</v>
      </c>
      <c r="Z57" s="51">
        <f t="shared" si="84"/>
        <v>2.4726394495262769E-3</v>
      </c>
      <c r="AA57" s="51">
        <f t="shared" si="89"/>
        <v>5.0396642756665743E-4</v>
      </c>
      <c r="AB57" s="2">
        <f t="shared" si="90"/>
        <v>-0.23573707082355214</v>
      </c>
      <c r="AC57" s="2">
        <f t="shared" si="85"/>
        <v>0.2468153136375604</v>
      </c>
      <c r="AF57" s="59"/>
      <c r="AG57" s="178">
        <f t="shared" ref="AG57:AH57" si="93">(X57-X35)*($AA$48-$AH$52)/($AA$48-$AA$70)</f>
        <v>-9.9378571599830531E-2</v>
      </c>
      <c r="AH57" s="178">
        <f t="shared" si="93"/>
        <v>0.10255241555666654</v>
      </c>
      <c r="AI57" s="59"/>
      <c r="AL57" s="43" t="s">
        <v>194</v>
      </c>
      <c r="AM57" s="18">
        <v>0.24039735851999999</v>
      </c>
      <c r="AN57" s="18">
        <v>-2.1058432999999998E-5</v>
      </c>
      <c r="AO57" s="18">
        <v>7.1247686000000001E-5</v>
      </c>
      <c r="AP57" s="18">
        <v>3.1803207469276898E-7</v>
      </c>
      <c r="AQ57" s="18">
        <v>1.8518053950402001E-7</v>
      </c>
      <c r="AR57" s="2">
        <v>1.8005381974287599E-7</v>
      </c>
      <c r="AS57">
        <v>14</v>
      </c>
      <c r="AT57">
        <v>2</v>
      </c>
    </row>
    <row r="58" spans="1:46" ht="13.5" x14ac:dyDescent="0.25">
      <c r="A58">
        <f>ROW()</f>
        <v>58</v>
      </c>
      <c r="B58" s="163" t="s">
        <v>181</v>
      </c>
      <c r="C58" s="18">
        <f t="shared" si="71"/>
        <v>0.36010682717999998</v>
      </c>
      <c r="D58" s="18">
        <f t="shared" si="72"/>
        <v>-2.9244874000000001E-5</v>
      </c>
      <c r="E58" s="18">
        <f t="shared" si="73"/>
        <v>1.004792E-4</v>
      </c>
      <c r="F58" s="18">
        <f t="shared" si="74"/>
        <v>8.1663224495927902E-7</v>
      </c>
      <c r="G58" s="18">
        <f t="shared" si="75"/>
        <v>9.6632858407479496E-8</v>
      </c>
      <c r="H58" s="18">
        <f t="shared" si="76"/>
        <v>1.5006865095682E-7</v>
      </c>
      <c r="I58" s="2">
        <v>20.93</v>
      </c>
      <c r="J58" s="17">
        <f t="shared" si="86"/>
        <v>60.052854927845516</v>
      </c>
      <c r="K58" s="2">
        <f t="shared" si="87"/>
        <v>3.0026427463922758</v>
      </c>
      <c r="L58">
        <v>10</v>
      </c>
      <c r="M58">
        <v>6</v>
      </c>
      <c r="N58">
        <v>0.83382000000000001</v>
      </c>
      <c r="O58">
        <v>0.2</v>
      </c>
      <c r="P58">
        <v>0.1</v>
      </c>
      <c r="Q58">
        <v>1</v>
      </c>
      <c r="R58" s="52">
        <f t="shared" si="77"/>
        <v>-9.739711470882839E-5</v>
      </c>
      <c r="S58" s="52">
        <f t="shared" si="78"/>
        <v>3.3463588074447877E-4</v>
      </c>
      <c r="T58" s="19">
        <f t="shared" si="79"/>
        <v>0.99987815358824694</v>
      </c>
      <c r="U58" s="19">
        <f t="shared" si="80"/>
        <v>1.0007059324270862</v>
      </c>
      <c r="V58" s="52">
        <f t="shared" si="88"/>
        <v>1.1927894179369755E-4</v>
      </c>
      <c r="W58" s="19">
        <f t="shared" si="81"/>
        <v>0.99978075647353815</v>
      </c>
      <c r="X58" s="2">
        <f t="shared" si="82"/>
        <v>-0.21924352646185419</v>
      </c>
      <c r="Y58" s="2">
        <f t="shared" si="83"/>
        <v>0.2153569389507812</v>
      </c>
      <c r="Z58" s="51">
        <f t="shared" si="84"/>
        <v>6.5704227622441751E-3</v>
      </c>
      <c r="AA58" s="51">
        <f t="shared" si="89"/>
        <v>1.2623641178982261E-3</v>
      </c>
      <c r="AB58" s="2">
        <f t="shared" si="90"/>
        <v>-0.23135413428065624</v>
      </c>
      <c r="AC58" s="2">
        <f t="shared" si="85"/>
        <v>0.22557390893206508</v>
      </c>
      <c r="AF58" s="59"/>
      <c r="AG58" s="178">
        <f t="shared" ref="AG58:AH58" si="94">(X58-X36)*($AA$48-$AH$52)/($AA$48-$AA$70)</f>
        <v>-0.1010756635673645</v>
      </c>
      <c r="AH58" s="178">
        <f t="shared" si="94"/>
        <v>9.0824543584334977E-2</v>
      </c>
      <c r="AI58" s="59"/>
      <c r="AL58" s="43" t="s">
        <v>194</v>
      </c>
      <c r="AM58" s="18">
        <v>0.36010682717999998</v>
      </c>
      <c r="AN58" s="18">
        <v>-2.9244874000000001E-5</v>
      </c>
      <c r="AO58" s="18">
        <v>1.004792E-4</v>
      </c>
      <c r="AP58" s="18">
        <v>8.1663224495927902E-7</v>
      </c>
      <c r="AQ58" s="18">
        <v>9.6632858407479496E-8</v>
      </c>
      <c r="AR58" s="2">
        <v>1.5006865095682E-7</v>
      </c>
      <c r="AS58">
        <v>14</v>
      </c>
      <c r="AT58">
        <v>2</v>
      </c>
    </row>
    <row r="59" spans="1:46" x14ac:dyDescent="0.2">
      <c r="A59">
        <f>ROW()</f>
        <v>59</v>
      </c>
      <c r="B59" s="66" t="s">
        <v>111</v>
      </c>
      <c r="C59" s="18">
        <f t="shared" si="71"/>
        <v>0.60012211585999997</v>
      </c>
      <c r="D59" s="18">
        <f t="shared" si="72"/>
        <v>-3.9762341999999999E-5</v>
      </c>
      <c r="E59" s="18">
        <f t="shared" si="73"/>
        <v>1.5729673E-4</v>
      </c>
      <c r="F59" s="18">
        <f t="shared" si="74"/>
        <v>1.1994450959053699E-6</v>
      </c>
      <c r="G59" s="18">
        <f t="shared" si="75"/>
        <v>4.8940076382858197E-7</v>
      </c>
      <c r="H59" s="18">
        <f t="shared" si="76"/>
        <v>6.4514954630690102E-7</v>
      </c>
      <c r="I59" s="2">
        <v>20.93</v>
      </c>
      <c r="J59" s="17">
        <f t="shared" si="86"/>
        <v>100.07876452927704</v>
      </c>
      <c r="K59" s="2">
        <f t="shared" si="87"/>
        <v>5.003938226463851</v>
      </c>
      <c r="L59">
        <v>10</v>
      </c>
      <c r="M59">
        <v>6</v>
      </c>
      <c r="N59">
        <v>0.83382000000000001</v>
      </c>
      <c r="O59">
        <v>0.2</v>
      </c>
      <c r="P59">
        <v>0.1</v>
      </c>
      <c r="Q59">
        <v>1</v>
      </c>
      <c r="R59" s="52">
        <f t="shared" si="77"/>
        <v>-7.9462096054089317E-5</v>
      </c>
      <c r="S59" s="52">
        <f t="shared" si="78"/>
        <v>3.14345866957589E-4</v>
      </c>
      <c r="T59" s="19">
        <f t="shared" si="79"/>
        <v>0.99987815358824694</v>
      </c>
      <c r="U59" s="19">
        <f t="shared" si="80"/>
        <v>1.0007059324270862</v>
      </c>
      <c r="V59" s="52">
        <f t="shared" si="88"/>
        <v>1.1927894179369755E-4</v>
      </c>
      <c r="W59" s="19">
        <f t="shared" si="81"/>
        <v>0.9997986914921928</v>
      </c>
      <c r="X59" s="2">
        <f t="shared" si="82"/>
        <v>-0.20130850780719634</v>
      </c>
      <c r="Y59" s="2">
        <f t="shared" si="83"/>
        <v>0.19506692516389143</v>
      </c>
      <c r="Z59" s="51">
        <f t="shared" si="84"/>
        <v>1.970808663817554E-2</v>
      </c>
      <c r="AA59" s="51">
        <f t="shared" si="89"/>
        <v>3.6938186823540445E-3</v>
      </c>
      <c r="AB59" s="2">
        <f t="shared" si="90"/>
        <v>-0.223307074323986</v>
      </c>
      <c r="AC59" s="2">
        <f t="shared" si="85"/>
        <v>0.20353546651499238</v>
      </c>
      <c r="AF59" s="59"/>
      <c r="AG59" s="178">
        <f t="shared" ref="AG59:AH59" si="95">(X59-X37)*($AA$48-$AH$52)/($AA$48-$AA$70)</f>
        <v>-0.10347531770882398</v>
      </c>
      <c r="AH59" s="178">
        <f t="shared" si="95"/>
        <v>7.9703707845963978E-2</v>
      </c>
      <c r="AI59" s="59"/>
      <c r="AL59" s="43" t="s">
        <v>194</v>
      </c>
      <c r="AM59" s="18">
        <v>0.60012211585999997</v>
      </c>
      <c r="AN59" s="18">
        <v>-3.9762341999999999E-5</v>
      </c>
      <c r="AO59" s="18">
        <v>1.5729673E-4</v>
      </c>
      <c r="AP59" s="18">
        <v>1.1994450959053699E-6</v>
      </c>
      <c r="AQ59" s="18">
        <v>4.8940076382858197E-7</v>
      </c>
      <c r="AR59" s="2">
        <v>6.4514954630690102E-7</v>
      </c>
      <c r="AS59">
        <v>15</v>
      </c>
      <c r="AT59">
        <v>2</v>
      </c>
    </row>
    <row r="60" spans="1:46" x14ac:dyDescent="0.2">
      <c r="A60">
        <f>ROW()</f>
        <v>60</v>
      </c>
      <c r="B60" s="65" t="s">
        <v>114</v>
      </c>
      <c r="C60" s="18">
        <f t="shared" si="71"/>
        <v>0.72024924615999997</v>
      </c>
      <c r="D60" s="18">
        <f t="shared" si="72"/>
        <v>-3.9923869000000001E-5</v>
      </c>
      <c r="E60" s="18">
        <f t="shared" si="73"/>
        <v>1.8327139E-4</v>
      </c>
      <c r="F60" s="18">
        <f t="shared" si="74"/>
        <v>5.5637056487464096E-6</v>
      </c>
      <c r="G60" s="18">
        <f t="shared" si="75"/>
        <v>5.36761831484878E-7</v>
      </c>
      <c r="H60" s="18">
        <f t="shared" si="76"/>
        <v>6.0897103206967001E-7</v>
      </c>
      <c r="I60" s="2">
        <v>20.93</v>
      </c>
      <c r="J60" s="17">
        <f t="shared" si="86"/>
        <v>120.11164528662623</v>
      </c>
      <c r="K60" s="2">
        <f t="shared" si="87"/>
        <v>6.0055822643313119</v>
      </c>
      <c r="L60">
        <v>10</v>
      </c>
      <c r="M60">
        <v>6</v>
      </c>
      <c r="N60">
        <v>0.83382000000000001</v>
      </c>
      <c r="O60">
        <v>0.2</v>
      </c>
      <c r="P60">
        <v>0.1</v>
      </c>
      <c r="Q60">
        <v>1</v>
      </c>
      <c r="R60" s="52">
        <f t="shared" si="77"/>
        <v>-6.6477932101801458E-5</v>
      </c>
      <c r="S60" s="52">
        <f t="shared" si="78"/>
        <v>3.051683948923581E-4</v>
      </c>
      <c r="T60" s="19">
        <f t="shared" si="79"/>
        <v>0.99987815358824694</v>
      </c>
      <c r="U60" s="19">
        <f t="shared" si="80"/>
        <v>1.0007059324270862</v>
      </c>
      <c r="V60" s="52">
        <f t="shared" si="88"/>
        <v>1.1927894179369755E-4</v>
      </c>
      <c r="W60" s="19">
        <f t="shared" si="81"/>
        <v>0.99981167565614515</v>
      </c>
      <c r="X60" s="2">
        <f t="shared" si="82"/>
        <v>-0.18832434385485097</v>
      </c>
      <c r="Y60" s="2">
        <f t="shared" si="83"/>
        <v>0.18588945309866053</v>
      </c>
      <c r="Z60" s="51">
        <f t="shared" si="84"/>
        <v>2.8749610776441246E-2</v>
      </c>
      <c r="AA60" s="51">
        <f t="shared" si="89"/>
        <v>5.367179741309065E-3</v>
      </c>
      <c r="AB60" s="2">
        <f t="shared" si="90"/>
        <v>-0.2178719620301223</v>
      </c>
      <c r="AC60" s="2">
        <f t="shared" si="85"/>
        <v>0.19302998019839718</v>
      </c>
      <c r="AF60" s="59"/>
      <c r="AG60" s="178">
        <f t="shared" ref="AG60:AH60" si="96">(X60-X38)*($AA$48-$AH$52)/($AA$48-$AA$70)</f>
        <v>-0.10295861730144262</v>
      </c>
      <c r="AH60" s="178">
        <f t="shared" si="96"/>
        <v>7.2729308664942857E-2</v>
      </c>
      <c r="AI60" s="59"/>
      <c r="AL60" s="43" t="s">
        <v>194</v>
      </c>
      <c r="AM60" s="18">
        <v>0.72024924615999997</v>
      </c>
      <c r="AN60" s="18">
        <v>-3.9923869000000001E-5</v>
      </c>
      <c r="AO60" s="18">
        <v>1.8327139E-4</v>
      </c>
      <c r="AP60" s="18">
        <v>5.5637056487464096E-6</v>
      </c>
      <c r="AQ60" s="18">
        <v>5.36761831484878E-7</v>
      </c>
      <c r="AR60" s="2">
        <v>6.0897103206967001E-7</v>
      </c>
      <c r="AS60">
        <v>15</v>
      </c>
      <c r="AT60">
        <v>2</v>
      </c>
    </row>
    <row r="61" spans="1:46" x14ac:dyDescent="0.2">
      <c r="A61">
        <f>ROW()</f>
        <v>61</v>
      </c>
      <c r="D61" s="18"/>
      <c r="F61" s="18"/>
      <c r="G61" s="18"/>
      <c r="H61" s="18"/>
      <c r="I61" s="2"/>
      <c r="J61" s="17"/>
      <c r="K61" s="2"/>
      <c r="R61" s="52"/>
      <c r="S61" s="52"/>
      <c r="T61" s="19"/>
      <c r="U61" s="19"/>
      <c r="V61" s="52"/>
      <c r="W61" s="19"/>
      <c r="X61" s="2"/>
      <c r="Y61" s="2"/>
      <c r="AA61" s="2"/>
      <c r="AB61" s="2"/>
      <c r="AN61" s="18"/>
      <c r="AO61" s="18"/>
      <c r="AP61" s="18"/>
      <c r="AQ61" s="18"/>
      <c r="AR61" s="2"/>
    </row>
    <row r="62" spans="1:46" x14ac:dyDescent="0.2">
      <c r="A62">
        <f>ROW()</f>
        <v>62</v>
      </c>
      <c r="B62" s="43" t="s">
        <v>52</v>
      </c>
      <c r="C62" s="18">
        <f t="shared" ref="C62:C68" si="97">AM62</f>
        <v>2.9890239751999999E-2</v>
      </c>
      <c r="D62" s="18">
        <f t="shared" ref="D62:D71" si="98">AN62</f>
        <v>-2.9134802999999998E-6</v>
      </c>
      <c r="E62" s="18">
        <f t="shared" ref="E62:E71" si="99">AO62</f>
        <v>1.0780678E-5</v>
      </c>
      <c r="F62" s="18">
        <f t="shared" ref="F62:F71" si="100">AP62</f>
        <v>4.3173540164235697E-8</v>
      </c>
      <c r="G62" s="18">
        <f t="shared" ref="G62:G71" si="101">AQ62</f>
        <v>2.02576819140073E-7</v>
      </c>
      <c r="H62" s="18">
        <f t="shared" ref="H62:H71" si="102">AR62</f>
        <v>2.1849938561927399E-7</v>
      </c>
      <c r="I62" s="2">
        <v>20.95</v>
      </c>
      <c r="J62" s="17">
        <f t="shared" ref="J62:J71" si="103">100*C62/0.5*N62</f>
        <v>4.9846159420025282</v>
      </c>
      <c r="K62" s="2">
        <f t="shared" ref="K62:K71" si="104">C62/P62*N62</f>
        <v>0.24923079710012638</v>
      </c>
      <c r="L62">
        <v>10</v>
      </c>
      <c r="M62">
        <v>6</v>
      </c>
      <c r="N62">
        <v>0.83382000000000001</v>
      </c>
      <c r="O62">
        <v>0.2</v>
      </c>
      <c r="P62">
        <v>0.1</v>
      </c>
      <c r="Q62">
        <v>1</v>
      </c>
      <c r="R62" s="52">
        <f t="shared" ref="R62:R68" si="105">Q62*D62/C62/N62</f>
        <v>-1.1689888785411754E-4</v>
      </c>
      <c r="S62" s="52">
        <f t="shared" ref="S62:S68" si="106">Q62*E62/C62/N62</f>
        <v>4.3255801953195026E-4</v>
      </c>
      <c r="T62" s="19">
        <f t="shared" ref="T62:T68" si="107">M62*N62*O62/(P62*U62*L62)</f>
        <v>0.99987815358824694</v>
      </c>
      <c r="U62" s="19">
        <f t="shared" ref="U62:U69" si="108">$AA$16</f>
        <v>1.0007059324270862</v>
      </c>
      <c r="V62" s="52">
        <f>$AA$26</f>
        <v>7.7923097257736945E-5</v>
      </c>
      <c r="W62" s="19">
        <f t="shared" ref="W62:W68" si="109">R62+T62</f>
        <v>0.99976125470039279</v>
      </c>
      <c r="X62" s="2">
        <f t="shared" ref="X62:X68" si="110">1000*(W62-1)</f>
        <v>-0.23874529960721258</v>
      </c>
      <c r="Y62" s="2">
        <f t="shared" ref="Y62:Y68" si="111">1000*(S62-V62)</f>
        <v>0.35463492227421334</v>
      </c>
      <c r="Z62" s="51">
        <f t="shared" ref="Z62:Z68" si="112">((C62*N62)^2/P62-$AB$10)*$Z$28*0.001</f>
        <v>-7.7073696139996306E-4</v>
      </c>
      <c r="AA62" s="51">
        <f>(C62^2/O62-$Z$10)*$AB$5*0.001</f>
        <v>-9.630181289598498E-5</v>
      </c>
      <c r="AL62" s="43" t="s">
        <v>195</v>
      </c>
      <c r="AM62" s="18">
        <v>2.9890239751999999E-2</v>
      </c>
      <c r="AN62" s="18">
        <v>-2.9134802999999998E-6</v>
      </c>
      <c r="AO62" s="18">
        <v>1.0780678E-5</v>
      </c>
      <c r="AP62" s="18">
        <v>4.3173540164235697E-8</v>
      </c>
      <c r="AQ62" s="18">
        <v>2.02576819140073E-7</v>
      </c>
      <c r="AR62" s="2">
        <v>2.1849938561927399E-7</v>
      </c>
      <c r="AS62">
        <v>12</v>
      </c>
      <c r="AT62">
        <v>2</v>
      </c>
    </row>
    <row r="63" spans="1:46" x14ac:dyDescent="0.2">
      <c r="A63">
        <f>ROW()</f>
        <v>63</v>
      </c>
      <c r="B63" s="43"/>
      <c r="C63" s="18">
        <f t="shared" si="97"/>
        <v>6.0036229688000001E-2</v>
      </c>
      <c r="D63" s="18">
        <f t="shared" si="98"/>
        <v>-5.8812007000000001E-6</v>
      </c>
      <c r="E63" s="18">
        <f t="shared" si="99"/>
        <v>2.0156817999999999E-5</v>
      </c>
      <c r="F63" s="18">
        <f t="shared" si="100"/>
        <v>1.8283088158549401E-8</v>
      </c>
      <c r="G63" s="18">
        <f t="shared" si="101"/>
        <v>1.39481586528509E-7</v>
      </c>
      <c r="H63" s="18">
        <f t="shared" si="102"/>
        <v>1.2985942505648199E-7</v>
      </c>
      <c r="I63" s="2">
        <v>20.96</v>
      </c>
      <c r="J63" s="17">
        <f t="shared" si="103"/>
        <v>10.011881807689633</v>
      </c>
      <c r="K63" s="2">
        <f t="shared" si="104"/>
        <v>0.50059409038448155</v>
      </c>
      <c r="L63">
        <v>10</v>
      </c>
      <c r="M63">
        <v>6</v>
      </c>
      <c r="N63">
        <v>0.83382000000000001</v>
      </c>
      <c r="O63">
        <v>0.2</v>
      </c>
      <c r="P63">
        <v>0.1</v>
      </c>
      <c r="Q63">
        <v>1</v>
      </c>
      <c r="R63" s="52">
        <f t="shared" si="105"/>
        <v>-1.1748442126999422E-4</v>
      </c>
      <c r="S63" s="52">
        <f t="shared" si="106"/>
        <v>4.0265792959158871E-4</v>
      </c>
      <c r="T63" s="19">
        <f t="shared" si="107"/>
        <v>0.99987815358824694</v>
      </c>
      <c r="U63" s="19">
        <f t="shared" si="108"/>
        <v>1.0007059324270862</v>
      </c>
      <c r="V63" s="52">
        <f t="shared" ref="V63:V71" si="113">$AA$26</f>
        <v>7.7923097257736945E-5</v>
      </c>
      <c r="W63" s="19">
        <f t="shared" si="109"/>
        <v>0.99976066916697692</v>
      </c>
      <c r="X63" s="2">
        <f t="shared" si="110"/>
        <v>-0.23933083302307701</v>
      </c>
      <c r="Y63" s="2">
        <f t="shared" si="111"/>
        <v>0.32473483233385175</v>
      </c>
      <c r="Z63" s="51">
        <f t="shared" si="112"/>
        <v>-6.1620385300071602E-4</v>
      </c>
      <c r="AA63" s="51">
        <f t="shared" ref="AA63:AA68" si="114">(C63^2/O63-$Z$10)*$AB$5*0.001</f>
        <v>-6.7701581125307442E-5</v>
      </c>
      <c r="AL63" s="43" t="s">
        <v>195</v>
      </c>
      <c r="AM63">
        <v>6.0036229688000001E-2</v>
      </c>
      <c r="AN63" s="18">
        <v>-5.8812007000000001E-6</v>
      </c>
      <c r="AO63" s="18">
        <v>2.0156817999999999E-5</v>
      </c>
      <c r="AP63" s="18">
        <v>1.8283088158549401E-8</v>
      </c>
      <c r="AQ63" s="18">
        <v>1.39481586528509E-7</v>
      </c>
      <c r="AR63" s="18">
        <v>1.2985942505648199E-7</v>
      </c>
      <c r="AS63">
        <v>12</v>
      </c>
      <c r="AT63">
        <v>2</v>
      </c>
    </row>
    <row r="64" spans="1:46" x14ac:dyDescent="0.2">
      <c r="A64">
        <f>ROW()</f>
        <v>64</v>
      </c>
      <c r="C64" s="18">
        <f t="shared" si="97"/>
        <v>0.12056966992</v>
      </c>
      <c r="D64" s="18">
        <f t="shared" si="98"/>
        <v>-1.2153466E-5</v>
      </c>
      <c r="E64" s="18">
        <f t="shared" si="99"/>
        <v>3.7232084999999998E-5</v>
      </c>
      <c r="F64" s="18">
        <f t="shared" si="100"/>
        <v>3.0876821296257203E-8</v>
      </c>
      <c r="G64" s="18">
        <f t="shared" si="101"/>
        <v>2.4255414002651001E-7</v>
      </c>
      <c r="H64" s="18">
        <f t="shared" si="102"/>
        <v>1.44968053291062E-7</v>
      </c>
      <c r="I64" s="2">
        <v>20.99</v>
      </c>
      <c r="J64" s="17">
        <f t="shared" si="103"/>
        <v>20.10668043453888</v>
      </c>
      <c r="K64" s="2">
        <f t="shared" si="104"/>
        <v>1.005334021726944</v>
      </c>
      <c r="L64">
        <v>10</v>
      </c>
      <c r="M64">
        <v>6</v>
      </c>
      <c r="N64">
        <v>0.83382000000000001</v>
      </c>
      <c r="O64">
        <v>0.2</v>
      </c>
      <c r="P64">
        <v>0.1</v>
      </c>
      <c r="Q64">
        <v>1</v>
      </c>
      <c r="R64" s="52">
        <f t="shared" si="105"/>
        <v>-1.2088983101480047E-4</v>
      </c>
      <c r="S64" s="52">
        <f t="shared" si="106"/>
        <v>3.7034541948598756E-4</v>
      </c>
      <c r="T64" s="19">
        <f t="shared" si="107"/>
        <v>0.99987815358824694</v>
      </c>
      <c r="U64" s="19">
        <f t="shared" si="108"/>
        <v>1.0007059324270862</v>
      </c>
      <c r="V64" s="52">
        <f t="shared" si="113"/>
        <v>7.7923097257736945E-5</v>
      </c>
      <c r="W64" s="19">
        <f t="shared" si="109"/>
        <v>0.99975726375723217</v>
      </c>
      <c r="X64" s="2">
        <f t="shared" si="110"/>
        <v>-0.24273624276782702</v>
      </c>
      <c r="Y64" s="2">
        <f t="shared" si="111"/>
        <v>0.2924223222282506</v>
      </c>
      <c r="Z64" s="51">
        <f t="shared" si="112"/>
        <v>7.0023058360981104E-6</v>
      </c>
      <c r="AA64" s="51">
        <f t="shared" si="114"/>
        <v>4.7638366205574247E-5</v>
      </c>
      <c r="AL64" s="43" t="s">
        <v>195</v>
      </c>
      <c r="AM64" s="18">
        <v>0.12056966992</v>
      </c>
      <c r="AN64" s="18">
        <v>-1.2153466E-5</v>
      </c>
      <c r="AO64" s="18">
        <v>3.7232084999999998E-5</v>
      </c>
      <c r="AP64" s="18">
        <v>3.0876821296257203E-8</v>
      </c>
      <c r="AQ64" s="18">
        <v>2.4255414002651001E-7</v>
      </c>
      <c r="AR64" s="18">
        <v>1.44968053291062E-7</v>
      </c>
      <c r="AS64">
        <v>13</v>
      </c>
      <c r="AT64">
        <v>2</v>
      </c>
    </row>
    <row r="65" spans="1:46" x14ac:dyDescent="0.2">
      <c r="A65">
        <f>ROW()</f>
        <v>65</v>
      </c>
      <c r="C65" s="18">
        <f t="shared" si="97"/>
        <v>0.24031959144000001</v>
      </c>
      <c r="D65" s="18">
        <f t="shared" si="98"/>
        <v>-2.3802969000000001E-5</v>
      </c>
      <c r="E65" s="18">
        <f t="shared" si="99"/>
        <v>6.7206679000000004E-5</v>
      </c>
      <c r="F65" s="18">
        <f t="shared" si="100"/>
        <v>9.9922855163155993E-9</v>
      </c>
      <c r="G65" s="18">
        <f t="shared" si="101"/>
        <v>1.4854323390515E-7</v>
      </c>
      <c r="H65" s="18">
        <f t="shared" si="102"/>
        <v>1.7252746696975499E-7</v>
      </c>
      <c r="I65" s="2">
        <v>21.02</v>
      </c>
      <c r="J65" s="17">
        <f t="shared" si="103"/>
        <v>40.076656346900165</v>
      </c>
      <c r="K65" s="2">
        <f t="shared" si="104"/>
        <v>2.0038328173450077</v>
      </c>
      <c r="L65">
        <v>10</v>
      </c>
      <c r="M65">
        <v>6</v>
      </c>
      <c r="N65">
        <v>0.83382000000000001</v>
      </c>
      <c r="O65">
        <v>0.2</v>
      </c>
      <c r="P65">
        <v>0.1</v>
      </c>
      <c r="Q65">
        <v>1</v>
      </c>
      <c r="R65" s="52">
        <f t="shared" si="105"/>
        <v>-1.1878720017939374E-4</v>
      </c>
      <c r="S65" s="52">
        <f t="shared" si="106"/>
        <v>3.3539064945071589E-4</v>
      </c>
      <c r="T65" s="19">
        <f t="shared" si="107"/>
        <v>0.99987815358824694</v>
      </c>
      <c r="U65" s="19">
        <f t="shared" si="108"/>
        <v>1.0007059324270862</v>
      </c>
      <c r="V65" s="52">
        <f t="shared" si="113"/>
        <v>7.7923097257736945E-5</v>
      </c>
      <c r="W65" s="19">
        <f t="shared" si="109"/>
        <v>0.99975936638806751</v>
      </c>
      <c r="X65" s="2">
        <f t="shared" si="110"/>
        <v>-0.24063361193249477</v>
      </c>
      <c r="Y65" s="2">
        <f t="shared" si="111"/>
        <v>0.25746755219297895</v>
      </c>
      <c r="Z65" s="51">
        <f t="shared" si="112"/>
        <v>2.4705084189780291E-3</v>
      </c>
      <c r="AA65" s="51">
        <f t="shared" si="114"/>
        <v>5.0357202685718085E-4</v>
      </c>
      <c r="AL65" s="43" t="s">
        <v>195</v>
      </c>
      <c r="AM65" s="18">
        <v>0.24031959144000001</v>
      </c>
      <c r="AN65" s="18">
        <v>-2.3802969000000001E-5</v>
      </c>
      <c r="AO65" s="18">
        <v>6.7206679000000004E-5</v>
      </c>
      <c r="AP65" s="18">
        <v>9.9922855163155993E-9</v>
      </c>
      <c r="AQ65" s="18">
        <v>1.4854323390515E-7</v>
      </c>
      <c r="AR65" s="18">
        <v>1.7252746696975499E-7</v>
      </c>
      <c r="AS65">
        <v>14</v>
      </c>
      <c r="AT65">
        <v>2</v>
      </c>
    </row>
    <row r="66" spans="1:46" x14ac:dyDescent="0.2">
      <c r="A66">
        <f>ROW()</f>
        <v>66</v>
      </c>
      <c r="C66" s="18">
        <f t="shared" si="97"/>
        <v>0.3606843596</v>
      </c>
      <c r="D66" s="18">
        <f t="shared" si="98"/>
        <v>-3.3383453000000001E-5</v>
      </c>
      <c r="E66" s="18">
        <f t="shared" si="99"/>
        <v>9.4348171000000006E-5</v>
      </c>
      <c r="F66" s="18">
        <f t="shared" si="100"/>
        <v>9.4061714405107397E-8</v>
      </c>
      <c r="G66" s="18">
        <f t="shared" si="101"/>
        <v>2.0167505966529399E-7</v>
      </c>
      <c r="H66" s="18">
        <f t="shared" si="102"/>
        <v>1.9277012128179999E-7</v>
      </c>
      <c r="I66" s="2">
        <v>21.04</v>
      </c>
      <c r="J66" s="17">
        <f t="shared" si="103"/>
        <v>60.149166544334406</v>
      </c>
      <c r="K66" s="2">
        <f t="shared" si="104"/>
        <v>3.0074583272167201</v>
      </c>
      <c r="L66">
        <v>10</v>
      </c>
      <c r="M66">
        <v>6</v>
      </c>
      <c r="N66">
        <v>0.83382000000000001</v>
      </c>
      <c r="O66">
        <v>0.2</v>
      </c>
      <c r="P66">
        <v>0.1</v>
      </c>
      <c r="Q66">
        <v>1</v>
      </c>
      <c r="R66" s="52">
        <f t="shared" si="105"/>
        <v>-1.1100221305774509E-4</v>
      </c>
      <c r="S66" s="52">
        <f t="shared" si="106"/>
        <v>3.1371397617108588E-4</v>
      </c>
      <c r="T66" s="19">
        <f t="shared" si="107"/>
        <v>0.99987815358824694</v>
      </c>
      <c r="U66" s="19">
        <f t="shared" si="108"/>
        <v>1.0007059324270862</v>
      </c>
      <c r="V66" s="52">
        <f t="shared" si="113"/>
        <v>7.7923097257736945E-5</v>
      </c>
      <c r="W66" s="19">
        <f t="shared" si="109"/>
        <v>0.99976715137518923</v>
      </c>
      <c r="X66" s="2">
        <f t="shared" si="110"/>
        <v>-0.2328486248107664</v>
      </c>
      <c r="Y66" s="2">
        <f t="shared" si="111"/>
        <v>0.23579087891334893</v>
      </c>
      <c r="Z66" s="51">
        <f t="shared" si="112"/>
        <v>6.5941523549374985E-3</v>
      </c>
      <c r="AA66" s="51">
        <f t="shared" si="114"/>
        <v>1.2667558748355125E-3</v>
      </c>
      <c r="AL66" s="43" t="s">
        <v>195</v>
      </c>
      <c r="AM66" s="18">
        <v>0.3606843596</v>
      </c>
      <c r="AN66" s="18">
        <v>-3.3383453000000001E-5</v>
      </c>
      <c r="AO66" s="18">
        <v>9.4348171000000006E-5</v>
      </c>
      <c r="AP66" s="18">
        <v>9.4061714405107397E-8</v>
      </c>
      <c r="AQ66" s="18">
        <v>2.0167505966529399E-7</v>
      </c>
      <c r="AR66" s="18">
        <v>1.9277012128179999E-7</v>
      </c>
      <c r="AS66">
        <v>14</v>
      </c>
      <c r="AT66">
        <v>2</v>
      </c>
    </row>
    <row r="67" spans="1:46" x14ac:dyDescent="0.2">
      <c r="A67">
        <f>ROW()</f>
        <v>67</v>
      </c>
      <c r="C67" s="18">
        <f t="shared" si="97"/>
        <v>0.59994506126000002</v>
      </c>
      <c r="D67" s="18">
        <f t="shared" si="98"/>
        <v>-4.5737856000000001E-5</v>
      </c>
      <c r="E67" s="18">
        <f t="shared" si="99"/>
        <v>1.4503492999999999E-4</v>
      </c>
      <c r="F67" s="18">
        <f t="shared" si="100"/>
        <v>1.8084119919220501E-6</v>
      </c>
      <c r="G67" s="18">
        <f t="shared" si="101"/>
        <v>4.9633135349683505E-7</v>
      </c>
      <c r="H67" s="18">
        <f t="shared" si="102"/>
        <v>7.4820628512463097E-7</v>
      </c>
      <c r="I67" s="2">
        <v>21.05</v>
      </c>
      <c r="J67" s="17">
        <f t="shared" si="103"/>
        <v>100.04923819596264</v>
      </c>
      <c r="K67" s="2">
        <f t="shared" si="104"/>
        <v>5.0024619097981313</v>
      </c>
      <c r="L67">
        <v>10</v>
      </c>
      <c r="M67">
        <v>6</v>
      </c>
      <c r="N67">
        <v>0.83382000000000001</v>
      </c>
      <c r="O67">
        <v>0.2</v>
      </c>
      <c r="P67">
        <v>0.1</v>
      </c>
      <c r="Q67">
        <v>1</v>
      </c>
      <c r="R67" s="52">
        <f t="shared" si="105"/>
        <v>-9.1430693176123933E-5</v>
      </c>
      <c r="S67" s="52">
        <f t="shared" si="106"/>
        <v>2.8992710512383031E-4</v>
      </c>
      <c r="T67" s="19">
        <f t="shared" si="107"/>
        <v>0.99987815358824694</v>
      </c>
      <c r="U67" s="19">
        <f t="shared" si="108"/>
        <v>1.0007059324270862</v>
      </c>
      <c r="V67" s="52">
        <f t="shared" si="113"/>
        <v>7.7923097257736945E-5</v>
      </c>
      <c r="W67" s="19">
        <f t="shared" si="109"/>
        <v>0.99978672289507087</v>
      </c>
      <c r="X67" s="2">
        <f t="shared" si="110"/>
        <v>-0.21327710492913265</v>
      </c>
      <c r="Y67" s="2">
        <f t="shared" si="111"/>
        <v>0.21200400786609336</v>
      </c>
      <c r="Z67" s="51">
        <f t="shared" si="112"/>
        <v>1.9695974600318814E-2</v>
      </c>
      <c r="AA67" s="51">
        <f t="shared" si="114"/>
        <v>3.6915770456361538E-3</v>
      </c>
      <c r="AL67" s="43" t="s">
        <v>195</v>
      </c>
      <c r="AM67" s="18">
        <v>0.59994506126000002</v>
      </c>
      <c r="AN67" s="18">
        <v>-4.5737856000000001E-5</v>
      </c>
      <c r="AO67" s="18">
        <v>1.4503492999999999E-4</v>
      </c>
      <c r="AP67" s="18">
        <v>1.8084119919220501E-6</v>
      </c>
      <c r="AQ67" s="18">
        <v>4.9633135349683505E-7</v>
      </c>
      <c r="AR67" s="18">
        <v>7.4820628512463097E-7</v>
      </c>
      <c r="AS67">
        <v>15</v>
      </c>
      <c r="AT67">
        <v>2</v>
      </c>
    </row>
    <row r="68" spans="1:46" x14ac:dyDescent="0.2">
      <c r="A68">
        <f>ROW()</f>
        <v>68</v>
      </c>
      <c r="C68" s="18">
        <f t="shared" si="97"/>
        <v>0.72110907907999999</v>
      </c>
      <c r="D68" s="18">
        <f t="shared" si="98"/>
        <v>-4.7385478000000002E-5</v>
      </c>
      <c r="E68" s="18">
        <f t="shared" si="99"/>
        <v>1.6721077999999999E-4</v>
      </c>
      <c r="F68" s="18">
        <f t="shared" si="100"/>
        <v>2.1419410820176E-6</v>
      </c>
      <c r="G68" s="18">
        <f t="shared" si="101"/>
        <v>6.9620568391532103E-7</v>
      </c>
      <c r="H68" s="18">
        <f t="shared" si="102"/>
        <v>9.5270591034169304E-7</v>
      </c>
      <c r="I68" s="2">
        <v>21.07</v>
      </c>
      <c r="J68" s="17">
        <f t="shared" si="103"/>
        <v>120.25503446369713</v>
      </c>
      <c r="K68" s="2">
        <f t="shared" si="104"/>
        <v>6.0127517231848557</v>
      </c>
      <c r="L68">
        <v>10</v>
      </c>
      <c r="M68">
        <v>6</v>
      </c>
      <c r="N68">
        <v>0.83382000000000001</v>
      </c>
      <c r="O68">
        <v>0.2</v>
      </c>
      <c r="P68">
        <v>0.1</v>
      </c>
      <c r="Q68">
        <v>1</v>
      </c>
      <c r="R68" s="52">
        <f t="shared" si="105"/>
        <v>-7.8808306382058106E-5</v>
      </c>
      <c r="S68" s="52">
        <f t="shared" si="106"/>
        <v>2.7809360455587079E-4</v>
      </c>
      <c r="T68" s="19">
        <f t="shared" si="107"/>
        <v>0.99987815358824694</v>
      </c>
      <c r="U68" s="19">
        <f t="shared" si="108"/>
        <v>1.0007059324270862</v>
      </c>
      <c r="V68" s="52">
        <f t="shared" si="113"/>
        <v>7.7923097257736945E-5</v>
      </c>
      <c r="W68" s="19">
        <f t="shared" si="109"/>
        <v>0.99979934528186487</v>
      </c>
      <c r="X68" s="2">
        <f t="shared" si="110"/>
        <v>-0.20065471813512925</v>
      </c>
      <c r="Y68" s="2">
        <f t="shared" si="111"/>
        <v>0.20017050729813385</v>
      </c>
      <c r="Z68" s="51">
        <f t="shared" si="112"/>
        <v>2.8820257248202669E-2</v>
      </c>
      <c r="AA68" s="51">
        <f t="shared" si="114"/>
        <v>5.3802546447202964E-3</v>
      </c>
      <c r="AL68" s="43" t="s">
        <v>195</v>
      </c>
      <c r="AM68" s="18">
        <v>0.72110907907999999</v>
      </c>
      <c r="AN68" s="18">
        <v>-4.7385478000000002E-5</v>
      </c>
      <c r="AO68" s="18">
        <v>1.6721077999999999E-4</v>
      </c>
      <c r="AP68" s="18">
        <v>2.1419410820176E-6</v>
      </c>
      <c r="AQ68" s="18">
        <v>6.9620568391532103E-7</v>
      </c>
      <c r="AR68" s="18">
        <v>9.5270591034169304E-7</v>
      </c>
      <c r="AS68">
        <v>15</v>
      </c>
      <c r="AT68">
        <v>2</v>
      </c>
    </row>
    <row r="69" spans="1:46" x14ac:dyDescent="0.2">
      <c r="A69">
        <f>ROW()</f>
        <v>69</v>
      </c>
      <c r="B69" s="164" t="s">
        <v>52</v>
      </c>
      <c r="C69" s="122">
        <f>AM69</f>
        <v>6.0479886907999998E-2</v>
      </c>
      <c r="D69" s="122">
        <f t="shared" si="98"/>
        <v>-5.4659146000000001E-6</v>
      </c>
      <c r="E69" s="122">
        <f t="shared" si="99"/>
        <v>2.0100660999999999E-5</v>
      </c>
      <c r="F69" s="122">
        <f t="shared" si="100"/>
        <v>6.9555238347079697E-8</v>
      </c>
      <c r="G69" s="122">
        <f t="shared" si="101"/>
        <v>1.0833259811728E-7</v>
      </c>
      <c r="H69" s="122">
        <f t="shared" si="102"/>
        <v>9.7405494603743905E-8</v>
      </c>
      <c r="I69" s="124">
        <v>21.09</v>
      </c>
      <c r="J69" s="125">
        <f t="shared" si="103"/>
        <v>10.085867860325711</v>
      </c>
      <c r="K69" s="124">
        <f t="shared" si="104"/>
        <v>0.50429339301628551</v>
      </c>
      <c r="L69" s="122">
        <v>10</v>
      </c>
      <c r="M69" s="122">
        <v>6</v>
      </c>
      <c r="N69" s="126">
        <v>0.83382000000000001</v>
      </c>
      <c r="O69" s="126">
        <v>0.2</v>
      </c>
      <c r="P69" s="126">
        <v>0.1</v>
      </c>
      <c r="Q69" s="126">
        <v>1</v>
      </c>
      <c r="R69" s="52">
        <f>Q69*D69/C69/N69</f>
        <v>-1.0838759094794416E-4</v>
      </c>
      <c r="S69" s="52">
        <f>Q69*E69/C69/N69</f>
        <v>3.9859060773677181E-4</v>
      </c>
      <c r="T69" s="19">
        <f>M69*N69*O69/(P69*U69*L69)</f>
        <v>0.99987815358824694</v>
      </c>
      <c r="U69" s="19">
        <f t="shared" si="108"/>
        <v>1.0007059324270862</v>
      </c>
      <c r="V69" s="52">
        <f t="shared" si="113"/>
        <v>7.7923097257736945E-5</v>
      </c>
      <c r="W69" s="19">
        <f>R69+T69</f>
        <v>0.99976976599729905</v>
      </c>
      <c r="X69" s="2">
        <f>1000*(W69-1)</f>
        <v>-0.23023400270094641</v>
      </c>
      <c r="Y69" s="2">
        <f>1000*(S69-V69)</f>
        <v>0.32066751047903486</v>
      </c>
      <c r="Z69" t="s">
        <v>68</v>
      </c>
      <c r="AA69" t="s">
        <v>67</v>
      </c>
      <c r="AB69" t="s">
        <v>66</v>
      </c>
      <c r="AL69" s="43" t="s">
        <v>195</v>
      </c>
      <c r="AM69" s="18">
        <v>6.0479886907999998E-2</v>
      </c>
      <c r="AN69" s="18">
        <v>-5.4659146000000001E-6</v>
      </c>
      <c r="AO69" s="18">
        <v>2.0100660999999999E-5</v>
      </c>
      <c r="AP69" s="18">
        <v>6.9555238347079697E-8</v>
      </c>
      <c r="AQ69" s="18">
        <v>1.0833259811728E-7</v>
      </c>
      <c r="AR69" s="18">
        <v>9.7405494603743905E-8</v>
      </c>
      <c r="AS69">
        <v>12</v>
      </c>
      <c r="AT69">
        <v>2</v>
      </c>
    </row>
    <row r="70" spans="1:46" x14ac:dyDescent="0.2">
      <c r="A70">
        <f>ROW()</f>
        <v>70</v>
      </c>
      <c r="B70" s="164" t="s">
        <v>193</v>
      </c>
      <c r="C70" s="122">
        <f t="shared" ref="C70:C71" si="115">AM70</f>
        <v>6.0641868538E-2</v>
      </c>
      <c r="D70" s="122">
        <f t="shared" si="98"/>
        <v>-3.1997896000000002E-4</v>
      </c>
      <c r="E70" s="122">
        <f t="shared" si="99"/>
        <v>-2.2609966999999998E-5</v>
      </c>
      <c r="F70" s="122">
        <f t="shared" si="100"/>
        <v>3.9670986789157099E-8</v>
      </c>
      <c r="G70" s="122">
        <f t="shared" si="101"/>
        <v>1.4597814356950999E-7</v>
      </c>
      <c r="H70" s="122">
        <f t="shared" si="102"/>
        <v>1.3005046101802201E-7</v>
      </c>
      <c r="I70" s="124">
        <v>21.11</v>
      </c>
      <c r="J70" s="125">
        <f t="shared" si="103"/>
        <v>10.112880564871032</v>
      </c>
      <c r="K70" s="124">
        <f t="shared" si="104"/>
        <v>0.50564402824355159</v>
      </c>
      <c r="L70" s="122">
        <v>10</v>
      </c>
      <c r="M70" s="122">
        <v>6</v>
      </c>
      <c r="N70" s="126">
        <v>0.83382000000000001</v>
      </c>
      <c r="O70" s="126">
        <v>0.2</v>
      </c>
      <c r="P70" s="126">
        <v>0.1</v>
      </c>
      <c r="Q70" s="126">
        <v>1</v>
      </c>
      <c r="R70" s="52">
        <f>Q70*D70/C70/N70</f>
        <v>-6.3281467223395543E-3</v>
      </c>
      <c r="S70" s="52">
        <f>Q70*E70/C70/N70</f>
        <v>-4.4715186449526386E-4</v>
      </c>
      <c r="T70" s="19">
        <f>M70*N70*O70/(P70*U70*L70)</f>
        <v>0.99987815358824694</v>
      </c>
      <c r="U70" s="19">
        <f>$AA$16</f>
        <v>1.0007059324270862</v>
      </c>
      <c r="V70" s="52">
        <f t="shared" si="113"/>
        <v>7.7923097257736945E-5</v>
      </c>
      <c r="W70" s="19">
        <f>R70+T70</f>
        <v>0.99355000686590744</v>
      </c>
      <c r="X70" s="2">
        <f>1000*(W70-1)</f>
        <v>-6.4499931340925576</v>
      </c>
      <c r="Y70" s="2">
        <f>1000*(S70-V70)</f>
        <v>-0.52507496175300072</v>
      </c>
      <c r="AA70" s="46">
        <f>100*-(X70-X69)/1000</f>
        <v>0.62197591313916112</v>
      </c>
      <c r="AB70" s="46">
        <f>100*-(Y70-Y69)/1000</f>
        <v>8.4574247223203558E-2</v>
      </c>
      <c r="AL70" s="43" t="s">
        <v>195</v>
      </c>
      <c r="AM70" s="18">
        <v>6.0641868538E-2</v>
      </c>
      <c r="AN70" s="18">
        <v>-3.1997896000000002E-4</v>
      </c>
      <c r="AO70" s="18">
        <v>-2.2609966999999998E-5</v>
      </c>
      <c r="AP70" s="18">
        <v>3.9670986789157099E-8</v>
      </c>
      <c r="AQ70" s="18">
        <v>1.4597814356950999E-7</v>
      </c>
      <c r="AR70" s="18">
        <v>1.3005046101802201E-7</v>
      </c>
      <c r="AS70">
        <v>16</v>
      </c>
      <c r="AT70">
        <v>2</v>
      </c>
    </row>
    <row r="71" spans="1:46" x14ac:dyDescent="0.2">
      <c r="B71" s="164" t="s">
        <v>283</v>
      </c>
      <c r="C71" s="122">
        <f t="shared" si="115"/>
        <v>6.0568999512000003E-2</v>
      </c>
      <c r="D71" s="122">
        <f t="shared" si="98"/>
        <v>-4.4494787999999997E-6</v>
      </c>
      <c r="E71" s="122">
        <f t="shared" si="99"/>
        <v>1.0974351E-5</v>
      </c>
      <c r="F71" s="122">
        <f t="shared" si="100"/>
        <v>5.44846494733502E-8</v>
      </c>
      <c r="G71" s="122">
        <f t="shared" si="101"/>
        <v>1.22396135758283E-7</v>
      </c>
      <c r="H71" s="122">
        <f t="shared" si="102"/>
        <v>8.9825400077038395E-8</v>
      </c>
      <c r="I71" s="124">
        <v>21.13</v>
      </c>
      <c r="J71" s="125">
        <f t="shared" si="103"/>
        <v>10.100728634619168</v>
      </c>
      <c r="K71" s="124">
        <f t="shared" si="104"/>
        <v>0.50503643173095836</v>
      </c>
      <c r="L71" s="122">
        <v>10</v>
      </c>
      <c r="M71" s="122">
        <v>6</v>
      </c>
      <c r="N71" s="126">
        <v>0.83382000000000001</v>
      </c>
      <c r="O71" s="126">
        <v>0.2</v>
      </c>
      <c r="P71" s="126">
        <v>0.1</v>
      </c>
      <c r="Q71" s="126">
        <v>1</v>
      </c>
      <c r="R71" s="52">
        <f>Q71*D71/C71/N71</f>
        <v>-8.8102135221213381E-5</v>
      </c>
      <c r="S71" s="52">
        <f>Q71*E71/C71/N71</f>
        <v>2.1729820485200612E-4</v>
      </c>
      <c r="T71" s="19">
        <f>M71*N71*O71/(P71*U71*L71)</f>
        <v>0.99987815358824694</v>
      </c>
      <c r="U71" s="19">
        <f>$AA$16</f>
        <v>1.0007059324270862</v>
      </c>
      <c r="V71" s="52">
        <f t="shared" si="113"/>
        <v>7.7923097257736945E-5</v>
      </c>
      <c r="W71" s="19">
        <f>R71+T71</f>
        <v>0.99979005145302569</v>
      </c>
      <c r="X71" s="2">
        <f>1000*(W71-1)</f>
        <v>-0.20994854697431453</v>
      </c>
      <c r="Y71" s="2">
        <f>1000*(S71-V71)</f>
        <v>0.13937510759426919</v>
      </c>
      <c r="AA71" s="46">
        <f>100*-(X71-X69)/1000</f>
        <v>-2.0285455726631874E-3</v>
      </c>
      <c r="AB71" s="46">
        <f>100*-(Y71-Y69)/1000</f>
        <v>1.8129240288476567E-2</v>
      </c>
      <c r="AL71" s="43" t="s">
        <v>195</v>
      </c>
      <c r="AM71">
        <v>6.0568999512000003E-2</v>
      </c>
      <c r="AN71" s="18">
        <v>-4.4494787999999997E-6</v>
      </c>
      <c r="AO71" s="18">
        <v>1.0974351E-5</v>
      </c>
      <c r="AP71" s="18">
        <v>5.44846494733502E-8</v>
      </c>
      <c r="AQ71" s="18">
        <v>1.22396135758283E-7</v>
      </c>
      <c r="AR71" s="18">
        <v>8.9825400077038395E-8</v>
      </c>
      <c r="AS71">
        <v>12</v>
      </c>
      <c r="AT71">
        <v>2</v>
      </c>
    </row>
    <row r="72" spans="1:46" x14ac:dyDescent="0.2">
      <c r="A72">
        <f>ROW()</f>
        <v>72</v>
      </c>
      <c r="F72" s="18"/>
      <c r="G72" s="18"/>
      <c r="H72" s="18"/>
      <c r="I72" s="2"/>
      <c r="J72" s="17"/>
      <c r="K72" s="2"/>
      <c r="R72" s="52"/>
      <c r="S72" s="52"/>
      <c r="T72" s="19"/>
      <c r="U72" s="19"/>
      <c r="V72" s="19"/>
      <c r="W72" s="19"/>
      <c r="X72" s="2"/>
      <c r="Y72" s="2"/>
      <c r="AA72" s="43"/>
      <c r="AB72" s="43"/>
    </row>
    <row r="73" spans="1:46" x14ac:dyDescent="0.2">
      <c r="A73">
        <f>ROW()</f>
        <v>73</v>
      </c>
      <c r="B73" s="45" t="s">
        <v>217</v>
      </c>
      <c r="F73" s="18"/>
      <c r="G73" s="18"/>
      <c r="H73" s="18"/>
      <c r="J73" s="17"/>
      <c r="K73" s="2"/>
      <c r="R73" s="52"/>
      <c r="S73" s="52"/>
      <c r="T73" s="19"/>
      <c r="U73" s="19"/>
      <c r="V73" s="19"/>
      <c r="W73" s="19"/>
      <c r="X73" s="2"/>
      <c r="Y73" s="2"/>
      <c r="AA73" s="3"/>
      <c r="AB73" t="s">
        <v>64</v>
      </c>
      <c r="AE73" s="170" t="s">
        <v>202</v>
      </c>
    </row>
    <row r="74" spans="1:46" x14ac:dyDescent="0.2">
      <c r="A74">
        <f>ROW()</f>
        <v>74</v>
      </c>
      <c r="C74" s="5" t="str">
        <f>B78&amp;" range, "&amp;B80&amp;", vs shunts and 500 AT on "&amp;B82&amp;" range."</f>
        <v>30/5 range, l - 1200At(5A), vs shunts and 500 AT on 50/5 range.</v>
      </c>
      <c r="G74" s="18"/>
      <c r="J74" s="5" t="s">
        <v>53</v>
      </c>
      <c r="R74" s="50"/>
      <c r="S74" s="50"/>
      <c r="X74" s="19"/>
      <c r="Y74" s="19"/>
      <c r="Z74" t="s">
        <v>63</v>
      </c>
      <c r="AA74" t="s">
        <v>63</v>
      </c>
      <c r="AB74" t="s">
        <v>65</v>
      </c>
      <c r="AE74" s="170" t="s">
        <v>203</v>
      </c>
    </row>
    <row r="75" spans="1:46" x14ac:dyDescent="0.2">
      <c r="A75">
        <f>ROW()</f>
        <v>75</v>
      </c>
      <c r="B75" s="4">
        <v>43383</v>
      </c>
      <c r="E75" s="18"/>
      <c r="F75" s="18"/>
      <c r="G75" s="18"/>
      <c r="H75" s="18"/>
      <c r="R75" s="50"/>
      <c r="S75" s="50"/>
      <c r="X75" t="s">
        <v>6</v>
      </c>
      <c r="Y75" t="s">
        <v>7</v>
      </c>
      <c r="Z75" t="s">
        <v>61</v>
      </c>
      <c r="AA75" t="s">
        <v>62</v>
      </c>
      <c r="AB75" t="s">
        <v>6</v>
      </c>
      <c r="AC75" t="s">
        <v>7</v>
      </c>
      <c r="AE75" s="170" t="s">
        <v>204</v>
      </c>
    </row>
    <row r="76" spans="1:46" x14ac:dyDescent="0.2">
      <c r="A76">
        <f>ROW()</f>
        <v>76</v>
      </c>
      <c r="B76" s="43" t="s">
        <v>51</v>
      </c>
      <c r="C76" s="18">
        <f t="shared" ref="C76:C82" si="116">AM76</f>
        <v>2.9899836249999999E-2</v>
      </c>
      <c r="D76" s="18">
        <f t="shared" ref="D76:D82" si="117">AN76</f>
        <v>-2.0060331499999999E-7</v>
      </c>
      <c r="E76" s="18">
        <f t="shared" ref="E76:E82" si="118">AO76</f>
        <v>7.0438966E-6</v>
      </c>
      <c r="F76" s="18">
        <f t="shared" ref="F76:F82" si="119">AP76</f>
        <v>3.4943388745287801E-8</v>
      </c>
      <c r="G76" s="18">
        <f t="shared" ref="G76:G82" si="120">AQ76</f>
        <v>1.35239956759614E-7</v>
      </c>
      <c r="H76" s="18">
        <f t="shared" ref="H76:H82" si="121">AR76</f>
        <v>1.3519009862575E-7</v>
      </c>
      <c r="I76" s="2">
        <v>21.01</v>
      </c>
      <c r="J76" s="17">
        <f>100*C76/0.5*N76</f>
        <v>4.9862162923949995</v>
      </c>
      <c r="K76" s="2">
        <f>C76/P76*N76</f>
        <v>0.24931081461974997</v>
      </c>
      <c r="L76">
        <v>10</v>
      </c>
      <c r="M76">
        <v>6</v>
      </c>
      <c r="N76">
        <v>0.83382000000000001</v>
      </c>
      <c r="O76">
        <v>0.2</v>
      </c>
      <c r="P76">
        <v>0.1</v>
      </c>
      <c r="Q76">
        <v>1</v>
      </c>
      <c r="R76" s="52">
        <f t="shared" ref="R76:R82" si="122">Q76*D76/C76/N76</f>
        <v>-8.0463142084695004E-6</v>
      </c>
      <c r="S76" s="52">
        <f t="shared" ref="S76:S82" si="123">Q76*E76/C76/N76</f>
        <v>2.8253473924680659E-4</v>
      </c>
      <c r="T76" s="19">
        <f t="shared" ref="T76:T82" si="124">M76*N76*O76/(P76*U76*L76)</f>
        <v>0.99987815358824694</v>
      </c>
      <c r="U76" s="19">
        <f t="shared" ref="U76:U82" si="125">$AA$16</f>
        <v>1.0007059324270862</v>
      </c>
      <c r="V76" s="52">
        <f>AA$17</f>
        <v>1.1927894179369755E-4</v>
      </c>
      <c r="W76" s="19">
        <f t="shared" ref="W76:W82" si="126">R76+T76</f>
        <v>0.99987010727403847</v>
      </c>
      <c r="X76" s="2">
        <f t="shared" ref="X76:X82" si="127">1000*(W76-1)</f>
        <v>-0.12989272596153345</v>
      </c>
      <c r="Y76" s="2">
        <f t="shared" ref="Y76:Y82" si="128">1000*(S76-V76)</f>
        <v>0.16325579745310903</v>
      </c>
      <c r="Z76" s="51">
        <f t="shared" ref="Z76:Z82" si="129">((C76*N76)^2/P76-$AB$10)*$Z$28*0.001</f>
        <v>-7.7070425397677991E-4</v>
      </c>
      <c r="AA76" s="51">
        <f>(C76^2/O76-$Z$10)*$AB$5*0.001</f>
        <v>-9.629575956609764E-5</v>
      </c>
      <c r="AB76" s="2">
        <f>0.5*(X76+X84)+AA76-Z76</f>
        <v>-0.13279468999707925</v>
      </c>
      <c r="AC76" s="2">
        <f t="shared" ref="AC76:AC82" si="130">0.5*(Y76+Y84)</f>
        <v>0.17551920573816848</v>
      </c>
      <c r="AE76" s="168">
        <v>1.4950000000000001</v>
      </c>
      <c r="AL76" s="43" t="s">
        <v>194</v>
      </c>
      <c r="AM76" s="18">
        <v>2.9899836249999999E-2</v>
      </c>
      <c r="AN76" s="18">
        <v>-2.0060331499999999E-7</v>
      </c>
      <c r="AO76" s="18">
        <v>7.0438966E-6</v>
      </c>
      <c r="AP76" s="18">
        <v>3.4943388745287801E-8</v>
      </c>
      <c r="AQ76" s="18">
        <v>1.35239956759614E-7</v>
      </c>
      <c r="AR76" s="18">
        <v>1.3519009862575E-7</v>
      </c>
      <c r="AS76">
        <v>11</v>
      </c>
      <c r="AT76">
        <v>2</v>
      </c>
    </row>
    <row r="77" spans="1:46" x14ac:dyDescent="0.2">
      <c r="A77">
        <f>ROW()</f>
        <v>77</v>
      </c>
      <c r="B77" s="5" t="s">
        <v>110</v>
      </c>
      <c r="C77" s="18">
        <f t="shared" si="116"/>
        <v>6.0312632105999998E-2</v>
      </c>
      <c r="D77" s="18">
        <f t="shared" si="117"/>
        <v>-5.2538070499999997E-7</v>
      </c>
      <c r="E77" s="18">
        <f t="shared" si="118"/>
        <v>1.3821748999999999E-5</v>
      </c>
      <c r="F77" s="18">
        <f t="shared" si="119"/>
        <v>3.3118182797347898E-8</v>
      </c>
      <c r="G77" s="18">
        <f t="shared" si="120"/>
        <v>2.8027465861368502E-7</v>
      </c>
      <c r="H77" s="18">
        <f t="shared" si="121"/>
        <v>2.10957148963954E-7</v>
      </c>
      <c r="I77" s="2">
        <v>21</v>
      </c>
      <c r="J77" s="17">
        <f t="shared" ref="J77:J82" si="131">100*C77/0.5*N77</f>
        <v>10.057975780524984</v>
      </c>
      <c r="K77" s="2">
        <f t="shared" ref="K77:K82" si="132">C77/P77*N77</f>
        <v>0.50289878902624918</v>
      </c>
      <c r="L77">
        <v>10</v>
      </c>
      <c r="M77">
        <v>6</v>
      </c>
      <c r="N77">
        <v>0.83382000000000001</v>
      </c>
      <c r="O77">
        <v>0.2</v>
      </c>
      <c r="P77">
        <v>0.1</v>
      </c>
      <c r="Q77">
        <v>1</v>
      </c>
      <c r="R77" s="52">
        <f t="shared" si="122"/>
        <v>-1.0447046532310845E-5</v>
      </c>
      <c r="S77" s="52">
        <f t="shared" si="123"/>
        <v>2.7484156457729237E-4</v>
      </c>
      <c r="T77" s="19">
        <f t="shared" si="124"/>
        <v>0.99987815358824694</v>
      </c>
      <c r="U77" s="19">
        <f t="shared" si="125"/>
        <v>1.0007059324270862</v>
      </c>
      <c r="V77" s="52">
        <f t="shared" ref="V77:V82" si="133">AA$17</f>
        <v>1.1927894179369755E-4</v>
      </c>
      <c r="W77" s="19">
        <f t="shared" si="126"/>
        <v>0.99986770654171464</v>
      </c>
      <c r="X77" s="2">
        <f t="shared" si="127"/>
        <v>-0.13229345828535966</v>
      </c>
      <c r="Y77" s="2">
        <f t="shared" si="128"/>
        <v>0.15556262278359481</v>
      </c>
      <c r="Z77" s="51">
        <f t="shared" si="129"/>
        <v>-6.1430763496628064E-4</v>
      </c>
      <c r="AA77" s="51">
        <f t="shared" ref="AA77:AA82" si="134">(C77^2/O77-$Z$10)*$AB$5*0.001</f>
        <v>-6.7350638367251472E-5</v>
      </c>
      <c r="AB77" s="2">
        <f t="shared" ref="AB77:AB82" si="135">0.5*(X77+X85)+AA77-Z77</f>
        <v>-0.13567884425706531</v>
      </c>
      <c r="AC77" s="2">
        <f t="shared" si="130"/>
        <v>0.1654874849288212</v>
      </c>
      <c r="AE77" s="168">
        <v>3.016</v>
      </c>
      <c r="AL77" s="43" t="s">
        <v>194</v>
      </c>
      <c r="AM77" s="18">
        <v>6.0312632105999998E-2</v>
      </c>
      <c r="AN77" s="18">
        <v>-5.2538070499999997E-7</v>
      </c>
      <c r="AO77" s="18">
        <v>1.3821748999999999E-5</v>
      </c>
      <c r="AP77" s="18">
        <v>3.3118182797347898E-8</v>
      </c>
      <c r="AQ77" s="18">
        <v>2.8027465861368502E-7</v>
      </c>
      <c r="AR77" s="18">
        <v>2.10957148963954E-7</v>
      </c>
      <c r="AS77">
        <v>12</v>
      </c>
      <c r="AT77">
        <v>2</v>
      </c>
    </row>
    <row r="78" spans="1:46" x14ac:dyDescent="0.2">
      <c r="A78">
        <f>ROW()</f>
        <v>78</v>
      </c>
      <c r="B78" s="64" t="s">
        <v>113</v>
      </c>
      <c r="C78" s="18">
        <f t="shared" si="116"/>
        <v>0.12017525665999999</v>
      </c>
      <c r="D78" s="18">
        <f t="shared" si="117"/>
        <v>-1.1151160499999999E-6</v>
      </c>
      <c r="E78" s="18">
        <f t="shared" si="118"/>
        <v>2.6457219999999999E-5</v>
      </c>
      <c r="F78" s="18">
        <f t="shared" si="119"/>
        <v>2.5343667671392601E-8</v>
      </c>
      <c r="G78" s="18">
        <f t="shared" si="120"/>
        <v>3.0655568830394802E-7</v>
      </c>
      <c r="H78" s="18">
        <f t="shared" si="121"/>
        <v>5.6504291518432498E-7</v>
      </c>
      <c r="I78" s="2">
        <v>21</v>
      </c>
      <c r="J78" s="17">
        <f t="shared" si="131"/>
        <v>20.040906501648237</v>
      </c>
      <c r="K78" s="2">
        <f t="shared" si="132"/>
        <v>1.002045325082412</v>
      </c>
      <c r="L78">
        <v>10</v>
      </c>
      <c r="M78">
        <v>6</v>
      </c>
      <c r="N78">
        <v>0.83382000000000001</v>
      </c>
      <c r="O78">
        <v>0.2</v>
      </c>
      <c r="P78">
        <v>0.1</v>
      </c>
      <c r="Q78">
        <v>1</v>
      </c>
      <c r="R78" s="52">
        <f t="shared" si="122"/>
        <v>-1.1128399305772806E-5</v>
      </c>
      <c r="S78" s="52">
        <f t="shared" si="123"/>
        <v>2.6403216838344172E-4</v>
      </c>
      <c r="T78" s="19">
        <f t="shared" si="124"/>
        <v>0.99987815358824694</v>
      </c>
      <c r="U78" s="19">
        <f t="shared" si="125"/>
        <v>1.0007059324270862</v>
      </c>
      <c r="V78" s="52">
        <f t="shared" si="133"/>
        <v>1.1927894179369755E-4</v>
      </c>
      <c r="W78" s="19">
        <f t="shared" si="126"/>
        <v>0.99986702518894122</v>
      </c>
      <c r="X78" s="2">
        <f t="shared" si="127"/>
        <v>-0.13297481105878362</v>
      </c>
      <c r="Y78" s="2">
        <f t="shared" si="128"/>
        <v>0.14475322658974416</v>
      </c>
      <c r="Z78" s="51">
        <f t="shared" si="129"/>
        <v>1.5896165354374776E-6</v>
      </c>
      <c r="AA78" s="51">
        <f t="shared" si="134"/>
        <v>4.6636612147138974E-5</v>
      </c>
      <c r="AB78" s="2">
        <f t="shared" si="135"/>
        <v>-0.13735895013358124</v>
      </c>
      <c r="AC78" s="2">
        <f t="shared" si="130"/>
        <v>0.15395292873768185</v>
      </c>
      <c r="AE78" s="168">
        <v>6.01</v>
      </c>
      <c r="AL78" s="43" t="s">
        <v>194</v>
      </c>
      <c r="AM78" s="18">
        <v>0.12017525665999999</v>
      </c>
      <c r="AN78" s="18">
        <v>-1.1151160499999999E-6</v>
      </c>
      <c r="AO78" s="18">
        <v>2.6457219999999999E-5</v>
      </c>
      <c r="AP78" s="18">
        <v>2.5343667671392601E-8</v>
      </c>
      <c r="AQ78" s="18">
        <v>3.0655568830394802E-7</v>
      </c>
      <c r="AR78" s="18">
        <v>5.6504291518432498E-7</v>
      </c>
      <c r="AS78">
        <v>13</v>
      </c>
      <c r="AT78">
        <v>2</v>
      </c>
    </row>
    <row r="79" spans="1:46" x14ac:dyDescent="0.2">
      <c r="A79">
        <f>ROW()</f>
        <v>79</v>
      </c>
      <c r="B79" s="67" t="s">
        <v>112</v>
      </c>
      <c r="C79" s="18">
        <f t="shared" si="116"/>
        <v>0.24005229255999999</v>
      </c>
      <c r="D79" s="18">
        <f t="shared" si="117"/>
        <v>-1.42137371E-6</v>
      </c>
      <c r="E79" s="18">
        <f t="shared" si="118"/>
        <v>5.0255942999999999E-5</v>
      </c>
      <c r="F79" s="18">
        <f t="shared" si="119"/>
        <v>6.8918257722031003E-8</v>
      </c>
      <c r="G79" s="18">
        <f t="shared" si="120"/>
        <v>2.82197648115157E-7</v>
      </c>
      <c r="H79" s="18">
        <f t="shared" si="121"/>
        <v>2.00059925149941E-7</v>
      </c>
      <c r="I79" s="2">
        <v>21</v>
      </c>
      <c r="J79" s="17">
        <f t="shared" si="131"/>
        <v>40.032080516475837</v>
      </c>
      <c r="K79" s="2">
        <f t="shared" si="132"/>
        <v>2.0016040258237919</v>
      </c>
      <c r="L79">
        <v>10</v>
      </c>
      <c r="M79">
        <v>6</v>
      </c>
      <c r="N79">
        <v>0.83382000000000001</v>
      </c>
      <c r="O79">
        <v>0.2</v>
      </c>
      <c r="P79">
        <v>0.1</v>
      </c>
      <c r="Q79">
        <v>1</v>
      </c>
      <c r="R79" s="52">
        <f t="shared" si="122"/>
        <v>-7.101173317309906E-6</v>
      </c>
      <c r="S79" s="52">
        <f t="shared" si="123"/>
        <v>2.5107834692386953E-4</v>
      </c>
      <c r="T79" s="19">
        <f t="shared" si="124"/>
        <v>0.99987815358824694</v>
      </c>
      <c r="U79" s="19">
        <f t="shared" si="125"/>
        <v>1.0007059324270862</v>
      </c>
      <c r="V79" s="52">
        <f t="shared" si="133"/>
        <v>1.1927894179369755E-4</v>
      </c>
      <c r="W79" s="19">
        <f t="shared" si="126"/>
        <v>0.99987105241492968</v>
      </c>
      <c r="X79" s="2">
        <f t="shared" si="127"/>
        <v>-0.1289475850703159</v>
      </c>
      <c r="Y79" s="2">
        <f t="shared" si="128"/>
        <v>0.13179940513017196</v>
      </c>
      <c r="Z79" s="51">
        <f t="shared" si="129"/>
        <v>2.4631889568691918E-3</v>
      </c>
      <c r="AA79" s="51">
        <f t="shared" si="134"/>
        <v>5.0221737661479665E-4</v>
      </c>
      <c r="AB79" s="2">
        <f t="shared" si="135"/>
        <v>-0.13533269632284692</v>
      </c>
      <c r="AC79" s="2">
        <f t="shared" si="130"/>
        <v>0.14007086923968884</v>
      </c>
      <c r="AE79" s="168">
        <v>12.01</v>
      </c>
      <c r="AL79" s="43" t="s">
        <v>194</v>
      </c>
      <c r="AM79" s="18">
        <v>0.24005229255999999</v>
      </c>
      <c r="AN79" s="18">
        <v>-1.42137371E-6</v>
      </c>
      <c r="AO79" s="18">
        <v>5.0255942999999999E-5</v>
      </c>
      <c r="AP79" s="18">
        <v>6.8918257722031003E-8</v>
      </c>
      <c r="AQ79" s="18">
        <v>2.82197648115157E-7</v>
      </c>
      <c r="AR79" s="18">
        <v>2.00059925149941E-7</v>
      </c>
      <c r="AS79">
        <v>13</v>
      </c>
      <c r="AT79">
        <v>2</v>
      </c>
    </row>
    <row r="80" spans="1:46" ht="13.5" x14ac:dyDescent="0.25">
      <c r="A80">
        <f>ROW()</f>
        <v>80</v>
      </c>
      <c r="B80" s="163" t="s">
        <v>181</v>
      </c>
      <c r="C80" s="18">
        <f t="shared" si="116"/>
        <v>0.36021010539999998</v>
      </c>
      <c r="D80" s="18">
        <f t="shared" si="117"/>
        <v>3.9942772999999999E-7</v>
      </c>
      <c r="E80" s="18">
        <f t="shared" si="118"/>
        <v>7.2839308999999997E-5</v>
      </c>
      <c r="F80" s="18">
        <f t="shared" si="119"/>
        <v>2.0530809770188801E-7</v>
      </c>
      <c r="G80" s="18">
        <f t="shared" si="120"/>
        <v>1.17001547705136E-7</v>
      </c>
      <c r="H80" s="18">
        <f t="shared" si="121"/>
        <v>1.0936871682067001E-7</v>
      </c>
      <c r="I80" s="2">
        <v>21</v>
      </c>
      <c r="J80" s="17">
        <f t="shared" si="131"/>
        <v>60.070078016925599</v>
      </c>
      <c r="K80" s="2">
        <f t="shared" si="132"/>
        <v>3.0035039008462801</v>
      </c>
      <c r="L80">
        <v>10</v>
      </c>
      <c r="M80">
        <v>6</v>
      </c>
      <c r="N80">
        <v>0.83382000000000001</v>
      </c>
      <c r="O80">
        <v>0.2</v>
      </c>
      <c r="P80">
        <v>0.1</v>
      </c>
      <c r="Q80">
        <v>1</v>
      </c>
      <c r="R80" s="52">
        <f t="shared" si="122"/>
        <v>1.3298725195178058E-6</v>
      </c>
      <c r="S80" s="52">
        <f t="shared" si="123"/>
        <v>2.425144478070313E-4</v>
      </c>
      <c r="T80" s="19">
        <f t="shared" si="124"/>
        <v>0.99987815358824694</v>
      </c>
      <c r="U80" s="19">
        <f t="shared" si="125"/>
        <v>1.0007059324270862</v>
      </c>
      <c r="V80" s="52">
        <f t="shared" si="133"/>
        <v>1.1927894179369755E-4</v>
      </c>
      <c r="W80" s="19">
        <f t="shared" si="126"/>
        <v>0.99987948346076649</v>
      </c>
      <c r="X80" s="2">
        <f t="shared" si="127"/>
        <v>-0.12051653923350614</v>
      </c>
      <c r="Y80" s="2">
        <f t="shared" si="128"/>
        <v>0.12323550601333375</v>
      </c>
      <c r="Z80" s="51">
        <f t="shared" si="129"/>
        <v>6.5746634550712477E-3</v>
      </c>
      <c r="AA80" s="51">
        <f t="shared" si="134"/>
        <v>1.2631489645824015E-3</v>
      </c>
      <c r="AB80" s="2">
        <f t="shared" si="135"/>
        <v>-0.13001822961991893</v>
      </c>
      <c r="AC80" s="2">
        <f t="shared" si="130"/>
        <v>0.13111781376364878</v>
      </c>
      <c r="AE80" s="168">
        <v>18.03</v>
      </c>
      <c r="AL80" s="43" t="s">
        <v>194</v>
      </c>
      <c r="AM80" s="18">
        <v>0.36021010539999998</v>
      </c>
      <c r="AN80" s="18">
        <v>3.9942772999999999E-7</v>
      </c>
      <c r="AO80" s="18">
        <v>7.2839308999999997E-5</v>
      </c>
      <c r="AP80" s="18">
        <v>2.0530809770188801E-7</v>
      </c>
      <c r="AQ80" s="18">
        <v>1.17001547705136E-7</v>
      </c>
      <c r="AR80" s="18">
        <v>1.0936871682067001E-7</v>
      </c>
      <c r="AS80">
        <v>14</v>
      </c>
      <c r="AT80">
        <v>2</v>
      </c>
    </row>
    <row r="81" spans="1:46" x14ac:dyDescent="0.2">
      <c r="A81">
        <f>ROW()</f>
        <v>81</v>
      </c>
      <c r="B81" s="66" t="s">
        <v>111</v>
      </c>
      <c r="C81" s="18">
        <f t="shared" si="116"/>
        <v>0.60048749300000004</v>
      </c>
      <c r="D81" s="18">
        <f t="shared" si="117"/>
        <v>1.01367925E-5</v>
      </c>
      <c r="E81" s="18">
        <f t="shared" si="118"/>
        <v>1.1793887E-4</v>
      </c>
      <c r="F81" s="18">
        <f t="shared" si="119"/>
        <v>7.2373344512958498E-6</v>
      </c>
      <c r="G81" s="18">
        <f t="shared" si="120"/>
        <v>3.9202114713207802E-7</v>
      </c>
      <c r="H81" s="18">
        <f t="shared" si="121"/>
        <v>1.5380309847334099E-7</v>
      </c>
      <c r="I81" s="2">
        <v>20.99</v>
      </c>
      <c r="J81" s="17">
        <f t="shared" si="131"/>
        <v>100.13969628265201</v>
      </c>
      <c r="K81" s="2">
        <f t="shared" si="132"/>
        <v>5.0069848141325997</v>
      </c>
      <c r="L81">
        <v>10</v>
      </c>
      <c r="M81">
        <v>6</v>
      </c>
      <c r="N81">
        <v>0.83382000000000001</v>
      </c>
      <c r="O81">
        <v>0.2</v>
      </c>
      <c r="P81">
        <v>0.1</v>
      </c>
      <c r="Q81">
        <v>1</v>
      </c>
      <c r="R81" s="52">
        <f t="shared" si="122"/>
        <v>2.0245303064207668E-5</v>
      </c>
      <c r="S81" s="52">
        <f t="shared" si="123"/>
        <v>2.3554868724008998E-4</v>
      </c>
      <c r="T81" s="19">
        <f t="shared" si="124"/>
        <v>0.99987815358824694</v>
      </c>
      <c r="U81" s="19">
        <f t="shared" si="125"/>
        <v>1.0007059324270862</v>
      </c>
      <c r="V81" s="52">
        <f t="shared" si="133"/>
        <v>1.1927894179369755E-4</v>
      </c>
      <c r="W81" s="19">
        <f t="shared" si="126"/>
        <v>0.99989839889131116</v>
      </c>
      <c r="X81" s="2">
        <f t="shared" si="127"/>
        <v>-0.10160110868884242</v>
      </c>
      <c r="Y81" s="2">
        <f t="shared" si="128"/>
        <v>0.11626974544639243</v>
      </c>
      <c r="Z81" s="51">
        <f t="shared" si="129"/>
        <v>1.9733092834374043E-2</v>
      </c>
      <c r="AA81" s="51">
        <f t="shared" si="134"/>
        <v>3.6984467068232911E-3</v>
      </c>
      <c r="AB81" s="2">
        <f t="shared" si="135"/>
        <v>-0.12155776768914114</v>
      </c>
      <c r="AC81" s="2">
        <f t="shared" si="130"/>
        <v>0.12390345816699368</v>
      </c>
      <c r="AE81" s="168">
        <v>30.06</v>
      </c>
      <c r="AL81" s="43" t="s">
        <v>194</v>
      </c>
      <c r="AM81" s="18">
        <v>0.60048749300000004</v>
      </c>
      <c r="AN81" s="18">
        <v>1.01367925E-5</v>
      </c>
      <c r="AO81" s="18">
        <v>1.1793887E-4</v>
      </c>
      <c r="AP81" s="18">
        <v>7.2373344512958498E-6</v>
      </c>
      <c r="AQ81" s="18">
        <v>3.9202114713207802E-7</v>
      </c>
      <c r="AR81" s="18">
        <v>1.5380309847334099E-7</v>
      </c>
      <c r="AS81">
        <v>15</v>
      </c>
      <c r="AT81">
        <v>2</v>
      </c>
    </row>
    <row r="82" spans="1:46" x14ac:dyDescent="0.2">
      <c r="A82">
        <f>ROW()</f>
        <v>82</v>
      </c>
      <c r="B82" s="65" t="s">
        <v>114</v>
      </c>
      <c r="C82" s="18">
        <f t="shared" si="116"/>
        <v>0.72194946179999997</v>
      </c>
      <c r="D82" s="18">
        <f t="shared" si="117"/>
        <v>1.9248321000000001E-5</v>
      </c>
      <c r="E82" s="18">
        <f t="shared" si="118"/>
        <v>1.4122375000000001E-4</v>
      </c>
      <c r="F82" s="18">
        <f t="shared" si="119"/>
        <v>7.0453433276275604E-7</v>
      </c>
      <c r="G82" s="18">
        <f t="shared" si="120"/>
        <v>5.5651744326570698E-7</v>
      </c>
      <c r="H82" s="18">
        <f t="shared" si="121"/>
        <v>2.58321945447923E-7</v>
      </c>
      <c r="I82" s="2">
        <v>20.99</v>
      </c>
      <c r="J82" s="17">
        <f t="shared" si="131"/>
        <v>120.3951800476152</v>
      </c>
      <c r="K82" s="2">
        <f t="shared" si="132"/>
        <v>6.0197590023807601</v>
      </c>
      <c r="L82">
        <v>10</v>
      </c>
      <c r="M82">
        <v>6</v>
      </c>
      <c r="N82">
        <v>0.83382000000000001</v>
      </c>
      <c r="O82">
        <v>0.2</v>
      </c>
      <c r="P82">
        <v>0.1</v>
      </c>
      <c r="Q82">
        <v>1</v>
      </c>
      <c r="R82" s="52">
        <f t="shared" si="122"/>
        <v>3.1975235208564768E-5</v>
      </c>
      <c r="S82" s="52">
        <f t="shared" si="123"/>
        <v>2.3460033855864879E-4</v>
      </c>
      <c r="T82" s="19">
        <f t="shared" si="124"/>
        <v>0.99987815358824694</v>
      </c>
      <c r="U82" s="19">
        <f t="shared" si="125"/>
        <v>1.0007059324270862</v>
      </c>
      <c r="V82" s="52">
        <f t="shared" si="133"/>
        <v>1.1927894179369755E-4</v>
      </c>
      <c r="W82" s="19">
        <f t="shared" si="126"/>
        <v>0.99991012882345554</v>
      </c>
      <c r="X82" s="2">
        <f t="shared" si="127"/>
        <v>-8.9871176544464859E-2</v>
      </c>
      <c r="Y82" s="2">
        <f t="shared" si="128"/>
        <v>0.11532139676495125</v>
      </c>
      <c r="Z82" s="51">
        <f t="shared" si="129"/>
        <v>2.8889387081703802E-2</v>
      </c>
      <c r="AA82" s="51">
        <f t="shared" si="134"/>
        <v>5.3930488561412726E-3</v>
      </c>
      <c r="AB82" s="2">
        <f t="shared" si="135"/>
        <v>-0.11700664467122802</v>
      </c>
      <c r="AC82" s="2">
        <f t="shared" si="130"/>
        <v>0.12312097755411583</v>
      </c>
      <c r="AE82" s="168">
        <v>36.1</v>
      </c>
      <c r="AL82" s="43" t="s">
        <v>194</v>
      </c>
      <c r="AM82" s="18">
        <v>0.72194946179999997</v>
      </c>
      <c r="AN82" s="18">
        <v>1.9248321000000001E-5</v>
      </c>
      <c r="AO82" s="18">
        <v>1.4122375000000001E-4</v>
      </c>
      <c r="AP82" s="18">
        <v>7.0453433276275604E-7</v>
      </c>
      <c r="AQ82" s="18">
        <v>5.5651744326570698E-7</v>
      </c>
      <c r="AR82" s="18">
        <v>2.58321945447923E-7</v>
      </c>
      <c r="AS82">
        <v>15</v>
      </c>
      <c r="AT82">
        <v>2</v>
      </c>
    </row>
    <row r="83" spans="1:46" x14ac:dyDescent="0.2">
      <c r="A83">
        <f>ROW()</f>
        <v>83</v>
      </c>
      <c r="D83" s="18"/>
      <c r="F83" s="18"/>
      <c r="G83" s="18"/>
      <c r="H83" s="18"/>
      <c r="I83" s="2"/>
      <c r="J83" s="17"/>
      <c r="K83" s="2"/>
      <c r="R83" s="52"/>
      <c r="S83" s="52"/>
      <c r="T83" s="19"/>
      <c r="U83" s="19"/>
      <c r="V83" s="52"/>
      <c r="W83" s="19"/>
      <c r="X83" s="2"/>
      <c r="Y83" s="2"/>
      <c r="AA83" s="2"/>
      <c r="AB83" s="2"/>
      <c r="AE83" s="168"/>
    </row>
    <row r="84" spans="1:46" x14ac:dyDescent="0.2">
      <c r="A84">
        <f>ROW()</f>
        <v>84</v>
      </c>
      <c r="B84" s="43" t="s">
        <v>52</v>
      </c>
      <c r="C84" s="18">
        <f t="shared" ref="C84:C90" si="136">AM84</f>
        <v>2.9894353836E-2</v>
      </c>
      <c r="D84" s="18">
        <f t="shared" ref="D84:D93" si="137">AN84</f>
        <v>-3.7885950460000002E-7</v>
      </c>
      <c r="E84" s="18">
        <f t="shared" ref="E84:E93" si="138">AO84</f>
        <v>6.6231160999999997E-6</v>
      </c>
      <c r="F84" s="18">
        <f t="shared" ref="F84:F93" si="139">AP84</f>
        <v>3.4930512571762698E-8</v>
      </c>
      <c r="G84" s="18">
        <f t="shared" ref="G84:G93" si="140">AQ84</f>
        <v>1.3525115493369501E-7</v>
      </c>
      <c r="H84" s="18">
        <f t="shared" ref="H84:H93" si="141">AR84</f>
        <v>1.78569156552273E-7</v>
      </c>
      <c r="I84" s="2">
        <v>20.99</v>
      </c>
      <c r="J84" s="17">
        <f t="shared" ref="J84:J93" si="142">100*C84/0.5*N84</f>
        <v>4.985302023106704</v>
      </c>
      <c r="K84" s="2">
        <f t="shared" ref="K84:K93" si="143">C84/P84*N84</f>
        <v>0.24926510115533518</v>
      </c>
      <c r="L84">
        <v>10</v>
      </c>
      <c r="M84">
        <v>6</v>
      </c>
      <c r="N84">
        <v>0.83382000000000001</v>
      </c>
      <c r="O84">
        <v>0.2</v>
      </c>
      <c r="P84">
        <v>0.1</v>
      </c>
      <c r="Q84">
        <v>1</v>
      </c>
      <c r="R84" s="52">
        <f t="shared" ref="R84:R90" si="144">Q84*D84/C84/N84</f>
        <v>-1.5199059268385314E-5</v>
      </c>
      <c r="S84" s="52">
        <f t="shared" ref="S84:S90" si="145">Q84*E84/C84/N84</f>
        <v>2.6570571128096488E-4</v>
      </c>
      <c r="T84" s="19">
        <f t="shared" ref="T84:T90" si="146">M84*N84*O84/(P84*U84*L84)</f>
        <v>0.99987815358824694</v>
      </c>
      <c r="U84" s="19">
        <f t="shared" ref="U84:U91" si="147">$AA$16</f>
        <v>1.0007059324270862</v>
      </c>
      <c r="V84" s="52">
        <f>$AA$26</f>
        <v>7.7923097257736945E-5</v>
      </c>
      <c r="W84" s="19">
        <f t="shared" ref="W84:W90" si="148">R84+T84</f>
        <v>0.99986295452897855</v>
      </c>
      <c r="X84" s="2">
        <f t="shared" ref="X84:X90" si="149">1000*(W84-1)</f>
        <v>-0.13704547102144637</v>
      </c>
      <c r="Y84" s="2">
        <f t="shared" ref="Y84:Y90" si="150">1000*(S84-V84)</f>
        <v>0.18778261402322793</v>
      </c>
      <c r="Z84" s="51">
        <f t="shared" ref="Z84:Z90" si="151">((C84*N84)^2/P84-$AB$10)*$Z$28*0.001</f>
        <v>-7.7072294079078832E-4</v>
      </c>
      <c r="AA84" s="51">
        <f>(C84^2/O84-$Z$10)*$AB$5*0.001</f>
        <v>-9.6299218030223779E-5</v>
      </c>
      <c r="AE84" s="168">
        <v>1.494</v>
      </c>
      <c r="AL84" s="43" t="s">
        <v>195</v>
      </c>
      <c r="AM84">
        <v>2.9894353836E-2</v>
      </c>
      <c r="AN84" s="18">
        <v>-3.7885950460000002E-7</v>
      </c>
      <c r="AO84" s="18">
        <v>6.6231160999999997E-6</v>
      </c>
      <c r="AP84" s="18">
        <v>3.4930512571762698E-8</v>
      </c>
      <c r="AQ84" s="18">
        <v>1.3525115493369501E-7</v>
      </c>
      <c r="AR84" s="18">
        <v>1.78569156552273E-7</v>
      </c>
      <c r="AS84">
        <v>11</v>
      </c>
      <c r="AT84">
        <v>2</v>
      </c>
    </row>
    <row r="85" spans="1:46" x14ac:dyDescent="0.2">
      <c r="C85" s="18">
        <f t="shared" si="136"/>
        <v>6.0298733835999999E-2</v>
      </c>
      <c r="D85" s="18">
        <f t="shared" si="137"/>
        <v>-9.2068260000000002E-7</v>
      </c>
      <c r="E85" s="18">
        <f t="shared" si="138"/>
        <v>1.2737273E-5</v>
      </c>
      <c r="F85" s="18">
        <f t="shared" si="139"/>
        <v>4.0955801002924903E-8</v>
      </c>
      <c r="G85" s="18">
        <f t="shared" si="140"/>
        <v>1.37171642113521E-7</v>
      </c>
      <c r="H85" s="18">
        <f t="shared" si="141"/>
        <v>1.04661072854237E-7</v>
      </c>
      <c r="I85" s="2">
        <v>21.01</v>
      </c>
      <c r="J85" s="17">
        <f t="shared" si="142"/>
        <v>10.055658049426704</v>
      </c>
      <c r="K85" s="2">
        <f t="shared" si="143"/>
        <v>0.50278290247133517</v>
      </c>
      <c r="L85">
        <v>10</v>
      </c>
      <c r="M85">
        <v>6</v>
      </c>
      <c r="N85">
        <v>0.83382000000000001</v>
      </c>
      <c r="O85">
        <v>0.2</v>
      </c>
      <c r="P85">
        <v>0.1</v>
      </c>
      <c r="Q85">
        <v>1</v>
      </c>
      <c r="R85" s="52">
        <f t="shared" si="144"/>
        <v>-1.8311732468915651E-5</v>
      </c>
      <c r="S85" s="52">
        <f t="shared" si="145"/>
        <v>2.5333544433178457E-4</v>
      </c>
      <c r="T85" s="19">
        <f t="shared" si="146"/>
        <v>0.99987815358824694</v>
      </c>
      <c r="U85" s="19">
        <f t="shared" si="147"/>
        <v>1.0007059324270862</v>
      </c>
      <c r="V85" s="52">
        <f t="shared" ref="V85:V93" si="152">$AA$26</f>
        <v>7.7923097257736945E-5</v>
      </c>
      <c r="W85" s="19">
        <f t="shared" si="148"/>
        <v>0.99985984185577803</v>
      </c>
      <c r="X85" s="2">
        <f t="shared" si="149"/>
        <v>-0.14015814422196904</v>
      </c>
      <c r="Y85" s="2">
        <f t="shared" si="150"/>
        <v>0.17541234707404763</v>
      </c>
      <c r="Z85" s="51">
        <f t="shared" si="151"/>
        <v>-6.1440318996870127E-4</v>
      </c>
      <c r="AA85" s="51">
        <f t="shared" ref="AA85:AA90" si="153">(C85^2/O85-$Z$10)*$AB$5*0.001</f>
        <v>-6.7368323219671699E-5</v>
      </c>
      <c r="AE85" s="168">
        <v>3.0139999999999998</v>
      </c>
      <c r="AL85" s="43" t="s">
        <v>195</v>
      </c>
      <c r="AM85" s="18">
        <v>6.0298733835999999E-2</v>
      </c>
      <c r="AN85" s="18">
        <v>-9.2068260000000002E-7</v>
      </c>
      <c r="AO85" s="18">
        <v>1.2737273E-5</v>
      </c>
      <c r="AP85" s="18">
        <v>4.0955801002924903E-8</v>
      </c>
      <c r="AQ85" s="18">
        <v>1.37171642113521E-7</v>
      </c>
      <c r="AR85" s="18">
        <v>1.04661072854237E-7</v>
      </c>
      <c r="AS85">
        <v>12</v>
      </c>
      <c r="AT85">
        <v>2</v>
      </c>
    </row>
    <row r="86" spans="1:46" x14ac:dyDescent="0.2">
      <c r="C86" s="18">
        <f t="shared" si="136"/>
        <v>0.12047043228</v>
      </c>
      <c r="D86" s="18">
        <f t="shared" si="137"/>
        <v>-2.0076843000000001E-6</v>
      </c>
      <c r="E86" s="18">
        <f t="shared" si="138"/>
        <v>2.4216215000000001E-5</v>
      </c>
      <c r="F86" s="18">
        <f t="shared" si="139"/>
        <v>5.3983383259653398E-8</v>
      </c>
      <c r="G86" s="18">
        <f t="shared" si="140"/>
        <v>9.34073490176763E-8</v>
      </c>
      <c r="H86" s="18">
        <f t="shared" si="141"/>
        <v>8.8009787381858904E-8</v>
      </c>
      <c r="I86" s="2">
        <v>21.03</v>
      </c>
      <c r="J86" s="17">
        <f t="shared" si="142"/>
        <v>20.09013116874192</v>
      </c>
      <c r="K86" s="2">
        <f t="shared" si="143"/>
        <v>1.0045065584370958</v>
      </c>
      <c r="L86">
        <v>10</v>
      </c>
      <c r="M86">
        <v>6</v>
      </c>
      <c r="N86">
        <v>0.83382000000000001</v>
      </c>
      <c r="O86">
        <v>0.2</v>
      </c>
      <c r="P86">
        <v>0.1</v>
      </c>
      <c r="Q86">
        <v>1</v>
      </c>
      <c r="R86" s="52">
        <f t="shared" si="144"/>
        <v>-1.9986771446507435E-5</v>
      </c>
      <c r="S86" s="52">
        <f t="shared" si="145"/>
        <v>2.410757281433565E-4</v>
      </c>
      <c r="T86" s="19">
        <f t="shared" si="146"/>
        <v>0.99987815358824694</v>
      </c>
      <c r="U86" s="19">
        <f t="shared" si="147"/>
        <v>1.0007059324270862</v>
      </c>
      <c r="V86" s="52">
        <f t="shared" si="152"/>
        <v>7.7923097257736945E-5</v>
      </c>
      <c r="W86" s="19">
        <f t="shared" si="148"/>
        <v>0.9998581668168004</v>
      </c>
      <c r="X86" s="2">
        <f t="shared" si="149"/>
        <v>-0.14183318319960225</v>
      </c>
      <c r="Y86" s="2">
        <f t="shared" si="150"/>
        <v>0.16315263088561954</v>
      </c>
      <c r="Z86" s="51">
        <f t="shared" si="151"/>
        <v>5.6387586297614681E-6</v>
      </c>
      <c r="AA86" s="51">
        <f t="shared" si="153"/>
        <v>4.7386007558709142E-5</v>
      </c>
      <c r="AE86" s="169">
        <v>6.03</v>
      </c>
      <c r="AL86" s="43" t="s">
        <v>195</v>
      </c>
      <c r="AM86">
        <v>0.12047043228</v>
      </c>
      <c r="AN86" s="18">
        <v>-2.0076843000000001E-6</v>
      </c>
      <c r="AO86" s="18">
        <v>2.4216215000000001E-5</v>
      </c>
      <c r="AP86" s="18">
        <v>5.3983383259653398E-8</v>
      </c>
      <c r="AQ86" s="18">
        <v>9.34073490176763E-8</v>
      </c>
      <c r="AR86" s="18">
        <v>8.8009787381858904E-8</v>
      </c>
      <c r="AS86">
        <v>13</v>
      </c>
      <c r="AT86">
        <v>2</v>
      </c>
    </row>
    <row r="87" spans="1:46" x14ac:dyDescent="0.2">
      <c r="C87" s="18">
        <f t="shared" si="136"/>
        <v>0.23986247595999999</v>
      </c>
      <c r="D87" s="18">
        <f t="shared" si="137"/>
        <v>-3.1899245000000001E-6</v>
      </c>
      <c r="E87" s="18">
        <f t="shared" si="138"/>
        <v>4.5253568000000002E-5</v>
      </c>
      <c r="F87" s="18">
        <f t="shared" si="139"/>
        <v>4.5043460584654602E-8</v>
      </c>
      <c r="G87" s="18">
        <f t="shared" si="140"/>
        <v>1.26896322045795E-7</v>
      </c>
      <c r="H87" s="18">
        <f t="shared" si="141"/>
        <v>1.00569655343946E-7</v>
      </c>
      <c r="I87" s="2">
        <v>21.05</v>
      </c>
      <c r="J87" s="17">
        <f t="shared" si="142"/>
        <v>40.000425940993438</v>
      </c>
      <c r="K87" s="2">
        <f t="shared" si="143"/>
        <v>2.0000212970496718</v>
      </c>
      <c r="L87">
        <v>10</v>
      </c>
      <c r="M87">
        <v>6</v>
      </c>
      <c r="N87">
        <v>0.83382000000000001</v>
      </c>
      <c r="O87">
        <v>0.2</v>
      </c>
      <c r="P87">
        <v>0.1</v>
      </c>
      <c r="Q87">
        <v>1</v>
      </c>
      <c r="R87" s="52">
        <f t="shared" si="144"/>
        <v>-1.5949452661857212E-5</v>
      </c>
      <c r="S87" s="52">
        <f t="shared" si="145"/>
        <v>2.2626543060694267E-4</v>
      </c>
      <c r="T87" s="19">
        <f t="shared" si="146"/>
        <v>0.99987815358824694</v>
      </c>
      <c r="U87" s="19">
        <f t="shared" si="147"/>
        <v>1.0007059324270862</v>
      </c>
      <c r="V87" s="52">
        <f t="shared" si="152"/>
        <v>7.7923097257736945E-5</v>
      </c>
      <c r="W87" s="19">
        <f t="shared" si="148"/>
        <v>0.99986220413558513</v>
      </c>
      <c r="X87" s="2">
        <f t="shared" si="149"/>
        <v>-0.13779586441486913</v>
      </c>
      <c r="Y87" s="2">
        <f t="shared" si="150"/>
        <v>0.14834233334920571</v>
      </c>
      <c r="Z87" s="51">
        <f t="shared" si="151"/>
        <v>2.4579961430450446E-3</v>
      </c>
      <c r="AA87" s="51">
        <f t="shared" si="153"/>
        <v>5.0125631603398647E-4</v>
      </c>
      <c r="AE87" s="168">
        <v>11.99</v>
      </c>
      <c r="AL87" s="43" t="s">
        <v>195</v>
      </c>
      <c r="AM87" s="18">
        <v>0.23986247595999999</v>
      </c>
      <c r="AN87" s="18">
        <v>-3.1899245000000001E-6</v>
      </c>
      <c r="AO87" s="18">
        <v>4.5253568000000002E-5</v>
      </c>
      <c r="AP87" s="18">
        <v>4.5043460584654602E-8</v>
      </c>
      <c r="AQ87" s="18">
        <v>1.26896322045795E-7</v>
      </c>
      <c r="AR87" s="18">
        <v>1.00569655343946E-7</v>
      </c>
      <c r="AS87">
        <v>13</v>
      </c>
      <c r="AT87">
        <v>2</v>
      </c>
    </row>
    <row r="88" spans="1:46" x14ac:dyDescent="0.2">
      <c r="C88" s="18">
        <f t="shared" si="136"/>
        <v>0.36003330158000002</v>
      </c>
      <c r="D88" s="18">
        <f t="shared" si="137"/>
        <v>-2.1165747999999998E-6</v>
      </c>
      <c r="E88" s="18">
        <f t="shared" si="138"/>
        <v>6.5120993999999999E-5</v>
      </c>
      <c r="F88" s="18">
        <f t="shared" si="139"/>
        <v>1.0369106880234099E-7</v>
      </c>
      <c r="G88" s="18">
        <f t="shared" si="140"/>
        <v>1.5322585401609E-7</v>
      </c>
      <c r="H88" s="18">
        <f t="shared" si="141"/>
        <v>1.30427314485885E-7</v>
      </c>
      <c r="I88" s="2">
        <v>21.07</v>
      </c>
      <c r="J88" s="17">
        <f t="shared" si="142"/>
        <v>60.040593504687131</v>
      </c>
      <c r="K88" s="2">
        <f t="shared" si="143"/>
        <v>3.0020296752343558</v>
      </c>
      <c r="L88">
        <v>10</v>
      </c>
      <c r="M88">
        <v>6</v>
      </c>
      <c r="N88">
        <v>0.83382000000000001</v>
      </c>
      <c r="O88">
        <v>0.2</v>
      </c>
      <c r="P88">
        <v>0.1</v>
      </c>
      <c r="Q88">
        <v>1</v>
      </c>
      <c r="R88" s="52">
        <f t="shared" si="144"/>
        <v>-7.0504792722769051E-6</v>
      </c>
      <c r="S88" s="52">
        <f t="shared" si="145"/>
        <v>2.1692321877170076E-4</v>
      </c>
      <c r="T88" s="19">
        <f t="shared" si="146"/>
        <v>0.99987815358824694</v>
      </c>
      <c r="U88" s="19">
        <f t="shared" si="147"/>
        <v>1.0007059324270862</v>
      </c>
      <c r="V88" s="52">
        <f t="shared" si="152"/>
        <v>7.7923097257736945E-5</v>
      </c>
      <c r="W88" s="19">
        <f t="shared" si="148"/>
        <v>0.99987110310897465</v>
      </c>
      <c r="X88" s="2">
        <f t="shared" si="149"/>
        <v>-0.12889689102535407</v>
      </c>
      <c r="Y88" s="2">
        <f t="shared" si="150"/>
        <v>0.13900012151396382</v>
      </c>
      <c r="Z88" s="51">
        <f t="shared" si="151"/>
        <v>6.5674044786945178E-3</v>
      </c>
      <c r="AA88" s="51">
        <f t="shared" si="153"/>
        <v>1.2618055087434369E-3</v>
      </c>
      <c r="AE88" s="168">
        <v>18.010000000000002</v>
      </c>
      <c r="AL88" s="43" t="s">
        <v>195</v>
      </c>
      <c r="AM88" s="18">
        <v>0.36003330158000002</v>
      </c>
      <c r="AN88" s="18">
        <v>-2.1165747999999998E-6</v>
      </c>
      <c r="AO88" s="18">
        <v>6.5120993999999999E-5</v>
      </c>
      <c r="AP88" s="18">
        <v>1.0369106880234099E-7</v>
      </c>
      <c r="AQ88" s="18">
        <v>1.5322585401609E-7</v>
      </c>
      <c r="AR88" s="18">
        <v>1.30427314485885E-7</v>
      </c>
      <c r="AS88">
        <v>14</v>
      </c>
      <c r="AT88">
        <v>2</v>
      </c>
    </row>
    <row r="89" spans="1:46" x14ac:dyDescent="0.2">
      <c r="C89" s="18">
        <f t="shared" si="136"/>
        <v>0.60083379173999996</v>
      </c>
      <c r="D89" s="18">
        <f t="shared" si="137"/>
        <v>6.2128815999999996E-6</v>
      </c>
      <c r="E89" s="18">
        <f t="shared" si="138"/>
        <v>1.0493692E-4</v>
      </c>
      <c r="F89" s="18">
        <f t="shared" si="139"/>
        <v>7.9642624770259502E-7</v>
      </c>
      <c r="G89" s="18">
        <f t="shared" si="140"/>
        <v>3.5937748073222398E-7</v>
      </c>
      <c r="H89" s="18">
        <f t="shared" si="141"/>
        <v>2.27179958623115E-7</v>
      </c>
      <c r="I89" s="2">
        <v>21.08</v>
      </c>
      <c r="J89" s="17">
        <f t="shared" si="142"/>
        <v>100.19744644572935</v>
      </c>
      <c r="K89" s="2">
        <f t="shared" si="143"/>
        <v>5.0098723222864674</v>
      </c>
      <c r="L89">
        <v>10</v>
      </c>
      <c r="M89">
        <v>6</v>
      </c>
      <c r="N89">
        <v>0.83382000000000001</v>
      </c>
      <c r="O89">
        <v>0.2</v>
      </c>
      <c r="P89">
        <v>0.1</v>
      </c>
      <c r="Q89">
        <v>1</v>
      </c>
      <c r="R89" s="52">
        <f t="shared" si="144"/>
        <v>1.2401277318709168E-5</v>
      </c>
      <c r="S89" s="52">
        <f t="shared" si="145"/>
        <v>2.0946026814533186E-4</v>
      </c>
      <c r="T89" s="19">
        <f t="shared" si="146"/>
        <v>0.99987815358824694</v>
      </c>
      <c r="U89" s="19">
        <f t="shared" si="147"/>
        <v>1.0007059324270862</v>
      </c>
      <c r="V89" s="52">
        <f t="shared" si="152"/>
        <v>7.7923097257736945E-5</v>
      </c>
      <c r="W89" s="19">
        <f t="shared" si="148"/>
        <v>0.99989055486556566</v>
      </c>
      <c r="X89" s="2">
        <f t="shared" si="149"/>
        <v>-0.10944513443433834</v>
      </c>
      <c r="Y89" s="2">
        <f t="shared" si="150"/>
        <v>0.13153717088759492</v>
      </c>
      <c r="Z89" s="51">
        <f t="shared" si="151"/>
        <v>1.9756807364864109E-2</v>
      </c>
      <c r="AA89" s="51">
        <f t="shared" si="153"/>
        <v>3.7028356761216789E-3</v>
      </c>
      <c r="AE89" s="169">
        <v>30.01</v>
      </c>
      <c r="AL89" s="43" t="s">
        <v>195</v>
      </c>
      <c r="AM89" s="18">
        <v>0.60083379173999996</v>
      </c>
      <c r="AN89" s="18">
        <v>6.2128815999999996E-6</v>
      </c>
      <c r="AO89" s="18">
        <v>1.0493692E-4</v>
      </c>
      <c r="AP89" s="18">
        <v>7.9642624770259502E-7</v>
      </c>
      <c r="AQ89" s="18">
        <v>3.5937748073222398E-7</v>
      </c>
      <c r="AR89" s="18">
        <v>2.27179958623115E-7</v>
      </c>
      <c r="AS89">
        <v>14</v>
      </c>
      <c r="AT89">
        <v>2</v>
      </c>
    </row>
    <row r="90" spans="1:46" x14ac:dyDescent="0.2">
      <c r="C90" s="18">
        <f t="shared" si="136"/>
        <v>0.72194120634000003</v>
      </c>
      <c r="D90" s="18">
        <f t="shared" si="137"/>
        <v>1.4866814E-5</v>
      </c>
      <c r="E90" s="18">
        <f t="shared" si="138"/>
        <v>1.2571741E-4</v>
      </c>
      <c r="F90" s="18">
        <f t="shared" si="139"/>
        <v>3.96397168283912E-6</v>
      </c>
      <c r="G90" s="18">
        <f t="shared" si="140"/>
        <v>4.7895774072876195E-7</v>
      </c>
      <c r="H90" s="18">
        <f t="shared" si="141"/>
        <v>1.42573777041924E-7</v>
      </c>
      <c r="I90" s="2">
        <v>21.09</v>
      </c>
      <c r="J90" s="17">
        <f t="shared" si="142"/>
        <v>120.39380333408376</v>
      </c>
      <c r="K90" s="2">
        <f t="shared" si="143"/>
        <v>6.019690166704188</v>
      </c>
      <c r="L90">
        <v>10</v>
      </c>
      <c r="M90">
        <v>6</v>
      </c>
      <c r="N90">
        <v>0.83382000000000001</v>
      </c>
      <c r="O90">
        <v>0.2</v>
      </c>
      <c r="P90">
        <v>0.1</v>
      </c>
      <c r="Q90">
        <v>1</v>
      </c>
      <c r="R90" s="52">
        <f t="shared" si="144"/>
        <v>2.4696975406193802E-5</v>
      </c>
      <c r="S90" s="52">
        <f t="shared" si="145"/>
        <v>2.0884365560101733E-4</v>
      </c>
      <c r="T90" s="19">
        <f t="shared" si="146"/>
        <v>0.99987815358824694</v>
      </c>
      <c r="U90" s="19">
        <f t="shared" si="147"/>
        <v>1.0007059324270862</v>
      </c>
      <c r="V90" s="52">
        <f t="shared" si="152"/>
        <v>7.7923097257736945E-5</v>
      </c>
      <c r="W90" s="19">
        <f t="shared" si="148"/>
        <v>0.99990285056365313</v>
      </c>
      <c r="X90" s="2">
        <f t="shared" si="149"/>
        <v>-9.7149436346866125E-2</v>
      </c>
      <c r="Y90" s="2">
        <f t="shared" si="150"/>
        <v>0.1309205583432804</v>
      </c>
      <c r="Z90" s="51">
        <f t="shared" si="151"/>
        <v>2.8888707596452502E-2</v>
      </c>
      <c r="AA90" s="51">
        <f t="shared" si="153"/>
        <v>5.3929231003348116E-3</v>
      </c>
      <c r="AE90" s="173">
        <v>36.1</v>
      </c>
      <c r="AG90" s="167" t="s">
        <v>208</v>
      </c>
      <c r="AH90" s="168"/>
      <c r="AI90" s="168"/>
      <c r="AJ90" s="168"/>
      <c r="AK90" s="168"/>
      <c r="AL90" s="43" t="s">
        <v>195</v>
      </c>
      <c r="AM90" s="18">
        <v>0.72194120634000003</v>
      </c>
      <c r="AN90" s="18">
        <v>1.4866814E-5</v>
      </c>
      <c r="AO90" s="18">
        <v>1.2571741E-4</v>
      </c>
      <c r="AP90" s="18">
        <v>3.96397168283912E-6</v>
      </c>
      <c r="AQ90" s="18">
        <v>4.7895774072876195E-7</v>
      </c>
      <c r="AR90" s="18">
        <v>1.42573777041924E-7</v>
      </c>
      <c r="AS90">
        <v>15</v>
      </c>
      <c r="AT90">
        <v>2</v>
      </c>
    </row>
    <row r="91" spans="1:46" x14ac:dyDescent="0.2">
      <c r="B91" s="164" t="s">
        <v>52</v>
      </c>
      <c r="C91" s="122">
        <f>AM91</f>
        <v>0.24160163596000001</v>
      </c>
      <c r="D91" s="122">
        <f t="shared" si="137"/>
        <v>-9.6578713000000004E-7</v>
      </c>
      <c r="E91" s="122">
        <f t="shared" si="138"/>
        <v>4.5265098000000003E-5</v>
      </c>
      <c r="F91" s="122">
        <f t="shared" si="139"/>
        <v>2.3756639107717999E-7</v>
      </c>
      <c r="G91" s="122">
        <f t="shared" si="140"/>
        <v>1.54440197910755E-7</v>
      </c>
      <c r="H91" s="122">
        <f t="shared" si="141"/>
        <v>1.5675359260954799E-7</v>
      </c>
      <c r="I91" s="124">
        <v>21.12</v>
      </c>
      <c r="J91" s="125">
        <f t="shared" si="142"/>
        <v>40.290455219233444</v>
      </c>
      <c r="K91" s="124">
        <f t="shared" si="143"/>
        <v>2.0145227609616718</v>
      </c>
      <c r="L91" s="122">
        <v>10</v>
      </c>
      <c r="M91" s="122">
        <v>6</v>
      </c>
      <c r="N91" s="126">
        <v>0.83382000000000001</v>
      </c>
      <c r="O91" s="126">
        <v>0.2</v>
      </c>
      <c r="P91" s="126">
        <v>0.1</v>
      </c>
      <c r="Q91" s="126">
        <v>1</v>
      </c>
      <c r="R91" s="52">
        <f>Q91*D91/C91/N91</f>
        <v>-4.7941236937872204E-6</v>
      </c>
      <c r="S91" s="52">
        <f>Q91*E91/C91/N91</f>
        <v>2.2469390208523541E-4</v>
      </c>
      <c r="T91" s="19">
        <f>M91*N91*O91/(P91*U91*L91)</f>
        <v>0.99987815358824694</v>
      </c>
      <c r="U91" s="19">
        <f t="shared" si="147"/>
        <v>1.0007059324270862</v>
      </c>
      <c r="V91" s="52">
        <f t="shared" si="152"/>
        <v>7.7923097257736945E-5</v>
      </c>
      <c r="W91" s="19">
        <f>R91+T91</f>
        <v>0.99987335946455314</v>
      </c>
      <c r="X91" s="2">
        <f>1000*(W91-1)</f>
        <v>-0.12664053544686471</v>
      </c>
      <c r="Y91" s="2">
        <f>1000*(S91-V91)</f>
        <v>0.14677080482749846</v>
      </c>
      <c r="Z91" t="s">
        <v>68</v>
      </c>
      <c r="AA91" t="s">
        <v>67</v>
      </c>
      <c r="AB91" t="s">
        <v>66</v>
      </c>
      <c r="AE91" s="170" t="s">
        <v>205</v>
      </c>
      <c r="AF91" s="168"/>
      <c r="AG91" s="168"/>
      <c r="AH91" s="168"/>
      <c r="AI91" s="167"/>
      <c r="AJ91" s="168">
        <v>12.09</v>
      </c>
      <c r="AK91" s="168"/>
      <c r="AL91" s="43" t="s">
        <v>195</v>
      </c>
      <c r="AM91" s="18">
        <v>0.24160163596000001</v>
      </c>
      <c r="AN91" s="18">
        <v>-9.6578713000000004E-7</v>
      </c>
      <c r="AO91" s="18">
        <v>4.5265098000000003E-5</v>
      </c>
      <c r="AP91" s="18">
        <v>2.3756639107717999E-7</v>
      </c>
      <c r="AQ91" s="18">
        <v>1.54440197910755E-7</v>
      </c>
      <c r="AR91" s="18">
        <v>1.5675359260954799E-7</v>
      </c>
      <c r="AS91">
        <v>13</v>
      </c>
      <c r="AT91">
        <v>2</v>
      </c>
    </row>
    <row r="92" spans="1:46" x14ac:dyDescent="0.2">
      <c r="B92" s="164" t="s">
        <v>193</v>
      </c>
      <c r="C92" s="122">
        <f t="shared" ref="C92:C93" si="154">AM92</f>
        <v>0.24189681939999999</v>
      </c>
      <c r="D92" s="122">
        <f t="shared" si="137"/>
        <v>-3.6646870000000002E-4</v>
      </c>
      <c r="E92" s="122">
        <f t="shared" si="138"/>
        <v>1.7940504E-5</v>
      </c>
      <c r="F92" s="122">
        <f t="shared" si="139"/>
        <v>1.44002402675728E-7</v>
      </c>
      <c r="G92" s="122">
        <f t="shared" si="140"/>
        <v>1.2715695026226301E-7</v>
      </c>
      <c r="H92" s="122">
        <f t="shared" si="141"/>
        <v>1.17093904128268E-7</v>
      </c>
      <c r="I92" s="124">
        <v>21.14</v>
      </c>
      <c r="J92" s="125">
        <f t="shared" si="142"/>
        <v>40.339681190421601</v>
      </c>
      <c r="K92" s="124">
        <f t="shared" si="143"/>
        <v>2.0169840595210795</v>
      </c>
      <c r="L92" s="122">
        <v>10</v>
      </c>
      <c r="M92" s="122">
        <v>6</v>
      </c>
      <c r="N92" s="126">
        <v>0.83382000000000001</v>
      </c>
      <c r="O92" s="126">
        <v>0.2</v>
      </c>
      <c r="P92" s="126">
        <v>0.1</v>
      </c>
      <c r="Q92" s="126">
        <v>1</v>
      </c>
      <c r="R92" s="52">
        <f>Q92*D92/C92/N92</f>
        <v>-1.8169142104524894E-3</v>
      </c>
      <c r="S92" s="52">
        <f>Q92*E92/C92/N92</f>
        <v>8.8947177918004264E-5</v>
      </c>
      <c r="T92" s="19">
        <f>M92*N92*O92/(P92*U92*L92)</f>
        <v>0.99987815358824694</v>
      </c>
      <c r="U92" s="19">
        <f>$AA$16</f>
        <v>1.0007059324270862</v>
      </c>
      <c r="V92" s="52">
        <f t="shared" si="152"/>
        <v>7.7923097257736945E-5</v>
      </c>
      <c r="W92" s="19">
        <f>R92+T92</f>
        <v>0.99806123937779445</v>
      </c>
      <c r="X92" s="2">
        <f>1000*(W92-1)</f>
        <v>-1.9387606222055487</v>
      </c>
      <c r="Y92" s="2">
        <f>1000*(S92-V92)</f>
        <v>1.1024080660267319E-2</v>
      </c>
      <c r="AA92" s="46">
        <f>100*-(X92-X91)/1000</f>
        <v>0.1812120086758684</v>
      </c>
      <c r="AB92" s="46">
        <f>100*-(Y92-Y91)/1000</f>
        <v>1.3574672416723116E-2</v>
      </c>
      <c r="AC92" s="46"/>
      <c r="AD92" s="46" t="s">
        <v>200</v>
      </c>
      <c r="AE92" s="46"/>
      <c r="AF92" s="46"/>
      <c r="AG92" s="46"/>
      <c r="AH92" s="46"/>
      <c r="AI92" s="46"/>
      <c r="AJ92" s="169">
        <v>12.1</v>
      </c>
      <c r="AK92" s="168"/>
      <c r="AL92" s="43" t="s">
        <v>195</v>
      </c>
      <c r="AM92">
        <v>0.24189681939999999</v>
      </c>
      <c r="AN92" s="18">
        <v>-3.6646870000000002E-4</v>
      </c>
      <c r="AO92" s="18">
        <v>1.7940504E-5</v>
      </c>
      <c r="AP92" s="18">
        <v>1.44002402675728E-7</v>
      </c>
      <c r="AQ92" s="18">
        <v>1.2715695026226301E-7</v>
      </c>
      <c r="AR92" s="18">
        <v>1.17093904128268E-7</v>
      </c>
      <c r="AS92">
        <v>16</v>
      </c>
      <c r="AT92">
        <v>2</v>
      </c>
    </row>
    <row r="93" spans="1:46" x14ac:dyDescent="0.2">
      <c r="B93" s="164" t="s">
        <v>283</v>
      </c>
      <c r="C93" s="122">
        <f t="shared" si="154"/>
        <v>0.2420341503</v>
      </c>
      <c r="D93" s="122">
        <f t="shared" si="137"/>
        <v>-8.5551723000000004E-7</v>
      </c>
      <c r="E93" s="122">
        <f t="shared" si="138"/>
        <v>3.4933506000000003E-5</v>
      </c>
      <c r="F93" s="122">
        <f t="shared" si="139"/>
        <v>6.6937022828975303E-8</v>
      </c>
      <c r="G93" s="122">
        <f t="shared" si="140"/>
        <v>9.4434626161366796E-8</v>
      </c>
      <c r="H93" s="122">
        <f t="shared" si="141"/>
        <v>1.1250084961456899E-7</v>
      </c>
      <c r="I93" s="124">
        <v>21.17</v>
      </c>
      <c r="J93" s="125">
        <f t="shared" si="142"/>
        <v>40.362583040629197</v>
      </c>
      <c r="K93" s="124">
        <f t="shared" si="143"/>
        <v>2.0181291520314599</v>
      </c>
      <c r="L93" s="122">
        <v>10</v>
      </c>
      <c r="M93" s="122">
        <v>6</v>
      </c>
      <c r="N93" s="126">
        <v>0.83382000000000001</v>
      </c>
      <c r="O93" s="126">
        <v>0.2</v>
      </c>
      <c r="P93" s="126">
        <v>0.1</v>
      </c>
      <c r="Q93" s="126">
        <v>1</v>
      </c>
      <c r="R93" s="52">
        <f>Q93*D93/C93/N93</f>
        <v>-4.2391599622790824E-6</v>
      </c>
      <c r="S93" s="52">
        <f>Q93*E93/C93/N93</f>
        <v>1.7309846579856273E-4</v>
      </c>
      <c r="T93" s="19">
        <f>M93*N93*O93/(P93*U93*L93)</f>
        <v>0.99987815358824694</v>
      </c>
      <c r="U93" s="19">
        <f>$AA$16</f>
        <v>1.0007059324270862</v>
      </c>
      <c r="V93" s="52">
        <f t="shared" si="152"/>
        <v>7.7923097257736945E-5</v>
      </c>
      <c r="W93" s="19">
        <f>R93+T93</f>
        <v>0.99987391442828466</v>
      </c>
      <c r="X93" s="2">
        <f>1000*(W93-1)</f>
        <v>-0.12608557171533974</v>
      </c>
      <c r="Y93" s="2">
        <f>1000*(S93-V93)</f>
        <v>9.5175368540825783E-2</v>
      </c>
      <c r="AA93" s="46">
        <f>100*-(X93-X91)/1000</f>
        <v>-5.5496373152497114E-5</v>
      </c>
      <c r="AB93" s="46">
        <f>100*-(Y93-Y91)/1000</f>
        <v>5.1595436286672675E-3</v>
      </c>
      <c r="AC93" s="46"/>
      <c r="AD93" s="46" t="s">
        <v>201</v>
      </c>
      <c r="AE93" s="46"/>
      <c r="AF93" s="46"/>
      <c r="AG93" s="46"/>
      <c r="AH93" s="46"/>
      <c r="AI93" s="46"/>
      <c r="AJ93" s="169">
        <v>12.1</v>
      </c>
      <c r="AK93" s="168"/>
      <c r="AL93" s="43" t="s">
        <v>195</v>
      </c>
      <c r="AM93" s="18">
        <v>0.2420341503</v>
      </c>
      <c r="AN93" s="18">
        <v>-8.5551723000000004E-7</v>
      </c>
      <c r="AO93" s="18">
        <v>3.4933506000000003E-5</v>
      </c>
      <c r="AP93" s="18">
        <v>6.6937022828975303E-8</v>
      </c>
      <c r="AQ93" s="18">
        <v>9.4434626161366796E-8</v>
      </c>
      <c r="AR93" s="18">
        <v>1.1250084961456899E-7</v>
      </c>
      <c r="AS93">
        <v>13</v>
      </c>
      <c r="AT93">
        <v>2</v>
      </c>
    </row>
    <row r="94" spans="1:46" x14ac:dyDescent="0.2">
      <c r="R94" s="52"/>
      <c r="S94" s="52"/>
      <c r="T94" s="19"/>
      <c r="U94" s="19"/>
      <c r="V94" s="52"/>
      <c r="W94" s="19"/>
      <c r="X94" s="2"/>
      <c r="Y94" s="2"/>
      <c r="AJ94" s="2"/>
    </row>
    <row r="95" spans="1:46" x14ac:dyDescent="0.2">
      <c r="A95">
        <f>ROW()</f>
        <v>95</v>
      </c>
      <c r="B95" s="45" t="s">
        <v>215</v>
      </c>
      <c r="R95" s="50"/>
      <c r="S95" s="50"/>
      <c r="AB95" t="s">
        <v>64</v>
      </c>
    </row>
    <row r="96" spans="1:46" x14ac:dyDescent="0.2">
      <c r="A96">
        <f>ROW()</f>
        <v>96</v>
      </c>
      <c r="C96" s="5" t="str">
        <f>B100&amp;" range, "&amp;B102&amp;", vs shunts and 500 AT on "&amp;B104&amp;" range."</f>
        <v>30/5 range, l - 1200At(5A), vs shunts and 500 AT on 50/5 range.</v>
      </c>
      <c r="J96" s="5" t="s">
        <v>182</v>
      </c>
      <c r="R96" s="50"/>
      <c r="S96" s="50"/>
      <c r="AB96" t="s">
        <v>65</v>
      </c>
    </row>
    <row r="97" spans="1:31" x14ac:dyDescent="0.2">
      <c r="A97">
        <f>ROW()</f>
        <v>97</v>
      </c>
      <c r="B97" s="4">
        <v>43369</v>
      </c>
      <c r="R97" s="50"/>
      <c r="S97" s="50"/>
      <c r="AB97" t="s">
        <v>6</v>
      </c>
      <c r="AC97" t="s">
        <v>7</v>
      </c>
    </row>
    <row r="98" spans="1:31" x14ac:dyDescent="0.2">
      <c r="A98">
        <f>ROW()</f>
        <v>98</v>
      </c>
      <c r="B98" s="43" t="s">
        <v>51</v>
      </c>
      <c r="C98">
        <v>2.4716728223999999E-2</v>
      </c>
      <c r="D98" s="18">
        <v>-1.022691127E-7</v>
      </c>
      <c r="E98" s="18">
        <v>1.3078631E-5</v>
      </c>
      <c r="F98" s="18">
        <v>1.7767973212675301E-8</v>
      </c>
      <c r="G98" s="18">
        <v>9.6212884633275096E-8</v>
      </c>
      <c r="H98" s="18">
        <v>1.3283672511395301E-7</v>
      </c>
      <c r="I98" s="2">
        <v>20.73</v>
      </c>
      <c r="J98" s="17">
        <f t="shared" ref="J98:J104" si="155">100*C98/0.5</f>
        <v>4.9433456447999999</v>
      </c>
      <c r="K98" s="2">
        <f t="shared" ref="K98:K104" si="156">C98/P98</f>
        <v>0.24716728223999998</v>
      </c>
      <c r="L98">
        <v>10</v>
      </c>
      <c r="M98">
        <v>6</v>
      </c>
      <c r="N98">
        <v>0.83384899999999995</v>
      </c>
      <c r="O98">
        <v>0.2</v>
      </c>
      <c r="P98">
        <v>0.1</v>
      </c>
      <c r="Q98">
        <v>1</v>
      </c>
      <c r="R98" s="52">
        <f t="shared" ref="R98:R104" si="157">Q98*D98/C98/N98</f>
        <v>-4.9621066404647931E-6</v>
      </c>
      <c r="S98" s="52">
        <f t="shared" ref="S98:S104" si="158">Q98*E98/C98/N98</f>
        <v>6.3457636445582162E-4</v>
      </c>
      <c r="T98" s="19">
        <f t="shared" ref="T98:T104" si="159">M98*N98*O98/(P98*U98*L98)</f>
        <v>0.99991292903912865</v>
      </c>
      <c r="U98" s="19">
        <f t="shared" ref="U98:U104" si="160">$AA$16</f>
        <v>1.0007059324270862</v>
      </c>
      <c r="V98" s="52">
        <f>AA$17</f>
        <v>1.1927894179369755E-4</v>
      </c>
      <c r="W98" s="19">
        <f t="shared" ref="W98:W104" si="161">R98+T98</f>
        <v>0.99990796693248818</v>
      </c>
      <c r="X98" s="2">
        <f t="shared" ref="X98:X104" si="162">1000*(W98-1)</f>
        <v>-9.2033067511820832E-2</v>
      </c>
      <c r="Y98" s="2">
        <f t="shared" ref="Y98:Y104" si="163">1000*(S98-V98)</f>
        <v>0.51529742266212408</v>
      </c>
      <c r="Z98" s="51">
        <f t="shared" ref="Z98:Z104" si="164">((C98*N98)^2/P98-$AB$10)*$Z$28*0.001</f>
        <v>-7.8683869360567701E-4</v>
      </c>
      <c r="AA98" s="51">
        <f>(C98^2/O98-$Z$10)*$AB$5*0.001</f>
        <v>-9.928229105739775E-5</v>
      </c>
      <c r="AB98" s="2">
        <f t="shared" ref="AB98:AB104" si="165">0.5*(X98+X106)+AA98-Z98</f>
        <v>-0.10347277552634479</v>
      </c>
      <c r="AC98" s="2">
        <f t="shared" ref="AC98:AC104" si="166">0.5*(Y98+Y106)</f>
        <v>0.54293534872870519</v>
      </c>
      <c r="AD98" s="2"/>
      <c r="AE98" s="2"/>
    </row>
    <row r="99" spans="1:31" x14ac:dyDescent="0.2">
      <c r="A99">
        <f>ROW()</f>
        <v>99</v>
      </c>
      <c r="B99" s="5" t="s">
        <v>110</v>
      </c>
      <c r="C99">
        <v>5.0558376362000002E-2</v>
      </c>
      <c r="D99" s="18">
        <v>-7.4183963500000003E-7</v>
      </c>
      <c r="E99" s="18">
        <v>2.5260036000000001E-5</v>
      </c>
      <c r="F99" s="18">
        <v>1.10031921959866E-8</v>
      </c>
      <c r="G99" s="18">
        <v>2.6832134638457802E-7</v>
      </c>
      <c r="H99" s="18">
        <v>3.3893918392537897E-8</v>
      </c>
      <c r="I99" s="2">
        <v>20.73</v>
      </c>
      <c r="J99" s="17">
        <f t="shared" si="155"/>
        <v>10.111675272399999</v>
      </c>
      <c r="K99" s="2">
        <f t="shared" si="156"/>
        <v>0.50558376362000002</v>
      </c>
      <c r="L99">
        <v>10</v>
      </c>
      <c r="M99">
        <v>6</v>
      </c>
      <c r="N99">
        <v>0.83384899999999995</v>
      </c>
      <c r="O99">
        <v>0.2</v>
      </c>
      <c r="P99">
        <v>0.1</v>
      </c>
      <c r="Q99">
        <v>1</v>
      </c>
      <c r="R99" s="52">
        <f t="shared" si="157"/>
        <v>-1.7596629999592806E-5</v>
      </c>
      <c r="S99" s="52">
        <f t="shared" si="158"/>
        <v>5.9917465486781954E-4</v>
      </c>
      <c r="T99" s="19">
        <f t="shared" si="159"/>
        <v>0.99991292903912865</v>
      </c>
      <c r="U99" s="19">
        <f t="shared" si="160"/>
        <v>1.0007059324270862</v>
      </c>
      <c r="V99" s="52">
        <f t="shared" ref="V99:V104" si="167">AA$17</f>
        <v>1.1927894179369755E-4</v>
      </c>
      <c r="W99" s="19">
        <f t="shared" si="161"/>
        <v>0.99989533240912909</v>
      </c>
      <c r="X99" s="2">
        <f t="shared" si="162"/>
        <v>-0.10466759087091049</v>
      </c>
      <c r="Y99" s="2">
        <f t="shared" si="163"/>
        <v>0.47989571307412199</v>
      </c>
      <c r="Z99" s="51">
        <f t="shared" si="164"/>
        <v>-6.7594515740366904E-4</v>
      </c>
      <c r="AA99" s="51">
        <f t="shared" ref="AA99:AA104" si="168">(C99^2/O99-$Z$10)*$AB$5*0.001</f>
        <v>-7.8760085373327722E-5</v>
      </c>
      <c r="AB99" s="2">
        <f t="shared" si="165"/>
        <v>-0.10980229599264101</v>
      </c>
      <c r="AC99" s="2">
        <f t="shared" si="166"/>
        <v>0.50974463799992697</v>
      </c>
      <c r="AD99" s="2"/>
      <c r="AE99" s="2"/>
    </row>
    <row r="100" spans="1:31" x14ac:dyDescent="0.2">
      <c r="A100">
        <f>ROW()</f>
        <v>100</v>
      </c>
      <c r="B100" s="64" t="s">
        <v>113</v>
      </c>
      <c r="C100">
        <v>0.10016200984</v>
      </c>
      <c r="D100" s="18">
        <v>-2.1572371000000002E-6</v>
      </c>
      <c r="E100" s="18">
        <v>4.7775794000000001E-5</v>
      </c>
      <c r="F100" s="18">
        <v>2.1722774754613999E-8</v>
      </c>
      <c r="G100" s="18">
        <v>8.6250487202044199E-8</v>
      </c>
      <c r="H100" s="18">
        <v>3.02815367119966E-7</v>
      </c>
      <c r="I100" s="2">
        <v>20.73</v>
      </c>
      <c r="J100" s="17">
        <f t="shared" si="155"/>
        <v>20.032401967999999</v>
      </c>
      <c r="K100" s="2">
        <f t="shared" si="156"/>
        <v>1.0016200983999999</v>
      </c>
      <c r="L100">
        <v>10</v>
      </c>
      <c r="M100">
        <v>6</v>
      </c>
      <c r="N100">
        <v>0.83384899999999995</v>
      </c>
      <c r="O100">
        <v>0.2</v>
      </c>
      <c r="P100">
        <v>0.1</v>
      </c>
      <c r="Q100">
        <v>1</v>
      </c>
      <c r="R100" s="52">
        <f t="shared" si="157"/>
        <v>-2.582899081978044E-5</v>
      </c>
      <c r="S100" s="52">
        <f t="shared" si="158"/>
        <v>5.7202824141756197E-4</v>
      </c>
      <c r="T100" s="19">
        <f t="shared" si="159"/>
        <v>0.99991292903912865</v>
      </c>
      <c r="U100" s="19">
        <f t="shared" si="160"/>
        <v>1.0007059324270862</v>
      </c>
      <c r="V100" s="52">
        <f t="shared" si="167"/>
        <v>1.1927894179369755E-4</v>
      </c>
      <c r="W100" s="19">
        <f t="shared" si="161"/>
        <v>0.99988710004830883</v>
      </c>
      <c r="X100" s="2">
        <f t="shared" si="162"/>
        <v>-0.11289995169116995</v>
      </c>
      <c r="Y100" s="2">
        <f t="shared" si="163"/>
        <v>0.4527492996238644</v>
      </c>
      <c r="Z100" s="51">
        <f t="shared" si="164"/>
        <v>-2.4973858327561178E-4</v>
      </c>
      <c r="AA100" s="51">
        <f t="shared" si="168"/>
        <v>1.1465591209305937E-7</v>
      </c>
      <c r="AB100" s="2">
        <f t="shared" si="165"/>
        <v>-0.12595280697793518</v>
      </c>
      <c r="AC100" s="2">
        <f t="shared" si="166"/>
        <v>0.46717774913621901</v>
      </c>
      <c r="AD100" s="2"/>
      <c r="AE100" s="2"/>
    </row>
    <row r="101" spans="1:31" x14ac:dyDescent="0.2">
      <c r="A101">
        <f>ROW()</f>
        <v>101</v>
      </c>
      <c r="B101" s="67" t="s">
        <v>112</v>
      </c>
      <c r="C101">
        <v>0.20006912714</v>
      </c>
      <c r="D101" s="18">
        <v>-6.2286023000000104E-6</v>
      </c>
      <c r="E101" s="18">
        <v>8.9896355999999995E-5</v>
      </c>
      <c r="F101" s="18">
        <v>5.6151627063167901E-8</v>
      </c>
      <c r="G101" s="18">
        <v>2.3651279747827701E-8</v>
      </c>
      <c r="H101" s="18">
        <v>3.4110380590079402E-8</v>
      </c>
      <c r="I101" s="2">
        <v>20.73</v>
      </c>
      <c r="J101" s="17">
        <f t="shared" si="155"/>
        <v>40.013825427999997</v>
      </c>
      <c r="K101" s="2">
        <f t="shared" si="156"/>
        <v>2.0006912714</v>
      </c>
      <c r="L101">
        <v>10</v>
      </c>
      <c r="M101">
        <v>6</v>
      </c>
      <c r="N101">
        <v>0.83384899999999995</v>
      </c>
      <c r="O101">
        <v>0.2</v>
      </c>
      <c r="P101">
        <v>0.1</v>
      </c>
      <c r="Q101">
        <v>1</v>
      </c>
      <c r="R101" s="52">
        <f t="shared" si="157"/>
        <v>-3.7335598031063832E-5</v>
      </c>
      <c r="S101" s="52">
        <f t="shared" si="158"/>
        <v>5.388583265419607E-4</v>
      </c>
      <c r="T101" s="19">
        <f t="shared" si="159"/>
        <v>0.99991292903912865</v>
      </c>
      <c r="U101" s="19">
        <f t="shared" si="160"/>
        <v>1.0007059324270862</v>
      </c>
      <c r="V101" s="52">
        <f t="shared" si="167"/>
        <v>1.1927894179369755E-4</v>
      </c>
      <c r="W101" s="19">
        <f t="shared" si="161"/>
        <v>0.99987559344109755</v>
      </c>
      <c r="X101" s="2">
        <f t="shared" si="162"/>
        <v>-0.12440655890244567</v>
      </c>
      <c r="Y101" s="2">
        <f t="shared" si="163"/>
        <v>0.41957938474826312</v>
      </c>
      <c r="Z101" s="51">
        <f t="shared" si="164"/>
        <v>1.4602248182296036E-3</v>
      </c>
      <c r="AA101" s="51">
        <f t="shared" si="168"/>
        <v>3.1656430518648061E-4</v>
      </c>
      <c r="AB101" s="2">
        <f t="shared" si="165"/>
        <v>-0.13913702862275543</v>
      </c>
      <c r="AC101" s="2">
        <f t="shared" si="166"/>
        <v>0.4356243941888146</v>
      </c>
      <c r="AD101" s="2"/>
      <c r="AE101" s="2"/>
    </row>
    <row r="102" spans="1:31" ht="13.5" x14ac:dyDescent="0.25">
      <c r="A102">
        <f>ROW()</f>
        <v>102</v>
      </c>
      <c r="B102" s="163" t="s">
        <v>181</v>
      </c>
      <c r="C102">
        <v>0.3011010449</v>
      </c>
      <c r="D102" s="18">
        <v>-9.3119431000000006E-6</v>
      </c>
      <c r="E102" s="18">
        <v>1.3942089000000001E-4</v>
      </c>
      <c r="F102" s="18">
        <v>2.8372890923353702E-6</v>
      </c>
      <c r="G102" s="18">
        <v>4.5163311643345E-7</v>
      </c>
      <c r="H102" s="18">
        <v>1.1773392790100901E-6</v>
      </c>
      <c r="I102" s="2">
        <v>20.73</v>
      </c>
      <c r="J102" s="17">
        <f t="shared" si="155"/>
        <v>60.220208980000002</v>
      </c>
      <c r="K102" s="2">
        <f t="shared" si="156"/>
        <v>3.011010449</v>
      </c>
      <c r="L102">
        <v>10</v>
      </c>
      <c r="M102">
        <v>6</v>
      </c>
      <c r="N102">
        <v>0.83384899999999995</v>
      </c>
      <c r="O102">
        <v>0.2</v>
      </c>
      <c r="P102">
        <v>0.1</v>
      </c>
      <c r="Q102">
        <v>1</v>
      </c>
      <c r="R102" s="52">
        <f t="shared" si="157"/>
        <v>-3.7088616957128927E-5</v>
      </c>
      <c r="S102" s="52">
        <f t="shared" si="158"/>
        <v>5.553006423580925E-4</v>
      </c>
      <c r="T102" s="19">
        <f t="shared" si="159"/>
        <v>0.99991292903912865</v>
      </c>
      <c r="U102" s="19">
        <f t="shared" si="160"/>
        <v>1.0007059324270862</v>
      </c>
      <c r="V102" s="52">
        <f t="shared" si="167"/>
        <v>1.1927894179369755E-4</v>
      </c>
      <c r="W102" s="19">
        <f t="shared" si="161"/>
        <v>0.99987584042217148</v>
      </c>
      <c r="X102" s="2">
        <f t="shared" si="162"/>
        <v>-0.12415957782851983</v>
      </c>
      <c r="Y102" s="2">
        <f t="shared" si="163"/>
        <v>0.43602170056439493</v>
      </c>
      <c r="Z102" s="51">
        <f t="shared" si="164"/>
        <v>4.3467707216707074E-3</v>
      </c>
      <c r="AA102" s="51">
        <f t="shared" si="168"/>
        <v>8.5075494222250456E-4</v>
      </c>
      <c r="AB102" s="2">
        <f t="shared" si="165"/>
        <v>-0.14155288639574698</v>
      </c>
      <c r="AC102" s="2">
        <f t="shared" si="166"/>
        <v>0.43405734566250065</v>
      </c>
      <c r="AD102" s="2"/>
      <c r="AE102" s="2"/>
    </row>
    <row r="103" spans="1:31" x14ac:dyDescent="0.2">
      <c r="A103">
        <f>ROW()</f>
        <v>103</v>
      </c>
      <c r="B103" s="66" t="s">
        <v>111</v>
      </c>
      <c r="C103">
        <v>0.50237822472000004</v>
      </c>
      <c r="D103" s="18">
        <v>-1.0490202E-5</v>
      </c>
      <c r="E103">
        <v>3.4184584000000002E-4</v>
      </c>
      <c r="F103" s="18">
        <v>2.71745840068431E-6</v>
      </c>
      <c r="G103" s="18">
        <v>2.9650625625778301E-9</v>
      </c>
      <c r="H103" s="18">
        <v>2.8499497864601101E-5</v>
      </c>
      <c r="I103" s="2">
        <v>20.73</v>
      </c>
      <c r="J103" s="17">
        <f t="shared" si="155"/>
        <v>100.47564494400001</v>
      </c>
      <c r="K103" s="2">
        <f t="shared" si="156"/>
        <v>5.0237822471999998</v>
      </c>
      <c r="L103">
        <v>10</v>
      </c>
      <c r="M103">
        <v>6</v>
      </c>
      <c r="N103">
        <v>0.83384899999999995</v>
      </c>
      <c r="O103">
        <v>0.2</v>
      </c>
      <c r="P103">
        <v>0.1</v>
      </c>
      <c r="Q103">
        <v>1</v>
      </c>
      <c r="R103" s="52">
        <f t="shared" si="157"/>
        <v>-2.5041805145597E-5</v>
      </c>
      <c r="S103" s="52">
        <f t="shared" si="158"/>
        <v>8.1604118920807519E-4</v>
      </c>
      <c r="T103" s="19">
        <f t="shared" si="159"/>
        <v>0.99991292903912865</v>
      </c>
      <c r="U103" s="19">
        <f t="shared" si="160"/>
        <v>1.0007059324270862</v>
      </c>
      <c r="V103" s="52">
        <f t="shared" si="167"/>
        <v>1.1927894179369755E-4</v>
      </c>
      <c r="W103" s="19">
        <f t="shared" si="161"/>
        <v>0.99988788723398303</v>
      </c>
      <c r="X103" s="2">
        <f t="shared" si="162"/>
        <v>-0.11211276601696962</v>
      </c>
      <c r="Y103" s="2">
        <f t="shared" si="163"/>
        <v>0.69676224741437764</v>
      </c>
      <c r="Z103" s="51">
        <f t="shared" si="164"/>
        <v>1.3566196472329943E-2</v>
      </c>
      <c r="AA103" s="51">
        <f t="shared" si="168"/>
        <v>2.5569224793400955E-3</v>
      </c>
      <c r="AB103" s="2">
        <f t="shared" si="165"/>
        <v>-0.14064648221538942</v>
      </c>
      <c r="AC103" s="2">
        <f t="shared" si="166"/>
        <v>0.80546484641876848</v>
      </c>
      <c r="AD103" s="2"/>
      <c r="AE103" s="2"/>
    </row>
    <row r="104" spans="1:31" x14ac:dyDescent="0.2">
      <c r="A104">
        <f>ROW()</f>
        <v>104</v>
      </c>
      <c r="B104" s="65" t="s">
        <v>114</v>
      </c>
      <c r="C104">
        <v>0.60116460236000002</v>
      </c>
      <c r="D104" s="18">
        <v>-6.3294516999999897E-6</v>
      </c>
      <c r="E104">
        <v>5.5334106999999999E-4</v>
      </c>
      <c r="F104" s="18">
        <v>5.2794693767995897E-6</v>
      </c>
      <c r="G104" s="18">
        <v>2.0055962963912001E-6</v>
      </c>
      <c r="H104" s="18">
        <v>2.40528483395439E-5</v>
      </c>
      <c r="I104" s="2">
        <v>20.73</v>
      </c>
      <c r="J104" s="17">
        <f t="shared" si="155"/>
        <v>120.232920472</v>
      </c>
      <c r="K104" s="2">
        <f t="shared" si="156"/>
        <v>6.0116460236</v>
      </c>
      <c r="L104">
        <v>10</v>
      </c>
      <c r="M104">
        <v>6</v>
      </c>
      <c r="N104">
        <v>0.83384899999999995</v>
      </c>
      <c r="O104">
        <v>0.2</v>
      </c>
      <c r="P104">
        <v>0.1</v>
      </c>
      <c r="Q104">
        <v>1</v>
      </c>
      <c r="R104" s="52">
        <f t="shared" si="157"/>
        <v>-1.2626566699215002E-5</v>
      </c>
      <c r="S104" s="52">
        <f t="shared" si="158"/>
        <v>1.1038551613830956E-3</v>
      </c>
      <c r="T104" s="19">
        <f t="shared" si="159"/>
        <v>0.99991292903912865</v>
      </c>
      <c r="U104" s="19">
        <f t="shared" si="160"/>
        <v>1.0007059324270862</v>
      </c>
      <c r="V104" s="52">
        <f t="shared" si="167"/>
        <v>1.1927894179369755E-4</v>
      </c>
      <c r="W104" s="19">
        <f t="shared" si="161"/>
        <v>0.99990030247242945</v>
      </c>
      <c r="X104" s="2">
        <f t="shared" si="162"/>
        <v>-9.9697527570552502E-2</v>
      </c>
      <c r="Y104" s="2">
        <f t="shared" si="163"/>
        <v>0.98457621958939812</v>
      </c>
      <c r="Z104" s="51">
        <f t="shared" si="164"/>
        <v>1.978090706517751E-2</v>
      </c>
      <c r="AA104" s="51">
        <f t="shared" si="168"/>
        <v>3.7070307130702869E-3</v>
      </c>
      <c r="AB104" s="2">
        <f t="shared" si="165"/>
        <v>-0.12728509096782126</v>
      </c>
      <c r="AC104" s="2">
        <f t="shared" si="166"/>
        <v>0.94012045726841609</v>
      </c>
      <c r="AD104" s="2"/>
      <c r="AE104" s="2"/>
    </row>
    <row r="105" spans="1:31" x14ac:dyDescent="0.2">
      <c r="A105">
        <f>ROW()</f>
        <v>105</v>
      </c>
      <c r="R105" s="52"/>
      <c r="S105" s="52"/>
      <c r="U105" s="19"/>
      <c r="V105" s="52"/>
    </row>
    <row r="106" spans="1:31" x14ac:dyDescent="0.2">
      <c r="A106">
        <f>ROW()</f>
        <v>106</v>
      </c>
      <c r="B106" s="43" t="s">
        <v>52</v>
      </c>
      <c r="C106">
        <v>2.4976080758000001E-2</v>
      </c>
      <c r="D106" s="18">
        <v>-6.0847383000000002E-7</v>
      </c>
      <c r="E106" s="18">
        <v>1.3505767E-5</v>
      </c>
      <c r="F106" s="18">
        <v>1.8099335093798099E-8</v>
      </c>
      <c r="G106" s="18">
        <v>9.7463225957389203E-8</v>
      </c>
      <c r="H106" s="18">
        <v>6.7487923445606101E-8</v>
      </c>
      <c r="I106" s="2">
        <v>20.66</v>
      </c>
      <c r="J106" s="17">
        <f t="shared" ref="J106:J112" si="169">100*C106/0.5</f>
        <v>4.9952161516000002</v>
      </c>
      <c r="K106" s="2">
        <f t="shared" ref="K106:K112" si="170">C106/P106</f>
        <v>0.24976080757999999</v>
      </c>
      <c r="L106">
        <v>10</v>
      </c>
      <c r="M106">
        <v>6</v>
      </c>
      <c r="N106">
        <v>0.83384899999999995</v>
      </c>
      <c r="O106">
        <v>0.2</v>
      </c>
      <c r="P106">
        <v>0.1</v>
      </c>
      <c r="Q106">
        <v>1</v>
      </c>
      <c r="R106" s="52">
        <f t="shared" ref="R106:R112" si="171">Q106*D106/C106/N106</f>
        <v>-2.9216635474624131E-5</v>
      </c>
      <c r="S106" s="52">
        <f t="shared" ref="S106:S112" si="172">Q106*E106/C106/N106</f>
        <v>6.4849637205302308E-4</v>
      </c>
      <c r="T106" s="19">
        <f t="shared" ref="T106:T112" si="173">M106*N106*O106/(P106*U106*L106)</f>
        <v>0.99991292903912865</v>
      </c>
      <c r="U106" s="19">
        <f t="shared" ref="U106:U113" si="174">$AA$16</f>
        <v>1.0007059324270862</v>
      </c>
      <c r="V106" s="52">
        <f>$AA$26</f>
        <v>7.7923097257736945E-5</v>
      </c>
      <c r="W106" s="19">
        <f t="shared" ref="W106:W112" si="175">R106+T106</f>
        <v>0.99988371240365403</v>
      </c>
      <c r="X106" s="2">
        <f t="shared" ref="X106:X112" si="176">1000*(W106-1)</f>
        <v>-0.11628759634596531</v>
      </c>
      <c r="Y106" s="2">
        <f t="shared" ref="Y106:Y112" si="177">1000*(S106-V106)</f>
        <v>0.57057327479528619</v>
      </c>
    </row>
    <row r="107" spans="1:31" x14ac:dyDescent="0.2">
      <c r="A107">
        <f>ROW()</f>
        <v>107</v>
      </c>
      <c r="C107">
        <v>5.0348254167999998E-2</v>
      </c>
      <c r="D107" s="18">
        <v>-1.2200386E-6</v>
      </c>
      <c r="E107" s="18">
        <v>2.5925104000000001E-5</v>
      </c>
      <c r="F107" s="18">
        <v>4.3931532991316598E-9</v>
      </c>
      <c r="G107" s="18">
        <v>1.5137781521755399E-7</v>
      </c>
      <c r="H107" s="18">
        <v>2.5969205337091102E-7</v>
      </c>
      <c r="I107" s="2">
        <v>20.66</v>
      </c>
      <c r="J107" s="17">
        <f t="shared" si="169"/>
        <v>10.069650833599999</v>
      </c>
      <c r="K107" s="2">
        <f t="shared" si="170"/>
        <v>0.50348254167999995</v>
      </c>
      <c r="L107">
        <v>10</v>
      </c>
      <c r="M107">
        <v>6</v>
      </c>
      <c r="N107">
        <v>0.83384899999999995</v>
      </c>
      <c r="O107">
        <v>0.2</v>
      </c>
      <c r="P107">
        <v>0.1</v>
      </c>
      <c r="Q107">
        <v>1</v>
      </c>
      <c r="R107" s="52">
        <f t="shared" si="171"/>
        <v>-2.9060410387048603E-5</v>
      </c>
      <c r="S107" s="52">
        <f t="shared" si="172"/>
        <v>6.1751666018346901E-4</v>
      </c>
      <c r="T107" s="19">
        <f t="shared" si="173"/>
        <v>0.99991292903912865</v>
      </c>
      <c r="U107" s="19">
        <f t="shared" si="174"/>
        <v>1.0007059324270862</v>
      </c>
      <c r="V107" s="52">
        <f t="shared" ref="V107:V115" si="178">$AA$26</f>
        <v>7.7923097257736945E-5</v>
      </c>
      <c r="W107" s="19">
        <f t="shared" si="175"/>
        <v>0.99988386862874157</v>
      </c>
      <c r="X107" s="2">
        <f t="shared" si="176"/>
        <v>-0.1161313712584322</v>
      </c>
      <c r="Y107" s="2">
        <f t="shared" si="177"/>
        <v>0.53959356292573202</v>
      </c>
    </row>
    <row r="108" spans="1:31" x14ac:dyDescent="0.2">
      <c r="A108">
        <f>ROW()</f>
        <v>108</v>
      </c>
      <c r="C108">
        <v>0.10063986782000001</v>
      </c>
      <c r="D108" s="18">
        <v>-4.4002144000000004E-6</v>
      </c>
      <c r="E108" s="18">
        <v>4.6954832999999997E-5</v>
      </c>
      <c r="F108" s="18">
        <v>1.5165793344249001E-8</v>
      </c>
      <c r="G108" s="18">
        <v>3.4088093531906503E-8</v>
      </c>
      <c r="H108" s="18">
        <v>1.05994180080795E-7</v>
      </c>
      <c r="I108" s="2">
        <v>20.66</v>
      </c>
      <c r="J108" s="17">
        <f t="shared" si="169"/>
        <v>20.127973564000001</v>
      </c>
      <c r="K108" s="2">
        <f t="shared" si="170"/>
        <v>1.0063986782000001</v>
      </c>
      <c r="L108">
        <v>10</v>
      </c>
      <c r="M108">
        <v>6</v>
      </c>
      <c r="N108">
        <v>0.83384899999999995</v>
      </c>
      <c r="O108">
        <v>0.2</v>
      </c>
      <c r="P108">
        <v>0.1</v>
      </c>
      <c r="Q108">
        <v>1</v>
      </c>
      <c r="R108" s="52">
        <f t="shared" si="171"/>
        <v>-5.2434407871684038E-5</v>
      </c>
      <c r="S108" s="52">
        <f t="shared" si="172"/>
        <v>5.5952929590631065E-4</v>
      </c>
      <c r="T108" s="19">
        <f t="shared" si="173"/>
        <v>0.99991292903912865</v>
      </c>
      <c r="U108" s="19">
        <f t="shared" si="174"/>
        <v>1.0007059324270862</v>
      </c>
      <c r="V108" s="52">
        <f t="shared" si="178"/>
        <v>7.7923097257736945E-5</v>
      </c>
      <c r="W108" s="19">
        <f t="shared" si="175"/>
        <v>0.99986049463125692</v>
      </c>
      <c r="X108" s="2">
        <f t="shared" si="176"/>
        <v>-0.13950536874307584</v>
      </c>
      <c r="Y108" s="2">
        <f t="shared" si="177"/>
        <v>0.48160619864857368</v>
      </c>
    </row>
    <row r="109" spans="1:31" x14ac:dyDescent="0.2">
      <c r="A109">
        <f>ROW()</f>
        <v>109</v>
      </c>
      <c r="C109">
        <v>0.20028569632000001</v>
      </c>
      <c r="D109" s="18">
        <v>-1.0773557E-5</v>
      </c>
      <c r="E109" s="18">
        <v>8.8446199000000004E-5</v>
      </c>
      <c r="F109" s="18">
        <v>6.2230245544789699E-8</v>
      </c>
      <c r="G109" s="18">
        <v>1.8977632268278399E-7</v>
      </c>
      <c r="H109" s="18">
        <v>1.03033783289754E-7</v>
      </c>
      <c r="I109" s="2">
        <v>20.66</v>
      </c>
      <c r="J109" s="17">
        <f t="shared" si="169"/>
        <v>40.057139264</v>
      </c>
      <c r="K109" s="2">
        <f t="shared" si="170"/>
        <v>2.0028569632000002</v>
      </c>
      <c r="L109">
        <v>10</v>
      </c>
      <c r="M109">
        <v>6</v>
      </c>
      <c r="N109">
        <v>0.83384899999999995</v>
      </c>
      <c r="O109">
        <v>0.2</v>
      </c>
      <c r="P109">
        <v>0.1</v>
      </c>
      <c r="Q109">
        <v>1</v>
      </c>
      <c r="R109" s="52">
        <f t="shared" si="171"/>
        <v>-6.4509216445579018E-5</v>
      </c>
      <c r="S109" s="52">
        <f t="shared" si="172"/>
        <v>5.2959250088710302E-4</v>
      </c>
      <c r="T109" s="19">
        <f t="shared" si="173"/>
        <v>0.99991292903912865</v>
      </c>
      <c r="U109" s="19">
        <f t="shared" si="174"/>
        <v>1.0007059324270862</v>
      </c>
      <c r="V109" s="52">
        <f t="shared" si="178"/>
        <v>7.7923097257736945E-5</v>
      </c>
      <c r="W109" s="19">
        <f t="shared" si="175"/>
        <v>0.99984841982268302</v>
      </c>
      <c r="X109" s="2">
        <f t="shared" si="176"/>
        <v>-0.15158017731697893</v>
      </c>
      <c r="Y109" s="2">
        <f t="shared" si="177"/>
        <v>0.45166940362936608</v>
      </c>
    </row>
    <row r="110" spans="1:31" x14ac:dyDescent="0.2">
      <c r="A110">
        <f>ROW()</f>
        <v>110</v>
      </c>
      <c r="C110">
        <v>0.30013901195999998</v>
      </c>
      <c r="D110" s="18">
        <v>-1.6238359000000001E-5</v>
      </c>
      <c r="E110" s="18">
        <v>1.2764204E-4</v>
      </c>
      <c r="F110" s="18">
        <v>6.0591557108652996E-7</v>
      </c>
      <c r="G110" s="18">
        <v>2.2297779400424601E-7</v>
      </c>
      <c r="H110" s="18">
        <v>3.4985116835589601E-8</v>
      </c>
      <c r="I110" s="2">
        <v>20.66</v>
      </c>
      <c r="J110" s="17">
        <f t="shared" si="169"/>
        <v>60.027802391999998</v>
      </c>
      <c r="K110" s="2">
        <f t="shared" si="170"/>
        <v>3.0013901195999995</v>
      </c>
      <c r="L110">
        <v>10</v>
      </c>
      <c r="M110">
        <v>6</v>
      </c>
      <c r="N110">
        <v>0.83384899999999995</v>
      </c>
      <c r="O110">
        <v>0.2</v>
      </c>
      <c r="P110">
        <v>0.1</v>
      </c>
      <c r="Q110">
        <v>1</v>
      </c>
      <c r="R110" s="52">
        <f t="shared" si="171"/>
        <v>-6.4883202532781977E-5</v>
      </c>
      <c r="S110" s="52">
        <f t="shared" si="172"/>
        <v>5.1001608801834334E-4</v>
      </c>
      <c r="T110" s="19">
        <f t="shared" si="173"/>
        <v>0.99991292903912865</v>
      </c>
      <c r="U110" s="19">
        <f t="shared" si="174"/>
        <v>1.0007059324270862</v>
      </c>
      <c r="V110" s="52">
        <f t="shared" si="178"/>
        <v>7.7923097257736945E-5</v>
      </c>
      <c r="W110" s="19">
        <f t="shared" si="175"/>
        <v>0.99984804583659592</v>
      </c>
      <c r="X110" s="2">
        <f t="shared" si="176"/>
        <v>-0.15195416340407775</v>
      </c>
      <c r="Y110" s="2">
        <f t="shared" si="177"/>
        <v>0.43209299076060637</v>
      </c>
    </row>
    <row r="111" spans="1:31" x14ac:dyDescent="0.2">
      <c r="A111">
        <f>ROW()</f>
        <v>111</v>
      </c>
      <c r="C111">
        <v>0.50083572491999995</v>
      </c>
      <c r="D111" s="18">
        <v>-2.5095156E-5</v>
      </c>
      <c r="E111" s="18">
        <v>4.1431820999999997E-4</v>
      </c>
      <c r="F111" s="18">
        <v>4.4473642101820998E-6</v>
      </c>
      <c r="G111" s="18">
        <v>5.2329681851125398E-7</v>
      </c>
      <c r="H111" s="18">
        <v>2.4987074166974801E-5</v>
      </c>
      <c r="I111" s="2">
        <v>20.67</v>
      </c>
      <c r="J111" s="17">
        <f t="shared" si="169"/>
        <v>100.16714498399999</v>
      </c>
      <c r="K111" s="2">
        <f t="shared" si="170"/>
        <v>5.0083572491999995</v>
      </c>
      <c r="L111">
        <v>10</v>
      </c>
      <c r="M111">
        <v>6</v>
      </c>
      <c r="N111">
        <v>0.83384899999999995</v>
      </c>
      <c r="O111">
        <v>0.2</v>
      </c>
      <c r="P111">
        <v>0.1</v>
      </c>
      <c r="Q111">
        <v>1</v>
      </c>
      <c r="R111" s="52">
        <f t="shared" si="171"/>
        <v>-6.0090689556468568E-5</v>
      </c>
      <c r="S111" s="52">
        <f t="shared" si="172"/>
        <v>9.9209054268089626E-4</v>
      </c>
      <c r="T111" s="19">
        <f t="shared" si="173"/>
        <v>0.99991292903912865</v>
      </c>
      <c r="U111" s="19">
        <f t="shared" si="174"/>
        <v>1.0007059324270862</v>
      </c>
      <c r="V111" s="52">
        <f t="shared" si="178"/>
        <v>7.7923097257736945E-5</v>
      </c>
      <c r="W111" s="19">
        <f t="shared" si="175"/>
        <v>0.99985283834957217</v>
      </c>
      <c r="X111" s="2">
        <f t="shared" si="176"/>
        <v>-0.14716165042782947</v>
      </c>
      <c r="Y111" s="2">
        <f t="shared" si="177"/>
        <v>0.91416744542315931</v>
      </c>
    </row>
    <row r="112" spans="1:31" x14ac:dyDescent="0.2">
      <c r="A112">
        <f>ROW()</f>
        <v>112</v>
      </c>
      <c r="C112">
        <v>0.60209556911999995</v>
      </c>
      <c r="D112" s="18">
        <v>-1.7900303E-5</v>
      </c>
      <c r="E112">
        <v>4.8879635999999997E-4</v>
      </c>
      <c r="F112" s="18">
        <v>3.6657623856771498E-6</v>
      </c>
      <c r="G112" s="18">
        <v>5.1949477080236302E-7</v>
      </c>
      <c r="H112" s="18">
        <v>3.0725185185290599E-5</v>
      </c>
      <c r="I112" s="2">
        <v>20.67</v>
      </c>
      <c r="J112" s="17">
        <f t="shared" si="169"/>
        <v>120.41911382399999</v>
      </c>
      <c r="K112" s="2">
        <f t="shared" si="170"/>
        <v>6.0209556911999993</v>
      </c>
      <c r="L112">
        <v>10</v>
      </c>
      <c r="M112">
        <v>6</v>
      </c>
      <c r="N112">
        <v>0.83384899999999995</v>
      </c>
      <c r="O112">
        <v>0.2</v>
      </c>
      <c r="P112">
        <v>0.1</v>
      </c>
      <c r="Q112">
        <v>1</v>
      </c>
      <c r="R112" s="52">
        <f t="shared" si="171"/>
        <v>-3.5653940789521426E-5</v>
      </c>
      <c r="S112" s="52">
        <f t="shared" si="172"/>
        <v>9.7358779220517097E-4</v>
      </c>
      <c r="T112" s="19">
        <f t="shared" si="173"/>
        <v>0.99991292903912865</v>
      </c>
      <c r="U112" s="19">
        <f t="shared" si="174"/>
        <v>1.0007059324270862</v>
      </c>
      <c r="V112" s="52">
        <f t="shared" si="178"/>
        <v>7.7923097257736945E-5</v>
      </c>
      <c r="W112" s="19">
        <f t="shared" si="175"/>
        <v>0.99987727509833912</v>
      </c>
      <c r="X112" s="2">
        <f t="shared" si="176"/>
        <v>-0.12272490166087557</v>
      </c>
      <c r="Y112" s="2">
        <f t="shared" si="177"/>
        <v>0.89566469494743406</v>
      </c>
    </row>
    <row r="113" spans="1:29" x14ac:dyDescent="0.2">
      <c r="A113">
        <f>ROW()</f>
        <v>113</v>
      </c>
      <c r="B113" s="122" t="s">
        <v>51</v>
      </c>
      <c r="C113" s="122">
        <v>0.30243963864000001</v>
      </c>
      <c r="D113" s="123">
        <v>-7.9442309000000008E-6</v>
      </c>
      <c r="E113" s="123">
        <v>1.6053787999999999E-4</v>
      </c>
      <c r="F113" s="123">
        <v>2.5587099486121001E-6</v>
      </c>
      <c r="G113" s="123">
        <v>5.1742517201059104E-7</v>
      </c>
      <c r="H113" s="123">
        <v>9.0572584461303396E-7</v>
      </c>
      <c r="I113" s="124">
        <v>20.67</v>
      </c>
      <c r="J113" s="125">
        <f>100*C113/0.5</f>
        <v>60.487927728000003</v>
      </c>
      <c r="K113" s="124">
        <f>C113/P113</f>
        <v>3.0243963863999999</v>
      </c>
      <c r="L113" s="122">
        <v>10</v>
      </c>
      <c r="M113" s="122">
        <v>6</v>
      </c>
      <c r="N113" s="122">
        <v>0.83384899999999995</v>
      </c>
      <c r="O113" s="126">
        <v>0.2</v>
      </c>
      <c r="P113" s="126">
        <v>0.1</v>
      </c>
      <c r="Q113" s="126">
        <v>1</v>
      </c>
      <c r="R113" s="52">
        <f>Q113*D113/C113/N113</f>
        <v>-3.1501101187761954E-5</v>
      </c>
      <c r="S113" s="52">
        <f>Q113*E113/C113/N113</f>
        <v>6.3657767076593719E-4</v>
      </c>
      <c r="T113" s="19">
        <f>M113*N113*O113/(P113*U113*L113)</f>
        <v>0.99991292903912865</v>
      </c>
      <c r="U113" s="19">
        <f t="shared" si="174"/>
        <v>1.0007059324270862</v>
      </c>
      <c r="V113" s="52">
        <f t="shared" si="178"/>
        <v>7.7923097257736945E-5</v>
      </c>
      <c r="W113" s="19">
        <f>R113+T113</f>
        <v>0.99988142793794088</v>
      </c>
      <c r="X113" s="2">
        <f>1000*(W113-1)</f>
        <v>-0.11857206205911908</v>
      </c>
      <c r="Y113" s="2">
        <f>1000*(S113-V113)</f>
        <v>0.55865457350820025</v>
      </c>
      <c r="Z113" t="s">
        <v>68</v>
      </c>
      <c r="AA113" t="s">
        <v>67</v>
      </c>
      <c r="AB113" t="s">
        <v>66</v>
      </c>
    </row>
    <row r="114" spans="1:29" x14ac:dyDescent="0.2">
      <c r="A114">
        <f>ROW()</f>
        <v>114</v>
      </c>
      <c r="B114" s="164" t="s">
        <v>54</v>
      </c>
      <c r="C114" s="122">
        <v>0.30513087368000003</v>
      </c>
      <c r="D114" s="123">
        <v>-1.5887009000000001E-3</v>
      </c>
      <c r="E114" s="123">
        <v>3.5858575000000001E-4</v>
      </c>
      <c r="F114" s="123">
        <v>1.6912358448479301E-7</v>
      </c>
      <c r="G114" s="123">
        <v>1.56918711121396E-6</v>
      </c>
      <c r="H114" s="123">
        <v>7.7089386615473895E-6</v>
      </c>
      <c r="I114" s="124">
        <v>20.67</v>
      </c>
      <c r="J114" s="125">
        <f>100*C114/0.5</f>
        <v>61.026174736000002</v>
      </c>
      <c r="K114" s="124">
        <f>C114/P114</f>
        <v>3.0513087368000003</v>
      </c>
      <c r="L114" s="122">
        <v>10</v>
      </c>
      <c r="M114" s="122">
        <v>6</v>
      </c>
      <c r="N114" s="122">
        <v>0.83384899999999995</v>
      </c>
      <c r="O114" s="126">
        <v>0.2</v>
      </c>
      <c r="P114" s="126">
        <v>0.1</v>
      </c>
      <c r="Q114" s="126">
        <v>1</v>
      </c>
      <c r="R114" s="52">
        <f>Q114*D114/C114/N114</f>
        <v>-6.2440816979020888E-3</v>
      </c>
      <c r="S114" s="52">
        <f>Q114*E114/C114/N114</f>
        <v>1.4093519546086329E-3</v>
      </c>
      <c r="T114" s="19">
        <f>M114*N114*O114/(P114*U114*L114)</f>
        <v>0.99991292903912865</v>
      </c>
      <c r="U114" s="19">
        <f>$AA$16</f>
        <v>1.0007059324270862</v>
      </c>
      <c r="V114" s="52">
        <f t="shared" si="178"/>
        <v>7.7923097257736945E-5</v>
      </c>
      <c r="W114" s="19">
        <f>R114+T114</f>
        <v>0.99366884734122651</v>
      </c>
      <c r="X114" s="2">
        <f>1000*(W114-1)</f>
        <v>-6.3311526587734868</v>
      </c>
      <c r="Y114" s="2">
        <f>1000*(S114-V114)</f>
        <v>1.3314288573508959</v>
      </c>
      <c r="AA114" s="46">
        <f>100*-(X114-X113)/1000</f>
        <v>0.62125805967143677</v>
      </c>
      <c r="AB114" s="46">
        <f>100*-(Y114-Y113)/1000</f>
        <v>-7.727742838426957E-2</v>
      </c>
    </row>
    <row r="115" spans="1:29" x14ac:dyDescent="0.2">
      <c r="B115" s="164"/>
      <c r="C115" s="122">
        <v>0.30339690666000002</v>
      </c>
      <c r="D115" s="123">
        <v>-1.5522355999999999E-5</v>
      </c>
      <c r="E115" s="123">
        <v>9.6595632999999997E-5</v>
      </c>
      <c r="F115" s="123">
        <v>5.4539196098678804E-7</v>
      </c>
      <c r="G115" s="123">
        <v>7.8869704348374595E-8</v>
      </c>
      <c r="H115" s="123">
        <v>6.6306669521859596E-6</v>
      </c>
      <c r="I115" s="124">
        <v>20.68</v>
      </c>
      <c r="J115" s="125">
        <f>100*C115/0.5</f>
        <v>60.679381332000006</v>
      </c>
      <c r="K115" s="124">
        <f>C115/P115</f>
        <v>3.0339690666000001</v>
      </c>
      <c r="L115" s="122">
        <v>10</v>
      </c>
      <c r="M115" s="122">
        <v>6</v>
      </c>
      <c r="N115" s="122">
        <v>0.83384899999999995</v>
      </c>
      <c r="O115" s="126">
        <v>0.2</v>
      </c>
      <c r="P115" s="126">
        <v>0.1</v>
      </c>
      <c r="Q115" s="126">
        <v>1</v>
      </c>
      <c r="R115" s="52">
        <f>Q115*D115/C115/N115</f>
        <v>-6.1356288211077305E-5</v>
      </c>
      <c r="S115" s="52">
        <f>Q115*E115/C115/N115</f>
        <v>3.8182022743708815E-4</v>
      </c>
      <c r="T115" s="19">
        <f>M115*N115*O115/(P115*U115*L115)</f>
        <v>0.99991292903912865</v>
      </c>
      <c r="U115" s="19">
        <f>$AA$16</f>
        <v>1.0007059324270862</v>
      </c>
      <c r="V115" s="52">
        <f t="shared" si="178"/>
        <v>7.7923097257736945E-5</v>
      </c>
      <c r="W115" s="19">
        <f>R115+T115</f>
        <v>0.99985157275091763</v>
      </c>
      <c r="X115" s="2">
        <f>1000*(W115-1)</f>
        <v>-0.14842724908237237</v>
      </c>
      <c r="Y115" s="2">
        <f>1000*(S115-V115)</f>
        <v>0.30389713017935122</v>
      </c>
      <c r="AA115" s="46"/>
      <c r="AB115" s="46"/>
    </row>
    <row r="116" spans="1:29" x14ac:dyDescent="0.2">
      <c r="R116" s="52"/>
      <c r="S116" s="52"/>
      <c r="T116" s="19"/>
      <c r="U116" s="19"/>
      <c r="V116" s="52"/>
      <c r="W116" s="19"/>
      <c r="X116" s="2"/>
      <c r="Y116" s="2"/>
      <c r="AA116" s="46"/>
      <c r="AB116" s="46"/>
    </row>
    <row r="117" spans="1:29" x14ac:dyDescent="0.2">
      <c r="A117">
        <f>ROW()</f>
        <v>117</v>
      </c>
      <c r="C117" s="5" t="str">
        <f>B121&amp;" range, "&amp;B123&amp;", vs shunts and 500 AT on "&amp;B125&amp;" range."</f>
        <v>75/5 range, l - 1200At(5A), vs shunts and 500 AT on 100/5 range.</v>
      </c>
      <c r="F117" s="18"/>
      <c r="G117" s="18"/>
      <c r="H117" s="18"/>
      <c r="J117" s="18"/>
      <c r="L117" s="18"/>
      <c r="M117" s="18"/>
      <c r="N117" s="18"/>
      <c r="R117" s="50"/>
      <c r="S117" s="50"/>
      <c r="X117" s="19"/>
      <c r="Y117" s="19"/>
      <c r="Z117" t="s">
        <v>63</v>
      </c>
      <c r="AA117" t="s">
        <v>63</v>
      </c>
      <c r="AB117" t="s">
        <v>65</v>
      </c>
    </row>
    <row r="118" spans="1:29" x14ac:dyDescent="0.2">
      <c r="B118" s="4">
        <v>43369</v>
      </c>
      <c r="I118" s="2"/>
      <c r="J118" s="17"/>
      <c r="K118" s="2"/>
      <c r="L118" s="18"/>
      <c r="M118" s="18"/>
      <c r="N118" s="18"/>
      <c r="R118" s="52"/>
      <c r="S118" s="52"/>
      <c r="T118" s="19"/>
      <c r="U118" s="19"/>
      <c r="V118" s="19"/>
      <c r="W118" s="19"/>
      <c r="X118" t="s">
        <v>6</v>
      </c>
      <c r="Y118" t="s">
        <v>7</v>
      </c>
      <c r="Z118" t="s">
        <v>61</v>
      </c>
      <c r="AA118" t="s">
        <v>62</v>
      </c>
      <c r="AB118" t="s">
        <v>6</v>
      </c>
      <c r="AC118" t="s">
        <v>7</v>
      </c>
    </row>
    <row r="119" spans="1:29" x14ac:dyDescent="0.2">
      <c r="B119" s="43" t="s">
        <v>51</v>
      </c>
      <c r="C119">
        <v>2.4791812707999999E-2</v>
      </c>
      <c r="D119" s="18">
        <v>1.2869788219999999E-7</v>
      </c>
      <c r="E119" s="18">
        <v>4.3345888999999999E-6</v>
      </c>
      <c r="F119" s="18">
        <v>1.6390239781026501E-7</v>
      </c>
      <c r="G119" s="18">
        <v>1.2621899658481901E-7</v>
      </c>
      <c r="H119" s="18">
        <v>8.8433622315214498E-8</v>
      </c>
      <c r="I119" s="2">
        <v>20.69</v>
      </c>
      <c r="J119" s="17">
        <f t="shared" ref="J119:J125" si="179">100*C119/0.5</f>
        <v>4.9583625415999997</v>
      </c>
      <c r="K119" s="2">
        <f t="shared" ref="K119:K125" si="180">C119/P119</f>
        <v>0.24791812707999997</v>
      </c>
      <c r="L119">
        <v>20</v>
      </c>
      <c r="M119">
        <v>15</v>
      </c>
      <c r="N119">
        <v>0.66707000000000005</v>
      </c>
      <c r="O119">
        <v>0.2</v>
      </c>
      <c r="P119">
        <v>0.1</v>
      </c>
      <c r="Q119">
        <v>1</v>
      </c>
      <c r="R119" s="52">
        <f t="shared" ref="R119:R125" si="181">Q119*D119/C119/N119</f>
        <v>7.7820086357335003E-6</v>
      </c>
      <c r="S119" s="52">
        <f t="shared" ref="S119:S125" si="182">Q119*E119/C119/N119</f>
        <v>2.6210072516760167E-4</v>
      </c>
      <c r="T119" s="19">
        <f t="shared" ref="T119:T125" si="183">M119*N119*O119/(P119*U119*L119)</f>
        <v>0.99989913877412373</v>
      </c>
      <c r="U119" s="19">
        <f t="shared" ref="U119:U125" si="184">$AA$16</f>
        <v>1.0007059324270862</v>
      </c>
      <c r="V119" s="52">
        <f>AA$17</f>
        <v>1.1927894179369755E-4</v>
      </c>
      <c r="W119" s="19">
        <f t="shared" ref="W119:W125" si="185">R119+T119</f>
        <v>0.99990692078275945</v>
      </c>
      <c r="X119" s="2">
        <f t="shared" ref="X119:X125" si="186">1000*(W119-1)</f>
        <v>-9.307921724055479E-2</v>
      </c>
      <c r="Y119" s="2">
        <f t="shared" ref="Y119:Y125" si="187">1000*(S119-V119)</f>
        <v>0.14282178337390411</v>
      </c>
      <c r="Z119" s="51">
        <f t="shared" ref="Z119:Z125" si="188">((C119*N119)^2/P119-$AB$10)*$Z$28*0.001</f>
        <v>-7.9924142153787764E-4</v>
      </c>
      <c r="AA119" s="51">
        <f>(C119^2/O119-$Z$10)*$AB$5*0.001</f>
        <v>-9.9243073297115825E-5</v>
      </c>
      <c r="AB119" s="2">
        <f>0.5*(X119+X127)+AA119-Z119</f>
        <v>-9.5882419192439658E-2</v>
      </c>
      <c r="AC119" s="2">
        <f t="shared" ref="AC119:AC125" si="189">0.5*(Y119+Y127)</f>
        <v>0.1597215326502377</v>
      </c>
    </row>
    <row r="120" spans="1:29" x14ac:dyDescent="0.2">
      <c r="B120" s="5" t="s">
        <v>110</v>
      </c>
      <c r="C120">
        <v>5.0304594197999999E-2</v>
      </c>
      <c r="D120" s="18">
        <v>5.6256858049999997E-8</v>
      </c>
      <c r="E120" s="18">
        <v>8.4152418000000003E-6</v>
      </c>
      <c r="F120" s="18">
        <v>2.6426527793952401E-7</v>
      </c>
      <c r="G120" s="18">
        <v>8.9036305181707598E-8</v>
      </c>
      <c r="H120" s="18">
        <v>1.22743746418137E-7</v>
      </c>
      <c r="I120" s="2">
        <v>20.69</v>
      </c>
      <c r="J120" s="17">
        <f t="shared" si="179"/>
        <v>10.060918839599999</v>
      </c>
      <c r="K120" s="2">
        <f t="shared" si="180"/>
        <v>0.50304594197999997</v>
      </c>
      <c r="L120">
        <v>20</v>
      </c>
      <c r="M120">
        <v>15</v>
      </c>
      <c r="N120">
        <v>0.66707000000000005</v>
      </c>
      <c r="O120">
        <v>0.2</v>
      </c>
      <c r="P120">
        <v>0.1</v>
      </c>
      <c r="Q120">
        <v>1</v>
      </c>
      <c r="R120" s="52">
        <f t="shared" si="181"/>
        <v>1.6764724214418145E-6</v>
      </c>
      <c r="S120" s="52">
        <f t="shared" si="182"/>
        <v>2.5077690590053089E-4</v>
      </c>
      <c r="T120" s="19">
        <f t="shared" si="183"/>
        <v>0.99989913877412373</v>
      </c>
      <c r="U120" s="19">
        <f t="shared" si="184"/>
        <v>1.0007059324270862</v>
      </c>
      <c r="V120" s="52">
        <f t="shared" ref="V120:V125" si="190">AA$17</f>
        <v>1.1927894179369755E-4</v>
      </c>
      <c r="W120" s="19">
        <f t="shared" si="185"/>
        <v>0.99990081524654517</v>
      </c>
      <c r="X120" s="2">
        <f t="shared" si="186"/>
        <v>-9.9184753454828467E-2</v>
      </c>
      <c r="Y120" s="2">
        <f t="shared" si="187"/>
        <v>0.13149796410683331</v>
      </c>
      <c r="Z120" s="51">
        <f t="shared" si="188"/>
        <v>-7.2934102837241086E-4</v>
      </c>
      <c r="AA120" s="51">
        <f t="shared" ref="AA120:AA125" si="191">(C120^2/O120-$Z$10)*$AB$5*0.001</f>
        <v>-7.9030136075304474E-5</v>
      </c>
      <c r="AB120" s="2">
        <f t="shared" ref="AB120:AB125" si="192">0.5*(X120+X128)+AA120-Z120</f>
        <v>-9.9721306459249648E-2</v>
      </c>
      <c r="AC120" s="2">
        <f t="shared" si="189"/>
        <v>0.15126170860874572</v>
      </c>
    </row>
    <row r="121" spans="1:29" x14ac:dyDescent="0.2">
      <c r="B121" s="161" t="s">
        <v>184</v>
      </c>
      <c r="C121">
        <v>0.10030874882</v>
      </c>
      <c r="D121" s="18">
        <v>2.11038812E-8</v>
      </c>
      <c r="E121" s="18">
        <v>1.6488611999999999E-5</v>
      </c>
      <c r="F121" s="18">
        <v>1.8888147335336599E-8</v>
      </c>
      <c r="G121" s="18">
        <v>4.19794564587726E-8</v>
      </c>
      <c r="H121" s="18">
        <v>1.6609721929039099E-7</v>
      </c>
      <c r="I121" s="2">
        <v>20.69</v>
      </c>
      <c r="J121" s="17">
        <f t="shared" si="179"/>
        <v>20.061749764000002</v>
      </c>
      <c r="K121" s="2">
        <f t="shared" si="180"/>
        <v>1.0030874882</v>
      </c>
      <c r="L121">
        <v>20</v>
      </c>
      <c r="M121">
        <v>15</v>
      </c>
      <c r="N121">
        <v>0.66707000000000005</v>
      </c>
      <c r="O121">
        <v>0.2</v>
      </c>
      <c r="P121">
        <v>0.1</v>
      </c>
      <c r="Q121">
        <v>1</v>
      </c>
      <c r="R121" s="52">
        <f t="shared" si="181"/>
        <v>3.1539304377525563E-7</v>
      </c>
      <c r="S121" s="52">
        <f t="shared" si="182"/>
        <v>2.4641882111756797E-4</v>
      </c>
      <c r="T121" s="19">
        <f t="shared" si="183"/>
        <v>0.99989913877412373</v>
      </c>
      <c r="U121" s="19">
        <f t="shared" si="184"/>
        <v>1.0007059324270862</v>
      </c>
      <c r="V121" s="52">
        <f t="shared" si="190"/>
        <v>1.1927894179369755E-4</v>
      </c>
      <c r="W121" s="19">
        <f t="shared" si="185"/>
        <v>0.99989945416716752</v>
      </c>
      <c r="X121" s="2">
        <f t="shared" si="186"/>
        <v>-0.10054583283247709</v>
      </c>
      <c r="Y121" s="2">
        <f t="shared" si="187"/>
        <v>0.12713987932387041</v>
      </c>
      <c r="Z121" s="51">
        <f t="shared" si="188"/>
        <v>-4.545692094570397E-4</v>
      </c>
      <c r="AA121" s="51">
        <f t="shared" si="191"/>
        <v>4.2500393960410131E-7</v>
      </c>
      <c r="AB121" s="2">
        <f t="shared" si="192"/>
        <v>-0.10108358750240212</v>
      </c>
      <c r="AC121" s="2">
        <f t="shared" si="189"/>
        <v>0.14501510641849086</v>
      </c>
    </row>
    <row r="122" spans="1:29" x14ac:dyDescent="0.2">
      <c r="B122" s="67" t="s">
        <v>112</v>
      </c>
      <c r="C122">
        <v>0.20009979374</v>
      </c>
      <c r="D122" s="18">
        <v>-1.047743914E-7</v>
      </c>
      <c r="E122" s="18">
        <v>3.1510007999999997E-5</v>
      </c>
      <c r="F122" s="18">
        <v>4.7508066574705899E-7</v>
      </c>
      <c r="G122" s="18">
        <v>1.69369827093873E-7</v>
      </c>
      <c r="H122" s="18">
        <v>2.07656279789463E-7</v>
      </c>
      <c r="I122" s="2">
        <v>20.69</v>
      </c>
      <c r="J122" s="17">
        <f t="shared" si="179"/>
        <v>40.019958748000001</v>
      </c>
      <c r="K122" s="2">
        <f t="shared" si="180"/>
        <v>2.0009979373999998</v>
      </c>
      <c r="L122">
        <v>20</v>
      </c>
      <c r="M122">
        <v>15</v>
      </c>
      <c r="N122">
        <v>0.66707000000000005</v>
      </c>
      <c r="O122">
        <v>0.2</v>
      </c>
      <c r="P122">
        <v>0.1</v>
      </c>
      <c r="Q122">
        <v>1</v>
      </c>
      <c r="R122" s="52">
        <f t="shared" si="181"/>
        <v>-7.8494114808622676E-7</v>
      </c>
      <c r="S122" s="52">
        <f t="shared" si="182"/>
        <v>2.3606438104994984E-4</v>
      </c>
      <c r="T122" s="19">
        <f t="shared" si="183"/>
        <v>0.99989913877412373</v>
      </c>
      <c r="U122" s="19">
        <f t="shared" si="184"/>
        <v>1.0007059324270862</v>
      </c>
      <c r="V122" s="52">
        <f t="shared" si="190"/>
        <v>1.1927894179369755E-4</v>
      </c>
      <c r="W122" s="19">
        <f t="shared" si="185"/>
        <v>0.99989835383297565</v>
      </c>
      <c r="X122" s="2">
        <f t="shared" si="186"/>
        <v>-0.10164616702434959</v>
      </c>
      <c r="Y122" s="2">
        <f t="shared" si="187"/>
        <v>0.11678543925625229</v>
      </c>
      <c r="Z122" s="51">
        <f t="shared" si="188"/>
        <v>6.3915166114102888E-4</v>
      </c>
      <c r="AA122" s="51">
        <f t="shared" si="191"/>
        <v>3.1669377288989721E-4</v>
      </c>
      <c r="AB122" s="2">
        <f t="shared" si="192"/>
        <v>-0.10564370200402584</v>
      </c>
      <c r="AC122" s="2">
        <f t="shared" si="189"/>
        <v>0.13379486563378556</v>
      </c>
    </row>
    <row r="123" spans="1:29" ht="13.5" x14ac:dyDescent="0.25">
      <c r="B123" s="163" t="s">
        <v>181</v>
      </c>
      <c r="C123">
        <v>0.30058177553999998</v>
      </c>
      <c r="D123" s="18">
        <v>-1.0122977300000001E-6</v>
      </c>
      <c r="E123" s="18">
        <v>4.5899965000000002E-5</v>
      </c>
      <c r="F123" s="18">
        <v>1.54755377440221E-7</v>
      </c>
      <c r="G123" s="18">
        <v>1.4134677678722301E-7</v>
      </c>
      <c r="H123" s="18">
        <v>1.5279275203686799E-7</v>
      </c>
      <c r="I123" s="2">
        <v>20.69</v>
      </c>
      <c r="J123" s="17">
        <f t="shared" si="179"/>
        <v>60.116355107999993</v>
      </c>
      <c r="K123" s="2">
        <f t="shared" si="180"/>
        <v>3.0058177553999998</v>
      </c>
      <c r="L123">
        <v>20</v>
      </c>
      <c r="M123">
        <v>15</v>
      </c>
      <c r="N123">
        <v>0.66707000000000005</v>
      </c>
      <c r="O123">
        <v>0.2</v>
      </c>
      <c r="P123">
        <v>0.1</v>
      </c>
      <c r="Q123">
        <v>1</v>
      </c>
      <c r="R123" s="52">
        <f t="shared" si="181"/>
        <v>-5.0486377210897975E-6</v>
      </c>
      <c r="S123" s="52">
        <f t="shared" si="182"/>
        <v>2.2891713359438382E-4</v>
      </c>
      <c r="T123" s="19">
        <f t="shared" si="183"/>
        <v>0.99989913877412373</v>
      </c>
      <c r="U123" s="19">
        <f t="shared" si="184"/>
        <v>1.0007059324270862</v>
      </c>
      <c r="V123" s="52">
        <f t="shared" si="190"/>
        <v>1.1927894179369755E-4</v>
      </c>
      <c r="W123" s="19">
        <f t="shared" si="185"/>
        <v>0.99989409013640262</v>
      </c>
      <c r="X123" s="2">
        <f t="shared" si="186"/>
        <v>-0.10590986359737542</v>
      </c>
      <c r="Y123" s="2">
        <f t="shared" si="187"/>
        <v>0.10963819180068628</v>
      </c>
      <c r="Z123" s="51">
        <f t="shared" si="188"/>
        <v>2.4746434575568339E-3</v>
      </c>
      <c r="AA123" s="51">
        <f t="shared" si="191"/>
        <v>8.4745874819237453E-4</v>
      </c>
      <c r="AB123" s="2">
        <f t="shared" si="192"/>
        <v>-0.10868265963592955</v>
      </c>
      <c r="AC123" s="2">
        <f t="shared" si="189"/>
        <v>0.12708635853072017</v>
      </c>
    </row>
    <row r="124" spans="1:29" x14ac:dyDescent="0.2">
      <c r="B124" s="66" t="s">
        <v>111</v>
      </c>
      <c r="C124">
        <v>0.49938330019999999</v>
      </c>
      <c r="D124" s="18">
        <v>-1.56463E-6</v>
      </c>
      <c r="E124" s="18">
        <v>7.2324782999999996E-5</v>
      </c>
      <c r="F124" s="18">
        <v>6.3544853982253104E-6</v>
      </c>
      <c r="G124" s="18">
        <v>8.4703294725429996E-22</v>
      </c>
      <c r="H124" s="18">
        <v>4.3664772759170503E-7</v>
      </c>
      <c r="I124" s="2">
        <v>20.69</v>
      </c>
      <c r="J124" s="17">
        <f t="shared" si="179"/>
        <v>99.876660040000004</v>
      </c>
      <c r="K124" s="2">
        <f t="shared" si="180"/>
        <v>4.9938330019999997</v>
      </c>
      <c r="L124">
        <v>20</v>
      </c>
      <c r="M124">
        <v>15</v>
      </c>
      <c r="N124">
        <v>0.66707000000000005</v>
      </c>
      <c r="O124">
        <v>0.2</v>
      </c>
      <c r="P124">
        <v>0.1</v>
      </c>
      <c r="Q124">
        <v>1</v>
      </c>
      <c r="R124" s="52">
        <f t="shared" si="181"/>
        <v>-4.6968450003369542E-6</v>
      </c>
      <c r="S124" s="52">
        <f t="shared" si="182"/>
        <v>2.1711094343966633E-4</v>
      </c>
      <c r="T124" s="19">
        <f t="shared" si="183"/>
        <v>0.99989913877412373</v>
      </c>
      <c r="U124" s="19">
        <f t="shared" si="184"/>
        <v>1.0007059324270862</v>
      </c>
      <c r="V124" s="52">
        <f t="shared" si="190"/>
        <v>1.1927894179369755E-4</v>
      </c>
      <c r="W124" s="19">
        <f t="shared" si="185"/>
        <v>0.99989444192912336</v>
      </c>
      <c r="X124" s="2">
        <f t="shared" si="186"/>
        <v>-0.10555807087664348</v>
      </c>
      <c r="Y124" s="2">
        <f t="shared" si="187"/>
        <v>9.783200164596878E-2</v>
      </c>
      <c r="Z124" s="51">
        <f t="shared" si="188"/>
        <v>8.2768527344730097E-3</v>
      </c>
      <c r="AA124" s="51">
        <f t="shared" si="191"/>
        <v>2.5252703677135437E-3</v>
      </c>
      <c r="AB124" s="2">
        <f t="shared" si="192"/>
        <v>-0.11268379543466014</v>
      </c>
      <c r="AC124" s="2">
        <f t="shared" si="189"/>
        <v>0.11489371434867118</v>
      </c>
    </row>
    <row r="125" spans="1:29" x14ac:dyDescent="0.2">
      <c r="B125" s="162" t="s">
        <v>185</v>
      </c>
      <c r="C125">
        <v>0.60106333164000003</v>
      </c>
      <c r="D125" s="18">
        <v>-7.1972961799999996E-8</v>
      </c>
      <c r="E125" s="18">
        <v>8.5060323999999995E-5</v>
      </c>
      <c r="F125" s="18">
        <v>8.5056507332635501E-7</v>
      </c>
      <c r="G125" s="18">
        <v>1.8464434813583001E-7</v>
      </c>
      <c r="H125" s="18">
        <v>3.6448363148981002E-7</v>
      </c>
      <c r="I125" s="2">
        <v>20.69</v>
      </c>
      <c r="J125" s="17">
        <f t="shared" si="179"/>
        <v>120.21266632800001</v>
      </c>
      <c r="K125" s="2">
        <f t="shared" si="180"/>
        <v>6.0106333163999999</v>
      </c>
      <c r="L125">
        <v>20</v>
      </c>
      <c r="M125">
        <v>15</v>
      </c>
      <c r="N125">
        <v>0.66707000000000005</v>
      </c>
      <c r="O125">
        <v>0.2</v>
      </c>
      <c r="P125">
        <v>0.1</v>
      </c>
      <c r="Q125">
        <v>1</v>
      </c>
      <c r="R125" s="52">
        <f t="shared" si="181"/>
        <v>-1.7950548810678546E-7</v>
      </c>
      <c r="S125" s="52">
        <f t="shared" si="182"/>
        <v>2.1214626432312968E-4</v>
      </c>
      <c r="T125" s="19">
        <f t="shared" si="183"/>
        <v>0.99989913877412373</v>
      </c>
      <c r="U125" s="19">
        <f t="shared" si="184"/>
        <v>1.0007059324270862</v>
      </c>
      <c r="V125" s="52">
        <f t="shared" si="190"/>
        <v>1.1927894179369755E-4</v>
      </c>
      <c r="W125" s="19">
        <f t="shared" si="185"/>
        <v>0.99989895926863559</v>
      </c>
      <c r="X125" s="2">
        <f t="shared" si="186"/>
        <v>-0.10104073136441016</v>
      </c>
      <c r="Y125" s="2">
        <f t="shared" si="187"/>
        <v>9.2867322529432139E-2</v>
      </c>
      <c r="Z125" s="51">
        <f t="shared" si="188"/>
        <v>1.235917521280968E-2</v>
      </c>
      <c r="AA125" s="51">
        <f t="shared" si="191"/>
        <v>3.7057462454168203E-3</v>
      </c>
      <c r="AB125" s="2">
        <f t="shared" si="192"/>
        <v>-0.11155652169781483</v>
      </c>
      <c r="AC125" s="2">
        <f t="shared" si="189"/>
        <v>0.11002313728625246</v>
      </c>
    </row>
    <row r="126" spans="1:29" x14ac:dyDescent="0.2">
      <c r="I126" s="2"/>
      <c r="J126" s="17"/>
      <c r="K126" s="2"/>
      <c r="R126" s="52"/>
      <c r="S126" s="52"/>
      <c r="T126" s="19"/>
      <c r="U126" s="19"/>
      <c r="V126" s="52"/>
      <c r="W126" s="19"/>
      <c r="X126" s="2"/>
      <c r="Y126" s="2"/>
      <c r="AA126" s="2"/>
      <c r="AB126" s="2"/>
    </row>
    <row r="127" spans="1:29" x14ac:dyDescent="0.2">
      <c r="B127" s="43" t="s">
        <v>52</v>
      </c>
      <c r="C127">
        <v>2.4813919454000001E-2</v>
      </c>
      <c r="D127" s="18">
        <v>1.2838346049999999E-8</v>
      </c>
      <c r="E127" s="18">
        <v>4.2133766999999999E-6</v>
      </c>
      <c r="F127" s="18">
        <v>8.7968812769391495E-7</v>
      </c>
      <c r="G127" s="18">
        <v>1.7809398356069899E-7</v>
      </c>
      <c r="H127" s="18">
        <v>1.8530556864840801E-7</v>
      </c>
      <c r="I127" s="2">
        <v>20.7</v>
      </c>
      <c r="J127" s="17">
        <f t="shared" ref="J127:J133" si="193">100*C127/0.5</f>
        <v>4.9627838907999999</v>
      </c>
      <c r="K127" s="2">
        <f t="shared" ref="K127:K133" si="194">C127/P127</f>
        <v>0.24813919454</v>
      </c>
      <c r="L127">
        <v>20</v>
      </c>
      <c r="M127">
        <v>15</v>
      </c>
      <c r="N127">
        <v>0.66707000000000005</v>
      </c>
      <c r="O127">
        <v>0.2</v>
      </c>
      <c r="P127">
        <v>0.1</v>
      </c>
      <c r="Q127">
        <v>1</v>
      </c>
      <c r="R127" s="52">
        <f t="shared" ref="R127:R133" si="195">Q127*D127/C127/N127</f>
        <v>7.7560803548625616E-7</v>
      </c>
      <c r="S127" s="52">
        <f t="shared" ref="S127:S133" si="196">Q127*E127/C127/N127</f>
        <v>2.5454437918430819E-4</v>
      </c>
      <c r="T127" s="19">
        <f t="shared" ref="T127:T133" si="197">M127*N127*O127/(P127*U127*L127)</f>
        <v>0.99989913877412373</v>
      </c>
      <c r="U127" s="19">
        <f t="shared" ref="U127:U134" si="198">$AA$16</f>
        <v>1.0007059324270862</v>
      </c>
      <c r="V127" s="52">
        <f>$AA$26</f>
        <v>7.7923097257736945E-5</v>
      </c>
      <c r="W127" s="19">
        <f t="shared" ref="W127:W133" si="199">R127+T127</f>
        <v>0.99989991438215919</v>
      </c>
      <c r="X127" s="2">
        <f t="shared" ref="X127:X133" si="200">1000*(W127-1)</f>
        <v>-0.10008561784080605</v>
      </c>
      <c r="Y127" s="2">
        <f t="shared" ref="Y127:Y133" si="201">1000*(S127-V127)</f>
        <v>0.17662128192657126</v>
      </c>
      <c r="Z127" s="51">
        <f t="shared" ref="Z127:Z133" si="202">((C127*N127)^2/P127-$AB$10)*$Z$28*0.001</f>
        <v>-7.9920141238681267E-4</v>
      </c>
      <c r="AA127" s="51">
        <f>(C127^2/O127-$Z$10)*$AB$5*0.001</f>
        <v>-9.9231503942178757E-5</v>
      </c>
    </row>
    <row r="128" spans="1:29" x14ac:dyDescent="0.2">
      <c r="C128">
        <v>5.0248867305999999E-2</v>
      </c>
      <c r="D128" s="18">
        <v>-2.3371659749999999E-8</v>
      </c>
      <c r="E128" s="18">
        <v>8.3446338999999994E-6</v>
      </c>
      <c r="F128" s="18">
        <v>2.8282926709992101E-8</v>
      </c>
      <c r="G128" s="18">
        <v>8.4119521693458897E-8</v>
      </c>
      <c r="H128" s="18">
        <v>1.2811714025761701E-7</v>
      </c>
      <c r="I128" s="2">
        <v>20.7</v>
      </c>
      <c r="J128" s="17">
        <f t="shared" si="193"/>
        <v>10.049773461199999</v>
      </c>
      <c r="K128" s="2">
        <f t="shared" si="194"/>
        <v>0.50248867306</v>
      </c>
      <c r="L128">
        <v>20</v>
      </c>
      <c r="M128">
        <v>15</v>
      </c>
      <c r="N128">
        <v>0.66707000000000005</v>
      </c>
      <c r="O128">
        <v>0.2</v>
      </c>
      <c r="P128">
        <v>0.1</v>
      </c>
      <c r="Q128">
        <v>1</v>
      </c>
      <c r="R128" s="52">
        <f t="shared" si="195"/>
        <v>-6.9725537203805516E-7</v>
      </c>
      <c r="S128" s="52">
        <f t="shared" si="196"/>
        <v>2.4894855036839509E-4</v>
      </c>
      <c r="T128" s="19">
        <f t="shared" si="197"/>
        <v>0.99989913877412373</v>
      </c>
      <c r="U128" s="19">
        <f t="shared" si="198"/>
        <v>1.0007059324270862</v>
      </c>
      <c r="V128" s="52">
        <f t="shared" ref="V128:V136" si="203">$AA$26</f>
        <v>7.7923097257736945E-5</v>
      </c>
      <c r="W128" s="19">
        <f t="shared" si="199"/>
        <v>0.99989844151875173</v>
      </c>
      <c r="X128" s="2">
        <f t="shared" si="200"/>
        <v>-0.10155848124826505</v>
      </c>
      <c r="Y128" s="2">
        <f t="shared" si="201"/>
        <v>0.17102545311065814</v>
      </c>
      <c r="Z128" s="51">
        <f t="shared" si="202"/>
        <v>-7.2954546772586765E-4</v>
      </c>
      <c r="AA128" s="51">
        <f t="shared" ref="AA128:AA133" si="204">(C128^2/O128-$Z$10)*$AB$5*0.001</f>
        <v>-7.9089253336738267E-5</v>
      </c>
    </row>
    <row r="129" spans="1:31" x14ac:dyDescent="0.2">
      <c r="C129">
        <v>0.10024042962</v>
      </c>
      <c r="D129" s="18">
        <v>-1.116755328E-7</v>
      </c>
      <c r="E129" s="18">
        <v>1.6102563999999999E-5</v>
      </c>
      <c r="F129" s="18">
        <v>1.6087096461422599E-8</v>
      </c>
      <c r="G129" s="18">
        <v>1.5556257689305799E-7</v>
      </c>
      <c r="H129" s="18">
        <v>1.5797542120216101E-7</v>
      </c>
      <c r="I129" s="2">
        <v>20.7</v>
      </c>
      <c r="J129" s="17">
        <f t="shared" si="193"/>
        <v>20.048085923999999</v>
      </c>
      <c r="K129" s="2">
        <f t="shared" si="194"/>
        <v>1.0024042961999999</v>
      </c>
      <c r="L129">
        <v>20</v>
      </c>
      <c r="M129">
        <v>15</v>
      </c>
      <c r="N129">
        <v>0.66707000000000005</v>
      </c>
      <c r="O129">
        <v>0.2</v>
      </c>
      <c r="P129">
        <v>0.1</v>
      </c>
      <c r="Q129">
        <v>1</v>
      </c>
      <c r="R129" s="52">
        <f t="shared" si="195"/>
        <v>-1.6701047228708668E-6</v>
      </c>
      <c r="S129" s="52">
        <f t="shared" si="196"/>
        <v>2.4081343077084829E-4</v>
      </c>
      <c r="T129" s="19">
        <f t="shared" si="197"/>
        <v>0.99989913877412373</v>
      </c>
      <c r="U129" s="19">
        <f t="shared" si="198"/>
        <v>1.0007059324270862</v>
      </c>
      <c r="V129" s="52">
        <f t="shared" si="203"/>
        <v>7.7923097257736945E-5</v>
      </c>
      <c r="W129" s="19">
        <f t="shared" si="199"/>
        <v>0.99989746866940088</v>
      </c>
      <c r="X129" s="2">
        <f t="shared" si="200"/>
        <v>-0.10253133059912045</v>
      </c>
      <c r="Y129" s="2">
        <f t="shared" si="201"/>
        <v>0.16289033351311133</v>
      </c>
      <c r="Z129" s="51">
        <f t="shared" si="202"/>
        <v>-4.5506909008928152E-4</v>
      </c>
      <c r="AA129" s="51">
        <f t="shared" si="204"/>
        <v>2.8045459759989668E-7</v>
      </c>
    </row>
    <row r="130" spans="1:31" x14ac:dyDescent="0.2">
      <c r="C130">
        <v>0.20054498377999999</v>
      </c>
      <c r="D130" s="18">
        <v>-1.08829306E-6</v>
      </c>
      <c r="E130" s="18">
        <v>3.0598588000000003E-5</v>
      </c>
      <c r="F130" s="18">
        <v>8.2902356939664806E-8</v>
      </c>
      <c r="G130" s="18">
        <v>4.26481101918525E-8</v>
      </c>
      <c r="H130" s="18">
        <v>2.3871116407910201E-7</v>
      </c>
      <c r="I130" s="2">
        <v>20.71</v>
      </c>
      <c r="J130" s="17">
        <f t="shared" si="193"/>
        <v>40.108996755999996</v>
      </c>
      <c r="K130" s="2">
        <f t="shared" si="194"/>
        <v>2.0054498377999996</v>
      </c>
      <c r="L130">
        <v>20</v>
      </c>
      <c r="M130">
        <v>15</v>
      </c>
      <c r="N130">
        <v>0.66707000000000005</v>
      </c>
      <c r="O130">
        <v>0.2</v>
      </c>
      <c r="P130">
        <v>0.1</v>
      </c>
      <c r="Q130">
        <v>1</v>
      </c>
      <c r="R130" s="52">
        <f t="shared" si="195"/>
        <v>-8.1350953309816757E-6</v>
      </c>
      <c r="S130" s="52">
        <f t="shared" si="196"/>
        <v>2.2872738926905581E-4</v>
      </c>
      <c r="T130" s="19">
        <f t="shared" si="197"/>
        <v>0.99989913877412373</v>
      </c>
      <c r="U130" s="19">
        <f t="shared" si="198"/>
        <v>1.0007059324270862</v>
      </c>
      <c r="V130" s="52">
        <f t="shared" si="203"/>
        <v>7.7923097257736945E-5</v>
      </c>
      <c r="W130" s="19">
        <f t="shared" si="199"/>
        <v>0.9998910036787928</v>
      </c>
      <c r="X130" s="2">
        <f t="shared" si="200"/>
        <v>-0.10899632120719982</v>
      </c>
      <c r="Y130" s="2">
        <f t="shared" si="201"/>
        <v>0.15080429201131887</v>
      </c>
      <c r="Z130" s="51">
        <f t="shared" si="202"/>
        <v>6.4565906224311684E-4</v>
      </c>
      <c r="AA130" s="51">
        <f t="shared" si="204"/>
        <v>3.1857550322068781E-4</v>
      </c>
    </row>
    <row r="131" spans="1:31" x14ac:dyDescent="0.2">
      <c r="C131">
        <v>0.30059192856</v>
      </c>
      <c r="D131" s="18">
        <v>-1.4717583999999999E-6</v>
      </c>
      <c r="E131" s="18">
        <v>4.4606281000000002E-5</v>
      </c>
      <c r="F131" s="18">
        <v>4.42648685646591E-8</v>
      </c>
      <c r="G131" s="18">
        <v>3.0137034107794998E-7</v>
      </c>
      <c r="H131" s="18">
        <v>1.7199628350345301E-7</v>
      </c>
      <c r="I131" s="2">
        <v>20.71</v>
      </c>
      <c r="J131" s="17">
        <f t="shared" si="193"/>
        <v>60.118385711999998</v>
      </c>
      <c r="K131" s="2">
        <f t="shared" si="194"/>
        <v>3.0059192855999997</v>
      </c>
      <c r="L131">
        <v>20</v>
      </c>
      <c r="M131">
        <v>15</v>
      </c>
      <c r="N131">
        <v>0.66707000000000005</v>
      </c>
      <c r="O131">
        <v>0.2</v>
      </c>
      <c r="P131">
        <v>0.1</v>
      </c>
      <c r="Q131">
        <v>1</v>
      </c>
      <c r="R131" s="52">
        <f t="shared" si="195"/>
        <v>-7.3398603794299338E-6</v>
      </c>
      <c r="S131" s="52">
        <f t="shared" si="196"/>
        <v>2.2245762251849101E-4</v>
      </c>
      <c r="T131" s="19">
        <f t="shared" si="197"/>
        <v>0.99989913877412373</v>
      </c>
      <c r="U131" s="19">
        <f t="shared" si="198"/>
        <v>1.0007059324270862</v>
      </c>
      <c r="V131" s="52">
        <f t="shared" si="203"/>
        <v>7.7923097257736945E-5</v>
      </c>
      <c r="W131" s="19">
        <f t="shared" si="199"/>
        <v>0.99989179891374425</v>
      </c>
      <c r="X131" s="2">
        <f t="shared" si="200"/>
        <v>-0.10820108625575475</v>
      </c>
      <c r="Y131" s="2">
        <f t="shared" si="201"/>
        <v>0.14453452526075405</v>
      </c>
      <c r="Z131" s="51">
        <f t="shared" si="202"/>
        <v>2.4748661460971505E-3</v>
      </c>
      <c r="AA131" s="51">
        <f t="shared" si="204"/>
        <v>8.4752314252953926E-4</v>
      </c>
    </row>
    <row r="132" spans="1:31" x14ac:dyDescent="0.2">
      <c r="C132">
        <v>0.50060137278000005</v>
      </c>
      <c r="D132" s="18">
        <v>-2.4861979E-6</v>
      </c>
      <c r="E132" s="18">
        <v>7.0086028000000003E-5</v>
      </c>
      <c r="F132" s="18">
        <v>2.6133498785697802E-7</v>
      </c>
      <c r="G132" s="18">
        <v>4.2163346091906701E-7</v>
      </c>
      <c r="H132" s="18">
        <v>5.3062088218991103E-7</v>
      </c>
      <c r="I132" s="2">
        <v>20.71</v>
      </c>
      <c r="J132" s="17">
        <f t="shared" si="193"/>
        <v>100.12027455600001</v>
      </c>
      <c r="K132" s="2">
        <f t="shared" si="194"/>
        <v>5.0060137278000001</v>
      </c>
      <c r="L132">
        <v>20</v>
      </c>
      <c r="M132">
        <v>15</v>
      </c>
      <c r="N132">
        <v>0.66707000000000005</v>
      </c>
      <c r="O132">
        <v>0.2</v>
      </c>
      <c r="P132">
        <v>0.1</v>
      </c>
      <c r="Q132">
        <v>1</v>
      </c>
      <c r="R132" s="52">
        <f t="shared" si="195"/>
        <v>-7.4451293828836986E-6</v>
      </c>
      <c r="S132" s="52">
        <f t="shared" si="196"/>
        <v>2.0987852430911054E-4</v>
      </c>
      <c r="T132" s="19">
        <f t="shared" si="197"/>
        <v>0.99989913877412373</v>
      </c>
      <c r="U132" s="19">
        <f t="shared" si="198"/>
        <v>1.0007059324270862</v>
      </c>
      <c r="V132" s="52">
        <f t="shared" si="203"/>
        <v>7.7923097257736945E-5</v>
      </c>
      <c r="W132" s="19">
        <f t="shared" si="199"/>
        <v>0.99989169364474084</v>
      </c>
      <c r="X132" s="2">
        <f t="shared" si="200"/>
        <v>-0.10830635525915788</v>
      </c>
      <c r="Y132" s="2">
        <f t="shared" si="201"/>
        <v>0.13195542705137359</v>
      </c>
      <c r="Z132" s="51">
        <f t="shared" si="202"/>
        <v>8.3212922342146365E-3</v>
      </c>
      <c r="AA132" s="51">
        <f t="shared" si="204"/>
        <v>2.5381208364701332E-3</v>
      </c>
    </row>
    <row r="133" spans="1:31" x14ac:dyDescent="0.2">
      <c r="C133">
        <v>0.60076558658000001</v>
      </c>
      <c r="D133" s="18">
        <v>-1.56463E-6</v>
      </c>
      <c r="E133" s="18">
        <v>8.2195199999999995E-5</v>
      </c>
      <c r="F133" s="18">
        <v>3.0798216640422398E-7</v>
      </c>
      <c r="G133" s="18">
        <v>8.4703294725429996E-22</v>
      </c>
      <c r="H133" s="18">
        <v>1.66798068334138E-7</v>
      </c>
      <c r="I133" s="2">
        <v>20.71</v>
      </c>
      <c r="J133" s="17">
        <f t="shared" si="193"/>
        <v>120.15311731600001</v>
      </c>
      <c r="K133" s="2">
        <f t="shared" si="194"/>
        <v>6.0076558657999994</v>
      </c>
      <c r="L133">
        <v>20</v>
      </c>
      <c r="M133">
        <v>15</v>
      </c>
      <c r="N133">
        <v>0.66707000000000005</v>
      </c>
      <c r="O133">
        <v>0.2</v>
      </c>
      <c r="P133">
        <v>0.1</v>
      </c>
      <c r="Q133">
        <v>1</v>
      </c>
      <c r="R133" s="52">
        <f t="shared" si="195"/>
        <v>-3.9042282201092758E-6</v>
      </c>
      <c r="S133" s="52">
        <f t="shared" si="196"/>
        <v>2.0510204930080972E-4</v>
      </c>
      <c r="T133" s="19">
        <f t="shared" si="197"/>
        <v>0.99989913877412373</v>
      </c>
      <c r="U133" s="19">
        <f t="shared" si="198"/>
        <v>1.0007059324270862</v>
      </c>
      <c r="V133" s="52">
        <f t="shared" si="203"/>
        <v>7.7923097257736945E-5</v>
      </c>
      <c r="W133" s="19">
        <f t="shared" si="199"/>
        <v>0.99989523454590357</v>
      </c>
      <c r="X133" s="2">
        <f t="shared" si="200"/>
        <v>-0.10476545409643379</v>
      </c>
      <c r="Y133" s="2">
        <f t="shared" si="201"/>
        <v>0.12717895204307278</v>
      </c>
      <c r="Z133" s="51">
        <f t="shared" si="202"/>
        <v>1.2346119822344204E-2</v>
      </c>
      <c r="AA133" s="51">
        <f t="shared" si="204"/>
        <v>3.701971047940318E-3</v>
      </c>
    </row>
    <row r="134" spans="1:31" x14ac:dyDescent="0.2">
      <c r="B134" s="122" t="s">
        <v>51</v>
      </c>
      <c r="C134" s="122">
        <v>0.30145977563999998</v>
      </c>
      <c r="D134" s="123">
        <v>-3.8219823200000001E-7</v>
      </c>
      <c r="E134" s="123">
        <v>4.4675397999999997E-5</v>
      </c>
      <c r="F134" s="123">
        <v>2.6454247338334201E-8</v>
      </c>
      <c r="G134" s="123">
        <v>2.9016591794434498E-7</v>
      </c>
      <c r="H134" s="123">
        <v>2.8150118080747102E-7</v>
      </c>
      <c r="I134" s="124">
        <v>20.73</v>
      </c>
      <c r="J134" s="125">
        <f>100*C134/0.5</f>
        <v>60.291955127999998</v>
      </c>
      <c r="K134" s="124">
        <f>C134/P134</f>
        <v>3.0145977563999997</v>
      </c>
      <c r="L134" s="122">
        <v>20</v>
      </c>
      <c r="M134" s="122">
        <v>15</v>
      </c>
      <c r="N134" s="122">
        <v>0.66707000000000005</v>
      </c>
      <c r="O134" s="126">
        <v>0.2</v>
      </c>
      <c r="P134" s="126">
        <v>0.1</v>
      </c>
      <c r="Q134" s="126">
        <v>1</v>
      </c>
      <c r="R134" s="52">
        <f>Q134*D134/C134/N134</f>
        <v>-1.9005876044403224E-6</v>
      </c>
      <c r="S134" s="52">
        <f>Q134*E134/C134/N134</f>
        <v>2.2216091167642546E-4</v>
      </c>
      <c r="T134" s="19">
        <f>M134*N134*O134/(P134*U134*L134)</f>
        <v>0.99989913877412373</v>
      </c>
      <c r="U134" s="19">
        <f t="shared" si="198"/>
        <v>1.0007059324270862</v>
      </c>
      <c r="V134" s="52">
        <f t="shared" si="203"/>
        <v>7.7923097257736945E-5</v>
      </c>
      <c r="W134" s="19">
        <f>R134+T134</f>
        <v>0.99989723818651932</v>
      </c>
      <c r="X134" s="2">
        <f>1000*(W134-1)</f>
        <v>-0.10276181348067848</v>
      </c>
      <c r="Y134" s="2">
        <f>1000*(S134-V134)</f>
        <v>0.14423781441868852</v>
      </c>
      <c r="Z134" t="s">
        <v>68</v>
      </c>
      <c r="AA134" t="s">
        <v>67</v>
      </c>
      <c r="AB134" t="s">
        <v>66</v>
      </c>
    </row>
    <row r="135" spans="1:31" x14ac:dyDescent="0.2">
      <c r="B135" s="164" t="s">
        <v>54</v>
      </c>
      <c r="C135" s="122">
        <v>0.30153370685999997</v>
      </c>
      <c r="D135" s="122">
        <v>-2.6525417E-4</v>
      </c>
      <c r="E135" s="123">
        <v>7.2837299999999907E-5</v>
      </c>
      <c r="F135" s="123">
        <v>1.6365229843765E-8</v>
      </c>
      <c r="G135" s="123">
        <v>1.0245333870108901E-6</v>
      </c>
      <c r="H135" s="123">
        <v>8.1315162936412796E-20</v>
      </c>
      <c r="I135" s="124">
        <v>20.73</v>
      </c>
      <c r="J135" s="125">
        <f>100*C135/0.5</f>
        <v>60.306741371999998</v>
      </c>
      <c r="K135" s="124">
        <f>C135/P135</f>
        <v>3.0153370685999996</v>
      </c>
      <c r="L135" s="122">
        <v>20</v>
      </c>
      <c r="M135" s="122">
        <v>15</v>
      </c>
      <c r="N135" s="122">
        <v>0.66707000000000005</v>
      </c>
      <c r="O135" s="126">
        <v>0.2</v>
      </c>
      <c r="P135" s="126">
        <v>0.1</v>
      </c>
      <c r="Q135" s="126">
        <v>1</v>
      </c>
      <c r="R135" s="52">
        <f>Q135*D135/C135/N135</f>
        <v>-1.3187271384282673E-3</v>
      </c>
      <c r="S135" s="52">
        <f>Q135*E135/C135/N135</f>
        <v>3.6211503932187419E-4</v>
      </c>
      <c r="T135" s="19">
        <f>M135*N135*O135/(P135*U135*L135)</f>
        <v>0.99989913877412373</v>
      </c>
      <c r="U135" s="19">
        <f>$AA$16</f>
        <v>1.0007059324270862</v>
      </c>
      <c r="V135" s="52">
        <f t="shared" si="203"/>
        <v>7.7923097257736945E-5</v>
      </c>
      <c r="W135" s="19">
        <f>R135+T135</f>
        <v>0.99858041163569544</v>
      </c>
      <c r="X135" s="2">
        <f>1000*(W135-1)</f>
        <v>-1.4195883643045581</v>
      </c>
      <c r="Y135" s="2">
        <f>1000*(S135-V135)</f>
        <v>0.28419194206413723</v>
      </c>
      <c r="AA135" s="46">
        <f>100*-(X135-X134)/1000</f>
        <v>0.13168265508238794</v>
      </c>
      <c r="AB135" s="46">
        <f>100*-(Y135-Y134)/1000</f>
        <v>-1.3995412764544871E-2</v>
      </c>
    </row>
    <row r="136" spans="1:31" x14ac:dyDescent="0.2">
      <c r="B136" s="164"/>
      <c r="C136" s="122">
        <v>0.30155402592000002</v>
      </c>
      <c r="D136" s="123">
        <v>-1.1552549000000001E-6</v>
      </c>
      <c r="E136" s="123">
        <v>3.6111442000000003E-5</v>
      </c>
      <c r="F136" s="123">
        <v>2.79747667756982E-8</v>
      </c>
      <c r="G136" s="123">
        <v>1.0219853793959101E-7</v>
      </c>
      <c r="H136" s="123">
        <v>4.1378158924727699E-8</v>
      </c>
      <c r="I136" s="124">
        <v>20.74</v>
      </c>
      <c r="J136" s="125">
        <f>100*C136/0.5</f>
        <v>60.310805184000003</v>
      </c>
      <c r="K136" s="124">
        <f>C136/P136</f>
        <v>3.0155402592000002</v>
      </c>
      <c r="L136" s="122">
        <v>20</v>
      </c>
      <c r="M136" s="122">
        <v>15</v>
      </c>
      <c r="N136" s="122">
        <v>0.66707000000000005</v>
      </c>
      <c r="O136" s="126">
        <v>0.2</v>
      </c>
      <c r="P136" s="126">
        <v>0.1</v>
      </c>
      <c r="Q136" s="126">
        <v>1</v>
      </c>
      <c r="R136" s="52">
        <f>Q136*D136/C136/N136</f>
        <v>-5.7430325620406348E-6</v>
      </c>
      <c r="S136" s="52">
        <f>Q136*E136/C136/N136</f>
        <v>1.7951811956672228E-4</v>
      </c>
      <c r="T136" s="19">
        <f>M136*N136*O136/(P136*U136*L136)</f>
        <v>0.99989913877412373</v>
      </c>
      <c r="U136" s="19">
        <f>$AA$16</f>
        <v>1.0007059324270862</v>
      </c>
      <c r="V136" s="52">
        <f t="shared" si="203"/>
        <v>7.7923097257736945E-5</v>
      </c>
      <c r="W136" s="19">
        <f>R136+T136</f>
        <v>0.99989339574156166</v>
      </c>
      <c r="X136" s="2">
        <f>1000*(W136-1)</f>
        <v>-0.10660425843833643</v>
      </c>
      <c r="Y136" s="2">
        <f>1000*(S136-V136)</f>
        <v>0.10159502230898534</v>
      </c>
      <c r="AA136" s="46"/>
      <c r="AB136" s="46"/>
    </row>
    <row r="137" spans="1:31" x14ac:dyDescent="0.2">
      <c r="F137" s="18"/>
      <c r="G137" s="18"/>
      <c r="H137" s="18"/>
      <c r="I137" s="2"/>
      <c r="J137" s="17"/>
      <c r="K137" s="2"/>
      <c r="R137" s="52"/>
      <c r="S137" s="52"/>
      <c r="T137" s="19"/>
      <c r="U137" s="19"/>
      <c r="V137" s="19"/>
      <c r="W137" s="19"/>
      <c r="X137" s="2"/>
      <c r="Y137" s="2"/>
      <c r="AA137" s="43"/>
      <c r="AB137" s="43"/>
    </row>
    <row r="138" spans="1:31" x14ac:dyDescent="0.2">
      <c r="B138" s="45" t="s">
        <v>217</v>
      </c>
      <c r="F138" s="18"/>
      <c r="G138" s="18"/>
      <c r="H138" s="18"/>
      <c r="J138" s="17"/>
      <c r="K138" s="2"/>
      <c r="R138" s="52"/>
      <c r="S138" s="52"/>
      <c r="T138" s="19"/>
      <c r="U138" s="19"/>
      <c r="V138" s="19"/>
      <c r="W138" s="19"/>
      <c r="X138" s="2"/>
      <c r="Y138" s="2"/>
      <c r="AA138" s="3"/>
      <c r="AB138" t="s">
        <v>64</v>
      </c>
    </row>
    <row r="139" spans="1:31" x14ac:dyDescent="0.2">
      <c r="C139" s="5" t="str">
        <f>B143&amp;" range, "&amp;B145&amp;", vs shunts and 500 AT on "&amp;B147&amp;" range."</f>
        <v>75/5 range, l - 1200At(5A), vs shunts and 500 AT on 100/5 range.</v>
      </c>
      <c r="G139" s="18"/>
      <c r="J139" s="5" t="s">
        <v>53</v>
      </c>
      <c r="R139" s="50"/>
      <c r="S139" s="50"/>
      <c r="X139" s="19"/>
      <c r="Y139" s="19"/>
      <c r="Z139" t="s">
        <v>63</v>
      </c>
      <c r="AA139" t="s">
        <v>63</v>
      </c>
      <c r="AB139" t="s">
        <v>65</v>
      </c>
    </row>
    <row r="140" spans="1:31" x14ac:dyDescent="0.2">
      <c r="A140" s="50"/>
      <c r="B140" s="4">
        <v>43369</v>
      </c>
      <c r="E140" s="18"/>
      <c r="F140" s="18"/>
      <c r="G140" s="18"/>
      <c r="H140" s="18"/>
      <c r="R140" s="50"/>
      <c r="S140" s="50"/>
      <c r="X140" t="s">
        <v>6</v>
      </c>
      <c r="Y140" t="s">
        <v>7</v>
      </c>
      <c r="Z140" t="s">
        <v>61</v>
      </c>
      <c r="AA140" t="s">
        <v>62</v>
      </c>
      <c r="AB140" t="s">
        <v>6</v>
      </c>
      <c r="AC140" t="s">
        <v>7</v>
      </c>
    </row>
    <row r="141" spans="1:31" x14ac:dyDescent="0.2">
      <c r="A141" s="50"/>
      <c r="B141" s="43" t="s">
        <v>51</v>
      </c>
      <c r="C141">
        <v>2.4598909732000001E-2</v>
      </c>
      <c r="D141" s="18">
        <v>2.3259667199999998E-9</v>
      </c>
      <c r="E141" s="18">
        <v>4.4490268999999998E-6</v>
      </c>
      <c r="F141" s="18">
        <v>2.0767232956406002E-8</v>
      </c>
      <c r="G141" s="18">
        <v>1.0114870668265801E-7</v>
      </c>
      <c r="H141" s="18">
        <v>8.2634350008879496E-8</v>
      </c>
      <c r="I141" s="2">
        <v>20.75</v>
      </c>
      <c r="J141" s="17">
        <f t="shared" ref="J141:J147" si="205">100*C141/0.5</f>
        <v>4.9197819464000005</v>
      </c>
      <c r="K141" s="2">
        <f t="shared" ref="K141:K147" si="206">C141/P141</f>
        <v>0.24598909731999999</v>
      </c>
      <c r="L141">
        <v>20</v>
      </c>
      <c r="M141">
        <v>15</v>
      </c>
      <c r="N141">
        <v>0.66707000000000005</v>
      </c>
      <c r="O141">
        <v>0.2</v>
      </c>
      <c r="P141">
        <v>0.1</v>
      </c>
      <c r="Q141">
        <v>1</v>
      </c>
      <c r="R141" s="52">
        <f t="shared" ref="R141:R147" si="207">Q141*D141/C141/N141</f>
        <v>1.4174776766372211E-7</v>
      </c>
      <c r="S141" s="52">
        <f t="shared" ref="S141:S147" si="208">Q141*E141/C141/N141</f>
        <v>2.711301180400594E-4</v>
      </c>
      <c r="T141" s="19">
        <f t="shared" ref="T141:T147" si="209">M141*N141*O141/(P141*U141*L141)</f>
        <v>0.99989913877412373</v>
      </c>
      <c r="U141" s="19">
        <f t="shared" ref="U141:U147" si="210">$AA$16</f>
        <v>1.0007059324270862</v>
      </c>
      <c r="V141" s="52">
        <f>AA$17</f>
        <v>1.1927894179369755E-4</v>
      </c>
      <c r="W141" s="19">
        <f t="shared" ref="W141:W147" si="211">R141+T141</f>
        <v>0.99989928052189136</v>
      </c>
      <c r="X141" s="2">
        <f t="shared" ref="X141:X147" si="212">1000*(W141-1)</f>
        <v>-0.10071947810863513</v>
      </c>
      <c r="Y141" s="2">
        <f t="shared" ref="Y141:Y147" si="213">1000*(S141-V141)</f>
        <v>0.15185117624636185</v>
      </c>
      <c r="Z141" s="51">
        <f t="shared" ref="Z141:Z147" si="214">((C141*N141)^2/P141-$AB$10)*$Z$28*0.001</f>
        <v>-7.995890272923399E-4</v>
      </c>
      <c r="AA141" s="51">
        <f>(C141^2/O141-$Z$10)*$AB$5*0.001</f>
        <v>-9.9343589660110494E-5</v>
      </c>
      <c r="AB141" s="2">
        <f>0.5*(X141+X149)+AA141-Z141</f>
        <v>-0.1007825648876052</v>
      </c>
      <c r="AC141" s="2">
        <f t="shared" ref="AC141:AC147" si="215">0.5*(Y141+Y149)</f>
        <v>0.17758025835097091</v>
      </c>
      <c r="AE141" s="2"/>
    </row>
    <row r="142" spans="1:31" x14ac:dyDescent="0.2">
      <c r="A142" s="50"/>
      <c r="B142" s="5" t="s">
        <v>110</v>
      </c>
      <c r="C142">
        <v>5.0655373596000003E-2</v>
      </c>
      <c r="D142" s="18">
        <v>-1.7464722290000001E-7</v>
      </c>
      <c r="E142" s="18">
        <v>9.0642582000000006E-6</v>
      </c>
      <c r="F142" s="18">
        <v>2.1345133804450599E-8</v>
      </c>
      <c r="G142" s="18">
        <v>1.2297256018024299E-7</v>
      </c>
      <c r="H142" s="18">
        <v>1.3544323801785E-7</v>
      </c>
      <c r="I142" s="2">
        <v>20.75</v>
      </c>
      <c r="J142" s="17">
        <f t="shared" si="205"/>
        <v>10.131074719200001</v>
      </c>
      <c r="K142" s="2">
        <f t="shared" si="206"/>
        <v>0.50655373595999997</v>
      </c>
      <c r="L142">
        <v>20</v>
      </c>
      <c r="M142">
        <v>15</v>
      </c>
      <c r="N142">
        <v>0.66707000000000005</v>
      </c>
      <c r="O142">
        <v>0.2</v>
      </c>
      <c r="P142">
        <v>0.1</v>
      </c>
      <c r="Q142">
        <v>1</v>
      </c>
      <c r="R142" s="52">
        <f t="shared" si="207"/>
        <v>-5.1685027518144654E-6</v>
      </c>
      <c r="S142" s="52">
        <f t="shared" si="208"/>
        <v>2.682472854245244E-4</v>
      </c>
      <c r="T142" s="19">
        <f t="shared" si="209"/>
        <v>0.99989913877412373</v>
      </c>
      <c r="U142" s="19">
        <f t="shared" si="210"/>
        <v>1.0007059324270862</v>
      </c>
      <c r="V142" s="52">
        <f t="shared" ref="V142:V147" si="216">AA$17</f>
        <v>1.1927894179369755E-4</v>
      </c>
      <c r="W142" s="19">
        <f t="shared" si="211"/>
        <v>0.99989397027137195</v>
      </c>
      <c r="X142" s="2">
        <f t="shared" si="212"/>
        <v>-0.10602972862805427</v>
      </c>
      <c r="Y142" s="2">
        <f t="shared" si="213"/>
        <v>0.14896834363082684</v>
      </c>
      <c r="Z142" s="51">
        <f t="shared" si="214"/>
        <v>-7.2804895870004385E-4</v>
      </c>
      <c r="AA142" s="51">
        <f t="shared" ref="AA142:AA147" si="217">(C142^2/O142-$Z$10)*$AB$5*0.001</f>
        <v>-7.8656511235857007E-5</v>
      </c>
      <c r="AB142" s="2">
        <f t="shared" ref="AB142:AB147" si="218">0.5*(X142+X150)+AA142-Z142</f>
        <v>-0.10439371068317783</v>
      </c>
      <c r="AC142" s="2">
        <f t="shared" si="215"/>
        <v>0.17047949844750687</v>
      </c>
      <c r="AE142" s="2"/>
    </row>
    <row r="143" spans="1:31" x14ac:dyDescent="0.2">
      <c r="A143" s="50"/>
      <c r="B143" s="161" t="s">
        <v>184</v>
      </c>
      <c r="C143">
        <v>0.10032391441999999</v>
      </c>
      <c r="D143" s="18">
        <v>-5.31015127E-7</v>
      </c>
      <c r="E143" s="18">
        <v>1.7337643999999998E-5</v>
      </c>
      <c r="F143" s="18">
        <v>1.6879782207139799E-8</v>
      </c>
      <c r="G143" s="18">
        <v>1.6939077352480799E-7</v>
      </c>
      <c r="H143" s="18">
        <v>6.2517319712220595E-8</v>
      </c>
      <c r="I143" s="2">
        <v>20.75</v>
      </c>
      <c r="J143" s="17">
        <f t="shared" si="205"/>
        <v>20.064782884</v>
      </c>
      <c r="K143" s="2">
        <f t="shared" si="206"/>
        <v>1.0032391441999999</v>
      </c>
      <c r="L143">
        <v>20</v>
      </c>
      <c r="M143">
        <v>15</v>
      </c>
      <c r="N143">
        <v>0.66707000000000005</v>
      </c>
      <c r="O143">
        <v>0.2</v>
      </c>
      <c r="P143">
        <v>0.1</v>
      </c>
      <c r="Q143">
        <v>1</v>
      </c>
      <c r="R143" s="52">
        <f t="shared" si="207"/>
        <v>-7.9347091891830301E-6</v>
      </c>
      <c r="S143" s="52">
        <f t="shared" si="208"/>
        <v>2.5906825657263059E-4</v>
      </c>
      <c r="T143" s="19">
        <f t="shared" si="209"/>
        <v>0.99989913877412373</v>
      </c>
      <c r="U143" s="19">
        <f t="shared" si="210"/>
        <v>1.0007059324270862</v>
      </c>
      <c r="V143" s="52">
        <f t="shared" si="216"/>
        <v>1.1927894179369755E-4</v>
      </c>
      <c r="W143" s="19">
        <f t="shared" si="211"/>
        <v>0.99989120406493459</v>
      </c>
      <c r="X143" s="2">
        <f t="shared" si="212"/>
        <v>-0.10879593506540886</v>
      </c>
      <c r="Y143" s="2">
        <f t="shared" si="213"/>
        <v>0.13978931477893303</v>
      </c>
      <c r="Z143" s="51">
        <f t="shared" si="214"/>
        <v>-4.5445819900115288E-4</v>
      </c>
      <c r="AA143" s="51">
        <f t="shared" si="217"/>
        <v>4.5710457987511084E-7</v>
      </c>
      <c r="AB143" s="2">
        <f t="shared" si="218"/>
        <v>-0.10882449533873458</v>
      </c>
      <c r="AC143" s="2">
        <f t="shared" si="215"/>
        <v>0.15984349403052772</v>
      </c>
      <c r="AE143" s="2"/>
    </row>
    <row r="144" spans="1:31" x14ac:dyDescent="0.2">
      <c r="A144" s="50"/>
      <c r="B144" s="67" t="s">
        <v>112</v>
      </c>
      <c r="C144">
        <v>0.20044275723999999</v>
      </c>
      <c r="D144" s="18">
        <v>-1.2489278000000001E-6</v>
      </c>
      <c r="E144" s="18">
        <v>3.2928558E-5</v>
      </c>
      <c r="F144" s="18">
        <v>1.1961454503517699E-8</v>
      </c>
      <c r="G144" s="18">
        <v>1.9610790092487401E-7</v>
      </c>
      <c r="H144" s="18">
        <v>6.50517258495113E-8</v>
      </c>
      <c r="I144" s="2">
        <v>20.75</v>
      </c>
      <c r="J144" s="17">
        <f t="shared" si="205"/>
        <v>40.088551447999997</v>
      </c>
      <c r="K144" s="2">
        <f t="shared" si="206"/>
        <v>2.0044275723999996</v>
      </c>
      <c r="L144">
        <v>20</v>
      </c>
      <c r="M144">
        <v>15</v>
      </c>
      <c r="N144">
        <v>0.66707000000000005</v>
      </c>
      <c r="O144">
        <v>0.2</v>
      </c>
      <c r="P144">
        <v>0.1</v>
      </c>
      <c r="Q144">
        <v>1</v>
      </c>
      <c r="R144" s="52">
        <f t="shared" si="207"/>
        <v>-9.3406167880306417E-6</v>
      </c>
      <c r="S144" s="52">
        <f t="shared" si="208"/>
        <v>2.4626967360358271E-4</v>
      </c>
      <c r="T144" s="19">
        <f t="shared" si="209"/>
        <v>0.99989913877412373</v>
      </c>
      <c r="U144" s="19">
        <f t="shared" si="210"/>
        <v>1.0007059324270862</v>
      </c>
      <c r="V144" s="52">
        <f t="shared" si="216"/>
        <v>1.1927894179369755E-4</v>
      </c>
      <c r="W144" s="19">
        <f t="shared" si="211"/>
        <v>0.9998897981573357</v>
      </c>
      <c r="X144" s="2">
        <f t="shared" si="212"/>
        <v>-0.11020184266430366</v>
      </c>
      <c r="Y144" s="2">
        <f t="shared" si="213"/>
        <v>0.12699073180988515</v>
      </c>
      <c r="Z144" s="51">
        <f t="shared" si="214"/>
        <v>6.4416352439510308E-4</v>
      </c>
      <c r="AA144" s="51">
        <f t="shared" si="217"/>
        <v>3.1814304195307812E-4</v>
      </c>
      <c r="AB144" s="2">
        <f t="shared" si="218"/>
        <v>-0.11029470648149321</v>
      </c>
      <c r="AC144" s="2">
        <f t="shared" si="215"/>
        <v>0.14570397568951149</v>
      </c>
      <c r="AE144" s="2"/>
    </row>
    <row r="145" spans="2:31" ht="13.5" x14ac:dyDescent="0.25">
      <c r="B145" s="163" t="s">
        <v>181</v>
      </c>
      <c r="C145">
        <v>0.30039959474</v>
      </c>
      <c r="D145" s="18">
        <v>-2.2116290999999998E-6</v>
      </c>
      <c r="E145" s="18">
        <v>4.8189082E-5</v>
      </c>
      <c r="F145" s="18">
        <v>8.3607686356264998E-8</v>
      </c>
      <c r="G145" s="18">
        <v>3.16437800997297E-9</v>
      </c>
      <c r="H145" s="18">
        <v>4.6369935044163802E-8</v>
      </c>
      <c r="I145" s="2">
        <v>20.75</v>
      </c>
      <c r="J145" s="17">
        <f t="shared" si="205"/>
        <v>60.079918948</v>
      </c>
      <c r="K145" s="2">
        <f t="shared" si="206"/>
        <v>3.0039959474</v>
      </c>
      <c r="L145">
        <v>20</v>
      </c>
      <c r="M145">
        <v>15</v>
      </c>
      <c r="N145">
        <v>0.66707000000000005</v>
      </c>
      <c r="O145">
        <v>0.2</v>
      </c>
      <c r="P145">
        <v>0.1</v>
      </c>
      <c r="Q145">
        <v>1</v>
      </c>
      <c r="R145" s="52">
        <f t="shared" si="207"/>
        <v>-1.1036758598141356E-5</v>
      </c>
      <c r="S145" s="52">
        <f t="shared" si="208"/>
        <v>2.4047941180555045E-4</v>
      </c>
      <c r="T145" s="19">
        <f t="shared" si="209"/>
        <v>0.99989913877412373</v>
      </c>
      <c r="U145" s="19">
        <f t="shared" si="210"/>
        <v>1.0007059324270862</v>
      </c>
      <c r="V145" s="52">
        <f t="shared" si="216"/>
        <v>1.1927894179369755E-4</v>
      </c>
      <c r="W145" s="19">
        <f t="shared" si="211"/>
        <v>0.99988810201552558</v>
      </c>
      <c r="X145" s="2">
        <f t="shared" si="212"/>
        <v>-0.11189798447441834</v>
      </c>
      <c r="Y145" s="2">
        <f t="shared" si="213"/>
        <v>0.1212004700118529</v>
      </c>
      <c r="Z145" s="51">
        <f t="shared" si="214"/>
        <v>2.4706489222382998E-3</v>
      </c>
      <c r="AA145" s="51">
        <f t="shared" si="217"/>
        <v>8.4630365752739513E-4</v>
      </c>
      <c r="AB145" s="2">
        <f t="shared" si="218"/>
        <v>-0.11439169341340107</v>
      </c>
      <c r="AC145" s="2">
        <f t="shared" si="215"/>
        <v>0.13900676602347423</v>
      </c>
      <c r="AE145" s="2"/>
    </row>
    <row r="146" spans="2:31" x14ac:dyDescent="0.2">
      <c r="B146" s="66" t="s">
        <v>111</v>
      </c>
      <c r="C146">
        <v>0.50078041912000004</v>
      </c>
      <c r="D146" s="18">
        <v>-3.2702996000000001E-6</v>
      </c>
      <c r="E146" s="18">
        <v>7.6000974000000002E-5</v>
      </c>
      <c r="F146" s="18">
        <v>5.5825206590797801E-7</v>
      </c>
      <c r="G146" s="18">
        <v>2.7355593478087802E-7</v>
      </c>
      <c r="H146" s="18">
        <v>9.5847706931360707E-8</v>
      </c>
      <c r="I146" s="2">
        <v>20.75</v>
      </c>
      <c r="J146" s="17">
        <f t="shared" si="205"/>
        <v>100.15608382400001</v>
      </c>
      <c r="K146" s="2">
        <f t="shared" si="206"/>
        <v>5.0078041912</v>
      </c>
      <c r="L146">
        <v>20</v>
      </c>
      <c r="M146">
        <v>15</v>
      </c>
      <c r="N146">
        <v>0.66707000000000005</v>
      </c>
      <c r="O146">
        <v>0.2</v>
      </c>
      <c r="P146">
        <v>0.1</v>
      </c>
      <c r="Q146">
        <v>1</v>
      </c>
      <c r="R146" s="52">
        <f t="shared" si="207"/>
        <v>-9.7896866777646957E-6</v>
      </c>
      <c r="S146" s="52">
        <f t="shared" si="208"/>
        <v>2.2750995739501698E-4</v>
      </c>
      <c r="T146" s="19">
        <f t="shared" si="209"/>
        <v>0.99989913877412373</v>
      </c>
      <c r="U146" s="19">
        <f t="shared" si="210"/>
        <v>1.0007059324270862</v>
      </c>
      <c r="V146" s="52">
        <f t="shared" si="216"/>
        <v>1.1927894179369755E-4</v>
      </c>
      <c r="W146" s="19">
        <f t="shared" si="211"/>
        <v>0.99988934908744598</v>
      </c>
      <c r="X146" s="2">
        <f t="shared" si="212"/>
        <v>-0.11065091255402226</v>
      </c>
      <c r="Y146" s="2">
        <f t="shared" si="213"/>
        <v>0.10823101560131944</v>
      </c>
      <c r="Z146" s="51">
        <f t="shared" si="214"/>
        <v>8.3278335902709985E-3</v>
      </c>
      <c r="AA146" s="51">
        <f t="shared" si="217"/>
        <v>2.5400123854775873E-3</v>
      </c>
      <c r="AB146" s="2">
        <f t="shared" si="218"/>
        <v>-0.1184213575275305</v>
      </c>
      <c r="AC146" s="2">
        <f t="shared" si="215"/>
        <v>0.12663787438640067</v>
      </c>
      <c r="AE146" s="2"/>
    </row>
    <row r="147" spans="2:31" x14ac:dyDescent="0.2">
      <c r="B147" s="162" t="s">
        <v>185</v>
      </c>
      <c r="C147">
        <v>0.60432324084</v>
      </c>
      <c r="D147" s="18">
        <v>-3.12926E-6</v>
      </c>
      <c r="E147" s="18">
        <v>8.9867376999999997E-5</v>
      </c>
      <c r="F147" s="18">
        <v>3.59859945833551E-7</v>
      </c>
      <c r="G147" s="18">
        <v>1.6940658945085999E-21</v>
      </c>
      <c r="H147" s="18">
        <v>1.5797818574411E-7</v>
      </c>
      <c r="I147" s="2">
        <v>20.75</v>
      </c>
      <c r="J147" s="17">
        <f t="shared" si="205"/>
        <v>120.864648168</v>
      </c>
      <c r="K147" s="2">
        <f t="shared" si="206"/>
        <v>6.0432324083999998</v>
      </c>
      <c r="L147">
        <v>20</v>
      </c>
      <c r="M147">
        <v>15</v>
      </c>
      <c r="N147">
        <v>0.66707000000000005</v>
      </c>
      <c r="O147">
        <v>0.2</v>
      </c>
      <c r="P147">
        <v>0.1</v>
      </c>
      <c r="Q147">
        <v>1</v>
      </c>
      <c r="R147" s="52">
        <f t="shared" si="207"/>
        <v>-7.7624880139836867E-6</v>
      </c>
      <c r="S147" s="52">
        <f t="shared" si="208"/>
        <v>2.2292632661097294E-4</v>
      </c>
      <c r="T147" s="19">
        <f t="shared" si="209"/>
        <v>0.99989913877412373</v>
      </c>
      <c r="U147" s="19">
        <f t="shared" si="210"/>
        <v>1.0007059324270862</v>
      </c>
      <c r="V147" s="52">
        <f t="shared" si="216"/>
        <v>1.1927894179369755E-4</v>
      </c>
      <c r="W147" s="19">
        <f t="shared" si="211"/>
        <v>0.9998913762861098</v>
      </c>
      <c r="X147" s="2">
        <f t="shared" si="212"/>
        <v>-0.10862371389019909</v>
      </c>
      <c r="Y147" s="2">
        <f t="shared" si="213"/>
        <v>0.1036473848172754</v>
      </c>
      <c r="Z147" s="51">
        <f t="shared" si="214"/>
        <v>1.2502537362285184E-2</v>
      </c>
      <c r="AA147" s="51">
        <f t="shared" si="217"/>
        <v>3.7472019511161111E-3</v>
      </c>
      <c r="AB147" s="2">
        <f t="shared" si="218"/>
        <v>-0.11890816995529957</v>
      </c>
      <c r="AC147" s="2">
        <f t="shared" si="215"/>
        <v>0.12158269931397762</v>
      </c>
      <c r="AE147" s="2"/>
    </row>
    <row r="148" spans="2:31" x14ac:dyDescent="0.2">
      <c r="I148" s="2"/>
      <c r="J148" s="17"/>
      <c r="K148" s="2"/>
      <c r="R148" s="52"/>
      <c r="S148" s="52"/>
      <c r="T148" s="19"/>
      <c r="U148" s="19"/>
      <c r="V148" s="52"/>
      <c r="W148" s="19"/>
      <c r="X148" s="2"/>
      <c r="Y148" s="2"/>
      <c r="AA148" s="2"/>
      <c r="AB148" s="2"/>
    </row>
    <row r="149" spans="2:31" x14ac:dyDescent="0.2">
      <c r="B149" s="43" t="s">
        <v>52</v>
      </c>
      <c r="C149">
        <v>2.4633165118000001E-2</v>
      </c>
      <c r="D149" s="18">
        <v>-2.2757013600000001E-8</v>
      </c>
      <c r="E149" s="18">
        <v>4.6212241999999996E-6</v>
      </c>
      <c r="F149" s="18">
        <v>3.4597996594106701E-8</v>
      </c>
      <c r="G149" s="18">
        <v>9.97158838695372E-8</v>
      </c>
      <c r="H149" s="18">
        <v>1.23092712523366E-7</v>
      </c>
      <c r="I149" s="2">
        <v>20.75</v>
      </c>
      <c r="J149" s="17">
        <f t="shared" ref="J149:J155" si="219">100*C149/0.5</f>
        <v>4.9266330236</v>
      </c>
      <c r="K149" s="2">
        <f t="shared" ref="K149:K155" si="220">C149/P149</f>
        <v>0.24633165118</v>
      </c>
      <c r="L149">
        <v>20</v>
      </c>
      <c r="M149">
        <v>15</v>
      </c>
      <c r="N149">
        <v>0.66707000000000005</v>
      </c>
      <c r="O149">
        <v>0.2</v>
      </c>
      <c r="P149">
        <v>0.1</v>
      </c>
      <c r="Q149">
        <v>1</v>
      </c>
      <c r="R149" s="52">
        <f t="shared" ref="R149:R155" si="221">Q149*D149/C149/N149</f>
        <v>-1.3849166655457027E-6</v>
      </c>
      <c r="S149" s="52">
        <f t="shared" ref="S149:S155" si="222">Q149*E149/C149/N149</f>
        <v>2.8123243771331695E-4</v>
      </c>
      <c r="T149" s="19">
        <f t="shared" ref="T149:T155" si="223">M149*N149*O149/(P149*U149*L149)</f>
        <v>0.99989913877412373</v>
      </c>
      <c r="U149" s="19">
        <f t="shared" ref="U149:U156" si="224">$AA$16</f>
        <v>1.0007059324270862</v>
      </c>
      <c r="V149" s="52">
        <f>$AA$26</f>
        <v>7.7923097257736945E-5</v>
      </c>
      <c r="W149" s="19">
        <f t="shared" ref="W149:W155" si="225">R149+T149</f>
        <v>0.99989775385745816</v>
      </c>
      <c r="X149" s="2">
        <f t="shared" ref="X149:X155" si="226">1000*(W149-1)</f>
        <v>-0.10224614254183972</v>
      </c>
      <c r="Y149" s="2">
        <f t="shared" ref="Y149:Y155" si="227">1000*(S149-V149)</f>
        <v>0.20330934045558</v>
      </c>
      <c r="Z149" s="51">
        <f t="shared" ref="Z149:Z155" si="228">((C149*N149)^2/P149-$AB$10)*$Z$28*0.001</f>
        <v>-7.9952749832081025E-4</v>
      </c>
      <c r="AA149" s="51">
        <f>(C149^2/O149-$Z$10)*$AB$5*0.001</f>
        <v>-9.932579746778464E-5</v>
      </c>
    </row>
    <row r="150" spans="2:31" x14ac:dyDescent="0.2">
      <c r="C150">
        <v>5.0012642070000002E-2</v>
      </c>
      <c r="D150" s="18">
        <v>-1.0659977549999999E-7</v>
      </c>
      <c r="E150" s="18">
        <v>9.0048445000000007E-6</v>
      </c>
      <c r="F150" s="18">
        <v>3.0408389983878199E-8</v>
      </c>
      <c r="G150" s="18">
        <v>1.0690574893931E-7</v>
      </c>
      <c r="H150" s="18">
        <v>1.06176038241922E-7</v>
      </c>
      <c r="I150" s="2">
        <v>20.75</v>
      </c>
      <c r="J150" s="17">
        <f t="shared" si="219"/>
        <v>10.002528414</v>
      </c>
      <c r="K150" s="2">
        <f t="shared" si="220"/>
        <v>0.50012642070000002</v>
      </c>
      <c r="L150">
        <v>20</v>
      </c>
      <c r="M150">
        <v>15</v>
      </c>
      <c r="N150">
        <v>0.66707000000000005</v>
      </c>
      <c r="O150">
        <v>0.2</v>
      </c>
      <c r="P150">
        <v>0.1</v>
      </c>
      <c r="Q150">
        <v>1</v>
      </c>
      <c r="R150" s="52">
        <f t="shared" si="221"/>
        <v>-3.1952517569848186E-6</v>
      </c>
      <c r="S150" s="52">
        <f t="shared" si="222"/>
        <v>2.6991375052192384E-4</v>
      </c>
      <c r="T150" s="19">
        <f t="shared" si="223"/>
        <v>0.99989913877412373</v>
      </c>
      <c r="U150" s="19">
        <f t="shared" si="224"/>
        <v>1.0007059324270862</v>
      </c>
      <c r="V150" s="52">
        <f t="shared" ref="V150:V158" si="229">$AA$26</f>
        <v>7.7923097257736945E-5</v>
      </c>
      <c r="W150" s="19">
        <f t="shared" si="225"/>
        <v>0.99989594352236677</v>
      </c>
      <c r="X150" s="2">
        <f t="shared" si="226"/>
        <v>-0.10405647763322978</v>
      </c>
      <c r="Y150" s="2">
        <f t="shared" si="227"/>
        <v>0.19199065326418691</v>
      </c>
      <c r="Z150" s="51">
        <f t="shared" si="228"/>
        <v>-7.3040956608591914E-4</v>
      </c>
      <c r="AA150" s="51">
        <f t="shared" ref="AA150:AA155" si="230">(C150^2/O150-$Z$10)*$AB$5*0.001</f>
        <v>-7.9339122688171614E-5</v>
      </c>
    </row>
    <row r="151" spans="2:31" x14ac:dyDescent="0.2">
      <c r="C151">
        <v>0.10053049466</v>
      </c>
      <c r="D151" s="18">
        <v>-5.9695314999999995E-7</v>
      </c>
      <c r="E151" s="18">
        <v>1.7289686999999999E-5</v>
      </c>
      <c r="F151" s="18">
        <v>3.5421707364827301E-8</v>
      </c>
      <c r="G151" s="18">
        <v>1.3940665472927601E-7</v>
      </c>
      <c r="H151" s="18">
        <v>2.0021012894206899E-7</v>
      </c>
      <c r="I151" s="2">
        <v>20.76</v>
      </c>
      <c r="J151" s="17">
        <f t="shared" si="219"/>
        <v>20.106098931999998</v>
      </c>
      <c r="K151" s="2">
        <f t="shared" si="220"/>
        <v>1.0053049465999999</v>
      </c>
      <c r="L151">
        <v>20</v>
      </c>
      <c r="M151">
        <v>15</v>
      </c>
      <c r="N151">
        <v>0.66707000000000005</v>
      </c>
      <c r="O151">
        <v>0.2</v>
      </c>
      <c r="P151">
        <v>0.1</v>
      </c>
      <c r="Q151">
        <v>1</v>
      </c>
      <c r="R151" s="52">
        <f t="shared" si="221"/>
        <v>-8.9016603429082465E-6</v>
      </c>
      <c r="S151" s="52">
        <f t="shared" si="222"/>
        <v>2.5782077053985937E-4</v>
      </c>
      <c r="T151" s="19">
        <f t="shared" si="223"/>
        <v>0.99989913877412373</v>
      </c>
      <c r="U151" s="19">
        <f t="shared" si="224"/>
        <v>1.0007059324270862</v>
      </c>
      <c r="V151" s="52">
        <f t="shared" si="229"/>
        <v>7.7923097257736945E-5</v>
      </c>
      <c r="W151" s="19">
        <f t="shared" si="225"/>
        <v>0.99989023711378078</v>
      </c>
      <c r="X151" s="2">
        <f t="shared" si="226"/>
        <v>-0.10976288621922237</v>
      </c>
      <c r="Y151" s="2">
        <f t="shared" si="227"/>
        <v>0.17989767328212242</v>
      </c>
      <c r="Z151" s="51">
        <f t="shared" si="228"/>
        <v>-4.5294438402192309E-4</v>
      </c>
      <c r="AA151" s="51">
        <f t="shared" si="230"/>
        <v>8.9485100382120875E-7</v>
      </c>
    </row>
    <row r="152" spans="2:31" x14ac:dyDescent="0.2">
      <c r="C152">
        <v>0.20020196328000001</v>
      </c>
      <c r="D152" s="18">
        <v>-1.1851518999999999E-6</v>
      </c>
      <c r="E152" s="18">
        <v>3.236424E-5</v>
      </c>
      <c r="F152" s="18">
        <v>4.76848939828586E-8</v>
      </c>
      <c r="G152" s="18">
        <v>1.3595359970000799E-7</v>
      </c>
      <c r="H152" s="18">
        <v>6.7945542900178201E-8</v>
      </c>
      <c r="I152" s="2">
        <v>20.77</v>
      </c>
      <c r="J152" s="17">
        <f t="shared" si="219"/>
        <v>40.040392656000002</v>
      </c>
      <c r="K152" s="2">
        <f t="shared" si="220"/>
        <v>2.0020196327999997</v>
      </c>
      <c r="L152">
        <v>20</v>
      </c>
      <c r="M152">
        <v>15</v>
      </c>
      <c r="N152">
        <v>0.66707000000000005</v>
      </c>
      <c r="O152">
        <v>0.2</v>
      </c>
      <c r="P152">
        <v>0.1</v>
      </c>
      <c r="Q152">
        <v>1</v>
      </c>
      <c r="R152" s="52">
        <f t="shared" si="221"/>
        <v>-8.8743034575807326E-6</v>
      </c>
      <c r="S152" s="52">
        <f t="shared" si="222"/>
        <v>2.4234031682687481E-4</v>
      </c>
      <c r="T152" s="19">
        <f t="shared" si="223"/>
        <v>0.99989913877412373</v>
      </c>
      <c r="U152" s="19">
        <f t="shared" si="224"/>
        <v>1.0007059324270862</v>
      </c>
      <c r="V152" s="52">
        <f t="shared" si="229"/>
        <v>7.7923097257736945E-5</v>
      </c>
      <c r="W152" s="19">
        <f t="shared" si="225"/>
        <v>0.9998902644706662</v>
      </c>
      <c r="X152" s="2">
        <f t="shared" si="226"/>
        <v>-0.10973552933379871</v>
      </c>
      <c r="Y152" s="2">
        <f t="shared" si="227"/>
        <v>0.16441721956913785</v>
      </c>
      <c r="Z152" s="51">
        <f t="shared" si="228"/>
        <v>6.4064380805609826E-4</v>
      </c>
      <c r="AA152" s="51">
        <f t="shared" si="230"/>
        <v>3.1712525360916321E-4</v>
      </c>
    </row>
    <row r="153" spans="2:31" x14ac:dyDescent="0.2">
      <c r="C153">
        <v>0.30037167607999998</v>
      </c>
      <c r="D153" s="18">
        <v>-2.5598105E-6</v>
      </c>
      <c r="E153" s="18">
        <v>4.7033834000000003E-5</v>
      </c>
      <c r="F153" s="18">
        <v>2.2955380767116399E-8</v>
      </c>
      <c r="G153" s="18">
        <v>2.3502889000875999E-7</v>
      </c>
      <c r="H153" s="18">
        <v>1.1993622990573001E-7</v>
      </c>
      <c r="I153" s="2">
        <v>20.77</v>
      </c>
      <c r="J153" s="17">
        <f t="shared" si="219"/>
        <v>60.074335215999994</v>
      </c>
      <c r="K153" s="2">
        <f t="shared" si="220"/>
        <v>3.0037167607999997</v>
      </c>
      <c r="L153">
        <v>20</v>
      </c>
      <c r="M153">
        <v>15</v>
      </c>
      <c r="N153">
        <v>0.66707000000000005</v>
      </c>
      <c r="O153">
        <v>0.2</v>
      </c>
      <c r="P153">
        <v>0.1</v>
      </c>
      <c r="Q153">
        <v>1</v>
      </c>
      <c r="R153" s="52">
        <f t="shared" si="221"/>
        <v>-1.2775485946722209E-5</v>
      </c>
      <c r="S153" s="52">
        <f t="shared" si="222"/>
        <v>2.3473615929283252E-4</v>
      </c>
      <c r="T153" s="19">
        <f t="shared" si="223"/>
        <v>0.99989913877412373</v>
      </c>
      <c r="U153" s="19">
        <f t="shared" si="224"/>
        <v>1.0007059324270862</v>
      </c>
      <c r="V153" s="52">
        <f t="shared" si="229"/>
        <v>7.7923097257736945E-5</v>
      </c>
      <c r="W153" s="19">
        <f t="shared" si="225"/>
        <v>0.99988636328817704</v>
      </c>
      <c r="X153" s="2">
        <f t="shared" si="226"/>
        <v>-0.11363671182296198</v>
      </c>
      <c r="Y153" s="2">
        <f t="shared" si="227"/>
        <v>0.15681306203509557</v>
      </c>
      <c r="Z153" s="51">
        <f t="shared" si="228"/>
        <v>2.47003698571166E-3</v>
      </c>
      <c r="AA153" s="51">
        <f t="shared" si="230"/>
        <v>8.4612670523805079E-4</v>
      </c>
    </row>
    <row r="154" spans="2:31" x14ac:dyDescent="0.2">
      <c r="C154">
        <v>0.50110135820000001</v>
      </c>
      <c r="D154" s="18">
        <v>-4.5978574999999899E-6</v>
      </c>
      <c r="E154" s="18">
        <v>7.4531385999999998E-5</v>
      </c>
      <c r="F154" s="18">
        <v>2.3203474435787499E-7</v>
      </c>
      <c r="G154" s="18">
        <v>1.7957670410370601E-7</v>
      </c>
      <c r="H154" s="18">
        <v>3.37565574968776E-7</v>
      </c>
      <c r="I154" s="2">
        <v>20.77</v>
      </c>
      <c r="J154" s="17">
        <f t="shared" si="219"/>
        <v>100.22027164000001</v>
      </c>
      <c r="K154" s="2">
        <f t="shared" si="220"/>
        <v>5.0110135819999995</v>
      </c>
      <c r="L154">
        <v>20</v>
      </c>
      <c r="M154">
        <v>15</v>
      </c>
      <c r="N154">
        <v>0.66707000000000005</v>
      </c>
      <c r="O154">
        <v>0.2</v>
      </c>
      <c r="P154">
        <v>0.1</v>
      </c>
      <c r="Q154">
        <v>1</v>
      </c>
      <c r="R154" s="52">
        <f t="shared" si="221"/>
        <v>-1.3754934215200427E-5</v>
      </c>
      <c r="S154" s="52">
        <f t="shared" si="222"/>
        <v>2.2296783042921887E-4</v>
      </c>
      <c r="T154" s="19">
        <f t="shared" si="223"/>
        <v>0.99989913877412373</v>
      </c>
      <c r="U154" s="19">
        <f t="shared" si="224"/>
        <v>1.0007059324270862</v>
      </c>
      <c r="V154" s="52">
        <f t="shared" si="229"/>
        <v>7.7923097257736945E-5</v>
      </c>
      <c r="W154" s="19">
        <f t="shared" si="225"/>
        <v>0.99988538383990855</v>
      </c>
      <c r="X154" s="2">
        <f t="shared" si="226"/>
        <v>-0.11461616009145192</v>
      </c>
      <c r="Y154" s="2">
        <f t="shared" si="227"/>
        <v>0.14504473317148192</v>
      </c>
      <c r="Z154" s="51">
        <f t="shared" si="228"/>
        <v>8.3395647711712179E-3</v>
      </c>
      <c r="AA154" s="51">
        <f t="shared" si="230"/>
        <v>2.5434046642951406E-3</v>
      </c>
    </row>
    <row r="155" spans="2:31" x14ac:dyDescent="0.2">
      <c r="C155">
        <v>0.60077797336000005</v>
      </c>
      <c r="D155" s="18">
        <v>-4.3365259000000003E-6</v>
      </c>
      <c r="E155" s="18">
        <v>8.7141908999999998E-5</v>
      </c>
      <c r="F155" s="18">
        <v>3.0631139981301699E-7</v>
      </c>
      <c r="G155" s="18">
        <v>3.4928733374714599E-7</v>
      </c>
      <c r="H155" s="18">
        <v>1.9120485197557201E-7</v>
      </c>
      <c r="I155" s="2">
        <v>20.77</v>
      </c>
      <c r="J155" s="17">
        <f t="shared" si="219"/>
        <v>120.15559467200001</v>
      </c>
      <c r="K155" s="2">
        <f t="shared" si="220"/>
        <v>6.0077797336000005</v>
      </c>
      <c r="L155">
        <v>20</v>
      </c>
      <c r="M155">
        <v>15</v>
      </c>
      <c r="N155">
        <v>0.66707000000000005</v>
      </c>
      <c r="O155">
        <v>0.2</v>
      </c>
      <c r="P155">
        <v>0.1</v>
      </c>
      <c r="Q155">
        <v>1</v>
      </c>
      <c r="R155" s="52">
        <f t="shared" si="221"/>
        <v>-1.0820729321788971E-5</v>
      </c>
      <c r="S155" s="52">
        <f t="shared" si="222"/>
        <v>2.174411110684168E-4</v>
      </c>
      <c r="T155" s="19">
        <f t="shared" si="223"/>
        <v>0.99989913877412373</v>
      </c>
      <c r="U155" s="19">
        <f t="shared" si="224"/>
        <v>1.0007059324270862</v>
      </c>
      <c r="V155" s="52">
        <f t="shared" si="229"/>
        <v>7.7923097257736945E-5</v>
      </c>
      <c r="W155" s="19">
        <f t="shared" si="225"/>
        <v>0.99988831804480194</v>
      </c>
      <c r="X155" s="2">
        <f t="shared" si="226"/>
        <v>-0.1116819551980619</v>
      </c>
      <c r="Y155" s="2">
        <f t="shared" si="227"/>
        <v>0.13951801381067985</v>
      </c>
      <c r="Z155" s="51">
        <f t="shared" si="228"/>
        <v>1.2346662823301517E-2</v>
      </c>
      <c r="AA155" s="51">
        <f t="shared" si="230"/>
        <v>3.7021280662883475E-3</v>
      </c>
    </row>
    <row r="156" spans="2:31" x14ac:dyDescent="0.2">
      <c r="B156" s="122" t="s">
        <v>51</v>
      </c>
      <c r="C156" s="122">
        <v>0.30192221157999999</v>
      </c>
      <c r="D156" s="123">
        <v>-1.9536108E-6</v>
      </c>
      <c r="E156" s="123">
        <v>4.7388426E-5</v>
      </c>
      <c r="F156" s="123">
        <v>2.3273304066229599E-8</v>
      </c>
      <c r="G156" s="123">
        <v>2.3824122088202999E-7</v>
      </c>
      <c r="H156" s="123">
        <v>2.6737757670380698E-7</v>
      </c>
      <c r="I156" s="124">
        <v>20.77</v>
      </c>
      <c r="J156" s="125">
        <f>100*C156/0.5</f>
        <v>60.384442315999998</v>
      </c>
      <c r="K156" s="124">
        <f>C156/P156</f>
        <v>3.0192221157999999</v>
      </c>
      <c r="L156" s="122">
        <v>20</v>
      </c>
      <c r="M156" s="122">
        <v>15</v>
      </c>
      <c r="N156" s="122">
        <v>0.66707000000000005</v>
      </c>
      <c r="O156" s="126">
        <v>0.2</v>
      </c>
      <c r="P156" s="126">
        <v>0.1</v>
      </c>
      <c r="Q156" s="126">
        <v>1</v>
      </c>
      <c r="R156" s="52">
        <f>Q156*D156/C156/N156</f>
        <v>-9.6999964157325858E-6</v>
      </c>
      <c r="S156" s="52">
        <f>Q156*E156/C156/N156</f>
        <v>2.3529126801879313E-4</v>
      </c>
      <c r="T156" s="19">
        <f>M156*N156*O156/(P156*U156*L156)</f>
        <v>0.99989913877412373</v>
      </c>
      <c r="U156" s="19">
        <f t="shared" si="224"/>
        <v>1.0007059324270862</v>
      </c>
      <c r="V156" s="52">
        <f t="shared" si="229"/>
        <v>7.7923097257736945E-5</v>
      </c>
      <c r="W156" s="19">
        <f>R156+T156</f>
        <v>0.99988943877770797</v>
      </c>
      <c r="X156" s="2">
        <f>1000*(W156-1)</f>
        <v>-0.11056122229202714</v>
      </c>
      <c r="Y156" s="2">
        <f>1000*(S156-V156)</f>
        <v>0.15736817076105619</v>
      </c>
      <c r="Z156" t="s">
        <v>68</v>
      </c>
      <c r="AA156" t="s">
        <v>67</v>
      </c>
      <c r="AB156" t="s">
        <v>66</v>
      </c>
    </row>
    <row r="157" spans="2:31" x14ac:dyDescent="0.2">
      <c r="B157" s="164" t="s">
        <v>54</v>
      </c>
      <c r="C157" s="122">
        <v>0.30194799494000002</v>
      </c>
      <c r="D157" s="123">
        <v>-3.6620654000000001E-4</v>
      </c>
      <c r="E157" s="123">
        <v>8.5851712999999999E-5</v>
      </c>
      <c r="F157" s="123">
        <v>1.7619039617480801E-8</v>
      </c>
      <c r="G157" s="123">
        <v>8.5653173676402705E-6</v>
      </c>
      <c r="H157" s="123">
        <v>3.14502532411601E-6</v>
      </c>
      <c r="I157" s="124">
        <v>20.78</v>
      </c>
      <c r="J157" s="125">
        <f>100*C157/0.5</f>
        <v>60.389598988000003</v>
      </c>
      <c r="K157" s="124">
        <f>C157/P157</f>
        <v>3.0194799494</v>
      </c>
      <c r="L157" s="122">
        <v>20</v>
      </c>
      <c r="M157" s="122">
        <v>15</v>
      </c>
      <c r="N157" s="122">
        <v>0.66707000000000005</v>
      </c>
      <c r="O157" s="126">
        <v>0.2</v>
      </c>
      <c r="P157" s="126">
        <v>0.1</v>
      </c>
      <c r="Q157" s="126">
        <v>1</v>
      </c>
      <c r="R157" s="52">
        <f>Q157*D157/C157/N157</f>
        <v>-1.8181199666968872E-3</v>
      </c>
      <c r="S157" s="52">
        <f>Q157*E157/C157/N157</f>
        <v>4.2623136544866379E-4</v>
      </c>
      <c r="T157" s="19">
        <f>M157*N157*O157/(P157*U157*L157)</f>
        <v>0.99989913877412373</v>
      </c>
      <c r="U157" s="19">
        <f>$AA$16</f>
        <v>1.0007059324270862</v>
      </c>
      <c r="V157" s="52">
        <f t="shared" si="229"/>
        <v>7.7923097257736945E-5</v>
      </c>
      <c r="W157" s="19">
        <f>R157+T157</f>
        <v>0.99808101880742683</v>
      </c>
      <c r="X157" s="2">
        <f>1000*(W157-1)</f>
        <v>-1.9189811925731659</v>
      </c>
      <c r="Y157" s="2">
        <f>1000*(S157-V157)</f>
        <v>0.34830826819092686</v>
      </c>
      <c r="AA157" s="46">
        <f>100*-(X157-X156)/1000</f>
        <v>0.18084199702811388</v>
      </c>
      <c r="AB157" s="46">
        <f>100*-(Y157-Y156)/1000</f>
        <v>-1.9094009742987066E-2</v>
      </c>
    </row>
    <row r="158" spans="2:31" x14ac:dyDescent="0.2">
      <c r="B158" s="164"/>
      <c r="C158" s="122">
        <v>0.30194123470000001</v>
      </c>
      <c r="D158" s="123">
        <v>-3.2794787999999999E-6</v>
      </c>
      <c r="E158" s="123">
        <v>3.5154083000000003E-5</v>
      </c>
      <c r="F158" s="123">
        <v>1.4436407558534799E-8</v>
      </c>
      <c r="G158" s="123">
        <v>7.5205856278351199E-8</v>
      </c>
      <c r="H158" s="123">
        <v>9.60825031470347E-8</v>
      </c>
      <c r="I158" s="124">
        <v>20.78</v>
      </c>
      <c r="J158" s="125">
        <f>100*C158/0.5</f>
        <v>60.388246940000002</v>
      </c>
      <c r="K158" s="124">
        <f>C158/P158</f>
        <v>3.0194123469999998</v>
      </c>
      <c r="L158" s="122">
        <v>20</v>
      </c>
      <c r="M158" s="122">
        <v>15</v>
      </c>
      <c r="N158" s="122">
        <v>0.66707000000000005</v>
      </c>
      <c r="O158" s="126">
        <v>0.2</v>
      </c>
      <c r="P158" s="126">
        <v>0.1</v>
      </c>
      <c r="Q158" s="126">
        <v>1</v>
      </c>
      <c r="R158" s="52">
        <f>Q158*D158/C158/N158</f>
        <v>-1.6282121510636992E-5</v>
      </c>
      <c r="S158" s="52">
        <f>Q158*E158/C158/N158</f>
        <v>1.7453476174354848E-4</v>
      </c>
      <c r="T158" s="19">
        <f>M158*N158*O158/(P158*U158*L158)</f>
        <v>0.99989913877412373</v>
      </c>
      <c r="U158" s="19">
        <f>$AA$16</f>
        <v>1.0007059324270862</v>
      </c>
      <c r="V158" s="52">
        <f t="shared" si="229"/>
        <v>7.7923097257736945E-5</v>
      </c>
      <c r="W158" s="19">
        <f>R158+T158</f>
        <v>0.99988285665261312</v>
      </c>
      <c r="X158" s="2">
        <f>1000*(W158-1)</f>
        <v>-0.11714334738688326</v>
      </c>
      <c r="Y158" s="2">
        <f>1000*(S158-V158)</f>
        <v>9.661166448581153E-2</v>
      </c>
      <c r="AA158" s="46"/>
      <c r="AB158" s="46"/>
    </row>
    <row r="159" spans="2:31" x14ac:dyDescent="0.2">
      <c r="R159" s="52"/>
      <c r="S159" s="52"/>
      <c r="T159" s="19"/>
      <c r="U159" s="19"/>
      <c r="V159" s="52"/>
      <c r="W159" s="19"/>
      <c r="X159" s="2"/>
      <c r="Y159" s="2"/>
    </row>
    <row r="160" spans="2:31" x14ac:dyDescent="0.2">
      <c r="B160" s="45" t="s">
        <v>215</v>
      </c>
      <c r="R160" s="50"/>
      <c r="S160" s="50"/>
      <c r="AB160" t="s">
        <v>64</v>
      </c>
    </row>
    <row r="161" spans="2:31" x14ac:dyDescent="0.2">
      <c r="C161" s="5" t="str">
        <f>B165&amp;" range, "&amp;B167&amp;", vs shunts and 500 AT on "&amp;B169&amp;" range."</f>
        <v>75/5 range, l - 1200At(5A), vs shunts and 500 AT on 100/5 range.</v>
      </c>
      <c r="J161" s="5" t="s">
        <v>182</v>
      </c>
      <c r="R161" s="50"/>
      <c r="S161" s="50"/>
      <c r="AB161" t="s">
        <v>65</v>
      </c>
    </row>
    <row r="162" spans="2:31" x14ac:dyDescent="0.2">
      <c r="B162" s="4">
        <v>43369</v>
      </c>
      <c r="R162" s="50"/>
      <c r="S162" s="50"/>
      <c r="AB162" t="s">
        <v>6</v>
      </c>
      <c r="AC162" t="s">
        <v>7</v>
      </c>
    </row>
    <row r="163" spans="2:31" x14ac:dyDescent="0.2">
      <c r="B163" s="43" t="s">
        <v>51</v>
      </c>
      <c r="C163">
        <v>2.480507333E-2</v>
      </c>
      <c r="D163" s="18">
        <v>-7.6240815999999995E-7</v>
      </c>
      <c r="E163" s="18">
        <v>7.5094382000000001E-6</v>
      </c>
      <c r="F163" s="18">
        <v>2.2886099754480601E-8</v>
      </c>
      <c r="G163" s="18">
        <v>1.52650395202352E-7</v>
      </c>
      <c r="H163" s="18">
        <v>1.4844609059439699E-7</v>
      </c>
      <c r="I163" s="2">
        <v>20.75</v>
      </c>
      <c r="J163" s="17">
        <f t="shared" ref="J163:J169" si="231">100*C163/0.5</f>
        <v>4.9610146659999996</v>
      </c>
      <c r="K163" s="2">
        <f t="shared" ref="K163:K169" si="232">C163/P163</f>
        <v>0.24805073329999999</v>
      </c>
      <c r="L163">
        <v>20</v>
      </c>
      <c r="M163">
        <v>15</v>
      </c>
      <c r="N163">
        <v>0.66707000000000005</v>
      </c>
      <c r="O163">
        <v>0.2</v>
      </c>
      <c r="P163">
        <v>0.1</v>
      </c>
      <c r="Q163">
        <v>1</v>
      </c>
      <c r="R163" s="52">
        <f t="shared" ref="R163:R169" si="233">Q163*D163/C163/N163</f>
        <v>-4.6076089263162675E-5</v>
      </c>
      <c r="S163" s="52">
        <f t="shared" ref="S163:S169" si="234">Q163*E163/C163/N163</f>
        <v>4.5383242595331563E-4</v>
      </c>
      <c r="T163" s="19">
        <f t="shared" ref="T163:T169" si="235">M163*N163*O163/(P163*U163*L163)</f>
        <v>0.99989913877412373</v>
      </c>
      <c r="U163" s="19">
        <f t="shared" ref="U163:U169" si="236">$AA$16</f>
        <v>1.0007059324270862</v>
      </c>
      <c r="V163" s="52">
        <f>AA$17</f>
        <v>1.1927894179369755E-4</v>
      </c>
      <c r="W163" s="19">
        <f t="shared" ref="W163:W169" si="237">R163+T163</f>
        <v>0.99985306268486052</v>
      </c>
      <c r="X163" s="2">
        <f t="shared" ref="X163:X169" si="238">1000*(W163-1)</f>
        <v>-0.14693731513948372</v>
      </c>
      <c r="Y163" s="2">
        <f t="shared" ref="Y163:Y169" si="239">1000*(S163-V163)</f>
        <v>0.33455348415961805</v>
      </c>
      <c r="Z163" s="51">
        <f t="shared" ref="Z163:Z169" si="240">((C163*N163)^2/P163-$AB$10)*$Z$28*0.001</f>
        <v>-7.9921742652670714E-4</v>
      </c>
      <c r="AA163" s="51">
        <f>(C163^2/O163-$Z$10)*$AB$5*0.001</f>
        <v>-9.9236134714477593E-5</v>
      </c>
      <c r="AB163" s="2">
        <f t="shared" ref="AB163:AB169" si="241">0.5*(X163+X171)+AA163-Z163</f>
        <v>-0.15087322780155746</v>
      </c>
      <c r="AC163" s="2">
        <f t="shared" ref="AC163:AC169" si="242">0.5*(Y163+Y171)</f>
        <v>0.36344218635373221</v>
      </c>
      <c r="AD163" s="2"/>
      <c r="AE163" s="2"/>
    </row>
    <row r="164" spans="2:31" x14ac:dyDescent="0.2">
      <c r="B164" s="5" t="s">
        <v>110</v>
      </c>
      <c r="C164">
        <v>5.0507948810000002E-2</v>
      </c>
      <c r="D164" s="18">
        <v>-1.6699258000000001E-6</v>
      </c>
      <c r="E164" s="18">
        <v>1.4748381000000001E-5</v>
      </c>
      <c r="F164" s="18">
        <v>2.29950355656852E-8</v>
      </c>
      <c r="G164" s="18">
        <v>1.90451420037657E-7</v>
      </c>
      <c r="H164" s="18">
        <v>1.9568355306208001E-7</v>
      </c>
      <c r="I164" s="2">
        <v>20.74</v>
      </c>
      <c r="J164" s="17">
        <f t="shared" si="231"/>
        <v>10.101589762</v>
      </c>
      <c r="K164" s="2">
        <f t="shared" si="232"/>
        <v>0.50507948810000003</v>
      </c>
      <c r="L164">
        <v>20</v>
      </c>
      <c r="M164">
        <v>15</v>
      </c>
      <c r="N164">
        <v>0.66707000000000005</v>
      </c>
      <c r="O164">
        <v>0.2</v>
      </c>
      <c r="P164">
        <v>0.1</v>
      </c>
      <c r="Q164">
        <v>1</v>
      </c>
      <c r="R164" s="52">
        <f t="shared" si="233"/>
        <v>-4.9563964041604209E-5</v>
      </c>
      <c r="S164" s="52">
        <f t="shared" si="234"/>
        <v>4.3773694948355117E-4</v>
      </c>
      <c r="T164" s="19">
        <f t="shared" si="235"/>
        <v>0.99989913877412373</v>
      </c>
      <c r="U164" s="19">
        <f t="shared" si="236"/>
        <v>1.0007059324270862</v>
      </c>
      <c r="V164" s="52">
        <f t="shared" ref="V164:V169" si="243">AA$17</f>
        <v>1.1927894179369755E-4</v>
      </c>
      <c r="W164" s="19">
        <f t="shared" si="237"/>
        <v>0.99984957481008208</v>
      </c>
      <c r="X164" s="2">
        <f t="shared" si="238"/>
        <v>-0.15042518991792431</v>
      </c>
      <c r="Y164" s="2">
        <f t="shared" si="239"/>
        <v>0.31845800768985361</v>
      </c>
      <c r="Z164" s="51">
        <f t="shared" si="240"/>
        <v>-7.2859308064407826E-4</v>
      </c>
      <c r="AA164" s="51">
        <f t="shared" ref="AA164:AA169" si="244">(C164^2/O164-$Z$10)*$AB$5*0.001</f>
        <v>-7.8813853737060762E-5</v>
      </c>
      <c r="AB164" s="2">
        <f t="shared" si="241"/>
        <v>-0.1555053956903315</v>
      </c>
      <c r="AC164" s="2">
        <f t="shared" si="242"/>
        <v>0.34142072366720244</v>
      </c>
      <c r="AD164" s="2"/>
      <c r="AE164" s="2"/>
    </row>
    <row r="165" spans="2:31" x14ac:dyDescent="0.2">
      <c r="B165" s="161" t="s">
        <v>184</v>
      </c>
      <c r="C165">
        <v>0.10079489234</v>
      </c>
      <c r="D165" s="18">
        <v>-3.77605E-6</v>
      </c>
      <c r="E165" s="18">
        <v>2.8131534999999999E-5</v>
      </c>
      <c r="F165" s="18">
        <v>8.0493047302163595E-9</v>
      </c>
      <c r="G165" s="18">
        <v>2.8164409487507498E-7</v>
      </c>
      <c r="H165" s="18">
        <v>2.11830925209234E-7</v>
      </c>
      <c r="I165" s="2">
        <v>20.74</v>
      </c>
      <c r="J165" s="17">
        <f t="shared" si="231"/>
        <v>20.158978468000001</v>
      </c>
      <c r="K165" s="2">
        <f t="shared" si="232"/>
        <v>1.0079489233999999</v>
      </c>
      <c r="L165">
        <v>20</v>
      </c>
      <c r="M165">
        <v>15</v>
      </c>
      <c r="N165">
        <v>0.66707000000000005</v>
      </c>
      <c r="O165">
        <v>0.2</v>
      </c>
      <c r="P165">
        <v>0.1</v>
      </c>
      <c r="Q165">
        <v>1</v>
      </c>
      <c r="R165" s="52">
        <f t="shared" si="233"/>
        <v>-5.6160090805693786E-5</v>
      </c>
      <c r="S165" s="52">
        <f t="shared" si="234"/>
        <v>4.1839211877585115E-4</v>
      </c>
      <c r="T165" s="19">
        <f t="shared" si="235"/>
        <v>0.99989913877412373</v>
      </c>
      <c r="U165" s="19">
        <f t="shared" si="236"/>
        <v>1.0007059324270862</v>
      </c>
      <c r="V165" s="52">
        <f t="shared" si="243"/>
        <v>1.1927894179369755E-4</v>
      </c>
      <c r="W165" s="19">
        <f t="shared" si="237"/>
        <v>0.99984297868331806</v>
      </c>
      <c r="X165" s="2">
        <f t="shared" si="238"/>
        <v>-0.15702131668193786</v>
      </c>
      <c r="Y165" s="2">
        <f t="shared" si="239"/>
        <v>0.29911317698215362</v>
      </c>
      <c r="Z165" s="51">
        <f t="shared" si="240"/>
        <v>-4.5100234105786423E-4</v>
      </c>
      <c r="AA165" s="51">
        <f t="shared" si="244"/>
        <v>1.4564271371865698E-6</v>
      </c>
      <c r="AB165" s="2">
        <f t="shared" si="241"/>
        <v>-0.16148028378158014</v>
      </c>
      <c r="AC165" s="2">
        <f t="shared" si="242"/>
        <v>0.3188011484164105</v>
      </c>
      <c r="AD165" s="2"/>
      <c r="AE165" s="2"/>
    </row>
    <row r="166" spans="2:31" x14ac:dyDescent="0.2">
      <c r="B166" s="67" t="s">
        <v>112</v>
      </c>
      <c r="C166">
        <v>0.20018129236000001</v>
      </c>
      <c r="D166" s="18">
        <v>-8.6368819999999993E-6</v>
      </c>
      <c r="E166" s="18">
        <v>5.2455781999999998E-5</v>
      </c>
      <c r="F166" s="18">
        <v>1.8341688173105099E-8</v>
      </c>
      <c r="G166" s="18">
        <v>1.8431098568452199E-7</v>
      </c>
      <c r="H166" s="18">
        <v>3.90050927285143E-7</v>
      </c>
      <c r="I166" s="2">
        <v>20.74</v>
      </c>
      <c r="J166" s="17">
        <f t="shared" si="231"/>
        <v>40.036258472</v>
      </c>
      <c r="K166" s="2">
        <f t="shared" si="232"/>
        <v>2.0018129236000002</v>
      </c>
      <c r="L166">
        <v>20</v>
      </c>
      <c r="M166">
        <v>15</v>
      </c>
      <c r="N166">
        <v>0.66707000000000005</v>
      </c>
      <c r="O166">
        <v>0.2</v>
      </c>
      <c r="P166">
        <v>0.1</v>
      </c>
      <c r="Q166">
        <v>1</v>
      </c>
      <c r="R166" s="52">
        <f t="shared" si="233"/>
        <v>-6.4678819963883352E-5</v>
      </c>
      <c r="S166" s="52">
        <f t="shared" si="234"/>
        <v>3.9282441048085569E-4</v>
      </c>
      <c r="T166" s="19">
        <f t="shared" si="235"/>
        <v>0.99989913877412373</v>
      </c>
      <c r="U166" s="19">
        <f t="shared" si="236"/>
        <v>1.0007059324270862</v>
      </c>
      <c r="V166" s="52">
        <f t="shared" si="243"/>
        <v>1.1927894179369755E-4</v>
      </c>
      <c r="W166" s="19">
        <f t="shared" si="237"/>
        <v>0.99983445995415987</v>
      </c>
      <c r="X166" s="2">
        <f t="shared" si="238"/>
        <v>-0.16554004584012905</v>
      </c>
      <c r="Y166" s="2">
        <f t="shared" si="239"/>
        <v>0.27354546868715812</v>
      </c>
      <c r="Z166" s="51">
        <f t="shared" si="240"/>
        <v>6.4034185574094664E-4</v>
      </c>
      <c r="AA166" s="51">
        <f t="shared" si="244"/>
        <v>3.1703793874706087E-4</v>
      </c>
      <c r="AB166" s="2">
        <f t="shared" si="241"/>
        <v>-0.17106402172397694</v>
      </c>
      <c r="AC166" s="2">
        <f t="shared" si="242"/>
        <v>0.2911582008280853</v>
      </c>
      <c r="AD166" s="2"/>
      <c r="AE166" s="2"/>
    </row>
    <row r="167" spans="2:31" ht="13.5" x14ac:dyDescent="0.25">
      <c r="B167" s="163" t="s">
        <v>181</v>
      </c>
      <c r="C167">
        <v>0.30069903151999999</v>
      </c>
      <c r="D167" s="18">
        <v>-1.385287E-5</v>
      </c>
      <c r="E167" s="18">
        <v>7.4518710999999904E-5</v>
      </c>
      <c r="F167" s="18">
        <v>5.2305528990297897E-8</v>
      </c>
      <c r="G167" s="18">
        <v>1.72225520756943E-8</v>
      </c>
      <c r="H167" s="18">
        <v>3.8167682389685699E-8</v>
      </c>
      <c r="I167" s="2">
        <v>20.75</v>
      </c>
      <c r="J167" s="17">
        <f t="shared" si="231"/>
        <v>60.139806303999997</v>
      </c>
      <c r="K167" s="2">
        <f t="shared" si="232"/>
        <v>3.0069903151999999</v>
      </c>
      <c r="L167">
        <v>20</v>
      </c>
      <c r="M167">
        <v>15</v>
      </c>
      <c r="N167">
        <v>0.66707000000000005</v>
      </c>
      <c r="O167">
        <v>0.2</v>
      </c>
      <c r="P167">
        <v>0.1</v>
      </c>
      <c r="Q167">
        <v>1</v>
      </c>
      <c r="R167" s="52">
        <f t="shared" si="233"/>
        <v>-6.9061549738447318E-5</v>
      </c>
      <c r="S167" s="52">
        <f t="shared" si="234"/>
        <v>3.715026320301479E-4</v>
      </c>
      <c r="T167" s="19">
        <f t="shared" si="235"/>
        <v>0.99989913877412373</v>
      </c>
      <c r="U167" s="19">
        <f t="shared" si="236"/>
        <v>1.0007059324270862</v>
      </c>
      <c r="V167" s="52">
        <f t="shared" si="243"/>
        <v>1.1927894179369755E-4</v>
      </c>
      <c r="W167" s="19">
        <f t="shared" si="237"/>
        <v>0.99983007722438533</v>
      </c>
      <c r="X167" s="2">
        <f t="shared" si="238"/>
        <v>-0.16992277561467262</v>
      </c>
      <c r="Y167" s="2">
        <f t="shared" si="239"/>
        <v>0.25222369023645036</v>
      </c>
      <c r="Z167" s="51">
        <f t="shared" si="240"/>
        <v>2.4772157183198793E-3</v>
      </c>
      <c r="AA167" s="51">
        <f t="shared" si="244"/>
        <v>8.4820256296890256E-4</v>
      </c>
      <c r="AB167" s="2">
        <f t="shared" si="241"/>
        <v>-0.17688344464698474</v>
      </c>
      <c r="AC167" s="2">
        <f t="shared" si="242"/>
        <v>0.27083618656123765</v>
      </c>
      <c r="AD167" s="2"/>
      <c r="AE167" s="2"/>
    </row>
    <row r="168" spans="2:31" x14ac:dyDescent="0.2">
      <c r="B168" s="66" t="s">
        <v>111</v>
      </c>
      <c r="C168">
        <v>0.50021038462</v>
      </c>
      <c r="D168" s="18">
        <v>-2.4276041000000002E-5</v>
      </c>
      <c r="E168" s="18">
        <v>1.1304606000000001E-4</v>
      </c>
      <c r="F168" s="18">
        <v>1.8868117555022601E-7</v>
      </c>
      <c r="G168" s="18">
        <v>1.41575852107628E-8</v>
      </c>
      <c r="H168" s="18">
        <v>8.9557204980950704E-7</v>
      </c>
      <c r="I168" s="2">
        <v>20.75</v>
      </c>
      <c r="J168" s="17">
        <f t="shared" si="231"/>
        <v>100.042076924</v>
      </c>
      <c r="K168" s="2">
        <f t="shared" si="232"/>
        <v>5.0021038461999998</v>
      </c>
      <c r="L168">
        <v>20</v>
      </c>
      <c r="M168">
        <v>15</v>
      </c>
      <c r="N168">
        <v>0.66707000000000005</v>
      </c>
      <c r="O168">
        <v>0.2</v>
      </c>
      <c r="P168">
        <v>0.1</v>
      </c>
      <c r="Q168">
        <v>1</v>
      </c>
      <c r="R168" s="52">
        <f t="shared" si="233"/>
        <v>-7.2753476201492382E-5</v>
      </c>
      <c r="S168" s="52">
        <f t="shared" si="234"/>
        <v>3.3879057280725795E-4</v>
      </c>
      <c r="T168" s="19">
        <f t="shared" si="235"/>
        <v>0.99989913877412373</v>
      </c>
      <c r="U168" s="19">
        <f t="shared" si="236"/>
        <v>1.0007059324270862</v>
      </c>
      <c r="V168" s="52">
        <f t="shared" si="243"/>
        <v>1.1927894179369755E-4</v>
      </c>
      <c r="W168" s="19">
        <f t="shared" si="237"/>
        <v>0.99982638529792223</v>
      </c>
      <c r="X168" s="2">
        <f t="shared" si="238"/>
        <v>-0.17361470207777341</v>
      </c>
      <c r="Y168" s="2">
        <f t="shared" si="239"/>
        <v>0.21951163101356039</v>
      </c>
      <c r="Z168" s="51">
        <f t="shared" si="240"/>
        <v>8.3070158359144861E-3</v>
      </c>
      <c r="AA168" s="51">
        <f t="shared" si="244"/>
        <v>2.5339925629436683E-3</v>
      </c>
      <c r="AB168" s="2">
        <f t="shared" si="241"/>
        <v>-0.18588740679264026</v>
      </c>
      <c r="AC168" s="2">
        <f t="shared" si="242"/>
        <v>0.23819807513092628</v>
      </c>
      <c r="AD168" s="2"/>
      <c r="AE168" s="2"/>
    </row>
    <row r="169" spans="2:31" x14ac:dyDescent="0.2">
      <c r="B169" s="162" t="s">
        <v>185</v>
      </c>
      <c r="C169">
        <v>0.60092505163999999</v>
      </c>
      <c r="D169" s="18">
        <v>-3.0591876000000002E-5</v>
      </c>
      <c r="E169">
        <v>1.2844215000000001E-4</v>
      </c>
      <c r="F169" s="18">
        <v>3.1197547758929302E-7</v>
      </c>
      <c r="G169" s="18">
        <v>5.3256917146976398E-8</v>
      </c>
      <c r="H169" s="18">
        <v>1.0267988934061E-6</v>
      </c>
      <c r="I169" s="2">
        <v>20.75</v>
      </c>
      <c r="J169" s="17">
        <f t="shared" si="231"/>
        <v>120.185010328</v>
      </c>
      <c r="K169" s="2">
        <f t="shared" si="232"/>
        <v>6.0092505163999999</v>
      </c>
      <c r="L169">
        <v>20</v>
      </c>
      <c r="M169">
        <v>15</v>
      </c>
      <c r="N169">
        <v>0.66707000000000005</v>
      </c>
      <c r="O169">
        <v>0.2</v>
      </c>
      <c r="P169">
        <v>0.1</v>
      </c>
      <c r="Q169">
        <v>1</v>
      </c>
      <c r="R169" s="52">
        <f t="shared" si="233"/>
        <v>-7.6315787689835426E-5</v>
      </c>
      <c r="S169" s="52">
        <f t="shared" si="234"/>
        <v>3.2041721958555257E-4</v>
      </c>
      <c r="T169" s="19">
        <f t="shared" si="235"/>
        <v>0.99989913877412373</v>
      </c>
      <c r="U169" s="19">
        <f t="shared" si="236"/>
        <v>1.0007059324270862</v>
      </c>
      <c r="V169" s="52">
        <f t="shared" si="243"/>
        <v>1.1927894179369755E-4</v>
      </c>
      <c r="W169" s="19">
        <f t="shared" si="237"/>
        <v>0.99982282298643388</v>
      </c>
      <c r="X169" s="2">
        <f t="shared" si="238"/>
        <v>-0.17717701356612103</v>
      </c>
      <c r="Y169" s="2">
        <f t="shared" si="239"/>
        <v>0.201138277791855</v>
      </c>
      <c r="Z169" s="51">
        <f t="shared" si="240"/>
        <v>1.2353111169529491E-2</v>
      </c>
      <c r="AA169" s="51">
        <f t="shared" si="244"/>
        <v>3.7039927198559181E-3</v>
      </c>
      <c r="AB169" s="2">
        <f t="shared" si="241"/>
        <v>-0.1897872847601641</v>
      </c>
      <c r="AC169" s="2">
        <f t="shared" si="242"/>
        <v>0.22037155272037875</v>
      </c>
      <c r="AD169" s="2"/>
      <c r="AE169" s="2"/>
    </row>
    <row r="170" spans="2:31" x14ac:dyDescent="0.2">
      <c r="R170" s="52"/>
      <c r="S170" s="52"/>
      <c r="U170" s="19"/>
      <c r="V170" s="52"/>
    </row>
    <row r="171" spans="2:31" x14ac:dyDescent="0.2">
      <c r="B171" s="43" t="s">
        <v>52</v>
      </c>
      <c r="C171">
        <v>2.4752484676000001E-2</v>
      </c>
      <c r="D171" s="18">
        <v>-9.1388421999999998E-7</v>
      </c>
      <c r="E171" s="18">
        <v>7.7646644999999999E-6</v>
      </c>
      <c r="F171" s="18">
        <v>2.6617573085063099E-8</v>
      </c>
      <c r="G171" s="18">
        <v>1.1942079837461999E-7</v>
      </c>
      <c r="H171" s="18">
        <v>1.60074337995664E-7</v>
      </c>
      <c r="I171" s="2">
        <v>20.77</v>
      </c>
      <c r="J171" s="17">
        <f t="shared" ref="J171:J177" si="245">100*C171/0.5</f>
        <v>4.9504969352000003</v>
      </c>
      <c r="K171" s="2">
        <f t="shared" ref="K171:K177" si="246">C171/P171</f>
        <v>0.24752484676</v>
      </c>
      <c r="L171">
        <v>20</v>
      </c>
      <c r="M171">
        <v>15</v>
      </c>
      <c r="N171">
        <v>0.66707000000000005</v>
      </c>
      <c r="O171">
        <v>0.2</v>
      </c>
      <c r="P171">
        <v>0.1</v>
      </c>
      <c r="Q171">
        <v>1</v>
      </c>
      <c r="R171" s="52">
        <f t="shared" ref="R171:R177" si="247">Q171*D171/C171/N171</f>
        <v>-5.5347877170974552E-5</v>
      </c>
      <c r="S171" s="52">
        <f t="shared" ref="S171:S177" si="248">Q171*E171/C171/N171</f>
        <v>4.7025398580558334E-4</v>
      </c>
      <c r="T171" s="19">
        <f t="shared" ref="T171:T177" si="249">M171*N171*O171/(P171*U171*L171)</f>
        <v>0.99989913877412373</v>
      </c>
      <c r="U171" s="19">
        <f t="shared" ref="U171:U178" si="250">$AA$16</f>
        <v>1.0007059324270862</v>
      </c>
      <c r="V171" s="52">
        <f>$AA$26</f>
        <v>7.7923097257736945E-5</v>
      </c>
      <c r="W171" s="19">
        <f t="shared" ref="W171:W177" si="251">R171+T171</f>
        <v>0.99984379089695274</v>
      </c>
      <c r="X171" s="2">
        <f t="shared" ref="X171:X177" si="252">1000*(W171-1)</f>
        <v>-0.15620910304725566</v>
      </c>
      <c r="Y171" s="2">
        <f t="shared" ref="Y171:Y177" si="253">1000*(S171-V171)</f>
        <v>0.39233088854784637</v>
      </c>
    </row>
    <row r="172" spans="2:31" x14ac:dyDescent="0.2">
      <c r="C172">
        <v>5.0444589658E-2</v>
      </c>
      <c r="D172" s="18">
        <v>-2.0534598000000002E-6</v>
      </c>
      <c r="E172" s="18">
        <v>1.4883646999999999E-5</v>
      </c>
      <c r="F172" s="18">
        <v>2.6023782328110499E-8</v>
      </c>
      <c r="G172" s="18">
        <v>7.61133379241773E-8</v>
      </c>
      <c r="H172" s="18">
        <v>4.9112795593409302E-8</v>
      </c>
      <c r="I172" s="2">
        <v>20.77</v>
      </c>
      <c r="J172" s="17">
        <f t="shared" si="245"/>
        <v>10.088917931599999</v>
      </c>
      <c r="K172" s="2">
        <f t="shared" si="246"/>
        <v>0.50444589657999994</v>
      </c>
      <c r="L172">
        <v>20</v>
      </c>
      <c r="M172">
        <v>15</v>
      </c>
      <c r="N172">
        <v>0.66707000000000005</v>
      </c>
      <c r="O172">
        <v>0.2</v>
      </c>
      <c r="P172">
        <v>0.1</v>
      </c>
      <c r="Q172">
        <v>1</v>
      </c>
      <c r="R172" s="52">
        <f t="shared" si="247"/>
        <v>-6.1023934040229881E-5</v>
      </c>
      <c r="S172" s="52">
        <f t="shared" si="248"/>
        <v>4.4230653690228815E-4</v>
      </c>
      <c r="T172" s="19">
        <f t="shared" si="249"/>
        <v>0.99989913877412373</v>
      </c>
      <c r="U172" s="19">
        <f t="shared" si="250"/>
        <v>1.0007059324270862</v>
      </c>
      <c r="V172" s="52">
        <f t="shared" ref="V172:V180" si="254">$AA$26</f>
        <v>7.7923097257736945E-5</v>
      </c>
      <c r="W172" s="19">
        <f t="shared" si="251"/>
        <v>0.99983811484008345</v>
      </c>
      <c r="X172" s="2">
        <f t="shared" si="252"/>
        <v>-0.16188515991655272</v>
      </c>
      <c r="Y172" s="2">
        <f t="shared" si="253"/>
        <v>0.36438343964455122</v>
      </c>
    </row>
    <row r="173" spans="2:31" x14ac:dyDescent="0.2">
      <c r="C173">
        <v>0.1007373753</v>
      </c>
      <c r="D173" s="18">
        <v>-4.4339798999999997E-6</v>
      </c>
      <c r="E173" s="18">
        <v>2.7982435000000001E-5</v>
      </c>
      <c r="F173" s="18">
        <v>4.2068581796856998E-8</v>
      </c>
      <c r="G173" s="18">
        <v>2.46302823164899E-8</v>
      </c>
      <c r="H173" s="18">
        <v>1.15215935855245E-7</v>
      </c>
      <c r="I173" s="2">
        <v>20.77</v>
      </c>
      <c r="J173" s="17">
        <f t="shared" si="245"/>
        <v>20.147475060000001</v>
      </c>
      <c r="K173" s="2">
        <f t="shared" si="246"/>
        <v>1.007373753</v>
      </c>
      <c r="L173">
        <v>20</v>
      </c>
      <c r="M173">
        <v>15</v>
      </c>
      <c r="N173">
        <v>0.66707000000000005</v>
      </c>
      <c r="O173">
        <v>0.2</v>
      </c>
      <c r="P173">
        <v>0.1</v>
      </c>
      <c r="Q173">
        <v>1</v>
      </c>
      <c r="R173" s="52">
        <f t="shared" si="247"/>
        <v>-6.5982942541387162E-5</v>
      </c>
      <c r="S173" s="52">
        <f t="shared" si="248"/>
        <v>4.164122171084044E-4</v>
      </c>
      <c r="T173" s="19">
        <f t="shared" si="249"/>
        <v>0.99989913877412373</v>
      </c>
      <c r="U173" s="19">
        <f t="shared" si="250"/>
        <v>1.0007059324270862</v>
      </c>
      <c r="V173" s="52">
        <f t="shared" si="254"/>
        <v>7.7923097257736945E-5</v>
      </c>
      <c r="W173" s="19">
        <f t="shared" si="251"/>
        <v>0.99983315583158239</v>
      </c>
      <c r="X173" s="2">
        <f t="shared" si="252"/>
        <v>-0.16684416841761252</v>
      </c>
      <c r="Y173" s="2">
        <f t="shared" si="253"/>
        <v>0.33848911985066743</v>
      </c>
    </row>
    <row r="174" spans="2:31" x14ac:dyDescent="0.2">
      <c r="C174">
        <v>0.20016826252</v>
      </c>
      <c r="D174" s="18">
        <v>-1.00251722E-5</v>
      </c>
      <c r="E174" s="18">
        <v>5.1633801000000003E-5</v>
      </c>
      <c r="F174" s="18">
        <v>3.2846515817678799E-8</v>
      </c>
      <c r="G174" s="18">
        <v>6.6376455774318101E-8</v>
      </c>
      <c r="H174" s="18">
        <v>1.80297558216965E-7</v>
      </c>
      <c r="I174" s="2">
        <v>20.77</v>
      </c>
      <c r="J174" s="17">
        <f t="shared" si="245"/>
        <v>40.033652504000003</v>
      </c>
      <c r="K174" s="2">
        <f t="shared" si="246"/>
        <v>2.0016826252</v>
      </c>
      <c r="L174">
        <v>20</v>
      </c>
      <c r="M174">
        <v>15</v>
      </c>
      <c r="N174">
        <v>0.66707000000000005</v>
      </c>
      <c r="O174">
        <v>0.2</v>
      </c>
      <c r="P174">
        <v>0.1</v>
      </c>
      <c r="Q174">
        <v>1</v>
      </c>
      <c r="R174" s="52">
        <f t="shared" si="247"/>
        <v>-7.5080163897582673E-5</v>
      </c>
      <c r="S174" s="52">
        <f t="shared" si="248"/>
        <v>3.8669403022674947E-4</v>
      </c>
      <c r="T174" s="19">
        <f t="shared" si="249"/>
        <v>0.99989913877412373</v>
      </c>
      <c r="U174" s="19">
        <f t="shared" si="250"/>
        <v>1.0007059324270862</v>
      </c>
      <c r="V174" s="52">
        <f t="shared" si="254"/>
        <v>7.7923097257736945E-5</v>
      </c>
      <c r="W174" s="19">
        <f t="shared" si="251"/>
        <v>0.99982405861022616</v>
      </c>
      <c r="X174" s="2">
        <f t="shared" si="252"/>
        <v>-0.17594138977383711</v>
      </c>
      <c r="Y174" s="2">
        <f t="shared" si="253"/>
        <v>0.30877093296901253</v>
      </c>
    </row>
    <row r="175" spans="2:31" x14ac:dyDescent="0.2">
      <c r="C175">
        <v>0.30078272618000002</v>
      </c>
      <c r="D175" s="18">
        <v>-1.5996246E-5</v>
      </c>
      <c r="E175" s="18">
        <v>7.3710624999999994E-5</v>
      </c>
      <c r="F175" s="18">
        <v>3.9708302216921099E-8</v>
      </c>
      <c r="G175" s="18">
        <v>8.0990397480195296E-8</v>
      </c>
      <c r="H175" s="18">
        <v>3.5727117946316398E-7</v>
      </c>
      <c r="I175" s="2">
        <v>20.77</v>
      </c>
      <c r="J175" s="17">
        <f t="shared" si="245"/>
        <v>60.156545235999999</v>
      </c>
      <c r="K175" s="2">
        <f t="shared" si="246"/>
        <v>3.0078272618000002</v>
      </c>
      <c r="L175">
        <v>20</v>
      </c>
      <c r="M175">
        <v>15</v>
      </c>
      <c r="N175">
        <v>0.66707000000000005</v>
      </c>
      <c r="O175">
        <v>0.2</v>
      </c>
      <c r="P175">
        <v>0.1</v>
      </c>
      <c r="Q175">
        <v>1</v>
      </c>
      <c r="R175" s="52">
        <f t="shared" si="247"/>
        <v>-7.9724861492322572E-5</v>
      </c>
      <c r="S175" s="52">
        <f t="shared" si="248"/>
        <v>3.6737178014376184E-4</v>
      </c>
      <c r="T175" s="19">
        <f t="shared" si="249"/>
        <v>0.99989913877412373</v>
      </c>
      <c r="U175" s="19">
        <f t="shared" si="250"/>
        <v>1.0007059324270862</v>
      </c>
      <c r="V175" s="52">
        <f t="shared" si="254"/>
        <v>7.7923097257736945E-5</v>
      </c>
      <c r="W175" s="19">
        <f t="shared" si="251"/>
        <v>0.99981941391263141</v>
      </c>
      <c r="X175" s="2">
        <f t="shared" si="252"/>
        <v>-0.18058608736859494</v>
      </c>
      <c r="Y175" s="2">
        <f t="shared" si="253"/>
        <v>0.28944868288602488</v>
      </c>
    </row>
    <row r="176" spans="2:31" x14ac:dyDescent="0.2">
      <c r="C176">
        <v>0.50078495359999997</v>
      </c>
      <c r="D176" s="18">
        <v>-2.8646474999999999E-5</v>
      </c>
      <c r="E176" s="18">
        <v>1.1184537E-4</v>
      </c>
      <c r="F176" s="18">
        <v>1.8869944850897299E-7</v>
      </c>
      <c r="G176" s="18">
        <v>1.0375818847204301E-7</v>
      </c>
      <c r="H176" s="18">
        <v>3.3986184413669999E-7</v>
      </c>
      <c r="I176" s="2">
        <v>20.77</v>
      </c>
      <c r="J176" s="17">
        <f t="shared" si="245"/>
        <v>100.15699072</v>
      </c>
      <c r="K176" s="2">
        <f t="shared" si="246"/>
        <v>5.0078495359999993</v>
      </c>
      <c r="L176">
        <v>20</v>
      </c>
      <c r="M176">
        <v>15</v>
      </c>
      <c r="N176">
        <v>0.66707000000000005</v>
      </c>
      <c r="O176">
        <v>0.2</v>
      </c>
      <c r="P176">
        <v>0.1</v>
      </c>
      <c r="Q176">
        <v>1</v>
      </c>
      <c r="R176" s="52">
        <f t="shared" si="247"/>
        <v>-8.5752839085333172E-5</v>
      </c>
      <c r="S176" s="52">
        <f t="shared" si="248"/>
        <v>3.3480761650602907E-4</v>
      </c>
      <c r="T176" s="19">
        <f t="shared" si="249"/>
        <v>0.99989913877412373</v>
      </c>
      <c r="U176" s="19">
        <f t="shared" si="250"/>
        <v>1.0007059324270862</v>
      </c>
      <c r="V176" s="52">
        <f t="shared" si="254"/>
        <v>7.7923097257736945E-5</v>
      </c>
      <c r="W176" s="19">
        <f t="shared" si="251"/>
        <v>0.99981338593503843</v>
      </c>
      <c r="X176" s="2">
        <f t="shared" si="252"/>
        <v>-0.18661406496156552</v>
      </c>
      <c r="Y176" s="2">
        <f t="shared" si="253"/>
        <v>0.25688451924829214</v>
      </c>
    </row>
    <row r="177" spans="2:29" x14ac:dyDescent="0.2">
      <c r="C177">
        <v>0.60029945364000004</v>
      </c>
      <c r="D177" s="18">
        <v>-3.3732450000000101E-5</v>
      </c>
      <c r="E177" s="18">
        <v>1.2715143999999999E-4</v>
      </c>
      <c r="F177" s="18">
        <v>4.4849758917551202E-7</v>
      </c>
      <c r="G177" s="18">
        <v>3.7379807383111999E-9</v>
      </c>
      <c r="H177" s="18">
        <v>8.9871605437980203E-7</v>
      </c>
      <c r="I177" s="2">
        <v>20.77</v>
      </c>
      <c r="J177" s="17">
        <f t="shared" si="245"/>
        <v>120.05989072800001</v>
      </c>
      <c r="K177" s="2">
        <f t="shared" si="246"/>
        <v>6.0029945364000001</v>
      </c>
      <c r="L177">
        <v>20</v>
      </c>
      <c r="M177">
        <v>15</v>
      </c>
      <c r="N177">
        <v>0.66707000000000005</v>
      </c>
      <c r="O177">
        <v>0.2</v>
      </c>
      <c r="P177">
        <v>0.1</v>
      </c>
      <c r="Q177">
        <v>1</v>
      </c>
      <c r="R177" s="52">
        <f t="shared" si="247"/>
        <v>-8.4238093178630178E-5</v>
      </c>
      <c r="S177" s="52">
        <f t="shared" si="248"/>
        <v>3.1752792490663946E-4</v>
      </c>
      <c r="T177" s="19">
        <f t="shared" si="249"/>
        <v>0.99989913877412373</v>
      </c>
      <c r="U177" s="19">
        <f t="shared" si="250"/>
        <v>1.0007059324270862</v>
      </c>
      <c r="V177" s="52">
        <f t="shared" si="254"/>
        <v>7.7923097257736945E-5</v>
      </c>
      <c r="W177" s="19">
        <f t="shared" si="251"/>
        <v>0.99981490068094514</v>
      </c>
      <c r="X177" s="2">
        <f t="shared" si="252"/>
        <v>-0.18509931905485999</v>
      </c>
      <c r="Y177" s="2">
        <f t="shared" si="253"/>
        <v>0.23960482764890251</v>
      </c>
    </row>
    <row r="178" spans="2:29" x14ac:dyDescent="0.2">
      <c r="B178" s="122" t="s">
        <v>51</v>
      </c>
      <c r="C178" s="122">
        <v>0.30011237868000001</v>
      </c>
      <c r="D178" s="123">
        <v>-1.3873856000000001E-5</v>
      </c>
      <c r="E178" s="123">
        <v>6.9657321000000006E-5</v>
      </c>
      <c r="F178" s="123">
        <v>4.69889714949737E-8</v>
      </c>
      <c r="G178" s="123">
        <v>4.4285890123153298E-8</v>
      </c>
      <c r="H178" s="123">
        <v>1.5553014003401401E-7</v>
      </c>
      <c r="I178" s="124">
        <v>20.77</v>
      </c>
      <c r="J178" s="125">
        <f>100*C178/0.5</f>
        <v>60.022475736000004</v>
      </c>
      <c r="K178" s="124">
        <f>C178/P178</f>
        <v>3.0011237868</v>
      </c>
      <c r="L178" s="122">
        <v>20</v>
      </c>
      <c r="M178" s="122">
        <v>15</v>
      </c>
      <c r="N178" s="122">
        <v>0.66707000000000005</v>
      </c>
      <c r="O178" s="126">
        <v>0.2</v>
      </c>
      <c r="P178" s="126">
        <v>0.1</v>
      </c>
      <c r="Q178" s="126">
        <v>1</v>
      </c>
      <c r="R178" s="52">
        <f>Q178*D178/C178/N178</f>
        <v>-6.9301376970251502E-5</v>
      </c>
      <c r="S178" s="52">
        <f>Q178*E178/C178/N178</f>
        <v>3.4794568008769997E-4</v>
      </c>
      <c r="T178" s="19">
        <f>M178*N178*O178/(P178*U178*L178)</f>
        <v>0.99989913877412373</v>
      </c>
      <c r="U178" s="19">
        <f t="shared" si="250"/>
        <v>1.0007059324270862</v>
      </c>
      <c r="V178" s="52">
        <f t="shared" si="254"/>
        <v>7.7923097257736945E-5</v>
      </c>
      <c r="W178" s="19">
        <f>R178+T178</f>
        <v>0.99982983739715348</v>
      </c>
      <c r="X178" s="2">
        <f>1000*(W178-1)</f>
        <v>-0.17016260284652418</v>
      </c>
      <c r="Y178" s="2">
        <f>1000*(S178-V178)</f>
        <v>0.27002258282996305</v>
      </c>
      <c r="Z178" t="s">
        <v>68</v>
      </c>
      <c r="AA178" t="s">
        <v>67</v>
      </c>
      <c r="AB178" t="s">
        <v>66</v>
      </c>
    </row>
    <row r="179" spans="2:29" x14ac:dyDescent="0.2">
      <c r="B179" s="164" t="s">
        <v>54</v>
      </c>
      <c r="C179" s="122">
        <v>0.30045720428</v>
      </c>
      <c r="D179" s="123">
        <v>-1.2730421000000001E-3</v>
      </c>
      <c r="E179" s="122">
        <v>1.8608302999999999E-4</v>
      </c>
      <c r="F179" s="123">
        <v>2.17939937449818E-8</v>
      </c>
      <c r="G179" s="123">
        <v>1.4027681882620499E-6</v>
      </c>
      <c r="H179" s="123">
        <v>1.01928862894668E-6</v>
      </c>
      <c r="I179" s="124">
        <v>20.78</v>
      </c>
      <c r="J179" s="125">
        <f>100*C179/0.5</f>
        <v>60.091440855999998</v>
      </c>
      <c r="K179" s="124">
        <f>C179/P179</f>
        <v>3.0045720428</v>
      </c>
      <c r="L179" s="122">
        <v>20</v>
      </c>
      <c r="M179" s="122">
        <v>15</v>
      </c>
      <c r="N179" s="122">
        <v>0.66707000000000005</v>
      </c>
      <c r="O179" s="126">
        <v>0.2</v>
      </c>
      <c r="P179" s="126">
        <v>0.1</v>
      </c>
      <c r="Q179" s="126">
        <v>1</v>
      </c>
      <c r="R179" s="52">
        <f>Q179*D179/C179/N179</f>
        <v>-6.3516818223503906E-3</v>
      </c>
      <c r="S179" s="52">
        <f>Q179*E179/C179/N179</f>
        <v>9.284376369790774E-4</v>
      </c>
      <c r="T179" s="19">
        <f>M179*N179*O179/(P179*U179*L179)</f>
        <v>0.99989913877412373</v>
      </c>
      <c r="U179" s="19">
        <f>$AA$16</f>
        <v>1.0007059324270862</v>
      </c>
      <c r="V179" s="52">
        <f t="shared" si="254"/>
        <v>7.7923097257736945E-5</v>
      </c>
      <c r="W179" s="19">
        <f>R179+T179</f>
        <v>0.99354745695177338</v>
      </c>
      <c r="X179" s="2">
        <f>1000*(W179-1)</f>
        <v>-6.4525430482266222</v>
      </c>
      <c r="Y179" s="2">
        <f>1000*(S179-V179)</f>
        <v>0.8505145397213405</v>
      </c>
      <c r="AA179" s="46">
        <f>100*-(X179-X178)/1000</f>
        <v>0.6282380445380098</v>
      </c>
      <c r="AB179" s="46">
        <f>100*-(Y179-Y178)/1000</f>
        <v>-5.8049195689137745E-2</v>
      </c>
    </row>
    <row r="180" spans="2:29" x14ac:dyDescent="0.2">
      <c r="B180" s="164"/>
      <c r="C180" s="122">
        <v>0.30029146468000001</v>
      </c>
      <c r="D180" s="123">
        <v>-1.7571833E-5</v>
      </c>
      <c r="E180" s="123">
        <v>2.8063420000000001E-5</v>
      </c>
      <c r="F180" s="123">
        <v>2.41366152093602E-8</v>
      </c>
      <c r="G180" s="123">
        <v>2.5131933831482201E-7</v>
      </c>
      <c r="H180" s="123">
        <v>3.9577543935924101E-7</v>
      </c>
      <c r="I180" s="124">
        <v>20.78</v>
      </c>
      <c r="J180" s="125">
        <f>100*C180/0.5</f>
        <v>60.058292936000001</v>
      </c>
      <c r="K180" s="124">
        <f>C180/P180</f>
        <v>3.0029146467999999</v>
      </c>
      <c r="L180" s="122">
        <v>20</v>
      </c>
      <c r="M180" s="122">
        <v>15</v>
      </c>
      <c r="N180" s="122">
        <v>0.66707000000000005</v>
      </c>
      <c r="O180" s="126">
        <v>0.2</v>
      </c>
      <c r="P180" s="126">
        <v>0.1</v>
      </c>
      <c r="Q180" s="126">
        <v>1</v>
      </c>
      <c r="R180" s="52">
        <f>Q180*D180/C180/N180</f>
        <v>-8.772081727792415E-5</v>
      </c>
      <c r="S180" s="52">
        <f>Q180*E180/C180/N180</f>
        <v>1.4009614921867527E-4</v>
      </c>
      <c r="T180" s="19">
        <f>M180*N180*O180/(P180*U180*L180)</f>
        <v>0.99989913877412373</v>
      </c>
      <c r="U180" s="19">
        <f>$AA$16</f>
        <v>1.0007059324270862</v>
      </c>
      <c r="V180" s="52">
        <f t="shared" si="254"/>
        <v>7.7923097257736945E-5</v>
      </c>
      <c r="W180" s="19">
        <f>R180+T180</f>
        <v>0.9998114179568458</v>
      </c>
      <c r="X180" s="2">
        <f>1000*(W180-1)</f>
        <v>-0.18858204315419513</v>
      </c>
      <c r="Y180" s="2">
        <f>1000*(S180-V180)</f>
        <v>6.2173051960938322E-2</v>
      </c>
      <c r="AA180" s="46"/>
      <c r="AB180" s="46"/>
    </row>
    <row r="181" spans="2:29" x14ac:dyDescent="0.2">
      <c r="R181" s="52"/>
      <c r="S181" s="52"/>
      <c r="T181" s="19"/>
      <c r="U181" s="19"/>
      <c r="V181" s="52"/>
      <c r="W181" s="19"/>
      <c r="X181" s="2"/>
      <c r="Y181" s="2"/>
      <c r="AA181" s="46"/>
      <c r="AB181" s="46"/>
    </row>
    <row r="182" spans="2:29" x14ac:dyDescent="0.2">
      <c r="D182" s="18"/>
      <c r="E182" s="18"/>
      <c r="F182" s="18"/>
      <c r="G182" s="18"/>
      <c r="H182" s="18"/>
      <c r="I182" s="2"/>
      <c r="J182" s="17"/>
      <c r="K182" s="2"/>
      <c r="R182" s="48"/>
      <c r="S182" s="48"/>
      <c r="T182" s="19"/>
      <c r="U182" s="19"/>
      <c r="V182" s="19"/>
      <c r="W182" s="19"/>
      <c r="X182" s="2"/>
      <c r="Y182" s="2"/>
      <c r="AA182" s="3"/>
      <c r="AC182" s="11"/>
    </row>
    <row r="183" spans="2:29" x14ac:dyDescent="0.2">
      <c r="R183" s="47"/>
      <c r="S183" s="47"/>
      <c r="AA183" s="3"/>
    </row>
    <row r="184" spans="2:29" x14ac:dyDescent="0.2">
      <c r="R184" s="47"/>
      <c r="S184" s="47"/>
      <c r="AA184" s="3"/>
    </row>
    <row r="185" spans="2:29" x14ac:dyDescent="0.2">
      <c r="R185" s="47"/>
      <c r="S185" s="47"/>
      <c r="AA185" s="3"/>
    </row>
    <row r="186" spans="2:29" x14ac:dyDescent="0.2">
      <c r="R186" s="47"/>
      <c r="S186" s="47"/>
      <c r="AA186" s="3"/>
    </row>
    <row r="187" spans="2:29" x14ac:dyDescent="0.2">
      <c r="R187" s="47"/>
      <c r="S187" s="47"/>
      <c r="AA187" s="3"/>
    </row>
    <row r="188" spans="2:29" x14ac:dyDescent="0.2">
      <c r="R188" s="47"/>
      <c r="S188" s="47"/>
      <c r="AA188" s="3"/>
    </row>
    <row r="189" spans="2:29" x14ac:dyDescent="0.2">
      <c r="R189" s="47"/>
      <c r="S189" s="47"/>
      <c r="AA189" s="3"/>
    </row>
    <row r="190" spans="2:29" x14ac:dyDescent="0.2">
      <c r="R190" s="47"/>
      <c r="S190" s="47"/>
      <c r="AA190" s="3"/>
    </row>
    <row r="191" spans="2:29" x14ac:dyDescent="0.2">
      <c r="R191" s="47"/>
      <c r="S191" s="47"/>
      <c r="AA191" s="3"/>
    </row>
    <row r="192" spans="2:29" x14ac:dyDescent="0.2">
      <c r="AA192" s="3"/>
    </row>
    <row r="193" spans="27:27" x14ac:dyDescent="0.2">
      <c r="AA193" s="3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2:AL96"/>
  <sheetViews>
    <sheetView topLeftCell="A7" zoomScale="120" zoomScaleNormal="120" workbookViewId="0">
      <selection activeCell="K4" sqref="K4"/>
    </sheetView>
  </sheetViews>
  <sheetFormatPr defaultRowHeight="12.75" x14ac:dyDescent="0.2"/>
  <cols>
    <col min="2" max="2" width="10.140625" bestFit="1" customWidth="1"/>
    <col min="4" max="4" width="11.5703125" bestFit="1" customWidth="1"/>
    <col min="12" max="12" width="11.5703125" bestFit="1" customWidth="1"/>
    <col min="14" max="14" width="9.28515625" customWidth="1"/>
    <col min="15" max="15" width="9.7109375" customWidth="1"/>
    <col min="16" max="16" width="10.140625" customWidth="1"/>
    <col min="17" max="18" width="9.85546875" customWidth="1"/>
    <col min="19" max="19" width="9.28515625" customWidth="1"/>
    <col min="20" max="20" width="12" customWidth="1"/>
    <col min="21" max="22" width="10.28515625" customWidth="1"/>
    <col min="23" max="23" width="11.28515625" customWidth="1"/>
    <col min="29" max="29" width="9.85546875" customWidth="1"/>
    <col min="30" max="30" width="9.42578125" customWidth="1"/>
    <col min="36" max="36" width="10.7109375" customWidth="1"/>
    <col min="38" max="38" width="7.85546875" customWidth="1"/>
  </cols>
  <sheetData>
    <row r="2" spans="1:38" x14ac:dyDescent="0.2">
      <c r="D2" s="5"/>
      <c r="N2" s="83"/>
      <c r="O2" s="83"/>
      <c r="P2" s="83"/>
      <c r="Q2" s="83"/>
      <c r="AA2" s="83"/>
      <c r="AB2" s="83" t="s">
        <v>115</v>
      </c>
      <c r="AC2" s="83"/>
      <c r="AD2" s="83"/>
    </row>
    <row r="3" spans="1:38" x14ac:dyDescent="0.2">
      <c r="J3" s="87" t="s">
        <v>116</v>
      </c>
      <c r="K3">
        <v>0.6</v>
      </c>
      <c r="L3" s="2" t="s">
        <v>14</v>
      </c>
      <c r="P3">
        <v>844400</v>
      </c>
      <c r="Q3">
        <v>844400</v>
      </c>
      <c r="AC3">
        <v>844400</v>
      </c>
      <c r="AD3">
        <v>844400</v>
      </c>
    </row>
    <row r="5" spans="1:38" x14ac:dyDescent="0.2">
      <c r="G5" s="5"/>
      <c r="I5" s="8"/>
      <c r="J5" s="8"/>
      <c r="K5" s="8"/>
      <c r="L5" s="8"/>
      <c r="M5" t="s">
        <v>20</v>
      </c>
      <c r="N5">
        <v>10</v>
      </c>
      <c r="O5">
        <v>5</v>
      </c>
      <c r="P5">
        <v>100</v>
      </c>
      <c r="Q5">
        <v>100</v>
      </c>
      <c r="R5">
        <v>5</v>
      </c>
      <c r="S5">
        <v>5</v>
      </c>
      <c r="T5">
        <v>5</v>
      </c>
      <c r="U5">
        <v>5</v>
      </c>
      <c r="V5">
        <v>5</v>
      </c>
      <c r="AA5">
        <v>10</v>
      </c>
      <c r="AB5">
        <v>5</v>
      </c>
      <c r="AC5">
        <v>100</v>
      </c>
      <c r="AD5">
        <v>100</v>
      </c>
      <c r="AE5">
        <v>5</v>
      </c>
      <c r="AF5">
        <v>5</v>
      </c>
      <c r="AG5">
        <v>100</v>
      </c>
      <c r="AH5">
        <v>5</v>
      </c>
      <c r="AI5">
        <v>5</v>
      </c>
    </row>
    <row r="6" spans="1:38" x14ac:dyDescent="0.2">
      <c r="G6" s="1"/>
      <c r="H6" s="1"/>
      <c r="Q6" s="2"/>
      <c r="R6" s="2"/>
      <c r="S6" s="2"/>
      <c r="T6" s="2"/>
      <c r="U6" s="2"/>
      <c r="V6" s="2"/>
    </row>
    <row r="7" spans="1:38" x14ac:dyDescent="0.2">
      <c r="A7">
        <v>30</v>
      </c>
      <c r="D7" s="54" t="str">
        <f>VLOOKUP($A7,' Data (5A)'!$A$9:$AF$263,3,FALSE)</f>
        <v>30/5 range, l - 1200At(5A), vs shunts and 500 AT on 50/5 range.</v>
      </c>
      <c r="H7" s="7"/>
      <c r="L7" s="2"/>
      <c r="N7" t="s">
        <v>16</v>
      </c>
      <c r="W7" s="5" t="s">
        <v>6</v>
      </c>
      <c r="AA7" t="s">
        <v>17</v>
      </c>
      <c r="AJ7" s="5" t="s">
        <v>7</v>
      </c>
    </row>
    <row r="8" spans="1:38" ht="38.25" x14ac:dyDescent="0.2">
      <c r="D8" s="9" t="s">
        <v>0</v>
      </c>
      <c r="E8" s="53" t="s">
        <v>98</v>
      </c>
      <c r="F8" s="53" t="s">
        <v>99</v>
      </c>
      <c r="G8" s="53" t="s">
        <v>96</v>
      </c>
      <c r="H8" s="53" t="s">
        <v>97</v>
      </c>
      <c r="I8" s="189" t="s">
        <v>118</v>
      </c>
      <c r="J8" s="190"/>
      <c r="K8" s="9" t="s">
        <v>1</v>
      </c>
      <c r="L8" s="9" t="s">
        <v>2</v>
      </c>
      <c r="N8" s="7" t="s">
        <v>69</v>
      </c>
      <c r="O8" s="9" t="s">
        <v>70</v>
      </c>
      <c r="P8" s="9" t="s">
        <v>10</v>
      </c>
      <c r="Q8" s="1" t="s">
        <v>8</v>
      </c>
      <c r="R8" s="1" t="s">
        <v>9</v>
      </c>
      <c r="S8" s="1" t="s">
        <v>11</v>
      </c>
      <c r="T8" s="1" t="s">
        <v>12</v>
      </c>
      <c r="U8" s="1" t="s">
        <v>13</v>
      </c>
      <c r="V8" s="1" t="s">
        <v>19</v>
      </c>
      <c r="W8" s="1" t="s">
        <v>18</v>
      </c>
      <c r="X8" t="s">
        <v>21</v>
      </c>
      <c r="Y8" t="s">
        <v>22</v>
      </c>
      <c r="AA8" s="7" t="s">
        <v>69</v>
      </c>
      <c r="AB8" s="9" t="s">
        <v>70</v>
      </c>
      <c r="AC8" s="9" t="s">
        <v>10</v>
      </c>
      <c r="AD8" s="1" t="s">
        <v>8</v>
      </c>
      <c r="AE8" s="1" t="s">
        <v>9</v>
      </c>
      <c r="AF8" s="1" t="s">
        <v>11</v>
      </c>
      <c r="AG8" s="1" t="s">
        <v>12</v>
      </c>
      <c r="AH8" s="1" t="s">
        <v>13</v>
      </c>
      <c r="AI8" s="1" t="s">
        <v>19</v>
      </c>
      <c r="AJ8" s="1" t="s">
        <v>18</v>
      </c>
      <c r="AK8" t="s">
        <v>21</v>
      </c>
      <c r="AL8" t="s">
        <v>22</v>
      </c>
    </row>
    <row r="9" spans="1:38" x14ac:dyDescent="0.2">
      <c r="A9">
        <v>32</v>
      </c>
      <c r="D9" s="7">
        <f>ROUND(VLOOKUP($A9,' Data (5A)'!$A$9:$AF$263,10,FALSE),0)</f>
        <v>4</v>
      </c>
      <c r="E9" s="10"/>
      <c r="F9" s="10"/>
      <c r="G9" s="8">
        <f>VLOOKUP($A9,' Data (5A)'!$A$9:$AF$263,28,FALSE)</f>
        <v>-7.3052151605169188E-2</v>
      </c>
      <c r="H9" s="8">
        <f>VLOOKUP($A9,' Data (5A)'!$A$9:$AF$263,29,FALSE)</f>
        <v>0.18219319179679463</v>
      </c>
      <c r="I9" s="13">
        <f>' Data (5A)'!AF$53</f>
        <v>0</v>
      </c>
      <c r="J9" s="13">
        <f>' Data (5A)'!AG$53</f>
        <v>-1.5575377494852454E-2</v>
      </c>
      <c r="K9" s="8">
        <f>G9-I9</f>
        <v>-7.3052151605169188E-2</v>
      </c>
      <c r="L9" s="8">
        <f>H9-J9</f>
        <v>0.1977685692916471</v>
      </c>
      <c r="N9" s="83">
        <v>3.0000000000000001E-3</v>
      </c>
      <c r="O9" s="85">
        <v>5.0000000000000001E-3</v>
      </c>
      <c r="P9" s="3">
        <v>0</v>
      </c>
      <c r="Q9" s="3">
        <v>0</v>
      </c>
      <c r="R9" s="3">
        <f t="shared" ref="R9:R15" si="0">BurdenUnc*I9</f>
        <v>0</v>
      </c>
      <c r="S9" s="11">
        <f>0.004*K9</f>
        <v>-2.9220860642067677E-4</v>
      </c>
      <c r="T9" s="3">
        <v>0</v>
      </c>
      <c r="U9" s="3">
        <v>0</v>
      </c>
      <c r="V9" s="3" t="e">
        <f>VLOOKUP($D9,Uncertainties!C$27:I$33,7,FALSE)</f>
        <v>#N/A</v>
      </c>
      <c r="W9" s="3" t="e">
        <f>SQRT(SUMSQ(N9:V9))*10</f>
        <v>#N/A</v>
      </c>
      <c r="X9" s="10" t="e">
        <f t="shared" ref="X9:X15" si="1">DoF_A(N9:V9,N$18:V$18)</f>
        <v>#VALUE!</v>
      </c>
      <c r="Y9" s="17" t="e">
        <f>CoverFactor(X9)</f>
        <v>#VALUE!</v>
      </c>
      <c r="AA9" s="83">
        <v>8.0000000000000002E-3</v>
      </c>
      <c r="AB9" s="85">
        <v>5.0000000000000001E-3</v>
      </c>
      <c r="AC9" s="2">
        <v>0</v>
      </c>
      <c r="AD9" s="11">
        <f>0.001*L9</f>
        <v>1.977685692916471E-4</v>
      </c>
      <c r="AE9" s="3">
        <f t="shared" ref="AE9:AE15" si="2">BurdenUnc*J9</f>
        <v>-7.7876887474262273E-4</v>
      </c>
      <c r="AF9" s="3">
        <f>0.004*L9</f>
        <v>7.9107427716658841E-4</v>
      </c>
      <c r="AG9" s="3">
        <v>0</v>
      </c>
      <c r="AH9" s="3">
        <v>0</v>
      </c>
      <c r="AI9" s="3" t="e">
        <f>VLOOKUP($D9,Uncertainties!C$27:P$33,14,FALSE)</f>
        <v>#N/A</v>
      </c>
      <c r="AJ9" s="3" t="e">
        <f>SQRT(SUMSQ(AA9:AI9))*10</f>
        <v>#N/A</v>
      </c>
      <c r="AK9" s="10" t="e">
        <f t="shared" ref="AK9:AK15" si="3">DoF_A(AA9:AI9,$AA$18:$AI$18)</f>
        <v>#VALUE!</v>
      </c>
      <c r="AL9" s="17" t="e">
        <f>CoverFactor(AK9)</f>
        <v>#VALUE!</v>
      </c>
    </row>
    <row r="10" spans="1:38" x14ac:dyDescent="0.2">
      <c r="A10">
        <v>33</v>
      </c>
      <c r="D10" s="7">
        <f>ROUND(VLOOKUP($A10,' Data (5A)'!$A$9:$AF$263,10,FALSE),0)</f>
        <v>8</v>
      </c>
      <c r="E10" s="10"/>
      <c r="F10" s="10"/>
      <c r="G10" s="8">
        <f>VLOOKUP($A10,' Data (5A)'!$A$9:$AF$263,28,FALSE)</f>
        <v>-7.5057671674103169E-2</v>
      </c>
      <c r="H10" s="8">
        <f>VLOOKUP($A10,' Data (5A)'!$A$9:$AF$263,29,FALSE)</f>
        <v>0.16960689947787499</v>
      </c>
      <c r="I10" s="13">
        <f>' Data (5A)'!AF$54</f>
        <v>0</v>
      </c>
      <c r="J10" s="13">
        <f>' Data (5A)'!AG$54</f>
        <v>-2.1282484731862679E-2</v>
      </c>
      <c r="K10" s="8">
        <f t="shared" ref="K10:K15" si="4">G10-I10</f>
        <v>-7.5057671674103169E-2</v>
      </c>
      <c r="L10" s="8">
        <f t="shared" ref="L10:L15" si="5">H10-J10</f>
        <v>0.19088938420973767</v>
      </c>
      <c r="N10" s="83">
        <v>3.0000000000000001E-3</v>
      </c>
      <c r="O10" s="85">
        <v>5.0000000000000001E-3</v>
      </c>
      <c r="P10" s="3">
        <v>0</v>
      </c>
      <c r="Q10" s="3">
        <v>0</v>
      </c>
      <c r="R10" s="3">
        <f t="shared" si="0"/>
        <v>0</v>
      </c>
      <c r="S10" s="11">
        <f t="shared" ref="S10:S15" si="6">0.004*K10</f>
        <v>-3.0023068669641269E-4</v>
      </c>
      <c r="T10" s="3">
        <v>0</v>
      </c>
      <c r="U10" s="3">
        <v>0</v>
      </c>
      <c r="V10" s="3" t="e">
        <f>VLOOKUP($D10,Uncertainties!C$27:I$33,7,FALSE)</f>
        <v>#N/A</v>
      </c>
      <c r="W10" s="3" t="e">
        <f t="shared" ref="W10:W15" si="7">SQRT(SUMSQ(N10:V10))*10</f>
        <v>#N/A</v>
      </c>
      <c r="X10" s="10" t="e">
        <f t="shared" si="1"/>
        <v>#VALUE!</v>
      </c>
      <c r="Y10" s="17" t="e">
        <f t="shared" ref="Y10:Y15" si="8">CoverFactor(X10)</f>
        <v>#VALUE!</v>
      </c>
      <c r="AA10" s="83">
        <v>8.0000000000000002E-3</v>
      </c>
      <c r="AB10" s="85">
        <v>5.0000000000000001E-3</v>
      </c>
      <c r="AC10" s="2">
        <v>0</v>
      </c>
      <c r="AD10" s="11">
        <f t="shared" ref="AD10:AD15" si="9">0.001*L10</f>
        <v>1.9088938420973767E-4</v>
      </c>
      <c r="AE10" s="3">
        <f t="shared" si="2"/>
        <v>-1.064124236593134E-3</v>
      </c>
      <c r="AF10" s="3">
        <f t="shared" ref="AF10:AF15" si="10">0.004*L10</f>
        <v>7.6355753683895067E-4</v>
      </c>
      <c r="AG10" s="3">
        <v>0</v>
      </c>
      <c r="AH10" s="3">
        <v>0</v>
      </c>
      <c r="AI10" s="3" t="e">
        <f>VLOOKUP($D10,Uncertainties!C$27:P$33,14,FALSE)</f>
        <v>#N/A</v>
      </c>
      <c r="AJ10" s="3" t="e">
        <f t="shared" ref="AJ10:AJ15" si="11">SQRT(SUMSQ(AA10:AI10))*10</f>
        <v>#N/A</v>
      </c>
      <c r="AK10" s="10" t="e">
        <f t="shared" si="3"/>
        <v>#VALUE!</v>
      </c>
      <c r="AL10" s="17" t="e">
        <f t="shared" ref="AL10:AL15" si="12">CoverFactor(AK10)</f>
        <v>#VALUE!</v>
      </c>
    </row>
    <row r="11" spans="1:38" x14ac:dyDescent="0.2">
      <c r="A11">
        <v>34</v>
      </c>
      <c r="D11" s="7">
        <f>ROUND(VLOOKUP($A11,' Data (5A)'!$A$9:$AF$263,10,FALSE),0)</f>
        <v>17</v>
      </c>
      <c r="E11" s="10"/>
      <c r="F11" s="10"/>
      <c r="G11" s="8">
        <f>VLOOKUP($A11,' Data (5A)'!$A$9:$AF$263,28,FALSE)</f>
        <v>-7.5879944769966054E-2</v>
      </c>
      <c r="H11" s="8">
        <f>VLOOKUP($A11,' Data (5A)'!$A$9:$AF$263,29,FALSE)</f>
        <v>0.15406789605909399</v>
      </c>
      <c r="I11" s="13">
        <f>' Data (5A)'!AF$55</f>
        <v>0</v>
      </c>
      <c r="J11" s="13">
        <f>' Data (5A)'!AG$55</f>
        <v>-2.6812282110745256E-2</v>
      </c>
      <c r="K11" s="8">
        <f t="shared" si="4"/>
        <v>-7.5879944769966054E-2</v>
      </c>
      <c r="L11" s="8">
        <f t="shared" si="5"/>
        <v>0.18088017816983926</v>
      </c>
      <c r="N11" s="83">
        <v>3.0000000000000001E-3</v>
      </c>
      <c r="O11" s="85">
        <v>5.0000000000000001E-3</v>
      </c>
      <c r="P11" s="3">
        <v>0</v>
      </c>
      <c r="Q11" s="3">
        <v>0</v>
      </c>
      <c r="R11" s="3">
        <f t="shared" si="0"/>
        <v>0</v>
      </c>
      <c r="S11" s="11">
        <f t="shared" si="6"/>
        <v>-3.0351977907986424E-4</v>
      </c>
      <c r="T11" s="3">
        <v>0</v>
      </c>
      <c r="U11" s="3">
        <v>0</v>
      </c>
      <c r="V11" s="3" t="e">
        <f>VLOOKUP($D11,Uncertainties!C$27:I$33,7,FALSE)</f>
        <v>#N/A</v>
      </c>
      <c r="W11" s="3" t="e">
        <f t="shared" si="7"/>
        <v>#N/A</v>
      </c>
      <c r="X11" s="10" t="e">
        <f t="shared" si="1"/>
        <v>#VALUE!</v>
      </c>
      <c r="Y11" s="17" t="e">
        <f t="shared" si="8"/>
        <v>#VALUE!</v>
      </c>
      <c r="AA11" s="83">
        <v>8.0000000000000002E-3</v>
      </c>
      <c r="AB11" s="85">
        <v>5.0000000000000001E-3</v>
      </c>
      <c r="AC11" s="2">
        <v>0</v>
      </c>
      <c r="AD11" s="11">
        <f t="shared" si="9"/>
        <v>1.8088017816983925E-4</v>
      </c>
      <c r="AE11" s="3">
        <f t="shared" si="2"/>
        <v>-1.3406141055372629E-3</v>
      </c>
      <c r="AF11" s="3">
        <f t="shared" si="10"/>
        <v>7.23520712679357E-4</v>
      </c>
      <c r="AG11" s="3">
        <v>0</v>
      </c>
      <c r="AH11" s="3">
        <v>0</v>
      </c>
      <c r="AI11" s="3" t="e">
        <f>VLOOKUP($D11,Uncertainties!C$27:P$33,14,FALSE)</f>
        <v>#N/A</v>
      </c>
      <c r="AJ11" s="3" t="e">
        <f t="shared" si="11"/>
        <v>#N/A</v>
      </c>
      <c r="AK11" s="10" t="e">
        <f t="shared" si="3"/>
        <v>#VALUE!</v>
      </c>
      <c r="AL11" s="17" t="e">
        <f t="shared" si="12"/>
        <v>#VALUE!</v>
      </c>
    </row>
    <row r="12" spans="1:38" x14ac:dyDescent="0.2">
      <c r="A12">
        <v>35</v>
      </c>
      <c r="D12" s="7">
        <f>ROUND(VLOOKUP($A12,' Data (5A)'!$A$9:$AF$263,10,FALSE),0)</f>
        <v>33</v>
      </c>
      <c r="E12" s="10"/>
      <c r="F12" s="10"/>
      <c r="G12" s="8">
        <f>VLOOKUP($A12,' Data (5A)'!$A$9:$AF$263,28,FALSE)</f>
        <v>-9.9889022813507949E-2</v>
      </c>
      <c r="H12" s="8">
        <f>VLOOKUP($A12,' Data (5A)'!$A$9:$AF$263,29,FALSE)</f>
        <v>0.24733875187494833</v>
      </c>
      <c r="I12" s="13">
        <f>' Data (5A)'!AF$56</f>
        <v>0</v>
      </c>
      <c r="J12" s="13">
        <f>' Data (5A)'!AG$56</f>
        <v>-3.5744020641437731E-2</v>
      </c>
      <c r="K12" s="8">
        <f t="shared" si="4"/>
        <v>-9.9889022813507949E-2</v>
      </c>
      <c r="L12" s="8">
        <f t="shared" si="5"/>
        <v>0.28308277251638608</v>
      </c>
      <c r="N12" s="83">
        <v>3.0000000000000001E-3</v>
      </c>
      <c r="O12" s="85">
        <v>5.0000000000000001E-3</v>
      </c>
      <c r="P12" s="3">
        <v>0</v>
      </c>
      <c r="Q12" s="3">
        <v>0</v>
      </c>
      <c r="R12" s="3">
        <f t="shared" si="0"/>
        <v>0</v>
      </c>
      <c r="S12" s="11">
        <f t="shared" si="6"/>
        <v>-3.995560912540318E-4</v>
      </c>
      <c r="T12" s="3">
        <v>0</v>
      </c>
      <c r="U12" s="3">
        <v>0</v>
      </c>
      <c r="V12" s="3" t="e">
        <f>VLOOKUP($D12,Uncertainties!C$27:I$33,7,FALSE)</f>
        <v>#N/A</v>
      </c>
      <c r="W12" s="3" t="e">
        <f t="shared" si="7"/>
        <v>#N/A</v>
      </c>
      <c r="X12" s="10" t="e">
        <f t="shared" si="1"/>
        <v>#VALUE!</v>
      </c>
      <c r="Y12" s="17" t="e">
        <f t="shared" si="8"/>
        <v>#VALUE!</v>
      </c>
      <c r="AA12" s="83">
        <v>8.0000000000000002E-3</v>
      </c>
      <c r="AB12" s="85">
        <v>5.0000000000000001E-3</v>
      </c>
      <c r="AC12" s="2">
        <v>0</v>
      </c>
      <c r="AD12" s="11">
        <f t="shared" si="9"/>
        <v>2.8308277251638608E-4</v>
      </c>
      <c r="AE12" s="3">
        <f t="shared" si="2"/>
        <v>-1.7872010320718866E-3</v>
      </c>
      <c r="AF12" s="3">
        <f t="shared" si="10"/>
        <v>1.1323310900655443E-3</v>
      </c>
      <c r="AG12" s="3">
        <v>0</v>
      </c>
      <c r="AH12" s="3">
        <v>0</v>
      </c>
      <c r="AI12" s="3" t="e">
        <f>VLOOKUP($D12,Uncertainties!C$27:P$33,14,FALSE)</f>
        <v>#N/A</v>
      </c>
      <c r="AJ12" s="3" t="e">
        <f t="shared" si="11"/>
        <v>#N/A</v>
      </c>
      <c r="AK12" s="10" t="e">
        <f t="shared" si="3"/>
        <v>#VALUE!</v>
      </c>
      <c r="AL12" s="17" t="e">
        <f t="shared" si="12"/>
        <v>#VALUE!</v>
      </c>
    </row>
    <row r="13" spans="1:38" x14ac:dyDescent="0.2">
      <c r="A13">
        <v>36</v>
      </c>
      <c r="D13" s="7">
        <f>ROUND(VLOOKUP($A13,' Data (5A)'!$A$9:$AF$263,10,FALSE),0)</f>
        <v>50</v>
      </c>
      <c r="E13" s="10"/>
      <c r="F13" s="10"/>
      <c r="G13" s="8">
        <f>VLOOKUP($A13,' Data (5A)'!$A$9:$AF$263,28,FALSE)</f>
        <v>-0.12730880684602658</v>
      </c>
      <c r="H13" s="8">
        <f>VLOOKUP($A13,' Data (5A)'!$A$9:$AF$263,29,FALSE)</f>
        <v>0.3484768267525537</v>
      </c>
      <c r="I13" s="13">
        <f>' Data (5A)'!AF$57</f>
        <v>0</v>
      </c>
      <c r="J13" s="13">
        <f>' Data (5A)'!AG$57</f>
        <v>-3.5346826593170622E-2</v>
      </c>
      <c r="K13" s="8">
        <f t="shared" si="4"/>
        <v>-0.12730880684602658</v>
      </c>
      <c r="L13" s="8">
        <f t="shared" si="5"/>
        <v>0.38382365334572432</v>
      </c>
      <c r="N13" s="83">
        <v>3.0000000000000001E-3</v>
      </c>
      <c r="O13" s="85">
        <v>5.0000000000000001E-3</v>
      </c>
      <c r="P13" s="3">
        <v>0</v>
      </c>
      <c r="Q13" s="3">
        <v>0</v>
      </c>
      <c r="R13" s="3">
        <f t="shared" si="0"/>
        <v>0</v>
      </c>
      <c r="S13" s="11">
        <f t="shared" si="6"/>
        <v>-5.0923522738410636E-4</v>
      </c>
      <c r="T13" s="3">
        <v>0</v>
      </c>
      <c r="U13" s="3">
        <v>0</v>
      </c>
      <c r="V13" s="3" t="e">
        <f>VLOOKUP($D13,Uncertainties!C$27:I$33,7,FALSE)</f>
        <v>#N/A</v>
      </c>
      <c r="W13" s="3" t="e">
        <f t="shared" si="7"/>
        <v>#N/A</v>
      </c>
      <c r="X13" s="10" t="e">
        <f t="shared" si="1"/>
        <v>#VALUE!</v>
      </c>
      <c r="Y13" s="17" t="e">
        <f t="shared" si="8"/>
        <v>#VALUE!</v>
      </c>
      <c r="AA13" s="83">
        <v>8.0000000000000002E-3</v>
      </c>
      <c r="AB13" s="85">
        <v>5.0000000000000001E-3</v>
      </c>
      <c r="AC13" s="2">
        <v>0</v>
      </c>
      <c r="AD13" s="11">
        <f t="shared" si="9"/>
        <v>3.8382365334572435E-4</v>
      </c>
      <c r="AE13" s="3">
        <f t="shared" si="2"/>
        <v>-1.7673413296585311E-3</v>
      </c>
      <c r="AF13" s="3">
        <f t="shared" si="10"/>
        <v>1.5352946133828974E-3</v>
      </c>
      <c r="AG13" s="3">
        <v>0</v>
      </c>
      <c r="AH13" s="3">
        <v>0</v>
      </c>
      <c r="AI13" s="3" t="e">
        <f>VLOOKUP($D13,Uncertainties!C$27:P$33,14,FALSE)</f>
        <v>#N/A</v>
      </c>
      <c r="AJ13" s="3" t="e">
        <f t="shared" si="11"/>
        <v>#N/A</v>
      </c>
      <c r="AK13" s="10" t="e">
        <f t="shared" si="3"/>
        <v>#VALUE!</v>
      </c>
      <c r="AL13" s="17" t="e">
        <f t="shared" si="12"/>
        <v>#VALUE!</v>
      </c>
    </row>
    <row r="14" spans="1:38" x14ac:dyDescent="0.2">
      <c r="A14">
        <v>37</v>
      </c>
      <c r="D14" s="7">
        <f>ROUND(VLOOKUP($A14,' Data (5A)'!$A$9:$AF$263,10,FALSE),0)</f>
        <v>84</v>
      </c>
      <c r="E14" s="10"/>
      <c r="F14" s="10"/>
      <c r="G14" s="8">
        <f>VLOOKUP($A14,' Data (5A)'!$A$9:$AF$263,28,FALSE)</f>
        <v>-0.19036706039425999</v>
      </c>
      <c r="H14" s="8">
        <f>VLOOKUP($A14,' Data (5A)'!$A$9:$AF$263,29,FALSE)</f>
        <v>0.77358972621738864</v>
      </c>
      <c r="I14" s="13">
        <f>' Data (5A)'!AF$58</f>
        <v>0</v>
      </c>
      <c r="J14" s="13">
        <f>' Data (5A)'!AG$58</f>
        <v>-1.5189599601472132E-2</v>
      </c>
      <c r="K14" s="8">
        <f t="shared" si="4"/>
        <v>-0.19036706039425999</v>
      </c>
      <c r="L14" s="8">
        <f t="shared" si="5"/>
        <v>0.78877932581886079</v>
      </c>
      <c r="N14" s="83">
        <v>3.0000000000000001E-3</v>
      </c>
      <c r="O14" s="85">
        <v>5.0000000000000001E-3</v>
      </c>
      <c r="P14" s="3">
        <v>0</v>
      </c>
      <c r="Q14" s="3">
        <v>0</v>
      </c>
      <c r="R14" s="3">
        <f t="shared" si="0"/>
        <v>0</v>
      </c>
      <c r="S14" s="11">
        <f t="shared" si="6"/>
        <v>-7.6146824157704001E-4</v>
      </c>
      <c r="T14" s="3">
        <v>0</v>
      </c>
      <c r="U14" s="3">
        <v>0</v>
      </c>
      <c r="V14" s="3" t="e">
        <f>VLOOKUP($D14,Uncertainties!C$27:I$33,7,FALSE)</f>
        <v>#N/A</v>
      </c>
      <c r="W14" s="3" t="e">
        <f t="shared" si="7"/>
        <v>#N/A</v>
      </c>
      <c r="X14" s="10" t="e">
        <f t="shared" si="1"/>
        <v>#VALUE!</v>
      </c>
      <c r="Y14" s="17" t="e">
        <f t="shared" si="8"/>
        <v>#VALUE!</v>
      </c>
      <c r="AA14" s="83">
        <v>8.0000000000000002E-3</v>
      </c>
      <c r="AB14" s="85">
        <v>5.0000000000000001E-3</v>
      </c>
      <c r="AC14" s="2">
        <v>0</v>
      </c>
      <c r="AD14" s="11">
        <f t="shared" si="9"/>
        <v>7.887793258188608E-4</v>
      </c>
      <c r="AE14" s="3">
        <f t="shared" si="2"/>
        <v>-7.5947998007360666E-4</v>
      </c>
      <c r="AF14" s="3">
        <f t="shared" si="10"/>
        <v>3.1551173032754432E-3</v>
      </c>
      <c r="AG14" s="3">
        <v>0</v>
      </c>
      <c r="AH14" s="3">
        <v>0</v>
      </c>
      <c r="AI14" s="3" t="e">
        <f>VLOOKUP($D14,Uncertainties!C$27:P$33,14,FALSE)</f>
        <v>#N/A</v>
      </c>
      <c r="AJ14" s="3" t="e">
        <f t="shared" si="11"/>
        <v>#N/A</v>
      </c>
      <c r="AK14" s="10" t="e">
        <f t="shared" si="3"/>
        <v>#VALUE!</v>
      </c>
      <c r="AL14" s="17" t="e">
        <f t="shared" si="12"/>
        <v>#VALUE!</v>
      </c>
    </row>
    <row r="15" spans="1:38" x14ac:dyDescent="0.2">
      <c r="A15">
        <v>38</v>
      </c>
      <c r="D15" s="7">
        <f>ROUND(VLOOKUP($A15,' Data (5A)'!$A$9:$AF$263,10,FALSE),0)</f>
        <v>101</v>
      </c>
      <c r="E15" s="10"/>
      <c r="F15" s="10"/>
      <c r="G15" s="8">
        <f>VLOOKUP($A15,' Data (5A)'!$A$9:$AF$263,28,FALSE)</f>
        <v>-0.22067681422600038</v>
      </c>
      <c r="H15" s="8">
        <f>VLOOKUP($A15,' Data (5A)'!$A$9:$AF$263,29,FALSE)</f>
        <v>0.95834972704127352</v>
      </c>
      <c r="I15" s="13">
        <f>' Data (5A)'!AF$59</f>
        <v>0</v>
      </c>
      <c r="J15" s="13">
        <f>' Data (5A)'!AG$59</f>
        <v>-9.2989117774152155E-3</v>
      </c>
      <c r="K15" s="8">
        <f t="shared" si="4"/>
        <v>-0.22067681422600038</v>
      </c>
      <c r="L15" s="8">
        <f t="shared" si="5"/>
        <v>0.96764863881868879</v>
      </c>
      <c r="N15" s="83">
        <v>3.0000000000000001E-3</v>
      </c>
      <c r="O15" s="85">
        <v>5.0000000000000001E-3</v>
      </c>
      <c r="P15" s="3">
        <v>0</v>
      </c>
      <c r="Q15" s="3">
        <v>0</v>
      </c>
      <c r="R15" s="3">
        <f t="shared" si="0"/>
        <v>0</v>
      </c>
      <c r="S15" s="11">
        <f t="shared" si="6"/>
        <v>-8.8270725690400159E-4</v>
      </c>
      <c r="T15" s="3">
        <v>0</v>
      </c>
      <c r="U15" s="3">
        <v>0</v>
      </c>
      <c r="V15" s="3" t="e">
        <f>VLOOKUP($D15,Uncertainties!C$27:I$33,7,FALSE)</f>
        <v>#N/A</v>
      </c>
      <c r="W15" s="3" t="e">
        <f t="shared" si="7"/>
        <v>#N/A</v>
      </c>
      <c r="X15" s="10" t="e">
        <f t="shared" si="1"/>
        <v>#VALUE!</v>
      </c>
      <c r="Y15" s="17" t="e">
        <f t="shared" si="8"/>
        <v>#VALUE!</v>
      </c>
      <c r="AA15" s="83">
        <v>8.0000000000000002E-3</v>
      </c>
      <c r="AB15" s="85">
        <v>5.0000000000000001E-3</v>
      </c>
      <c r="AC15" s="2">
        <v>0</v>
      </c>
      <c r="AD15" s="11">
        <f t="shared" si="9"/>
        <v>9.676486388186888E-4</v>
      </c>
      <c r="AE15" s="3">
        <f t="shared" si="2"/>
        <v>-4.6494558887076078E-4</v>
      </c>
      <c r="AF15" s="3">
        <f t="shared" si="10"/>
        <v>3.8705945552747552E-3</v>
      </c>
      <c r="AG15" s="3">
        <v>0</v>
      </c>
      <c r="AH15" s="3">
        <v>0</v>
      </c>
      <c r="AI15" s="3" t="e">
        <f>VLOOKUP($D15,Uncertainties!C$27:P$33,14,FALSE)</f>
        <v>#N/A</v>
      </c>
      <c r="AJ15" s="3" t="e">
        <f t="shared" si="11"/>
        <v>#N/A</v>
      </c>
      <c r="AK15" s="10" t="e">
        <f t="shared" si="3"/>
        <v>#VALUE!</v>
      </c>
      <c r="AL15" s="17" t="e">
        <f t="shared" si="12"/>
        <v>#VALUE!</v>
      </c>
    </row>
    <row r="16" spans="1:38" x14ac:dyDescent="0.2">
      <c r="D16" s="7"/>
      <c r="E16" s="10"/>
      <c r="F16" s="10"/>
      <c r="G16" s="8"/>
      <c r="H16" s="8"/>
      <c r="I16" s="8"/>
      <c r="J16" s="8"/>
      <c r="K16" s="8"/>
      <c r="L16" s="8"/>
      <c r="N16" s="83"/>
      <c r="O16" s="85"/>
      <c r="P16" s="3"/>
      <c r="Q16" s="3"/>
      <c r="R16" s="3"/>
      <c r="S16" s="11"/>
      <c r="T16" s="3"/>
      <c r="U16" s="3"/>
      <c r="V16" s="3"/>
      <c r="W16" s="3"/>
      <c r="X16" s="10"/>
      <c r="Y16" s="17"/>
      <c r="AA16" s="83"/>
      <c r="AB16" s="85"/>
      <c r="AC16" s="2"/>
      <c r="AD16" s="11"/>
      <c r="AE16" s="3"/>
      <c r="AF16" s="3"/>
      <c r="AG16" s="3"/>
      <c r="AH16" s="3"/>
      <c r="AI16" s="3"/>
      <c r="AJ16" s="3"/>
      <c r="AK16" s="10"/>
      <c r="AL16" s="17"/>
    </row>
    <row r="17" spans="1:38" x14ac:dyDescent="0.2">
      <c r="D17" s="7"/>
      <c r="E17" s="10"/>
      <c r="F17" s="10"/>
      <c r="G17" s="8"/>
      <c r="H17" s="8"/>
      <c r="I17" s="8"/>
      <c r="J17" s="8"/>
      <c r="K17" s="8"/>
      <c r="L17" s="8"/>
      <c r="N17" s="83"/>
      <c r="O17" s="85"/>
      <c r="P17" s="3"/>
      <c r="Q17" s="3"/>
      <c r="R17" s="3"/>
      <c r="S17" s="11"/>
      <c r="T17" s="3"/>
      <c r="U17" s="3"/>
      <c r="V17" s="3"/>
      <c r="W17" s="3"/>
      <c r="X17" s="10"/>
      <c r="Y17" s="17"/>
      <c r="AA17" s="83"/>
      <c r="AB17" s="85"/>
      <c r="AC17" s="2"/>
      <c r="AD17" s="11"/>
      <c r="AE17" s="3"/>
      <c r="AF17" s="3"/>
      <c r="AG17" s="3"/>
      <c r="AH17" s="3"/>
      <c r="AI17" s="3"/>
      <c r="AJ17" s="3"/>
      <c r="AK17" s="10"/>
      <c r="AL17" s="17"/>
    </row>
    <row r="18" spans="1:38" x14ac:dyDescent="0.2">
      <c r="D18" s="5"/>
      <c r="G18" s="5"/>
      <c r="I18" s="8"/>
      <c r="J18" s="8"/>
      <c r="K18" s="8"/>
      <c r="L18" s="8"/>
      <c r="M18" t="s">
        <v>20</v>
      </c>
      <c r="N18" s="83">
        <v>10</v>
      </c>
      <c r="O18" s="83">
        <v>5</v>
      </c>
      <c r="P18">
        <v>100</v>
      </c>
      <c r="Q18">
        <v>100</v>
      </c>
      <c r="R18">
        <v>5</v>
      </c>
      <c r="S18">
        <v>5</v>
      </c>
      <c r="T18">
        <v>5</v>
      </c>
      <c r="U18">
        <v>5</v>
      </c>
      <c r="V18">
        <v>5</v>
      </c>
      <c r="AA18" s="83">
        <v>10</v>
      </c>
      <c r="AB18" s="83">
        <v>5</v>
      </c>
      <c r="AC18">
        <v>100</v>
      </c>
      <c r="AD18">
        <v>100</v>
      </c>
      <c r="AE18">
        <v>5</v>
      </c>
      <c r="AF18">
        <v>5</v>
      </c>
      <c r="AG18">
        <v>100</v>
      </c>
      <c r="AH18">
        <v>5</v>
      </c>
      <c r="AI18">
        <v>5</v>
      </c>
    </row>
    <row r="19" spans="1:38" x14ac:dyDescent="0.2">
      <c r="D19" s="1"/>
      <c r="E19" s="1"/>
      <c r="F19" s="1"/>
      <c r="G19" s="1"/>
      <c r="H19" s="1"/>
      <c r="I19" s="12" t="s">
        <v>15</v>
      </c>
      <c r="J19" s="1"/>
      <c r="K19">
        <v>0.11</v>
      </c>
      <c r="L19" s="2" t="s">
        <v>14</v>
      </c>
      <c r="N19" s="83"/>
      <c r="O19" s="83"/>
      <c r="Q19" s="2"/>
      <c r="R19" s="2"/>
      <c r="S19" s="2"/>
      <c r="T19" s="2"/>
      <c r="U19" s="2"/>
      <c r="V19" s="2"/>
      <c r="AA19" s="83"/>
      <c r="AB19" s="83"/>
    </row>
    <row r="20" spans="1:38" x14ac:dyDescent="0.2">
      <c r="A20">
        <v>51</v>
      </c>
      <c r="D20" s="54" t="str">
        <f>VLOOKUP($A20,' Data (5A)'!$A$9:$AF$263,3,FALSE)</f>
        <v>30/5 range, l - 1200At(5A), vs shunts and 500 AT on 50/5 range.</v>
      </c>
      <c r="H20" s="7"/>
      <c r="L20" s="2"/>
      <c r="N20" s="83" t="s">
        <v>16</v>
      </c>
      <c r="O20" s="83"/>
      <c r="AA20" s="83" t="s">
        <v>17</v>
      </c>
      <c r="AB20" s="83"/>
    </row>
    <row r="21" spans="1:38" ht="38.25" customHeight="1" x14ac:dyDescent="0.2">
      <c r="D21" s="9" t="s">
        <v>0</v>
      </c>
      <c r="E21" s="53" t="s">
        <v>98</v>
      </c>
      <c r="F21" s="53" t="s">
        <v>99</v>
      </c>
      <c r="G21" s="53" t="s">
        <v>96</v>
      </c>
      <c r="H21" s="53" t="s">
        <v>97</v>
      </c>
      <c r="I21" s="189" t="s">
        <v>118</v>
      </c>
      <c r="J21" s="190"/>
      <c r="K21" s="9" t="s">
        <v>1</v>
      </c>
      <c r="L21" s="9" t="s">
        <v>2</v>
      </c>
      <c r="N21" s="84" t="s">
        <v>69</v>
      </c>
      <c r="O21" s="86" t="s">
        <v>70</v>
      </c>
      <c r="P21" s="9" t="s">
        <v>10</v>
      </c>
      <c r="Q21" s="1" t="s">
        <v>8</v>
      </c>
      <c r="R21" s="1" t="s">
        <v>9</v>
      </c>
      <c r="S21" s="1" t="s">
        <v>11</v>
      </c>
      <c r="T21" s="1" t="s">
        <v>12</v>
      </c>
      <c r="U21" s="1" t="s">
        <v>13</v>
      </c>
      <c r="V21" s="1" t="s">
        <v>19</v>
      </c>
      <c r="W21" s="1" t="s">
        <v>18</v>
      </c>
      <c r="X21" t="s">
        <v>21</v>
      </c>
      <c r="Y21" t="s">
        <v>22</v>
      </c>
      <c r="AA21" s="84" t="s">
        <v>69</v>
      </c>
      <c r="AB21" s="86" t="s">
        <v>70</v>
      </c>
      <c r="AC21" s="9" t="s">
        <v>10</v>
      </c>
      <c r="AD21" s="1" t="s">
        <v>8</v>
      </c>
      <c r="AE21" s="1" t="s">
        <v>9</v>
      </c>
      <c r="AF21" s="1" t="s">
        <v>11</v>
      </c>
      <c r="AG21" s="1" t="s">
        <v>12</v>
      </c>
      <c r="AH21" s="1" t="s">
        <v>13</v>
      </c>
      <c r="AI21" s="1" t="s">
        <v>19</v>
      </c>
      <c r="AJ21" s="1" t="s">
        <v>18</v>
      </c>
      <c r="AK21" t="s">
        <v>21</v>
      </c>
      <c r="AL21" t="s">
        <v>22</v>
      </c>
    </row>
    <row r="22" spans="1:38" x14ac:dyDescent="0.2">
      <c r="A22">
        <v>53</v>
      </c>
      <c r="D22" s="7">
        <f>ROUND(VLOOKUP($A22,' Data (5A)'!$A$9:$AF$263,10,FALSE),0)</f>
        <v>5</v>
      </c>
      <c r="E22" s="10"/>
      <c r="F22" s="10"/>
      <c r="G22" s="8">
        <f>VLOOKUP($A22,' Data (5A)'!$A$9:$AF$263,28,FALSE)</f>
        <v>-8.0147469453813847E-2</v>
      </c>
      <c r="H22" s="8">
        <f>VLOOKUP($A22,' Data (5A)'!$A$9:$AF$263,29,FALSE)</f>
        <v>0.19456538315416455</v>
      </c>
      <c r="I22" s="13">
        <f>' Data (5A)'!AF$53</f>
        <v>0</v>
      </c>
      <c r="J22" s="13">
        <f>' Data (5A)'!AG$53</f>
        <v>-1.5575377494852454E-2</v>
      </c>
      <c r="K22" s="8">
        <f>G22+I22</f>
        <v>-8.0147469453813847E-2</v>
      </c>
      <c r="L22" s="8">
        <f>H22+J22</f>
        <v>0.17899000565931208</v>
      </c>
      <c r="N22" s="83">
        <v>3.0000000000000001E-3</v>
      </c>
      <c r="O22" s="85">
        <v>5.0000000000000001E-3</v>
      </c>
      <c r="P22" s="3">
        <v>0</v>
      </c>
      <c r="Q22" s="3">
        <v>0</v>
      </c>
      <c r="R22" s="3">
        <f t="shared" ref="R22:R28" si="13">BurdenUnc*I22</f>
        <v>0</v>
      </c>
      <c r="S22" s="11">
        <f>0.004*K22</f>
        <v>-3.2058987781525541E-4</v>
      </c>
      <c r="T22" s="3">
        <v>0</v>
      </c>
      <c r="U22" s="3">
        <v>0</v>
      </c>
      <c r="V22" s="3">
        <f>VLOOKUP($D22,Uncertainties!C$27:I$33,7,FALSE)</f>
        <v>4.1041665967721666E-3</v>
      </c>
      <c r="W22" s="3">
        <f>SQRT(SUMSQ(N22:V22))*10</f>
        <v>7.1377140124705224E-2</v>
      </c>
      <c r="X22" s="10">
        <f t="shared" ref="X22:X28" si="14">DoF_A(N22:V22,N$18:V$18)</f>
        <v>13.671994721438114</v>
      </c>
      <c r="Y22" s="17">
        <f>CoverFactor(X22)</f>
        <v>2.1430840655337868</v>
      </c>
      <c r="AA22" s="83">
        <v>8.0000000000000002E-3</v>
      </c>
      <c r="AB22" s="85">
        <v>5.0000000000000001E-3</v>
      </c>
      <c r="AC22" s="2">
        <v>0</v>
      </c>
      <c r="AD22" s="11">
        <f>0.001*L22</f>
        <v>1.789900056593121E-4</v>
      </c>
      <c r="AE22" s="3">
        <f t="shared" ref="AE22:AE28" si="15">BurdenUnc*J22</f>
        <v>-7.7876887474262273E-4</v>
      </c>
      <c r="AF22" s="3">
        <f>0.004*L22</f>
        <v>7.1596002263724838E-4</v>
      </c>
      <c r="AG22" s="3">
        <v>0</v>
      </c>
      <c r="AH22" s="3">
        <v>0</v>
      </c>
      <c r="AI22" s="3">
        <f>VLOOKUP($D22,Uncertainties!C$27:P$33,14,FALSE)</f>
        <v>1.0764630447179128E-2</v>
      </c>
      <c r="AJ22" s="3">
        <f>SQRT(SUMSQ(AA22:AI22))*10</f>
        <v>0.14353688926570216</v>
      </c>
      <c r="AK22" s="10">
        <f t="shared" ref="AK22:AK28" si="16">DoF_A(AA22:AI22,$AA$18:$AI$18)</f>
        <v>13.181554640907004</v>
      </c>
      <c r="AL22" s="17">
        <f>CoverFactor(AK22)</f>
        <v>2.150377247689919</v>
      </c>
    </row>
    <row r="23" spans="1:38" x14ac:dyDescent="0.2">
      <c r="A23">
        <v>54</v>
      </c>
      <c r="D23" s="7">
        <f>ROUND(VLOOKUP($A23,' Data (5A)'!$A$9:$AF$263,10,FALSE),0)</f>
        <v>10</v>
      </c>
      <c r="E23" s="10"/>
      <c r="F23" s="10"/>
      <c r="G23" s="8">
        <f>VLOOKUP($A23,' Data (5A)'!$A$9:$AF$263,28,FALSE)</f>
        <v>-8.5231855725532962E-2</v>
      </c>
      <c r="H23" s="8">
        <f>VLOOKUP($A23,' Data (5A)'!$A$9:$AF$263,29,FALSE)</f>
        <v>0.18298371732238528</v>
      </c>
      <c r="I23" s="13">
        <f>' Data (5A)'!AF$54</f>
        <v>0</v>
      </c>
      <c r="J23" s="13">
        <f>' Data (5A)'!AG$54</f>
        <v>-2.1282484731862679E-2</v>
      </c>
      <c r="K23" s="8">
        <f t="shared" ref="K23:K28" si="17">G23+I23</f>
        <v>-8.5231855725532962E-2</v>
      </c>
      <c r="L23" s="8">
        <f t="shared" ref="L23:L28" si="18">H23+J23</f>
        <v>0.1617012325905226</v>
      </c>
      <c r="N23" s="83">
        <v>3.0000000000000001E-3</v>
      </c>
      <c r="O23" s="85">
        <v>5.0000000000000001E-3</v>
      </c>
      <c r="P23" s="3">
        <v>0</v>
      </c>
      <c r="Q23" s="3">
        <v>0</v>
      </c>
      <c r="R23" s="3">
        <f t="shared" si="13"/>
        <v>0</v>
      </c>
      <c r="S23" s="11">
        <f t="shared" ref="S23:S28" si="19">0.004*K23</f>
        <v>-3.4092742290213186E-4</v>
      </c>
      <c r="T23" s="3">
        <v>0</v>
      </c>
      <c r="U23" s="3">
        <v>0</v>
      </c>
      <c r="V23" s="3">
        <f>VLOOKUP($D23,Uncertainties!C$27:I$33,7,FALSE)</f>
        <v>4.2112775690065262E-3</v>
      </c>
      <c r="W23" s="3">
        <f t="shared" ref="W23:W28" si="20">SQRT(SUMSQ(N23:V23))*10</f>
        <v>7.2007701165156091E-2</v>
      </c>
      <c r="X23" s="10">
        <f t="shared" si="14"/>
        <v>13.716476162546185</v>
      </c>
      <c r="Y23" s="17">
        <f t="shared" ref="Y23:Y28" si="21">CoverFactor(X23)</f>
        <v>2.1424503910322428</v>
      </c>
      <c r="AA23" s="83">
        <v>8.0000000000000002E-3</v>
      </c>
      <c r="AB23" s="85">
        <v>5.0000000000000001E-3</v>
      </c>
      <c r="AC23" s="2">
        <v>0</v>
      </c>
      <c r="AD23" s="11">
        <f t="shared" ref="AD23:AD28" si="22">0.001*L23</f>
        <v>1.617012325905226E-4</v>
      </c>
      <c r="AE23" s="3">
        <f t="shared" si="15"/>
        <v>-1.064124236593134E-3</v>
      </c>
      <c r="AF23" s="3">
        <f t="shared" ref="AF23:AF28" si="23">0.004*L23</f>
        <v>6.4680493036209038E-4</v>
      </c>
      <c r="AG23" s="3">
        <v>0</v>
      </c>
      <c r="AH23" s="3">
        <v>0</v>
      </c>
      <c r="AI23" s="3">
        <f>VLOOKUP($D23,Uncertainties!C$27:P$33,14,FALSE)</f>
        <v>9.6692171262401597E-3</v>
      </c>
      <c r="AJ23" s="3">
        <f t="shared" ref="AJ23:AJ28" si="24">SQRT(SUMSQ(AA23:AI23))*10</f>
        <v>0.13567262956537804</v>
      </c>
      <c r="AK23" s="10">
        <f t="shared" si="16"/>
        <v>14.840293761155472</v>
      </c>
      <c r="AL23" s="17">
        <f t="shared" ref="AL23:AL28" si="25">CoverFactor(AK23)</f>
        <v>2.1277896892300796</v>
      </c>
    </row>
    <row r="24" spans="1:38" x14ac:dyDescent="0.2">
      <c r="A24">
        <v>55</v>
      </c>
      <c r="D24" s="7">
        <f>ROUND(VLOOKUP($A24,' Data (5A)'!$A$9:$AF$263,10,FALSE),0)</f>
        <v>20</v>
      </c>
      <c r="E24" s="10"/>
      <c r="F24" s="10"/>
      <c r="G24" s="8">
        <f>VLOOKUP($A24,' Data (5A)'!$A$9:$AF$263,28,FALSE)</f>
        <v>-8.679850683409758E-2</v>
      </c>
      <c r="H24" s="8">
        <f>VLOOKUP($A24,' Data (5A)'!$A$9:$AF$263,29,FALSE)</f>
        <v>0.17215375742995709</v>
      </c>
      <c r="I24" s="13">
        <f>' Data (5A)'!AF$55</f>
        <v>0</v>
      </c>
      <c r="J24" s="13">
        <f>' Data (5A)'!AG$55</f>
        <v>-2.6812282110745256E-2</v>
      </c>
      <c r="K24" s="8">
        <f t="shared" si="17"/>
        <v>-8.679850683409758E-2</v>
      </c>
      <c r="L24" s="8">
        <f t="shared" si="18"/>
        <v>0.14534147531921182</v>
      </c>
      <c r="N24" s="83">
        <v>3.0000000000000001E-3</v>
      </c>
      <c r="O24" s="85">
        <v>5.0000000000000001E-3</v>
      </c>
      <c r="P24" s="3">
        <v>0</v>
      </c>
      <c r="Q24" s="3">
        <v>0</v>
      </c>
      <c r="R24" s="3">
        <f t="shared" si="13"/>
        <v>0</v>
      </c>
      <c r="S24" s="11">
        <f t="shared" si="19"/>
        <v>-3.4719402733639031E-4</v>
      </c>
      <c r="T24" s="3">
        <v>0</v>
      </c>
      <c r="U24" s="3">
        <v>0</v>
      </c>
      <c r="V24" s="3">
        <f>VLOOKUP($D24,Uncertainties!C$27:I$33,7,FALSE)</f>
        <v>4.7846092474376333E-3</v>
      </c>
      <c r="W24" s="3">
        <f t="shared" si="20"/>
        <v>7.5506972753040358E-2</v>
      </c>
      <c r="X24" s="10">
        <f t="shared" si="14"/>
        <v>13.662319221103941</v>
      </c>
      <c r="Y24" s="17">
        <f t="shared" si="21"/>
        <v>2.1432224896780294</v>
      </c>
      <c r="AA24" s="83">
        <v>8.0000000000000002E-3</v>
      </c>
      <c r="AB24" s="85">
        <v>5.0000000000000001E-3</v>
      </c>
      <c r="AC24" s="2">
        <v>0</v>
      </c>
      <c r="AD24" s="11">
        <f t="shared" si="22"/>
        <v>1.4534147531921184E-4</v>
      </c>
      <c r="AE24" s="3">
        <f t="shared" si="15"/>
        <v>-1.3406141055372629E-3</v>
      </c>
      <c r="AF24" s="3">
        <f t="shared" si="23"/>
        <v>5.8136590127684734E-4</v>
      </c>
      <c r="AG24" s="3">
        <v>0</v>
      </c>
      <c r="AH24" s="3">
        <v>0</v>
      </c>
      <c r="AI24" s="3">
        <f>VLOOKUP($D24,Uncertainties!C$27:P$33,14,FALSE)</f>
        <v>7.9233389469002893E-3</v>
      </c>
      <c r="AJ24" s="3">
        <f t="shared" si="24"/>
        <v>0.12407080909829186</v>
      </c>
      <c r="AK24" s="10">
        <f t="shared" si="16"/>
        <v>17.903953540300879</v>
      </c>
      <c r="AL24" s="17">
        <f t="shared" si="25"/>
        <v>2.0976946256672089</v>
      </c>
    </row>
    <row r="25" spans="1:38" x14ac:dyDescent="0.2">
      <c r="A25">
        <v>56</v>
      </c>
      <c r="D25" s="7">
        <f>ROUND(VLOOKUP($A25,' Data (5A)'!$A$9:$AF$263,10,FALSE),0)</f>
        <v>40</v>
      </c>
      <c r="E25" s="10"/>
      <c r="F25" s="10"/>
      <c r="G25" s="8">
        <f>VLOOKUP($A25,' Data (5A)'!$A$9:$AF$263,28,FALSE)</f>
        <v>-9.472853958630334E-2</v>
      </c>
      <c r="H25" s="8">
        <f>VLOOKUP($A25,' Data (5A)'!$A$9:$AF$263,29,FALSE)</f>
        <v>0.15321822890937967</v>
      </c>
      <c r="I25" s="13">
        <f>' Data (5A)'!AF$56</f>
        <v>0</v>
      </c>
      <c r="J25" s="13">
        <f>' Data (5A)'!AG$56</f>
        <v>-3.5744020641437731E-2</v>
      </c>
      <c r="K25" s="8">
        <f t="shared" si="17"/>
        <v>-9.472853958630334E-2</v>
      </c>
      <c r="L25" s="8">
        <f t="shared" si="18"/>
        <v>0.11747420826794194</v>
      </c>
      <c r="N25" s="83">
        <v>3.0000000000000001E-3</v>
      </c>
      <c r="O25" s="85">
        <v>5.0000000000000001E-3</v>
      </c>
      <c r="P25" s="3">
        <v>0</v>
      </c>
      <c r="Q25" s="3">
        <v>0</v>
      </c>
      <c r="R25" s="3">
        <f t="shared" si="13"/>
        <v>0</v>
      </c>
      <c r="S25" s="11">
        <f t="shared" si="19"/>
        <v>-3.7891415834521335E-4</v>
      </c>
      <c r="T25" s="3">
        <v>0</v>
      </c>
      <c r="U25" s="3">
        <v>0</v>
      </c>
      <c r="V25" s="3">
        <f>VLOOKUP($D25,Uncertainties!C$27:I$33,7,FALSE)</f>
        <v>5.3557564232640234E-3</v>
      </c>
      <c r="W25" s="3">
        <f t="shared" si="20"/>
        <v>7.9263927990434774E-2</v>
      </c>
      <c r="X25" s="10">
        <f t="shared" si="14"/>
        <v>13.26117351299586</v>
      </c>
      <c r="Y25" s="17">
        <f t="shared" si="21"/>
        <v>2.1491536230331505</v>
      </c>
      <c r="AA25" s="83">
        <v>8.0000000000000002E-3</v>
      </c>
      <c r="AB25" s="85">
        <v>5.0000000000000001E-3</v>
      </c>
      <c r="AC25" s="2">
        <v>0</v>
      </c>
      <c r="AD25" s="11">
        <f t="shared" si="22"/>
        <v>1.1747420826794195E-4</v>
      </c>
      <c r="AE25" s="3">
        <f t="shared" si="15"/>
        <v>-1.7872010320718866E-3</v>
      </c>
      <c r="AF25" s="3">
        <f t="shared" si="23"/>
        <v>4.6989683307176779E-4</v>
      </c>
      <c r="AG25" s="3">
        <v>0</v>
      </c>
      <c r="AH25" s="3">
        <v>0</v>
      </c>
      <c r="AI25" s="3">
        <f>VLOOKUP($D25,Uncertainties!C$27:P$33,14,FALSE)</f>
        <v>6.1877759884734207E-3</v>
      </c>
      <c r="AJ25" s="3">
        <f t="shared" si="24"/>
        <v>0.11433165022683181</v>
      </c>
      <c r="AK25" s="10">
        <f t="shared" si="16"/>
        <v>20.590393596914176</v>
      </c>
      <c r="AL25" s="17">
        <f t="shared" si="25"/>
        <v>2.0790165045633979</v>
      </c>
    </row>
    <row r="26" spans="1:38" x14ac:dyDescent="0.2">
      <c r="A26">
        <v>57</v>
      </c>
      <c r="D26" s="7">
        <f>ROUND(VLOOKUP($A26,' Data (5A)'!$A$9:$AF$263,10,FALSE),0)</f>
        <v>60</v>
      </c>
      <c r="E26" s="10"/>
      <c r="F26" s="10"/>
      <c r="G26" s="8">
        <f>VLOOKUP($A26,' Data (5A)'!$A$9:$AF$263,28,FALSE)</f>
        <v>-9.3595189973814844E-2</v>
      </c>
      <c r="H26" s="8">
        <f>VLOOKUP($A26,' Data (5A)'!$A$9:$AF$263,29,FALSE)</f>
        <v>0.15063342325090795</v>
      </c>
      <c r="I26" s="13">
        <f>' Data (5A)'!AF$57</f>
        <v>0</v>
      </c>
      <c r="J26" s="13">
        <f>' Data (5A)'!AG$57</f>
        <v>-3.5346826593170622E-2</v>
      </c>
      <c r="K26" s="8">
        <f t="shared" si="17"/>
        <v>-9.3595189973814844E-2</v>
      </c>
      <c r="L26" s="8">
        <f t="shared" si="18"/>
        <v>0.11528659665773733</v>
      </c>
      <c r="N26" s="83">
        <v>3.0000000000000001E-3</v>
      </c>
      <c r="O26" s="85">
        <v>5.0000000000000001E-3</v>
      </c>
      <c r="P26" s="3">
        <v>0</v>
      </c>
      <c r="Q26" s="3">
        <v>0</v>
      </c>
      <c r="R26" s="3">
        <f t="shared" si="13"/>
        <v>0</v>
      </c>
      <c r="S26" s="11">
        <f t="shared" si="19"/>
        <v>-3.743807598952594E-4</v>
      </c>
      <c r="T26" s="3">
        <v>0</v>
      </c>
      <c r="U26" s="3">
        <v>0</v>
      </c>
      <c r="V26" s="3">
        <f>VLOOKUP($D26,Uncertainties!C$27:I$33,7,FALSE)</f>
        <v>5.4469236170876702E-3</v>
      </c>
      <c r="W26" s="3">
        <f t="shared" si="20"/>
        <v>7.9880622083060404E-2</v>
      </c>
      <c r="X26" s="10">
        <f t="shared" si="14"/>
        <v>13.170173361938474</v>
      </c>
      <c r="Y26" s="17">
        <f t="shared" si="21"/>
        <v>2.1505534683212315</v>
      </c>
      <c r="AA26" s="83">
        <v>8.0000000000000002E-3</v>
      </c>
      <c r="AB26" s="85">
        <v>5.0000000000000001E-3</v>
      </c>
      <c r="AC26" s="2">
        <v>0</v>
      </c>
      <c r="AD26" s="11">
        <f t="shared" si="22"/>
        <v>1.1528659665773733E-4</v>
      </c>
      <c r="AE26" s="3">
        <f t="shared" si="15"/>
        <v>-1.7673413296585311E-3</v>
      </c>
      <c r="AF26" s="3">
        <f t="shared" si="23"/>
        <v>4.6114638663094932E-4</v>
      </c>
      <c r="AG26" s="3">
        <v>0</v>
      </c>
      <c r="AH26" s="3">
        <v>0</v>
      </c>
      <c r="AI26" s="3">
        <f>VLOOKUP($D26,Uncertainties!C$27:P$33,14,FALSE)</f>
        <v>4.5065292830192907E-3</v>
      </c>
      <c r="AJ26" s="3">
        <f t="shared" si="24"/>
        <v>0.10614059004146399</v>
      </c>
      <c r="AK26" s="10">
        <f t="shared" si="16"/>
        <v>20.502196601748686</v>
      </c>
      <c r="AL26" s="17">
        <f t="shared" si="25"/>
        <v>2.0795485119659456</v>
      </c>
    </row>
    <row r="27" spans="1:38" x14ac:dyDescent="0.2">
      <c r="A27">
        <v>58</v>
      </c>
      <c r="D27" s="7">
        <f>ROUND(VLOOKUP($A27,' Data (5A)'!$A$9:$AF$263,10,FALSE),0)</f>
        <v>100</v>
      </c>
      <c r="E27" s="10"/>
      <c r="F27" s="10"/>
      <c r="G27" s="8">
        <f>VLOOKUP($A27,' Data (5A)'!$A$9:$AF$263,28,FALSE)</f>
        <v>-9.9017207034306831E-2</v>
      </c>
      <c r="H27" s="8">
        <f>VLOOKUP($A27,' Data (5A)'!$A$9:$AF$263,29,FALSE)</f>
        <v>0.22977967102230401</v>
      </c>
      <c r="I27" s="13">
        <f>' Data (5A)'!AF$58</f>
        <v>0</v>
      </c>
      <c r="J27" s="13">
        <f>' Data (5A)'!AG$58</f>
        <v>-1.5189599601472132E-2</v>
      </c>
      <c r="K27" s="8">
        <f t="shared" si="17"/>
        <v>-9.9017207034306831E-2</v>
      </c>
      <c r="L27" s="8">
        <f t="shared" si="18"/>
        <v>0.21459007142083189</v>
      </c>
      <c r="N27" s="83">
        <v>3.0000000000000001E-3</v>
      </c>
      <c r="O27" s="85">
        <v>5.0000000000000001E-3</v>
      </c>
      <c r="P27" s="3">
        <v>0</v>
      </c>
      <c r="Q27" s="3">
        <v>0</v>
      </c>
      <c r="R27" s="3">
        <f t="shared" si="13"/>
        <v>0</v>
      </c>
      <c r="S27" s="11">
        <f t="shared" si="19"/>
        <v>-3.9606882813722732E-4</v>
      </c>
      <c r="T27" s="3">
        <v>0</v>
      </c>
      <c r="U27" s="3">
        <v>0</v>
      </c>
      <c r="V27" s="3">
        <f>VLOOKUP($D27,Uncertainties!C$27:I$33,7,FALSE)</f>
        <v>4.8213900746369798E-3</v>
      </c>
      <c r="W27" s="3">
        <f t="shared" si="20"/>
        <v>7.5764551584781376E-2</v>
      </c>
      <c r="X27" s="10">
        <f t="shared" si="14"/>
        <v>13.662363753758511</v>
      </c>
      <c r="Y27" s="17">
        <f t="shared" si="21"/>
        <v>2.1432218520802993</v>
      </c>
      <c r="AA27" s="83">
        <v>8.0000000000000002E-3</v>
      </c>
      <c r="AB27" s="85">
        <v>5.0000000000000001E-3</v>
      </c>
      <c r="AC27" s="2">
        <v>0</v>
      </c>
      <c r="AD27" s="11">
        <f t="shared" si="22"/>
        <v>2.1459007142083189E-4</v>
      </c>
      <c r="AE27" s="3">
        <f t="shared" si="15"/>
        <v>-7.5947998007360666E-4</v>
      </c>
      <c r="AF27" s="3">
        <f t="shared" si="23"/>
        <v>8.5836028568332754E-4</v>
      </c>
      <c r="AG27" s="3">
        <v>0</v>
      </c>
      <c r="AH27" s="3">
        <v>0</v>
      </c>
      <c r="AI27" s="3">
        <f>VLOOKUP($D27,Uncertainties!C$27:P$33,14,FALSE)</f>
        <v>2.9382364049526017E-3</v>
      </c>
      <c r="AJ27" s="3">
        <f t="shared" si="24"/>
        <v>9.9495162842377499E-2</v>
      </c>
      <c r="AK27" s="10">
        <f t="shared" si="16"/>
        <v>17.827753028895408</v>
      </c>
      <c r="AL27" s="17">
        <f t="shared" si="25"/>
        <v>2.0983108627327218</v>
      </c>
    </row>
    <row r="28" spans="1:38" x14ac:dyDescent="0.2">
      <c r="A28">
        <v>59</v>
      </c>
      <c r="D28" s="7">
        <f>ROUND(VLOOKUP($A28,' Data (5A)'!$A$9:$AF$263,10,FALSE),0)</f>
        <v>120</v>
      </c>
      <c r="E28" s="10"/>
      <c r="F28" s="10"/>
      <c r="G28" s="8">
        <f>VLOOKUP($A28,' Data (5A)'!$A$9:$AF$263,28,FALSE)</f>
        <v>-0.10644900791739867</v>
      </c>
      <c r="H28" s="8">
        <f>VLOOKUP($A28,' Data (5A)'!$A$9:$AF$263,29,FALSE)</f>
        <v>0.33782468235980712</v>
      </c>
      <c r="I28" s="13">
        <f>' Data (5A)'!AF$59</f>
        <v>0</v>
      </c>
      <c r="J28" s="13">
        <f>' Data (5A)'!AG$59</f>
        <v>-9.2989117774152155E-3</v>
      </c>
      <c r="K28" s="8">
        <f t="shared" si="17"/>
        <v>-0.10644900791739867</v>
      </c>
      <c r="L28" s="8">
        <f t="shared" si="18"/>
        <v>0.32852577058239191</v>
      </c>
      <c r="N28" s="83">
        <v>3.0000000000000001E-3</v>
      </c>
      <c r="O28" s="85">
        <v>5.0000000000000001E-3</v>
      </c>
      <c r="P28" s="3">
        <v>0</v>
      </c>
      <c r="Q28" s="3">
        <v>0</v>
      </c>
      <c r="R28" s="3">
        <f t="shared" si="13"/>
        <v>0</v>
      </c>
      <c r="S28" s="11">
        <f t="shared" si="19"/>
        <v>-4.2579603166959467E-4</v>
      </c>
      <c r="T28" s="3">
        <v>0</v>
      </c>
      <c r="U28" s="3">
        <v>0</v>
      </c>
      <c r="V28" s="3" t="e">
        <f>VLOOKUP($D28,Uncertainties!C$27:I$33,7,FALSE)</f>
        <v>#N/A</v>
      </c>
      <c r="W28" s="3" t="e">
        <f t="shared" si="20"/>
        <v>#N/A</v>
      </c>
      <c r="X28" s="10" t="e">
        <f t="shared" si="14"/>
        <v>#VALUE!</v>
      </c>
      <c r="Y28" s="17" t="e">
        <f t="shared" si="21"/>
        <v>#VALUE!</v>
      </c>
      <c r="AA28" s="83">
        <v>8.0000000000000002E-3</v>
      </c>
      <c r="AB28" s="85">
        <v>5.0000000000000001E-3</v>
      </c>
      <c r="AC28" s="2">
        <v>0</v>
      </c>
      <c r="AD28" s="11">
        <f t="shared" si="22"/>
        <v>3.2852577058239193E-4</v>
      </c>
      <c r="AE28" s="3">
        <f t="shared" si="15"/>
        <v>-4.6494558887076078E-4</v>
      </c>
      <c r="AF28" s="3">
        <f t="shared" si="23"/>
        <v>1.3141030823295677E-3</v>
      </c>
      <c r="AG28" s="3">
        <v>0</v>
      </c>
      <c r="AH28" s="3">
        <v>0</v>
      </c>
      <c r="AI28" s="3" t="e">
        <f>VLOOKUP($D28,Uncertainties!C$27:P$33,14,FALSE)</f>
        <v>#N/A</v>
      </c>
      <c r="AJ28" s="3" t="e">
        <f t="shared" si="24"/>
        <v>#N/A</v>
      </c>
      <c r="AK28" s="10" t="e">
        <f t="shared" si="16"/>
        <v>#VALUE!</v>
      </c>
      <c r="AL28" s="17" t="e">
        <f t="shared" si="25"/>
        <v>#VALUE!</v>
      </c>
    </row>
    <row r="29" spans="1:38" x14ac:dyDescent="0.2">
      <c r="D29" s="7"/>
      <c r="E29" s="10"/>
      <c r="F29" s="10"/>
      <c r="G29" s="8"/>
      <c r="H29" s="8"/>
      <c r="I29" s="8"/>
      <c r="J29" s="8"/>
      <c r="K29" s="8"/>
      <c r="L29" s="8"/>
      <c r="N29" s="83"/>
      <c r="O29" s="85"/>
      <c r="P29" s="3"/>
      <c r="Q29" s="3"/>
      <c r="R29" s="3"/>
      <c r="S29" s="11"/>
      <c r="T29" s="3"/>
      <c r="U29" s="3"/>
      <c r="V29" s="3"/>
      <c r="W29" s="3"/>
      <c r="X29" s="10"/>
      <c r="Y29" s="17"/>
      <c r="AA29" s="83"/>
      <c r="AB29" s="85"/>
      <c r="AC29" s="2"/>
      <c r="AD29" s="11"/>
      <c r="AE29" s="3"/>
      <c r="AF29" s="3"/>
      <c r="AG29" s="3"/>
      <c r="AH29" s="3"/>
      <c r="AI29" s="3"/>
      <c r="AJ29" s="3"/>
      <c r="AK29" s="10"/>
      <c r="AL29" s="17"/>
    </row>
    <row r="30" spans="1:38" x14ac:dyDescent="0.2">
      <c r="D30" s="5"/>
      <c r="I30" s="8"/>
      <c r="J30" s="8"/>
      <c r="K30" s="8"/>
      <c r="L30" s="8"/>
      <c r="M30" t="s">
        <v>20</v>
      </c>
      <c r="N30" s="83">
        <v>10</v>
      </c>
      <c r="O30" s="83">
        <v>5</v>
      </c>
      <c r="P30">
        <v>100</v>
      </c>
      <c r="Q30">
        <v>100</v>
      </c>
      <c r="R30">
        <v>5</v>
      </c>
      <c r="S30">
        <v>5</v>
      </c>
      <c r="T30">
        <v>5</v>
      </c>
      <c r="U30">
        <v>5</v>
      </c>
      <c r="V30">
        <v>5</v>
      </c>
      <c r="AA30" s="83">
        <v>10</v>
      </c>
      <c r="AB30" s="83">
        <v>5</v>
      </c>
      <c r="AC30">
        <v>100</v>
      </c>
      <c r="AD30">
        <v>100</v>
      </c>
      <c r="AE30">
        <v>5</v>
      </c>
      <c r="AF30">
        <v>5</v>
      </c>
      <c r="AG30">
        <v>100</v>
      </c>
      <c r="AH30">
        <v>5</v>
      </c>
      <c r="AI30">
        <v>5</v>
      </c>
    </row>
    <row r="31" spans="1:38" x14ac:dyDescent="0.2">
      <c r="D31" s="1"/>
      <c r="E31" s="1"/>
      <c r="F31" s="1"/>
      <c r="G31" s="1"/>
      <c r="H31" s="1"/>
      <c r="I31" s="12"/>
      <c r="J31" s="1"/>
      <c r="L31" s="2"/>
      <c r="N31" s="83"/>
      <c r="O31" s="83"/>
      <c r="Q31" s="2"/>
      <c r="R31" s="2"/>
      <c r="S31" s="2"/>
      <c r="T31" s="2"/>
      <c r="U31" s="2"/>
      <c r="V31" s="2"/>
      <c r="AA31" s="83"/>
      <c r="AB31" s="83"/>
    </row>
    <row r="32" spans="1:38" x14ac:dyDescent="0.2">
      <c r="A32">
        <v>84</v>
      </c>
      <c r="D32" s="54" t="e">
        <f>VLOOKUP($A32,' Data (5A)'!$A$9:$AF$263,3,FALSE)</f>
        <v>#N/A</v>
      </c>
      <c r="H32" s="7"/>
      <c r="L32" s="2"/>
      <c r="N32" s="83" t="s">
        <v>16</v>
      </c>
      <c r="O32" s="83"/>
      <c r="AA32" s="83" t="s">
        <v>17</v>
      </c>
      <c r="AB32" s="83"/>
    </row>
    <row r="33" spans="1:38" ht="38.25" customHeight="1" x14ac:dyDescent="0.2">
      <c r="D33" s="9" t="s">
        <v>0</v>
      </c>
      <c r="E33" s="53" t="s">
        <v>98</v>
      </c>
      <c r="F33" s="53" t="s">
        <v>99</v>
      </c>
      <c r="G33" s="53" t="s">
        <v>96</v>
      </c>
      <c r="H33" s="53" t="s">
        <v>97</v>
      </c>
      <c r="I33" s="189" t="s">
        <v>118</v>
      </c>
      <c r="J33" s="190"/>
      <c r="K33" s="9" t="s">
        <v>1</v>
      </c>
      <c r="L33" s="9" t="s">
        <v>2</v>
      </c>
      <c r="N33" s="84" t="s">
        <v>69</v>
      </c>
      <c r="O33" s="86" t="s">
        <v>70</v>
      </c>
      <c r="P33" s="9" t="s">
        <v>10</v>
      </c>
      <c r="Q33" s="1" t="s">
        <v>8</v>
      </c>
      <c r="R33" s="1" t="s">
        <v>9</v>
      </c>
      <c r="S33" s="1" t="s">
        <v>11</v>
      </c>
      <c r="T33" s="1" t="s">
        <v>12</v>
      </c>
      <c r="U33" s="1" t="s">
        <v>13</v>
      </c>
      <c r="V33" s="1" t="s">
        <v>19</v>
      </c>
      <c r="W33" s="1" t="s">
        <v>18</v>
      </c>
      <c r="X33" t="s">
        <v>21</v>
      </c>
      <c r="Y33" t="s">
        <v>22</v>
      </c>
      <c r="AA33" s="84" t="s">
        <v>69</v>
      </c>
      <c r="AB33" s="86" t="s">
        <v>70</v>
      </c>
      <c r="AC33" s="9" t="s">
        <v>10</v>
      </c>
      <c r="AD33" s="1" t="s">
        <v>8</v>
      </c>
      <c r="AE33" s="1" t="s">
        <v>9</v>
      </c>
      <c r="AF33" s="1" t="s">
        <v>11</v>
      </c>
      <c r="AG33" s="1" t="s">
        <v>12</v>
      </c>
      <c r="AH33" s="1" t="s">
        <v>13</v>
      </c>
      <c r="AI33" s="1" t="s">
        <v>19</v>
      </c>
      <c r="AJ33" s="1" t="s">
        <v>18</v>
      </c>
      <c r="AK33" t="s">
        <v>21</v>
      </c>
      <c r="AL33" t="s">
        <v>22</v>
      </c>
    </row>
    <row r="34" spans="1:38" x14ac:dyDescent="0.2">
      <c r="A34">
        <v>86</v>
      </c>
      <c r="D34" s="7" t="e">
        <f>ROUND(VLOOKUP($A34,' Data (5A)'!$A$9:$AF$263,10,FALSE),0)</f>
        <v>#N/A</v>
      </c>
      <c r="E34" s="10"/>
      <c r="F34" s="10"/>
      <c r="G34" s="8" t="e">
        <f>VLOOKUP($A34,' Data (5A)'!$A$9:$AF$263,28,FALSE)</f>
        <v>#N/A</v>
      </c>
      <c r="H34" s="8" t="e">
        <f>VLOOKUP($A34,' Data (5A)'!$A$9:$AF$263,29,FALSE)</f>
        <v>#N/A</v>
      </c>
      <c r="I34" s="13">
        <f>' Data (5A)'!AF$53</f>
        <v>0</v>
      </c>
      <c r="J34" s="13">
        <f>' Data (5A)'!AG$53</f>
        <v>-1.5575377494852454E-2</v>
      </c>
      <c r="K34" s="8" t="e">
        <f>G34+I34</f>
        <v>#N/A</v>
      </c>
      <c r="L34" s="8" t="e">
        <f>H34+J34</f>
        <v>#N/A</v>
      </c>
      <c r="N34" s="83">
        <v>3.0000000000000001E-3</v>
      </c>
      <c r="O34" s="85">
        <v>5.0000000000000001E-3</v>
      </c>
      <c r="P34" s="3">
        <v>0</v>
      </c>
      <c r="Q34" s="3">
        <v>0</v>
      </c>
      <c r="R34" s="3">
        <f t="shared" ref="R34:R40" si="26">BurdenUnc*I34</f>
        <v>0</v>
      </c>
      <c r="S34" s="11" t="e">
        <f>0.004*K34</f>
        <v>#N/A</v>
      </c>
      <c r="T34" s="3">
        <v>0</v>
      </c>
      <c r="U34" s="3">
        <v>0</v>
      </c>
      <c r="V34" s="3" t="e">
        <f>VLOOKUP($D34,Uncertainties!C$27:I$33,7,FALSE)</f>
        <v>#N/A</v>
      </c>
      <c r="W34" s="3" t="e">
        <f>SQRT(SUMSQ(N34:V34))*10</f>
        <v>#N/A</v>
      </c>
      <c r="X34" s="10" t="e">
        <f t="shared" ref="X34:X40" si="27">DoF_A(N34:V34,$AA$30:$AI$30)</f>
        <v>#VALUE!</v>
      </c>
      <c r="Y34" s="17" t="e">
        <f>CoverFactor(X34)</f>
        <v>#VALUE!</v>
      </c>
      <c r="AA34" s="83">
        <v>8.0000000000000002E-3</v>
      </c>
      <c r="AB34" s="85">
        <v>5.0000000000000001E-3</v>
      </c>
      <c r="AC34" s="2">
        <v>0</v>
      </c>
      <c r="AD34" s="11" t="e">
        <f>0.001*L34</f>
        <v>#N/A</v>
      </c>
      <c r="AE34" s="3">
        <f t="shared" ref="AE34:AE40" si="28">BurdenUnc*J34</f>
        <v>-7.7876887474262273E-4</v>
      </c>
      <c r="AF34" s="3" t="e">
        <f>0.004*L34</f>
        <v>#N/A</v>
      </c>
      <c r="AG34" s="3">
        <v>0</v>
      </c>
      <c r="AH34" s="3">
        <v>0</v>
      </c>
      <c r="AI34" s="3" t="e">
        <f>VLOOKUP($D34,Uncertainties!C$27:P$33,14,FALSE)</f>
        <v>#N/A</v>
      </c>
      <c r="AJ34" s="3" t="e">
        <f>SQRT(SUMSQ(AA34:AI34))*10</f>
        <v>#N/A</v>
      </c>
      <c r="AK34" s="10" t="e">
        <f t="shared" ref="AK34:AK40" si="29">DoF_A(AA34:AI34,$AA$30:$AI$30)</f>
        <v>#VALUE!</v>
      </c>
      <c r="AL34" s="17" t="e">
        <f>CoverFactor(AK34)</f>
        <v>#VALUE!</v>
      </c>
    </row>
    <row r="35" spans="1:38" x14ac:dyDescent="0.2">
      <c r="A35">
        <v>87</v>
      </c>
      <c r="D35" s="7" t="e">
        <f>ROUND(VLOOKUP($A35,' Data (5A)'!$A$9:$AF$263,10,FALSE),0)</f>
        <v>#N/A</v>
      </c>
      <c r="E35" s="10"/>
      <c r="F35" s="10"/>
      <c r="G35" s="8" t="e">
        <f>VLOOKUP($A35,' Data (5A)'!$A$9:$AF$263,28,FALSE)</f>
        <v>#N/A</v>
      </c>
      <c r="H35" s="8" t="e">
        <f>VLOOKUP($A35,' Data (5A)'!$A$9:$AF$263,29,FALSE)</f>
        <v>#N/A</v>
      </c>
      <c r="I35" s="13">
        <f>' Data (5A)'!AF$54</f>
        <v>0</v>
      </c>
      <c r="J35" s="13">
        <f>' Data (5A)'!AG$54</f>
        <v>-2.1282484731862679E-2</v>
      </c>
      <c r="K35" s="8" t="e">
        <f t="shared" ref="K35:K40" si="30">G35+I35</f>
        <v>#N/A</v>
      </c>
      <c r="L35" s="8" t="e">
        <f t="shared" ref="L35:L40" si="31">H35+J35</f>
        <v>#N/A</v>
      </c>
      <c r="N35" s="83">
        <v>3.0000000000000001E-3</v>
      </c>
      <c r="O35" s="85">
        <v>5.0000000000000001E-3</v>
      </c>
      <c r="P35" s="3">
        <v>0</v>
      </c>
      <c r="Q35" s="3">
        <v>0</v>
      </c>
      <c r="R35" s="3">
        <f t="shared" si="26"/>
        <v>0</v>
      </c>
      <c r="S35" s="11" t="e">
        <f t="shared" ref="S35:S40" si="32">0.004*K35</f>
        <v>#N/A</v>
      </c>
      <c r="T35" s="3">
        <v>0</v>
      </c>
      <c r="U35" s="3">
        <v>0</v>
      </c>
      <c r="V35" s="3" t="e">
        <f>VLOOKUP($D35,Uncertainties!C$27:I$33,7,FALSE)</f>
        <v>#N/A</v>
      </c>
      <c r="W35" s="3" t="e">
        <f t="shared" ref="W35:W40" si="33">SQRT(SUMSQ(N35:V35))*10</f>
        <v>#N/A</v>
      </c>
      <c r="X35" s="10" t="e">
        <f t="shared" si="27"/>
        <v>#VALUE!</v>
      </c>
      <c r="Y35" s="17" t="e">
        <f t="shared" ref="Y35:Y40" si="34">CoverFactor(X35)</f>
        <v>#VALUE!</v>
      </c>
      <c r="AA35" s="83">
        <v>8.0000000000000002E-3</v>
      </c>
      <c r="AB35" s="85">
        <v>5.0000000000000001E-3</v>
      </c>
      <c r="AC35" s="2">
        <v>0</v>
      </c>
      <c r="AD35" s="11" t="e">
        <f t="shared" ref="AD35:AD40" si="35">0.001*L35</f>
        <v>#N/A</v>
      </c>
      <c r="AE35" s="3">
        <f t="shared" si="28"/>
        <v>-1.064124236593134E-3</v>
      </c>
      <c r="AF35" s="3" t="e">
        <f t="shared" ref="AF35:AF40" si="36">0.004*L35</f>
        <v>#N/A</v>
      </c>
      <c r="AG35" s="3">
        <v>0</v>
      </c>
      <c r="AH35" s="3">
        <v>0</v>
      </c>
      <c r="AI35" s="3" t="e">
        <f>VLOOKUP($D35,Uncertainties!C$27:P$33,14,FALSE)</f>
        <v>#N/A</v>
      </c>
      <c r="AJ35" s="3" t="e">
        <f t="shared" ref="AJ35:AJ40" si="37">SQRT(SUMSQ(AA35:AI35))*10</f>
        <v>#N/A</v>
      </c>
      <c r="AK35" s="10" t="e">
        <f t="shared" si="29"/>
        <v>#VALUE!</v>
      </c>
      <c r="AL35" s="17" t="e">
        <f t="shared" ref="AL35:AL40" si="38">CoverFactor(AK35)</f>
        <v>#VALUE!</v>
      </c>
    </row>
    <row r="36" spans="1:38" x14ac:dyDescent="0.2">
      <c r="A36">
        <v>88</v>
      </c>
      <c r="D36" s="7" t="e">
        <f>ROUND(VLOOKUP($A36,' Data (5A)'!$A$9:$AF$263,10,FALSE),0)</f>
        <v>#N/A</v>
      </c>
      <c r="E36" s="10"/>
      <c r="F36" s="10"/>
      <c r="G36" s="8" t="e">
        <f>VLOOKUP($A36,' Data (5A)'!$A$9:$AF$263,28,FALSE)</f>
        <v>#N/A</v>
      </c>
      <c r="H36" s="8" t="e">
        <f>VLOOKUP($A36,' Data (5A)'!$A$9:$AF$263,29,FALSE)</f>
        <v>#N/A</v>
      </c>
      <c r="I36" s="13">
        <f>' Data (5A)'!AF$55</f>
        <v>0</v>
      </c>
      <c r="J36" s="13">
        <f>' Data (5A)'!AG$55</f>
        <v>-2.6812282110745256E-2</v>
      </c>
      <c r="K36" s="8" t="e">
        <f t="shared" si="30"/>
        <v>#N/A</v>
      </c>
      <c r="L36" s="8" t="e">
        <f t="shared" si="31"/>
        <v>#N/A</v>
      </c>
      <c r="N36" s="83">
        <v>3.0000000000000001E-3</v>
      </c>
      <c r="O36" s="85">
        <v>5.0000000000000001E-3</v>
      </c>
      <c r="P36" s="3">
        <v>0</v>
      </c>
      <c r="Q36" s="3">
        <v>0</v>
      </c>
      <c r="R36" s="3">
        <f t="shared" si="26"/>
        <v>0</v>
      </c>
      <c r="S36" s="11" t="e">
        <f t="shared" si="32"/>
        <v>#N/A</v>
      </c>
      <c r="T36" s="3">
        <v>0</v>
      </c>
      <c r="U36" s="3">
        <v>0</v>
      </c>
      <c r="V36" s="3" t="e">
        <f>VLOOKUP($D36,Uncertainties!C$27:I$33,7,FALSE)</f>
        <v>#N/A</v>
      </c>
      <c r="W36" s="3" t="e">
        <f t="shared" si="33"/>
        <v>#N/A</v>
      </c>
      <c r="X36" s="10" t="e">
        <f t="shared" si="27"/>
        <v>#VALUE!</v>
      </c>
      <c r="Y36" s="17" t="e">
        <f t="shared" si="34"/>
        <v>#VALUE!</v>
      </c>
      <c r="AA36" s="83">
        <v>8.0000000000000002E-3</v>
      </c>
      <c r="AB36" s="85">
        <v>5.0000000000000001E-3</v>
      </c>
      <c r="AC36" s="2">
        <v>0</v>
      </c>
      <c r="AD36" s="11" t="e">
        <f t="shared" si="35"/>
        <v>#N/A</v>
      </c>
      <c r="AE36" s="3">
        <f t="shared" si="28"/>
        <v>-1.3406141055372629E-3</v>
      </c>
      <c r="AF36" s="3" t="e">
        <f t="shared" si="36"/>
        <v>#N/A</v>
      </c>
      <c r="AG36" s="3">
        <v>0</v>
      </c>
      <c r="AH36" s="3">
        <v>0</v>
      </c>
      <c r="AI36" s="3" t="e">
        <f>VLOOKUP($D36,Uncertainties!C$27:P$33,14,FALSE)</f>
        <v>#N/A</v>
      </c>
      <c r="AJ36" s="3" t="e">
        <f t="shared" si="37"/>
        <v>#N/A</v>
      </c>
      <c r="AK36" s="10" t="e">
        <f t="shared" si="29"/>
        <v>#VALUE!</v>
      </c>
      <c r="AL36" s="17" t="e">
        <f t="shared" si="38"/>
        <v>#VALUE!</v>
      </c>
    </row>
    <row r="37" spans="1:38" x14ac:dyDescent="0.2">
      <c r="A37">
        <v>89</v>
      </c>
      <c r="D37" s="7" t="e">
        <f>ROUND(VLOOKUP($A37,' Data (5A)'!$A$9:$AF$263,10,FALSE),0)</f>
        <v>#N/A</v>
      </c>
      <c r="E37" s="10"/>
      <c r="F37" s="10"/>
      <c r="G37" s="8" t="e">
        <f>VLOOKUP($A37,' Data (5A)'!$A$9:$AF$263,28,FALSE)</f>
        <v>#N/A</v>
      </c>
      <c r="H37" s="8" t="e">
        <f>VLOOKUP($A37,' Data (5A)'!$A$9:$AF$263,29,FALSE)</f>
        <v>#N/A</v>
      </c>
      <c r="I37" s="13">
        <f>' Data (5A)'!AF$56</f>
        <v>0</v>
      </c>
      <c r="J37" s="13">
        <f>' Data (5A)'!AG$56</f>
        <v>-3.5744020641437731E-2</v>
      </c>
      <c r="K37" s="8" t="e">
        <f t="shared" si="30"/>
        <v>#N/A</v>
      </c>
      <c r="L37" s="8" t="e">
        <f t="shared" si="31"/>
        <v>#N/A</v>
      </c>
      <c r="N37" s="83">
        <v>3.0000000000000001E-3</v>
      </c>
      <c r="O37" s="85">
        <v>5.0000000000000001E-3</v>
      </c>
      <c r="P37" s="3">
        <v>0</v>
      </c>
      <c r="Q37" s="3">
        <v>0</v>
      </c>
      <c r="R37" s="3">
        <f t="shared" si="26"/>
        <v>0</v>
      </c>
      <c r="S37" s="11" t="e">
        <f t="shared" si="32"/>
        <v>#N/A</v>
      </c>
      <c r="T37" s="3">
        <v>0</v>
      </c>
      <c r="U37" s="3">
        <v>0</v>
      </c>
      <c r="V37" s="3" t="e">
        <f>VLOOKUP($D37,Uncertainties!C$27:I$33,7,FALSE)</f>
        <v>#N/A</v>
      </c>
      <c r="W37" s="3" t="e">
        <f t="shared" si="33"/>
        <v>#N/A</v>
      </c>
      <c r="X37" s="10" t="e">
        <f t="shared" si="27"/>
        <v>#VALUE!</v>
      </c>
      <c r="Y37" s="17" t="e">
        <f t="shared" si="34"/>
        <v>#VALUE!</v>
      </c>
      <c r="AA37" s="83">
        <v>8.0000000000000002E-3</v>
      </c>
      <c r="AB37" s="85">
        <v>5.0000000000000001E-3</v>
      </c>
      <c r="AC37" s="2">
        <v>0</v>
      </c>
      <c r="AD37" s="11" t="e">
        <f t="shared" si="35"/>
        <v>#N/A</v>
      </c>
      <c r="AE37" s="3">
        <f t="shared" si="28"/>
        <v>-1.7872010320718866E-3</v>
      </c>
      <c r="AF37" s="3" t="e">
        <f t="shared" si="36"/>
        <v>#N/A</v>
      </c>
      <c r="AG37" s="3">
        <v>0</v>
      </c>
      <c r="AH37" s="3">
        <v>0</v>
      </c>
      <c r="AI37" s="3" t="e">
        <f>VLOOKUP($D37,Uncertainties!C$27:P$33,14,FALSE)</f>
        <v>#N/A</v>
      </c>
      <c r="AJ37" s="3" t="e">
        <f t="shared" si="37"/>
        <v>#N/A</v>
      </c>
      <c r="AK37" s="10" t="e">
        <f t="shared" si="29"/>
        <v>#VALUE!</v>
      </c>
      <c r="AL37" s="17" t="e">
        <f t="shared" si="38"/>
        <v>#VALUE!</v>
      </c>
    </row>
    <row r="38" spans="1:38" x14ac:dyDescent="0.2">
      <c r="A38">
        <v>90</v>
      </c>
      <c r="D38" s="7" t="e">
        <f>ROUND(VLOOKUP($A38,' Data (5A)'!$A$9:$AF$263,10,FALSE),0)</f>
        <v>#N/A</v>
      </c>
      <c r="E38" s="10"/>
      <c r="F38" s="10"/>
      <c r="G38" s="8" t="e">
        <f>VLOOKUP($A38,' Data (5A)'!$A$9:$AF$263,28,FALSE)</f>
        <v>#N/A</v>
      </c>
      <c r="H38" s="8" t="e">
        <f>VLOOKUP($A38,' Data (5A)'!$A$9:$AF$263,29,FALSE)</f>
        <v>#N/A</v>
      </c>
      <c r="I38" s="13">
        <f>' Data (5A)'!AF$57</f>
        <v>0</v>
      </c>
      <c r="J38" s="13">
        <f>' Data (5A)'!AG$57</f>
        <v>-3.5346826593170622E-2</v>
      </c>
      <c r="K38" s="8" t="e">
        <f t="shared" si="30"/>
        <v>#N/A</v>
      </c>
      <c r="L38" s="8" t="e">
        <f t="shared" si="31"/>
        <v>#N/A</v>
      </c>
      <c r="N38" s="83">
        <v>3.0000000000000001E-3</v>
      </c>
      <c r="O38" s="85">
        <v>5.0000000000000001E-3</v>
      </c>
      <c r="P38" s="3">
        <v>0</v>
      </c>
      <c r="Q38" s="3">
        <v>0</v>
      </c>
      <c r="R38" s="3">
        <f t="shared" si="26"/>
        <v>0</v>
      </c>
      <c r="S38" s="11" t="e">
        <f t="shared" si="32"/>
        <v>#N/A</v>
      </c>
      <c r="T38" s="3">
        <v>0</v>
      </c>
      <c r="U38" s="3">
        <v>0</v>
      </c>
      <c r="V38" s="3" t="e">
        <f>VLOOKUP($D38,Uncertainties!C$27:I$33,7,FALSE)</f>
        <v>#N/A</v>
      </c>
      <c r="W38" s="3" t="e">
        <f t="shared" si="33"/>
        <v>#N/A</v>
      </c>
      <c r="X38" s="10" t="e">
        <f t="shared" si="27"/>
        <v>#VALUE!</v>
      </c>
      <c r="Y38" s="17" t="e">
        <f t="shared" si="34"/>
        <v>#VALUE!</v>
      </c>
      <c r="AA38" s="83">
        <v>8.0000000000000002E-3</v>
      </c>
      <c r="AB38" s="85">
        <v>5.0000000000000001E-3</v>
      </c>
      <c r="AC38" s="2">
        <v>0</v>
      </c>
      <c r="AD38" s="11" t="e">
        <f t="shared" si="35"/>
        <v>#N/A</v>
      </c>
      <c r="AE38" s="3">
        <f t="shared" si="28"/>
        <v>-1.7673413296585311E-3</v>
      </c>
      <c r="AF38" s="3" t="e">
        <f t="shared" si="36"/>
        <v>#N/A</v>
      </c>
      <c r="AG38" s="3">
        <v>0</v>
      </c>
      <c r="AH38" s="3">
        <v>0</v>
      </c>
      <c r="AI38" s="3" t="e">
        <f>VLOOKUP($D38,Uncertainties!C$27:P$33,14,FALSE)</f>
        <v>#N/A</v>
      </c>
      <c r="AJ38" s="3" t="e">
        <f t="shared" si="37"/>
        <v>#N/A</v>
      </c>
      <c r="AK38" s="10" t="e">
        <f t="shared" si="29"/>
        <v>#VALUE!</v>
      </c>
      <c r="AL38" s="17" t="e">
        <f t="shared" si="38"/>
        <v>#VALUE!</v>
      </c>
    </row>
    <row r="39" spans="1:38" x14ac:dyDescent="0.2">
      <c r="A39">
        <v>91</v>
      </c>
      <c r="D39" s="7" t="e">
        <f>ROUND(VLOOKUP($A39,' Data (5A)'!$A$9:$AF$263,10,FALSE),0)</f>
        <v>#N/A</v>
      </c>
      <c r="E39" s="10"/>
      <c r="F39" s="10"/>
      <c r="G39" s="8" t="e">
        <f>VLOOKUP($A39,' Data (5A)'!$A$9:$AF$263,28,FALSE)</f>
        <v>#N/A</v>
      </c>
      <c r="H39" s="8" t="e">
        <f>VLOOKUP($A39,' Data (5A)'!$A$9:$AF$263,29,FALSE)</f>
        <v>#N/A</v>
      </c>
      <c r="I39" s="13">
        <f>' Data (5A)'!AF$58</f>
        <v>0</v>
      </c>
      <c r="J39" s="13">
        <f>' Data (5A)'!AG$58</f>
        <v>-1.5189599601472132E-2</v>
      </c>
      <c r="K39" s="8" t="e">
        <f t="shared" si="30"/>
        <v>#N/A</v>
      </c>
      <c r="L39" s="8" t="e">
        <f t="shared" si="31"/>
        <v>#N/A</v>
      </c>
      <c r="N39" s="83">
        <v>3.0000000000000001E-3</v>
      </c>
      <c r="O39" s="85">
        <v>5.0000000000000001E-3</v>
      </c>
      <c r="P39" s="3">
        <v>0</v>
      </c>
      <c r="Q39" s="3">
        <v>0</v>
      </c>
      <c r="R39" s="3">
        <f t="shared" si="26"/>
        <v>0</v>
      </c>
      <c r="S39" s="11" t="e">
        <f t="shared" si="32"/>
        <v>#N/A</v>
      </c>
      <c r="T39" s="3">
        <v>0</v>
      </c>
      <c r="U39" s="3">
        <v>0</v>
      </c>
      <c r="V39" s="3" t="e">
        <f>VLOOKUP($D39,Uncertainties!C$27:I$33,7,FALSE)</f>
        <v>#N/A</v>
      </c>
      <c r="W39" s="3" t="e">
        <f t="shared" si="33"/>
        <v>#N/A</v>
      </c>
      <c r="X39" s="10" t="e">
        <f t="shared" si="27"/>
        <v>#VALUE!</v>
      </c>
      <c r="Y39" s="17" t="e">
        <f t="shared" si="34"/>
        <v>#VALUE!</v>
      </c>
      <c r="AA39" s="83">
        <v>8.0000000000000002E-3</v>
      </c>
      <c r="AB39" s="85">
        <v>5.0000000000000001E-3</v>
      </c>
      <c r="AC39" s="2">
        <v>0</v>
      </c>
      <c r="AD39" s="11" t="e">
        <f t="shared" si="35"/>
        <v>#N/A</v>
      </c>
      <c r="AE39" s="3">
        <f t="shared" si="28"/>
        <v>-7.5947998007360666E-4</v>
      </c>
      <c r="AF39" s="3" t="e">
        <f t="shared" si="36"/>
        <v>#N/A</v>
      </c>
      <c r="AG39" s="3">
        <v>0</v>
      </c>
      <c r="AH39" s="3">
        <v>0</v>
      </c>
      <c r="AI39" s="3" t="e">
        <f>VLOOKUP($D39,Uncertainties!C$27:P$33,14,FALSE)</f>
        <v>#N/A</v>
      </c>
      <c r="AJ39" s="3" t="e">
        <f t="shared" si="37"/>
        <v>#N/A</v>
      </c>
      <c r="AK39" s="10" t="e">
        <f t="shared" si="29"/>
        <v>#VALUE!</v>
      </c>
      <c r="AL39" s="17" t="e">
        <f t="shared" si="38"/>
        <v>#VALUE!</v>
      </c>
    </row>
    <row r="40" spans="1:38" x14ac:dyDescent="0.2">
      <c r="A40">
        <v>92</v>
      </c>
      <c r="D40" s="7" t="e">
        <f>ROUND(VLOOKUP($A40,' Data (5A)'!$A$9:$AF$263,10,FALSE),0)</f>
        <v>#N/A</v>
      </c>
      <c r="E40" s="10"/>
      <c r="F40" s="10"/>
      <c r="G40" s="8" t="e">
        <f>VLOOKUP($A40,' Data (5A)'!$A$9:$AF$263,28,FALSE)</f>
        <v>#N/A</v>
      </c>
      <c r="H40" s="8" t="e">
        <f>VLOOKUP($A40,' Data (5A)'!$A$9:$AF$263,29,FALSE)</f>
        <v>#N/A</v>
      </c>
      <c r="I40" s="13">
        <f>' Data (5A)'!AF$59</f>
        <v>0</v>
      </c>
      <c r="J40" s="13">
        <f>' Data (5A)'!AG$59</f>
        <v>-9.2989117774152155E-3</v>
      </c>
      <c r="K40" s="8" t="e">
        <f t="shared" si="30"/>
        <v>#N/A</v>
      </c>
      <c r="L40" s="8" t="e">
        <f t="shared" si="31"/>
        <v>#N/A</v>
      </c>
      <c r="N40" s="83">
        <v>3.0000000000000001E-3</v>
      </c>
      <c r="O40" s="85">
        <v>5.0000000000000001E-3</v>
      </c>
      <c r="P40" s="3">
        <v>0</v>
      </c>
      <c r="Q40" s="3">
        <v>0</v>
      </c>
      <c r="R40" s="3">
        <f t="shared" si="26"/>
        <v>0</v>
      </c>
      <c r="S40" s="11" t="e">
        <f t="shared" si="32"/>
        <v>#N/A</v>
      </c>
      <c r="T40" s="3">
        <v>0</v>
      </c>
      <c r="U40" s="3">
        <v>0</v>
      </c>
      <c r="V40" s="3" t="e">
        <f>VLOOKUP($D40,Uncertainties!C$27:I$33,7,FALSE)</f>
        <v>#N/A</v>
      </c>
      <c r="W40" s="3" t="e">
        <f t="shared" si="33"/>
        <v>#N/A</v>
      </c>
      <c r="X40" s="10" t="e">
        <f t="shared" si="27"/>
        <v>#VALUE!</v>
      </c>
      <c r="Y40" s="17" t="e">
        <f t="shared" si="34"/>
        <v>#VALUE!</v>
      </c>
      <c r="AA40" s="83">
        <v>8.0000000000000002E-3</v>
      </c>
      <c r="AB40" s="85">
        <v>5.0000000000000001E-3</v>
      </c>
      <c r="AC40" s="2">
        <v>0</v>
      </c>
      <c r="AD40" s="11" t="e">
        <f t="shared" si="35"/>
        <v>#N/A</v>
      </c>
      <c r="AE40" s="3">
        <f t="shared" si="28"/>
        <v>-4.6494558887076078E-4</v>
      </c>
      <c r="AF40" s="3" t="e">
        <f t="shared" si="36"/>
        <v>#N/A</v>
      </c>
      <c r="AG40" s="3">
        <v>0</v>
      </c>
      <c r="AH40" s="3">
        <v>0</v>
      </c>
      <c r="AI40" s="3" t="e">
        <f>VLOOKUP($D40,Uncertainties!C$27:P$33,14,FALSE)</f>
        <v>#N/A</v>
      </c>
      <c r="AJ40" s="3" t="e">
        <f t="shared" si="37"/>
        <v>#N/A</v>
      </c>
      <c r="AK40" s="10" t="e">
        <f t="shared" si="29"/>
        <v>#VALUE!</v>
      </c>
      <c r="AL40" s="17" t="e">
        <f t="shared" si="38"/>
        <v>#VALUE!</v>
      </c>
    </row>
    <row r="41" spans="1:38" x14ac:dyDescent="0.2">
      <c r="D41" s="7"/>
      <c r="E41" s="10"/>
      <c r="F41" s="10"/>
      <c r="G41" s="8"/>
      <c r="H41" s="8"/>
      <c r="I41" s="8"/>
      <c r="J41" s="8"/>
      <c r="K41" s="8"/>
      <c r="L41" s="8"/>
      <c r="O41" s="13"/>
      <c r="P41" s="3"/>
      <c r="Q41" s="3"/>
      <c r="R41" s="3"/>
      <c r="S41" s="11"/>
      <c r="T41" s="3"/>
      <c r="U41" s="3"/>
      <c r="V41" s="3"/>
      <c r="W41" s="3"/>
      <c r="X41" s="10"/>
      <c r="Y41" s="17"/>
      <c r="AB41" s="13"/>
      <c r="AC41" s="2"/>
      <c r="AD41" s="11"/>
      <c r="AE41" s="3"/>
      <c r="AF41" s="3"/>
      <c r="AG41" s="3"/>
      <c r="AH41" s="3"/>
      <c r="AI41" s="3"/>
      <c r="AJ41" s="3"/>
      <c r="AK41" s="10"/>
      <c r="AL41" s="17"/>
    </row>
    <row r="42" spans="1:38" x14ac:dyDescent="0.2">
      <c r="H42" s="58" t="s">
        <v>149</v>
      </c>
      <c r="I42" s="40"/>
      <c r="J42" s="40"/>
      <c r="K42" s="40"/>
      <c r="L42" s="40"/>
      <c r="M42" s="40"/>
      <c r="N42" s="40"/>
    </row>
    <row r="43" spans="1:38" x14ac:dyDescent="0.2">
      <c r="H43" s="58" t="s">
        <v>108</v>
      </c>
      <c r="I43" s="40"/>
      <c r="J43" s="40"/>
      <c r="K43" s="56"/>
      <c r="L43" s="40"/>
      <c r="M43" s="40"/>
      <c r="N43" s="40"/>
      <c r="O43" s="55" t="s">
        <v>144</v>
      </c>
      <c r="P43" t="s">
        <v>145</v>
      </c>
      <c r="R43" s="43" t="s">
        <v>174</v>
      </c>
    </row>
    <row r="44" spans="1:38" x14ac:dyDescent="0.2">
      <c r="H44" s="57" t="s">
        <v>150</v>
      </c>
      <c r="I44" s="56"/>
      <c r="N44" s="10" t="e">
        <f t="shared" ref="N44:N45" si="39">G49</f>
        <v>#N/A</v>
      </c>
      <c r="O44" s="55">
        <f t="shared" ref="O44:O45" si="40">K9</f>
        <v>-7.3052151605169188E-2</v>
      </c>
      <c r="P44" s="2">
        <f t="shared" ref="P44:P45" si="41">H49</f>
        <v>-0.26820216388770779</v>
      </c>
      <c r="R44" s="2" t="e">
        <f t="shared" ref="R44:R49" si="42">(O44-P44)/(W9*Y9)</f>
        <v>#N/A</v>
      </c>
    </row>
    <row r="45" spans="1:38" x14ac:dyDescent="0.2">
      <c r="H45" s="57" t="s">
        <v>105</v>
      </c>
      <c r="I45" s="56"/>
      <c r="N45" s="10" t="e">
        <f t="shared" si="39"/>
        <v>#N/A</v>
      </c>
      <c r="O45" s="55">
        <f t="shared" si="40"/>
        <v>-7.5057671674103169E-2</v>
      </c>
      <c r="P45" s="2">
        <f t="shared" si="41"/>
        <v>-0.28310442799286606</v>
      </c>
      <c r="R45" s="2" t="e">
        <f t="shared" si="42"/>
        <v>#N/A</v>
      </c>
    </row>
    <row r="46" spans="1:38" x14ac:dyDescent="0.2">
      <c r="H46" s="57" t="s">
        <v>106</v>
      </c>
      <c r="I46" s="56"/>
      <c r="N46" s="10" t="e">
        <f>G51</f>
        <v>#N/A</v>
      </c>
      <c r="O46" s="55">
        <f>K11</f>
        <v>-7.5879944769966054E-2</v>
      </c>
      <c r="P46" s="2">
        <f>H51</f>
        <v>-0.30374312915094409</v>
      </c>
      <c r="R46" s="2" t="e">
        <f t="shared" si="42"/>
        <v>#N/A</v>
      </c>
    </row>
    <row r="47" spans="1:38" x14ac:dyDescent="0.2">
      <c r="H47" s="57" t="s">
        <v>107</v>
      </c>
      <c r="I47" s="56"/>
      <c r="J47" s="6" t="s">
        <v>117</v>
      </c>
      <c r="N47" s="10" t="e">
        <f>G52</f>
        <v>#N/A</v>
      </c>
      <c r="O47" s="55">
        <f>K12</f>
        <v>-9.9889022813507949E-2</v>
      </c>
      <c r="P47" s="2">
        <f>H52</f>
        <v>-0.32785737920093161</v>
      </c>
      <c r="R47" s="2" t="e">
        <f t="shared" si="42"/>
        <v>#N/A</v>
      </c>
    </row>
    <row r="48" spans="1:38" x14ac:dyDescent="0.2">
      <c r="H48" s="56" t="s">
        <v>6</v>
      </c>
      <c r="I48" s="56" t="s">
        <v>7</v>
      </c>
      <c r="J48" t="s">
        <v>6</v>
      </c>
      <c r="K48" t="s">
        <v>7</v>
      </c>
      <c r="N48" s="10" t="e">
        <f>G53</f>
        <v>#N/A</v>
      </c>
      <c r="O48" s="55">
        <f>K13</f>
        <v>-0.12730880684602658</v>
      </c>
      <c r="P48" s="2">
        <f>H53</f>
        <v>-0.34631461456884238</v>
      </c>
      <c r="R48" s="2" t="e">
        <f t="shared" si="42"/>
        <v>#N/A</v>
      </c>
    </row>
    <row r="49" spans="7:18" x14ac:dyDescent="0.2">
      <c r="G49" s="118" t="e">
        <f>D34</f>
        <v>#N/A</v>
      </c>
      <c r="H49" s="41">
        <v>-0.26820216388770779</v>
      </c>
      <c r="I49" s="41">
        <v>0.86789572493107492</v>
      </c>
      <c r="J49" s="2">
        <f t="shared" ref="J49:K55" si="43">K9-H49</f>
        <v>0.19515001228253859</v>
      </c>
      <c r="K49" s="2">
        <f t="shared" si="43"/>
        <v>-0.67012715563942782</v>
      </c>
      <c r="L49" s="2"/>
      <c r="N49" s="10" t="e">
        <f>G54</f>
        <v>#N/A</v>
      </c>
      <c r="O49" s="55">
        <f>K14</f>
        <v>-0.19036706039425999</v>
      </c>
      <c r="P49" s="2">
        <f>H54</f>
        <v>-0.36464616947711775</v>
      </c>
      <c r="R49" s="2" t="e">
        <f t="shared" si="42"/>
        <v>#N/A</v>
      </c>
    </row>
    <row r="50" spans="7:18" x14ac:dyDescent="0.2">
      <c r="G50" s="118" t="e">
        <f t="shared" ref="G50:G55" si="44">D35</f>
        <v>#N/A</v>
      </c>
      <c r="H50" s="41">
        <v>-0.28310442799286606</v>
      </c>
      <c r="I50" s="41">
        <v>0.83264106207730548</v>
      </c>
      <c r="J50" s="2">
        <f t="shared" si="43"/>
        <v>0.2080467563187629</v>
      </c>
      <c r="K50" s="2">
        <f t="shared" si="43"/>
        <v>-0.64175167786756782</v>
      </c>
      <c r="L50" s="2"/>
      <c r="N50" s="55"/>
      <c r="O50" s="55"/>
      <c r="R50" s="2"/>
    </row>
    <row r="51" spans="7:18" x14ac:dyDescent="0.2">
      <c r="G51" s="118" t="e">
        <f t="shared" si="44"/>
        <v>#N/A</v>
      </c>
      <c r="H51" s="41">
        <v>-0.30374312915094409</v>
      </c>
      <c r="I51" s="41">
        <v>0.77029712424801888</v>
      </c>
      <c r="J51" s="2">
        <f t="shared" si="43"/>
        <v>0.22786318438097802</v>
      </c>
      <c r="K51" s="2">
        <f t="shared" si="43"/>
        <v>-0.58941694607817963</v>
      </c>
      <c r="L51" s="2"/>
      <c r="M51" s="2"/>
    </row>
    <row r="52" spans="7:18" x14ac:dyDescent="0.2">
      <c r="G52" s="118" t="e">
        <f t="shared" si="44"/>
        <v>#N/A</v>
      </c>
      <c r="H52" s="41">
        <v>-0.32785737920093161</v>
      </c>
      <c r="I52" s="41">
        <v>0.68648817899622894</v>
      </c>
      <c r="J52" s="2">
        <f t="shared" si="43"/>
        <v>0.22796835638742366</v>
      </c>
      <c r="K52" s="2">
        <f t="shared" si="43"/>
        <v>-0.40340540647984285</v>
      </c>
      <c r="L52" s="2"/>
      <c r="M52" s="2"/>
    </row>
    <row r="53" spans="7:18" x14ac:dyDescent="0.2">
      <c r="G53" s="118" t="e">
        <f t="shared" si="44"/>
        <v>#N/A</v>
      </c>
      <c r="H53" s="41">
        <v>-0.34631461456884238</v>
      </c>
      <c r="I53" s="41">
        <v>0.61886365702704804</v>
      </c>
      <c r="J53" s="2">
        <f t="shared" si="43"/>
        <v>0.2190058077228158</v>
      </c>
      <c r="K53" s="2">
        <f t="shared" si="43"/>
        <v>-0.23504000368132372</v>
      </c>
      <c r="L53" s="2"/>
      <c r="M53" s="2"/>
      <c r="O53" s="55" t="s">
        <v>144</v>
      </c>
      <c r="P53" t="s">
        <v>145</v>
      </c>
    </row>
    <row r="54" spans="7:18" x14ac:dyDescent="0.2">
      <c r="G54" s="118" t="e">
        <f t="shared" si="44"/>
        <v>#N/A</v>
      </c>
      <c r="H54" s="41">
        <v>-0.36464616947711775</v>
      </c>
      <c r="I54" s="41">
        <v>0.53889735029053265</v>
      </c>
      <c r="J54" s="2">
        <f t="shared" si="43"/>
        <v>0.17427910908285776</v>
      </c>
      <c r="K54" s="2">
        <f t="shared" si="43"/>
        <v>0.24988197552832814</v>
      </c>
      <c r="L54" s="2"/>
      <c r="M54" s="2"/>
      <c r="N54" s="119" t="e">
        <f t="shared" ref="N54:N55" si="45">G49</f>
        <v>#N/A</v>
      </c>
      <c r="O54" s="55">
        <f t="shared" ref="O54:O55" si="46">L9</f>
        <v>0.1977685692916471</v>
      </c>
      <c r="P54" s="2">
        <f t="shared" ref="P54:P55" si="47">I49</f>
        <v>0.86789572493107492</v>
      </c>
      <c r="R54" s="2" t="e">
        <f>(O54-P54)/(AJ9*AL9)</f>
        <v>#N/A</v>
      </c>
    </row>
    <row r="55" spans="7:18" x14ac:dyDescent="0.2">
      <c r="G55" s="118" t="e">
        <f t="shared" si="44"/>
        <v>#N/A</v>
      </c>
      <c r="H55" s="41">
        <v>-0.37090314081353298</v>
      </c>
      <c r="I55" s="41">
        <v>0.4814333510725502</v>
      </c>
      <c r="J55" s="2">
        <f>K15-H55</f>
        <v>0.1502263265875326</v>
      </c>
      <c r="K55" s="2">
        <f t="shared" si="43"/>
        <v>0.48621528774613859</v>
      </c>
      <c r="L55" s="2"/>
      <c r="M55" s="2"/>
      <c r="N55" s="119" t="e">
        <f t="shared" si="45"/>
        <v>#N/A</v>
      </c>
      <c r="O55" s="55">
        <f t="shared" si="46"/>
        <v>0.19088938420973767</v>
      </c>
      <c r="P55" s="2">
        <f t="shared" si="47"/>
        <v>0.83264106207730548</v>
      </c>
      <c r="R55" s="2" t="e">
        <f t="shared" ref="R55:R59" si="48">(O55-P55)/(AJ10*AL10)</f>
        <v>#N/A</v>
      </c>
    </row>
    <row r="56" spans="7:18" x14ac:dyDescent="0.2">
      <c r="N56" s="119" t="e">
        <f>G51</f>
        <v>#N/A</v>
      </c>
      <c r="O56" s="55">
        <f>L11</f>
        <v>0.18088017816983926</v>
      </c>
      <c r="P56" s="2">
        <f>I51</f>
        <v>0.77029712424801888</v>
      </c>
      <c r="R56" s="2" t="e">
        <f t="shared" si="48"/>
        <v>#N/A</v>
      </c>
    </row>
    <row r="57" spans="7:18" x14ac:dyDescent="0.2">
      <c r="N57" s="119" t="e">
        <f>G52</f>
        <v>#N/A</v>
      </c>
      <c r="O57" s="55">
        <f>L12</f>
        <v>0.28308277251638608</v>
      </c>
      <c r="P57" s="2">
        <f>I52</f>
        <v>0.68648817899622894</v>
      </c>
      <c r="R57" s="2" t="e">
        <f t="shared" si="48"/>
        <v>#N/A</v>
      </c>
    </row>
    <row r="58" spans="7:18" x14ac:dyDescent="0.2">
      <c r="N58" s="119" t="e">
        <f>G53</f>
        <v>#N/A</v>
      </c>
      <c r="O58" s="55">
        <f>L13</f>
        <v>0.38382365334572432</v>
      </c>
      <c r="P58" s="2">
        <f>I53</f>
        <v>0.61886365702704804</v>
      </c>
      <c r="R58" s="2" t="e">
        <f t="shared" si="48"/>
        <v>#N/A</v>
      </c>
    </row>
    <row r="59" spans="7:18" x14ac:dyDescent="0.2">
      <c r="N59" s="119" t="e">
        <f>G54</f>
        <v>#N/A</v>
      </c>
      <c r="O59" s="55">
        <f>L14</f>
        <v>0.78877932581886079</v>
      </c>
      <c r="P59" s="2">
        <f>I54</f>
        <v>0.53889735029053265</v>
      </c>
      <c r="R59" s="2" t="e">
        <f t="shared" si="48"/>
        <v>#N/A</v>
      </c>
    </row>
    <row r="84" spans="8:14" x14ac:dyDescent="0.2">
      <c r="I84" t="s">
        <v>146</v>
      </c>
    </row>
    <row r="85" spans="8:14" x14ac:dyDescent="0.2">
      <c r="I85" s="120">
        <v>1</v>
      </c>
    </row>
    <row r="87" spans="8:14" x14ac:dyDescent="0.2">
      <c r="I87" t="s">
        <v>6</v>
      </c>
      <c r="J87" t="s">
        <v>7</v>
      </c>
    </row>
    <row r="88" spans="8:14" x14ac:dyDescent="0.2">
      <c r="H88">
        <v>30</v>
      </c>
      <c r="I88" s="2">
        <f>tables!E14</f>
        <v>-9.9017207034306831E-2</v>
      </c>
      <c r="J88" s="2">
        <f>tables!F14</f>
        <v>0.21459007142083189</v>
      </c>
      <c r="K88" t="s">
        <v>147</v>
      </c>
    </row>
    <row r="89" spans="8:14" x14ac:dyDescent="0.2">
      <c r="H89">
        <v>20</v>
      </c>
      <c r="I89" s="2">
        <f>tables!E41</f>
        <v>-0.19036706039425999</v>
      </c>
      <c r="J89" s="2">
        <f>tables!F41</f>
        <v>0.78877932581886079</v>
      </c>
      <c r="K89" t="s">
        <v>148</v>
      </c>
    </row>
    <row r="90" spans="8:14" x14ac:dyDescent="0.2">
      <c r="H90">
        <v>15</v>
      </c>
      <c r="I90" s="2" t="e">
        <f>tables!E27</f>
        <v>#N/A</v>
      </c>
      <c r="J90" s="2" t="e">
        <f>tables!F27</f>
        <v>#N/A</v>
      </c>
      <c r="K90" t="s">
        <v>147</v>
      </c>
    </row>
    <row r="91" spans="8:14" x14ac:dyDescent="0.2">
      <c r="H91">
        <v>10</v>
      </c>
      <c r="I91">
        <f>I96</f>
        <v>-0.37</v>
      </c>
      <c r="J91">
        <f>J96</f>
        <v>0.51</v>
      </c>
      <c r="K91" t="s">
        <v>148</v>
      </c>
    </row>
    <row r="93" spans="8:14" x14ac:dyDescent="0.2">
      <c r="H93" s="40" t="s">
        <v>78</v>
      </c>
      <c r="I93" s="40"/>
      <c r="J93" s="40"/>
      <c r="K93" s="40"/>
      <c r="L93" s="40"/>
      <c r="M93" s="40"/>
      <c r="N93" s="40"/>
    </row>
    <row r="94" spans="8:14" x14ac:dyDescent="0.2">
      <c r="H94" s="58" t="s">
        <v>108</v>
      </c>
      <c r="I94" s="40"/>
      <c r="J94" s="40"/>
      <c r="K94" s="56"/>
      <c r="L94" s="40"/>
      <c r="M94" s="40"/>
      <c r="N94" s="40"/>
    </row>
    <row r="95" spans="8:14" x14ac:dyDescent="0.2">
      <c r="H95" s="121">
        <v>20</v>
      </c>
      <c r="I95" s="41">
        <v>-0.29054447966290969</v>
      </c>
      <c r="J95" s="41">
        <v>0.50868229409863364</v>
      </c>
      <c r="K95" t="s">
        <v>148</v>
      </c>
    </row>
    <row r="96" spans="8:14" x14ac:dyDescent="0.2">
      <c r="H96" s="121">
        <v>10</v>
      </c>
      <c r="I96" s="41">
        <v>-0.37</v>
      </c>
      <c r="J96" s="41">
        <v>0.51</v>
      </c>
      <c r="K96" t="s">
        <v>148</v>
      </c>
    </row>
  </sheetData>
  <mergeCells count="3">
    <mergeCell ref="I21:J21"/>
    <mergeCell ref="I33:J33"/>
    <mergeCell ref="I8:J8"/>
  </mergeCells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4F71B-C438-4229-8C53-A86313C6BC7D}">
  <dimension ref="A2:K59"/>
  <sheetViews>
    <sheetView topLeftCell="A12" workbookViewId="0">
      <selection activeCell="B27" sqref="B27:B32"/>
    </sheetView>
  </sheetViews>
  <sheetFormatPr defaultRowHeight="12.75" x14ac:dyDescent="0.2"/>
  <sheetData>
    <row r="2" spans="1:11" x14ac:dyDescent="0.2">
      <c r="C2" s="5" t="s">
        <v>271</v>
      </c>
    </row>
    <row r="3" spans="1:11" x14ac:dyDescent="0.2">
      <c r="C3" s="43" t="s">
        <v>272</v>
      </c>
      <c r="D3">
        <v>9.9992700000000004E-2</v>
      </c>
      <c r="E3" s="43" t="s">
        <v>275</v>
      </c>
    </row>
    <row r="4" spans="1:11" x14ac:dyDescent="0.2">
      <c r="C4" s="43" t="s">
        <v>273</v>
      </c>
      <c r="D4">
        <v>0.1000646</v>
      </c>
      <c r="E4" s="43" t="s">
        <v>275</v>
      </c>
    </row>
    <row r="5" spans="1:11" x14ac:dyDescent="0.2">
      <c r="C5" s="43" t="s">
        <v>274</v>
      </c>
      <c r="D5">
        <v>0.19999402020000001</v>
      </c>
      <c r="E5" s="43" t="s">
        <v>275</v>
      </c>
    </row>
    <row r="9" spans="1:11" x14ac:dyDescent="0.2">
      <c r="B9" s="5" t="s">
        <v>270</v>
      </c>
    </row>
    <row r="11" spans="1:11" x14ac:dyDescent="0.2">
      <c r="B11" s="5" t="s">
        <v>220</v>
      </c>
      <c r="C11" s="179"/>
      <c r="D11" s="180"/>
      <c r="E11" s="180"/>
      <c r="F11" s="180"/>
      <c r="H11" s="181"/>
      <c r="I11" s="181"/>
    </row>
    <row r="12" spans="1:11" x14ac:dyDescent="0.2">
      <c r="C12" s="179"/>
      <c r="D12" s="180"/>
      <c r="E12" s="180"/>
      <c r="F12" s="180"/>
      <c r="H12" s="181"/>
      <c r="I12" s="181"/>
    </row>
    <row r="13" spans="1:11" x14ac:dyDescent="0.2">
      <c r="C13" s="191" t="s">
        <v>221</v>
      </c>
      <c r="D13" s="191"/>
      <c r="E13" s="89"/>
      <c r="F13" s="89"/>
      <c r="G13" s="89"/>
      <c r="H13" s="22" t="s">
        <v>45</v>
      </c>
      <c r="I13" s="22" t="s">
        <v>46</v>
      </c>
      <c r="J13" s="89"/>
      <c r="K13" s="89"/>
    </row>
    <row r="14" spans="1:11" x14ac:dyDescent="0.2">
      <c r="B14" t="s">
        <v>222</v>
      </c>
      <c r="C14" s="89" t="s">
        <v>45</v>
      </c>
      <c r="D14" s="103" t="s">
        <v>46</v>
      </c>
      <c r="E14" s="89" t="s">
        <v>223</v>
      </c>
      <c r="F14" s="89" t="s">
        <v>224</v>
      </c>
      <c r="G14" s="89" t="s">
        <v>225</v>
      </c>
      <c r="H14" s="22" t="s">
        <v>226</v>
      </c>
      <c r="I14" s="22" t="s">
        <v>226</v>
      </c>
      <c r="J14" s="89"/>
      <c r="K14" s="89" t="s">
        <v>227</v>
      </c>
    </row>
    <row r="15" spans="1:11" x14ac:dyDescent="0.2">
      <c r="A15" t="str">
        <f t="shared" ref="A15:A32" si="0">B15&amp;",1"</f>
        <v>26,1</v>
      </c>
      <c r="B15">
        <v>26</v>
      </c>
      <c r="C15" s="179">
        <v>1.0014524839449512</v>
      </c>
      <c r="D15" s="180">
        <v>1.4315315693930162E-4</v>
      </c>
      <c r="E15" s="180">
        <v>4.6380663545639699E-5</v>
      </c>
      <c r="F15" s="180">
        <v>4.0781452772341952E-5</v>
      </c>
      <c r="G15">
        <v>22</v>
      </c>
      <c r="H15" s="181">
        <v>5.0224612089187293E-4</v>
      </c>
      <c r="I15" s="181">
        <v>4.1014210695310297E-5</v>
      </c>
      <c r="K15" t="s">
        <v>228</v>
      </c>
    </row>
    <row r="16" spans="1:11" x14ac:dyDescent="0.2">
      <c r="A16" t="str">
        <f t="shared" si="0"/>
        <v>25,1</v>
      </c>
      <c r="B16">
        <v>25</v>
      </c>
      <c r="C16" s="179">
        <v>1.0013632772160181</v>
      </c>
      <c r="D16" s="180">
        <v>1.4640034517620075E-4</v>
      </c>
      <c r="E16" s="180">
        <v>8.3538290032424847E-5</v>
      </c>
      <c r="F16" s="180">
        <v>4.4578863384377805E-5</v>
      </c>
      <c r="G16">
        <v>22</v>
      </c>
      <c r="H16" s="181">
        <v>5.0702923574636361E-4</v>
      </c>
      <c r="I16" s="181">
        <v>4.4791892674674602E-5</v>
      </c>
      <c r="K16" t="s">
        <v>229</v>
      </c>
    </row>
    <row r="17" spans="1:11" x14ac:dyDescent="0.2">
      <c r="A17" t="str">
        <f t="shared" si="0"/>
        <v>24,1</v>
      </c>
      <c r="B17">
        <v>24</v>
      </c>
      <c r="C17" s="179">
        <v>1.0009923539786605</v>
      </c>
      <c r="D17" s="180">
        <v>1.3229109448185692E-4</v>
      </c>
      <c r="E17" s="180">
        <v>1.835163940878008E-4</v>
      </c>
      <c r="F17" s="180">
        <v>3.8860036110906743E-5</v>
      </c>
      <c r="G17">
        <v>22</v>
      </c>
      <c r="H17" s="181">
        <v>5.3270842578186138E-4</v>
      </c>
      <c r="I17" s="181">
        <v>3.9104232447108901E-5</v>
      </c>
      <c r="K17" t="s">
        <v>230</v>
      </c>
    </row>
    <row r="18" spans="1:11" x14ac:dyDescent="0.2">
      <c r="A18" t="str">
        <f t="shared" si="0"/>
        <v>23,1</v>
      </c>
      <c r="B18">
        <v>23</v>
      </c>
      <c r="C18" s="179">
        <v>1.0009112935249094</v>
      </c>
      <c r="D18" s="180">
        <v>1.5367695478302065E-4</v>
      </c>
      <c r="E18" s="180">
        <v>1.1081979531896724E-4</v>
      </c>
      <c r="F18" s="180">
        <v>4.2203068849597609E-5</v>
      </c>
      <c r="G18">
        <v>44</v>
      </c>
      <c r="H18" s="181">
        <v>5.1223141941366486E-4</v>
      </c>
      <c r="I18" s="181">
        <v>4.242802857852842E-5</v>
      </c>
      <c r="K18" t="s">
        <v>231</v>
      </c>
    </row>
    <row r="19" spans="1:11" x14ac:dyDescent="0.2">
      <c r="A19" t="str">
        <f t="shared" si="0"/>
        <v>22,1</v>
      </c>
      <c r="B19">
        <v>22</v>
      </c>
      <c r="C19" s="179">
        <v>1.0004372294468233</v>
      </c>
      <c r="D19" s="180">
        <v>1.9320118959926836E-4</v>
      </c>
      <c r="E19" s="180">
        <v>1.8945974143379975E-4</v>
      </c>
      <c r="F19" s="180">
        <v>3.1712411120682566E-5</v>
      </c>
      <c r="G19">
        <v>22</v>
      </c>
      <c r="H19" s="181">
        <v>5.3478499756833334E-4</v>
      </c>
      <c r="I19" s="181">
        <v>3.2011179419442508E-5</v>
      </c>
      <c r="K19" t="s">
        <v>232</v>
      </c>
    </row>
    <row r="20" spans="1:11" x14ac:dyDescent="0.2">
      <c r="A20" t="str">
        <f t="shared" si="0"/>
        <v>21,1</v>
      </c>
      <c r="B20">
        <v>21</v>
      </c>
      <c r="C20" s="179">
        <v>0.99943920337967707</v>
      </c>
      <c r="D20" s="180">
        <v>5.0636382900854769E-5</v>
      </c>
      <c r="E20" s="180">
        <v>4.8110156071737666E-4</v>
      </c>
      <c r="F20" s="180">
        <v>8.511125351196067E-5</v>
      </c>
      <c r="G20">
        <v>44</v>
      </c>
      <c r="H20" s="181">
        <v>6.9394431457048169E-4</v>
      </c>
      <c r="I20" s="181">
        <v>8.5223025428071873E-5</v>
      </c>
      <c r="K20" t="s">
        <v>233</v>
      </c>
    </row>
    <row r="21" spans="1:11" x14ac:dyDescent="0.2">
      <c r="A21" t="str">
        <f t="shared" si="0"/>
        <v>20,1</v>
      </c>
      <c r="B21">
        <v>20</v>
      </c>
      <c r="C21" s="179">
        <v>0.99947524245749575</v>
      </c>
      <c r="D21" s="180">
        <v>5.1024584713591989E-5</v>
      </c>
      <c r="E21" s="180">
        <v>2.7762747931393573E-4</v>
      </c>
      <c r="F21" s="180">
        <v>5.0240045613397147E-5</v>
      </c>
      <c r="G21">
        <v>22</v>
      </c>
      <c r="H21" s="181">
        <v>5.7199389618265144E-4</v>
      </c>
      <c r="I21" s="181">
        <v>5.0429165886149395E-5</v>
      </c>
      <c r="K21" t="s">
        <v>234</v>
      </c>
    </row>
    <row r="22" spans="1:11" x14ac:dyDescent="0.2">
      <c r="A22" t="str">
        <f t="shared" si="0"/>
        <v>19,1</v>
      </c>
      <c r="B22">
        <v>19</v>
      </c>
      <c r="C22" s="179">
        <v>0.99870131845225174</v>
      </c>
      <c r="D22" s="180">
        <v>1.8373671156545042E-5</v>
      </c>
      <c r="E22" s="180">
        <v>7.8430740376814957E-5</v>
      </c>
      <c r="F22" s="180">
        <v>5.0452608247587907E-5</v>
      </c>
      <c r="G22">
        <v>22</v>
      </c>
      <c r="H22" s="181">
        <v>5.0621278237126264E-4</v>
      </c>
      <c r="I22" s="181">
        <v>5.0640934704259992E-5</v>
      </c>
      <c r="K22" t="s">
        <v>235</v>
      </c>
    </row>
    <row r="23" spans="1:11" x14ac:dyDescent="0.2">
      <c r="A23" t="str">
        <f t="shared" si="0"/>
        <v>18,1</v>
      </c>
      <c r="B23">
        <v>18</v>
      </c>
      <c r="C23" s="179">
        <v>0.99786992029563959</v>
      </c>
      <c r="D23" s="180">
        <v>3.8524047186163619E-5</v>
      </c>
      <c r="E23" s="180">
        <v>8.6862112411384656E-4</v>
      </c>
      <c r="F23" s="180">
        <v>1.6902512144017554E-4</v>
      </c>
      <c r="G23">
        <v>44</v>
      </c>
      <c r="H23" s="181">
        <v>1.0022986866482478E-3</v>
      </c>
      <c r="I23" s="181">
        <v>1.6908143087460148E-4</v>
      </c>
      <c r="K23" t="s">
        <v>236</v>
      </c>
    </row>
    <row r="24" spans="1:11" x14ac:dyDescent="0.2">
      <c r="A24" t="str">
        <f t="shared" si="0"/>
        <v>17,1</v>
      </c>
      <c r="B24">
        <v>17</v>
      </c>
      <c r="C24" s="179">
        <v>0.99520419756607237</v>
      </c>
      <c r="D24" s="180">
        <v>5.4950063616585211E-6</v>
      </c>
      <c r="E24" s="180">
        <v>1.6617552032162494E-3</v>
      </c>
      <c r="F24" s="180">
        <v>1.7748453178910874E-5</v>
      </c>
      <c r="G24">
        <v>22</v>
      </c>
      <c r="H24" s="181">
        <v>1.7353761423438661E-3</v>
      </c>
      <c r="I24" s="181">
        <v>1.8276930239527094E-5</v>
      </c>
      <c r="K24" t="s">
        <v>237</v>
      </c>
    </row>
    <row r="25" spans="1:11" x14ac:dyDescent="0.2">
      <c r="A25" t="str">
        <f t="shared" si="0"/>
        <v>16,1</v>
      </c>
      <c r="B25">
        <v>16</v>
      </c>
      <c r="C25" s="179">
        <v>0.9966633075004292</v>
      </c>
      <c r="D25" s="180">
        <v>5.1115740718113127E-6</v>
      </c>
      <c r="E25" s="180">
        <v>1.2950539063422864E-3</v>
      </c>
      <c r="F25" s="180">
        <v>1.7079354805806765E-5</v>
      </c>
      <c r="G25">
        <v>22</v>
      </c>
      <c r="H25" s="181">
        <v>1.3882595651867182E-3</v>
      </c>
      <c r="I25" s="181">
        <v>1.7627902578559454E-5</v>
      </c>
      <c r="K25" t="s">
        <v>238</v>
      </c>
    </row>
    <row r="26" spans="1:11" x14ac:dyDescent="0.2">
      <c r="A26" t="str">
        <f t="shared" si="0"/>
        <v>15,1</v>
      </c>
      <c r="B26">
        <v>15</v>
      </c>
      <c r="C26" s="179">
        <v>0.99659357233524604</v>
      </c>
      <c r="D26" s="180">
        <v>3.1796644392846644E-5</v>
      </c>
      <c r="E26" s="180">
        <v>3.758046932412642E-3</v>
      </c>
      <c r="F26" s="180">
        <v>1.8423697321344489E-4</v>
      </c>
      <c r="G26">
        <v>66</v>
      </c>
      <c r="H26" s="181">
        <v>3.7911761692403676E-3</v>
      </c>
      <c r="I26" s="181">
        <v>1.8428863472169998E-4</v>
      </c>
      <c r="K26" t="s">
        <v>239</v>
      </c>
    </row>
    <row r="27" spans="1:11" x14ac:dyDescent="0.2">
      <c r="A27" t="str">
        <f t="shared" si="0"/>
        <v>14,1</v>
      </c>
      <c r="B27">
        <v>14</v>
      </c>
      <c r="C27" s="179">
        <v>0.99369905746444864</v>
      </c>
      <c r="D27" s="180">
        <v>8.9784740924235424E-5</v>
      </c>
      <c r="E27" s="180">
        <v>6.2665304135475549E-3</v>
      </c>
      <c r="F27" s="180">
        <v>2.4104644684529392E-4</v>
      </c>
      <c r="G27">
        <v>22</v>
      </c>
      <c r="H27" s="181">
        <v>6.2864539626021673E-3</v>
      </c>
      <c r="I27" s="181">
        <v>2.4108593514653162E-4</v>
      </c>
      <c r="K27" t="s">
        <v>240</v>
      </c>
    </row>
    <row r="28" spans="1:11" x14ac:dyDescent="0.2">
      <c r="A28" t="str">
        <f t="shared" si="0"/>
        <v>13,1</v>
      </c>
      <c r="B28">
        <v>13</v>
      </c>
      <c r="C28" s="179">
        <v>1.000409916282643</v>
      </c>
      <c r="D28" s="180">
        <v>-7.0507061346368138E-5</v>
      </c>
      <c r="E28" s="180">
        <v>8.3406823583287194E-3</v>
      </c>
      <c r="F28" s="180">
        <v>5.8191589454835026E-5</v>
      </c>
      <c r="G28">
        <v>22</v>
      </c>
      <c r="H28" s="181">
        <v>8.3556616855001934E-3</v>
      </c>
      <c r="I28" s="181">
        <v>5.8354945566049631E-5</v>
      </c>
      <c r="K28" t="s">
        <v>241</v>
      </c>
    </row>
    <row r="29" spans="1:11" x14ac:dyDescent="0.2">
      <c r="A29" t="str">
        <f t="shared" si="0"/>
        <v>12,1</v>
      </c>
      <c r="B29">
        <v>12</v>
      </c>
      <c r="C29" s="179">
        <v>1.0033014728677232</v>
      </c>
      <c r="D29" s="180">
        <v>-1.1639650509139207E-4</v>
      </c>
      <c r="E29" s="180">
        <v>6.7536139145403856E-3</v>
      </c>
      <c r="F29" s="180">
        <v>3.6563728810267522E-4</v>
      </c>
      <c r="G29">
        <v>44</v>
      </c>
      <c r="H29" s="181">
        <v>6.7721046142741699E-3</v>
      </c>
      <c r="I29" s="181">
        <v>3.6566332197776586E-4</v>
      </c>
      <c r="K29" t="s">
        <v>242</v>
      </c>
    </row>
    <row r="30" spans="1:11" x14ac:dyDescent="0.2">
      <c r="A30" t="str">
        <f t="shared" si="0"/>
        <v>11,1</v>
      </c>
      <c r="B30">
        <v>11</v>
      </c>
      <c r="C30" s="179">
        <v>1.0014538869894722</v>
      </c>
      <c r="D30" s="180">
        <v>-1.6494401832275451E-4</v>
      </c>
      <c r="E30" s="180">
        <v>1.0176604684378128E-2</v>
      </c>
      <c r="F30" s="180">
        <v>3.9439015398329876E-4</v>
      </c>
      <c r="G30">
        <v>22</v>
      </c>
      <c r="H30" s="181">
        <v>1.018888526297685E-2</v>
      </c>
      <c r="I30" s="181">
        <v>3.9441428998922778E-4</v>
      </c>
      <c r="K30" t="s">
        <v>243</v>
      </c>
    </row>
    <row r="31" spans="1:11" x14ac:dyDescent="0.2">
      <c r="A31" t="str">
        <f t="shared" si="0"/>
        <v>10,1</v>
      </c>
      <c r="B31">
        <v>10</v>
      </c>
      <c r="C31" s="179">
        <v>0.99248924126722049</v>
      </c>
      <c r="D31" s="180">
        <v>-2.7303958893031477E-4</v>
      </c>
      <c r="E31" s="180">
        <v>1.0742368776654536E-2</v>
      </c>
      <c r="F31" s="180">
        <v>1.4891317259371143E-3</v>
      </c>
      <c r="G31">
        <v>22</v>
      </c>
      <c r="H31" s="181">
        <v>1.0754003298011502E-2</v>
      </c>
      <c r="I31" s="181">
        <v>1.4891381184366967E-3</v>
      </c>
      <c r="K31" t="s">
        <v>244</v>
      </c>
    </row>
    <row r="32" spans="1:11" x14ac:dyDescent="0.2">
      <c r="A32" t="str">
        <f t="shared" si="0"/>
        <v>9,1</v>
      </c>
      <c r="B32">
        <v>9</v>
      </c>
      <c r="C32" s="179">
        <v>0.99371490585295241</v>
      </c>
      <c r="D32" s="180">
        <v>1.4986286639243325E-2</v>
      </c>
      <c r="E32" s="180">
        <v>6.0995812041339812E-3</v>
      </c>
      <c r="F32" s="180">
        <v>2.0896034307120281E-2</v>
      </c>
      <c r="G32">
        <v>44</v>
      </c>
      <c r="H32" s="181">
        <v>6.1200482731612951E-3</v>
      </c>
      <c r="I32" s="181">
        <v>2.0896034762675347E-2</v>
      </c>
      <c r="K32" t="s">
        <v>245</v>
      </c>
    </row>
    <row r="33" spans="1:11" x14ac:dyDescent="0.2">
      <c r="A33" t="str">
        <f>B33&amp;",1"</f>
        <v>8,1</v>
      </c>
      <c r="B33">
        <v>8</v>
      </c>
      <c r="C33" s="179">
        <v>0.99904738569924345</v>
      </c>
      <c r="D33" s="180">
        <v>-1.1844458223459616E-2</v>
      </c>
      <c r="E33" s="180">
        <v>4.2104181313701713E-3</v>
      </c>
      <c r="F33" s="180">
        <v>2.4571986292960049E-2</v>
      </c>
      <c r="G33">
        <v>22</v>
      </c>
      <c r="H33" s="181">
        <v>4.2400142500905215E-3</v>
      </c>
      <c r="I33" s="181">
        <v>2.4571986680364397E-2</v>
      </c>
      <c r="K33" t="s">
        <v>246</v>
      </c>
    </row>
    <row r="34" spans="1:11" x14ac:dyDescent="0.2">
      <c r="C34" s="179"/>
      <c r="D34" s="180"/>
      <c r="E34" s="180"/>
      <c r="F34" s="180"/>
      <c r="H34" s="181"/>
      <c r="I34" s="181"/>
    </row>
    <row r="35" spans="1:11" x14ac:dyDescent="0.2">
      <c r="B35" t="s">
        <v>248</v>
      </c>
      <c r="C35" s="179"/>
      <c r="D35" s="180"/>
      <c r="E35" s="180"/>
      <c r="F35" s="180"/>
      <c r="H35" s="181"/>
      <c r="I35" s="181"/>
    </row>
    <row r="36" spans="1:11" x14ac:dyDescent="0.2">
      <c r="C36" s="179"/>
      <c r="D36" s="180"/>
      <c r="E36" s="180"/>
      <c r="F36" s="180"/>
      <c r="H36" s="181"/>
      <c r="I36" s="181"/>
    </row>
    <row r="37" spans="1:11" x14ac:dyDescent="0.2">
      <c r="C37" t="s">
        <v>221</v>
      </c>
      <c r="H37" t="s">
        <v>45</v>
      </c>
      <c r="I37" t="s">
        <v>46</v>
      </c>
    </row>
    <row r="38" spans="1:11" x14ac:dyDescent="0.2">
      <c r="B38" t="s">
        <v>222</v>
      </c>
      <c r="C38" t="s">
        <v>45</v>
      </c>
      <c r="D38" s="2" t="s">
        <v>46</v>
      </c>
      <c r="E38" t="s">
        <v>223</v>
      </c>
      <c r="F38" t="s">
        <v>224</v>
      </c>
      <c r="G38" t="s">
        <v>225</v>
      </c>
      <c r="H38" t="s">
        <v>226</v>
      </c>
      <c r="I38" t="s">
        <v>226</v>
      </c>
      <c r="K38" t="s">
        <v>227</v>
      </c>
    </row>
    <row r="39" spans="1:11" x14ac:dyDescent="0.2">
      <c r="A39" t="str">
        <f>B39&amp;",2"</f>
        <v>26,2</v>
      </c>
      <c r="B39">
        <v>26</v>
      </c>
      <c r="C39" s="182">
        <v>1.0014637304160539</v>
      </c>
      <c r="D39" s="180">
        <v>1.4280599960629677E-4</v>
      </c>
      <c r="E39" s="180">
        <v>5.5424129769649104E-5</v>
      </c>
      <c r="F39" s="180">
        <v>4.2991617819128778E-5</v>
      </c>
      <c r="G39">
        <v>22</v>
      </c>
      <c r="H39" s="181">
        <v>5.031618369478382E-4</v>
      </c>
      <c r="I39" s="181">
        <v>4.3212472637452483E-5</v>
      </c>
      <c r="K39" t="s">
        <v>249</v>
      </c>
    </row>
    <row r="40" spans="1:11" x14ac:dyDescent="0.2">
      <c r="A40" t="str">
        <f t="shared" ref="A40:A59" si="1">B40&amp;",2"</f>
        <v>25,2</v>
      </c>
      <c r="B40">
        <v>25</v>
      </c>
      <c r="C40" s="182">
        <v>1.0013632706482738</v>
      </c>
      <c r="D40" s="180">
        <v>1.3968816188110873E-4</v>
      </c>
      <c r="E40" s="180">
        <v>8.3864117161028934E-5</v>
      </c>
      <c r="F40" s="180">
        <v>3.639160892902157E-5</v>
      </c>
      <c r="G40">
        <v>22</v>
      </c>
      <c r="H40" s="181">
        <v>5.0708302096126113E-4</v>
      </c>
      <c r="I40" s="181">
        <v>3.6652254898974372E-5</v>
      </c>
      <c r="K40" t="s">
        <v>250</v>
      </c>
    </row>
    <row r="41" spans="1:11" x14ac:dyDescent="0.2">
      <c r="A41" t="str">
        <f t="shared" si="1"/>
        <v>24,2</v>
      </c>
      <c r="B41">
        <v>24</v>
      </c>
      <c r="C41" s="179">
        <v>1.001107440262091</v>
      </c>
      <c r="D41" s="180">
        <v>1.2217542864520435E-4</v>
      </c>
      <c r="E41" s="180">
        <v>5.0987420224845059E-5</v>
      </c>
      <c r="F41" s="180">
        <v>3.8555220138713559E-5</v>
      </c>
      <c r="G41">
        <v>22</v>
      </c>
      <c r="H41" s="181">
        <v>5.0269246763919679E-4</v>
      </c>
      <c r="I41" s="181">
        <v>3.8801334882722942E-5</v>
      </c>
      <c r="K41" t="s">
        <v>251</v>
      </c>
    </row>
    <row r="42" spans="1:11" x14ac:dyDescent="0.2">
      <c r="A42" t="str">
        <f t="shared" si="1"/>
        <v>23,2</v>
      </c>
      <c r="B42">
        <v>23</v>
      </c>
      <c r="C42" s="179">
        <v>1.0008123750014017</v>
      </c>
      <c r="D42" s="180">
        <v>1.0660835722876958E-4</v>
      </c>
      <c r="E42" s="180">
        <v>2.5867133315979357E-4</v>
      </c>
      <c r="F42" s="180">
        <v>3.353977921987238E-4</v>
      </c>
      <c r="G42">
        <v>44</v>
      </c>
      <c r="H42" s="181">
        <v>5.6303717337194078E-4</v>
      </c>
      <c r="I42" s="181">
        <v>3.3542617310000552E-4</v>
      </c>
      <c r="K42" t="s">
        <v>252</v>
      </c>
    </row>
    <row r="43" spans="1:11" x14ac:dyDescent="0.2">
      <c r="A43" t="str">
        <f t="shared" si="1"/>
        <v>22,2</v>
      </c>
      <c r="B43">
        <v>22</v>
      </c>
      <c r="C43" s="179">
        <v>1.0005142589206557</v>
      </c>
      <c r="D43" s="180">
        <v>8.25174969359698E-5</v>
      </c>
      <c r="E43" s="180">
        <v>7.1365692711234841E-5</v>
      </c>
      <c r="F43" s="180">
        <v>2.9056466657210278E-5</v>
      </c>
      <c r="G43">
        <v>22</v>
      </c>
      <c r="H43" s="181">
        <v>5.0516637070984285E-4</v>
      </c>
      <c r="I43" s="181">
        <v>2.9382253884583483E-5</v>
      </c>
      <c r="K43" t="s">
        <v>253</v>
      </c>
    </row>
    <row r="44" spans="1:11" x14ac:dyDescent="0.2">
      <c r="A44" t="str">
        <f t="shared" si="1"/>
        <v>21,2</v>
      </c>
      <c r="B44">
        <v>21</v>
      </c>
      <c r="C44" s="179">
        <v>1.0002791780206206</v>
      </c>
      <c r="D44" s="180">
        <v>9.4562414449936115E-5</v>
      </c>
      <c r="E44" s="180">
        <v>9.3347059863431973E-5</v>
      </c>
      <c r="F44" s="180">
        <v>3.6614726732930987E-5</v>
      </c>
      <c r="G44">
        <v>44</v>
      </c>
      <c r="H44" s="181">
        <v>5.0873733260411232E-4</v>
      </c>
      <c r="I44" s="181">
        <v>3.6873795606958601E-5</v>
      </c>
      <c r="K44" t="s">
        <v>254</v>
      </c>
    </row>
    <row r="45" spans="1:11" x14ac:dyDescent="0.2">
      <c r="A45" t="str">
        <f t="shared" si="1"/>
        <v>20,2</v>
      </c>
      <c r="B45">
        <v>20</v>
      </c>
      <c r="C45" s="179">
        <v>0.99978386191106983</v>
      </c>
      <c r="D45" s="180">
        <v>8.5510256747743508E-5</v>
      </c>
      <c r="E45" s="180">
        <v>7.3709663368427079E-5</v>
      </c>
      <c r="F45" s="180">
        <v>3.4713085436672349E-5</v>
      </c>
      <c r="G45">
        <v>22</v>
      </c>
      <c r="H45" s="181">
        <v>5.0550283329956402E-4</v>
      </c>
      <c r="I45" s="181">
        <v>3.4986238569904344E-5</v>
      </c>
      <c r="K45" t="s">
        <v>255</v>
      </c>
    </row>
    <row r="46" spans="1:11" x14ac:dyDescent="0.2">
      <c r="A46" t="str">
        <f t="shared" si="1"/>
        <v>19,2</v>
      </c>
      <c r="B46">
        <v>19</v>
      </c>
      <c r="C46" s="179">
        <v>0.99957809166400124</v>
      </c>
      <c r="D46" s="180">
        <v>8.4910553450387121E-5</v>
      </c>
      <c r="E46" s="180">
        <v>8.2651133781941924E-5</v>
      </c>
      <c r="F46" s="180">
        <v>4.1549896587441387E-5</v>
      </c>
      <c r="G46">
        <v>21</v>
      </c>
      <c r="H46" s="181">
        <v>5.0688382289775283E-4</v>
      </c>
      <c r="I46" s="181">
        <v>4.1778373534205735E-5</v>
      </c>
      <c r="K46" t="s">
        <v>256</v>
      </c>
    </row>
    <row r="47" spans="1:11" x14ac:dyDescent="0.2">
      <c r="A47" t="str">
        <f t="shared" si="1"/>
        <v>18,2</v>
      </c>
      <c r="B47">
        <v>18</v>
      </c>
      <c r="C47" s="179">
        <v>0.99902510699634917</v>
      </c>
      <c r="D47" s="180">
        <v>1.6103775401401217E-4</v>
      </c>
      <c r="E47" s="180">
        <v>4.3024457782159145E-4</v>
      </c>
      <c r="F47" s="180">
        <v>3.6853190415145999E-4</v>
      </c>
      <c r="G47">
        <v>44</v>
      </c>
      <c r="H47" s="181">
        <v>6.5970477999244444E-4</v>
      </c>
      <c r="I47" s="181">
        <v>3.6855773355912294E-4</v>
      </c>
      <c r="K47" t="s">
        <v>257</v>
      </c>
    </row>
    <row r="48" spans="1:11" x14ac:dyDescent="0.2">
      <c r="A48" t="str">
        <f t="shared" si="1"/>
        <v>17,2</v>
      </c>
      <c r="B48">
        <v>17</v>
      </c>
      <c r="C48" s="179">
        <v>0.99845847533159326</v>
      </c>
      <c r="D48" s="180">
        <v>2.2194881919258174E-4</v>
      </c>
      <c r="E48" s="180">
        <v>1.4385164521270961E-4</v>
      </c>
      <c r="F48" s="180">
        <v>7.3003504254202391E-5</v>
      </c>
      <c r="G48">
        <v>22</v>
      </c>
      <c r="H48" s="181">
        <v>5.2037803165622132E-4</v>
      </c>
      <c r="I48" s="181">
        <v>7.3133783042653389E-5</v>
      </c>
      <c r="K48" t="s">
        <v>258</v>
      </c>
    </row>
    <row r="49" spans="1:11" x14ac:dyDescent="0.2">
      <c r="A49" t="str">
        <f t="shared" si="1"/>
        <v>16,2</v>
      </c>
      <c r="B49">
        <v>16</v>
      </c>
      <c r="C49" s="179">
        <v>0.99810759753451805</v>
      </c>
      <c r="D49" s="180">
        <v>3.695780304835506E-5</v>
      </c>
      <c r="E49" s="180">
        <v>1.8192158359537372E-4</v>
      </c>
      <c r="F49" s="180">
        <v>1.9217693512226503E-4</v>
      </c>
      <c r="G49">
        <v>22</v>
      </c>
      <c r="H49" s="181">
        <v>5.3216112463975464E-4</v>
      </c>
      <c r="I49" s="181">
        <v>1.9222646275090174E-4</v>
      </c>
      <c r="K49" t="s">
        <v>259</v>
      </c>
    </row>
    <row r="50" spans="1:11" x14ac:dyDescent="0.2">
      <c r="A50" t="str">
        <f t="shared" si="1"/>
        <v>15,2</v>
      </c>
      <c r="B50">
        <v>15</v>
      </c>
      <c r="C50" s="179">
        <v>0.99722913158348225</v>
      </c>
      <c r="D50" s="180">
        <v>1.096630607921526E-4</v>
      </c>
      <c r="E50" s="180">
        <v>3.2940343755524679E-4</v>
      </c>
      <c r="F50" s="180">
        <v>3.8790484250939548E-4</v>
      </c>
      <c r="G50">
        <v>66</v>
      </c>
      <c r="H50" s="181">
        <v>5.9883772816449481E-4</v>
      </c>
      <c r="I50" s="181">
        <v>3.8792938201556151E-4</v>
      </c>
      <c r="K50" t="s">
        <v>260</v>
      </c>
    </row>
    <row r="51" spans="1:11" x14ac:dyDescent="0.2">
      <c r="A51" t="str">
        <f t="shared" si="1"/>
        <v>14,2</v>
      </c>
      <c r="B51">
        <v>14</v>
      </c>
      <c r="C51" s="179">
        <v>0.99679545048918061</v>
      </c>
      <c r="D51" s="180">
        <v>1.0821601988826399E-4</v>
      </c>
      <c r="E51" s="180">
        <v>1.9615893811040375E-4</v>
      </c>
      <c r="F51" s="180">
        <v>3.5852078187454528E-4</v>
      </c>
      <c r="G51">
        <v>22</v>
      </c>
      <c r="H51" s="181">
        <v>5.3719487060153624E-4</v>
      </c>
      <c r="I51" s="181">
        <v>3.5854733247462852E-4</v>
      </c>
      <c r="K51" t="s">
        <v>261</v>
      </c>
    </row>
    <row r="52" spans="1:11" x14ac:dyDescent="0.2">
      <c r="A52" t="str">
        <f t="shared" si="1"/>
        <v>13,2</v>
      </c>
      <c r="B52">
        <v>13</v>
      </c>
      <c r="C52" s="179">
        <v>0.99687931325373602</v>
      </c>
      <c r="D52" s="180">
        <v>2.7599935785343858E-4</v>
      </c>
      <c r="E52" s="180">
        <v>2.1220050780480125E-4</v>
      </c>
      <c r="F52" s="180">
        <v>9.3733612023298848E-4</v>
      </c>
      <c r="G52">
        <v>22</v>
      </c>
      <c r="H52" s="181">
        <v>5.4325781679844746E-4</v>
      </c>
      <c r="I52" s="181">
        <v>9.3734627586723144E-4</v>
      </c>
      <c r="K52" t="s">
        <v>262</v>
      </c>
    </row>
    <row r="53" spans="1:11" x14ac:dyDescent="0.2">
      <c r="A53" t="str">
        <f t="shared" si="1"/>
        <v>12,2</v>
      </c>
      <c r="B53">
        <v>12</v>
      </c>
      <c r="C53" s="179">
        <v>0.99651316579050342</v>
      </c>
      <c r="D53" s="180">
        <v>-7.8889887128095467E-5</v>
      </c>
      <c r="E53" s="180">
        <v>3.1951559755735243E-4</v>
      </c>
      <c r="F53" s="180">
        <v>9.710529655805255E-4</v>
      </c>
      <c r="G53">
        <v>44</v>
      </c>
      <c r="H53" s="181">
        <v>5.9345616273018178E-4</v>
      </c>
      <c r="I53" s="181">
        <v>9.7106276859504294E-4</v>
      </c>
      <c r="K53" t="s">
        <v>263</v>
      </c>
    </row>
    <row r="54" spans="1:11" x14ac:dyDescent="0.2">
      <c r="A54" t="str">
        <f t="shared" si="1"/>
        <v>11,2</v>
      </c>
      <c r="B54">
        <v>11</v>
      </c>
      <c r="C54" s="179">
        <v>0.99619273869182201</v>
      </c>
      <c r="D54" s="180">
        <v>2.1294180304772538E-6</v>
      </c>
      <c r="E54" s="180">
        <v>5.8558551355333171E-4</v>
      </c>
      <c r="F54" s="180">
        <v>7.9734787131953042E-4</v>
      </c>
      <c r="G54">
        <v>22</v>
      </c>
      <c r="H54" s="181">
        <v>7.700716808736179E-4</v>
      </c>
      <c r="I54" s="181">
        <v>7.9735980992681277E-4</v>
      </c>
      <c r="K54" t="s">
        <v>264</v>
      </c>
    </row>
    <row r="55" spans="1:11" x14ac:dyDescent="0.2">
      <c r="A55" t="str">
        <f t="shared" si="1"/>
        <v>10,2</v>
      </c>
      <c r="B55">
        <v>10</v>
      </c>
      <c r="C55" s="179">
        <v>0.99555219630659486</v>
      </c>
      <c r="D55" s="180">
        <v>-7.5380588749979498E-4</v>
      </c>
      <c r="E55" s="180">
        <v>1.1444414275558852E-3</v>
      </c>
      <c r="F55" s="180">
        <v>3.1435313828699477E-3</v>
      </c>
      <c r="G55">
        <v>22</v>
      </c>
      <c r="H55" s="181">
        <v>1.2489380213229768E-3</v>
      </c>
      <c r="I55" s="181">
        <v>3.143534411085233E-3</v>
      </c>
      <c r="K55" t="s">
        <v>265</v>
      </c>
    </row>
    <row r="56" spans="1:11" x14ac:dyDescent="0.2">
      <c r="A56" t="str">
        <f t="shared" si="1"/>
        <v>9,2</v>
      </c>
      <c r="B56">
        <v>9</v>
      </c>
      <c r="C56" s="179">
        <v>0.9938319406790409</v>
      </c>
      <c r="D56" s="180">
        <v>4.2137291872559558E-3</v>
      </c>
      <c r="E56" s="180">
        <v>3.206556196542574E-3</v>
      </c>
      <c r="F56" s="180">
        <v>9.9272806323154692E-3</v>
      </c>
      <c r="G56">
        <v>44</v>
      </c>
      <c r="H56" s="181">
        <v>3.2453201138848502E-3</v>
      </c>
      <c r="I56" s="181">
        <v>9.9272815912179388E-3</v>
      </c>
      <c r="K56" t="s">
        <v>266</v>
      </c>
    </row>
    <row r="57" spans="1:11" x14ac:dyDescent="0.2">
      <c r="A57" t="str">
        <f t="shared" si="1"/>
        <v>8,2</v>
      </c>
      <c r="B57">
        <v>8</v>
      </c>
      <c r="C57" s="179">
        <v>0.99248229212394889</v>
      </c>
      <c r="D57" s="180">
        <v>5.7802696734538198E-3</v>
      </c>
      <c r="E57" s="180">
        <v>6.2945276355581715E-3</v>
      </c>
      <c r="F57" s="180">
        <v>1.0127194964181154E-2</v>
      </c>
      <c r="G57">
        <v>22</v>
      </c>
      <c r="H57" s="181">
        <v>6.3143628463056779E-3</v>
      </c>
      <c r="I57" s="181">
        <v>1.0127195904154559E-2</v>
      </c>
      <c r="K57" t="s">
        <v>267</v>
      </c>
    </row>
    <row r="58" spans="1:11" x14ac:dyDescent="0.2">
      <c r="A58" t="str">
        <f t="shared" si="1"/>
        <v>7,2</v>
      </c>
      <c r="B58">
        <v>7</v>
      </c>
      <c r="C58" s="179">
        <v>0.98681055814951824</v>
      </c>
      <c r="D58" s="180">
        <v>-1.9803054681944245E-2</v>
      </c>
      <c r="E58" s="180">
        <v>1.197565683132896E-2</v>
      </c>
      <c r="F58" s="180">
        <v>2.2820889123528573E-2</v>
      </c>
      <c r="G58">
        <v>22</v>
      </c>
      <c r="H58" s="181">
        <v>1.1986094298884687E-2</v>
      </c>
      <c r="I58" s="181">
        <v>2.2820889540659309E-2</v>
      </c>
      <c r="K58" t="s">
        <v>268</v>
      </c>
    </row>
    <row r="59" spans="1:11" x14ac:dyDescent="0.2">
      <c r="A59" t="str">
        <f t="shared" si="1"/>
        <v>6,2</v>
      </c>
      <c r="B59">
        <v>6</v>
      </c>
      <c r="C59" s="179">
        <v>0.97402361597453002</v>
      </c>
      <c r="D59" s="180">
        <v>2.7332423159575635E-2</v>
      </c>
      <c r="E59" s="180">
        <v>3.1096450104508191E-2</v>
      </c>
      <c r="F59" s="180">
        <v>5.740459605582262E-2</v>
      </c>
      <c r="G59">
        <v>22</v>
      </c>
      <c r="H59" s="181">
        <v>3.1100471203860683E-2</v>
      </c>
      <c r="I59" s="181">
        <v>5.7404596221650707E-2</v>
      </c>
      <c r="K59" t="s">
        <v>269</v>
      </c>
    </row>
  </sheetData>
  <mergeCells count="1">
    <mergeCell ref="C13:D13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P33"/>
  <sheetViews>
    <sheetView workbookViewId="0">
      <selection activeCell="H4" sqref="H4"/>
    </sheetView>
  </sheetViews>
  <sheetFormatPr defaultRowHeight="12.75" x14ac:dyDescent="0.2"/>
  <sheetData>
    <row r="3" spans="2:5" x14ac:dyDescent="0.2">
      <c r="B3" s="5" t="s">
        <v>123</v>
      </c>
    </row>
    <row r="5" spans="2:5" x14ac:dyDescent="0.2">
      <c r="B5" s="6" t="s">
        <v>124</v>
      </c>
      <c r="C5">
        <v>0.05</v>
      </c>
    </row>
    <row r="13" spans="2:5" x14ac:dyDescent="0.2">
      <c r="B13" s="5" t="s">
        <v>119</v>
      </c>
      <c r="E13" s="6" t="s">
        <v>122</v>
      </c>
    </row>
    <row r="14" spans="2:5" x14ac:dyDescent="0.2">
      <c r="B14" t="s">
        <v>120</v>
      </c>
    </row>
    <row r="15" spans="2:5" x14ac:dyDescent="0.2">
      <c r="B15" t="s">
        <v>121</v>
      </c>
    </row>
    <row r="18" spans="2:16" x14ac:dyDescent="0.2">
      <c r="B18" s="5" t="s">
        <v>125</v>
      </c>
    </row>
    <row r="19" spans="2:16" x14ac:dyDescent="0.2">
      <c r="B19" s="6" t="s">
        <v>128</v>
      </c>
    </row>
    <row r="22" spans="2:16" x14ac:dyDescent="0.2">
      <c r="B22" s="20" t="s">
        <v>132</v>
      </c>
      <c r="C22" s="14"/>
      <c r="D22" s="14"/>
      <c r="E22" s="93" t="s">
        <v>133</v>
      </c>
      <c r="F22" s="94" t="s">
        <v>134</v>
      </c>
      <c r="G22" s="14"/>
      <c r="H22" s="14"/>
      <c r="I22" s="14"/>
      <c r="J22" s="14"/>
      <c r="K22" s="14"/>
      <c r="L22" s="14"/>
      <c r="M22" s="14"/>
      <c r="N22" s="14"/>
      <c r="O22" s="14"/>
      <c r="P22" s="15"/>
    </row>
    <row r="23" spans="2:16" x14ac:dyDescent="0.2">
      <c r="B23" s="95"/>
      <c r="C23" s="96"/>
      <c r="D23" s="97" t="s">
        <v>129</v>
      </c>
      <c r="E23" s="89"/>
      <c r="F23" s="89"/>
      <c r="G23" s="96"/>
      <c r="H23" s="89"/>
      <c r="I23" s="96"/>
      <c r="J23" s="89"/>
      <c r="K23" s="89"/>
      <c r="L23" s="89"/>
      <c r="M23" s="89"/>
      <c r="N23" s="89"/>
      <c r="O23" s="89"/>
      <c r="P23" s="90"/>
    </row>
    <row r="24" spans="2:16" x14ac:dyDescent="0.2">
      <c r="B24" s="95"/>
      <c r="C24" s="96"/>
      <c r="D24" s="97" t="s">
        <v>5</v>
      </c>
      <c r="E24" s="97" t="s">
        <v>126</v>
      </c>
      <c r="F24" s="98"/>
      <c r="G24" s="97"/>
      <c r="H24" s="98"/>
      <c r="I24" s="98"/>
      <c r="J24" s="98"/>
      <c r="K24" s="98" t="s">
        <v>3</v>
      </c>
      <c r="L24" s="98" t="s">
        <v>127</v>
      </c>
      <c r="M24" s="89"/>
      <c r="N24" s="89"/>
      <c r="O24" s="89"/>
      <c r="P24" s="90"/>
    </row>
    <row r="25" spans="2:16" x14ac:dyDescent="0.2">
      <c r="B25" s="95"/>
      <c r="C25" s="96"/>
      <c r="D25" s="89"/>
      <c r="E25" s="89"/>
      <c r="F25" s="89"/>
      <c r="G25" s="89"/>
      <c r="H25" s="89"/>
      <c r="I25" s="96"/>
      <c r="J25" s="89"/>
      <c r="K25" s="89"/>
      <c r="L25" s="89"/>
      <c r="M25" s="89"/>
      <c r="N25" s="89"/>
      <c r="O25" s="89"/>
      <c r="P25" s="90"/>
    </row>
    <row r="26" spans="2:16" x14ac:dyDescent="0.2">
      <c r="B26" s="95"/>
      <c r="C26" s="96"/>
      <c r="D26" s="98">
        <v>1</v>
      </c>
      <c r="E26" s="98">
        <v>2</v>
      </c>
      <c r="F26" s="98">
        <v>3</v>
      </c>
      <c r="G26" s="99">
        <v>4</v>
      </c>
      <c r="H26" s="98">
        <v>5</v>
      </c>
      <c r="I26" s="100" t="s">
        <v>130</v>
      </c>
      <c r="J26" s="98"/>
      <c r="K26" s="98">
        <v>1</v>
      </c>
      <c r="L26" s="98">
        <v>2</v>
      </c>
      <c r="M26" s="98">
        <v>3</v>
      </c>
      <c r="N26" s="99">
        <v>4</v>
      </c>
      <c r="O26" s="98">
        <v>5</v>
      </c>
      <c r="P26" s="101" t="s">
        <v>130</v>
      </c>
    </row>
    <row r="27" spans="2:16" x14ac:dyDescent="0.2">
      <c r="B27" s="102" t="s">
        <v>131</v>
      </c>
      <c r="C27" s="99">
        <v>5</v>
      </c>
      <c r="D27" s="103">
        <v>-2.1347763830012335E-2</v>
      </c>
      <c r="E27" s="103">
        <v>-1.7515407110732545E-2</v>
      </c>
      <c r="F27" s="103">
        <v>-2.68345658323173E-2</v>
      </c>
      <c r="G27" s="103">
        <v>-2.6881455960432621E-2</v>
      </c>
      <c r="H27" s="103">
        <v>-2.0674889061993124E-2</v>
      </c>
      <c r="I27" s="104">
        <v>4.1041665967721666E-3</v>
      </c>
      <c r="J27" s="89"/>
      <c r="K27" s="103">
        <v>7.4225618912946753E-2</v>
      </c>
      <c r="L27" s="103">
        <v>6.3045260307795142E-2</v>
      </c>
      <c r="M27" s="103">
        <v>8.8353946292686905E-2</v>
      </c>
      <c r="N27" s="103">
        <v>8.8481818245857519E-2</v>
      </c>
      <c r="O27" s="103">
        <v>7.5052532952732925E-2</v>
      </c>
      <c r="P27" s="105">
        <v>1.0764630447179128E-2</v>
      </c>
    </row>
    <row r="28" spans="2:16" x14ac:dyDescent="0.2">
      <c r="B28" s="88"/>
      <c r="C28" s="99">
        <v>10</v>
      </c>
      <c r="D28" s="103">
        <v>-2.3354975141705026E-2</v>
      </c>
      <c r="E28" s="103">
        <v>-1.8165289872893415E-2</v>
      </c>
      <c r="F28" s="103">
        <v>-2.8044331356639033E-2</v>
      </c>
      <c r="G28" s="103">
        <v>-2.7943289120864811E-2</v>
      </c>
      <c r="H28" s="103">
        <v>-2.184176423923203E-2</v>
      </c>
      <c r="I28" s="104">
        <v>4.2112775690065262E-3</v>
      </c>
      <c r="J28" s="89"/>
      <c r="K28" s="103">
        <v>7.3308954389840489E-2</v>
      </c>
      <c r="L28" s="103">
        <v>6.2449633229656798E-2</v>
      </c>
      <c r="M28" s="103">
        <v>8.5035739465018467E-2</v>
      </c>
      <c r="N28" s="103">
        <v>8.5695521285463525E-2</v>
      </c>
      <c r="O28" s="103">
        <v>7.3264079148180422E-2</v>
      </c>
      <c r="P28" s="105">
        <v>9.6692171262401597E-3</v>
      </c>
    </row>
    <row r="29" spans="2:16" x14ac:dyDescent="0.2">
      <c r="B29" s="88"/>
      <c r="C29" s="99">
        <v>20</v>
      </c>
      <c r="D29" s="103">
        <v>-2.3681514184490153E-2</v>
      </c>
      <c r="E29" s="103">
        <v>-1.934993815937602E-2</v>
      </c>
      <c r="F29" s="103">
        <v>-3.0393745167443378E-2</v>
      </c>
      <c r="G29" s="103">
        <v>-3.0245829800528701E-2</v>
      </c>
      <c r="H29" s="103">
        <v>-2.3502639825690633E-2</v>
      </c>
      <c r="I29" s="104">
        <v>4.7846092474376333E-3</v>
      </c>
      <c r="J29" s="89"/>
      <c r="K29" s="103">
        <v>6.9039758465929441E-2</v>
      </c>
      <c r="L29" s="103">
        <v>6.0260352584634046E-2</v>
      </c>
      <c r="M29" s="103">
        <v>7.8647968286300274E-2</v>
      </c>
      <c r="N29" s="103">
        <v>7.9601568165924813E-2</v>
      </c>
      <c r="O29" s="103">
        <v>7.0082476863430956E-2</v>
      </c>
      <c r="P29" s="105">
        <v>7.9233389469002893E-3</v>
      </c>
    </row>
    <row r="30" spans="2:16" x14ac:dyDescent="0.2">
      <c r="B30" s="88"/>
      <c r="C30" s="99">
        <v>40</v>
      </c>
      <c r="D30" s="103">
        <v>-2.57001384885478E-2</v>
      </c>
      <c r="E30" s="103">
        <v>-2.0637145064778192E-2</v>
      </c>
      <c r="F30" s="103">
        <v>-3.3123041740408588E-2</v>
      </c>
      <c r="G30" s="103">
        <v>-3.2874909522977724E-2</v>
      </c>
      <c r="H30" s="103">
        <v>-2.5521264129748276E-2</v>
      </c>
      <c r="I30" s="104">
        <v>5.3557564232640234E-3</v>
      </c>
      <c r="J30" s="89"/>
      <c r="K30" s="103">
        <v>6.3638093661196771E-2</v>
      </c>
      <c r="L30" s="103">
        <v>5.6251633136197722E-2</v>
      </c>
      <c r="M30" s="103">
        <v>7.0250987218909378E-2</v>
      </c>
      <c r="N30" s="103">
        <v>7.1853786966813715E-2</v>
      </c>
      <c r="O30" s="103">
        <v>6.4267355038805207E-2</v>
      </c>
      <c r="P30" s="105">
        <v>6.1877759884734207E-3</v>
      </c>
    </row>
    <row r="31" spans="2:16" x14ac:dyDescent="0.2">
      <c r="B31" s="88"/>
      <c r="C31" s="99">
        <v>60</v>
      </c>
      <c r="D31" s="103">
        <v>-2.7209157545978802E-2</v>
      </c>
      <c r="E31" s="103">
        <v>-2.1886676113421662E-2</v>
      </c>
      <c r="F31" s="103">
        <v>-3.502245555121293E-2</v>
      </c>
      <c r="G31" s="103">
        <v>-3.4041784700216633E-2</v>
      </c>
      <c r="H31" s="103">
        <v>-2.7209157545978802E-2</v>
      </c>
      <c r="I31" s="104">
        <v>5.4469236170876702E-3</v>
      </c>
      <c r="J31" s="89"/>
      <c r="K31" s="103">
        <v>5.8586858939159589E-2</v>
      </c>
      <c r="L31" s="103">
        <v>5.2897412157259266E-2</v>
      </c>
      <c r="M31" s="103">
        <v>6.2757147097635024E-2</v>
      </c>
      <c r="N31" s="103">
        <v>6.4627364966453396E-2</v>
      </c>
      <c r="O31" s="103">
        <v>5.9368897737285729E-2</v>
      </c>
      <c r="P31" s="105">
        <v>4.5065292830192907E-3</v>
      </c>
    </row>
    <row r="32" spans="2:16" x14ac:dyDescent="0.2">
      <c r="B32" s="88"/>
      <c r="C32" s="99">
        <v>100</v>
      </c>
      <c r="D32" s="103">
        <v>-2.9670775901993254E-2</v>
      </c>
      <c r="E32" s="103">
        <v>-2.4303062353949915E-2</v>
      </c>
      <c r="F32" s="103">
        <v>-3.5866986599856411E-2</v>
      </c>
      <c r="G32" s="103">
        <v>-3.5577821587419546E-2</v>
      </c>
      <c r="H32" s="103">
        <v>-2.9686380739400213E-2</v>
      </c>
      <c r="I32" s="104">
        <v>4.8213900746369798E-3</v>
      </c>
      <c r="J32" s="89"/>
      <c r="K32" s="103">
        <v>5.1162784276621513E-2</v>
      </c>
      <c r="L32" s="103">
        <v>4.6617683432351099E-2</v>
      </c>
      <c r="M32" s="103">
        <v>5.3028311851158839E-2</v>
      </c>
      <c r="N32" s="103">
        <v>5.4398841647983767E-2</v>
      </c>
      <c r="O32" s="103">
        <v>5.1315561697139231E-2</v>
      </c>
      <c r="P32" s="105">
        <v>2.9382364049526017E-3</v>
      </c>
    </row>
    <row r="33" spans="2:16" x14ac:dyDescent="0.2">
      <c r="B33" s="16"/>
      <c r="C33" s="106">
        <v>125</v>
      </c>
      <c r="D33" s="107">
        <v>-3.0549542858583911E-2</v>
      </c>
      <c r="E33" s="107">
        <v>-2.5437476164754259E-2</v>
      </c>
      <c r="F33" s="107">
        <v>-3.6331634886339018E-2</v>
      </c>
      <c r="G33" s="107">
        <v>-3.6009402647011392E-2</v>
      </c>
      <c r="H33" s="107">
        <v>-3.0670189712797599E-2</v>
      </c>
      <c r="I33" s="108">
        <v>4.5159885040346988E-3</v>
      </c>
      <c r="J33" s="91"/>
      <c r="K33" s="107">
        <v>4.8268585137369868E-2</v>
      </c>
      <c r="L33" s="107">
        <v>4.3971982149815542E-2</v>
      </c>
      <c r="M33" s="107">
        <v>4.7069253905409378E-2</v>
      </c>
      <c r="N33" s="107">
        <v>4.9742912250302078E-2</v>
      </c>
      <c r="O33" s="107">
        <v>4.7657475455299025E-2</v>
      </c>
      <c r="P33" s="109">
        <v>2.1303682279884195E-3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AG86"/>
  <sheetViews>
    <sheetView topLeftCell="A28" workbookViewId="0">
      <selection activeCell="K52" sqref="K52"/>
    </sheetView>
  </sheetViews>
  <sheetFormatPr defaultRowHeight="12.75" x14ac:dyDescent="0.2"/>
  <cols>
    <col min="3" max="4" width="10.28515625" customWidth="1"/>
    <col min="6" max="6" width="9.7109375" customWidth="1"/>
    <col min="12" max="13" width="10.140625" customWidth="1"/>
    <col min="22" max="22" width="11.42578125" customWidth="1"/>
    <col min="23" max="24" width="10.28515625" customWidth="1"/>
    <col min="25" max="28" width="11.28515625" customWidth="1"/>
  </cols>
  <sheetData>
    <row r="2" spans="2:33" x14ac:dyDescent="0.2">
      <c r="B2" s="5" t="s">
        <v>172</v>
      </c>
    </row>
    <row r="3" spans="2:33" x14ac:dyDescent="0.2">
      <c r="B3" s="5" t="s">
        <v>173</v>
      </c>
      <c r="K3" s="89"/>
      <c r="L3" s="5" t="s">
        <v>153</v>
      </c>
      <c r="M3" s="155">
        <v>41117</v>
      </c>
      <c r="X3" s="5" t="s">
        <v>104</v>
      </c>
      <c r="Y3" s="4">
        <v>36586</v>
      </c>
      <c r="AG3" s="89"/>
    </row>
    <row r="4" spans="2:33" x14ac:dyDescent="0.2">
      <c r="K4" s="98"/>
      <c r="L4" t="s">
        <v>164</v>
      </c>
      <c r="X4" t="s">
        <v>165</v>
      </c>
      <c r="AG4" s="89"/>
    </row>
    <row r="5" spans="2:33" x14ac:dyDescent="0.2">
      <c r="K5" s="89"/>
      <c r="L5" s="89"/>
      <c r="M5" s="89"/>
      <c r="N5" s="89"/>
      <c r="O5" s="89"/>
      <c r="P5" s="89"/>
      <c r="Q5" s="89"/>
      <c r="R5" s="89"/>
      <c r="S5" s="89"/>
      <c r="AG5" s="89"/>
    </row>
    <row r="6" spans="2:33" ht="15" x14ac:dyDescent="0.2">
      <c r="B6" s="157" t="str">
        <f>'New Format'!D11</f>
        <v>Table3.</v>
      </c>
      <c r="D6" t="str">
        <f>'New Format'!G12</f>
        <v>Range 30:5</v>
      </c>
      <c r="K6" s="89"/>
      <c r="L6" s="194" t="s">
        <v>166</v>
      </c>
      <c r="M6" s="195"/>
      <c r="N6" s="195"/>
      <c r="O6" s="195"/>
      <c r="P6" s="195"/>
      <c r="Q6" s="195"/>
      <c r="R6" s="195"/>
      <c r="S6" s="196"/>
      <c r="X6" s="35" t="s">
        <v>102</v>
      </c>
      <c r="Y6" s="33"/>
      <c r="Z6" s="33"/>
      <c r="AA6" s="33"/>
      <c r="AB6" s="33"/>
      <c r="AC6" s="34"/>
      <c r="AD6" s="33"/>
      <c r="AE6" s="34"/>
      <c r="AG6" s="89"/>
    </row>
    <row r="7" spans="2:33" ht="15" x14ac:dyDescent="0.25">
      <c r="D7" s="197" t="str">
        <f>'New Format'!F13</f>
        <v>Error</v>
      </c>
      <c r="E7" s="199"/>
      <c r="F7" s="197" t="str">
        <f>'New Format'!H13</f>
        <v>Expanded Uncertainty</v>
      </c>
      <c r="G7" s="199"/>
      <c r="K7" s="89"/>
      <c r="L7" s="73"/>
      <c r="M7" s="72"/>
      <c r="N7" s="197" t="s">
        <v>137</v>
      </c>
      <c r="O7" s="198"/>
      <c r="P7" s="197" t="s">
        <v>109</v>
      </c>
      <c r="Q7" s="199"/>
      <c r="R7" s="200" t="s">
        <v>76</v>
      </c>
      <c r="S7" s="201"/>
      <c r="X7" s="37"/>
      <c r="Z7" s="202" t="s">
        <v>75</v>
      </c>
      <c r="AA7" s="203"/>
      <c r="AB7" s="192" t="s">
        <v>74</v>
      </c>
      <c r="AC7" s="193"/>
      <c r="AD7" s="192" t="s">
        <v>76</v>
      </c>
      <c r="AE7" s="193"/>
      <c r="AG7" s="89"/>
    </row>
    <row r="8" spans="2:33" ht="60" x14ac:dyDescent="0.2">
      <c r="B8" s="110" t="str">
        <f>'New Format'!D14</f>
        <v>Burden
(Ω)</v>
      </c>
      <c r="C8" s="110" t="str">
        <f>'New Format'!E14</f>
        <v>Primary current
(% of rated)</v>
      </c>
      <c r="D8" s="110" t="str">
        <f>'New Format'!F14</f>
        <v>Magnitude
(mA/A)</v>
      </c>
      <c r="E8" s="110" t="str">
        <f>'New Format'!G14</f>
        <v>Phase
(mrad)</v>
      </c>
      <c r="F8" s="110" t="str">
        <f>'New Format'!H14</f>
        <v>Magnitude
(mA/A)</v>
      </c>
      <c r="G8" s="110" t="str">
        <f>'New Format'!I14</f>
        <v>Phase
(mrad)</v>
      </c>
      <c r="H8" s="92"/>
      <c r="K8" s="89"/>
      <c r="L8" s="129" t="s">
        <v>151</v>
      </c>
      <c r="M8" s="129" t="s">
        <v>73</v>
      </c>
      <c r="N8" s="110" t="s">
        <v>71</v>
      </c>
      <c r="O8" s="130" t="s">
        <v>72</v>
      </c>
      <c r="P8" s="110" t="s">
        <v>71</v>
      </c>
      <c r="Q8" s="130" t="s">
        <v>143</v>
      </c>
      <c r="R8" s="110" t="s">
        <v>141</v>
      </c>
      <c r="S8" s="130" t="s">
        <v>142</v>
      </c>
      <c r="X8" s="156" t="s">
        <v>151</v>
      </c>
      <c r="Y8" s="29" t="s">
        <v>73</v>
      </c>
      <c r="Z8" s="29" t="s">
        <v>71</v>
      </c>
      <c r="AA8" s="30" t="s">
        <v>72</v>
      </c>
      <c r="AB8" s="31" t="s">
        <v>71</v>
      </c>
      <c r="AC8" s="30" t="s">
        <v>72</v>
      </c>
      <c r="AD8" s="31" t="s">
        <v>71</v>
      </c>
      <c r="AE8" s="30" t="s">
        <v>72</v>
      </c>
      <c r="AG8" s="89"/>
    </row>
    <row r="9" spans="2:33" ht="15" x14ac:dyDescent="0.25">
      <c r="B9">
        <f>'New Format'!D15</f>
        <v>0.6</v>
      </c>
      <c r="C9">
        <f>'New Format'!E15</f>
        <v>5</v>
      </c>
      <c r="D9" s="2">
        <f>'New Format'!F15</f>
        <v>-8.0147469453813847E-2</v>
      </c>
      <c r="E9" s="2">
        <f>'New Format'!G15</f>
        <v>0.17899000565931208</v>
      </c>
      <c r="F9" s="2">
        <f>'New Format'!H15</f>
        <v>0.15296721164462806</v>
      </c>
      <c r="G9" s="2">
        <f>'New Format'!I15</f>
        <v>0.30865846088115328</v>
      </c>
      <c r="I9" s="17">
        <f>(D9-N9)/F9</f>
        <v>0.35371638704223224</v>
      </c>
      <c r="J9" s="17">
        <f>(E9-O9)/G9</f>
        <v>-1.1767246284749042</v>
      </c>
      <c r="K9" s="89"/>
      <c r="L9" s="117">
        <v>0.11</v>
      </c>
      <c r="M9" s="76">
        <v>5</v>
      </c>
      <c r="N9" s="111">
        <v>-0.13425447889267617</v>
      </c>
      <c r="O9" s="77">
        <v>0.54219601836532294</v>
      </c>
      <c r="P9" s="111">
        <v>0.15314580143883888</v>
      </c>
      <c r="Q9" s="77">
        <v>0.31049819293229397</v>
      </c>
      <c r="R9" s="114">
        <v>2.1416804090754229</v>
      </c>
      <c r="S9" s="78">
        <v>2.1432395936643585</v>
      </c>
      <c r="U9" s="154">
        <v>0.22966976657379501</v>
      </c>
      <c r="V9" s="154">
        <v>-0.4386478853921143</v>
      </c>
      <c r="X9" s="21">
        <v>0.11</v>
      </c>
      <c r="Y9" s="21">
        <v>5</v>
      </c>
      <c r="Z9" s="26">
        <v>-0.16942743936089105</v>
      </c>
      <c r="AA9" s="24">
        <v>0.67839539411314642</v>
      </c>
      <c r="AB9" s="23">
        <v>4.7454749729057985E-2</v>
      </c>
      <c r="AC9" s="24">
        <v>0.16293493946112564</v>
      </c>
      <c r="AD9" s="38">
        <v>2.3011546684324915</v>
      </c>
      <c r="AE9" s="39">
        <v>2.4943673530064752</v>
      </c>
      <c r="AG9" s="89"/>
    </row>
    <row r="10" spans="2:33" ht="15" x14ac:dyDescent="0.25">
      <c r="B10">
        <f>'New Format'!D16</f>
        <v>0.6</v>
      </c>
      <c r="C10">
        <f>'New Format'!E16</f>
        <v>10</v>
      </c>
      <c r="D10" s="2">
        <f>'New Format'!F16</f>
        <v>-8.5231855725532962E-2</v>
      </c>
      <c r="E10" s="2">
        <f>'New Format'!G16</f>
        <v>0.1617012325905226</v>
      </c>
      <c r="F10" s="2">
        <f>'New Format'!H16</f>
        <v>0.15427292751862154</v>
      </c>
      <c r="G10" s="2">
        <f>'New Format'!I16</f>
        <v>0.28868282229994346</v>
      </c>
      <c r="I10" s="17">
        <f t="shared" ref="I10:I15" si="0">(D10-N10)/F10</f>
        <v>0.29301945661459072</v>
      </c>
      <c r="J10" s="17">
        <f t="shared" ref="J10:J15" si="1">(E10-O10)/G10</f>
        <v>-1.2753493160151097</v>
      </c>
      <c r="K10" s="103"/>
      <c r="L10" s="117">
        <v>0.11</v>
      </c>
      <c r="M10" s="76">
        <v>10</v>
      </c>
      <c r="N10" s="111">
        <v>-0.13043682511738158</v>
      </c>
      <c r="O10" s="77">
        <v>0.52987267255606696</v>
      </c>
      <c r="P10" s="111">
        <v>0.15442215960352573</v>
      </c>
      <c r="Q10" s="77">
        <v>0.2903985475914217</v>
      </c>
      <c r="R10" s="114">
        <v>2.1412921804465905</v>
      </c>
      <c r="S10" s="78">
        <v>2.122049662119851</v>
      </c>
      <c r="T10" s="2"/>
      <c r="U10" s="154">
        <v>0.22712159172873661</v>
      </c>
      <c r="V10" s="154">
        <v>-0.45658517171197666</v>
      </c>
      <c r="W10" s="2"/>
      <c r="X10" s="21">
        <v>0.11</v>
      </c>
      <c r="Y10" s="21">
        <v>10</v>
      </c>
      <c r="Z10" s="26">
        <v>-0.16550943180472336</v>
      </c>
      <c r="AA10" s="24">
        <v>0.66246434327300485</v>
      </c>
      <c r="AB10" s="23">
        <v>3.6163956444630344E-2</v>
      </c>
      <c r="AC10" s="24">
        <v>0.11776096020875158</v>
      </c>
      <c r="AD10" s="38">
        <v>2.2066538187938591</v>
      </c>
      <c r="AE10" s="39">
        <v>2.4570074623896225</v>
      </c>
      <c r="AG10" s="89"/>
    </row>
    <row r="11" spans="2:33" ht="15" x14ac:dyDescent="0.25">
      <c r="B11">
        <f>'New Format'!D17</f>
        <v>0.6</v>
      </c>
      <c r="C11">
        <f>'New Format'!E17</f>
        <v>20</v>
      </c>
      <c r="D11" s="2">
        <f>'New Format'!F17</f>
        <v>-8.679850683409758E-2</v>
      </c>
      <c r="E11" s="2">
        <f>'New Format'!G17</f>
        <v>0.14534147531921182</v>
      </c>
      <c r="F11" s="2">
        <f>'New Format'!H17</f>
        <v>0.16182824213182229</v>
      </c>
      <c r="G11" s="2">
        <f>'New Format'!I17</f>
        <v>0.26026266944766907</v>
      </c>
      <c r="I11" s="17">
        <f t="shared" si="0"/>
        <v>0.32570458587851808</v>
      </c>
      <c r="J11" s="17">
        <f t="shared" si="1"/>
        <v>-1.4019851254344187</v>
      </c>
      <c r="K11" s="103"/>
      <c r="L11" s="117">
        <v>0.11</v>
      </c>
      <c r="M11" s="76">
        <v>20</v>
      </c>
      <c r="N11" s="111">
        <v>-0.13950670742109131</v>
      </c>
      <c r="O11" s="77">
        <v>0.5102258665906988</v>
      </c>
      <c r="P11" s="111">
        <v>0.16200180916080856</v>
      </c>
      <c r="Q11" s="77">
        <v>0.26169583690166326</v>
      </c>
      <c r="R11" s="114">
        <v>2.1419303794835409</v>
      </c>
      <c r="S11" s="78">
        <v>2.0938279463011251</v>
      </c>
      <c r="T11" s="2"/>
      <c r="U11" s="154">
        <v>0.22097832178649213</v>
      </c>
      <c r="V11" s="154">
        <v>-0.4841542904701534</v>
      </c>
      <c r="W11" s="2"/>
      <c r="X11" s="21">
        <v>0.11</v>
      </c>
      <c r="Y11" s="21">
        <v>20</v>
      </c>
      <c r="Z11" s="26">
        <v>-0.17530559533582235</v>
      </c>
      <c r="AA11" s="24">
        <v>0.63692702882481655</v>
      </c>
      <c r="AB11" s="23">
        <v>3.1050772106190516E-2</v>
      </c>
      <c r="AC11" s="24">
        <v>9.7840053711166053E-2</v>
      </c>
      <c r="AD11" s="38">
        <v>2.1503337803109828</v>
      </c>
      <c r="AE11" s="39">
        <v>2.4263646435259396</v>
      </c>
      <c r="AG11" s="89"/>
    </row>
    <row r="12" spans="2:33" ht="15" x14ac:dyDescent="0.25">
      <c r="B12">
        <f>'New Format'!D18</f>
        <v>0.6</v>
      </c>
      <c r="C12">
        <f>'New Format'!E18</f>
        <v>40</v>
      </c>
      <c r="D12" s="2">
        <f>'New Format'!F18</f>
        <v>-9.472853958630334E-2</v>
      </c>
      <c r="E12" s="2">
        <f>'New Format'!G18</f>
        <v>0.11747420826794194</v>
      </c>
      <c r="F12" s="2">
        <f>'New Format'!H18</f>
        <v>0.17035035801648163</v>
      </c>
      <c r="G12" s="2">
        <f>'New Format'!I18</f>
        <v>0.23769738781555289</v>
      </c>
      <c r="I12" s="17">
        <f t="shared" si="0"/>
        <v>0.3321055250805367</v>
      </c>
      <c r="J12" s="17">
        <f t="shared" si="1"/>
        <v>-1.5133300955059059</v>
      </c>
      <c r="K12" s="103"/>
      <c r="L12" s="117">
        <v>0.11</v>
      </c>
      <c r="M12" s="76">
        <v>40</v>
      </c>
      <c r="N12" s="111">
        <v>-0.15130283468302438</v>
      </c>
      <c r="O12" s="77">
        <v>0.47718881887235698</v>
      </c>
      <c r="P12" s="111">
        <v>0.17054049845661337</v>
      </c>
      <c r="Q12" s="77">
        <v>0.23801774307138227</v>
      </c>
      <c r="R12" s="114">
        <v>2.1477374707117929</v>
      </c>
      <c r="S12" s="78">
        <v>2.0782639487992789</v>
      </c>
      <c r="T12" s="2"/>
      <c r="U12" s="154">
        <v>0.21934105479237823</v>
      </c>
      <c r="V12" s="154">
        <v>-0.5255517926487312</v>
      </c>
      <c r="W12" s="2"/>
      <c r="X12" s="21">
        <v>0.11</v>
      </c>
      <c r="Y12" s="21">
        <v>40</v>
      </c>
      <c r="Z12" s="26">
        <v>-0.18870936749931591</v>
      </c>
      <c r="AA12" s="24">
        <v>0.60227947042572705</v>
      </c>
      <c r="AB12" s="23">
        <v>2.4376878245147407E-2</v>
      </c>
      <c r="AC12" s="24">
        <v>8.7916675242569547E-2</v>
      </c>
      <c r="AD12" s="38">
        <v>2.0705345594173288</v>
      </c>
      <c r="AE12" s="39">
        <v>2.4053940945591266</v>
      </c>
      <c r="AG12" s="89"/>
    </row>
    <row r="13" spans="2:33" ht="15" x14ac:dyDescent="0.25">
      <c r="B13">
        <f>'New Format'!D19</f>
        <v>0.6</v>
      </c>
      <c r="C13">
        <f>'New Format'!E19</f>
        <v>60</v>
      </c>
      <c r="D13" s="2">
        <f>'New Format'!F19</f>
        <v>-9.3595189973814844E-2</v>
      </c>
      <c r="E13" s="2">
        <f>'New Format'!G19</f>
        <v>0.11528659665773733</v>
      </c>
      <c r="F13" s="2">
        <f>'New Format'!H19</f>
        <v>0.17178754887238312</v>
      </c>
      <c r="G13" s="2">
        <f>'New Format'!I19</f>
        <v>0.2207245060799139</v>
      </c>
      <c r="I13" s="17">
        <f t="shared" si="0"/>
        <v>0.41231660486668098</v>
      </c>
      <c r="J13" s="17">
        <f t="shared" si="1"/>
        <v>-1.5023558375436157</v>
      </c>
      <c r="K13" s="103"/>
      <c r="L13" s="117">
        <v>0.11</v>
      </c>
      <c r="M13" s="76">
        <v>60</v>
      </c>
      <c r="N13" s="111">
        <v>-0.16442604888324489</v>
      </c>
      <c r="O13" s="77">
        <v>0.44689334685582727</v>
      </c>
      <c r="P13" s="111">
        <v>0.17203445929793088</v>
      </c>
      <c r="Q13" s="77">
        <v>0.22076361347533147</v>
      </c>
      <c r="R13" s="114">
        <v>2.1487140412504879</v>
      </c>
      <c r="S13" s="78">
        <v>2.0794545771379043</v>
      </c>
      <c r="T13" s="2"/>
      <c r="U13" s="154">
        <v>0.21093928995182676</v>
      </c>
      <c r="V13" s="154">
        <v>-0.57996224207705638</v>
      </c>
      <c r="W13" s="2"/>
      <c r="X13" s="21">
        <v>0.11</v>
      </c>
      <c r="Y13" s="21">
        <v>60</v>
      </c>
      <c r="Z13" s="26">
        <v>-0.20071487557479686</v>
      </c>
      <c r="AA13" s="24">
        <v>0.57492790709601316</v>
      </c>
      <c r="AB13" s="23">
        <v>2.3839921324446671E-2</v>
      </c>
      <c r="AC13" s="24">
        <v>8.5832646027418816E-2</v>
      </c>
      <c r="AD13" s="38">
        <v>2.0647998418104603</v>
      </c>
      <c r="AE13" s="39">
        <v>2.4006469999798767</v>
      </c>
      <c r="AG13" s="89"/>
    </row>
    <row r="14" spans="2:33" ht="15" x14ac:dyDescent="0.25">
      <c r="B14">
        <f>'New Format'!D20</f>
        <v>0.6</v>
      </c>
      <c r="C14">
        <f>'New Format'!E20</f>
        <v>100</v>
      </c>
      <c r="D14" s="2">
        <f>'New Format'!F20</f>
        <v>-9.9017207034306831E-2</v>
      </c>
      <c r="E14" s="2">
        <f>'New Format'!G20</f>
        <v>0.21459007142083189</v>
      </c>
      <c r="F14" s="2">
        <f>'New Format'!H20</f>
        <v>0.16238024256956851</v>
      </c>
      <c r="G14" s="2">
        <f>'New Format'!I20</f>
        <v>0.20877178098152177</v>
      </c>
      <c r="I14" s="17">
        <f t="shared" si="0"/>
        <v>0.51018142191341564</v>
      </c>
      <c r="J14" s="17">
        <f t="shared" si="1"/>
        <v>-0.84792752422579298</v>
      </c>
      <c r="K14" s="103"/>
      <c r="L14" s="117">
        <v>0.11</v>
      </c>
      <c r="M14" s="76">
        <v>100</v>
      </c>
      <c r="N14" s="111">
        <v>-0.18186059007909464</v>
      </c>
      <c r="O14" s="77">
        <v>0.39161341079670314</v>
      </c>
      <c r="P14" s="111">
        <v>0.1627191635151933</v>
      </c>
      <c r="Q14" s="77">
        <v>0.20975426919194934</v>
      </c>
      <c r="R14" s="114">
        <v>2.1407455756831402</v>
      </c>
      <c r="S14" s="78">
        <v>2.0949864302460366</v>
      </c>
      <c r="T14" s="2"/>
      <c r="U14" s="154">
        <v>0.21822420282252178</v>
      </c>
      <c r="V14" s="154">
        <v>-0.65396374658099032</v>
      </c>
      <c r="W14" s="2"/>
      <c r="X14" s="21">
        <v>0.11</v>
      </c>
      <c r="Y14" s="21">
        <v>100</v>
      </c>
      <c r="Z14" s="26">
        <v>-0.21736984982114527</v>
      </c>
      <c r="AA14" s="24">
        <v>0.52878509853882794</v>
      </c>
      <c r="AB14" s="23">
        <v>2.3080484177542483E-2</v>
      </c>
      <c r="AC14" s="24">
        <v>8.300664458047298E-2</v>
      </c>
      <c r="AD14" s="38">
        <v>2.0574924964137913</v>
      </c>
      <c r="AE14" s="39">
        <v>2.3939228390036913</v>
      </c>
      <c r="AG14" s="89"/>
    </row>
    <row r="15" spans="2:33" ht="15" x14ac:dyDescent="0.25">
      <c r="B15">
        <f>'New Format'!D21</f>
        <v>0.6</v>
      </c>
      <c r="C15">
        <f>'New Format'!E21</f>
        <v>120</v>
      </c>
      <c r="D15" s="2">
        <f>'New Format'!F21</f>
        <v>-0.10644900791739867</v>
      </c>
      <c r="E15" s="2">
        <f>'New Format'!G21</f>
        <v>0.32852577058239191</v>
      </c>
      <c r="F15" s="2" t="e">
        <f>'New Format'!H21</f>
        <v>#N/A</v>
      </c>
      <c r="G15" s="2" t="e">
        <f>'New Format'!I21</f>
        <v>#N/A</v>
      </c>
      <c r="I15" s="17" t="e">
        <f t="shared" si="0"/>
        <v>#N/A</v>
      </c>
      <c r="J15" s="17" t="e">
        <f t="shared" si="1"/>
        <v>#N/A</v>
      </c>
      <c r="K15" s="103"/>
      <c r="L15" s="117">
        <v>0.11</v>
      </c>
      <c r="M15" s="76">
        <v>125</v>
      </c>
      <c r="N15" s="111">
        <v>-0.18418041374162092</v>
      </c>
      <c r="O15" s="77">
        <v>0.37598553677847429</v>
      </c>
      <c r="P15" s="111">
        <v>0.15855663772092646</v>
      </c>
      <c r="Q15" s="77">
        <v>0.20617699344510793</v>
      </c>
      <c r="R15" s="114">
        <v>2.1391821273841116</v>
      </c>
      <c r="S15" s="78">
        <v>2.1048860623741623</v>
      </c>
      <c r="T15" s="2"/>
      <c r="U15" s="154">
        <v>0.2789064220506427</v>
      </c>
      <c r="V15" s="154">
        <v>-0.45009606863756968</v>
      </c>
      <c r="W15" s="2"/>
      <c r="X15" s="21">
        <v>0.11</v>
      </c>
      <c r="Y15" s="21">
        <v>125</v>
      </c>
      <c r="Z15" s="26">
        <v>-0.22840287826074449</v>
      </c>
      <c r="AA15" s="24">
        <v>0.46878499097163134</v>
      </c>
      <c r="AB15" s="23">
        <v>2.1578647839062996E-2</v>
      </c>
      <c r="AC15" s="24">
        <v>7.9620458839561051E-2</v>
      </c>
      <c r="AD15" s="38">
        <v>2.0480893864318501</v>
      </c>
      <c r="AE15" s="39">
        <v>2.3852108703612878</v>
      </c>
      <c r="AG15" s="89"/>
    </row>
    <row r="16" spans="2:33" ht="15" x14ac:dyDescent="0.25">
      <c r="I16" s="17"/>
      <c r="J16" s="17"/>
      <c r="K16" s="103"/>
      <c r="L16" s="79"/>
      <c r="M16" s="79"/>
      <c r="N16" s="112"/>
      <c r="O16" s="80"/>
      <c r="P16" s="113"/>
      <c r="Q16" s="81"/>
      <c r="R16" s="115"/>
      <c r="S16" s="82"/>
      <c r="T16" s="2"/>
      <c r="U16" s="2"/>
      <c r="V16" s="2"/>
      <c r="W16" s="2"/>
      <c r="X16" s="25"/>
      <c r="Y16" s="25"/>
      <c r="Z16" s="25"/>
      <c r="AA16" s="32"/>
      <c r="AB16" s="27"/>
      <c r="AC16" s="28"/>
      <c r="AD16" s="16"/>
      <c r="AE16" s="36"/>
      <c r="AG16" s="89"/>
    </row>
    <row r="17" spans="2:33" ht="15" x14ac:dyDescent="0.25">
      <c r="K17" s="148"/>
      <c r="L17" s="69"/>
      <c r="M17" s="69"/>
      <c r="N17" s="69"/>
      <c r="O17" s="69"/>
      <c r="P17" s="69"/>
      <c r="Q17" s="69"/>
      <c r="R17" s="69"/>
      <c r="S17" s="69"/>
      <c r="T17" s="17"/>
      <c r="U17" s="17"/>
      <c r="V17" s="17"/>
      <c r="W17" s="17"/>
      <c r="AG17" s="89"/>
    </row>
    <row r="18" spans="2:33" ht="15" x14ac:dyDescent="0.25">
      <c r="I18" s="17"/>
      <c r="J18" s="17"/>
      <c r="K18" s="148"/>
      <c r="L18" s="69"/>
      <c r="M18" s="69"/>
      <c r="N18" s="69"/>
      <c r="O18" s="69"/>
      <c r="P18" s="69"/>
      <c r="Q18" s="69"/>
      <c r="R18" s="69"/>
      <c r="S18" s="69"/>
      <c r="T18" s="17"/>
      <c r="U18" s="17"/>
      <c r="V18" s="17"/>
      <c r="W18" s="17"/>
      <c r="AG18" s="89"/>
    </row>
    <row r="19" spans="2:33" ht="15" x14ac:dyDescent="0.25">
      <c r="I19" s="17"/>
      <c r="J19" s="17"/>
      <c r="K19" s="148"/>
      <c r="L19" s="69"/>
      <c r="M19" s="69"/>
      <c r="N19" s="69"/>
      <c r="O19" s="69"/>
      <c r="P19" s="69"/>
      <c r="Q19" s="69"/>
      <c r="R19" s="69"/>
      <c r="S19" s="69"/>
      <c r="T19" s="17"/>
      <c r="U19" s="17"/>
      <c r="V19" s="17"/>
      <c r="W19" s="17"/>
      <c r="AG19" s="89"/>
    </row>
    <row r="20" spans="2:33" ht="14.25" x14ac:dyDescent="0.2">
      <c r="D20" t="e">
        <f>'New Format'!G24</f>
        <v>#N/A</v>
      </c>
      <c r="I20" s="17"/>
      <c r="J20" s="17"/>
      <c r="K20" s="149"/>
      <c r="L20" s="194" t="s">
        <v>167</v>
      </c>
      <c r="M20" s="195"/>
      <c r="N20" s="195"/>
      <c r="O20" s="195"/>
      <c r="P20" s="195"/>
      <c r="Q20" s="195"/>
      <c r="R20" s="195"/>
      <c r="S20" s="196"/>
      <c r="T20" s="17"/>
      <c r="V20" s="17"/>
      <c r="W20" s="17"/>
      <c r="X20" s="35" t="s">
        <v>103</v>
      </c>
      <c r="Y20" s="33"/>
      <c r="Z20" s="33"/>
      <c r="AA20" s="33"/>
      <c r="AB20" s="33"/>
      <c r="AC20" s="34"/>
      <c r="AD20" s="33"/>
      <c r="AE20" s="34"/>
      <c r="AG20" s="89"/>
    </row>
    <row r="21" spans="2:33" ht="12.75" customHeight="1" x14ac:dyDescent="0.25">
      <c r="B21" s="157" t="str">
        <f>'New Format'!D23</f>
        <v>Table5.</v>
      </c>
      <c r="D21" s="197" t="str">
        <f>'New Format'!F25</f>
        <v>Error</v>
      </c>
      <c r="E21" s="199"/>
      <c r="F21" s="197" t="str">
        <f>'New Format'!H25</f>
        <v>Expanded Uncertainty</v>
      </c>
      <c r="G21" s="199"/>
      <c r="I21" s="17"/>
      <c r="J21" s="17"/>
      <c r="K21" s="151"/>
      <c r="L21" s="73"/>
      <c r="M21" s="72"/>
      <c r="N21" s="197" t="s">
        <v>137</v>
      </c>
      <c r="O21" s="198"/>
      <c r="P21" s="197" t="s">
        <v>109</v>
      </c>
      <c r="Q21" s="199"/>
      <c r="R21" s="200" t="s">
        <v>76</v>
      </c>
      <c r="S21" s="201"/>
      <c r="V21" s="17"/>
      <c r="W21" s="17"/>
      <c r="X21" s="37"/>
      <c r="Z21" s="202" t="s">
        <v>75</v>
      </c>
      <c r="AA21" s="203"/>
      <c r="AB21" s="192" t="s">
        <v>74</v>
      </c>
      <c r="AC21" s="193"/>
      <c r="AD21" s="192" t="s">
        <v>76</v>
      </c>
      <c r="AE21" s="193"/>
      <c r="AG21" s="89"/>
    </row>
    <row r="22" spans="2:33" ht="51" customHeight="1" x14ac:dyDescent="0.2">
      <c r="B22" s="110" t="str">
        <f>'New Format'!D26</f>
        <v>Burden
(Ω)</v>
      </c>
      <c r="C22" s="110" t="str">
        <f>'New Format'!E26</f>
        <v>Primary current
(% of rated)</v>
      </c>
      <c r="D22" s="110" t="str">
        <f>'New Format'!F26</f>
        <v>Magnitude
(mA/A)</v>
      </c>
      <c r="E22" s="110" t="str">
        <f>'New Format'!G26</f>
        <v>Phase
(mrad)</v>
      </c>
      <c r="F22" s="110" t="str">
        <f>'New Format'!H26</f>
        <v>Magnitude
(mA/A)</v>
      </c>
      <c r="G22" s="110" t="str">
        <f>'New Format'!I26</f>
        <v>Phase
(mrad)</v>
      </c>
      <c r="I22" s="17"/>
      <c r="J22" s="17"/>
      <c r="K22" s="128"/>
      <c r="L22" s="129" t="s">
        <v>151</v>
      </c>
      <c r="M22" s="129" t="s">
        <v>73</v>
      </c>
      <c r="N22" s="110" t="s">
        <v>71</v>
      </c>
      <c r="O22" s="130" t="s">
        <v>72</v>
      </c>
      <c r="P22" s="110" t="s">
        <v>71</v>
      </c>
      <c r="Q22" s="130" t="s">
        <v>72</v>
      </c>
      <c r="R22" s="110" t="s">
        <v>138</v>
      </c>
      <c r="S22" s="130" t="s">
        <v>142</v>
      </c>
      <c r="V22" s="17"/>
      <c r="W22" s="17"/>
      <c r="X22" s="156" t="s">
        <v>151</v>
      </c>
      <c r="Y22" s="29" t="s">
        <v>73</v>
      </c>
      <c r="Z22" s="29" t="s">
        <v>71</v>
      </c>
      <c r="AA22" s="30" t="s">
        <v>72</v>
      </c>
      <c r="AB22" s="31" t="s">
        <v>71</v>
      </c>
      <c r="AC22" s="30" t="s">
        <v>72</v>
      </c>
      <c r="AD22" s="31" t="s">
        <v>71</v>
      </c>
      <c r="AE22" s="30" t="s">
        <v>72</v>
      </c>
      <c r="AG22" s="89"/>
    </row>
    <row r="23" spans="2:33" ht="15" x14ac:dyDescent="0.25">
      <c r="B23">
        <f>'New Format'!D27</f>
        <v>0.6</v>
      </c>
      <c r="C23" t="e">
        <f>'New Format'!E27</f>
        <v>#N/A</v>
      </c>
      <c r="D23" s="2" t="e">
        <f>'New Format'!F27</f>
        <v>#N/A</v>
      </c>
      <c r="E23" s="2" t="e">
        <f>'New Format'!G27</f>
        <v>#N/A</v>
      </c>
      <c r="F23" s="2" t="e">
        <f>'New Format'!H27</f>
        <v>#N/A</v>
      </c>
      <c r="G23" s="2" t="e">
        <f>'New Format'!I27</f>
        <v>#N/A</v>
      </c>
      <c r="H23" s="2"/>
      <c r="I23" s="17" t="e">
        <f>(D23-N23)/F23</f>
        <v>#N/A</v>
      </c>
      <c r="J23" s="17" t="e">
        <f>(E23-O23)/G23</f>
        <v>#N/A</v>
      </c>
      <c r="K23" s="128"/>
      <c r="L23" s="117">
        <v>0.11</v>
      </c>
      <c r="M23" s="76">
        <v>5</v>
      </c>
      <c r="N23" s="111">
        <v>-0.14855712994268233</v>
      </c>
      <c r="O23" s="77">
        <v>0.57647770718631364</v>
      </c>
      <c r="P23" s="111">
        <v>0.15320825921247874</v>
      </c>
      <c r="Q23" s="77">
        <v>0.3108153694754916</v>
      </c>
      <c r="R23" s="114">
        <v>2.1411992190706441</v>
      </c>
      <c r="S23" s="78">
        <v>2.1421045434616115</v>
      </c>
      <c r="U23" s="154">
        <v>0.13622182985099046</v>
      </c>
      <c r="V23" s="154">
        <v>-0.32790427030304625</v>
      </c>
      <c r="W23" s="17"/>
      <c r="X23" s="21">
        <v>0.11</v>
      </c>
      <c r="Y23" s="21">
        <v>5</v>
      </c>
      <c r="Z23" s="26">
        <v>-0.16942743936089105</v>
      </c>
      <c r="AA23" s="24">
        <v>0.67839539411314642</v>
      </c>
      <c r="AB23" s="23">
        <v>4.7454749729057985E-2</v>
      </c>
      <c r="AC23" s="24">
        <v>0.16293493946112564</v>
      </c>
      <c r="AD23" s="38">
        <v>2.3011546684324915</v>
      </c>
      <c r="AE23" s="39">
        <v>2.4943673530064752</v>
      </c>
      <c r="AG23" s="89"/>
    </row>
    <row r="24" spans="2:33" ht="15" x14ac:dyDescent="0.25">
      <c r="B24">
        <f>'New Format'!D28</f>
        <v>0.6</v>
      </c>
      <c r="C24" t="e">
        <f>'New Format'!E28</f>
        <v>#N/A</v>
      </c>
      <c r="D24" s="2" t="e">
        <f>'New Format'!F28</f>
        <v>#N/A</v>
      </c>
      <c r="E24" s="2" t="e">
        <f>'New Format'!G28</f>
        <v>#N/A</v>
      </c>
      <c r="F24" s="2" t="e">
        <f>'New Format'!H28</f>
        <v>#N/A</v>
      </c>
      <c r="G24" s="2" t="e">
        <f>'New Format'!I28</f>
        <v>#N/A</v>
      </c>
      <c r="H24" s="2"/>
      <c r="I24" s="17" t="e">
        <f t="shared" ref="I24:I29" si="2">(D24-N24)/F24</f>
        <v>#N/A</v>
      </c>
      <c r="J24" s="17" t="e">
        <f t="shared" ref="J24:J29" si="3">(E24-O24)/G24</f>
        <v>#N/A</v>
      </c>
      <c r="K24" s="128"/>
      <c r="L24" s="117">
        <v>0.11</v>
      </c>
      <c r="M24" s="76">
        <v>10</v>
      </c>
      <c r="N24" s="111">
        <v>-0.14662048742474323</v>
      </c>
      <c r="O24" s="77">
        <v>0.56499621670854716</v>
      </c>
      <c r="P24" s="111">
        <v>0.15449084319930262</v>
      </c>
      <c r="Q24" s="77">
        <v>0.2907539036782647</v>
      </c>
      <c r="R24" s="114">
        <v>2.1407685711482642</v>
      </c>
      <c r="S24" s="78">
        <v>2.1209476473277724</v>
      </c>
      <c r="U24" s="154">
        <v>0.12226578604152112</v>
      </c>
      <c r="V24" s="154">
        <v>-0.33522551316219495</v>
      </c>
      <c r="W24" s="17"/>
      <c r="X24" s="21">
        <v>0.11</v>
      </c>
      <c r="Y24" s="21">
        <v>10</v>
      </c>
      <c r="Z24" s="26">
        <v>-0.16550943180472336</v>
      </c>
      <c r="AA24" s="24">
        <v>0.66246434327300485</v>
      </c>
      <c r="AB24" s="23">
        <v>3.6163956444630344E-2</v>
      </c>
      <c r="AC24" s="24">
        <v>0.11776096020875158</v>
      </c>
      <c r="AD24" s="38">
        <v>2.2066538187938591</v>
      </c>
      <c r="AE24" s="39">
        <v>2.4570074623896225</v>
      </c>
      <c r="AG24" s="89"/>
    </row>
    <row r="25" spans="2:33" ht="15" x14ac:dyDescent="0.25">
      <c r="B25">
        <f>'New Format'!D29</f>
        <v>0.6</v>
      </c>
      <c r="C25" t="e">
        <f>'New Format'!E29</f>
        <v>#N/A</v>
      </c>
      <c r="D25" s="2" t="e">
        <f>'New Format'!F29</f>
        <v>#N/A</v>
      </c>
      <c r="E25" s="2" t="e">
        <f>'New Format'!G29</f>
        <v>#N/A</v>
      </c>
      <c r="F25" s="2" t="e">
        <f>'New Format'!H29</f>
        <v>#N/A</v>
      </c>
      <c r="G25" s="2" t="e">
        <f>'New Format'!I29</f>
        <v>#N/A</v>
      </c>
      <c r="H25" s="2"/>
      <c r="I25" s="17" t="e">
        <f t="shared" si="2"/>
        <v>#N/A</v>
      </c>
      <c r="J25" s="17" t="e">
        <f t="shared" si="3"/>
        <v>#N/A</v>
      </c>
      <c r="K25" s="128"/>
      <c r="L25" s="117">
        <v>0.11</v>
      </c>
      <c r="M25" s="76">
        <v>20</v>
      </c>
      <c r="N25" s="111">
        <v>-0.15203007324010503</v>
      </c>
      <c r="O25" s="77">
        <v>0.54815500593884081</v>
      </c>
      <c r="P25" s="111">
        <v>0.16205504454419489</v>
      </c>
      <c r="Q25" s="77">
        <v>0.26212992144901975</v>
      </c>
      <c r="R25" s="114">
        <v>2.1415410606359204</v>
      </c>
      <c r="S25" s="78">
        <v>2.0927347723012022</v>
      </c>
      <c r="U25" s="154">
        <v>0.14362726048536997</v>
      </c>
      <c r="V25" s="154">
        <v>-0.33865658065762072</v>
      </c>
      <c r="W25" s="17"/>
      <c r="X25" s="21">
        <v>0.11</v>
      </c>
      <c r="Y25" s="21">
        <v>20</v>
      </c>
      <c r="Z25" s="26">
        <v>-0.17530559533582235</v>
      </c>
      <c r="AA25" s="24">
        <v>0.63692702882481655</v>
      </c>
      <c r="AB25" s="23">
        <v>3.1050772106190516E-2</v>
      </c>
      <c r="AC25" s="24">
        <v>9.7840053711166053E-2</v>
      </c>
      <c r="AD25" s="38">
        <v>2.1503337803109828</v>
      </c>
      <c r="AE25" s="39">
        <v>2.4263646435259396</v>
      </c>
      <c r="AG25" s="89"/>
    </row>
    <row r="26" spans="2:33" ht="15" x14ac:dyDescent="0.25">
      <c r="B26">
        <f>'New Format'!D30</f>
        <v>0.6</v>
      </c>
      <c r="C26" t="e">
        <f>'New Format'!E30</f>
        <v>#N/A</v>
      </c>
      <c r="D26" s="2" t="e">
        <f>'New Format'!F30</f>
        <v>#N/A</v>
      </c>
      <c r="E26" s="2" t="e">
        <f>'New Format'!G30</f>
        <v>#N/A</v>
      </c>
      <c r="F26" s="2" t="e">
        <f>'New Format'!H30</f>
        <v>#N/A</v>
      </c>
      <c r="G26" s="2" t="e">
        <f>'New Format'!I30</f>
        <v>#N/A</v>
      </c>
      <c r="H26" s="2"/>
      <c r="I26" s="17" t="e">
        <f t="shared" si="2"/>
        <v>#N/A</v>
      </c>
      <c r="J26" s="17" t="e">
        <f t="shared" si="3"/>
        <v>#N/A</v>
      </c>
      <c r="K26" s="128"/>
      <c r="L26" s="117">
        <v>0.11</v>
      </c>
      <c r="M26" s="76">
        <v>40</v>
      </c>
      <c r="N26" s="111">
        <v>-0.16052005203835495</v>
      </c>
      <c r="O26" s="77">
        <v>0.51732823529294281</v>
      </c>
      <c r="P26" s="111">
        <v>0.17057981905877387</v>
      </c>
      <c r="Q26" s="77">
        <v>0.2385049408262499</v>
      </c>
      <c r="R26" s="114">
        <v>2.1474496860155114</v>
      </c>
      <c r="S26" s="78">
        <v>2.0771514242631879</v>
      </c>
      <c r="U26" s="154">
        <v>0.16525586447742818</v>
      </c>
      <c r="V26" s="154">
        <v>-0.3561822863647548</v>
      </c>
      <c r="W26" s="17"/>
      <c r="X26" s="21">
        <v>0.11</v>
      </c>
      <c r="Y26" s="21">
        <v>40</v>
      </c>
      <c r="Z26" s="26">
        <v>-0.18870936749931591</v>
      </c>
      <c r="AA26" s="24">
        <v>0.60227947042572705</v>
      </c>
      <c r="AB26" s="23">
        <v>2.4376878245147407E-2</v>
      </c>
      <c r="AC26" s="24">
        <v>8.7916675242569547E-2</v>
      </c>
      <c r="AD26" s="38">
        <v>2.0705345594173288</v>
      </c>
      <c r="AE26" s="39">
        <v>2.4053940945591266</v>
      </c>
      <c r="AG26" s="89"/>
    </row>
    <row r="27" spans="2:33" ht="15" x14ac:dyDescent="0.25">
      <c r="B27">
        <f>'New Format'!D31</f>
        <v>0.6</v>
      </c>
      <c r="C27" t="e">
        <f>'New Format'!E31</f>
        <v>#N/A</v>
      </c>
      <c r="D27" s="2" t="e">
        <f>'New Format'!F31</f>
        <v>#N/A</v>
      </c>
      <c r="E27" s="2" t="e">
        <f>'New Format'!G31</f>
        <v>#N/A</v>
      </c>
      <c r="F27" s="2" t="e">
        <f>'New Format'!H31</f>
        <v>#N/A</v>
      </c>
      <c r="G27" s="2" t="e">
        <f>'New Format'!I31</f>
        <v>#N/A</v>
      </c>
      <c r="H27" s="2"/>
      <c r="I27" s="17" t="e">
        <f t="shared" si="2"/>
        <v>#N/A</v>
      </c>
      <c r="J27" s="17" t="e">
        <f t="shared" si="3"/>
        <v>#N/A</v>
      </c>
      <c r="K27" s="128"/>
      <c r="L27" s="117">
        <v>0.11</v>
      </c>
      <c r="M27" s="76">
        <v>60</v>
      </c>
      <c r="N27" s="111">
        <v>-0.16874273615605986</v>
      </c>
      <c r="O27" s="77">
        <v>0.49105719469316517</v>
      </c>
      <c r="P27" s="111">
        <v>0.17205394320179429</v>
      </c>
      <c r="Q27" s="77">
        <v>0.22130834785653777</v>
      </c>
      <c r="R27" s="114">
        <v>2.1485717910911521</v>
      </c>
      <c r="S27" s="78">
        <v>2.0781037660190749</v>
      </c>
      <c r="U27" s="154">
        <v>0.18582625206815703</v>
      </c>
      <c r="V27" s="154">
        <v>-0.37897672281759942</v>
      </c>
      <c r="W27" s="17"/>
      <c r="X27" s="21">
        <v>0.11</v>
      </c>
      <c r="Y27" s="21">
        <v>60</v>
      </c>
      <c r="Z27" s="26">
        <v>-0.20071487557479686</v>
      </c>
      <c r="AA27" s="24">
        <v>0.57492790709601316</v>
      </c>
      <c r="AB27" s="23">
        <v>2.3839921324446671E-2</v>
      </c>
      <c r="AC27" s="24">
        <v>8.5832646027418816E-2</v>
      </c>
      <c r="AD27" s="38">
        <v>2.0647998418104603</v>
      </c>
      <c r="AE27" s="39">
        <v>2.4006469999798767</v>
      </c>
      <c r="AG27" s="89"/>
    </row>
    <row r="28" spans="2:33" ht="15" x14ac:dyDescent="0.25">
      <c r="B28">
        <f>'New Format'!D32</f>
        <v>0.6</v>
      </c>
      <c r="C28" t="e">
        <f>'New Format'!E32</f>
        <v>#N/A</v>
      </c>
      <c r="D28" s="2" t="e">
        <f>'New Format'!F32</f>
        <v>#N/A</v>
      </c>
      <c r="E28" s="2" t="e">
        <f>'New Format'!G32</f>
        <v>#N/A</v>
      </c>
      <c r="F28" s="2" t="e">
        <f>'New Format'!H32</f>
        <v>#N/A</v>
      </c>
      <c r="G28" s="2" t="e">
        <f>'New Format'!I32</f>
        <v>#N/A</v>
      </c>
      <c r="H28" s="2"/>
      <c r="I28" s="17" t="e">
        <f t="shared" si="2"/>
        <v>#N/A</v>
      </c>
      <c r="J28" s="17" t="e">
        <f t="shared" si="3"/>
        <v>#N/A</v>
      </c>
      <c r="K28" s="128"/>
      <c r="L28" s="117">
        <v>0.11</v>
      </c>
      <c r="M28" s="76">
        <v>100</v>
      </c>
      <c r="N28" s="111">
        <v>-0.17875111779287733</v>
      </c>
      <c r="O28" s="77">
        <v>0.4466509621535571</v>
      </c>
      <c r="P28" s="111">
        <v>0.16270277285595858</v>
      </c>
      <c r="Q28" s="77">
        <v>0.2103750960723936</v>
      </c>
      <c r="R28" s="114">
        <v>2.1408623623990062</v>
      </c>
      <c r="S28" s="78">
        <v>2.0930151919493798</v>
      </c>
      <c r="U28" s="154">
        <v>0.23735755298071812</v>
      </c>
      <c r="V28" s="154">
        <v>-0.39041758230264623</v>
      </c>
      <c r="W28" s="17"/>
      <c r="X28" s="21">
        <v>0.11</v>
      </c>
      <c r="Y28" s="21">
        <v>100</v>
      </c>
      <c r="Z28" s="26">
        <v>-0.21736984982114527</v>
      </c>
      <c r="AA28" s="24">
        <v>0.52878509853882794</v>
      </c>
      <c r="AB28" s="23">
        <v>2.3080484177542483E-2</v>
      </c>
      <c r="AC28" s="24">
        <v>8.300664458047298E-2</v>
      </c>
      <c r="AD28" s="38">
        <v>2.0574924964137913</v>
      </c>
      <c r="AE28" s="39">
        <v>2.3939228390036913</v>
      </c>
      <c r="AG28" s="89"/>
    </row>
    <row r="29" spans="2:33" ht="15" x14ac:dyDescent="0.25">
      <c r="B29">
        <f>'New Format'!D33</f>
        <v>0.6</v>
      </c>
      <c r="C29" t="e">
        <f>'New Format'!E33</f>
        <v>#N/A</v>
      </c>
      <c r="D29" s="2" t="e">
        <f>'New Format'!F33</f>
        <v>#N/A</v>
      </c>
      <c r="E29" s="2" t="e">
        <f>'New Format'!G33</f>
        <v>#N/A</v>
      </c>
      <c r="F29" s="2" t="e">
        <f>'New Format'!H33</f>
        <v>#N/A</v>
      </c>
      <c r="G29" s="2" t="e">
        <f>'New Format'!I33</f>
        <v>#N/A</v>
      </c>
      <c r="H29" s="2"/>
      <c r="I29" s="17" t="e">
        <f t="shared" si="2"/>
        <v>#N/A</v>
      </c>
      <c r="J29" s="17" t="e">
        <f t="shared" si="3"/>
        <v>#N/A</v>
      </c>
      <c r="K29" s="128"/>
      <c r="L29" s="117">
        <v>0.11</v>
      </c>
      <c r="M29" s="76">
        <v>125</v>
      </c>
      <c r="N29" s="111">
        <v>-0.18755660199896249</v>
      </c>
      <c r="O29" s="77">
        <v>0.42377457192629803</v>
      </c>
      <c r="P29" s="111">
        <v>0.15857556067136649</v>
      </c>
      <c r="Q29" s="77">
        <v>0.20669076056731114</v>
      </c>
      <c r="R29" s="114">
        <v>2.1390465335909767</v>
      </c>
      <c r="S29" s="78">
        <v>2.1030224076777384</v>
      </c>
      <c r="U29" s="154">
        <v>0.25758241742201504</v>
      </c>
      <c r="V29" s="154">
        <v>-0.2177669622086236</v>
      </c>
      <c r="W29" s="17"/>
      <c r="X29" s="21">
        <v>0.11</v>
      </c>
      <c r="Y29" s="21">
        <v>125</v>
      </c>
      <c r="Z29" s="26">
        <v>-0.22840287826074449</v>
      </c>
      <c r="AA29" s="24">
        <v>0.46878499097163134</v>
      </c>
      <c r="AB29" s="23">
        <v>2.1578647839062996E-2</v>
      </c>
      <c r="AC29" s="24">
        <v>7.9620458839561051E-2</v>
      </c>
      <c r="AD29" s="38">
        <v>2.0480893864318501</v>
      </c>
      <c r="AE29" s="39">
        <v>2.3852108703612878</v>
      </c>
      <c r="AG29" s="89"/>
    </row>
    <row r="30" spans="2:33" ht="15" x14ac:dyDescent="0.25">
      <c r="K30" s="128"/>
      <c r="L30" s="79"/>
      <c r="M30" s="79"/>
      <c r="N30" s="112"/>
      <c r="O30" s="80"/>
      <c r="P30" s="113"/>
      <c r="Q30" s="81"/>
      <c r="R30" s="115"/>
      <c r="S30" s="82"/>
      <c r="V30" s="17"/>
      <c r="W30" s="17"/>
      <c r="X30" s="25"/>
      <c r="Y30" s="25"/>
      <c r="Z30" s="25"/>
      <c r="AA30" s="32"/>
      <c r="AB30" s="27"/>
      <c r="AC30" s="28"/>
      <c r="AD30" s="16"/>
      <c r="AE30" s="36"/>
      <c r="AG30" s="89"/>
    </row>
    <row r="31" spans="2:33" ht="15" x14ac:dyDescent="0.25">
      <c r="D31" s="2"/>
      <c r="E31" s="2"/>
      <c r="F31" s="2"/>
      <c r="G31" s="2"/>
      <c r="H31" s="2"/>
      <c r="I31" s="17"/>
      <c r="J31" s="17"/>
      <c r="K31" s="148"/>
      <c r="L31" s="69"/>
      <c r="M31" s="69"/>
      <c r="N31" s="69"/>
      <c r="O31" s="69"/>
      <c r="P31" s="69"/>
      <c r="Q31" s="69"/>
      <c r="R31" s="69"/>
      <c r="S31" s="69"/>
      <c r="V31" s="17"/>
      <c r="W31" s="17"/>
      <c r="AG31" s="89"/>
    </row>
    <row r="32" spans="2:33" ht="15" x14ac:dyDescent="0.25">
      <c r="I32" s="17"/>
      <c r="J32" s="17"/>
      <c r="K32" s="148"/>
      <c r="L32" s="69"/>
      <c r="M32" s="69"/>
      <c r="N32" s="69"/>
      <c r="O32" s="69"/>
      <c r="P32" s="69"/>
      <c r="Q32" s="69"/>
      <c r="R32" s="69"/>
      <c r="S32" s="69"/>
      <c r="U32" s="17"/>
      <c r="V32" s="17"/>
      <c r="W32" s="17"/>
      <c r="AG32" s="89"/>
    </row>
    <row r="33" spans="2:33" ht="15" x14ac:dyDescent="0.25">
      <c r="I33" s="17"/>
      <c r="J33" s="17"/>
      <c r="K33" s="148"/>
      <c r="L33" s="69"/>
      <c r="M33" s="69"/>
      <c r="N33" s="69"/>
      <c r="O33" s="69"/>
      <c r="P33" s="69"/>
      <c r="Q33" s="69"/>
      <c r="R33" s="69"/>
      <c r="S33" s="69"/>
      <c r="T33" s="17"/>
      <c r="U33" s="17"/>
      <c r="V33" s="17"/>
      <c r="W33" s="17"/>
      <c r="AG33" s="89"/>
    </row>
    <row r="34" spans="2:33" ht="15" x14ac:dyDescent="0.25">
      <c r="D34" t="str">
        <f>'New Format'!G36</f>
        <v>Range 30:5</v>
      </c>
      <c r="K34" s="148"/>
      <c r="L34" s="194" t="s">
        <v>168</v>
      </c>
      <c r="M34" s="195"/>
      <c r="N34" s="195"/>
      <c r="O34" s="195"/>
      <c r="P34" s="195"/>
      <c r="Q34" s="195"/>
      <c r="R34" s="195"/>
      <c r="S34" s="196"/>
      <c r="T34" s="17"/>
      <c r="U34" s="150"/>
      <c r="V34" s="17"/>
      <c r="W34" s="17"/>
      <c r="X34" s="35" t="s">
        <v>135</v>
      </c>
      <c r="Y34" s="33"/>
      <c r="Z34" s="33"/>
      <c r="AA34" s="33"/>
      <c r="AB34" s="33"/>
      <c r="AC34" s="34"/>
      <c r="AD34" s="33"/>
      <c r="AE34" s="34"/>
      <c r="AG34" s="89"/>
    </row>
    <row r="35" spans="2:33" ht="12.75" customHeight="1" x14ac:dyDescent="0.25">
      <c r="B35" s="157" t="str">
        <f>'New Format'!D35</f>
        <v>Tablex4x.</v>
      </c>
      <c r="D35" s="197" t="str">
        <f>'New Format'!F37</f>
        <v>Error</v>
      </c>
      <c r="E35" s="199"/>
      <c r="F35" s="197" t="str">
        <f>'New Format'!H37</f>
        <v>Expanded Uncertainty</v>
      </c>
      <c r="G35" s="199"/>
      <c r="I35" s="17"/>
      <c r="J35" s="17"/>
      <c r="K35" s="148"/>
      <c r="L35" s="73"/>
      <c r="M35" s="72"/>
      <c r="N35" s="197" t="s">
        <v>137</v>
      </c>
      <c r="O35" s="198"/>
      <c r="P35" s="197" t="s">
        <v>109</v>
      </c>
      <c r="Q35" s="199"/>
      <c r="R35" s="200" t="s">
        <v>76</v>
      </c>
      <c r="S35" s="201"/>
      <c r="T35" s="150"/>
      <c r="U35" s="152"/>
      <c r="V35" s="17"/>
      <c r="W35" s="17"/>
      <c r="X35" s="37"/>
      <c r="Z35" s="202" t="s">
        <v>75</v>
      </c>
      <c r="AA35" s="203"/>
      <c r="AB35" s="192" t="s">
        <v>74</v>
      </c>
      <c r="AC35" s="193"/>
      <c r="AD35" s="192" t="s">
        <v>76</v>
      </c>
      <c r="AE35" s="193"/>
      <c r="AG35" s="89"/>
    </row>
    <row r="36" spans="2:33" ht="51" customHeight="1" x14ac:dyDescent="0.2">
      <c r="B36" s="110" t="str">
        <f>'New Format'!D38</f>
        <v>Burden
(Ω)</v>
      </c>
      <c r="C36" s="110" t="str">
        <f>'New Format'!E38</f>
        <v>Primary current
(% of rated)</v>
      </c>
      <c r="D36" s="110" t="str">
        <f>'New Format'!F38</f>
        <v>Magnitude
(mA/A)</v>
      </c>
      <c r="E36" s="110" t="str">
        <f>'New Format'!G38</f>
        <v>Phase
(mrad)</v>
      </c>
      <c r="F36" s="110" t="str">
        <f>'New Format'!H38</f>
        <v>Magnitude
(mA/A)</v>
      </c>
      <c r="G36" s="110" t="str">
        <f>'New Format'!I38</f>
        <v>Phase
(mrad)</v>
      </c>
      <c r="H36" s="2"/>
      <c r="I36" s="2"/>
      <c r="J36" s="2"/>
      <c r="K36" s="148"/>
      <c r="L36" s="129" t="s">
        <v>151</v>
      </c>
      <c r="M36" s="129" t="s">
        <v>73</v>
      </c>
      <c r="N36" s="110" t="s">
        <v>71</v>
      </c>
      <c r="O36" s="130" t="s">
        <v>72</v>
      </c>
      <c r="P36" s="110" t="s">
        <v>71</v>
      </c>
      <c r="Q36" s="130" t="s">
        <v>143</v>
      </c>
      <c r="R36" s="110" t="s">
        <v>141</v>
      </c>
      <c r="S36" s="130" t="s">
        <v>142</v>
      </c>
      <c r="T36" s="152"/>
      <c r="U36" s="153"/>
      <c r="V36" s="17"/>
      <c r="W36" s="17"/>
      <c r="X36" s="156" t="s">
        <v>151</v>
      </c>
      <c r="Y36" s="29" t="s">
        <v>73</v>
      </c>
      <c r="Z36" s="29" t="s">
        <v>71</v>
      </c>
      <c r="AA36" s="30" t="s">
        <v>72</v>
      </c>
      <c r="AB36" s="31" t="s">
        <v>71</v>
      </c>
      <c r="AC36" s="30" t="s">
        <v>72</v>
      </c>
      <c r="AD36" s="31" t="s">
        <v>71</v>
      </c>
      <c r="AE36" s="30" t="s">
        <v>72</v>
      </c>
      <c r="AG36" s="89"/>
    </row>
    <row r="37" spans="2:33" ht="15" x14ac:dyDescent="0.25">
      <c r="B37">
        <f>'New Format'!D39</f>
        <v>0.6</v>
      </c>
      <c r="C37">
        <f>'New Format'!E39</f>
        <v>4</v>
      </c>
      <c r="D37" s="2">
        <f>'New Format'!F39</f>
        <v>-7.3052151605169188E-2</v>
      </c>
      <c r="E37" s="2">
        <f>'New Format'!G39</f>
        <v>0.1977685692916471</v>
      </c>
      <c r="F37" s="2" t="e">
        <f>'New Format'!H39</f>
        <v>#N/A</v>
      </c>
      <c r="G37" s="2" t="e">
        <f>'New Format'!I39</f>
        <v>#N/A</v>
      </c>
      <c r="H37" s="2"/>
      <c r="I37" s="17" t="e">
        <f>(D37-N37)/F37</f>
        <v>#N/A</v>
      </c>
      <c r="J37" s="17" t="e">
        <f>(E37-O37)/G37</f>
        <v>#N/A</v>
      </c>
      <c r="K37" s="148"/>
      <c r="L37" s="117">
        <v>0.11</v>
      </c>
      <c r="M37" s="76">
        <v>5</v>
      </c>
      <c r="N37" s="111">
        <v>-0.23021058891857277</v>
      </c>
      <c r="O37" s="77">
        <v>0.9307586067208713</v>
      </c>
      <c r="P37" s="111">
        <v>0.15369100149593348</v>
      </c>
      <c r="Q37" s="77">
        <v>0.31539412988671006</v>
      </c>
      <c r="R37" s="114">
        <v>2.137640228836764</v>
      </c>
      <c r="S37" s="78">
        <v>2.1282622913307296</v>
      </c>
      <c r="T37" s="153"/>
      <c r="U37" s="154">
        <v>-0.39548931925783554</v>
      </c>
      <c r="V37" s="154">
        <v>0.80015190104639566</v>
      </c>
      <c r="W37" s="17"/>
      <c r="X37" s="21">
        <v>0.11</v>
      </c>
      <c r="Y37" s="21">
        <v>5</v>
      </c>
      <c r="Z37" s="26">
        <v>-0.16942743936089105</v>
      </c>
      <c r="AA37" s="24">
        <v>0.67839539411314642</v>
      </c>
      <c r="AB37" s="23">
        <v>4.7454749729057985E-2</v>
      </c>
      <c r="AC37" s="24">
        <v>0.16293493946112564</v>
      </c>
      <c r="AD37" s="38">
        <v>2.3011546684324915</v>
      </c>
      <c r="AE37" s="39">
        <v>2.4943673530064752</v>
      </c>
      <c r="AG37" s="89"/>
    </row>
    <row r="38" spans="2:33" ht="15" x14ac:dyDescent="0.25">
      <c r="B38">
        <f>'New Format'!D40</f>
        <v>0.6</v>
      </c>
      <c r="C38">
        <f>'New Format'!E40</f>
        <v>8</v>
      </c>
      <c r="D38" s="2">
        <f>'New Format'!F40</f>
        <v>-7.5057671674103169E-2</v>
      </c>
      <c r="E38" s="2">
        <f>'New Format'!G40</f>
        <v>0.19088938420973767</v>
      </c>
      <c r="F38" s="2" t="e">
        <f>'New Format'!H40</f>
        <v>#N/A</v>
      </c>
      <c r="G38" s="2" t="e">
        <f>'New Format'!I40</f>
        <v>#N/A</v>
      </c>
      <c r="H38" s="2"/>
      <c r="I38" s="17" t="e">
        <f t="shared" ref="I38:I43" si="4">(D38-N38)/F38</f>
        <v>#N/A</v>
      </c>
      <c r="J38" s="17" t="e">
        <f t="shared" ref="J38:J43" si="5">(E38-O38)/G38</f>
        <v>#N/A</v>
      </c>
      <c r="K38" s="148"/>
      <c r="L38" s="117">
        <v>0.11</v>
      </c>
      <c r="M38" s="76">
        <v>10</v>
      </c>
      <c r="N38" s="111">
        <v>-0.23878689984046989</v>
      </c>
      <c r="O38" s="77">
        <v>0.91128080181618432</v>
      </c>
      <c r="P38" s="111">
        <v>0.15504159287891287</v>
      </c>
      <c r="Q38" s="77">
        <v>0.29563350485038331</v>
      </c>
      <c r="R38" s="114">
        <v>2.1367725410998188</v>
      </c>
      <c r="S38" s="78">
        <v>2.1083440497568384</v>
      </c>
      <c r="T38" s="154"/>
      <c r="U38" s="154">
        <v>-0.4726310319384816</v>
      </c>
      <c r="V38" s="154">
        <v>0.84163822591455795</v>
      </c>
      <c r="W38" s="2"/>
      <c r="X38" s="21">
        <v>0.11</v>
      </c>
      <c r="Y38" s="21">
        <v>10</v>
      </c>
      <c r="Z38" s="26">
        <v>-0.16550943180472336</v>
      </c>
      <c r="AA38" s="24">
        <v>0.66246434327300485</v>
      </c>
      <c r="AB38" s="23">
        <v>3.6163956444630344E-2</v>
      </c>
      <c r="AC38" s="24">
        <v>0.11776096020875158</v>
      </c>
      <c r="AD38" s="38">
        <v>2.2066538187938591</v>
      </c>
      <c r="AE38" s="39">
        <v>2.4570074623896225</v>
      </c>
      <c r="AG38" s="89"/>
    </row>
    <row r="39" spans="2:33" ht="15" x14ac:dyDescent="0.25">
      <c r="B39">
        <f>'New Format'!D41</f>
        <v>0.6</v>
      </c>
      <c r="C39">
        <f>'New Format'!E41</f>
        <v>17</v>
      </c>
      <c r="D39" s="2">
        <f>'New Format'!F41</f>
        <v>-7.5879944769966054E-2</v>
      </c>
      <c r="E39" s="2">
        <f>'New Format'!G41</f>
        <v>0.18088017816983926</v>
      </c>
      <c r="F39" s="2" t="e">
        <f>'New Format'!H41</f>
        <v>#N/A</v>
      </c>
      <c r="G39" s="2" t="e">
        <f>'New Format'!I41</f>
        <v>#N/A</v>
      </c>
      <c r="H39" s="2"/>
      <c r="I39" s="17" t="e">
        <f t="shared" si="4"/>
        <v>#N/A</v>
      </c>
      <c r="J39" s="17" t="e">
        <f t="shared" si="5"/>
        <v>#N/A</v>
      </c>
      <c r="K39" s="148"/>
      <c r="L39" s="117">
        <v>0.11</v>
      </c>
      <c r="M39" s="76">
        <v>20</v>
      </c>
      <c r="N39" s="111">
        <v>-0.24941260658994399</v>
      </c>
      <c r="O39" s="77">
        <v>0.87665632189754117</v>
      </c>
      <c r="P39" s="111">
        <v>0.16263184377686743</v>
      </c>
      <c r="Q39" s="77">
        <v>0.26733404022994006</v>
      </c>
      <c r="R39" s="114">
        <v>2.1375207636286775</v>
      </c>
      <c r="S39" s="78">
        <v>2.0821371692058626</v>
      </c>
      <c r="T39" s="154"/>
      <c r="U39" s="154">
        <v>-0.45567343721317716</v>
      </c>
      <c r="V39" s="154">
        <v>0.89674062033599622</v>
      </c>
      <c r="W39" s="2"/>
      <c r="X39" s="21">
        <v>0.11</v>
      </c>
      <c r="Y39" s="21">
        <v>20</v>
      </c>
      <c r="Z39" s="26">
        <v>-0.17530559533582235</v>
      </c>
      <c r="AA39" s="24">
        <v>0.63692702882481655</v>
      </c>
      <c r="AB39" s="23">
        <v>3.1050772106190516E-2</v>
      </c>
      <c r="AC39" s="24">
        <v>9.7840053711166053E-2</v>
      </c>
      <c r="AD39" s="38">
        <v>2.1503337803109828</v>
      </c>
      <c r="AE39" s="39">
        <v>2.4263646435259396</v>
      </c>
      <c r="AG39" s="89"/>
    </row>
    <row r="40" spans="2:33" ht="15" x14ac:dyDescent="0.25">
      <c r="B40">
        <f>'New Format'!D42</f>
        <v>0.6</v>
      </c>
      <c r="C40">
        <f>'New Format'!E42</f>
        <v>33</v>
      </c>
      <c r="D40" s="2">
        <f>'New Format'!F42</f>
        <v>-9.9889022813507949E-2</v>
      </c>
      <c r="E40" s="2">
        <f>'New Format'!G42</f>
        <v>0.28308277251638608</v>
      </c>
      <c r="F40" s="2" t="e">
        <f>'New Format'!H42</f>
        <v>#N/A</v>
      </c>
      <c r="G40" s="2" t="e">
        <f>'New Format'!I42</f>
        <v>#N/A</v>
      </c>
      <c r="H40" s="2"/>
      <c r="I40" s="17" t="e">
        <f t="shared" si="4"/>
        <v>#N/A</v>
      </c>
      <c r="J40" s="17" t="e">
        <f t="shared" si="5"/>
        <v>#N/A</v>
      </c>
      <c r="K40" s="148"/>
      <c r="L40" s="117">
        <v>0.11</v>
      </c>
      <c r="M40" s="76">
        <v>40</v>
      </c>
      <c r="N40" s="111">
        <v>-0.26431913830074411</v>
      </c>
      <c r="O40" s="77">
        <v>0.82707724052378784</v>
      </c>
      <c r="P40" s="111">
        <v>0.17119057742228277</v>
      </c>
      <c r="Q40" s="77">
        <v>0.24371950456575725</v>
      </c>
      <c r="R40" s="114">
        <v>2.1431890820333726</v>
      </c>
      <c r="S40" s="78">
        <v>2.0677769291659258</v>
      </c>
      <c r="T40" s="154"/>
      <c r="U40" s="154">
        <v>-0.44167016631364292</v>
      </c>
      <c r="V40" s="154">
        <v>0.92236265824760344</v>
      </c>
      <c r="W40" s="2"/>
      <c r="X40" s="21">
        <v>0.11</v>
      </c>
      <c r="Y40" s="21">
        <v>40</v>
      </c>
      <c r="Z40" s="26">
        <v>-0.18870936749931591</v>
      </c>
      <c r="AA40" s="24">
        <v>0.60227947042572705</v>
      </c>
      <c r="AB40" s="23">
        <v>2.4376878245147407E-2</v>
      </c>
      <c r="AC40" s="24">
        <v>8.7916675242569547E-2</v>
      </c>
      <c r="AD40" s="38">
        <v>2.0705345594173288</v>
      </c>
      <c r="AE40" s="39">
        <v>2.4053940945591266</v>
      </c>
      <c r="AG40" s="89"/>
    </row>
    <row r="41" spans="2:33" ht="15" x14ac:dyDescent="0.25">
      <c r="B41">
        <f>'New Format'!D43</f>
        <v>0.6</v>
      </c>
      <c r="C41">
        <f>'New Format'!E43</f>
        <v>50</v>
      </c>
      <c r="D41" s="2">
        <f>'New Format'!F43</f>
        <v>-0.12730880684602658</v>
      </c>
      <c r="E41" s="2">
        <f>'New Format'!G43</f>
        <v>0.38382365334572432</v>
      </c>
      <c r="F41" s="2" t="e">
        <f>'New Format'!H43</f>
        <v>#N/A</v>
      </c>
      <c r="G41" s="2" t="e">
        <f>'New Format'!I43</f>
        <v>#N/A</v>
      </c>
      <c r="H41" s="2"/>
      <c r="I41" s="17" t="e">
        <f t="shared" si="4"/>
        <v>#N/A</v>
      </c>
      <c r="J41" s="17" t="e">
        <f t="shared" si="5"/>
        <v>#N/A</v>
      </c>
      <c r="K41" s="148"/>
      <c r="L41" s="117">
        <v>0.11</v>
      </c>
      <c r="M41" s="76">
        <v>60</v>
      </c>
      <c r="N41" s="111">
        <v>-0.27802791880106131</v>
      </c>
      <c r="O41" s="77">
        <v>0.78406822607829241</v>
      </c>
      <c r="P41" s="111">
        <v>0.17272404691857307</v>
      </c>
      <c r="Q41" s="77">
        <v>0.2263566482618995</v>
      </c>
      <c r="R41" s="114">
        <v>2.1439202784397344</v>
      </c>
      <c r="S41" s="78">
        <v>2.0683772740526662</v>
      </c>
      <c r="T41" s="154"/>
      <c r="U41" s="154">
        <v>-0.44761018865376617</v>
      </c>
      <c r="V41" s="154">
        <v>0.92394157886760819</v>
      </c>
      <c r="W41" s="2"/>
      <c r="X41" s="21">
        <v>0.11</v>
      </c>
      <c r="Y41" s="21">
        <v>60</v>
      </c>
      <c r="Z41" s="26">
        <v>-0.20071487557479686</v>
      </c>
      <c r="AA41" s="24">
        <v>0.57492790709601316</v>
      </c>
      <c r="AB41" s="23">
        <v>2.3839921324446671E-2</v>
      </c>
      <c r="AC41" s="24">
        <v>8.5832646027418816E-2</v>
      </c>
      <c r="AD41" s="38">
        <v>2.0647998418104603</v>
      </c>
      <c r="AE41" s="39">
        <v>2.4006469999798767</v>
      </c>
      <c r="AG41" s="89"/>
    </row>
    <row r="42" spans="2:33" ht="15" x14ac:dyDescent="0.25">
      <c r="B42">
        <f>'New Format'!D44</f>
        <v>0.6</v>
      </c>
      <c r="C42">
        <f>'New Format'!E44</f>
        <v>84</v>
      </c>
      <c r="D42" s="2">
        <f>'New Format'!F44</f>
        <v>-0.19036706039425999</v>
      </c>
      <c r="E42" s="2">
        <f>'New Format'!G44</f>
        <v>0.78877932581886079</v>
      </c>
      <c r="F42" s="2" t="e">
        <f>'New Format'!H44</f>
        <v>#N/A</v>
      </c>
      <c r="G42" s="2" t="e">
        <f>'New Format'!I44</f>
        <v>#N/A</v>
      </c>
      <c r="H42" s="2"/>
      <c r="I42" s="17" t="e">
        <f t="shared" si="4"/>
        <v>#N/A</v>
      </c>
      <c r="J42" s="17" t="e">
        <f t="shared" si="5"/>
        <v>#N/A</v>
      </c>
      <c r="K42" s="148"/>
      <c r="L42" s="117">
        <v>0.11</v>
      </c>
      <c r="M42" s="76">
        <v>100</v>
      </c>
      <c r="N42" s="111">
        <v>-0.3022992240814385</v>
      </c>
      <c r="O42" s="77">
        <v>0.70429349775570249</v>
      </c>
      <c r="P42" s="111">
        <v>0.16358508127737978</v>
      </c>
      <c r="Q42" s="77">
        <v>0.21448439223236476</v>
      </c>
      <c r="R42" s="114">
        <v>2.134968615930843</v>
      </c>
      <c r="S42" s="78">
        <v>2.0825735129180725</v>
      </c>
      <c r="T42" s="154"/>
      <c r="U42" s="154">
        <v>-0.51917554826582524</v>
      </c>
      <c r="V42" s="154">
        <v>0.81828051631251097</v>
      </c>
      <c r="W42" s="2"/>
      <c r="X42" s="21">
        <v>0.11</v>
      </c>
      <c r="Y42" s="21">
        <v>100</v>
      </c>
      <c r="Z42" s="26">
        <v>-0.21736984982114527</v>
      </c>
      <c r="AA42" s="24">
        <v>0.52878509853882794</v>
      </c>
      <c r="AB42" s="23">
        <v>2.3080484177542483E-2</v>
      </c>
      <c r="AC42" s="24">
        <v>8.300664458047298E-2</v>
      </c>
      <c r="AD42" s="38">
        <v>2.0574924964137913</v>
      </c>
      <c r="AE42" s="39">
        <v>2.3939228390036913</v>
      </c>
      <c r="AG42" s="89"/>
    </row>
    <row r="43" spans="2:33" ht="15" x14ac:dyDescent="0.25">
      <c r="B43">
        <f>'New Format'!D45</f>
        <v>0.6</v>
      </c>
      <c r="C43">
        <f>'New Format'!E45</f>
        <v>101</v>
      </c>
      <c r="D43" s="2">
        <f>'New Format'!F45</f>
        <v>-0.22067681422600038</v>
      </c>
      <c r="E43" s="2">
        <f>'New Format'!G45</f>
        <v>0.96764863881868879</v>
      </c>
      <c r="F43" s="2" t="e">
        <f>'New Format'!H45</f>
        <v>#N/A</v>
      </c>
      <c r="G43" s="2" t="e">
        <f>'New Format'!I45</f>
        <v>#N/A</v>
      </c>
      <c r="H43" s="2"/>
      <c r="I43" s="17" t="e">
        <f t="shared" si="4"/>
        <v>#N/A</v>
      </c>
      <c r="J43" s="17" t="e">
        <f t="shared" si="5"/>
        <v>#N/A</v>
      </c>
      <c r="K43" s="148"/>
      <c r="L43" s="117">
        <v>0.11</v>
      </c>
      <c r="M43" s="76">
        <v>125</v>
      </c>
      <c r="N43" s="111">
        <v>-0.315471484522312</v>
      </c>
      <c r="O43" s="77">
        <v>0.6610790054354384</v>
      </c>
      <c r="P43" s="111">
        <v>0.15956322136832757</v>
      </c>
      <c r="Q43" s="77">
        <v>0.21025429500518242</v>
      </c>
      <c r="R43" s="114">
        <v>2.132488221600386</v>
      </c>
      <c r="S43" s="78">
        <v>2.092404511724717</v>
      </c>
      <c r="T43" s="154"/>
      <c r="U43" s="154">
        <v>-0.54566839096700614</v>
      </c>
      <c r="V43" s="154">
        <v>0.91457829415121972</v>
      </c>
      <c r="W43" s="2"/>
      <c r="X43" s="21">
        <v>0.11</v>
      </c>
      <c r="Y43" s="21">
        <v>125</v>
      </c>
      <c r="Z43" s="26">
        <v>-0.22840287826074449</v>
      </c>
      <c r="AA43" s="24">
        <v>0.46878499097163134</v>
      </c>
      <c r="AB43" s="23">
        <v>2.1578647839062996E-2</v>
      </c>
      <c r="AC43" s="24">
        <v>7.9620458839561051E-2</v>
      </c>
      <c r="AD43" s="38">
        <v>2.0480893864318501</v>
      </c>
      <c r="AE43" s="39">
        <v>2.3852108703612878</v>
      </c>
      <c r="AG43" s="89"/>
    </row>
    <row r="44" spans="2:33" ht="15" x14ac:dyDescent="0.25">
      <c r="D44" s="2"/>
      <c r="E44" s="2"/>
      <c r="F44" s="2"/>
      <c r="G44" s="2"/>
      <c r="K44" s="148"/>
      <c r="L44" s="79"/>
      <c r="M44" s="79"/>
      <c r="N44" s="112"/>
      <c r="O44" s="80"/>
      <c r="P44" s="113"/>
      <c r="Q44" s="81"/>
      <c r="R44" s="115"/>
      <c r="S44" s="82"/>
      <c r="T44" s="154"/>
      <c r="U44" s="154"/>
      <c r="V44" s="154"/>
      <c r="W44" s="2"/>
      <c r="X44" s="25"/>
      <c r="Y44" s="25"/>
      <c r="Z44" s="25"/>
      <c r="AA44" s="32"/>
      <c r="AB44" s="27"/>
      <c r="AC44" s="28"/>
      <c r="AD44" s="16"/>
      <c r="AE44" s="36"/>
      <c r="AG44" s="89"/>
    </row>
    <row r="45" spans="2:33" ht="15" x14ac:dyDescent="0.2">
      <c r="K45" s="148"/>
      <c r="L45" s="22"/>
      <c r="M45" s="23"/>
      <c r="N45" s="23"/>
      <c r="O45" s="23"/>
      <c r="P45" s="23"/>
      <c r="Q45" s="38"/>
      <c r="R45" s="38"/>
      <c r="S45" s="89"/>
      <c r="T45" s="154"/>
      <c r="U45" s="17"/>
      <c r="V45" s="17"/>
      <c r="AG45" s="89"/>
    </row>
    <row r="46" spans="2:33" x14ac:dyDescent="0.2">
      <c r="J46" s="89"/>
      <c r="K46" s="148"/>
      <c r="L46" s="22"/>
      <c r="M46" s="23"/>
      <c r="N46" s="23"/>
      <c r="O46" s="23"/>
      <c r="P46" s="23"/>
      <c r="Q46" s="38"/>
      <c r="R46" s="38"/>
      <c r="S46" s="89"/>
      <c r="T46" s="17"/>
      <c r="U46" s="17"/>
      <c r="V46" s="17"/>
      <c r="AG46" s="89"/>
    </row>
    <row r="47" spans="2:33" x14ac:dyDescent="0.2">
      <c r="J47" s="89"/>
      <c r="K47" s="148"/>
      <c r="L47" s="17"/>
      <c r="M47" s="22" t="s">
        <v>175</v>
      </c>
      <c r="N47" s="17"/>
      <c r="O47" s="17"/>
      <c r="P47" s="17"/>
      <c r="Q47" s="17"/>
      <c r="R47" s="17"/>
      <c r="S47" s="17"/>
      <c r="T47" s="17"/>
      <c r="U47" s="17"/>
      <c r="V47" s="17"/>
      <c r="AG47" s="89"/>
    </row>
    <row r="48" spans="2:33" x14ac:dyDescent="0.2">
      <c r="J48" s="89"/>
      <c r="K48" s="148"/>
      <c r="L48" s="22"/>
      <c r="M48" s="22">
        <v>2018</v>
      </c>
      <c r="N48" s="22"/>
      <c r="Q48" s="158" t="s">
        <v>169</v>
      </c>
      <c r="R48" s="22"/>
      <c r="S48" s="22"/>
      <c r="T48" s="22"/>
      <c r="U48" s="17"/>
      <c r="W48" s="158" t="s">
        <v>169</v>
      </c>
      <c r="X48" s="22"/>
      <c r="Y48" s="22"/>
      <c r="AG48" s="89"/>
    </row>
    <row r="49" spans="10:33" x14ac:dyDescent="0.2">
      <c r="J49" s="89"/>
      <c r="K49" s="148"/>
      <c r="L49" s="22"/>
      <c r="M49" s="160" t="s">
        <v>176</v>
      </c>
      <c r="N49" s="22" t="s">
        <v>3</v>
      </c>
      <c r="P49" s="22"/>
      <c r="Q49" s="22">
        <v>2018</v>
      </c>
      <c r="R49" s="22">
        <v>2012</v>
      </c>
      <c r="S49" s="22">
        <v>2000</v>
      </c>
      <c r="T49" s="22"/>
      <c r="U49" s="17"/>
      <c r="V49" s="22"/>
      <c r="W49" s="22">
        <v>2018</v>
      </c>
      <c r="X49" s="22">
        <v>2012</v>
      </c>
      <c r="Y49" s="22">
        <v>2000</v>
      </c>
      <c r="AG49" s="89"/>
    </row>
    <row r="50" spans="10:33" ht="13.9" customHeight="1" x14ac:dyDescent="0.2">
      <c r="K50" s="17"/>
      <c r="L50" s="22"/>
      <c r="M50" s="23">
        <f t="shared" ref="M50:N56" si="6">F9</f>
        <v>0.15296721164462806</v>
      </c>
      <c r="N50" s="23">
        <f t="shared" si="6"/>
        <v>0.30865846088115328</v>
      </c>
      <c r="P50" s="22">
        <f>M9</f>
        <v>5</v>
      </c>
      <c r="Q50" s="23">
        <f>D9</f>
        <v>-8.0147469453813847E-2</v>
      </c>
      <c r="R50" s="2">
        <f>N9</f>
        <v>-0.13425447889267617</v>
      </c>
      <c r="S50" s="2">
        <f t="shared" ref="S50:S56" si="7">Z9</f>
        <v>-0.16942743936089105</v>
      </c>
      <c r="U50" s="17"/>
      <c r="V50" s="22">
        <f>M9</f>
        <v>5</v>
      </c>
      <c r="W50" s="23">
        <f>E9</f>
        <v>0.17899000565931208</v>
      </c>
      <c r="X50" s="2">
        <f t="shared" ref="X50:X56" si="8">O9</f>
        <v>0.54219601836532294</v>
      </c>
      <c r="Y50" s="2">
        <f t="shared" ref="Y50:Y56" si="9">AA9</f>
        <v>0.67839539411314642</v>
      </c>
    </row>
    <row r="51" spans="10:33" x14ac:dyDescent="0.2">
      <c r="K51" s="17"/>
      <c r="L51" s="22"/>
      <c r="M51" s="23">
        <f t="shared" si="6"/>
        <v>0.15427292751862154</v>
      </c>
      <c r="N51" s="23">
        <f t="shared" si="6"/>
        <v>0.28868282229994346</v>
      </c>
      <c r="P51" s="22">
        <f t="shared" ref="P51:P56" si="10">M10</f>
        <v>10</v>
      </c>
      <c r="Q51" s="23">
        <f t="shared" ref="Q51:Q56" si="11">D10</f>
        <v>-8.5231855725532962E-2</v>
      </c>
      <c r="R51" s="2">
        <f t="shared" ref="R51:R56" si="12">N10</f>
        <v>-0.13043682511738158</v>
      </c>
      <c r="S51" s="2">
        <f t="shared" si="7"/>
        <v>-0.16550943180472336</v>
      </c>
      <c r="U51" s="17"/>
      <c r="V51" s="22">
        <f t="shared" ref="V51:V56" si="13">M10</f>
        <v>10</v>
      </c>
      <c r="W51" s="23">
        <f t="shared" ref="W51:W56" si="14">E10</f>
        <v>0.1617012325905226</v>
      </c>
      <c r="X51" s="2">
        <f t="shared" si="8"/>
        <v>0.52987267255606696</v>
      </c>
      <c r="Y51" s="2">
        <f t="shared" si="9"/>
        <v>0.66246434327300485</v>
      </c>
    </row>
    <row r="52" spans="10:33" x14ac:dyDescent="0.2">
      <c r="K52" s="17"/>
      <c r="L52" s="22"/>
      <c r="M52" s="23">
        <f t="shared" si="6"/>
        <v>0.16182824213182229</v>
      </c>
      <c r="N52" s="23">
        <f t="shared" si="6"/>
        <v>0.26026266944766907</v>
      </c>
      <c r="P52" s="22">
        <f t="shared" si="10"/>
        <v>20</v>
      </c>
      <c r="Q52" s="23">
        <f t="shared" si="11"/>
        <v>-8.679850683409758E-2</v>
      </c>
      <c r="R52" s="2">
        <f t="shared" si="12"/>
        <v>-0.13950670742109131</v>
      </c>
      <c r="S52" s="2">
        <f t="shared" si="7"/>
        <v>-0.17530559533582235</v>
      </c>
      <c r="U52" s="17"/>
      <c r="V52" s="22">
        <f t="shared" si="13"/>
        <v>20</v>
      </c>
      <c r="W52" s="23">
        <f t="shared" si="14"/>
        <v>0.14534147531921182</v>
      </c>
      <c r="X52" s="2">
        <f t="shared" si="8"/>
        <v>0.5102258665906988</v>
      </c>
      <c r="Y52" s="2">
        <f t="shared" si="9"/>
        <v>0.63692702882481655</v>
      </c>
    </row>
    <row r="53" spans="10:33" x14ac:dyDescent="0.2">
      <c r="K53" s="17"/>
      <c r="L53" s="22"/>
      <c r="M53" s="23">
        <f t="shared" si="6"/>
        <v>0.17035035801648163</v>
      </c>
      <c r="N53" s="23">
        <f t="shared" si="6"/>
        <v>0.23769738781555289</v>
      </c>
      <c r="P53" s="22">
        <f t="shared" si="10"/>
        <v>40</v>
      </c>
      <c r="Q53" s="23">
        <f t="shared" si="11"/>
        <v>-9.472853958630334E-2</v>
      </c>
      <c r="R53" s="2">
        <f t="shared" si="12"/>
        <v>-0.15130283468302438</v>
      </c>
      <c r="S53" s="2">
        <f t="shared" si="7"/>
        <v>-0.18870936749931591</v>
      </c>
      <c r="U53" s="17"/>
      <c r="V53" s="22">
        <f t="shared" si="13"/>
        <v>40</v>
      </c>
      <c r="W53" s="23">
        <f t="shared" si="14"/>
        <v>0.11747420826794194</v>
      </c>
      <c r="X53" s="2">
        <f t="shared" si="8"/>
        <v>0.47718881887235698</v>
      </c>
      <c r="Y53" s="2">
        <f t="shared" si="9"/>
        <v>0.60227947042572705</v>
      </c>
    </row>
    <row r="54" spans="10:33" x14ac:dyDescent="0.2">
      <c r="K54" s="17"/>
      <c r="L54" s="22"/>
      <c r="M54" s="23">
        <f t="shared" si="6"/>
        <v>0.17178754887238312</v>
      </c>
      <c r="N54" s="23">
        <f t="shared" si="6"/>
        <v>0.2207245060799139</v>
      </c>
      <c r="P54" s="22">
        <f t="shared" si="10"/>
        <v>60</v>
      </c>
      <c r="Q54" s="23">
        <f t="shared" si="11"/>
        <v>-9.3595189973814844E-2</v>
      </c>
      <c r="R54" s="2">
        <f t="shared" si="12"/>
        <v>-0.16442604888324489</v>
      </c>
      <c r="S54" s="2">
        <f t="shared" si="7"/>
        <v>-0.20071487557479686</v>
      </c>
      <c r="U54" s="17"/>
      <c r="V54" s="22">
        <f t="shared" si="13"/>
        <v>60</v>
      </c>
      <c r="W54" s="23">
        <f t="shared" si="14"/>
        <v>0.11528659665773733</v>
      </c>
      <c r="X54" s="2">
        <f t="shared" si="8"/>
        <v>0.44689334685582727</v>
      </c>
      <c r="Y54" s="2">
        <f t="shared" si="9"/>
        <v>0.57492790709601316</v>
      </c>
    </row>
    <row r="55" spans="10:33" x14ac:dyDescent="0.2">
      <c r="K55" s="17"/>
      <c r="L55" s="22"/>
      <c r="M55" s="23">
        <f t="shared" si="6"/>
        <v>0.16238024256956851</v>
      </c>
      <c r="N55" s="23">
        <f t="shared" si="6"/>
        <v>0.20877178098152177</v>
      </c>
      <c r="P55" s="22">
        <f t="shared" si="10"/>
        <v>100</v>
      </c>
      <c r="Q55" s="23">
        <f t="shared" si="11"/>
        <v>-9.9017207034306831E-2</v>
      </c>
      <c r="R55" s="2">
        <f t="shared" si="12"/>
        <v>-0.18186059007909464</v>
      </c>
      <c r="S55" s="2">
        <f t="shared" si="7"/>
        <v>-0.21736984982114527</v>
      </c>
      <c r="U55" s="17"/>
      <c r="V55" s="22">
        <f t="shared" si="13"/>
        <v>100</v>
      </c>
      <c r="W55" s="23">
        <f t="shared" si="14"/>
        <v>0.21459007142083189</v>
      </c>
      <c r="X55" s="2">
        <f t="shared" si="8"/>
        <v>0.39161341079670314</v>
      </c>
      <c r="Y55" s="2">
        <f t="shared" si="9"/>
        <v>0.52878509853882794</v>
      </c>
    </row>
    <row r="56" spans="10:33" x14ac:dyDescent="0.2">
      <c r="K56" s="17"/>
      <c r="L56" s="22"/>
      <c r="M56" s="23" t="e">
        <f t="shared" si="6"/>
        <v>#N/A</v>
      </c>
      <c r="N56" s="23" t="e">
        <f t="shared" si="6"/>
        <v>#N/A</v>
      </c>
      <c r="P56" s="22">
        <f t="shared" si="10"/>
        <v>125</v>
      </c>
      <c r="Q56" s="23">
        <f t="shared" si="11"/>
        <v>-0.10644900791739867</v>
      </c>
      <c r="R56" s="2">
        <f t="shared" si="12"/>
        <v>-0.18418041374162092</v>
      </c>
      <c r="S56" s="2">
        <f t="shared" si="7"/>
        <v>-0.22840287826074449</v>
      </c>
      <c r="U56" s="17"/>
      <c r="V56" s="22">
        <f t="shared" si="13"/>
        <v>125</v>
      </c>
      <c r="W56" s="23">
        <f t="shared" si="14"/>
        <v>0.32852577058239191</v>
      </c>
      <c r="X56" s="2">
        <f t="shared" si="8"/>
        <v>0.37598553677847429</v>
      </c>
      <c r="Y56" s="2">
        <f t="shared" si="9"/>
        <v>0.46878499097163134</v>
      </c>
    </row>
    <row r="57" spans="10:33" x14ac:dyDescent="0.2">
      <c r="K57" s="17"/>
      <c r="L57" s="22"/>
      <c r="M57" s="22"/>
      <c r="N57" s="22"/>
      <c r="O57" s="22"/>
      <c r="P57" s="22"/>
      <c r="Q57" s="23"/>
      <c r="R57" s="23"/>
      <c r="S57" s="22"/>
      <c r="T57" s="22"/>
      <c r="U57" s="17"/>
      <c r="V57" s="17"/>
    </row>
    <row r="58" spans="10:33" x14ac:dyDescent="0.2">
      <c r="K58" s="17"/>
      <c r="L58" s="22"/>
      <c r="M58" s="22"/>
      <c r="N58" s="22"/>
      <c r="O58" s="22"/>
      <c r="P58" s="22"/>
      <c r="Q58" s="158" t="s">
        <v>170</v>
      </c>
      <c r="R58" s="22"/>
      <c r="S58" s="22"/>
      <c r="T58" s="22"/>
      <c r="U58" s="17"/>
      <c r="V58" s="22"/>
      <c r="W58" s="158" t="s">
        <v>170</v>
      </c>
      <c r="X58" s="22"/>
      <c r="Y58" s="22"/>
    </row>
    <row r="59" spans="10:33" x14ac:dyDescent="0.2">
      <c r="K59" s="17"/>
      <c r="L59" s="22"/>
      <c r="M59" s="22"/>
      <c r="N59" s="22"/>
      <c r="O59" s="22"/>
      <c r="P59" s="22"/>
      <c r="Q59" s="22">
        <v>2018</v>
      </c>
      <c r="R59" s="22">
        <v>2012</v>
      </c>
      <c r="S59" s="22">
        <v>2000</v>
      </c>
      <c r="T59" s="22"/>
      <c r="U59" s="17"/>
      <c r="V59" s="22"/>
      <c r="W59" s="22">
        <v>2018</v>
      </c>
      <c r="X59" s="22">
        <v>2012</v>
      </c>
      <c r="Y59" s="22">
        <v>2000</v>
      </c>
    </row>
    <row r="60" spans="10:33" x14ac:dyDescent="0.2">
      <c r="K60" s="17"/>
      <c r="L60" s="22"/>
      <c r="M60" s="22"/>
      <c r="N60" s="22"/>
      <c r="O60" s="22"/>
      <c r="P60" s="22">
        <f t="shared" ref="P60:P66" si="15">M23</f>
        <v>5</v>
      </c>
      <c r="Q60" s="23" t="e">
        <f t="shared" ref="Q60:Q66" si="16">D23</f>
        <v>#N/A</v>
      </c>
      <c r="R60" s="2">
        <f t="shared" ref="R60:R66" si="17">N23</f>
        <v>-0.14855712994268233</v>
      </c>
      <c r="S60" s="2">
        <f t="shared" ref="S60:S66" si="18">Z23</f>
        <v>-0.16942743936089105</v>
      </c>
      <c r="U60" s="17"/>
      <c r="V60" s="22">
        <f t="shared" ref="V60:V66" si="19">M23</f>
        <v>5</v>
      </c>
      <c r="W60" s="23" t="e">
        <f t="shared" ref="W60:W66" si="20">E23</f>
        <v>#N/A</v>
      </c>
      <c r="X60" s="2">
        <f t="shared" ref="X60:X66" si="21">O23</f>
        <v>0.57647770718631364</v>
      </c>
      <c r="Y60" s="2">
        <f t="shared" ref="Y60:Y66" si="22">AA23</f>
        <v>0.67839539411314642</v>
      </c>
    </row>
    <row r="61" spans="10:33" x14ac:dyDescent="0.2">
      <c r="L61" s="22"/>
      <c r="M61" s="22"/>
      <c r="N61" s="22"/>
      <c r="O61" s="22"/>
      <c r="P61" s="22">
        <f t="shared" si="15"/>
        <v>10</v>
      </c>
      <c r="Q61" s="23" t="e">
        <f t="shared" si="16"/>
        <v>#N/A</v>
      </c>
      <c r="R61" s="2">
        <f t="shared" si="17"/>
        <v>-0.14662048742474323</v>
      </c>
      <c r="S61" s="2">
        <f t="shared" si="18"/>
        <v>-0.16550943180472336</v>
      </c>
      <c r="U61" s="17"/>
      <c r="V61" s="22">
        <f t="shared" si="19"/>
        <v>10</v>
      </c>
      <c r="W61" s="23" t="e">
        <f t="shared" si="20"/>
        <v>#N/A</v>
      </c>
      <c r="X61" s="2">
        <f t="shared" si="21"/>
        <v>0.56499621670854716</v>
      </c>
      <c r="Y61" s="2">
        <f t="shared" si="22"/>
        <v>0.66246434327300485</v>
      </c>
    </row>
    <row r="62" spans="10:33" x14ac:dyDescent="0.2">
      <c r="L62" s="22"/>
      <c r="M62" s="22"/>
      <c r="N62" s="22"/>
      <c r="O62" s="22"/>
      <c r="P62" s="22">
        <f t="shared" si="15"/>
        <v>20</v>
      </c>
      <c r="Q62" s="23" t="e">
        <f t="shared" si="16"/>
        <v>#N/A</v>
      </c>
      <c r="R62" s="2">
        <f t="shared" si="17"/>
        <v>-0.15203007324010503</v>
      </c>
      <c r="S62" s="2">
        <f t="shared" si="18"/>
        <v>-0.17530559533582235</v>
      </c>
      <c r="U62" s="17"/>
      <c r="V62" s="22">
        <f t="shared" si="19"/>
        <v>20</v>
      </c>
      <c r="W62" s="23" t="e">
        <f t="shared" si="20"/>
        <v>#N/A</v>
      </c>
      <c r="X62" s="2">
        <f t="shared" si="21"/>
        <v>0.54815500593884081</v>
      </c>
      <c r="Y62" s="2">
        <f t="shared" si="22"/>
        <v>0.63692702882481655</v>
      </c>
    </row>
    <row r="63" spans="10:33" x14ac:dyDescent="0.2">
      <c r="L63" s="22"/>
      <c r="M63" s="22"/>
      <c r="N63" s="22"/>
      <c r="O63" s="22"/>
      <c r="P63" s="22">
        <f t="shared" si="15"/>
        <v>40</v>
      </c>
      <c r="Q63" s="23" t="e">
        <f t="shared" si="16"/>
        <v>#N/A</v>
      </c>
      <c r="R63" s="2">
        <f t="shared" si="17"/>
        <v>-0.16052005203835495</v>
      </c>
      <c r="S63" s="2">
        <f t="shared" si="18"/>
        <v>-0.18870936749931591</v>
      </c>
      <c r="U63" s="17"/>
      <c r="V63" s="22">
        <f t="shared" si="19"/>
        <v>40</v>
      </c>
      <c r="W63" s="23" t="e">
        <f t="shared" si="20"/>
        <v>#N/A</v>
      </c>
      <c r="X63" s="2">
        <f t="shared" si="21"/>
        <v>0.51732823529294281</v>
      </c>
      <c r="Y63" s="2">
        <f t="shared" si="22"/>
        <v>0.60227947042572705</v>
      </c>
    </row>
    <row r="64" spans="10:33" x14ac:dyDescent="0.2">
      <c r="L64" s="22"/>
      <c r="M64" s="22"/>
      <c r="N64" s="22"/>
      <c r="O64" s="22"/>
      <c r="P64" s="22">
        <f t="shared" si="15"/>
        <v>60</v>
      </c>
      <c r="Q64" s="23" t="e">
        <f t="shared" si="16"/>
        <v>#N/A</v>
      </c>
      <c r="R64" s="2">
        <f t="shared" si="17"/>
        <v>-0.16874273615605986</v>
      </c>
      <c r="S64" s="2">
        <f t="shared" si="18"/>
        <v>-0.20071487557479686</v>
      </c>
      <c r="U64" s="17"/>
      <c r="V64" s="22">
        <f t="shared" si="19"/>
        <v>60</v>
      </c>
      <c r="W64" s="23" t="e">
        <f t="shared" si="20"/>
        <v>#N/A</v>
      </c>
      <c r="X64" s="2">
        <f t="shared" si="21"/>
        <v>0.49105719469316517</v>
      </c>
      <c r="Y64" s="2">
        <f t="shared" si="22"/>
        <v>0.57492790709601316</v>
      </c>
    </row>
    <row r="65" spans="12:25" x14ac:dyDescent="0.2">
      <c r="L65" s="22"/>
      <c r="M65" s="22"/>
      <c r="N65" s="22"/>
      <c r="O65" s="22"/>
      <c r="P65" s="22">
        <f t="shared" si="15"/>
        <v>100</v>
      </c>
      <c r="Q65" s="23" t="e">
        <f t="shared" si="16"/>
        <v>#N/A</v>
      </c>
      <c r="R65" s="2">
        <f t="shared" si="17"/>
        <v>-0.17875111779287733</v>
      </c>
      <c r="S65" s="2">
        <f t="shared" si="18"/>
        <v>-0.21736984982114527</v>
      </c>
      <c r="U65" s="17"/>
      <c r="V65" s="22">
        <f t="shared" si="19"/>
        <v>100</v>
      </c>
      <c r="W65" s="23" t="e">
        <f t="shared" si="20"/>
        <v>#N/A</v>
      </c>
      <c r="X65" s="2">
        <f t="shared" si="21"/>
        <v>0.4466509621535571</v>
      </c>
      <c r="Y65" s="2">
        <f t="shared" si="22"/>
        <v>0.52878509853882794</v>
      </c>
    </row>
    <row r="66" spans="12:25" x14ac:dyDescent="0.2">
      <c r="L66" s="22"/>
      <c r="M66" s="22"/>
      <c r="N66" s="22"/>
      <c r="O66" s="22"/>
      <c r="P66" s="22">
        <f t="shared" si="15"/>
        <v>125</v>
      </c>
      <c r="Q66" s="23" t="e">
        <f t="shared" si="16"/>
        <v>#N/A</v>
      </c>
      <c r="R66" s="2">
        <f t="shared" si="17"/>
        <v>-0.18755660199896249</v>
      </c>
      <c r="S66" s="2">
        <f t="shared" si="18"/>
        <v>-0.22840287826074449</v>
      </c>
      <c r="U66" s="17"/>
      <c r="V66" s="22">
        <f t="shared" si="19"/>
        <v>125</v>
      </c>
      <c r="W66" s="23" t="e">
        <f t="shared" si="20"/>
        <v>#N/A</v>
      </c>
      <c r="X66" s="2">
        <f t="shared" si="21"/>
        <v>0.42377457192629803</v>
      </c>
      <c r="Y66" s="2">
        <f t="shared" si="22"/>
        <v>0.46878499097163134</v>
      </c>
    </row>
    <row r="67" spans="12:25" x14ac:dyDescent="0.2">
      <c r="L67" s="22"/>
      <c r="M67" s="22"/>
      <c r="N67" s="22"/>
      <c r="O67" s="22"/>
      <c r="P67" s="22"/>
      <c r="Q67" s="22"/>
      <c r="R67" s="22"/>
      <c r="S67" s="22"/>
      <c r="T67" s="22"/>
    </row>
    <row r="68" spans="12:25" x14ac:dyDescent="0.2">
      <c r="L68" s="22"/>
      <c r="M68" s="22"/>
      <c r="N68" s="22"/>
      <c r="O68" s="22"/>
      <c r="P68" s="22"/>
      <c r="Q68" s="158" t="s">
        <v>171</v>
      </c>
      <c r="R68" s="22"/>
      <c r="S68" s="22"/>
      <c r="T68" s="22"/>
      <c r="U68" s="22"/>
      <c r="V68" s="22"/>
      <c r="W68" s="158" t="s">
        <v>171</v>
      </c>
      <c r="X68" s="22"/>
      <c r="Y68" s="22"/>
    </row>
    <row r="69" spans="12:25" x14ac:dyDescent="0.2">
      <c r="L69" s="22"/>
      <c r="M69" s="22"/>
      <c r="N69" s="22"/>
      <c r="O69" s="22"/>
      <c r="P69" s="22"/>
      <c r="Q69" s="22">
        <v>2018</v>
      </c>
      <c r="R69" s="22">
        <v>2012</v>
      </c>
      <c r="S69" s="22">
        <v>2000</v>
      </c>
      <c r="T69" s="22"/>
      <c r="U69" s="17"/>
      <c r="V69" s="22"/>
      <c r="W69" s="22">
        <v>2018</v>
      </c>
      <c r="X69" s="22">
        <v>2012</v>
      </c>
      <c r="Y69" s="22">
        <v>2000</v>
      </c>
    </row>
    <row r="70" spans="12:25" x14ac:dyDescent="0.2">
      <c r="L70" s="22"/>
      <c r="M70" s="22"/>
      <c r="N70" s="22"/>
      <c r="O70" s="22"/>
      <c r="P70" s="22">
        <f t="shared" ref="P70:P76" si="23">M37</f>
        <v>5</v>
      </c>
      <c r="Q70" s="23">
        <f t="shared" ref="Q70:Q76" si="24">D37</f>
        <v>-7.3052151605169188E-2</v>
      </c>
      <c r="R70" s="2">
        <f t="shared" ref="R70:R76" si="25">N37</f>
        <v>-0.23021058891857277</v>
      </c>
      <c r="S70" s="2">
        <f t="shared" ref="S70:S76" si="26">Z37</f>
        <v>-0.16942743936089105</v>
      </c>
      <c r="U70" s="17"/>
      <c r="V70" s="22">
        <f t="shared" ref="V70:V76" si="27">M37</f>
        <v>5</v>
      </c>
      <c r="W70" s="23">
        <f t="shared" ref="W70:W76" si="28">E37</f>
        <v>0.1977685692916471</v>
      </c>
      <c r="X70" s="2">
        <f t="shared" ref="X70:X76" si="29">O37</f>
        <v>0.9307586067208713</v>
      </c>
      <c r="Y70" s="2">
        <f t="shared" ref="Y70:Y76" si="30">AA37</f>
        <v>0.67839539411314642</v>
      </c>
    </row>
    <row r="71" spans="12:25" x14ac:dyDescent="0.2">
      <c r="L71" s="22"/>
      <c r="M71" s="22"/>
      <c r="N71" s="22"/>
      <c r="O71" s="22"/>
      <c r="P71" s="22">
        <f t="shared" si="23"/>
        <v>10</v>
      </c>
      <c r="Q71" s="23">
        <f t="shared" si="24"/>
        <v>-7.5057671674103169E-2</v>
      </c>
      <c r="R71" s="2">
        <f t="shared" si="25"/>
        <v>-0.23878689984046989</v>
      </c>
      <c r="S71" s="2">
        <f t="shared" si="26"/>
        <v>-0.16550943180472336</v>
      </c>
      <c r="U71" s="17"/>
      <c r="V71" s="22">
        <f t="shared" si="27"/>
        <v>10</v>
      </c>
      <c r="W71" s="23">
        <f t="shared" si="28"/>
        <v>0.19088938420973767</v>
      </c>
      <c r="X71" s="2">
        <f t="shared" si="29"/>
        <v>0.91128080181618432</v>
      </c>
      <c r="Y71" s="2">
        <f t="shared" si="30"/>
        <v>0.66246434327300485</v>
      </c>
    </row>
    <row r="72" spans="12:25" x14ac:dyDescent="0.2">
      <c r="L72" s="22"/>
      <c r="M72" s="22"/>
      <c r="N72" s="22"/>
      <c r="O72" s="22"/>
      <c r="P72" s="22">
        <f t="shared" si="23"/>
        <v>20</v>
      </c>
      <c r="Q72" s="23">
        <f t="shared" si="24"/>
        <v>-7.5879944769966054E-2</v>
      </c>
      <c r="R72" s="2">
        <f t="shared" si="25"/>
        <v>-0.24941260658994399</v>
      </c>
      <c r="S72" s="2">
        <f t="shared" si="26"/>
        <v>-0.17530559533582235</v>
      </c>
      <c r="U72" s="17"/>
      <c r="V72" s="22">
        <f t="shared" si="27"/>
        <v>20</v>
      </c>
      <c r="W72" s="23">
        <f t="shared" si="28"/>
        <v>0.18088017816983926</v>
      </c>
      <c r="X72" s="2">
        <f t="shared" si="29"/>
        <v>0.87665632189754117</v>
      </c>
      <c r="Y72" s="2">
        <f t="shared" si="30"/>
        <v>0.63692702882481655</v>
      </c>
    </row>
    <row r="73" spans="12:25" x14ac:dyDescent="0.2">
      <c r="L73" s="22"/>
      <c r="M73" s="22"/>
      <c r="N73" s="22"/>
      <c r="O73" s="22"/>
      <c r="P73" s="22">
        <f t="shared" si="23"/>
        <v>40</v>
      </c>
      <c r="Q73" s="23">
        <f t="shared" si="24"/>
        <v>-9.9889022813507949E-2</v>
      </c>
      <c r="R73" s="2">
        <f t="shared" si="25"/>
        <v>-0.26431913830074411</v>
      </c>
      <c r="S73" s="2">
        <f t="shared" si="26"/>
        <v>-0.18870936749931591</v>
      </c>
      <c r="U73" s="17"/>
      <c r="V73" s="22">
        <f t="shared" si="27"/>
        <v>40</v>
      </c>
      <c r="W73" s="23">
        <f t="shared" si="28"/>
        <v>0.28308277251638608</v>
      </c>
      <c r="X73" s="2">
        <f t="shared" si="29"/>
        <v>0.82707724052378784</v>
      </c>
      <c r="Y73" s="2">
        <f t="shared" si="30"/>
        <v>0.60227947042572705</v>
      </c>
    </row>
    <row r="74" spans="12:25" x14ac:dyDescent="0.2">
      <c r="L74" s="22"/>
      <c r="M74" s="22"/>
      <c r="N74" s="22"/>
      <c r="O74" s="22"/>
      <c r="P74" s="22">
        <f t="shared" si="23"/>
        <v>60</v>
      </c>
      <c r="Q74" s="23">
        <f t="shared" si="24"/>
        <v>-0.12730880684602658</v>
      </c>
      <c r="R74" s="2">
        <f t="shared" si="25"/>
        <v>-0.27802791880106131</v>
      </c>
      <c r="S74" s="2">
        <f t="shared" si="26"/>
        <v>-0.20071487557479686</v>
      </c>
      <c r="U74" s="17"/>
      <c r="V74" s="22">
        <f t="shared" si="27"/>
        <v>60</v>
      </c>
      <c r="W74" s="23">
        <f t="shared" si="28"/>
        <v>0.38382365334572432</v>
      </c>
      <c r="X74" s="2">
        <f t="shared" si="29"/>
        <v>0.78406822607829241</v>
      </c>
      <c r="Y74" s="2">
        <f t="shared" si="30"/>
        <v>0.57492790709601316</v>
      </c>
    </row>
    <row r="75" spans="12:25" x14ac:dyDescent="0.2">
      <c r="L75" s="22"/>
      <c r="M75" s="22"/>
      <c r="N75" s="22"/>
      <c r="O75" s="22"/>
      <c r="P75" s="22">
        <f t="shared" si="23"/>
        <v>100</v>
      </c>
      <c r="Q75" s="23">
        <f t="shared" si="24"/>
        <v>-0.19036706039425999</v>
      </c>
      <c r="R75" s="2">
        <f t="shared" si="25"/>
        <v>-0.3022992240814385</v>
      </c>
      <c r="S75" s="2">
        <f t="shared" si="26"/>
        <v>-0.21736984982114527</v>
      </c>
      <c r="U75" s="17"/>
      <c r="V75" s="22">
        <f t="shared" si="27"/>
        <v>100</v>
      </c>
      <c r="W75" s="23">
        <f t="shared" si="28"/>
        <v>0.78877932581886079</v>
      </c>
      <c r="X75" s="2">
        <f t="shared" si="29"/>
        <v>0.70429349775570249</v>
      </c>
      <c r="Y75" s="2">
        <f t="shared" si="30"/>
        <v>0.52878509853882794</v>
      </c>
    </row>
    <row r="76" spans="12:25" x14ac:dyDescent="0.2">
      <c r="L76" s="22"/>
      <c r="M76" s="22"/>
      <c r="N76" s="22"/>
      <c r="O76" s="22"/>
      <c r="P76" s="22">
        <f t="shared" si="23"/>
        <v>125</v>
      </c>
      <c r="Q76" s="23">
        <f t="shared" si="24"/>
        <v>-0.22067681422600038</v>
      </c>
      <c r="R76" s="2">
        <f t="shared" si="25"/>
        <v>-0.315471484522312</v>
      </c>
      <c r="S76" s="2">
        <f t="shared" si="26"/>
        <v>-0.22840287826074449</v>
      </c>
      <c r="U76" s="17"/>
      <c r="V76" s="22">
        <f t="shared" si="27"/>
        <v>125</v>
      </c>
      <c r="W76" s="23">
        <f t="shared" si="28"/>
        <v>0.96764863881868879</v>
      </c>
      <c r="X76" s="2">
        <f t="shared" si="29"/>
        <v>0.6610790054354384</v>
      </c>
      <c r="Y76" s="2">
        <f t="shared" si="30"/>
        <v>0.46878499097163134</v>
      </c>
    </row>
    <row r="77" spans="12:25" x14ac:dyDescent="0.2">
      <c r="L77" s="22"/>
      <c r="M77" s="22"/>
      <c r="N77" s="22"/>
      <c r="O77" s="22"/>
    </row>
    <row r="78" spans="12:25" x14ac:dyDescent="0.2">
      <c r="L78" s="22"/>
      <c r="M78" s="22"/>
      <c r="N78" s="22"/>
      <c r="O78" s="22"/>
    </row>
    <row r="79" spans="12:25" x14ac:dyDescent="0.2">
      <c r="L79" s="22"/>
      <c r="M79" s="22"/>
      <c r="N79" s="22"/>
      <c r="O79" s="22"/>
    </row>
    <row r="80" spans="12:25" x14ac:dyDescent="0.2">
      <c r="L80" s="22"/>
      <c r="M80" s="22"/>
      <c r="N80" s="22"/>
      <c r="O80" s="22"/>
    </row>
    <row r="81" spans="12:20" x14ac:dyDescent="0.2">
      <c r="L81" s="22"/>
      <c r="M81" s="22"/>
      <c r="N81" s="22"/>
      <c r="O81" s="22"/>
    </row>
    <row r="82" spans="12:20" x14ac:dyDescent="0.2">
      <c r="L82" s="22"/>
      <c r="M82" s="22"/>
      <c r="N82" s="22"/>
      <c r="O82" s="22"/>
    </row>
    <row r="83" spans="12:20" x14ac:dyDescent="0.2">
      <c r="L83" s="22"/>
      <c r="M83" s="22"/>
      <c r="N83" s="22"/>
      <c r="O83" s="22"/>
    </row>
    <row r="84" spans="12:20" x14ac:dyDescent="0.2">
      <c r="L84" s="22"/>
      <c r="M84" s="22"/>
      <c r="N84" s="22"/>
      <c r="O84" s="22"/>
    </row>
    <row r="85" spans="12:20" x14ac:dyDescent="0.2">
      <c r="L85" s="22"/>
      <c r="M85" s="22"/>
      <c r="N85" s="22"/>
      <c r="O85" s="22"/>
      <c r="P85" s="22"/>
      <c r="Q85" s="22"/>
      <c r="R85" s="22"/>
      <c r="S85" s="22"/>
      <c r="T85" s="22"/>
    </row>
    <row r="86" spans="12:20" x14ac:dyDescent="0.2">
      <c r="P86" s="22"/>
      <c r="Q86" s="22"/>
      <c r="R86" s="22"/>
      <c r="S86" s="22"/>
      <c r="T86" s="22"/>
    </row>
  </sheetData>
  <mergeCells count="27">
    <mergeCell ref="F7:G7"/>
    <mergeCell ref="D7:E7"/>
    <mergeCell ref="D21:E21"/>
    <mergeCell ref="F21:G21"/>
    <mergeCell ref="D35:E35"/>
    <mergeCell ref="F35:G35"/>
    <mergeCell ref="L6:S6"/>
    <mergeCell ref="N7:O7"/>
    <mergeCell ref="P7:Q7"/>
    <mergeCell ref="R7:S7"/>
    <mergeCell ref="Z7:AA7"/>
    <mergeCell ref="AD35:AE35"/>
    <mergeCell ref="AD7:AE7"/>
    <mergeCell ref="L20:S20"/>
    <mergeCell ref="N21:O21"/>
    <mergeCell ref="P21:Q21"/>
    <mergeCell ref="R21:S21"/>
    <mergeCell ref="Z21:AA21"/>
    <mergeCell ref="AB21:AC21"/>
    <mergeCell ref="AD21:AE21"/>
    <mergeCell ref="AB7:AC7"/>
    <mergeCell ref="L34:S34"/>
    <mergeCell ref="N35:O35"/>
    <mergeCell ref="P35:Q35"/>
    <mergeCell ref="R35:S35"/>
    <mergeCell ref="Z35:AA35"/>
    <mergeCell ref="AB35:AC35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M43"/>
  <sheetViews>
    <sheetView topLeftCell="A19" zoomScaleNormal="100" workbookViewId="0">
      <selection activeCell="A36" sqref="A36:A42"/>
    </sheetView>
  </sheetViews>
  <sheetFormatPr defaultColWidth="9.140625" defaultRowHeight="15" x14ac:dyDescent="0.25"/>
  <cols>
    <col min="1" max="2" width="9.140625" style="69"/>
    <col min="3" max="3" width="9.140625" style="69" customWidth="1"/>
    <col min="4" max="4" width="11.42578125" style="69" customWidth="1"/>
    <col min="5" max="6" width="10.28515625" style="69" customWidth="1"/>
    <col min="7" max="10" width="11.28515625" style="69" customWidth="1"/>
    <col min="11" max="11" width="9" style="69" customWidth="1"/>
    <col min="12" max="16384" width="9.140625" style="69"/>
  </cols>
  <sheetData>
    <row r="2" spans="1:13" x14ac:dyDescent="0.25">
      <c r="A2" s="68" t="s">
        <v>4</v>
      </c>
    </row>
    <row r="4" spans="1:13" x14ac:dyDescent="0.25">
      <c r="L4" s="70" t="s">
        <v>100</v>
      </c>
    </row>
    <row r="5" spans="1:13" x14ac:dyDescent="0.25">
      <c r="H5" s="71"/>
      <c r="I5" s="71"/>
      <c r="J5" s="71"/>
      <c r="L5" s="70" t="s">
        <v>101</v>
      </c>
    </row>
    <row r="6" spans="1:13" ht="21" customHeight="1" x14ac:dyDescent="0.25">
      <c r="A6" s="69">
        <v>51</v>
      </c>
      <c r="C6" s="194" t="e">
        <f>"Table "&amp;L6&amp;". Ratio "&amp;LEFT(M6,FIND("/",M6)-1)&amp;":5."&amp;"  Secondary: "&amp;K6</f>
        <v>#VALUE!</v>
      </c>
      <c r="D6" s="195"/>
      <c r="E6" s="195"/>
      <c r="F6" s="195"/>
      <c r="G6" s="195"/>
      <c r="H6" s="195"/>
      <c r="I6" s="195"/>
      <c r="J6" s="196"/>
      <c r="K6" s="69" t="e">
        <f>MID(M6,FIND("M",M6),6)</f>
        <v>#VALUE!</v>
      </c>
      <c r="L6" s="69">
        <v>3</v>
      </c>
      <c r="M6" s="69" t="str">
        <f>VLOOKUP($A6,Calculations!$A$8:$AL$133,4,FALSE)</f>
        <v>30/5 range, l - 1200At(5A), vs shunts and 500 AT on 50/5 range.</v>
      </c>
    </row>
    <row r="7" spans="1:13" ht="21.6" customHeight="1" x14ac:dyDescent="0.25">
      <c r="C7" s="73"/>
      <c r="D7" s="72"/>
      <c r="E7" s="197" t="s">
        <v>137</v>
      </c>
      <c r="F7" s="198"/>
      <c r="G7" s="197" t="s">
        <v>109</v>
      </c>
      <c r="H7" s="199"/>
      <c r="I7" s="200" t="s">
        <v>76</v>
      </c>
      <c r="J7" s="201"/>
    </row>
    <row r="8" spans="1:13" ht="45" x14ac:dyDescent="0.25">
      <c r="C8" s="74" t="s">
        <v>136</v>
      </c>
      <c r="D8" s="74" t="s">
        <v>73</v>
      </c>
      <c r="E8" s="110" t="s">
        <v>71</v>
      </c>
      <c r="F8" s="75" t="s">
        <v>72</v>
      </c>
      <c r="G8" s="110" t="s">
        <v>71</v>
      </c>
      <c r="H8" s="75" t="s">
        <v>143</v>
      </c>
      <c r="I8" s="110" t="s">
        <v>141</v>
      </c>
      <c r="J8" s="75" t="s">
        <v>142</v>
      </c>
    </row>
    <row r="9" spans="1:13" x14ac:dyDescent="0.25">
      <c r="A9" s="69">
        <v>53</v>
      </c>
      <c r="C9" s="117">
        <f>Calculations!$K$3</f>
        <v>0.6</v>
      </c>
      <c r="D9" s="76">
        <f>VLOOKUP($A9,Calculations!$A$8:$AL$133,4,FALSE)</f>
        <v>5</v>
      </c>
      <c r="E9" s="111">
        <f>VLOOKUP($A9,Calculations!$A$8:$AL$133,11,FALSE)</f>
        <v>-8.0147469453813847E-2</v>
      </c>
      <c r="F9" s="77">
        <f>VLOOKUP($A9,Calculations!$A$8:$AL$133,12,FALSE)</f>
        <v>0.17899000565931208</v>
      </c>
      <c r="G9" s="111">
        <f>VLOOKUP($A9,Calculations!$A$8:$AL$133,23,FALSE)*I9</f>
        <v>0.15296721164462806</v>
      </c>
      <c r="H9" s="77">
        <f>VLOOKUP($A9,Calculations!$A$8:$AL$133,36,FALSE)*J9</f>
        <v>0.30865846088115328</v>
      </c>
      <c r="I9" s="114">
        <f>VLOOKUP($A9,Calculations!$A$8:$AL$133,25,FALSE)</f>
        <v>2.1430840655337868</v>
      </c>
      <c r="J9" s="78">
        <f>VLOOKUP($A9,Calculations!$A$8:$AL$133,38,FALSE)</f>
        <v>2.150377247689919</v>
      </c>
    </row>
    <row r="10" spans="1:13" x14ac:dyDescent="0.25">
      <c r="A10" s="69">
        <v>54</v>
      </c>
      <c r="C10" s="117">
        <f>Calculations!$K$3</f>
        <v>0.6</v>
      </c>
      <c r="D10" s="76">
        <f>VLOOKUP($A10,Calculations!$A$8:$AL$133,4,FALSE)</f>
        <v>10</v>
      </c>
      <c r="E10" s="111">
        <f>VLOOKUP($A10,Calculations!$A$8:$AL$133,11,FALSE)</f>
        <v>-8.5231855725532962E-2</v>
      </c>
      <c r="F10" s="77">
        <f>VLOOKUP($A10,Calculations!$A$8:$AL$133,12,FALSE)</f>
        <v>0.1617012325905226</v>
      </c>
      <c r="G10" s="111">
        <f>VLOOKUP($A10,Calculations!$A$8:$AL$133,23,FALSE)*I10</f>
        <v>0.15427292751862154</v>
      </c>
      <c r="H10" s="77">
        <f>VLOOKUP($A10,Calculations!$A$8:$AL$133,36,FALSE)*J10</f>
        <v>0.28868282229994346</v>
      </c>
      <c r="I10" s="114">
        <f>VLOOKUP($A10,Calculations!$A$8:$AL$133,25,FALSE)</f>
        <v>2.1424503910322428</v>
      </c>
      <c r="J10" s="78">
        <f>VLOOKUP($A10,Calculations!$A$8:$AL$133,38,FALSE)</f>
        <v>2.1277896892300796</v>
      </c>
    </row>
    <row r="11" spans="1:13" x14ac:dyDescent="0.25">
      <c r="A11" s="69">
        <v>55</v>
      </c>
      <c r="C11" s="117">
        <f>Calculations!$K$3</f>
        <v>0.6</v>
      </c>
      <c r="D11" s="76">
        <f>VLOOKUP($A11,Calculations!$A$8:$AL$133,4,FALSE)</f>
        <v>20</v>
      </c>
      <c r="E11" s="111">
        <f>VLOOKUP($A11,Calculations!$A$8:$AL$133,11,FALSE)</f>
        <v>-8.679850683409758E-2</v>
      </c>
      <c r="F11" s="77">
        <f>VLOOKUP($A11,Calculations!$A$8:$AL$133,12,FALSE)</f>
        <v>0.14534147531921182</v>
      </c>
      <c r="G11" s="111">
        <f>VLOOKUP($A11,Calculations!$A$8:$AL$133,23,FALSE)*I11</f>
        <v>0.16182824213182229</v>
      </c>
      <c r="H11" s="77">
        <f>VLOOKUP($A11,Calculations!$A$8:$AL$133,36,FALSE)*J11</f>
        <v>0.26026266944766907</v>
      </c>
      <c r="I11" s="114">
        <f>VLOOKUP($A11,Calculations!$A$8:$AL$133,25,FALSE)</f>
        <v>2.1432224896780294</v>
      </c>
      <c r="J11" s="78">
        <f>VLOOKUP($A11,Calculations!$A$8:$AL$133,38,FALSE)</f>
        <v>2.0976946256672089</v>
      </c>
    </row>
    <row r="12" spans="1:13" x14ac:dyDescent="0.25">
      <c r="A12" s="69">
        <v>56</v>
      </c>
      <c r="C12" s="117">
        <f>Calculations!$K$3</f>
        <v>0.6</v>
      </c>
      <c r="D12" s="76">
        <f>VLOOKUP($A12,Calculations!$A$8:$AL$133,4,FALSE)</f>
        <v>40</v>
      </c>
      <c r="E12" s="111">
        <f>VLOOKUP($A12,Calculations!$A$8:$AL$133,11,FALSE)</f>
        <v>-9.472853958630334E-2</v>
      </c>
      <c r="F12" s="77">
        <f>VLOOKUP($A12,Calculations!$A$8:$AL$133,12,FALSE)</f>
        <v>0.11747420826794194</v>
      </c>
      <c r="G12" s="111">
        <f>VLOOKUP($A12,Calculations!$A$8:$AL$133,23,FALSE)*I12</f>
        <v>0.17035035801648163</v>
      </c>
      <c r="H12" s="77">
        <f>VLOOKUP($A12,Calculations!$A$8:$AL$133,36,FALSE)*J12</f>
        <v>0.23769738781555289</v>
      </c>
      <c r="I12" s="114">
        <f>VLOOKUP($A12,Calculations!$A$8:$AL$133,25,FALSE)</f>
        <v>2.1491536230331505</v>
      </c>
      <c r="J12" s="78">
        <f>VLOOKUP($A12,Calculations!$A$8:$AL$133,38,FALSE)</f>
        <v>2.0790165045633979</v>
      </c>
    </row>
    <row r="13" spans="1:13" x14ac:dyDescent="0.25">
      <c r="A13" s="69">
        <v>57</v>
      </c>
      <c r="C13" s="117">
        <f>Calculations!$K$3</f>
        <v>0.6</v>
      </c>
      <c r="D13" s="76">
        <f>VLOOKUP($A13,Calculations!$A$8:$AL$133,4,FALSE)</f>
        <v>60</v>
      </c>
      <c r="E13" s="111">
        <f>VLOOKUP($A13,Calculations!$A$8:$AL$133,11,FALSE)</f>
        <v>-9.3595189973814844E-2</v>
      </c>
      <c r="F13" s="77">
        <f>VLOOKUP($A13,Calculations!$A$8:$AL$133,12,FALSE)</f>
        <v>0.11528659665773733</v>
      </c>
      <c r="G13" s="111">
        <f>VLOOKUP($A13,Calculations!$A$8:$AL$133,23,FALSE)*I13</f>
        <v>0.17178754887238312</v>
      </c>
      <c r="H13" s="77">
        <f>VLOOKUP($A13,Calculations!$A$8:$AL$133,36,FALSE)*J13</f>
        <v>0.2207245060799139</v>
      </c>
      <c r="I13" s="114">
        <f>VLOOKUP($A13,Calculations!$A$8:$AL$133,25,FALSE)</f>
        <v>2.1505534683212315</v>
      </c>
      <c r="J13" s="78">
        <f>VLOOKUP($A13,Calculations!$A$8:$AL$133,38,FALSE)</f>
        <v>2.0795485119659456</v>
      </c>
    </row>
    <row r="14" spans="1:13" x14ac:dyDescent="0.25">
      <c r="A14" s="69">
        <v>58</v>
      </c>
      <c r="C14" s="117">
        <f>Calculations!$K$3</f>
        <v>0.6</v>
      </c>
      <c r="D14" s="76">
        <f>VLOOKUP($A14,Calculations!$A$8:$AL$133,4,FALSE)</f>
        <v>100</v>
      </c>
      <c r="E14" s="111">
        <f>VLOOKUP($A14,Calculations!$A$8:$AL$133,11,FALSE)</f>
        <v>-9.9017207034306831E-2</v>
      </c>
      <c r="F14" s="77">
        <f>VLOOKUP($A14,Calculations!$A$8:$AL$133,12,FALSE)</f>
        <v>0.21459007142083189</v>
      </c>
      <c r="G14" s="111">
        <f>VLOOKUP($A14,Calculations!$A$8:$AL$133,23,FALSE)*I14</f>
        <v>0.16238024256956851</v>
      </c>
      <c r="H14" s="77">
        <f>VLOOKUP($A14,Calculations!$A$8:$AL$133,36,FALSE)*J14</f>
        <v>0.20877178098152177</v>
      </c>
      <c r="I14" s="114">
        <f>VLOOKUP($A14,Calculations!$A$8:$AL$133,25,FALSE)</f>
        <v>2.1432218520802993</v>
      </c>
      <c r="J14" s="78">
        <f>VLOOKUP($A14,Calculations!$A$8:$AL$133,38,FALSE)</f>
        <v>2.0983108627327218</v>
      </c>
    </row>
    <row r="15" spans="1:13" x14ac:dyDescent="0.25">
      <c r="A15" s="69">
        <v>59</v>
      </c>
      <c r="C15" s="117">
        <f>Calculations!$K$3</f>
        <v>0.6</v>
      </c>
      <c r="D15" s="76">
        <f>VLOOKUP($A15,Calculations!$A$8:$AL$133,4,FALSE)</f>
        <v>120</v>
      </c>
      <c r="E15" s="111">
        <f>VLOOKUP($A15,Calculations!$A$8:$AL$133,11,FALSE)</f>
        <v>-0.10644900791739867</v>
      </c>
      <c r="F15" s="77">
        <f>VLOOKUP($A15,Calculations!$A$8:$AL$133,12,FALSE)</f>
        <v>0.32852577058239191</v>
      </c>
      <c r="G15" s="111" t="e">
        <f>VLOOKUP($A15,Calculations!$A$8:$AL$133,23,FALSE)*I15</f>
        <v>#N/A</v>
      </c>
      <c r="H15" s="77" t="e">
        <f>VLOOKUP($A15,Calculations!$A$8:$AL$133,36,FALSE)*J15</f>
        <v>#N/A</v>
      </c>
      <c r="I15" s="114" t="e">
        <f>VLOOKUP($A15,Calculations!$A$8:$AL$133,25,FALSE)</f>
        <v>#VALUE!</v>
      </c>
      <c r="J15" s="78" t="e">
        <f>VLOOKUP($A15,Calculations!$A$8:$AL$133,38,FALSE)</f>
        <v>#VALUE!</v>
      </c>
    </row>
    <row r="16" spans="1:13" x14ac:dyDescent="0.25">
      <c r="C16" s="79"/>
      <c r="D16" s="79"/>
      <c r="E16" s="112"/>
      <c r="F16" s="80"/>
      <c r="G16" s="113"/>
      <c r="H16" s="81"/>
      <c r="I16" s="115"/>
      <c r="J16" s="82"/>
    </row>
    <row r="19" spans="1:13" ht="18.600000000000001" customHeight="1" x14ac:dyDescent="0.25">
      <c r="A19" s="69">
        <v>84</v>
      </c>
      <c r="C19" s="194" t="e">
        <f>"Table "&amp;L19&amp;". Ratio "&amp;LEFT(M19,FIND("/",M19)-1)&amp;":5."&amp;"  Secondary: "&amp;K19</f>
        <v>#N/A</v>
      </c>
      <c r="D19" s="195"/>
      <c r="E19" s="195"/>
      <c r="F19" s="195"/>
      <c r="G19" s="195"/>
      <c r="H19" s="195"/>
      <c r="I19" s="195"/>
      <c r="J19" s="196"/>
      <c r="K19" s="69" t="e">
        <f>MID(M19,FIND("M",M19),6)</f>
        <v>#N/A</v>
      </c>
      <c r="L19" s="69">
        <v>5</v>
      </c>
      <c r="M19" s="69" t="e">
        <f>VLOOKUP($A19,Calculations!$A$8:$AL$133,4,FALSE)</f>
        <v>#N/A</v>
      </c>
    </row>
    <row r="20" spans="1:13" ht="21.6" customHeight="1" x14ac:dyDescent="0.25">
      <c r="C20" s="73"/>
      <c r="D20" s="72"/>
      <c r="E20" s="197" t="s">
        <v>137</v>
      </c>
      <c r="F20" s="198"/>
      <c r="G20" s="197" t="s">
        <v>109</v>
      </c>
      <c r="H20" s="199"/>
      <c r="I20" s="200" t="s">
        <v>76</v>
      </c>
      <c r="J20" s="201"/>
    </row>
    <row r="21" spans="1:13" ht="45" x14ac:dyDescent="0.25">
      <c r="C21" s="74" t="s">
        <v>136</v>
      </c>
      <c r="D21" s="74" t="s">
        <v>73</v>
      </c>
      <c r="E21" s="110" t="s">
        <v>71</v>
      </c>
      <c r="F21" s="75" t="s">
        <v>72</v>
      </c>
      <c r="G21" s="110" t="s">
        <v>71</v>
      </c>
      <c r="H21" s="75" t="s">
        <v>72</v>
      </c>
      <c r="I21" s="110" t="s">
        <v>138</v>
      </c>
      <c r="J21" s="75" t="s">
        <v>142</v>
      </c>
    </row>
    <row r="22" spans="1:13" x14ac:dyDescent="0.25">
      <c r="A22" s="69">
        <v>86</v>
      </c>
      <c r="C22" s="117">
        <f>Calculations!$K$3</f>
        <v>0.6</v>
      </c>
      <c r="D22" s="76" t="e">
        <f>VLOOKUP($A22,Calculations!$A$8:$AL$133,4,FALSE)</f>
        <v>#N/A</v>
      </c>
      <c r="E22" s="111" t="e">
        <f>VLOOKUP($A22,Calculations!$A$8:$AL$133,11,FALSE)</f>
        <v>#N/A</v>
      </c>
      <c r="F22" s="77" t="e">
        <f>VLOOKUP($A22,Calculations!$A$8:$AL$133,12,FALSE)</f>
        <v>#N/A</v>
      </c>
      <c r="G22" s="111" t="e">
        <f>VLOOKUP($A22,Calculations!$A$8:$AL$133,23,FALSE)*I22</f>
        <v>#N/A</v>
      </c>
      <c r="H22" s="77" t="e">
        <f>VLOOKUP($A22,Calculations!$A$8:$AL$133,36,FALSE)*J22</f>
        <v>#N/A</v>
      </c>
      <c r="I22" s="114" t="e">
        <f>VLOOKUP($A22,Calculations!$A$8:$AL$133,25,FALSE)</f>
        <v>#VALUE!</v>
      </c>
      <c r="J22" s="78" t="e">
        <f>VLOOKUP($A22,Calculations!$A$8:$AL$133,38,FALSE)</f>
        <v>#VALUE!</v>
      </c>
    </row>
    <row r="23" spans="1:13" x14ac:dyDescent="0.25">
      <c r="A23" s="69">
        <v>87</v>
      </c>
      <c r="C23" s="117">
        <f>Calculations!$K$3</f>
        <v>0.6</v>
      </c>
      <c r="D23" s="76" t="e">
        <f>VLOOKUP($A23,Calculations!$A$8:$AL$133,4,FALSE)</f>
        <v>#N/A</v>
      </c>
      <c r="E23" s="111" t="e">
        <f>VLOOKUP($A23,Calculations!$A$8:$AL$133,11,FALSE)</f>
        <v>#N/A</v>
      </c>
      <c r="F23" s="77" t="e">
        <f>VLOOKUP($A23,Calculations!$A$8:$AL$133,12,FALSE)</f>
        <v>#N/A</v>
      </c>
      <c r="G23" s="111" t="e">
        <f>VLOOKUP($A23,Calculations!$A$8:$AL$133,23,FALSE)*I23</f>
        <v>#N/A</v>
      </c>
      <c r="H23" s="77" t="e">
        <f>VLOOKUP($A23,Calculations!$A$8:$AL$133,36,FALSE)*J23</f>
        <v>#N/A</v>
      </c>
      <c r="I23" s="114" t="e">
        <f>VLOOKUP($A23,Calculations!$A$8:$AL$133,25,FALSE)</f>
        <v>#VALUE!</v>
      </c>
      <c r="J23" s="78" t="e">
        <f>VLOOKUP($A23,Calculations!$A$8:$AL$133,38,FALSE)</f>
        <v>#VALUE!</v>
      </c>
    </row>
    <row r="24" spans="1:13" x14ac:dyDescent="0.25">
      <c r="A24" s="69">
        <v>88</v>
      </c>
      <c r="C24" s="117">
        <f>Calculations!$K$3</f>
        <v>0.6</v>
      </c>
      <c r="D24" s="76" t="e">
        <f>VLOOKUP($A24,Calculations!$A$8:$AL$133,4,FALSE)</f>
        <v>#N/A</v>
      </c>
      <c r="E24" s="111" t="e">
        <f>VLOOKUP($A24,Calculations!$A$8:$AL$133,11,FALSE)</f>
        <v>#N/A</v>
      </c>
      <c r="F24" s="77" t="e">
        <f>VLOOKUP($A24,Calculations!$A$8:$AL$133,12,FALSE)</f>
        <v>#N/A</v>
      </c>
      <c r="G24" s="111" t="e">
        <f>VLOOKUP($A24,Calculations!$A$8:$AL$133,23,FALSE)*I24</f>
        <v>#N/A</v>
      </c>
      <c r="H24" s="77" t="e">
        <f>VLOOKUP($A24,Calculations!$A$8:$AL$133,36,FALSE)*J24</f>
        <v>#N/A</v>
      </c>
      <c r="I24" s="114" t="e">
        <f>VLOOKUP($A24,Calculations!$A$8:$AL$133,25,FALSE)</f>
        <v>#VALUE!</v>
      </c>
      <c r="J24" s="78" t="e">
        <f>VLOOKUP($A24,Calculations!$A$8:$AL$133,38,FALSE)</f>
        <v>#VALUE!</v>
      </c>
    </row>
    <row r="25" spans="1:13" x14ac:dyDescent="0.25">
      <c r="A25" s="69">
        <v>89</v>
      </c>
      <c r="C25" s="117">
        <f>Calculations!$K$3</f>
        <v>0.6</v>
      </c>
      <c r="D25" s="76" t="e">
        <f>VLOOKUP($A25,Calculations!$A$8:$AL$133,4,FALSE)</f>
        <v>#N/A</v>
      </c>
      <c r="E25" s="111" t="e">
        <f>VLOOKUP($A25,Calculations!$A$8:$AL$133,11,FALSE)</f>
        <v>#N/A</v>
      </c>
      <c r="F25" s="77" t="e">
        <f>VLOOKUP($A25,Calculations!$A$8:$AL$133,12,FALSE)</f>
        <v>#N/A</v>
      </c>
      <c r="G25" s="111" t="e">
        <f>VLOOKUP($A25,Calculations!$A$8:$AL$133,23,FALSE)*I25</f>
        <v>#N/A</v>
      </c>
      <c r="H25" s="77" t="e">
        <f>VLOOKUP($A25,Calculations!$A$8:$AL$133,36,FALSE)*J25</f>
        <v>#N/A</v>
      </c>
      <c r="I25" s="114" t="e">
        <f>VLOOKUP($A25,Calculations!$A$8:$AL$133,25,FALSE)</f>
        <v>#VALUE!</v>
      </c>
      <c r="J25" s="78" t="e">
        <f>VLOOKUP($A25,Calculations!$A$8:$AL$133,38,FALSE)</f>
        <v>#VALUE!</v>
      </c>
    </row>
    <row r="26" spans="1:13" x14ac:dyDescent="0.25">
      <c r="A26" s="69">
        <v>90</v>
      </c>
      <c r="C26" s="117">
        <f>Calculations!$K$3</f>
        <v>0.6</v>
      </c>
      <c r="D26" s="76" t="e">
        <f>VLOOKUP($A26,Calculations!$A$8:$AL$133,4,FALSE)</f>
        <v>#N/A</v>
      </c>
      <c r="E26" s="111" t="e">
        <f>VLOOKUP($A26,Calculations!$A$8:$AL$133,11,FALSE)</f>
        <v>#N/A</v>
      </c>
      <c r="F26" s="77" t="e">
        <f>VLOOKUP($A26,Calculations!$A$8:$AL$133,12,FALSE)</f>
        <v>#N/A</v>
      </c>
      <c r="G26" s="111" t="e">
        <f>VLOOKUP($A26,Calculations!$A$8:$AL$133,23,FALSE)*I26</f>
        <v>#N/A</v>
      </c>
      <c r="H26" s="77" t="e">
        <f>VLOOKUP($A26,Calculations!$A$8:$AL$133,36,FALSE)*J26</f>
        <v>#N/A</v>
      </c>
      <c r="I26" s="114" t="e">
        <f>VLOOKUP($A26,Calculations!$A$8:$AL$133,25,FALSE)</f>
        <v>#VALUE!</v>
      </c>
      <c r="J26" s="78" t="e">
        <f>VLOOKUP($A26,Calculations!$A$8:$AL$133,38,FALSE)</f>
        <v>#VALUE!</v>
      </c>
    </row>
    <row r="27" spans="1:13" x14ac:dyDescent="0.25">
      <c r="A27" s="69">
        <v>91</v>
      </c>
      <c r="C27" s="117">
        <f>Calculations!$K$3</f>
        <v>0.6</v>
      </c>
      <c r="D27" s="76" t="e">
        <f>VLOOKUP($A27,Calculations!$A$8:$AL$133,4,FALSE)</f>
        <v>#N/A</v>
      </c>
      <c r="E27" s="111" t="e">
        <f>VLOOKUP($A27,Calculations!$A$8:$AL$133,11,FALSE)</f>
        <v>#N/A</v>
      </c>
      <c r="F27" s="77" t="e">
        <f>VLOOKUP($A27,Calculations!$A$8:$AL$133,12,FALSE)</f>
        <v>#N/A</v>
      </c>
      <c r="G27" s="111" t="e">
        <f>VLOOKUP($A27,Calculations!$A$8:$AL$133,23,FALSE)*I27</f>
        <v>#N/A</v>
      </c>
      <c r="H27" s="77" t="e">
        <f>VLOOKUP($A27,Calculations!$A$8:$AL$133,36,FALSE)*J27</f>
        <v>#N/A</v>
      </c>
      <c r="I27" s="114" t="e">
        <f>VLOOKUP($A27,Calculations!$A$8:$AL$133,25,FALSE)</f>
        <v>#VALUE!</v>
      </c>
      <c r="J27" s="78" t="e">
        <f>VLOOKUP($A27,Calculations!$A$8:$AL$133,38,FALSE)</f>
        <v>#VALUE!</v>
      </c>
    </row>
    <row r="28" spans="1:13" x14ac:dyDescent="0.25">
      <c r="A28" s="69">
        <v>92</v>
      </c>
      <c r="C28" s="117">
        <f>Calculations!$K$3</f>
        <v>0.6</v>
      </c>
      <c r="D28" s="76" t="e">
        <f>VLOOKUP($A28,Calculations!$A$8:$AL$133,4,FALSE)</f>
        <v>#N/A</v>
      </c>
      <c r="E28" s="111" t="e">
        <f>VLOOKUP($A28,Calculations!$A$8:$AL$133,11,FALSE)</f>
        <v>#N/A</v>
      </c>
      <c r="F28" s="77" t="e">
        <f>VLOOKUP($A28,Calculations!$A$8:$AL$133,12,FALSE)</f>
        <v>#N/A</v>
      </c>
      <c r="G28" s="111" t="e">
        <f>VLOOKUP($A28,Calculations!$A$8:$AL$133,23,FALSE)*I28</f>
        <v>#N/A</v>
      </c>
      <c r="H28" s="77" t="e">
        <f>VLOOKUP($A28,Calculations!$A$8:$AL$133,36,FALSE)*J28</f>
        <v>#N/A</v>
      </c>
      <c r="I28" s="114" t="e">
        <f>VLOOKUP($A28,Calculations!$A$8:$AL$133,25,FALSE)</f>
        <v>#VALUE!</v>
      </c>
      <c r="J28" s="78" t="e">
        <f>VLOOKUP($A28,Calculations!$A$8:$AL$133,38,FALSE)</f>
        <v>#VALUE!</v>
      </c>
    </row>
    <row r="29" spans="1:13" x14ac:dyDescent="0.25">
      <c r="C29" s="79"/>
      <c r="D29" s="79"/>
      <c r="E29" s="112"/>
      <c r="F29" s="80"/>
      <c r="G29" s="113"/>
      <c r="H29" s="81"/>
      <c r="I29" s="115"/>
      <c r="J29" s="82"/>
    </row>
    <row r="32" spans="1:13" x14ac:dyDescent="0.25">
      <c r="B32" s="116" t="s">
        <v>139</v>
      </c>
    </row>
    <row r="33" spans="1:13" x14ac:dyDescent="0.25">
      <c r="A33">
        <v>30</v>
      </c>
      <c r="C33" s="194" t="e">
        <f>"Table "&amp;L33&amp;". Ratio "&amp;LEFT(M33,FIND("/",M33)-1)&amp;":5."&amp;"  Secondary: "&amp;K33</f>
        <v>#VALUE!</v>
      </c>
      <c r="D33" s="195"/>
      <c r="E33" s="195"/>
      <c r="F33" s="195"/>
      <c r="G33" s="195"/>
      <c r="H33" s="195"/>
      <c r="I33" s="195"/>
      <c r="J33" s="196"/>
      <c r="K33" s="69" t="e">
        <f>MID(M33,FIND("M",M33),6)</f>
        <v>#VALUE!</v>
      </c>
      <c r="L33" s="69" t="s">
        <v>140</v>
      </c>
      <c r="M33" s="69" t="str">
        <f>VLOOKUP($A33,Calculations!$A$7:$AL$133,4,FALSE)</f>
        <v>30/5 range, l - 1200At(5A), vs shunts and 500 AT on 50/5 range.</v>
      </c>
    </row>
    <row r="34" spans="1:13" ht="21.6" customHeight="1" x14ac:dyDescent="0.25">
      <c r="A34"/>
      <c r="C34" s="73"/>
      <c r="D34" s="72"/>
      <c r="E34" s="197" t="s">
        <v>137</v>
      </c>
      <c r="F34" s="198"/>
      <c r="G34" s="197" t="s">
        <v>109</v>
      </c>
      <c r="H34" s="199"/>
      <c r="I34" s="200" t="s">
        <v>76</v>
      </c>
      <c r="J34" s="201"/>
    </row>
    <row r="35" spans="1:13" ht="45" x14ac:dyDescent="0.25">
      <c r="A35"/>
      <c r="C35" s="74" t="s">
        <v>136</v>
      </c>
      <c r="D35" s="74" t="s">
        <v>73</v>
      </c>
      <c r="E35" s="110" t="s">
        <v>71</v>
      </c>
      <c r="F35" s="75" t="s">
        <v>72</v>
      </c>
      <c r="G35" s="110" t="s">
        <v>71</v>
      </c>
      <c r="H35" s="75" t="s">
        <v>143</v>
      </c>
      <c r="I35" s="110" t="s">
        <v>141</v>
      </c>
      <c r="J35" s="75" t="s">
        <v>142</v>
      </c>
    </row>
    <row r="36" spans="1:13" x14ac:dyDescent="0.25">
      <c r="A36">
        <v>32</v>
      </c>
      <c r="C36" s="117">
        <f>Calculations!$K$3</f>
        <v>0.6</v>
      </c>
      <c r="D36" s="76">
        <f>VLOOKUP($A36,Calculations!$A$8:$AL$133,4,FALSE)</f>
        <v>4</v>
      </c>
      <c r="E36" s="111">
        <f>VLOOKUP($A36,Calculations!$A$8:$AL$133,11,FALSE)</f>
        <v>-7.3052151605169188E-2</v>
      </c>
      <c r="F36" s="77">
        <f>VLOOKUP($A36,Calculations!$A$8:$AL$133,12,FALSE)</f>
        <v>0.1977685692916471</v>
      </c>
      <c r="G36" s="111" t="e">
        <f>VLOOKUP($A36,Calculations!$A$8:$AL$133,23,FALSE)*I36</f>
        <v>#N/A</v>
      </c>
      <c r="H36" s="77" t="e">
        <f>VLOOKUP($A36,Calculations!$A$8:$AL$133,36,FALSE)*J36</f>
        <v>#N/A</v>
      </c>
      <c r="I36" s="114" t="e">
        <f>VLOOKUP($A36,Calculations!$A$8:$AL$133,25,FALSE)</f>
        <v>#VALUE!</v>
      </c>
      <c r="J36" s="78" t="e">
        <f>VLOOKUP($A36,Calculations!$A$8:$AL$133,38,FALSE)</f>
        <v>#VALUE!</v>
      </c>
    </row>
    <row r="37" spans="1:13" x14ac:dyDescent="0.25">
      <c r="A37">
        <v>33</v>
      </c>
      <c r="C37" s="117">
        <f>Calculations!$K$3</f>
        <v>0.6</v>
      </c>
      <c r="D37" s="76">
        <f>VLOOKUP($A37,Calculations!$A$8:$AL$133,4,FALSE)</f>
        <v>8</v>
      </c>
      <c r="E37" s="111">
        <f>VLOOKUP($A37,Calculations!$A$8:$AL$133,11,FALSE)</f>
        <v>-7.5057671674103169E-2</v>
      </c>
      <c r="F37" s="77">
        <f>VLOOKUP($A37,Calculations!$A$8:$AL$133,12,FALSE)</f>
        <v>0.19088938420973767</v>
      </c>
      <c r="G37" s="111" t="e">
        <f>VLOOKUP($A37,Calculations!$A$8:$AL$133,23,FALSE)*I37</f>
        <v>#N/A</v>
      </c>
      <c r="H37" s="77" t="e">
        <f>VLOOKUP($A37,Calculations!$A$8:$AL$133,36,FALSE)*J37</f>
        <v>#N/A</v>
      </c>
      <c r="I37" s="114" t="e">
        <f>VLOOKUP($A37,Calculations!$A$8:$AL$133,25,FALSE)</f>
        <v>#VALUE!</v>
      </c>
      <c r="J37" s="78" t="e">
        <f>VLOOKUP($A37,Calculations!$A$8:$AL$133,38,FALSE)</f>
        <v>#VALUE!</v>
      </c>
    </row>
    <row r="38" spans="1:13" x14ac:dyDescent="0.25">
      <c r="A38">
        <v>34</v>
      </c>
      <c r="C38" s="117">
        <f>Calculations!$K$3</f>
        <v>0.6</v>
      </c>
      <c r="D38" s="76">
        <f>VLOOKUP($A38,Calculations!$A$8:$AL$133,4,FALSE)</f>
        <v>17</v>
      </c>
      <c r="E38" s="111">
        <f>VLOOKUP($A38,Calculations!$A$8:$AL$133,11,FALSE)</f>
        <v>-7.5879944769966054E-2</v>
      </c>
      <c r="F38" s="77">
        <f>VLOOKUP($A38,Calculations!$A$8:$AL$133,12,FALSE)</f>
        <v>0.18088017816983926</v>
      </c>
      <c r="G38" s="111" t="e">
        <f>VLOOKUP($A38,Calculations!$A$8:$AL$133,23,FALSE)*I38</f>
        <v>#N/A</v>
      </c>
      <c r="H38" s="77" t="e">
        <f>VLOOKUP($A38,Calculations!$A$8:$AL$133,36,FALSE)*J38</f>
        <v>#N/A</v>
      </c>
      <c r="I38" s="114" t="e">
        <f>VLOOKUP($A38,Calculations!$A$8:$AL$133,25,FALSE)</f>
        <v>#VALUE!</v>
      </c>
      <c r="J38" s="78" t="e">
        <f>VLOOKUP($A38,Calculations!$A$8:$AL$133,38,FALSE)</f>
        <v>#VALUE!</v>
      </c>
    </row>
    <row r="39" spans="1:13" x14ac:dyDescent="0.25">
      <c r="A39">
        <v>35</v>
      </c>
      <c r="C39" s="117">
        <f>Calculations!$K$3</f>
        <v>0.6</v>
      </c>
      <c r="D39" s="76">
        <f>VLOOKUP($A39,Calculations!$A$8:$AL$133,4,FALSE)</f>
        <v>33</v>
      </c>
      <c r="E39" s="111">
        <f>VLOOKUP($A39,Calculations!$A$8:$AL$133,11,FALSE)</f>
        <v>-9.9889022813507949E-2</v>
      </c>
      <c r="F39" s="77">
        <f>VLOOKUP($A39,Calculations!$A$8:$AL$133,12,FALSE)</f>
        <v>0.28308277251638608</v>
      </c>
      <c r="G39" s="111" t="e">
        <f>VLOOKUP($A39,Calculations!$A$8:$AL$133,23,FALSE)*I39</f>
        <v>#N/A</v>
      </c>
      <c r="H39" s="77" t="e">
        <f>VLOOKUP($A39,Calculations!$A$8:$AL$133,36,FALSE)*J39</f>
        <v>#N/A</v>
      </c>
      <c r="I39" s="114" t="e">
        <f>VLOOKUP($A39,Calculations!$A$8:$AL$133,25,FALSE)</f>
        <v>#VALUE!</v>
      </c>
      <c r="J39" s="78" t="e">
        <f>VLOOKUP($A39,Calculations!$A$8:$AL$133,38,FALSE)</f>
        <v>#VALUE!</v>
      </c>
    </row>
    <row r="40" spans="1:13" x14ac:dyDescent="0.25">
      <c r="A40">
        <v>36</v>
      </c>
      <c r="C40" s="117">
        <f>Calculations!$K$3</f>
        <v>0.6</v>
      </c>
      <c r="D40" s="76">
        <f>VLOOKUP($A40,Calculations!$A$8:$AL$133,4,FALSE)</f>
        <v>50</v>
      </c>
      <c r="E40" s="111">
        <f>VLOOKUP($A40,Calculations!$A$8:$AL$133,11,FALSE)</f>
        <v>-0.12730880684602658</v>
      </c>
      <c r="F40" s="77">
        <f>VLOOKUP($A40,Calculations!$A$8:$AL$133,12,FALSE)</f>
        <v>0.38382365334572432</v>
      </c>
      <c r="G40" s="111" t="e">
        <f>VLOOKUP($A40,Calculations!$A$8:$AL$133,23,FALSE)*I40</f>
        <v>#N/A</v>
      </c>
      <c r="H40" s="77" t="e">
        <f>VLOOKUP($A40,Calculations!$A$8:$AL$133,36,FALSE)*J40</f>
        <v>#N/A</v>
      </c>
      <c r="I40" s="114" t="e">
        <f>VLOOKUP($A40,Calculations!$A$8:$AL$133,25,FALSE)</f>
        <v>#VALUE!</v>
      </c>
      <c r="J40" s="78" t="e">
        <f>VLOOKUP($A40,Calculations!$A$8:$AL$133,38,FALSE)</f>
        <v>#VALUE!</v>
      </c>
    </row>
    <row r="41" spans="1:13" x14ac:dyDescent="0.25">
      <c r="A41">
        <v>37</v>
      </c>
      <c r="C41" s="117">
        <f>Calculations!$K$3</f>
        <v>0.6</v>
      </c>
      <c r="D41" s="76">
        <f>VLOOKUP($A41,Calculations!$A$8:$AL$133,4,FALSE)</f>
        <v>84</v>
      </c>
      <c r="E41" s="111">
        <f>VLOOKUP($A41,Calculations!$A$8:$AL$133,11,FALSE)</f>
        <v>-0.19036706039425999</v>
      </c>
      <c r="F41" s="77">
        <f>VLOOKUP($A41,Calculations!$A$8:$AL$133,12,FALSE)</f>
        <v>0.78877932581886079</v>
      </c>
      <c r="G41" s="111" t="e">
        <f>VLOOKUP($A41,Calculations!$A$8:$AL$133,23,FALSE)*I41</f>
        <v>#N/A</v>
      </c>
      <c r="H41" s="77" t="e">
        <f>VLOOKUP($A41,Calculations!$A$8:$AL$133,36,FALSE)*J41</f>
        <v>#N/A</v>
      </c>
      <c r="I41" s="114" t="e">
        <f>VLOOKUP($A41,Calculations!$A$8:$AL$133,25,FALSE)</f>
        <v>#VALUE!</v>
      </c>
      <c r="J41" s="78" t="e">
        <f>VLOOKUP($A41,Calculations!$A$8:$AL$133,38,FALSE)</f>
        <v>#VALUE!</v>
      </c>
    </row>
    <row r="42" spans="1:13" x14ac:dyDescent="0.25">
      <c r="A42">
        <v>38</v>
      </c>
      <c r="C42" s="117">
        <f>Calculations!$K$3</f>
        <v>0.6</v>
      </c>
      <c r="D42" s="76">
        <f>VLOOKUP($A42,Calculations!$A$8:$AL$133,4,FALSE)</f>
        <v>101</v>
      </c>
      <c r="E42" s="111">
        <f>VLOOKUP($A42,Calculations!$A$8:$AL$133,11,FALSE)</f>
        <v>-0.22067681422600038</v>
      </c>
      <c r="F42" s="77">
        <f>VLOOKUP($A42,Calculations!$A$8:$AL$133,12,FALSE)</f>
        <v>0.96764863881868879</v>
      </c>
      <c r="G42" s="111" t="e">
        <f>VLOOKUP($A42,Calculations!$A$8:$AL$133,23,FALSE)*I42</f>
        <v>#N/A</v>
      </c>
      <c r="H42" s="77" t="e">
        <f>VLOOKUP($A42,Calculations!$A$8:$AL$133,36,FALSE)*J42</f>
        <v>#N/A</v>
      </c>
      <c r="I42" s="114" t="e">
        <f>VLOOKUP($A42,Calculations!$A$8:$AL$133,25,FALSE)</f>
        <v>#VALUE!</v>
      </c>
      <c r="J42" s="78" t="e">
        <f>VLOOKUP($A42,Calculations!$A$8:$AL$133,38,FALSE)</f>
        <v>#VALUE!</v>
      </c>
    </row>
    <row r="43" spans="1:13" x14ac:dyDescent="0.25">
      <c r="C43" s="79"/>
      <c r="D43" s="79"/>
      <c r="E43" s="112"/>
      <c r="F43" s="80"/>
      <c r="G43" s="113"/>
      <c r="H43" s="81"/>
      <c r="I43" s="115"/>
      <c r="J43" s="82"/>
    </row>
  </sheetData>
  <mergeCells count="12">
    <mergeCell ref="E34:F34"/>
    <mergeCell ref="G34:H34"/>
    <mergeCell ref="I34:J34"/>
    <mergeCell ref="C6:J6"/>
    <mergeCell ref="C19:J19"/>
    <mergeCell ref="C33:J33"/>
    <mergeCell ref="G20:H20"/>
    <mergeCell ref="I20:J20"/>
    <mergeCell ref="G7:H7"/>
    <mergeCell ref="I7:J7"/>
    <mergeCell ref="E7:F7"/>
    <mergeCell ref="E20:F20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46"/>
  <sheetViews>
    <sheetView showGridLines="0" topLeftCell="A31" zoomScale="130" zoomScaleNormal="130" workbookViewId="0">
      <selection activeCell="K49" sqref="K49"/>
    </sheetView>
  </sheetViews>
  <sheetFormatPr defaultColWidth="9.140625" defaultRowHeight="12.75" x14ac:dyDescent="0.2"/>
  <cols>
    <col min="1" max="1" width="9.140625" style="6"/>
    <col min="2" max="2" width="15.42578125" style="6" customWidth="1"/>
    <col min="3" max="3" width="9.140625" style="6"/>
    <col min="4" max="4" width="7.5703125" style="6" customWidth="1"/>
    <col min="5" max="5" width="11.85546875" style="6" customWidth="1"/>
    <col min="6" max="7" width="9.7109375" style="6" customWidth="1"/>
    <col min="8" max="8" width="9.140625" style="6"/>
    <col min="9" max="9" width="11.140625" style="6" customWidth="1"/>
    <col min="10" max="11" width="9.7109375" style="6" customWidth="1"/>
    <col min="12" max="16384" width="9.140625" style="6"/>
  </cols>
  <sheetData>
    <row r="1" spans="1:16" x14ac:dyDescent="0.2">
      <c r="M1" s="6" t="s">
        <v>154</v>
      </c>
    </row>
    <row r="2" spans="1:16" x14ac:dyDescent="0.2">
      <c r="L2" s="6" t="s">
        <v>155</v>
      </c>
      <c r="M2" s="6">
        <v>1E-3</v>
      </c>
      <c r="N2" s="6">
        <v>1E-3</v>
      </c>
    </row>
    <row r="3" spans="1:16" x14ac:dyDescent="0.2">
      <c r="L3" s="6" t="s">
        <v>156</v>
      </c>
      <c r="M3" s="6">
        <v>4.1000000000000003E-3</v>
      </c>
      <c r="N3" s="6">
        <v>4.1000000000000003E-3</v>
      </c>
    </row>
    <row r="11" spans="1:16" x14ac:dyDescent="0.2">
      <c r="D11" s="131" t="str">
        <f>"Table"&amp;VLOOKUP($A12,tables!$A$3:$L$241,12,FALSE)&amp;"."</f>
        <v>Table3.</v>
      </c>
      <c r="E11" s="132"/>
      <c r="F11" s="132"/>
      <c r="G11" s="132"/>
      <c r="H11" s="132"/>
      <c r="I11" s="132"/>
    </row>
    <row r="12" spans="1:16" ht="15.75" x14ac:dyDescent="0.35">
      <c r="A12" s="133">
        <v>51</v>
      </c>
      <c r="D12" s="145" t="s">
        <v>163</v>
      </c>
      <c r="E12" s="144">
        <f>Q17/R17</f>
        <v>6</v>
      </c>
      <c r="F12" s="135"/>
      <c r="G12" s="146" t="str">
        <f>"Range "&amp;Q17&amp;":"&amp;R17</f>
        <v>Range 30:5</v>
      </c>
      <c r="H12" s="12"/>
      <c r="I12" s="147" t="s">
        <v>157</v>
      </c>
      <c r="J12" s="146" t="str">
        <f>P19</f>
        <v>l - 1200At(5A)</v>
      </c>
      <c r="K12" s="136"/>
    </row>
    <row r="13" spans="1:16" ht="12.75" customHeight="1" x14ac:dyDescent="0.2">
      <c r="A13" s="133"/>
      <c r="D13" s="204" t="s">
        <v>158</v>
      </c>
      <c r="E13" s="205"/>
      <c r="F13" s="204" t="s">
        <v>137</v>
      </c>
      <c r="G13" s="205"/>
      <c r="H13" s="204" t="s">
        <v>109</v>
      </c>
      <c r="I13" s="205"/>
      <c r="J13" s="204" t="s">
        <v>76</v>
      </c>
      <c r="K13" s="205"/>
    </row>
    <row r="14" spans="1:16" ht="38.25" x14ac:dyDescent="0.2">
      <c r="A14" s="133"/>
      <c r="D14" s="137" t="s">
        <v>159</v>
      </c>
      <c r="E14" s="137" t="s">
        <v>152</v>
      </c>
      <c r="F14" s="137" t="s">
        <v>161</v>
      </c>
      <c r="G14" s="137" t="s">
        <v>162</v>
      </c>
      <c r="H14" s="137" t="s">
        <v>161</v>
      </c>
      <c r="I14" s="137" t="s">
        <v>162</v>
      </c>
      <c r="J14" s="137" t="s">
        <v>160</v>
      </c>
      <c r="K14" s="137" t="s">
        <v>3</v>
      </c>
    </row>
    <row r="15" spans="1:16" x14ac:dyDescent="0.2">
      <c r="A15" s="133">
        <v>53</v>
      </c>
      <c r="D15" s="138">
        <f>VLOOKUP($A15,tables!$A$3:$J$241,3,FALSE)</f>
        <v>0.6</v>
      </c>
      <c r="E15" s="134">
        <f>VLOOKUP($A15,tables!$A$3:$J$241,4,FALSE)</f>
        <v>5</v>
      </c>
      <c r="F15" s="138">
        <f>VLOOKUP($A15,tables!$A$3:$J$241,5,FALSE)</f>
        <v>-8.0147469453813847E-2</v>
      </c>
      <c r="G15" s="138">
        <f>VLOOKUP($A15,tables!$A$3:$J$241,6,FALSE)</f>
        <v>0.17899000565931208</v>
      </c>
      <c r="H15" s="138">
        <f>VLOOKUP($A15,tables!$A$3:$J$241,7,FALSE)</f>
        <v>0.15296721164462806</v>
      </c>
      <c r="I15" s="138">
        <f>VLOOKUP($A15,tables!$A$3:$J$241,8,FALSE)</f>
        <v>0.30865846088115328</v>
      </c>
      <c r="J15" s="159">
        <f>VLOOKUP($A15,tables!$A$3:$J$241,9,FALSE)</f>
        <v>2.1430840655337868</v>
      </c>
      <c r="K15" s="159">
        <f>VLOOKUP($A15,tables!$A$3:$J$241,10,FALSE)</f>
        <v>2.150377247689919</v>
      </c>
      <c r="M15" s="127">
        <f>$M$3/H15</f>
        <v>2.6803129611364562E-2</v>
      </c>
      <c r="N15" s="127">
        <f>$N$3/I15</f>
        <v>1.3283290496218328E-2</v>
      </c>
      <c r="P15" s="6" t="str">
        <f>VLOOKUP(A15,' Data (5A)'!A3:B144,2,FALSE)</f>
        <v>47 Hz</v>
      </c>
    </row>
    <row r="16" spans="1:16" x14ac:dyDescent="0.2">
      <c r="A16" s="133">
        <v>54</v>
      </c>
      <c r="D16" s="138">
        <f>VLOOKUP($A16,tables!$A$3:$J$241,3,FALSE)</f>
        <v>0.6</v>
      </c>
      <c r="E16" s="134">
        <f>VLOOKUP($A16,tables!$A$3:$J$241,4,FALSE)</f>
        <v>10</v>
      </c>
      <c r="F16" s="138">
        <f>VLOOKUP($A16,tables!$A$3:$J$241,5,FALSE)</f>
        <v>-8.5231855725532962E-2</v>
      </c>
      <c r="G16" s="138">
        <f>VLOOKUP($A16,tables!$A$3:$J$241,6,FALSE)</f>
        <v>0.1617012325905226</v>
      </c>
      <c r="H16" s="138">
        <f>VLOOKUP($A16,tables!$A$3:$J$241,7,FALSE)</f>
        <v>0.15427292751862154</v>
      </c>
      <c r="I16" s="138">
        <f>VLOOKUP($A16,tables!$A$3:$J$241,8,FALSE)</f>
        <v>0.28868282229994346</v>
      </c>
      <c r="J16" s="159">
        <f>VLOOKUP($A16,tables!$A$3:$J$241,9,FALSE)</f>
        <v>2.1424503910322428</v>
      </c>
      <c r="K16" s="159">
        <f>VLOOKUP($A16,tables!$A$3:$J$241,10,FALSE)</f>
        <v>2.1277896892300796</v>
      </c>
      <c r="M16" s="127">
        <f t="shared" ref="M16:M21" si="0">$M$3/H16</f>
        <v>2.6576276641312256E-2</v>
      </c>
      <c r="N16" s="127">
        <f t="shared" ref="N16:N21" si="1">$N$3/I16</f>
        <v>1.4202438397044877E-2</v>
      </c>
      <c r="P16" s="6" t="str">
        <f>VLOOKUP(A16,' Data (5A)'!A4:B145,2,FALSE)</f>
        <v>UUT range</v>
      </c>
    </row>
    <row r="17" spans="1:18" x14ac:dyDescent="0.2">
      <c r="A17" s="133">
        <v>55</v>
      </c>
      <c r="D17" s="138">
        <f>VLOOKUP($A17,tables!$A$3:$J$241,3,FALSE)</f>
        <v>0.6</v>
      </c>
      <c r="E17" s="134">
        <f>VLOOKUP($A17,tables!$A$3:$J$241,4,FALSE)</f>
        <v>20</v>
      </c>
      <c r="F17" s="138">
        <f>VLOOKUP($A17,tables!$A$3:$J$241,5,FALSE)</f>
        <v>-8.679850683409758E-2</v>
      </c>
      <c r="G17" s="138">
        <f>VLOOKUP($A17,tables!$A$3:$J$241,6,FALSE)</f>
        <v>0.14534147531921182</v>
      </c>
      <c r="H17" s="138">
        <f>VLOOKUP($A17,tables!$A$3:$J$241,7,FALSE)</f>
        <v>0.16182824213182229</v>
      </c>
      <c r="I17" s="138">
        <f>VLOOKUP($A17,tables!$A$3:$J$241,8,FALSE)</f>
        <v>0.26026266944766907</v>
      </c>
      <c r="J17" s="159">
        <f>VLOOKUP($A17,tables!$A$3:$J$241,9,FALSE)</f>
        <v>2.1432224896780294</v>
      </c>
      <c r="K17" s="159">
        <f>VLOOKUP($A17,tables!$A$3:$J$241,10,FALSE)</f>
        <v>2.0976946256672089</v>
      </c>
      <c r="M17" s="127">
        <f t="shared" si="0"/>
        <v>2.5335503531331797E-2</v>
      </c>
      <c r="N17" s="127">
        <f t="shared" si="1"/>
        <v>1.5753315712549339E-2</v>
      </c>
      <c r="P17" s="6" t="str">
        <f>VLOOKUP(A17,' Data (5A)'!A5:B146,2,FALSE)</f>
        <v>30/5</v>
      </c>
      <c r="Q17" s="6" t="str">
        <f>LEFT(P17,2)</f>
        <v>30</v>
      </c>
      <c r="R17" s="6" t="str">
        <f>RIGHT(P17,1)</f>
        <v>5</v>
      </c>
    </row>
    <row r="18" spans="1:18" x14ac:dyDescent="0.2">
      <c r="A18" s="133">
        <v>56</v>
      </c>
      <c r="D18" s="138">
        <f>VLOOKUP($A18,tables!$A$3:$J$241,3,FALSE)</f>
        <v>0.6</v>
      </c>
      <c r="E18" s="134">
        <f>VLOOKUP($A18,tables!$A$3:$J$241,4,FALSE)</f>
        <v>40</v>
      </c>
      <c r="F18" s="138">
        <f>VLOOKUP($A18,tables!$A$3:$J$241,5,FALSE)</f>
        <v>-9.472853958630334E-2</v>
      </c>
      <c r="G18" s="138">
        <f>VLOOKUP($A18,tables!$A$3:$J$241,6,FALSE)</f>
        <v>0.11747420826794194</v>
      </c>
      <c r="H18" s="138">
        <f>VLOOKUP($A18,tables!$A$3:$J$241,7,FALSE)</f>
        <v>0.17035035801648163</v>
      </c>
      <c r="I18" s="138">
        <f>VLOOKUP($A18,tables!$A$3:$J$241,8,FALSE)</f>
        <v>0.23769738781555289</v>
      </c>
      <c r="J18" s="159">
        <f>VLOOKUP($A18,tables!$A$3:$J$241,9,FALSE)</f>
        <v>2.1491536230331505</v>
      </c>
      <c r="K18" s="159">
        <f>VLOOKUP($A18,tables!$A$3:$J$241,10,FALSE)</f>
        <v>2.0790165045633979</v>
      </c>
      <c r="M18" s="127">
        <f t="shared" si="0"/>
        <v>2.4068044515664123E-2</v>
      </c>
      <c r="N18" s="127">
        <f t="shared" si="1"/>
        <v>1.7248822284835104E-2</v>
      </c>
      <c r="P18" s="6" t="str">
        <f>VLOOKUP(A18,' Data (5A)'!A6:B147,2,FALSE)</f>
        <v>UUT secondary</v>
      </c>
    </row>
    <row r="19" spans="1:18" x14ac:dyDescent="0.2">
      <c r="A19" s="133">
        <v>57</v>
      </c>
      <c r="D19" s="138">
        <f>VLOOKUP($A19,tables!$A$3:$J$241,3,FALSE)</f>
        <v>0.6</v>
      </c>
      <c r="E19" s="134">
        <f>VLOOKUP($A19,tables!$A$3:$J$241,4,FALSE)</f>
        <v>60</v>
      </c>
      <c r="F19" s="138">
        <f>VLOOKUP($A19,tables!$A$3:$J$241,5,FALSE)</f>
        <v>-9.3595189973814844E-2</v>
      </c>
      <c r="G19" s="138">
        <f>VLOOKUP($A19,tables!$A$3:$J$241,6,FALSE)</f>
        <v>0.11528659665773733</v>
      </c>
      <c r="H19" s="138">
        <f>VLOOKUP($A19,tables!$A$3:$J$241,7,FALSE)</f>
        <v>0.17178754887238312</v>
      </c>
      <c r="I19" s="138">
        <f>VLOOKUP($A19,tables!$A$3:$J$241,8,FALSE)</f>
        <v>0.2207245060799139</v>
      </c>
      <c r="J19" s="159">
        <f>VLOOKUP($A19,tables!$A$3:$J$241,9,FALSE)</f>
        <v>2.1505534683212315</v>
      </c>
      <c r="K19" s="159">
        <f>VLOOKUP($A19,tables!$A$3:$J$241,10,FALSE)</f>
        <v>2.0795485119659456</v>
      </c>
      <c r="M19" s="127">
        <f t="shared" si="0"/>
        <v>2.3866688982481451E-2</v>
      </c>
      <c r="N19" s="127">
        <f t="shared" si="1"/>
        <v>1.8575191639643242E-2</v>
      </c>
      <c r="P19" s="6" t="str">
        <f>VLOOKUP(A19,' Data (5A)'!A7:B148,2,FALSE)</f>
        <v>l - 1200At(5A)</v>
      </c>
    </row>
    <row r="20" spans="1:18" x14ac:dyDescent="0.2">
      <c r="A20" s="133">
        <v>58</v>
      </c>
      <c r="D20" s="138">
        <f>VLOOKUP($A20,tables!$A$3:$J$241,3,FALSE)</f>
        <v>0.6</v>
      </c>
      <c r="E20" s="134">
        <f>VLOOKUP($A20,tables!$A$3:$J$241,4,FALSE)</f>
        <v>100</v>
      </c>
      <c r="F20" s="138">
        <f>VLOOKUP($A20,tables!$A$3:$J$241,5,FALSE)</f>
        <v>-9.9017207034306831E-2</v>
      </c>
      <c r="G20" s="138">
        <f>VLOOKUP($A20,tables!$A$3:$J$241,6,FALSE)</f>
        <v>0.21459007142083189</v>
      </c>
      <c r="H20" s="138">
        <f>VLOOKUP($A20,tables!$A$3:$J$241,7,FALSE)</f>
        <v>0.16238024256956851</v>
      </c>
      <c r="I20" s="138">
        <f>VLOOKUP($A20,tables!$A$3:$J$241,8,FALSE)</f>
        <v>0.20877178098152177</v>
      </c>
      <c r="J20" s="159">
        <f>VLOOKUP($A20,tables!$A$3:$J$241,9,FALSE)</f>
        <v>2.1432218520802993</v>
      </c>
      <c r="K20" s="159">
        <f>VLOOKUP($A20,tables!$A$3:$J$241,10,FALSE)</f>
        <v>2.0983108627327218</v>
      </c>
      <c r="M20" s="127">
        <f t="shared" si="0"/>
        <v>2.5249377234077223E-2</v>
      </c>
      <c r="N20" s="127">
        <f t="shared" si="1"/>
        <v>1.963866946348888E-2</v>
      </c>
      <c r="P20" s="6" t="str">
        <f>VLOOKUP(A20,' Data (5A)'!A8:B149,2,FALSE)</f>
        <v>Std Range</v>
      </c>
    </row>
    <row r="21" spans="1:18" x14ac:dyDescent="0.2">
      <c r="A21" s="133">
        <v>59</v>
      </c>
      <c r="D21" s="138">
        <f>VLOOKUP($A21,tables!$A$3:$J$241,3,FALSE)</f>
        <v>0.6</v>
      </c>
      <c r="E21" s="134">
        <f>VLOOKUP($A21,tables!$A$3:$J$241,4,FALSE)</f>
        <v>120</v>
      </c>
      <c r="F21" s="138">
        <f>VLOOKUP($A21,tables!$A$3:$J$241,5,FALSE)</f>
        <v>-0.10644900791739867</v>
      </c>
      <c r="G21" s="138">
        <f>VLOOKUP($A21,tables!$A$3:$J$241,6,FALSE)</f>
        <v>0.32852577058239191</v>
      </c>
      <c r="H21" s="138" t="e">
        <f>VLOOKUP($A21,tables!$A$3:$J$241,7,FALSE)</f>
        <v>#N/A</v>
      </c>
      <c r="I21" s="138" t="e">
        <f>VLOOKUP($A21,tables!$A$3:$J$241,8,FALSE)</f>
        <v>#N/A</v>
      </c>
      <c r="J21" s="159" t="e">
        <f>VLOOKUP($A21,tables!$A$3:$J$241,9,FALSE)</f>
        <v>#VALUE!</v>
      </c>
      <c r="K21" s="159" t="e">
        <f>VLOOKUP($A21,tables!$A$3:$J$241,10,FALSE)</f>
        <v>#VALUE!</v>
      </c>
      <c r="M21" s="127" t="e">
        <f t="shared" si="0"/>
        <v>#N/A</v>
      </c>
      <c r="N21" s="127" t="e">
        <f t="shared" si="1"/>
        <v>#N/A</v>
      </c>
      <c r="P21" s="6" t="str">
        <f>VLOOKUP(A21,' Data (5A)'!A9:B150,2,FALSE)</f>
        <v>50/5</v>
      </c>
    </row>
    <row r="22" spans="1:18" x14ac:dyDescent="0.2">
      <c r="A22"/>
      <c r="D22" s="138"/>
      <c r="E22" s="139"/>
      <c r="F22" s="140"/>
      <c r="G22" s="141"/>
      <c r="H22" s="141"/>
      <c r="I22" s="141"/>
      <c r="J22" s="142"/>
      <c r="K22" s="142"/>
      <c r="M22" s="127"/>
      <c r="N22" s="127"/>
    </row>
    <row r="23" spans="1:18" x14ac:dyDescent="0.2">
      <c r="D23" s="131" t="str">
        <f>"Table"&amp;VLOOKUP($A24,tables!$A$3:$L$241,12,FALSE)&amp;"."</f>
        <v>Table5.</v>
      </c>
      <c r="E23" s="132"/>
      <c r="F23" s="132"/>
      <c r="G23" s="132"/>
      <c r="H23" s="132"/>
      <c r="I23" s="132"/>
    </row>
    <row r="24" spans="1:18" ht="15.75" x14ac:dyDescent="0.35">
      <c r="A24" s="133">
        <v>84</v>
      </c>
      <c r="D24" s="145" t="s">
        <v>163</v>
      </c>
      <c r="E24" s="144" t="e">
        <f>Q29/R29</f>
        <v>#N/A</v>
      </c>
      <c r="F24" s="135"/>
      <c r="G24" s="146" t="e">
        <f>"Range "&amp;Q29&amp;":"&amp;R29</f>
        <v>#N/A</v>
      </c>
      <c r="H24" s="12"/>
      <c r="I24" s="147" t="s">
        <v>157</v>
      </c>
      <c r="J24" s="146" t="e">
        <f>P31</f>
        <v>#N/A</v>
      </c>
      <c r="K24" s="136"/>
    </row>
    <row r="25" spans="1:18" x14ac:dyDescent="0.2">
      <c r="A25" s="133"/>
      <c r="D25" s="204" t="s">
        <v>158</v>
      </c>
      <c r="E25" s="205"/>
      <c r="F25" s="204" t="s">
        <v>137</v>
      </c>
      <c r="G25" s="205"/>
      <c r="H25" s="204" t="s">
        <v>109</v>
      </c>
      <c r="I25" s="205"/>
      <c r="J25" s="204" t="s">
        <v>76</v>
      </c>
      <c r="K25" s="205"/>
    </row>
    <row r="26" spans="1:18" ht="38.25" x14ac:dyDescent="0.2">
      <c r="A26" s="133"/>
      <c r="D26" s="137" t="s">
        <v>159</v>
      </c>
      <c r="E26" s="137" t="s">
        <v>152</v>
      </c>
      <c r="F26" s="137" t="s">
        <v>161</v>
      </c>
      <c r="G26" s="137" t="s">
        <v>162</v>
      </c>
      <c r="H26" s="137" t="s">
        <v>161</v>
      </c>
      <c r="I26" s="137" t="s">
        <v>162</v>
      </c>
      <c r="J26" s="137" t="s">
        <v>160</v>
      </c>
      <c r="K26" s="137" t="s">
        <v>3</v>
      </c>
    </row>
    <row r="27" spans="1:18" x14ac:dyDescent="0.2">
      <c r="A27" s="133">
        <v>86</v>
      </c>
      <c r="D27" s="138">
        <f>VLOOKUP($A27,tables!$A$3:$J$241,3,FALSE)</f>
        <v>0.6</v>
      </c>
      <c r="E27" s="134" t="e">
        <f>VLOOKUP($A27,tables!$A$3:$J$241,4,FALSE)</f>
        <v>#N/A</v>
      </c>
      <c r="F27" s="138" t="e">
        <f>VLOOKUP($A27,tables!$A$3:$J$241,5,FALSE)</f>
        <v>#N/A</v>
      </c>
      <c r="G27" s="138" t="e">
        <f>VLOOKUP($A27,tables!$A$3:$J$241,6,FALSE)</f>
        <v>#N/A</v>
      </c>
      <c r="H27" s="138" t="e">
        <f>VLOOKUP($A27,tables!$A$3:$J$241,7,FALSE)</f>
        <v>#N/A</v>
      </c>
      <c r="I27" s="138" t="e">
        <f>VLOOKUP($A27,tables!$A$3:$J$241,8,FALSE)</f>
        <v>#N/A</v>
      </c>
      <c r="J27" s="159" t="e">
        <f>VLOOKUP($A27,tables!$A$3:$J$241,9,FALSE)</f>
        <v>#VALUE!</v>
      </c>
      <c r="K27" s="159" t="e">
        <f>VLOOKUP($A27,tables!$A$3:$J$241,10,FALSE)</f>
        <v>#VALUE!</v>
      </c>
      <c r="M27" s="127" t="e">
        <f>$M$3/H27</f>
        <v>#N/A</v>
      </c>
      <c r="N27" s="127" t="e">
        <f>$N$3/I27</f>
        <v>#N/A</v>
      </c>
      <c r="P27" s="6" t="e">
        <f>VLOOKUP(A27,' Data (5A)'!A15:B156,2,FALSE)</f>
        <v>#N/A</v>
      </c>
    </row>
    <row r="28" spans="1:18" x14ac:dyDescent="0.2">
      <c r="A28" s="133">
        <v>87</v>
      </c>
      <c r="D28" s="138">
        <f>VLOOKUP($A28,tables!$A$3:$J$241,3,FALSE)</f>
        <v>0.6</v>
      </c>
      <c r="E28" s="134" t="e">
        <f>VLOOKUP($A28,tables!$A$3:$J$241,4,FALSE)</f>
        <v>#N/A</v>
      </c>
      <c r="F28" s="138" t="e">
        <f>VLOOKUP($A28,tables!$A$3:$J$241,5,FALSE)</f>
        <v>#N/A</v>
      </c>
      <c r="G28" s="138" t="e">
        <f>VLOOKUP($A28,tables!$A$3:$J$241,6,FALSE)</f>
        <v>#N/A</v>
      </c>
      <c r="H28" s="138" t="e">
        <f>VLOOKUP($A28,tables!$A$3:$J$241,7,FALSE)</f>
        <v>#N/A</v>
      </c>
      <c r="I28" s="138" t="e">
        <f>VLOOKUP($A28,tables!$A$3:$J$241,8,FALSE)</f>
        <v>#N/A</v>
      </c>
      <c r="J28" s="159" t="e">
        <f>VLOOKUP($A28,tables!$A$3:$J$241,9,FALSE)</f>
        <v>#VALUE!</v>
      </c>
      <c r="K28" s="159" t="e">
        <f>VLOOKUP($A28,tables!$A$3:$J$241,10,FALSE)</f>
        <v>#VALUE!</v>
      </c>
      <c r="M28" s="127" t="e">
        <f t="shared" ref="M28:M33" si="2">$M$3/H28</f>
        <v>#N/A</v>
      </c>
      <c r="N28" s="127" t="e">
        <f t="shared" ref="N28:N33" si="3">$N$3/I28</f>
        <v>#N/A</v>
      </c>
      <c r="P28" s="6" t="e">
        <f>VLOOKUP(A28,' Data (5A)'!A16:B157,2,FALSE)</f>
        <v>#N/A</v>
      </c>
    </row>
    <row r="29" spans="1:18" x14ac:dyDescent="0.2">
      <c r="A29" s="133">
        <v>88</v>
      </c>
      <c r="D29" s="138">
        <f>VLOOKUP($A29,tables!$A$3:$J$241,3,FALSE)</f>
        <v>0.6</v>
      </c>
      <c r="E29" s="134" t="e">
        <f>VLOOKUP($A29,tables!$A$3:$J$241,4,FALSE)</f>
        <v>#N/A</v>
      </c>
      <c r="F29" s="138" t="e">
        <f>VLOOKUP($A29,tables!$A$3:$J$241,5,FALSE)</f>
        <v>#N/A</v>
      </c>
      <c r="G29" s="138" t="e">
        <f>VLOOKUP($A29,tables!$A$3:$J$241,6,FALSE)</f>
        <v>#N/A</v>
      </c>
      <c r="H29" s="138" t="e">
        <f>VLOOKUP($A29,tables!$A$3:$J$241,7,FALSE)</f>
        <v>#N/A</v>
      </c>
      <c r="I29" s="138" t="e">
        <f>VLOOKUP($A29,tables!$A$3:$J$241,8,FALSE)</f>
        <v>#N/A</v>
      </c>
      <c r="J29" s="159" t="e">
        <f>VLOOKUP($A29,tables!$A$3:$J$241,9,FALSE)</f>
        <v>#VALUE!</v>
      </c>
      <c r="K29" s="159" t="e">
        <f>VLOOKUP($A29,tables!$A$3:$J$241,10,FALSE)</f>
        <v>#VALUE!</v>
      </c>
      <c r="M29" s="127" t="e">
        <f t="shared" si="2"/>
        <v>#N/A</v>
      </c>
      <c r="N29" s="127" t="e">
        <f t="shared" si="3"/>
        <v>#N/A</v>
      </c>
      <c r="P29" s="6" t="e">
        <f>VLOOKUP(A29,' Data (5A)'!A17:B158,2,FALSE)</f>
        <v>#N/A</v>
      </c>
      <c r="Q29" s="6" t="e">
        <f>LEFT(P29,2)</f>
        <v>#N/A</v>
      </c>
      <c r="R29" s="6" t="e">
        <f>RIGHT(P29,1)</f>
        <v>#N/A</v>
      </c>
    </row>
    <row r="30" spans="1:18" x14ac:dyDescent="0.2">
      <c r="A30" s="133">
        <v>89</v>
      </c>
      <c r="D30" s="138">
        <f>VLOOKUP($A30,tables!$A$3:$J$241,3,FALSE)</f>
        <v>0.6</v>
      </c>
      <c r="E30" s="134" t="e">
        <f>VLOOKUP($A30,tables!$A$3:$J$241,4,FALSE)</f>
        <v>#N/A</v>
      </c>
      <c r="F30" s="138" t="e">
        <f>VLOOKUP($A30,tables!$A$3:$J$241,5,FALSE)</f>
        <v>#N/A</v>
      </c>
      <c r="G30" s="138" t="e">
        <f>VLOOKUP($A30,tables!$A$3:$J$241,6,FALSE)</f>
        <v>#N/A</v>
      </c>
      <c r="H30" s="138" t="e">
        <f>VLOOKUP($A30,tables!$A$3:$J$241,7,FALSE)</f>
        <v>#N/A</v>
      </c>
      <c r="I30" s="138" t="e">
        <f>VLOOKUP($A30,tables!$A$3:$J$241,8,FALSE)</f>
        <v>#N/A</v>
      </c>
      <c r="J30" s="159" t="e">
        <f>VLOOKUP($A30,tables!$A$3:$J$241,9,FALSE)</f>
        <v>#VALUE!</v>
      </c>
      <c r="K30" s="159" t="e">
        <f>VLOOKUP($A30,tables!$A$3:$J$241,10,FALSE)</f>
        <v>#VALUE!</v>
      </c>
      <c r="M30" s="127" t="e">
        <f t="shared" si="2"/>
        <v>#N/A</v>
      </c>
      <c r="N30" s="127" t="e">
        <f t="shared" si="3"/>
        <v>#N/A</v>
      </c>
      <c r="P30" s="6" t="e">
        <f>VLOOKUP(A30,' Data (5A)'!A18:B159,2,FALSE)</f>
        <v>#N/A</v>
      </c>
    </row>
    <row r="31" spans="1:18" x14ac:dyDescent="0.2">
      <c r="A31" s="133">
        <v>90</v>
      </c>
      <c r="D31" s="138">
        <f>VLOOKUP($A31,tables!$A$3:$J$241,3,FALSE)</f>
        <v>0.6</v>
      </c>
      <c r="E31" s="134" t="e">
        <f>VLOOKUP($A31,tables!$A$3:$J$241,4,FALSE)</f>
        <v>#N/A</v>
      </c>
      <c r="F31" s="138" t="e">
        <f>VLOOKUP($A31,tables!$A$3:$J$241,5,FALSE)</f>
        <v>#N/A</v>
      </c>
      <c r="G31" s="138" t="e">
        <f>VLOOKUP($A31,tables!$A$3:$J$241,6,FALSE)</f>
        <v>#N/A</v>
      </c>
      <c r="H31" s="138" t="e">
        <f>VLOOKUP($A31,tables!$A$3:$J$241,7,FALSE)</f>
        <v>#N/A</v>
      </c>
      <c r="I31" s="138" t="e">
        <f>VLOOKUP($A31,tables!$A$3:$J$241,8,FALSE)</f>
        <v>#N/A</v>
      </c>
      <c r="J31" s="159" t="e">
        <f>VLOOKUP($A31,tables!$A$3:$J$241,9,FALSE)</f>
        <v>#VALUE!</v>
      </c>
      <c r="K31" s="159" t="e">
        <f>VLOOKUP($A31,tables!$A$3:$J$241,10,FALSE)</f>
        <v>#VALUE!</v>
      </c>
      <c r="M31" s="127" t="e">
        <f t="shared" si="2"/>
        <v>#N/A</v>
      </c>
      <c r="N31" s="127" t="e">
        <f t="shared" si="3"/>
        <v>#N/A</v>
      </c>
      <c r="P31" s="6" t="e">
        <f>VLOOKUP(A31,' Data (5A)'!A19:B160,2,FALSE)</f>
        <v>#N/A</v>
      </c>
    </row>
    <row r="32" spans="1:18" x14ac:dyDescent="0.2">
      <c r="A32" s="133">
        <v>91</v>
      </c>
      <c r="D32" s="138">
        <f>VLOOKUP($A32,tables!$A$3:$J$241,3,FALSE)</f>
        <v>0.6</v>
      </c>
      <c r="E32" s="134" t="e">
        <f>VLOOKUP($A32,tables!$A$3:$J$241,4,FALSE)</f>
        <v>#N/A</v>
      </c>
      <c r="F32" s="138" t="e">
        <f>VLOOKUP($A32,tables!$A$3:$J$241,5,FALSE)</f>
        <v>#N/A</v>
      </c>
      <c r="G32" s="138" t="e">
        <f>VLOOKUP($A32,tables!$A$3:$J$241,6,FALSE)</f>
        <v>#N/A</v>
      </c>
      <c r="H32" s="138" t="e">
        <f>VLOOKUP($A32,tables!$A$3:$J$241,7,FALSE)</f>
        <v>#N/A</v>
      </c>
      <c r="I32" s="138" t="e">
        <f>VLOOKUP($A32,tables!$A$3:$J$241,8,FALSE)</f>
        <v>#N/A</v>
      </c>
      <c r="J32" s="159" t="e">
        <f>VLOOKUP($A32,tables!$A$3:$J$241,9,FALSE)</f>
        <v>#VALUE!</v>
      </c>
      <c r="K32" s="159" t="e">
        <f>VLOOKUP($A32,tables!$A$3:$J$241,10,FALSE)</f>
        <v>#VALUE!</v>
      </c>
      <c r="M32" s="127" t="e">
        <f t="shared" si="2"/>
        <v>#N/A</v>
      </c>
      <c r="N32" s="127" t="e">
        <f t="shared" si="3"/>
        <v>#N/A</v>
      </c>
      <c r="P32" s="6" t="e">
        <f>VLOOKUP(A32,' Data (5A)'!A20:B161,2,FALSE)</f>
        <v>#N/A</v>
      </c>
    </row>
    <row r="33" spans="1:18" ht="12.75" customHeight="1" x14ac:dyDescent="0.2">
      <c r="A33" s="133">
        <v>92</v>
      </c>
      <c r="D33" s="138">
        <f>VLOOKUP($A33,tables!$A$3:$J$241,3,FALSE)</f>
        <v>0.6</v>
      </c>
      <c r="E33" s="134" t="e">
        <f>VLOOKUP($A33,tables!$A$3:$J$241,4,FALSE)</f>
        <v>#N/A</v>
      </c>
      <c r="F33" s="138" t="e">
        <f>VLOOKUP($A33,tables!$A$3:$J$241,5,FALSE)</f>
        <v>#N/A</v>
      </c>
      <c r="G33" s="138" t="e">
        <f>VLOOKUP($A33,tables!$A$3:$J$241,6,FALSE)</f>
        <v>#N/A</v>
      </c>
      <c r="H33" s="138" t="e">
        <f>VLOOKUP($A33,tables!$A$3:$J$241,7,FALSE)</f>
        <v>#N/A</v>
      </c>
      <c r="I33" s="138" t="e">
        <f>VLOOKUP($A33,tables!$A$3:$J$241,8,FALSE)</f>
        <v>#N/A</v>
      </c>
      <c r="J33" s="159" t="e">
        <f>VLOOKUP($A33,tables!$A$3:$J$241,9,FALSE)</f>
        <v>#VALUE!</v>
      </c>
      <c r="K33" s="159" t="e">
        <f>VLOOKUP($A33,tables!$A$3:$J$241,10,FALSE)</f>
        <v>#VALUE!</v>
      </c>
      <c r="M33" s="127" t="e">
        <f t="shared" si="2"/>
        <v>#N/A</v>
      </c>
      <c r="N33" s="127" t="e">
        <f t="shared" si="3"/>
        <v>#N/A</v>
      </c>
      <c r="P33" s="6" t="e">
        <f>VLOOKUP(A33,' Data (5A)'!A21:B162,2,FALSE)</f>
        <v>#N/A</v>
      </c>
    </row>
    <row r="34" spans="1:18" x14ac:dyDescent="0.2">
      <c r="A34" s="133"/>
      <c r="D34" s="143"/>
      <c r="E34" s="143"/>
      <c r="F34" s="143"/>
      <c r="G34" s="143"/>
      <c r="H34" s="143"/>
      <c r="I34" s="143"/>
      <c r="J34" s="143"/>
      <c r="K34" s="143"/>
    </row>
    <row r="35" spans="1:18" x14ac:dyDescent="0.2">
      <c r="D35" s="131" t="str">
        <f>"Table"&amp;VLOOKUP($A36,tables!$A$3:$L$241,12,FALSE)&amp;"."</f>
        <v>Tablex4x.</v>
      </c>
      <c r="E35" s="132"/>
      <c r="F35" s="132"/>
      <c r="G35" s="132"/>
      <c r="H35" s="132"/>
      <c r="I35" s="132"/>
    </row>
    <row r="36" spans="1:18" ht="16.5" customHeight="1" x14ac:dyDescent="0.35">
      <c r="A36" s="133">
        <v>30</v>
      </c>
      <c r="D36" s="145" t="s">
        <v>163</v>
      </c>
      <c r="E36" s="144">
        <f>Q41/R41</f>
        <v>6</v>
      </c>
      <c r="F36" s="135"/>
      <c r="G36" s="146" t="str">
        <f>"Range "&amp;Q41&amp;":"&amp;R41</f>
        <v>Range 30:5</v>
      </c>
      <c r="I36" s="147" t="s">
        <v>157</v>
      </c>
      <c r="J36" s="146" t="str">
        <f>P43</f>
        <v>l - 1200At(5A)</v>
      </c>
      <c r="K36" s="136"/>
    </row>
    <row r="37" spans="1:18" ht="12.75" customHeight="1" x14ac:dyDescent="0.2">
      <c r="A37" s="133"/>
      <c r="D37" s="204" t="s">
        <v>158</v>
      </c>
      <c r="E37" s="205"/>
      <c r="F37" s="204" t="s">
        <v>137</v>
      </c>
      <c r="G37" s="205"/>
      <c r="H37" s="204" t="s">
        <v>109</v>
      </c>
      <c r="I37" s="205"/>
      <c r="J37" s="204" t="s">
        <v>76</v>
      </c>
      <c r="K37" s="205"/>
    </row>
    <row r="38" spans="1:18" ht="38.25" x14ac:dyDescent="0.2">
      <c r="A38" s="133"/>
      <c r="D38" s="137" t="s">
        <v>159</v>
      </c>
      <c r="E38" s="137" t="s">
        <v>152</v>
      </c>
      <c r="F38" s="137" t="s">
        <v>161</v>
      </c>
      <c r="G38" s="137" t="s">
        <v>162</v>
      </c>
      <c r="H38" s="137" t="s">
        <v>161</v>
      </c>
      <c r="I38" s="137" t="s">
        <v>162</v>
      </c>
      <c r="J38" s="137" t="s">
        <v>160</v>
      </c>
      <c r="K38" s="137" t="s">
        <v>3</v>
      </c>
    </row>
    <row r="39" spans="1:18" x14ac:dyDescent="0.2">
      <c r="A39" s="133">
        <v>32</v>
      </c>
      <c r="D39" s="138">
        <f>VLOOKUP($A39,tables!$A$3:$J$241,3,FALSE)</f>
        <v>0.6</v>
      </c>
      <c r="E39" s="134">
        <f>VLOOKUP($A39,tables!$A$3:$J$241,4,FALSE)</f>
        <v>4</v>
      </c>
      <c r="F39" s="138">
        <f>VLOOKUP($A39,tables!$A$3:$J$241,5,FALSE)</f>
        <v>-7.3052151605169188E-2</v>
      </c>
      <c r="G39" s="138">
        <f>VLOOKUP($A39,tables!$A$3:$J$241,6,FALSE)</f>
        <v>0.1977685692916471</v>
      </c>
      <c r="H39" s="138" t="e">
        <f>VLOOKUP($A39,tables!$A$3:$J$241,7,FALSE)</f>
        <v>#N/A</v>
      </c>
      <c r="I39" s="138" t="e">
        <f>VLOOKUP($A39,tables!$A$3:$J$241,8,FALSE)</f>
        <v>#N/A</v>
      </c>
      <c r="J39" s="159" t="e">
        <f>VLOOKUP($A39,tables!$A$3:$J$241,9,FALSE)</f>
        <v>#VALUE!</v>
      </c>
      <c r="K39" s="159" t="e">
        <f>VLOOKUP($A39,tables!$A$3:$J$241,10,FALSE)</f>
        <v>#VALUE!</v>
      </c>
      <c r="M39" s="127" t="e">
        <f>$M$3/H39</f>
        <v>#N/A</v>
      </c>
      <c r="N39" s="127" t="e">
        <f>$N$3/I39</f>
        <v>#N/A</v>
      </c>
      <c r="P39" s="6" t="str">
        <f>VLOOKUP(A39,' Data (5A)'!A27:B168,2,FALSE)</f>
        <v>53 Hz</v>
      </c>
    </row>
    <row r="40" spans="1:18" x14ac:dyDescent="0.2">
      <c r="A40" s="133">
        <v>33</v>
      </c>
      <c r="D40" s="138">
        <f>VLOOKUP($A40,tables!$A$3:$J$241,3,FALSE)</f>
        <v>0.6</v>
      </c>
      <c r="E40" s="134">
        <f>VLOOKUP($A40,tables!$A$3:$J$241,4,FALSE)</f>
        <v>8</v>
      </c>
      <c r="F40" s="138">
        <f>VLOOKUP($A40,tables!$A$3:$J$241,5,FALSE)</f>
        <v>-7.5057671674103169E-2</v>
      </c>
      <c r="G40" s="138">
        <f>VLOOKUP($A40,tables!$A$3:$J$241,6,FALSE)</f>
        <v>0.19088938420973767</v>
      </c>
      <c r="H40" s="138" t="e">
        <f>VLOOKUP($A40,tables!$A$3:$J$241,7,FALSE)</f>
        <v>#N/A</v>
      </c>
      <c r="I40" s="138" t="e">
        <f>VLOOKUP($A40,tables!$A$3:$J$241,8,FALSE)</f>
        <v>#N/A</v>
      </c>
      <c r="J40" s="159" t="e">
        <f>VLOOKUP($A40,tables!$A$3:$J$241,9,FALSE)</f>
        <v>#VALUE!</v>
      </c>
      <c r="K40" s="159" t="e">
        <f>VLOOKUP($A40,tables!$A$3:$J$241,10,FALSE)</f>
        <v>#VALUE!</v>
      </c>
      <c r="M40" s="127" t="e">
        <f t="shared" ref="M40:M45" si="4">$M$3/H40</f>
        <v>#N/A</v>
      </c>
      <c r="N40" s="127" t="e">
        <f t="shared" ref="N40:N45" si="5">$N$3/I40</f>
        <v>#N/A</v>
      </c>
      <c r="P40" s="6" t="str">
        <f>VLOOKUP(A40,' Data (5A)'!A28:B169,2,FALSE)</f>
        <v>UUT range</v>
      </c>
    </row>
    <row r="41" spans="1:18" x14ac:dyDescent="0.2">
      <c r="A41" s="133">
        <v>34</v>
      </c>
      <c r="D41" s="138">
        <f>VLOOKUP($A41,tables!$A$3:$J$241,3,FALSE)</f>
        <v>0.6</v>
      </c>
      <c r="E41" s="134">
        <f>VLOOKUP($A41,tables!$A$3:$J$241,4,FALSE)</f>
        <v>17</v>
      </c>
      <c r="F41" s="138">
        <f>VLOOKUP($A41,tables!$A$3:$J$241,5,FALSE)</f>
        <v>-7.5879944769966054E-2</v>
      </c>
      <c r="G41" s="138">
        <f>VLOOKUP($A41,tables!$A$3:$J$241,6,FALSE)</f>
        <v>0.18088017816983926</v>
      </c>
      <c r="H41" s="138" t="e">
        <f>VLOOKUP($A41,tables!$A$3:$J$241,7,FALSE)</f>
        <v>#N/A</v>
      </c>
      <c r="I41" s="138" t="e">
        <f>VLOOKUP($A41,tables!$A$3:$J$241,8,FALSE)</f>
        <v>#N/A</v>
      </c>
      <c r="J41" s="159" t="e">
        <f>VLOOKUP($A41,tables!$A$3:$J$241,9,FALSE)</f>
        <v>#VALUE!</v>
      </c>
      <c r="K41" s="159" t="e">
        <f>VLOOKUP($A41,tables!$A$3:$J$241,10,FALSE)</f>
        <v>#VALUE!</v>
      </c>
      <c r="M41" s="127" t="e">
        <f t="shared" si="4"/>
        <v>#N/A</v>
      </c>
      <c r="N41" s="127" t="e">
        <f t="shared" si="5"/>
        <v>#N/A</v>
      </c>
      <c r="P41" s="6" t="str">
        <f>VLOOKUP(A41,' Data (5A)'!A29:B170,2,FALSE)</f>
        <v>30/5</v>
      </c>
      <c r="Q41" s="6" t="str">
        <f>LEFT(P41,2)</f>
        <v>30</v>
      </c>
      <c r="R41" s="6" t="str">
        <f>RIGHT(P41,1)</f>
        <v>5</v>
      </c>
    </row>
    <row r="42" spans="1:18" x14ac:dyDescent="0.2">
      <c r="A42" s="133">
        <v>35</v>
      </c>
      <c r="D42" s="138">
        <f>VLOOKUP($A42,tables!$A$3:$J$241,3,FALSE)</f>
        <v>0.6</v>
      </c>
      <c r="E42" s="134">
        <f>VLOOKUP($A42,tables!$A$3:$J$241,4,FALSE)</f>
        <v>33</v>
      </c>
      <c r="F42" s="138">
        <f>VLOOKUP($A42,tables!$A$3:$J$241,5,FALSE)</f>
        <v>-9.9889022813507949E-2</v>
      </c>
      <c r="G42" s="138">
        <f>VLOOKUP($A42,tables!$A$3:$J$241,6,FALSE)</f>
        <v>0.28308277251638608</v>
      </c>
      <c r="H42" s="138" t="e">
        <f>VLOOKUP($A42,tables!$A$3:$J$241,7,FALSE)</f>
        <v>#N/A</v>
      </c>
      <c r="I42" s="138" t="e">
        <f>VLOOKUP($A42,tables!$A$3:$J$241,8,FALSE)</f>
        <v>#N/A</v>
      </c>
      <c r="J42" s="159" t="e">
        <f>VLOOKUP($A42,tables!$A$3:$J$241,9,FALSE)</f>
        <v>#VALUE!</v>
      </c>
      <c r="K42" s="159" t="e">
        <f>VLOOKUP($A42,tables!$A$3:$J$241,10,FALSE)</f>
        <v>#VALUE!</v>
      </c>
      <c r="M42" s="127" t="e">
        <f t="shared" si="4"/>
        <v>#N/A</v>
      </c>
      <c r="N42" s="127" t="e">
        <f t="shared" si="5"/>
        <v>#N/A</v>
      </c>
      <c r="P42" s="6" t="str">
        <f>VLOOKUP(A42,' Data (5A)'!A30:B171,2,FALSE)</f>
        <v>UUT secondary</v>
      </c>
    </row>
    <row r="43" spans="1:18" x14ac:dyDescent="0.2">
      <c r="A43" s="133">
        <v>36</v>
      </c>
      <c r="D43" s="138">
        <f>VLOOKUP($A43,tables!$A$3:$J$241,3,FALSE)</f>
        <v>0.6</v>
      </c>
      <c r="E43" s="134">
        <f>VLOOKUP($A43,tables!$A$3:$J$241,4,FALSE)</f>
        <v>50</v>
      </c>
      <c r="F43" s="138">
        <f>VLOOKUP($A43,tables!$A$3:$J$241,5,FALSE)</f>
        <v>-0.12730880684602658</v>
      </c>
      <c r="G43" s="138">
        <f>VLOOKUP($A43,tables!$A$3:$J$241,6,FALSE)</f>
        <v>0.38382365334572432</v>
      </c>
      <c r="H43" s="138" t="e">
        <f>VLOOKUP($A43,tables!$A$3:$J$241,7,FALSE)</f>
        <v>#N/A</v>
      </c>
      <c r="I43" s="138" t="e">
        <f>VLOOKUP($A43,tables!$A$3:$J$241,8,FALSE)</f>
        <v>#N/A</v>
      </c>
      <c r="J43" s="159" t="e">
        <f>VLOOKUP($A43,tables!$A$3:$J$241,9,FALSE)</f>
        <v>#VALUE!</v>
      </c>
      <c r="K43" s="159" t="e">
        <f>VLOOKUP($A43,tables!$A$3:$J$241,10,FALSE)</f>
        <v>#VALUE!</v>
      </c>
      <c r="M43" s="127" t="e">
        <f t="shared" si="4"/>
        <v>#N/A</v>
      </c>
      <c r="N43" s="127" t="e">
        <f t="shared" si="5"/>
        <v>#N/A</v>
      </c>
      <c r="P43" s="6" t="str">
        <f>VLOOKUP(A43,' Data (5A)'!A31:B172,2,FALSE)</f>
        <v>l - 1200At(5A)</v>
      </c>
    </row>
    <row r="44" spans="1:18" x14ac:dyDescent="0.2">
      <c r="A44" s="133">
        <v>37</v>
      </c>
      <c r="D44" s="138">
        <f>VLOOKUP($A44,tables!$A$3:$J$241,3,FALSE)</f>
        <v>0.6</v>
      </c>
      <c r="E44" s="134">
        <f>VLOOKUP($A44,tables!$A$3:$J$241,4,FALSE)</f>
        <v>84</v>
      </c>
      <c r="F44" s="138">
        <f>VLOOKUP($A44,tables!$A$3:$J$241,5,FALSE)</f>
        <v>-0.19036706039425999</v>
      </c>
      <c r="G44" s="138">
        <f>VLOOKUP($A44,tables!$A$3:$J$241,6,FALSE)</f>
        <v>0.78877932581886079</v>
      </c>
      <c r="H44" s="138" t="e">
        <f>VLOOKUP($A44,tables!$A$3:$J$241,7,FALSE)</f>
        <v>#N/A</v>
      </c>
      <c r="I44" s="138" t="e">
        <f>VLOOKUP($A44,tables!$A$3:$J$241,8,FALSE)</f>
        <v>#N/A</v>
      </c>
      <c r="J44" s="159" t="e">
        <f>VLOOKUP($A44,tables!$A$3:$J$241,9,FALSE)</f>
        <v>#VALUE!</v>
      </c>
      <c r="K44" s="159" t="e">
        <f>VLOOKUP($A44,tables!$A$3:$J$241,10,FALSE)</f>
        <v>#VALUE!</v>
      </c>
      <c r="M44" s="127" t="e">
        <f t="shared" si="4"/>
        <v>#N/A</v>
      </c>
      <c r="N44" s="127" t="e">
        <f t="shared" si="5"/>
        <v>#N/A</v>
      </c>
      <c r="P44" s="6" t="str">
        <f>VLOOKUP(A44,' Data (5A)'!A32:B173,2,FALSE)</f>
        <v>Std Range</v>
      </c>
    </row>
    <row r="45" spans="1:18" x14ac:dyDescent="0.2">
      <c r="A45" s="133">
        <v>38</v>
      </c>
      <c r="D45" s="138">
        <f>VLOOKUP($A45,tables!$A$3:$J$241,3,FALSE)</f>
        <v>0.6</v>
      </c>
      <c r="E45" s="134">
        <f>VLOOKUP($A45,tables!$A$3:$J$241,4,FALSE)</f>
        <v>101</v>
      </c>
      <c r="F45" s="138">
        <f>VLOOKUP($A45,tables!$A$3:$J$241,5,FALSE)</f>
        <v>-0.22067681422600038</v>
      </c>
      <c r="G45" s="138">
        <f>VLOOKUP($A45,tables!$A$3:$J$241,6,FALSE)</f>
        <v>0.96764863881868879</v>
      </c>
      <c r="H45" s="138" t="e">
        <f>VLOOKUP($A45,tables!$A$3:$J$241,7,FALSE)</f>
        <v>#N/A</v>
      </c>
      <c r="I45" s="138" t="e">
        <f>VLOOKUP($A45,tables!$A$3:$J$241,8,FALSE)</f>
        <v>#N/A</v>
      </c>
      <c r="J45" s="159" t="e">
        <f>VLOOKUP($A45,tables!$A$3:$J$241,9,FALSE)</f>
        <v>#VALUE!</v>
      </c>
      <c r="K45" s="159" t="e">
        <f>VLOOKUP($A45,tables!$A$3:$J$241,10,FALSE)</f>
        <v>#VALUE!</v>
      </c>
      <c r="M45" s="127" t="e">
        <f t="shared" si="4"/>
        <v>#N/A</v>
      </c>
      <c r="N45" s="127" t="e">
        <f t="shared" si="5"/>
        <v>#N/A</v>
      </c>
      <c r="P45" s="6" t="str">
        <f>VLOOKUP(A45,' Data (5A)'!A33:B174,2,FALSE)</f>
        <v>50/5</v>
      </c>
    </row>
    <row r="46" spans="1:18" x14ac:dyDescent="0.2">
      <c r="A46" s="133"/>
      <c r="D46" s="138"/>
      <c r="E46" s="134"/>
      <c r="F46" s="138"/>
      <c r="G46" s="138"/>
      <c r="H46" s="138"/>
      <c r="I46" s="138"/>
      <c r="J46" s="138"/>
      <c r="K46" s="138"/>
      <c r="M46" s="127"/>
      <c r="N46" s="127"/>
    </row>
  </sheetData>
  <mergeCells count="12">
    <mergeCell ref="D37:E37"/>
    <mergeCell ref="F37:G37"/>
    <mergeCell ref="H37:I37"/>
    <mergeCell ref="J37:K37"/>
    <mergeCell ref="D13:E13"/>
    <mergeCell ref="F13:G13"/>
    <mergeCell ref="H13:I13"/>
    <mergeCell ref="J13:K13"/>
    <mergeCell ref="D25:E25"/>
    <mergeCell ref="F25:G25"/>
    <mergeCell ref="H25:I25"/>
    <mergeCell ref="J25:K25"/>
  </mergeCells>
  <conditionalFormatting sqref="M15:M22">
    <cfRule type="cellIs" dxfId="7" priority="38" operator="greaterThan">
      <formula>1</formula>
    </cfRule>
  </conditionalFormatting>
  <conditionalFormatting sqref="N15:N22">
    <cfRule type="cellIs" dxfId="6" priority="37" operator="greaterThan">
      <formula>1</formula>
    </cfRule>
  </conditionalFormatting>
  <conditionalFormatting sqref="M46">
    <cfRule type="cellIs" dxfId="5" priority="36" operator="greaterThan">
      <formula>1</formula>
    </cfRule>
  </conditionalFormatting>
  <conditionalFormatting sqref="N46">
    <cfRule type="cellIs" dxfId="4" priority="35" operator="greaterThan">
      <formula>1</formula>
    </cfRule>
  </conditionalFormatting>
  <conditionalFormatting sqref="M27:M33">
    <cfRule type="cellIs" dxfId="3" priority="6" operator="greaterThan">
      <formula>1</formula>
    </cfRule>
  </conditionalFormatting>
  <conditionalFormatting sqref="N27:N33">
    <cfRule type="cellIs" dxfId="2" priority="5" operator="greaterThan">
      <formula>1</formula>
    </cfRule>
  </conditionalFormatting>
  <conditionalFormatting sqref="M39:M45">
    <cfRule type="cellIs" dxfId="1" priority="4" operator="greaterThan">
      <formula>1</formula>
    </cfRule>
  </conditionalFormatting>
  <conditionalFormatting sqref="N39:N45">
    <cfRule type="cellIs" dxfId="0" priority="3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Sheet2</vt:lpstr>
      <vt:lpstr>Data (1A)</vt:lpstr>
      <vt:lpstr> Data (5A)</vt:lpstr>
      <vt:lpstr> Data (5A) (2)</vt:lpstr>
      <vt:lpstr>Calculations</vt:lpstr>
      <vt:lpstr>Constants</vt:lpstr>
      <vt:lpstr>Uncertainties</vt:lpstr>
      <vt:lpstr>Previous Cal</vt:lpstr>
      <vt:lpstr>tables</vt:lpstr>
      <vt:lpstr>New Format</vt:lpstr>
      <vt:lpstr>BurdenUnc</vt:lpstr>
      <vt:lpstr>MSL0.2</vt:lpstr>
      <vt:lpstr>Ti_122</vt:lpstr>
      <vt:lpstr>Ti_969</vt:lpstr>
    </vt:vector>
  </TitlesOfParts>
  <Company>INDUSTRIAL RESEARCH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G.K. WOOLLETT</dc:creator>
  <cp:lastModifiedBy>Keith Jones</cp:lastModifiedBy>
  <dcterms:created xsi:type="dcterms:W3CDTF">2000-02-17T01:54:40Z</dcterms:created>
  <dcterms:modified xsi:type="dcterms:W3CDTF">2018-10-10T22:59:07Z</dcterms:modified>
</cp:coreProperties>
</file>