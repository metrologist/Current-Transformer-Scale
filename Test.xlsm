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Y:\Staff\KJ\PycharmProjects\CTs\"/>
    </mc:Choice>
  </mc:AlternateContent>
  <xr:revisionPtr revIDLastSave="0" documentId="10_ncr:100000_{9FECEF0F-3833-4248-AF86-9BF6A7BC0ACE}" xr6:coauthVersionLast="31" xr6:coauthVersionMax="31" xr10:uidLastSave="{00000000-0000-0000-0000-000000000000}"/>
  <bookViews>
    <workbookView xWindow="0" yWindow="0" windowWidth="20010" windowHeight="9600" activeTab="1" xr2:uid="{ACB9D061-6E98-47ED-8C5B-EB7EC14CD09F}"/>
  </bookViews>
  <sheets>
    <sheet name="Data2013" sheetId="1" r:id="rId1"/>
    <sheet name="ForPython" sheetId="3" r:id="rId2"/>
    <sheet name="Data2013b" sheetId="2" r:id="rId3"/>
  </sheets>
  <calcPr calcId="179017"/>
</workbook>
</file>

<file path=xl/calcChain.xml><?xml version="1.0" encoding="utf-8"?>
<calcChain xmlns="http://schemas.openxmlformats.org/spreadsheetml/2006/main">
  <c r="E359" i="1" l="1"/>
  <c r="F359" i="1"/>
  <c r="G359" i="1"/>
  <c r="H359" i="1"/>
  <c r="I359" i="1"/>
  <c r="J359" i="1"/>
  <c r="K359" i="1"/>
  <c r="L359" i="1"/>
  <c r="D359" i="1"/>
  <c r="E358" i="1"/>
  <c r="F358" i="1"/>
  <c r="G358" i="1"/>
  <c r="H358" i="1"/>
  <c r="I358" i="1"/>
  <c r="J358" i="1"/>
  <c r="K358" i="1"/>
  <c r="L358" i="1"/>
  <c r="D358" i="1"/>
  <c r="E357" i="1"/>
  <c r="F357" i="1"/>
  <c r="G357" i="1"/>
  <c r="H357" i="1"/>
  <c r="I357" i="1"/>
  <c r="J357" i="1"/>
  <c r="K357" i="1"/>
  <c r="L357" i="1"/>
  <c r="D357" i="1"/>
  <c r="E356" i="1"/>
  <c r="F356" i="1"/>
  <c r="G356" i="1"/>
  <c r="H356" i="1"/>
  <c r="I356" i="1"/>
  <c r="J356" i="1"/>
  <c r="K356" i="1"/>
  <c r="L356" i="1"/>
  <c r="D356" i="1"/>
  <c r="C359" i="1"/>
  <c r="C358" i="1"/>
  <c r="C357" i="1"/>
  <c r="C356" i="1"/>
  <c r="M353" i="1" l="1"/>
  <c r="M352" i="1"/>
  <c r="M351" i="1"/>
  <c r="M350" i="1"/>
  <c r="M349" i="1"/>
  <c r="M348" i="1"/>
  <c r="M343" i="1"/>
  <c r="M342" i="1"/>
  <c r="M341" i="1"/>
  <c r="M340" i="1"/>
  <c r="M339" i="1"/>
  <c r="M338" i="1"/>
  <c r="M334" i="1"/>
  <c r="M333" i="1"/>
  <c r="M332" i="1"/>
  <c r="M331" i="1"/>
  <c r="M330" i="1"/>
  <c r="M329" i="1"/>
  <c r="M326" i="1"/>
  <c r="M325" i="1"/>
  <c r="M324" i="1"/>
  <c r="M323" i="1"/>
  <c r="M322" i="1"/>
  <c r="M321" i="1"/>
  <c r="M318" i="1"/>
  <c r="M317" i="1"/>
  <c r="M316" i="1"/>
  <c r="M315" i="1"/>
  <c r="M314" i="1"/>
  <c r="M313" i="1"/>
  <c r="M310" i="1"/>
  <c r="M309" i="1"/>
  <c r="M308" i="1"/>
  <c r="M307" i="1"/>
  <c r="M306" i="1"/>
  <c r="M305" i="1"/>
  <c r="M301" i="1"/>
  <c r="M300" i="1"/>
  <c r="M299" i="1"/>
  <c r="M298" i="1"/>
  <c r="M297" i="1"/>
  <c r="M296" i="1"/>
  <c r="M284" i="1"/>
  <c r="M283" i="1"/>
  <c r="M282" i="1"/>
  <c r="M281" i="1"/>
  <c r="M280" i="1"/>
  <c r="M278" i="1"/>
  <c r="M277" i="1"/>
  <c r="M276" i="1"/>
  <c r="M264" i="1"/>
  <c r="M262" i="1"/>
  <c r="M261" i="1"/>
  <c r="M260" i="1"/>
  <c r="M259" i="1"/>
  <c r="M258" i="1"/>
  <c r="M257" i="1"/>
  <c r="M256" i="1"/>
  <c r="M249" i="1"/>
  <c r="M248" i="1"/>
  <c r="M247" i="1"/>
  <c r="M246" i="1"/>
  <c r="M245" i="1"/>
  <c r="M244" i="1"/>
  <c r="M240" i="1"/>
  <c r="M239" i="1"/>
  <c r="M237" i="1"/>
  <c r="M236" i="1"/>
  <c r="M235" i="1"/>
  <c r="M234" i="1"/>
  <c r="M233" i="1"/>
  <c r="M232" i="1"/>
  <c r="M228" i="1"/>
  <c r="M227" i="1"/>
  <c r="M226" i="1"/>
  <c r="M216" i="1"/>
  <c r="M214" i="1"/>
  <c r="M212" i="1"/>
  <c r="M210" i="1"/>
  <c r="M208" i="1"/>
  <c r="M206" i="1"/>
  <c r="M204" i="1"/>
  <c r="M202" i="1"/>
  <c r="M200" i="1"/>
  <c r="M198" i="1"/>
  <c r="M194" i="1"/>
  <c r="M193" i="1"/>
  <c r="M192" i="1"/>
  <c r="M191" i="1"/>
  <c r="M190" i="1"/>
  <c r="M187" i="1"/>
  <c r="M186" i="1"/>
  <c r="M185" i="1"/>
  <c r="M184" i="1"/>
  <c r="M183" i="1"/>
  <c r="M179" i="1"/>
  <c r="M177" i="1"/>
  <c r="M176" i="1"/>
  <c r="M175" i="1"/>
  <c r="M174" i="1"/>
  <c r="M173" i="1"/>
  <c r="M172" i="1"/>
  <c r="M169" i="1"/>
  <c r="M168" i="1"/>
  <c r="M167" i="1"/>
  <c r="M166" i="1"/>
  <c r="M165" i="1"/>
  <c r="M164" i="1"/>
  <c r="M160" i="1"/>
  <c r="M159" i="1"/>
  <c r="M158" i="1"/>
  <c r="M157" i="1"/>
  <c r="M152" i="1"/>
  <c r="M151" i="1"/>
  <c r="M150" i="1"/>
  <c r="M148" i="1"/>
  <c r="M147" i="1"/>
  <c r="M143" i="1"/>
  <c r="M142" i="1"/>
  <c r="M141" i="1"/>
  <c r="M140" i="1"/>
  <c r="M139" i="1"/>
  <c r="M137" i="1"/>
  <c r="M136" i="1"/>
  <c r="M135" i="1"/>
  <c r="M131" i="1"/>
  <c r="M130" i="1"/>
  <c r="M129" i="1"/>
  <c r="M128" i="1"/>
  <c r="M127" i="1"/>
  <c r="M123" i="1"/>
  <c r="M120" i="1"/>
  <c r="M119" i="1"/>
  <c r="M117" i="1"/>
  <c r="M116" i="1"/>
  <c r="M115" i="1"/>
  <c r="M114" i="1"/>
  <c r="M113" i="1"/>
  <c r="M112" i="1"/>
  <c r="M110" i="1"/>
  <c r="M109" i="1"/>
  <c r="M108" i="1"/>
  <c r="M107" i="1"/>
  <c r="M106" i="1"/>
  <c r="M105" i="1"/>
  <c r="M103" i="1"/>
  <c r="M101" i="1"/>
  <c r="M100" i="1"/>
  <c r="M99" i="1"/>
  <c r="M98" i="1"/>
  <c r="M97" i="1"/>
  <c r="M96" i="1"/>
  <c r="M95" i="1"/>
  <c r="M89" i="1"/>
  <c r="M88" i="1"/>
  <c r="M87" i="1"/>
  <c r="M86" i="1"/>
  <c r="M85" i="1"/>
  <c r="M84" i="1"/>
  <c r="M82" i="1"/>
  <c r="M81" i="1"/>
  <c r="M79" i="1"/>
  <c r="M78" i="1"/>
  <c r="M77" i="1"/>
  <c r="M76" i="1"/>
  <c r="M69" i="1"/>
  <c r="M68" i="1"/>
  <c r="M67" i="1"/>
  <c r="M66" i="1"/>
  <c r="M65" i="1"/>
  <c r="M64" i="1"/>
  <c r="M62" i="1"/>
  <c r="M61" i="1"/>
  <c r="M60" i="1"/>
  <c r="M59" i="1"/>
  <c r="M58" i="1"/>
  <c r="M57" i="1"/>
  <c r="M46" i="1"/>
  <c r="M45" i="1"/>
  <c r="M44" i="1"/>
  <c r="M43" i="1"/>
  <c r="M42" i="1"/>
  <c r="M41" i="1"/>
  <c r="M39" i="1"/>
  <c r="M38" i="1"/>
  <c r="M37" i="1"/>
  <c r="M36" i="1"/>
  <c r="M35" i="1"/>
  <c r="M34" i="1"/>
  <c r="M31" i="1"/>
  <c r="M30" i="1"/>
  <c r="M29" i="1"/>
  <c r="M28" i="1"/>
  <c r="M27" i="1"/>
  <c r="M26" i="1"/>
  <c r="M22" i="1"/>
  <c r="M21" i="1"/>
  <c r="M20" i="1"/>
  <c r="M19" i="1"/>
  <c r="M18" i="1"/>
  <c r="M17" i="1"/>
  <c r="M14" i="1"/>
  <c r="M13" i="1"/>
  <c r="M12" i="1"/>
  <c r="M11" i="1"/>
  <c r="M10" i="1"/>
  <c r="M9" i="1"/>
  <c r="H291" i="1" l="1"/>
  <c r="I291" i="1" s="1"/>
  <c r="F291" i="1"/>
  <c r="H290" i="1"/>
  <c r="I290" i="1" s="1"/>
  <c r="F290" i="1"/>
  <c r="H289" i="1"/>
  <c r="I289" i="1" s="1"/>
  <c r="J289" i="1" s="1"/>
  <c r="L289" i="1" s="1"/>
  <c r="M289" i="1" s="1"/>
  <c r="F289" i="1"/>
  <c r="H288" i="1"/>
  <c r="I288" i="1" s="1"/>
  <c r="F288" i="1"/>
  <c r="J288" i="1" s="1"/>
  <c r="L288" i="1" s="1"/>
  <c r="M288" i="1" s="1"/>
  <c r="H287" i="1"/>
  <c r="I287" i="1" s="1"/>
  <c r="F287" i="1"/>
  <c r="H272" i="1"/>
  <c r="I272" i="1" s="1"/>
  <c r="F272" i="1"/>
  <c r="H271" i="1"/>
  <c r="I271" i="1" s="1"/>
  <c r="F271" i="1"/>
  <c r="H270" i="1"/>
  <c r="I270" i="1" s="1"/>
  <c r="F270" i="1"/>
  <c r="J270" i="1" s="1"/>
  <c r="H269" i="1"/>
  <c r="I269" i="1" s="1"/>
  <c r="F269" i="1"/>
  <c r="H268" i="1"/>
  <c r="I268" i="1" s="1"/>
  <c r="F268" i="1"/>
  <c r="H223" i="1"/>
  <c r="I223" i="1" s="1"/>
  <c r="J223" i="1" s="1"/>
  <c r="F223" i="1"/>
  <c r="H222" i="1"/>
  <c r="I222" i="1" s="1"/>
  <c r="F222" i="1"/>
  <c r="L194" i="1"/>
  <c r="H194" i="1"/>
  <c r="I194" i="1" s="1"/>
  <c r="F194" i="1"/>
  <c r="J194" i="1" s="1"/>
  <c r="L193" i="1"/>
  <c r="I193" i="1"/>
  <c r="J193" i="1" s="1"/>
  <c r="H193" i="1"/>
  <c r="F193" i="1"/>
  <c r="L192" i="1"/>
  <c r="H192" i="1"/>
  <c r="I192" i="1" s="1"/>
  <c r="J192" i="1" s="1"/>
  <c r="F192" i="1"/>
  <c r="L191" i="1"/>
  <c r="H191" i="1"/>
  <c r="I191" i="1" s="1"/>
  <c r="F191" i="1"/>
  <c r="J191" i="1" s="1"/>
  <c r="L190" i="1"/>
  <c r="H190" i="1"/>
  <c r="I190" i="1" s="1"/>
  <c r="J190" i="1" s="1"/>
  <c r="F190" i="1"/>
  <c r="L187" i="1"/>
  <c r="I187" i="1"/>
  <c r="J187" i="1" s="1"/>
  <c r="H187" i="1"/>
  <c r="F187" i="1"/>
  <c r="L186" i="1"/>
  <c r="H186" i="1"/>
  <c r="I186" i="1" s="1"/>
  <c r="J186" i="1" s="1"/>
  <c r="F186" i="1"/>
  <c r="L185" i="1"/>
  <c r="H185" i="1"/>
  <c r="I185" i="1" s="1"/>
  <c r="F185" i="1"/>
  <c r="J185" i="1" s="1"/>
  <c r="L184" i="1"/>
  <c r="H184" i="1"/>
  <c r="I184" i="1" s="1"/>
  <c r="J184" i="1" s="1"/>
  <c r="F184" i="1"/>
  <c r="L183" i="1"/>
  <c r="I183" i="1"/>
  <c r="J183" i="1" s="1"/>
  <c r="H183" i="1"/>
  <c r="F183" i="1"/>
  <c r="H160" i="1"/>
  <c r="I160" i="1" s="1"/>
  <c r="J160" i="1" s="1"/>
  <c r="L160" i="1" s="1"/>
  <c r="F160" i="1"/>
  <c r="H159" i="1"/>
  <c r="I159" i="1" s="1"/>
  <c r="F159" i="1"/>
  <c r="J159" i="1" s="1"/>
  <c r="H158" i="1"/>
  <c r="I158" i="1" s="1"/>
  <c r="J158" i="1" s="1"/>
  <c r="L158" i="1" s="1"/>
  <c r="F158" i="1"/>
  <c r="I157" i="1"/>
  <c r="J157" i="1" s="1"/>
  <c r="L157" i="1" s="1"/>
  <c r="H157" i="1"/>
  <c r="F157" i="1"/>
  <c r="H131" i="1"/>
  <c r="I131" i="1" s="1"/>
  <c r="J131" i="1" s="1"/>
  <c r="L131" i="1" s="1"/>
  <c r="F131" i="1"/>
  <c r="H130" i="1"/>
  <c r="I130" i="1" s="1"/>
  <c r="F130" i="1"/>
  <c r="J130" i="1" s="1"/>
  <c r="H129" i="1"/>
  <c r="I129" i="1" s="1"/>
  <c r="J129" i="1" s="1"/>
  <c r="L129" i="1" s="1"/>
  <c r="F129" i="1"/>
  <c r="I128" i="1"/>
  <c r="J128" i="1" s="1"/>
  <c r="L128" i="1" s="1"/>
  <c r="H128" i="1"/>
  <c r="F128" i="1"/>
  <c r="H127" i="1"/>
  <c r="I127" i="1" s="1"/>
  <c r="J127" i="1" s="1"/>
  <c r="L127" i="1" s="1"/>
  <c r="F127" i="1"/>
  <c r="H54" i="1"/>
  <c r="I54" i="1" s="1"/>
  <c r="J54" i="1"/>
  <c r="L54" i="1" s="1"/>
  <c r="M54" i="1" s="1"/>
  <c r="H53" i="1"/>
  <c r="I53" i="1" s="1"/>
  <c r="J53" i="1" s="1"/>
  <c r="I52" i="1"/>
  <c r="J52" i="1" s="1"/>
  <c r="L52" i="1" s="1"/>
  <c r="M52" i="1" s="1"/>
  <c r="H52" i="1"/>
  <c r="H51" i="1"/>
  <c r="I51" i="1" s="1"/>
  <c r="J51" i="1" s="1"/>
  <c r="L51" i="1" s="1"/>
  <c r="M51" i="1" s="1"/>
  <c r="J268" i="1" l="1"/>
  <c r="L268" i="1" s="1"/>
  <c r="M268" i="1" s="1"/>
  <c r="J272" i="1"/>
  <c r="L272" i="1" s="1"/>
  <c r="M272" i="1" s="1"/>
  <c r="J290" i="1"/>
  <c r="L290" i="1" s="1"/>
  <c r="M290" i="1" s="1"/>
  <c r="J269" i="1"/>
  <c r="L270" i="1" s="1"/>
  <c r="M270" i="1" s="1"/>
  <c r="J271" i="1"/>
  <c r="J291" i="1"/>
  <c r="L291" i="1" s="1"/>
  <c r="M291" i="1" s="1"/>
  <c r="L130" i="1"/>
  <c r="L159" i="1"/>
  <c r="L53" i="1"/>
  <c r="M53" i="1" s="1"/>
  <c r="J222" i="1"/>
  <c r="L222" i="1" s="1"/>
  <c r="M222" i="1" s="1"/>
  <c r="L271" i="1"/>
  <c r="M271" i="1" s="1"/>
  <c r="J287" i="1"/>
  <c r="L287" i="1" s="1"/>
  <c r="M287" i="1" s="1"/>
  <c r="L269" i="1" l="1"/>
  <c r="M269" i="1" s="1"/>
  <c r="L223" i="1"/>
  <c r="M223" i="1" s="1"/>
</calcChain>
</file>

<file path=xl/sharedStrings.xml><?xml version="1.0" encoding="utf-8"?>
<sst xmlns="http://schemas.openxmlformats.org/spreadsheetml/2006/main" count="591" uniqueCount="204">
  <si>
    <t>Ta 5:5 SELF CALIBRATION AT 53 Hz</t>
  </si>
  <si>
    <t>Index</t>
  </si>
  <si>
    <t>Date</t>
  </si>
  <si>
    <t>Conditions, comments</t>
  </si>
  <si>
    <t>Shunt</t>
  </si>
  <si>
    <t>X</t>
  </si>
  <si>
    <t>Y</t>
  </si>
  <si>
    <t xml:space="preserve">Sh V </t>
  </si>
  <si>
    <t>X stdev</t>
  </si>
  <si>
    <t>Y stdev</t>
  </si>
  <si>
    <t>Volts</t>
  </si>
  <si>
    <t>V</t>
  </si>
  <si>
    <t>stdev/100</t>
  </si>
  <si>
    <t>Com R</t>
  </si>
  <si>
    <t>53 Hz zero burden on aux sec</t>
  </si>
  <si>
    <t>as above, to test repeatability</t>
  </si>
  <si>
    <t>50 Hz</t>
  </si>
  <si>
    <t>After the transformer was used</t>
  </si>
  <si>
    <t>for a RM-11 calibration.</t>
  </si>
  <si>
    <t>tranformer demagnetised</t>
  </si>
  <si>
    <t>by applying 8 V rms to each</t>
  </si>
  <si>
    <t>secondary in turn (other shorted)</t>
  </si>
  <si>
    <t xml:space="preserve">repeat as above to test </t>
  </si>
  <si>
    <t>repeatability</t>
  </si>
  <si>
    <t xml:space="preserve">Repeat set of results. </t>
  </si>
  <si>
    <t xml:space="preserve">Heavy lead between the metal </t>
  </si>
  <si>
    <t xml:space="preserve">strip Tee and the 0.2 Ohm </t>
  </si>
  <si>
    <t>MSL shunt.</t>
  </si>
  <si>
    <t>Inner primary voltage drops</t>
  </si>
  <si>
    <t>main sec</t>
  </si>
  <si>
    <t>sec internal</t>
  </si>
  <si>
    <t>total</t>
  </si>
  <si>
    <t>pri only</t>
  </si>
  <si>
    <t>V drop</t>
  </si>
  <si>
    <t>shunt V</t>
  </si>
  <si>
    <t>burden V</t>
  </si>
  <si>
    <t>volt drop</t>
  </si>
  <si>
    <t>shunt</t>
  </si>
  <si>
    <t>sec V</t>
  </si>
  <si>
    <t>section</t>
  </si>
  <si>
    <t>ea section</t>
  </si>
  <si>
    <t>Volt drop section 1</t>
  </si>
  <si>
    <t>Volt drop sections 1+2</t>
  </si>
  <si>
    <t>Volt drop sections 1+2+3</t>
  </si>
  <si>
    <t>Volt drop sections 1+2+3+4</t>
  </si>
  <si>
    <t>These are the sections added together. See column 'S'. Hand waving exercise.</t>
  </si>
  <si>
    <t>WITH 0.2 OHM BURDEN IN AUX SEC</t>
  </si>
  <si>
    <t>as above, repeatability check</t>
  </si>
  <si>
    <t>COUPLING EQUALITY OF INNER PRIMARY of Ta</t>
  </si>
  <si>
    <t>main secondary open circuit. aux sec to common resistor. test current 5 A monitored with Tb, 20/5</t>
  </si>
  <si>
    <t>8 Feb results</t>
  </si>
  <si>
    <t>pri section 1 vs 2: effect of earthing</t>
  </si>
  <si>
    <t>Tb Aux sec shorted.  Section 1 is at Low end of Ta. (Low Potential) which is NOT the "L" end, that "L" stands for "live" on the CT.  (BM)</t>
  </si>
  <si>
    <t>Columns X to AC</t>
  </si>
  <si>
    <t>CT ratio</t>
  </si>
  <si>
    <t>pri floating</t>
  </si>
  <si>
    <t>pri LP earthed</t>
  </si>
  <si>
    <t>pri centre earthed</t>
  </si>
  <si>
    <t>pri HP earthed</t>
  </si>
  <si>
    <t>pri centre Wagnered to earth</t>
  </si>
  <si>
    <t>Wagnered, 100k across section 1</t>
  </si>
  <si>
    <t>Intercomare sections with pri centre Wagnered to earth</t>
  </si>
  <si>
    <t>sec 1 vs sec 2</t>
  </si>
  <si>
    <t>sec 1 vs sec 3</t>
  </si>
  <si>
    <t>sec 1 vs sec 4</t>
  </si>
  <si>
    <t>sec 2 vs sec 3</t>
  </si>
  <si>
    <t>sec 2 vs sec 4</t>
  </si>
  <si>
    <t>sec 3 vs sec 4</t>
  </si>
  <si>
    <t>Calibration of 20:5 ratio of Tb vs inner pri 20:5 ratio of Ta</t>
  </si>
  <si>
    <t>unmarked terminal of Ta pri wagnered to earth with IVD</t>
  </si>
  <si>
    <t>Initial setup with a heavy Junction</t>
  </si>
  <si>
    <t>cable. BUT this was NOT twisred.</t>
  </si>
  <si>
    <t>At first a lighter lead was used and</t>
  </si>
  <si>
    <t>the graph was totally wrong!</t>
  </si>
  <si>
    <t>base noise and unwanted coupling</t>
  </si>
  <si>
    <t>"hp" side of com R o/c</t>
  </si>
  <si>
    <t>after demagnetising Tb</t>
  </si>
  <si>
    <t>Ta demagnetised</t>
  </si>
  <si>
    <t>Current lead Ta to Tb twisted.</t>
  </si>
  <si>
    <t>as above, repeatability</t>
  </si>
  <si>
    <t>check</t>
  </si>
  <si>
    <t>repeat 100%</t>
  </si>
  <si>
    <t>as above, sec screen to HP main sec.</t>
  </si>
  <si>
    <t>(Tb)</t>
  </si>
  <si>
    <t>polarity test: o/c aux sec Tb</t>
  </si>
  <si>
    <t>Volt Drops, 20/100 A pri of Tb</t>
  </si>
  <si>
    <t>sec drop</t>
  </si>
  <si>
    <t>sec re 1 V</t>
  </si>
  <si>
    <t>Volt drop sections 1+2+3+4+5</t>
  </si>
  <si>
    <t>Magnetic coupling equality, 20/100 A pri of Tb</t>
  </si>
  <si>
    <t>section 1 vs 2:wagner</t>
  </si>
  <si>
    <t>sec 1 vs 2: 100k across 1</t>
  </si>
  <si>
    <t>sec 1 vs sec 2: wagner offset</t>
  </si>
  <si>
    <t>sec 1 vs sec3</t>
  </si>
  <si>
    <t>sec 1 vs sec 5</t>
  </si>
  <si>
    <t>repeat test, 1 vs 5</t>
  </si>
  <si>
    <t>Magnetic coupling equality, middle primary of Ta</t>
  </si>
  <si>
    <t xml:space="preserve">Retest after </t>
  </si>
  <si>
    <t>Read this with Ta and Tb LP terminals in series. Phase on CH set to 0° so that the SR830 phase is correcting about 0°.</t>
  </si>
  <si>
    <t>reterminating</t>
  </si>
  <si>
    <t>the middle</t>
  </si>
  <si>
    <t>primary of Ta</t>
  </si>
  <si>
    <t>Voltage drops, middle primary of Ta</t>
  </si>
  <si>
    <t>Calibration of 100:5 ratio, middle primary of Ta, vs 100:5 ratio, inner primary of Tb</t>
  </si>
  <si>
    <t>Wagner at Ta end of link</t>
  </si>
  <si>
    <t xml:space="preserve">Repeat of Friday </t>
  </si>
  <si>
    <t>with the junction</t>
  </si>
  <si>
    <t>connections</t>
  </si>
  <si>
    <t>reversed.</t>
  </si>
  <si>
    <t>See columns AO to BX</t>
  </si>
  <si>
    <t>Calibration of 100:5 ratio, outer primary of Ta, vs 100:5 ratio, inner primary of Tb</t>
  </si>
  <si>
    <t>polarity check: o/c aux sec of Ta</t>
  </si>
  <si>
    <t>leakage =</t>
  </si>
  <si>
    <t>ohms</t>
  </si>
  <si>
    <t>Voltage drops,outer primary of Ta</t>
  </si>
  <si>
    <t>measure across each section in turn, do not include any link</t>
  </si>
  <si>
    <t>section resistance</t>
  </si>
  <si>
    <t>section 1</t>
  </si>
  <si>
    <t>sec 2</t>
  </si>
  <si>
    <t>sec 3</t>
  </si>
  <si>
    <t>sec 4</t>
  </si>
  <si>
    <t>sec 5</t>
  </si>
  <si>
    <t>After terminals</t>
  </si>
  <si>
    <t>and links</t>
  </si>
  <si>
    <t>cleaned up.</t>
  </si>
  <si>
    <t>Magnetic coupling equality, outer primary of Ta</t>
  </si>
  <si>
    <t>Aux Sec res</t>
  </si>
  <si>
    <t>sec 1 vs sec 2 reverse</t>
  </si>
  <si>
    <t>sec 1 vs sec3 reverse</t>
  </si>
  <si>
    <t>sec 1 vs sec 4 reverse</t>
  </si>
  <si>
    <t>sec 1 vs sec 5 reverse</t>
  </si>
  <si>
    <t>sec 2 vs sec 3 reverse</t>
  </si>
  <si>
    <t>sec 2 vs sec 4 reverse</t>
  </si>
  <si>
    <t>sec 2 vs sec 5</t>
  </si>
  <si>
    <t>sec 2 vs sec 5 reverse</t>
  </si>
  <si>
    <t>sec 3 vs sec 4 reverse</t>
  </si>
  <si>
    <t>sex 3 vs sec 5</t>
  </si>
  <si>
    <t>sex 3 vs sec 5 reverse</t>
  </si>
  <si>
    <t>sec 4 vs sec 5</t>
  </si>
  <si>
    <t>sec 4 vs sec 5 reverse</t>
  </si>
  <si>
    <t>Volt drops, outer primary of Tb</t>
  </si>
  <si>
    <t>Magnetic coupling equality, outer primary of Tb</t>
  </si>
  <si>
    <t>27k across sec 1</t>
  </si>
  <si>
    <t>27k across sec 2</t>
  </si>
  <si>
    <t>100:5 ratio 100/200 (outer) pri of Tb vs 100/500 (outer) pri of Ta</t>
  </si>
  <si>
    <t>polarity test: aux sec Tb o/c</t>
  </si>
  <si>
    <t>polarity test: aux sec Ta o/c</t>
  </si>
  <si>
    <t>100:5 ratio  100/200 (outer) pri of Tb vs 100/50/25 (middle) pri of Ta</t>
  </si>
  <si>
    <t>Clean the series bars for 20A Tb. Repeat the measurements on the windings using these bars.</t>
  </si>
  <si>
    <t>Setup using a heavy Junction cable</t>
  </si>
  <si>
    <t xml:space="preserve">and heavier supply leads than first </t>
  </si>
  <si>
    <t>set of tests.</t>
  </si>
  <si>
    <t>Voltage drops,inner primary of Tb</t>
  </si>
  <si>
    <t>Repeat self cal</t>
  </si>
  <si>
    <t>Temperature</t>
  </si>
  <si>
    <t>Set 1</t>
  </si>
  <si>
    <t>above core</t>
  </si>
  <si>
    <t>Note reverse order. (Deliberate)</t>
  </si>
  <si>
    <t>Set 2</t>
  </si>
  <si>
    <t>Set 3</t>
  </si>
  <si>
    <t>Set 4</t>
  </si>
  <si>
    <t>Set 5</t>
  </si>
  <si>
    <t>Last.  Back to 120% to 10% order.</t>
  </si>
  <si>
    <t>100:5 ratio  100/500 pri of Ta vs 100/20 pri of Tb</t>
  </si>
  <si>
    <t>% load</t>
  </si>
  <si>
    <t>cond S</t>
  </si>
  <si>
    <t>test current</t>
  </si>
  <si>
    <t>section g</t>
  </si>
  <si>
    <t>Applied</t>
  </si>
  <si>
    <t>current</t>
  </si>
  <si>
    <t>note averaged reversed measurements from above</t>
  </si>
  <si>
    <t>Lab book "CT VT Primary Standards" pages 30-33</t>
  </si>
  <si>
    <t>The tests in rows 44 to 148 were done by putting the MSL 0.2 ohm paddlewheel shunt in the standard transformer position. ie: swap its transformer when the "standard" becomes the "uut".</t>
  </si>
  <si>
    <t xml:space="preserve">This involves rewiring the juncton setup and flipping the phase 180° on the Clark Hess. The signs of the errors should not need modifying. </t>
  </si>
  <si>
    <t>The tests in rows 150 to 243 were done by putting the MSL 0.2 ohm paddlewheel shunt in the standard transformer as Ta (100turn) position and leaving it there</t>
  </si>
  <si>
    <t xml:space="preserve">This does not involve rewiring the juncton setup and flipping the phase 180° on the Clark Hess. The signs of the errors will need modifying. </t>
  </si>
  <si>
    <t xml:space="preserve">SR830 </t>
  </si>
  <si>
    <t>Gain</t>
  </si>
  <si>
    <t>Reserve</t>
  </si>
  <si>
    <t>repeat</t>
  </si>
  <si>
    <t>Change to heavy cables.</t>
  </si>
  <si>
    <t>unmarked terminal of Ta pri wagnered to earth with IVD, phase SR830 to MSL shunt.</t>
  </si>
  <si>
    <t>Note.. With this set up the ratio error goes negative when 100k placed across Ta main secondary!  Incorrect.</t>
  </si>
  <si>
    <t>Reverse the setup for live and low sides out of the Main &amp; Aux secondaries of Ta and Tb..  Errors now go the correct way when some current is robbed from the main secondaries.</t>
  </si>
  <si>
    <t>Monday morning repeat of Fridays measurement.</t>
  </si>
  <si>
    <t>Wagner at Tb end of link, phase SR830 to the MSL shunt.</t>
  </si>
  <si>
    <t>The phase looks different to other times so demagnetisation was done.</t>
  </si>
  <si>
    <t>Demagnetise Ta and Tb and repeat 88 to 94.</t>
  </si>
  <si>
    <t>Calibration of 100:5 ratio, outer primary of Tb, vs 100:5 ratio, middle primary of Ta</t>
  </si>
  <si>
    <t>Calibration of 100:5 ratio, outer primary of Ta, vs 100:5 ratio, outer primary of Tb</t>
  </si>
  <si>
    <t>Change setup so that the MSL 0.2 ohm paddlewheel shunt in the standard transformer as Ta (100turn) position and leave it there</t>
  </si>
  <si>
    <t>Place 100k across Tb main secondary.</t>
  </si>
  <si>
    <t>Without 100k</t>
  </si>
  <si>
    <t>With 100k</t>
  </si>
  <si>
    <t>Heavier and shorter blue cable Zetka to Ta.Still going into red</t>
  </si>
  <si>
    <t>Heavier and shorter blue cables on other two leads, Zetka to Tb and Ta to Tb. Now not going into red</t>
  </si>
  <si>
    <t>This set (rows 195 to 204) was repeated because the 20% point was missing. Heavy blue cables used. Took the opportunity to do it at 47 Hz also..</t>
  </si>
  <si>
    <t>Repeat at 47 Hz</t>
  </si>
  <si>
    <t>47 Hz zero burden on aux sec</t>
  </si>
  <si>
    <t>Final (hopefully) Ta 5:5 SELF CALIBRATION AT 53 Hz and also at 47Hz</t>
  </si>
  <si>
    <t>Add 0.05 ohm shunt to the Primary circuit at the transformer.</t>
  </si>
  <si>
    <t>Errors on the 18th look a little on the high side.. Check wireing, tighten one connection, remove the connection networks on the middle core and the outer core. Re-check phase zero at 100%.</t>
  </si>
  <si>
    <t>Note also that the minimun low end current changed see N286 vs N304.</t>
  </si>
  <si>
    <t>Add 0.05 ohm shunt to Zetka primary cct to drop current at the low end.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</si>
</sst>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00"/>
    <numFmt numFmtId="166" formatCode="0.0000000"/>
    <numFmt numFmtId="167" formatCode="0.0"/>
    <numFmt numFmtId="168" formatCode="0.00000"/>
  </numFmts>
  <fonts count="10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i/>
      <sz val="10"/>
      <name val="Arial"/>
      <family val="2"/>
    </font>
    <font>
      <b/>
      <sz val="10"/>
      <color indexed="10"/>
      <name val="Arial"/>
      <family val="2"/>
    </font>
    <font>
      <b/>
      <u/>
      <sz val="12"/>
      <color indexed="12"/>
      <name val="Arial"/>
      <family val="2"/>
    </font>
    <font>
      <b/>
      <sz val="10"/>
      <color indexed="12"/>
      <name val="Arial"/>
      <family val="2"/>
    </font>
    <font>
      <b/>
      <i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11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1" fontId="1" fillId="0" borderId="0" xfId="0" applyNumberFormat="1" applyFont="1" applyAlignment="1">
      <alignment horizontal="center"/>
    </xf>
    <xf numFmtId="15" fontId="0" fillId="0" borderId="0" xfId="0" applyNumberFormat="1"/>
    <xf numFmtId="0" fontId="2" fillId="0" borderId="0" xfId="0" applyFont="1"/>
    <xf numFmtId="15" fontId="2" fillId="0" borderId="0" xfId="0" applyNumberFormat="1" applyFont="1"/>
    <xf numFmtId="0" fontId="3" fillId="0" borderId="0" xfId="0" applyFont="1"/>
    <xf numFmtId="164" fontId="0" fillId="2" borderId="0" xfId="0" applyNumberFormat="1" applyFill="1"/>
    <xf numFmtId="0" fontId="0" fillId="2" borderId="0" xfId="0" applyFill="1"/>
    <xf numFmtId="14" fontId="0" fillId="0" borderId="0" xfId="0" applyNumberFormat="1"/>
    <xf numFmtId="0" fontId="4" fillId="0" borderId="0" xfId="0" applyFont="1"/>
    <xf numFmtId="11" fontId="4" fillId="0" borderId="0" xfId="0" applyNumberFormat="1" applyFont="1"/>
    <xf numFmtId="15" fontId="0" fillId="2" borderId="0" xfId="0" applyNumberFormat="1" applyFill="1"/>
    <xf numFmtId="0" fontId="5" fillId="0" borderId="0" xfId="0" applyFont="1"/>
    <xf numFmtId="15" fontId="0" fillId="3" borderId="0" xfId="0" applyNumberFormat="1" applyFill="1"/>
    <xf numFmtId="0" fontId="0" fillId="3" borderId="0" xfId="0" applyFill="1"/>
    <xf numFmtId="15" fontId="0" fillId="0" borderId="0" xfId="0" applyNumberFormat="1" applyFill="1"/>
    <xf numFmtId="11" fontId="2" fillId="4" borderId="0" xfId="0" applyNumberFormat="1" applyFont="1" applyFill="1"/>
    <xf numFmtId="0" fontId="0" fillId="4" borderId="0" xfId="0" applyFill="1"/>
    <xf numFmtId="11" fontId="2" fillId="0" borderId="0" xfId="0" applyNumberFormat="1" applyFont="1"/>
    <xf numFmtId="11" fontId="3" fillId="0" borderId="0" xfId="0" applyNumberFormat="1" applyFont="1"/>
    <xf numFmtId="0" fontId="0" fillId="5" borderId="0" xfId="0" applyFill="1"/>
    <xf numFmtId="165" fontId="0" fillId="0" borderId="0" xfId="0" applyNumberFormat="1"/>
    <xf numFmtId="0" fontId="0" fillId="6" borderId="0" xfId="0" applyFill="1"/>
    <xf numFmtId="166" fontId="0" fillId="0" borderId="0" xfId="0" applyNumberFormat="1"/>
    <xf numFmtId="0" fontId="2" fillId="0" borderId="0" xfId="0" applyFont="1" applyFill="1"/>
    <xf numFmtId="15" fontId="0" fillId="7" borderId="0" xfId="0" applyNumberFormat="1" applyFill="1"/>
    <xf numFmtId="15" fontId="1" fillId="7" borderId="0" xfId="0" applyNumberFormat="1" applyFont="1" applyFill="1" applyAlignment="1">
      <alignment horizontal="left"/>
    </xf>
    <xf numFmtId="0" fontId="0" fillId="7" borderId="0" xfId="0" applyFill="1"/>
    <xf numFmtId="11" fontId="1" fillId="2" borderId="0" xfId="0" applyNumberFormat="1" applyFont="1" applyFill="1"/>
    <xf numFmtId="0" fontId="6" fillId="0" borderId="0" xfId="0" applyFont="1"/>
    <xf numFmtId="166" fontId="2" fillId="0" borderId="0" xfId="0" applyNumberFormat="1" applyFont="1"/>
    <xf numFmtId="15" fontId="0" fillId="0" borderId="0" xfId="0" applyNumberFormat="1" applyAlignment="1">
      <alignment horizontal="left"/>
    </xf>
    <xf numFmtId="167" fontId="0" fillId="0" borderId="0" xfId="0" applyNumberFormat="1"/>
    <xf numFmtId="167" fontId="2" fillId="0" borderId="0" xfId="0" applyNumberFormat="1" applyFont="1"/>
    <xf numFmtId="168" fontId="0" fillId="0" borderId="0" xfId="0" applyNumberFormat="1"/>
    <xf numFmtId="167" fontId="4" fillId="0" borderId="0" xfId="0" applyNumberFormat="1" applyFont="1"/>
    <xf numFmtId="2" fontId="0" fillId="0" borderId="0" xfId="0" applyNumberFormat="1"/>
    <xf numFmtId="0" fontId="7" fillId="0" borderId="0" xfId="0" applyFont="1"/>
    <xf numFmtId="0" fontId="8" fillId="0" borderId="0" xfId="0" applyFont="1"/>
    <xf numFmtId="0" fontId="0" fillId="0" borderId="0" xfId="0" applyNumberFormat="1"/>
    <xf numFmtId="0" fontId="0" fillId="0" borderId="0" xfId="0" applyAlignment="1">
      <alignment horizontal="right"/>
    </xf>
    <xf numFmtId="0" fontId="9" fillId="0" borderId="0" xfId="0" applyFont="1"/>
    <xf numFmtId="0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77981-0AF8-4D53-939F-D721C19C1112}">
  <sheetPr>
    <pageSetUpPr fitToPage="1"/>
  </sheetPr>
  <dimension ref="A1:O364"/>
  <sheetViews>
    <sheetView topLeftCell="A327" workbookViewId="0">
      <selection activeCell="M329" sqref="M329"/>
    </sheetView>
  </sheetViews>
  <sheetFormatPr defaultRowHeight="15" x14ac:dyDescent="0.25"/>
  <cols>
    <col min="3" max="3" width="25" customWidth="1"/>
    <col min="13" max="13" width="12.140625" customWidth="1"/>
  </cols>
  <sheetData>
    <row r="1" spans="1:13" x14ac:dyDescent="0.25">
      <c r="E1" s="1"/>
      <c r="F1" s="1"/>
      <c r="G1" s="1"/>
      <c r="H1" s="1"/>
      <c r="I1" s="1"/>
      <c r="J1" s="1"/>
      <c r="M1" s="1"/>
    </row>
    <row r="2" spans="1:13" x14ac:dyDescent="0.25">
      <c r="E2" s="1"/>
      <c r="F2" s="1"/>
      <c r="G2" s="1"/>
      <c r="H2" s="1"/>
      <c r="I2" s="1"/>
      <c r="J2" s="1"/>
      <c r="M2" s="1"/>
    </row>
    <row r="3" spans="1:13" x14ac:dyDescent="0.25">
      <c r="B3" s="2" t="s">
        <v>0</v>
      </c>
      <c r="C3" s="2"/>
      <c r="E3" s="1"/>
      <c r="F3" s="1"/>
      <c r="G3" s="1"/>
      <c r="H3" s="1"/>
      <c r="I3" s="1"/>
      <c r="M3" s="1"/>
    </row>
    <row r="4" spans="1:13" x14ac:dyDescent="0.25">
      <c r="E4" s="1"/>
      <c r="F4" s="1"/>
      <c r="G4" s="1"/>
      <c r="H4" s="1"/>
      <c r="I4" s="1"/>
      <c r="M4" s="1"/>
    </row>
    <row r="5" spans="1:13" x14ac:dyDescent="0.25">
      <c r="E5" s="1"/>
      <c r="F5" s="1"/>
      <c r="G5" s="1"/>
      <c r="H5" s="1"/>
      <c r="I5" s="1"/>
      <c r="J5" s="1"/>
      <c r="M5" s="1"/>
    </row>
    <row r="6" spans="1:13" x14ac:dyDescent="0.25">
      <c r="E6" s="1"/>
      <c r="F6" s="1"/>
      <c r="G6" s="1"/>
      <c r="H6" s="1"/>
      <c r="I6" s="1"/>
      <c r="J6" s="1"/>
      <c r="M6" s="1"/>
    </row>
    <row r="7" spans="1:13" x14ac:dyDescent="0.25">
      <c r="A7" s="2" t="s">
        <v>1</v>
      </c>
      <c r="B7" s="2" t="s">
        <v>2</v>
      </c>
      <c r="C7" s="2" t="s">
        <v>3</v>
      </c>
      <c r="D7" s="3" t="s">
        <v>4</v>
      </c>
      <c r="E7" s="4" t="s">
        <v>5</v>
      </c>
      <c r="F7" s="4" t="s">
        <v>6</v>
      </c>
      <c r="G7" s="4" t="s">
        <v>7</v>
      </c>
      <c r="H7" s="4" t="s">
        <v>8</v>
      </c>
      <c r="I7" s="4" t="s">
        <v>9</v>
      </c>
      <c r="J7" s="1"/>
    </row>
    <row r="8" spans="1:13" x14ac:dyDescent="0.25">
      <c r="D8" s="3" t="s">
        <v>10</v>
      </c>
      <c r="E8" s="4" t="s">
        <v>11</v>
      </c>
      <c r="F8" s="4" t="s">
        <v>11</v>
      </c>
      <c r="G8" s="4" t="s">
        <v>12</v>
      </c>
      <c r="H8" s="4" t="s">
        <v>11</v>
      </c>
      <c r="I8" s="4" t="s">
        <v>11</v>
      </c>
      <c r="J8" s="1"/>
      <c r="K8" s="2" t="s">
        <v>4</v>
      </c>
      <c r="L8" s="2" t="s">
        <v>13</v>
      </c>
      <c r="M8" s="2" t="s">
        <v>164</v>
      </c>
    </row>
    <row r="9" spans="1:13" x14ac:dyDescent="0.25">
      <c r="A9">
        <v>1</v>
      </c>
      <c r="B9" s="5">
        <v>41281</v>
      </c>
      <c r="C9" s="6" t="s">
        <v>14</v>
      </c>
      <c r="D9">
        <v>1.1201978416</v>
      </c>
      <c r="E9" s="1">
        <v>-1.17767083333334E-5</v>
      </c>
      <c r="F9" s="1">
        <v>-1.31728095000001E-5</v>
      </c>
      <c r="G9" s="1">
        <v>6.8521912050418601E-7</v>
      </c>
      <c r="H9" s="1">
        <v>3.10800936649679E-10</v>
      </c>
      <c r="I9" s="1">
        <v>2.94210383909293E-10</v>
      </c>
      <c r="K9">
        <v>0.2</v>
      </c>
      <c r="L9">
        <v>10</v>
      </c>
      <c r="M9" s="35">
        <f t="shared" ref="M9:M14" si="0">100*D9/(K9*5)</f>
        <v>112.01978416</v>
      </c>
    </row>
    <row r="10" spans="1:13" x14ac:dyDescent="0.25">
      <c r="A10">
        <v>2</v>
      </c>
      <c r="D10">
        <v>1.0001799981999999</v>
      </c>
      <c r="E10" s="1">
        <v>-1.04192761666667E-5</v>
      </c>
      <c r="F10" s="1">
        <v>-1.24752216666667E-5</v>
      </c>
      <c r="G10" s="1">
        <v>1.7179128585610801E-7</v>
      </c>
      <c r="H10" s="1">
        <v>5.6915904472934401E-8</v>
      </c>
      <c r="I10" s="1">
        <v>3.2690042656594199E-10</v>
      </c>
      <c r="K10">
        <v>0.2</v>
      </c>
      <c r="L10">
        <v>10</v>
      </c>
      <c r="M10" s="35">
        <f t="shared" si="0"/>
        <v>100.01799981999999</v>
      </c>
    </row>
    <row r="11" spans="1:13" x14ac:dyDescent="0.25">
      <c r="A11">
        <v>3</v>
      </c>
      <c r="D11">
        <v>0.60002639776</v>
      </c>
      <c r="E11" s="1">
        <v>-6.2047846666667203E-6</v>
      </c>
      <c r="F11" s="1">
        <v>-1.02356080666667E-5</v>
      </c>
      <c r="G11" s="1">
        <v>1.3047181213809701E-7</v>
      </c>
      <c r="H11" s="1">
        <v>1.73047115263124E-7</v>
      </c>
      <c r="I11" s="1">
        <v>1.13318710471523E-7</v>
      </c>
      <c r="K11">
        <v>0.2</v>
      </c>
      <c r="L11">
        <v>10</v>
      </c>
      <c r="M11" s="35">
        <f t="shared" si="0"/>
        <v>60.002639776000002</v>
      </c>
    </row>
    <row r="12" spans="1:13" x14ac:dyDescent="0.25">
      <c r="A12">
        <v>4</v>
      </c>
      <c r="D12">
        <v>0.40000214336000001</v>
      </c>
      <c r="E12" s="1">
        <v>-3.8972924000000003E-6</v>
      </c>
      <c r="F12" s="1">
        <v>-7.8330198833333198E-6</v>
      </c>
      <c r="G12" s="1">
        <v>2.5012865478444301E-8</v>
      </c>
      <c r="H12" s="1">
        <v>9.5300405603753994E-8</v>
      </c>
      <c r="I12" s="1">
        <v>2.3514357092772001E-8</v>
      </c>
      <c r="J12" s="1"/>
      <c r="K12">
        <v>0.2</v>
      </c>
      <c r="L12">
        <v>10</v>
      </c>
      <c r="M12" s="35">
        <f t="shared" si="0"/>
        <v>40.000214335999999</v>
      </c>
    </row>
    <row r="13" spans="1:13" x14ac:dyDescent="0.25">
      <c r="A13">
        <v>5</v>
      </c>
      <c r="D13">
        <v>0.20002459148000001</v>
      </c>
      <c r="E13" s="1">
        <v>-1.79244788333334E-6</v>
      </c>
      <c r="F13" s="1">
        <v>-4.8183479166666698E-6</v>
      </c>
      <c r="G13" s="1">
        <v>5.2044102353282598E-8</v>
      </c>
      <c r="H13" s="1">
        <v>9.3368280806098203E-8</v>
      </c>
      <c r="I13" s="1">
        <v>3.1924082777109201E-8</v>
      </c>
      <c r="J13" s="1"/>
      <c r="K13">
        <v>0.2</v>
      </c>
      <c r="L13">
        <v>10</v>
      </c>
      <c r="M13" s="35">
        <f t="shared" si="0"/>
        <v>20.002459148</v>
      </c>
    </row>
    <row r="14" spans="1:13" x14ac:dyDescent="0.25">
      <c r="A14">
        <v>6</v>
      </c>
      <c r="D14">
        <v>0.1000258275</v>
      </c>
      <c r="E14" s="1">
        <v>-9.1780965333333298E-7</v>
      </c>
      <c r="F14" s="1">
        <v>-2.6761339333333302E-6</v>
      </c>
      <c r="G14" s="1">
        <v>2.3784796597849101E-8</v>
      </c>
      <c r="H14" s="1">
        <v>7.0937696570815998E-8</v>
      </c>
      <c r="I14" s="1">
        <v>1.0733344763025E-7</v>
      </c>
      <c r="J14" s="1"/>
      <c r="K14">
        <v>0.2</v>
      </c>
      <c r="L14">
        <v>10</v>
      </c>
      <c r="M14" s="35">
        <f t="shared" si="0"/>
        <v>10.00258275</v>
      </c>
    </row>
    <row r="15" spans="1:13" x14ac:dyDescent="0.25">
      <c r="A15">
        <v>7</v>
      </c>
      <c r="F15" s="1"/>
      <c r="G15" s="1"/>
      <c r="H15" s="1"/>
      <c r="I15" s="1"/>
      <c r="J15" s="1"/>
      <c r="L15" s="1"/>
      <c r="M15" s="1"/>
    </row>
    <row r="16" spans="1:13" x14ac:dyDescent="0.25">
      <c r="A16">
        <v>8</v>
      </c>
      <c r="F16" s="1"/>
      <c r="G16" s="1"/>
      <c r="H16" s="1"/>
      <c r="I16" s="1"/>
      <c r="J16" s="1"/>
      <c r="L16" s="1"/>
      <c r="M16" s="1"/>
    </row>
    <row r="17" spans="1:13" x14ac:dyDescent="0.25">
      <c r="A17">
        <v>9</v>
      </c>
      <c r="B17" s="5">
        <v>36536</v>
      </c>
      <c r="C17" s="5" t="s">
        <v>15</v>
      </c>
      <c r="D17">
        <v>1.1996934388</v>
      </c>
      <c r="E17" s="1">
        <v>-1.24752250000001E-5</v>
      </c>
      <c r="F17" s="1">
        <v>-1.3355844166666699E-5</v>
      </c>
      <c r="G17" s="1">
        <v>1.1264975463868001E-6</v>
      </c>
      <c r="H17" s="1">
        <v>3.30718913883237E-10</v>
      </c>
      <c r="I17" s="1">
        <v>1.10381671935632E-7</v>
      </c>
      <c r="K17">
        <v>0.2</v>
      </c>
      <c r="L17">
        <v>10</v>
      </c>
      <c r="M17" s="35">
        <f t="shared" ref="M17:M22" si="1">100*D17/(K17*5)</f>
        <v>119.96934388</v>
      </c>
    </row>
    <row r="18" spans="1:13" x14ac:dyDescent="0.25">
      <c r="A18">
        <v>10</v>
      </c>
      <c r="D18">
        <v>0.99995956917999995</v>
      </c>
      <c r="E18" s="1">
        <v>-1.03850898333333E-5</v>
      </c>
      <c r="F18" s="1">
        <v>-1.24740713333333E-5</v>
      </c>
      <c r="G18" s="1">
        <v>1.67843459133026E-7</v>
      </c>
      <c r="H18" s="1">
        <v>8.5395970708842198E-8</v>
      </c>
      <c r="I18" s="1">
        <v>1.66713673371112E-9</v>
      </c>
      <c r="J18" s="1"/>
      <c r="K18">
        <v>0.2</v>
      </c>
      <c r="L18">
        <v>10</v>
      </c>
      <c r="M18" s="35">
        <f t="shared" si="1"/>
        <v>99.99595691799999</v>
      </c>
    </row>
    <row r="19" spans="1:13" x14ac:dyDescent="0.25">
      <c r="A19">
        <v>11</v>
      </c>
      <c r="D19">
        <v>0.60003436751999994</v>
      </c>
      <c r="E19" s="1">
        <v>-5.92127254999999E-6</v>
      </c>
      <c r="F19" s="1">
        <v>-9.7804412666666793E-6</v>
      </c>
      <c r="G19" s="1">
        <v>1.9154792088725901E-7</v>
      </c>
      <c r="H19" s="1">
        <v>2.07667379290371E-7</v>
      </c>
      <c r="I19" s="1">
        <v>4.7498931146524003E-8</v>
      </c>
      <c r="J19" s="1"/>
      <c r="K19">
        <v>0.2</v>
      </c>
      <c r="L19">
        <v>10</v>
      </c>
      <c r="M19" s="35">
        <f t="shared" si="1"/>
        <v>60.003436751999992</v>
      </c>
    </row>
    <row r="20" spans="1:13" x14ac:dyDescent="0.25">
      <c r="A20">
        <v>12</v>
      </c>
      <c r="D20">
        <v>0.40005308422000002</v>
      </c>
      <c r="E20" s="1">
        <v>-3.7785536666666598E-6</v>
      </c>
      <c r="F20" s="1">
        <v>-7.8330960499999402E-6</v>
      </c>
      <c r="G20" s="1">
        <v>2.5206059790566202E-7</v>
      </c>
      <c r="H20" s="1">
        <v>1.0787456391826401E-7</v>
      </c>
      <c r="I20" s="1">
        <v>2.2954434351920901E-9</v>
      </c>
      <c r="J20" s="1"/>
      <c r="K20">
        <v>0.2</v>
      </c>
      <c r="L20">
        <v>10</v>
      </c>
      <c r="M20" s="35">
        <f>100*D20/(K20*5)</f>
        <v>40.005308421999999</v>
      </c>
    </row>
    <row r="21" spans="1:13" x14ac:dyDescent="0.25">
      <c r="A21">
        <v>13</v>
      </c>
      <c r="D21">
        <v>0.20001318382</v>
      </c>
      <c r="E21" s="1">
        <v>-1.75994241666667E-6</v>
      </c>
      <c r="F21" s="1">
        <v>-4.6260090666666699E-6</v>
      </c>
      <c r="G21" s="1">
        <v>1.26779497565513E-7</v>
      </c>
      <c r="H21" s="1">
        <v>7.98529443351529E-8</v>
      </c>
      <c r="I21" s="1">
        <v>4.5320470802889497E-8</v>
      </c>
      <c r="J21" s="1"/>
      <c r="K21">
        <v>0.2</v>
      </c>
      <c r="L21">
        <v>10</v>
      </c>
      <c r="M21" s="35">
        <f t="shared" si="1"/>
        <v>20.001318382000001</v>
      </c>
    </row>
    <row r="22" spans="1:13" x14ac:dyDescent="0.25">
      <c r="A22">
        <v>14</v>
      </c>
      <c r="D22">
        <v>0.10004456457999999</v>
      </c>
      <c r="E22" s="1">
        <v>-8.9258865833333402E-7</v>
      </c>
      <c r="F22" s="1">
        <v>-2.5753562666666699E-6</v>
      </c>
      <c r="G22" s="1">
        <v>7.9640990499589001E-8</v>
      </c>
      <c r="H22" s="1">
        <v>9.3389314559848006E-8</v>
      </c>
      <c r="I22" s="1">
        <v>5.1043563826032201E-8</v>
      </c>
      <c r="J22" s="1"/>
      <c r="K22">
        <v>0.2</v>
      </c>
      <c r="L22">
        <v>10</v>
      </c>
      <c r="M22" s="35">
        <f t="shared" si="1"/>
        <v>10.004456458</v>
      </c>
    </row>
    <row r="23" spans="1:13" x14ac:dyDescent="0.25">
      <c r="A23">
        <v>15</v>
      </c>
      <c r="E23" s="1"/>
      <c r="F23" s="1"/>
      <c r="G23" s="1"/>
      <c r="H23" s="1"/>
      <c r="I23" s="1"/>
      <c r="J23" s="1"/>
      <c r="M23" s="35"/>
    </row>
    <row r="24" spans="1:13" x14ac:dyDescent="0.25">
      <c r="A24">
        <v>16</v>
      </c>
    </row>
    <row r="25" spans="1:13" x14ac:dyDescent="0.25">
      <c r="A25">
        <v>17</v>
      </c>
      <c r="B25" s="6"/>
    </row>
    <row r="26" spans="1:13" x14ac:dyDescent="0.25">
      <c r="A26">
        <v>18</v>
      </c>
      <c r="B26" s="7">
        <v>41306</v>
      </c>
      <c r="C26" s="6" t="s">
        <v>16</v>
      </c>
      <c r="D26">
        <v>1.1976207092</v>
      </c>
      <c r="E26" s="1">
        <v>-1.5426573166666701E-5</v>
      </c>
      <c r="F26" s="1">
        <v>-1.2113196833333199E-5</v>
      </c>
      <c r="G26" s="1">
        <v>6.6313085813267896E-6</v>
      </c>
      <c r="H26" s="1">
        <v>2.9732344233730701E-7</v>
      </c>
      <c r="I26" s="1">
        <v>2.7217939495849398E-7</v>
      </c>
      <c r="J26" s="8"/>
      <c r="K26" s="6">
        <v>0.2</v>
      </c>
      <c r="L26" s="6">
        <v>10</v>
      </c>
      <c r="M26" s="36">
        <f t="shared" ref="M26:M31" si="2">100*D26/(K26*5)</f>
        <v>119.76207092</v>
      </c>
    </row>
    <row r="27" spans="1:13" x14ac:dyDescent="0.25">
      <c r="A27">
        <v>19</v>
      </c>
      <c r="B27" s="6"/>
      <c r="C27" s="6" t="s">
        <v>17</v>
      </c>
      <c r="D27">
        <v>1.002435309</v>
      </c>
      <c r="E27" s="1">
        <v>-1.2813600666666701E-5</v>
      </c>
      <c r="F27" s="1">
        <v>-1.0679727483333299E-5</v>
      </c>
      <c r="G27" s="1">
        <v>3.7415022292764699E-6</v>
      </c>
      <c r="H27" s="1">
        <v>4.4410208199567002E-7</v>
      </c>
      <c r="I27" s="1">
        <v>4.7730197179476002E-7</v>
      </c>
      <c r="J27" s="8"/>
      <c r="K27" s="6">
        <v>0.2</v>
      </c>
      <c r="L27" s="6">
        <v>10</v>
      </c>
      <c r="M27" s="36">
        <f t="shared" si="2"/>
        <v>100.2435309</v>
      </c>
    </row>
    <row r="28" spans="1:13" x14ac:dyDescent="0.25">
      <c r="A28">
        <v>20</v>
      </c>
      <c r="B28" s="6"/>
      <c r="C28" s="6" t="s">
        <v>18</v>
      </c>
      <c r="D28">
        <v>0.60049053785999995</v>
      </c>
      <c r="E28" s="1">
        <v>-1.03175867500001E-5</v>
      </c>
      <c r="F28" s="1">
        <v>-5.7669734833333901E-6</v>
      </c>
      <c r="G28" s="1">
        <v>5.22588371601436E-7</v>
      </c>
      <c r="H28" s="1">
        <v>2.3050253363380599E-7</v>
      </c>
      <c r="I28" s="1">
        <v>3.3590748617245901E-7</v>
      </c>
      <c r="J28" s="8"/>
      <c r="K28" s="6">
        <v>0.2</v>
      </c>
      <c r="L28" s="6">
        <v>10</v>
      </c>
      <c r="M28" s="36">
        <f t="shared" si="2"/>
        <v>60.049053785999995</v>
      </c>
    </row>
    <row r="29" spans="1:13" x14ac:dyDescent="0.25">
      <c r="A29">
        <v>21</v>
      </c>
      <c r="B29" s="8"/>
      <c r="D29">
        <v>0.39978789613999999</v>
      </c>
      <c r="E29" s="1">
        <v>-7.9801399666666695E-6</v>
      </c>
      <c r="F29" s="1">
        <v>-4.3607440999999999E-6</v>
      </c>
      <c r="G29" s="1">
        <v>4.0024651727374598E-7</v>
      </c>
      <c r="H29" s="1">
        <v>1.9550247718123401E-7</v>
      </c>
      <c r="I29" s="1">
        <v>6.60924490636555E-7</v>
      </c>
      <c r="J29" s="8"/>
      <c r="K29" s="6">
        <v>0.2</v>
      </c>
      <c r="L29" s="6">
        <v>10</v>
      </c>
      <c r="M29" s="36">
        <f t="shared" si="2"/>
        <v>39.978789614</v>
      </c>
    </row>
    <row r="30" spans="1:13" x14ac:dyDescent="0.25">
      <c r="A30">
        <v>22</v>
      </c>
      <c r="B30" s="8"/>
      <c r="D30">
        <v>0.20023832997999999</v>
      </c>
      <c r="E30" s="1">
        <v>-4.8452885833333699E-6</v>
      </c>
      <c r="F30" s="1">
        <v>-2.1186258999999999E-6</v>
      </c>
      <c r="G30" s="1">
        <v>5.8238634631651102E-8</v>
      </c>
      <c r="H30" s="1">
        <v>4.7807102314909998E-7</v>
      </c>
      <c r="I30" s="1">
        <v>6.6540257563437298E-7</v>
      </c>
      <c r="J30" s="8"/>
      <c r="K30" s="6">
        <v>0.2</v>
      </c>
      <c r="L30" s="6">
        <v>10</v>
      </c>
      <c r="M30" s="36">
        <f t="shared" si="2"/>
        <v>20.023832998</v>
      </c>
    </row>
    <row r="31" spans="1:13" x14ac:dyDescent="0.25">
      <c r="A31">
        <v>23</v>
      </c>
      <c r="B31" s="8"/>
      <c r="D31">
        <v>0.10221956318</v>
      </c>
      <c r="E31" s="1">
        <v>-3.07381415E-6</v>
      </c>
      <c r="F31" s="1">
        <v>-1.2649920855000001E-6</v>
      </c>
      <c r="G31" s="1">
        <v>6.1720348795786397E-7</v>
      </c>
      <c r="H31" s="1">
        <v>6.8601434018146496E-7</v>
      </c>
      <c r="I31" s="1">
        <v>6.4765851203588997E-7</v>
      </c>
      <c r="J31" s="8"/>
      <c r="K31" s="6">
        <v>0.2</v>
      </c>
      <c r="L31" s="6">
        <v>10</v>
      </c>
      <c r="M31" s="36">
        <f t="shared" si="2"/>
        <v>10.221956318</v>
      </c>
    </row>
    <row r="32" spans="1:13" x14ac:dyDescent="0.25">
      <c r="A32">
        <v>24</v>
      </c>
      <c r="E32" s="1"/>
      <c r="F32" s="1"/>
      <c r="G32" s="1"/>
      <c r="H32" s="1"/>
      <c r="I32" s="1"/>
      <c r="M32" s="35"/>
    </row>
    <row r="33" spans="1:13" x14ac:dyDescent="0.25">
      <c r="A33">
        <v>25</v>
      </c>
      <c r="D33" s="6"/>
    </row>
    <row r="34" spans="1:13" x14ac:dyDescent="0.25">
      <c r="A34">
        <v>26</v>
      </c>
      <c r="B34" s="5">
        <v>41306</v>
      </c>
      <c r="C34" s="6" t="s">
        <v>14</v>
      </c>
      <c r="D34">
        <v>1.197532582</v>
      </c>
      <c r="E34" s="1">
        <v>-1.2191205333333301E-5</v>
      </c>
      <c r="F34" s="1">
        <v>-1.1076620500000099E-5</v>
      </c>
      <c r="G34" s="1">
        <v>2.64668611968243E-6</v>
      </c>
      <c r="H34" s="1">
        <v>1.8806852679689801E-7</v>
      </c>
      <c r="I34" s="1">
        <v>2.97286376481781E-8</v>
      </c>
      <c r="J34" s="1"/>
      <c r="K34">
        <v>0.2</v>
      </c>
      <c r="L34">
        <v>10</v>
      </c>
      <c r="M34" s="35">
        <f t="shared" ref="M34:M39" si="3">100*D34/(K34*5)</f>
        <v>119.7532582</v>
      </c>
    </row>
    <row r="35" spans="1:13" x14ac:dyDescent="0.25">
      <c r="A35">
        <v>27</v>
      </c>
      <c r="C35" s="5" t="s">
        <v>19</v>
      </c>
      <c r="D35">
        <v>1.0039513252000001</v>
      </c>
      <c r="E35" s="1">
        <v>-1.11648853333333E-5</v>
      </c>
      <c r="F35" s="1">
        <v>-9.5761172166666703E-6</v>
      </c>
      <c r="G35" s="1">
        <v>6.3539992267512202E-7</v>
      </c>
      <c r="H35" s="1">
        <v>1.31165033519693E-7</v>
      </c>
      <c r="I35" s="1">
        <v>1.32604839816475E-7</v>
      </c>
      <c r="J35" s="1"/>
      <c r="K35">
        <v>0.2</v>
      </c>
      <c r="L35">
        <v>10</v>
      </c>
      <c r="M35" s="35">
        <f t="shared" si="3"/>
        <v>100.39513252</v>
      </c>
    </row>
    <row r="36" spans="1:13" x14ac:dyDescent="0.25">
      <c r="A36">
        <v>28</v>
      </c>
      <c r="C36" s="6" t="s">
        <v>20</v>
      </c>
      <c r="D36">
        <v>0.60186710135999999</v>
      </c>
      <c r="E36" s="1">
        <v>-9.0265815833333294E-6</v>
      </c>
      <c r="F36" s="1">
        <v>-5.3805282166666601E-6</v>
      </c>
      <c r="G36" s="1">
        <v>4.72049507509072E-7</v>
      </c>
      <c r="H36" s="1">
        <v>1.3524748128027999E-7</v>
      </c>
      <c r="I36" s="1">
        <v>6.4677686546338293E-8</v>
      </c>
      <c r="J36" s="1"/>
      <c r="K36">
        <v>0.2</v>
      </c>
      <c r="L36">
        <v>10</v>
      </c>
      <c r="M36" s="35">
        <f t="shared" si="3"/>
        <v>60.186710136000002</v>
      </c>
    </row>
    <row r="37" spans="1:13" x14ac:dyDescent="0.25">
      <c r="A37">
        <v>29</v>
      </c>
      <c r="C37" t="s">
        <v>21</v>
      </c>
      <c r="D37">
        <v>0.40113545315999999</v>
      </c>
      <c r="E37" s="1">
        <v>-7.0192840000000003E-6</v>
      </c>
      <c r="F37" s="1">
        <v>-3.4615553499999899E-6</v>
      </c>
      <c r="G37" s="1">
        <v>2.5925120551828397E-7</v>
      </c>
      <c r="H37" s="1">
        <v>1.2595919062405401E-7</v>
      </c>
      <c r="I37" s="1">
        <v>7.2464303482548099E-8</v>
      </c>
      <c r="J37" s="1"/>
      <c r="K37">
        <v>0.2</v>
      </c>
      <c r="L37">
        <v>10</v>
      </c>
      <c r="M37" s="35">
        <f t="shared" si="3"/>
        <v>40.113545316</v>
      </c>
    </row>
    <row r="38" spans="1:13" x14ac:dyDescent="0.25">
      <c r="A38">
        <v>30</v>
      </c>
      <c r="C38" t="s">
        <v>22</v>
      </c>
      <c r="D38">
        <v>0.19981875063999999</v>
      </c>
      <c r="E38" s="1">
        <v>-4.2050701666666702E-6</v>
      </c>
      <c r="F38" s="1">
        <v>-1.6508506000000001E-6</v>
      </c>
      <c r="G38" s="1">
        <v>1.3064615192124101E-7</v>
      </c>
      <c r="H38" s="1">
        <v>6.9850444379203696E-8</v>
      </c>
      <c r="I38" s="1">
        <v>8.7500227717646599E-8</v>
      </c>
      <c r="J38" s="1"/>
      <c r="K38">
        <v>0.2</v>
      </c>
      <c r="L38">
        <v>10</v>
      </c>
      <c r="M38" s="35">
        <f t="shared" si="3"/>
        <v>19.981875064</v>
      </c>
    </row>
    <row r="39" spans="1:13" x14ac:dyDescent="0.25">
      <c r="A39">
        <v>31</v>
      </c>
      <c r="C39" t="s">
        <v>23</v>
      </c>
      <c r="D39">
        <v>0.10308803726</v>
      </c>
      <c r="E39" s="1">
        <v>-2.3855092500000002E-6</v>
      </c>
      <c r="F39" s="1">
        <v>-8.7249149999999999E-7</v>
      </c>
      <c r="G39" s="1">
        <v>7.2979795517930306E-8</v>
      </c>
      <c r="H39" s="1">
        <v>9.6977012423585003E-8</v>
      </c>
      <c r="I39" s="1">
        <v>1.12664287928829E-7</v>
      </c>
      <c r="J39" s="1"/>
      <c r="K39">
        <v>0.2</v>
      </c>
      <c r="L39">
        <v>10</v>
      </c>
      <c r="M39" s="35">
        <f t="shared" si="3"/>
        <v>10.308803726000001</v>
      </c>
    </row>
    <row r="40" spans="1:13" x14ac:dyDescent="0.25">
      <c r="A40">
        <v>32</v>
      </c>
    </row>
    <row r="41" spans="1:13" x14ac:dyDescent="0.25">
      <c r="A41">
        <v>33</v>
      </c>
      <c r="B41" s="5">
        <v>41312</v>
      </c>
      <c r="C41" t="s">
        <v>24</v>
      </c>
      <c r="D41">
        <v>1.1969954934</v>
      </c>
      <c r="E41" s="1">
        <v>-1.24752250000001E-5</v>
      </c>
      <c r="F41" s="1">
        <v>-1.10958898333334E-5</v>
      </c>
      <c r="G41" s="1">
        <v>3.0453291386547602E-6</v>
      </c>
      <c r="H41" s="1">
        <v>3.3071891388323901E-10</v>
      </c>
      <c r="I41" s="1">
        <v>5.2160148389093001E-8</v>
      </c>
      <c r="K41">
        <v>0.2</v>
      </c>
      <c r="L41">
        <v>10</v>
      </c>
      <c r="M41" s="35">
        <f t="shared" ref="M41:M46" si="4">100*D41/(K41*5)</f>
        <v>119.69954934</v>
      </c>
    </row>
    <row r="42" spans="1:13" x14ac:dyDescent="0.25">
      <c r="A42">
        <v>34</v>
      </c>
      <c r="C42" t="s">
        <v>25</v>
      </c>
      <c r="D42">
        <v>1.0000300548600001</v>
      </c>
      <c r="E42" s="1">
        <v>-1.17601098333333E-5</v>
      </c>
      <c r="F42" s="1">
        <v>-9.5580058333333406E-6</v>
      </c>
      <c r="G42" s="1">
        <v>7.2666047266718905E-7</v>
      </c>
      <c r="H42" s="1">
        <v>4.7366876823073697E-8</v>
      </c>
      <c r="I42" s="1">
        <v>1.2453735316752301E-7</v>
      </c>
      <c r="K42">
        <v>0.2</v>
      </c>
      <c r="L42">
        <v>10</v>
      </c>
      <c r="M42" s="35">
        <f t="shared" si="4"/>
        <v>100.00300548600001</v>
      </c>
    </row>
    <row r="43" spans="1:13" x14ac:dyDescent="0.25">
      <c r="A43">
        <v>35</v>
      </c>
      <c r="C43" t="s">
        <v>26</v>
      </c>
      <c r="D43">
        <v>0.60120609993999996</v>
      </c>
      <c r="E43" s="1">
        <v>-9.3094485166666594E-6</v>
      </c>
      <c r="F43" s="1">
        <v>-5.3436384833333404E-6</v>
      </c>
      <c r="G43" s="1">
        <v>2.7517726501073899E-7</v>
      </c>
      <c r="H43" s="1">
        <v>3.3771504945733799E-8</v>
      </c>
      <c r="I43" s="1">
        <v>8.6816747759479305E-8</v>
      </c>
      <c r="K43">
        <v>0.2</v>
      </c>
      <c r="L43">
        <v>10</v>
      </c>
      <c r="M43" s="35">
        <f t="shared" si="4"/>
        <v>60.120609993999999</v>
      </c>
    </row>
    <row r="44" spans="1:13" x14ac:dyDescent="0.25">
      <c r="A44">
        <v>36</v>
      </c>
      <c r="C44" t="s">
        <v>27</v>
      </c>
      <c r="D44">
        <v>0.39993423958000002</v>
      </c>
      <c r="E44" s="1">
        <v>-7.2814381999999898E-6</v>
      </c>
      <c r="F44" s="1">
        <v>-3.4328936999999901E-6</v>
      </c>
      <c r="G44" s="1">
        <v>2.1830847688670901E-7</v>
      </c>
      <c r="H44" s="1">
        <v>9.1078287312399594E-8</v>
      </c>
      <c r="I44" s="1">
        <v>2.90488411009803E-8</v>
      </c>
      <c r="K44">
        <v>0.2</v>
      </c>
      <c r="L44">
        <v>10</v>
      </c>
      <c r="M44" s="35">
        <f t="shared" si="4"/>
        <v>39.993423958000001</v>
      </c>
    </row>
    <row r="45" spans="1:13" x14ac:dyDescent="0.25">
      <c r="A45">
        <v>37</v>
      </c>
      <c r="D45">
        <v>0.20029648566</v>
      </c>
      <c r="E45" s="1">
        <v>-4.3193972333333296E-6</v>
      </c>
      <c r="F45" s="1">
        <v>-1.69685458333333E-6</v>
      </c>
      <c r="G45" s="1">
        <v>1.09140389994936E-7</v>
      </c>
      <c r="H45" s="1">
        <v>8.9838114532078705E-8</v>
      </c>
      <c r="I45" s="1">
        <v>6.3939363701033697E-8</v>
      </c>
      <c r="K45">
        <v>0.2</v>
      </c>
      <c r="L45">
        <v>10</v>
      </c>
      <c r="M45" s="35">
        <f t="shared" si="4"/>
        <v>20.029648565999999</v>
      </c>
    </row>
    <row r="46" spans="1:13" x14ac:dyDescent="0.25">
      <c r="A46">
        <v>38</v>
      </c>
      <c r="D46">
        <v>0.10443835762000001</v>
      </c>
      <c r="E46" s="1">
        <v>-2.44243721666667E-6</v>
      </c>
      <c r="F46" s="1">
        <v>-8.5863463833333298E-7</v>
      </c>
      <c r="G46" s="1">
        <v>5.4683717537834298E-8</v>
      </c>
      <c r="H46" s="1">
        <v>1.0269899905266699E-7</v>
      </c>
      <c r="I46" s="1">
        <v>1.06956168180884E-7</v>
      </c>
      <c r="K46">
        <v>0.2</v>
      </c>
      <c r="L46">
        <v>10</v>
      </c>
      <c r="M46" s="35">
        <f t="shared" si="4"/>
        <v>10.443835762000001</v>
      </c>
    </row>
    <row r="47" spans="1:13" x14ac:dyDescent="0.25">
      <c r="A47">
        <v>39</v>
      </c>
    </row>
    <row r="48" spans="1:13" x14ac:dyDescent="0.25">
      <c r="A48">
        <v>40</v>
      </c>
      <c r="C48" s="2" t="s">
        <v>28</v>
      </c>
    </row>
    <row r="49" spans="1:13" x14ac:dyDescent="0.25">
      <c r="A49">
        <v>41</v>
      </c>
      <c r="E49" t="s">
        <v>29</v>
      </c>
      <c r="H49" t="s">
        <v>30</v>
      </c>
      <c r="I49" t="s">
        <v>31</v>
      </c>
      <c r="J49" t="s">
        <v>32</v>
      </c>
      <c r="L49" t="s">
        <v>33</v>
      </c>
      <c r="M49" t="s">
        <v>165</v>
      </c>
    </row>
    <row r="50" spans="1:13" x14ac:dyDescent="0.25">
      <c r="A50">
        <v>42</v>
      </c>
      <c r="D50" t="s">
        <v>34</v>
      </c>
      <c r="E50" t="s">
        <v>35</v>
      </c>
      <c r="F50" t="s">
        <v>36</v>
      </c>
      <c r="G50" t="s">
        <v>37</v>
      </c>
      <c r="H50" t="s">
        <v>35</v>
      </c>
      <c r="I50" t="s">
        <v>38</v>
      </c>
      <c r="J50" t="s">
        <v>33</v>
      </c>
      <c r="K50" t="s">
        <v>39</v>
      </c>
      <c r="L50" t="s">
        <v>40</v>
      </c>
      <c r="M50" t="s">
        <v>40</v>
      </c>
    </row>
    <row r="51" spans="1:13" x14ac:dyDescent="0.25">
      <c r="A51">
        <v>43</v>
      </c>
      <c r="C51" t="s">
        <v>41</v>
      </c>
      <c r="D51">
        <v>1.0017</v>
      </c>
      <c r="E51">
        <v>1.071</v>
      </c>
      <c r="F51" s="9">
        <v>1.053474</v>
      </c>
      <c r="G51">
        <v>0.2</v>
      </c>
      <c r="H51">
        <f>0.268*D51/G51</f>
        <v>1.3422780000000001</v>
      </c>
      <c r="I51">
        <f>H51+E51</f>
        <v>2.413278</v>
      </c>
      <c r="J51">
        <f>F51-I51/4</f>
        <v>0.45015450000000001</v>
      </c>
      <c r="K51">
        <v>1</v>
      </c>
      <c r="L51">
        <f>J51</f>
        <v>0.45015450000000001</v>
      </c>
      <c r="M51" s="37">
        <f>1/(L51*G51/D51)</f>
        <v>11.126180011529375</v>
      </c>
    </row>
    <row r="52" spans="1:13" x14ac:dyDescent="0.25">
      <c r="A52">
        <v>44</v>
      </c>
      <c r="C52" t="s">
        <v>42</v>
      </c>
      <c r="D52">
        <v>1.0014000000000001</v>
      </c>
      <c r="E52">
        <v>1.07</v>
      </c>
      <c r="F52" s="9">
        <v>2.1172440000000003</v>
      </c>
      <c r="G52">
        <v>0.2</v>
      </c>
      <c r="H52">
        <f>0.268*D52/G52</f>
        <v>1.3418760000000001</v>
      </c>
      <c r="I52">
        <f>H52+E52</f>
        <v>2.4118760000000004</v>
      </c>
      <c r="J52">
        <f>F52-I52/2</f>
        <v>0.91130600000000017</v>
      </c>
      <c r="K52">
        <v>2</v>
      </c>
      <c r="L52">
        <f>J52-J51</f>
        <v>0.46115150000000016</v>
      </c>
      <c r="M52" s="37">
        <f>1/(L52*G52/D52)</f>
        <v>10.85760319547914</v>
      </c>
    </row>
    <row r="53" spans="1:13" x14ac:dyDescent="0.25">
      <c r="A53">
        <v>45</v>
      </c>
      <c r="C53" t="s">
        <v>43</v>
      </c>
      <c r="D53">
        <v>1.0005999999999999</v>
      </c>
      <c r="E53">
        <v>1.069</v>
      </c>
      <c r="F53" s="9">
        <v>3.1857460000000004</v>
      </c>
      <c r="G53">
        <v>0.2</v>
      </c>
      <c r="H53">
        <f>0.268*D53/G53</f>
        <v>1.3408039999999999</v>
      </c>
      <c r="I53">
        <f>H53+E53</f>
        <v>2.4098039999999998</v>
      </c>
      <c r="J53">
        <f>F53-I53*3/4</f>
        <v>1.3783930000000004</v>
      </c>
      <c r="K53">
        <v>3</v>
      </c>
      <c r="L53">
        <f>J53-J52</f>
        <v>0.46708700000000025</v>
      </c>
      <c r="M53" s="37">
        <f>1/(L53*G53/D53)</f>
        <v>10.711066674944918</v>
      </c>
    </row>
    <row r="54" spans="1:13" x14ac:dyDescent="0.25">
      <c r="A54">
        <v>46</v>
      </c>
      <c r="C54" t="s">
        <v>44</v>
      </c>
      <c r="D54">
        <v>1.0004</v>
      </c>
      <c r="E54">
        <v>1.069</v>
      </c>
      <c r="F54" s="9">
        <v>4.2444480000000002</v>
      </c>
      <c r="G54">
        <v>0.2</v>
      </c>
      <c r="H54">
        <f>0.268*D54/G54</f>
        <v>1.3405359999999999</v>
      </c>
      <c r="I54">
        <f>H54+E54</f>
        <v>2.4095360000000001</v>
      </c>
      <c r="J54">
        <f>F54-I54</f>
        <v>1.8349120000000001</v>
      </c>
      <c r="K54">
        <v>4</v>
      </c>
      <c r="L54">
        <f>J54-J53</f>
        <v>0.45651899999999968</v>
      </c>
      <c r="M54" s="37">
        <f>1/(L54*G54/D54)</f>
        <v>10.956827645727786</v>
      </c>
    </row>
    <row r="55" spans="1:13" x14ac:dyDescent="0.25">
      <c r="A55">
        <v>47</v>
      </c>
      <c r="F55" s="10" t="s">
        <v>45</v>
      </c>
      <c r="G55" s="10"/>
      <c r="H55" s="10"/>
      <c r="I55" s="10"/>
      <c r="J55" s="10"/>
      <c r="K55" s="10"/>
      <c r="L55" s="10"/>
    </row>
    <row r="56" spans="1:13" x14ac:dyDescent="0.25">
      <c r="A56">
        <v>48</v>
      </c>
      <c r="C56" s="2" t="s">
        <v>46</v>
      </c>
      <c r="E56" s="1"/>
      <c r="F56" s="1"/>
      <c r="G56" s="1"/>
      <c r="H56" s="1"/>
      <c r="I56" s="1"/>
      <c r="M56" s="35"/>
    </row>
    <row r="57" spans="1:13" x14ac:dyDescent="0.25">
      <c r="A57">
        <v>49</v>
      </c>
      <c r="B57" s="5">
        <v>41313</v>
      </c>
      <c r="C57" s="11"/>
      <c r="D57">
        <v>1.1995927018000001</v>
      </c>
      <c r="E57" s="1">
        <v>-3.9498771166666698E-5</v>
      </c>
      <c r="F57" s="1">
        <v>-3.4249621166666698E-5</v>
      </c>
      <c r="G57" s="1">
        <v>1.79596459319628E-6</v>
      </c>
      <c r="H57" s="1">
        <v>8.9189093794993703E-8</v>
      </c>
      <c r="I57" s="1">
        <v>1.1685627925778E-7</v>
      </c>
      <c r="K57">
        <v>0.2</v>
      </c>
      <c r="L57">
        <v>10</v>
      </c>
      <c r="M57" s="35">
        <f t="shared" ref="M57:M62" si="5">100*D57/(K57*5)</f>
        <v>119.95927018</v>
      </c>
    </row>
    <row r="58" spans="1:13" x14ac:dyDescent="0.25">
      <c r="A58">
        <v>50</v>
      </c>
      <c r="D58">
        <v>1.0018073385999999</v>
      </c>
      <c r="E58" s="1">
        <v>-3.5832118499999999E-5</v>
      </c>
      <c r="F58" s="1">
        <v>-2.8694480500000001E-5</v>
      </c>
      <c r="G58" s="1">
        <v>1.2050640922395401E-7</v>
      </c>
      <c r="H58" s="1">
        <v>1.15527523016884E-7</v>
      </c>
      <c r="I58" s="1">
        <v>1.15504163430372E-7</v>
      </c>
      <c r="K58">
        <v>0.2</v>
      </c>
      <c r="L58">
        <v>10</v>
      </c>
      <c r="M58" s="35">
        <f t="shared" si="5"/>
        <v>100.18073385999999</v>
      </c>
    </row>
    <row r="59" spans="1:13" x14ac:dyDescent="0.25">
      <c r="A59">
        <v>51</v>
      </c>
      <c r="D59">
        <v>0.60004092683999999</v>
      </c>
      <c r="E59" s="1">
        <v>-2.6790032166666601E-5</v>
      </c>
      <c r="F59" s="1">
        <v>-1.6320419166666701E-5</v>
      </c>
      <c r="G59" s="1">
        <v>2.5665173074875303E-7</v>
      </c>
      <c r="H59" s="1">
        <v>1.55634675491375E-7</v>
      </c>
      <c r="I59" s="1">
        <v>1.0877391958847E-7</v>
      </c>
      <c r="K59">
        <v>0.2</v>
      </c>
      <c r="L59">
        <v>10</v>
      </c>
      <c r="M59" s="35">
        <f t="shared" si="5"/>
        <v>60.004092684</v>
      </c>
    </row>
    <row r="60" spans="1:13" x14ac:dyDescent="0.25">
      <c r="A60">
        <v>52</v>
      </c>
      <c r="D60">
        <v>0.40080091759999997</v>
      </c>
      <c r="E60" s="1">
        <v>-2.0247126333333298E-5</v>
      </c>
      <c r="F60" s="1">
        <v>-1.05496086666667E-5</v>
      </c>
      <c r="G60" s="1">
        <v>2.4180137424658602E-7</v>
      </c>
      <c r="H60" s="1">
        <v>1.10781105969786E-7</v>
      </c>
      <c r="I60" s="1">
        <v>1.7539110522359901E-7</v>
      </c>
      <c r="K60">
        <v>0.2</v>
      </c>
      <c r="L60">
        <v>10</v>
      </c>
      <c r="M60" s="35">
        <f t="shared" si="5"/>
        <v>40.080091759999995</v>
      </c>
    </row>
    <row r="61" spans="1:13" x14ac:dyDescent="0.25">
      <c r="A61">
        <v>53</v>
      </c>
      <c r="D61">
        <v>0.20072045592000001</v>
      </c>
      <c r="E61" s="1">
        <v>-1.16699108333333E-5</v>
      </c>
      <c r="F61" s="1">
        <v>-5.1351091333333297E-6</v>
      </c>
      <c r="G61" s="1">
        <v>1.43633894845724E-7</v>
      </c>
      <c r="H61" s="1">
        <v>1.05826824888457E-7</v>
      </c>
      <c r="I61" s="1">
        <v>7.4322665474597205E-8</v>
      </c>
      <c r="K61">
        <v>0.2</v>
      </c>
      <c r="L61">
        <v>10</v>
      </c>
      <c r="M61" s="35">
        <f t="shared" si="5"/>
        <v>20.072045592000002</v>
      </c>
    </row>
    <row r="62" spans="1:13" x14ac:dyDescent="0.25">
      <c r="A62">
        <v>54</v>
      </c>
      <c r="D62">
        <v>0.10088458954</v>
      </c>
      <c r="E62" s="1">
        <v>-6.4481721333333396E-6</v>
      </c>
      <c r="F62" s="1">
        <v>-2.49493433333334E-6</v>
      </c>
      <c r="G62" s="1">
        <v>6.3406731389004801E-8</v>
      </c>
      <c r="H62" s="1">
        <v>5.5369582499017898E-8</v>
      </c>
      <c r="I62" s="1">
        <v>1.1491091740513099E-7</v>
      </c>
      <c r="K62">
        <v>0.2</v>
      </c>
      <c r="L62">
        <v>10</v>
      </c>
      <c r="M62" s="35">
        <f t="shared" si="5"/>
        <v>10.088458954</v>
      </c>
    </row>
    <row r="63" spans="1:13" x14ac:dyDescent="0.25">
      <c r="A63">
        <v>55</v>
      </c>
    </row>
    <row r="64" spans="1:13" x14ac:dyDescent="0.25">
      <c r="A64">
        <v>56</v>
      </c>
      <c r="C64" t="s">
        <v>47</v>
      </c>
      <c r="D64">
        <v>1.1995197464</v>
      </c>
      <c r="E64" s="1">
        <v>-3.88903556666667E-5</v>
      </c>
      <c r="F64" s="1">
        <v>-3.3686166500000001E-5</v>
      </c>
      <c r="G64" s="1">
        <v>9.6906362704612608E-7</v>
      </c>
      <c r="H64" s="1">
        <v>1.1265781405605599E-7</v>
      </c>
      <c r="I64" s="1">
        <v>1.26738603936409E-7</v>
      </c>
      <c r="K64">
        <v>0.2</v>
      </c>
      <c r="L64">
        <v>10</v>
      </c>
      <c r="M64" s="35">
        <f t="shared" ref="M64:M69" si="6">100*D64/(K64*5)</f>
        <v>119.95197464</v>
      </c>
    </row>
    <row r="65" spans="1:13" x14ac:dyDescent="0.25">
      <c r="A65">
        <v>57</v>
      </c>
      <c r="D65">
        <v>1.0007801236</v>
      </c>
      <c r="E65" s="1">
        <v>-3.50910956666667E-5</v>
      </c>
      <c r="F65" s="1">
        <v>-2.8146331833333301E-5</v>
      </c>
      <c r="G65" s="1">
        <v>1.0291408467228E-7</v>
      </c>
      <c r="H65" s="1">
        <v>4.1138627604992097E-8</v>
      </c>
      <c r="I65" s="1">
        <v>8.8949120868649198E-8</v>
      </c>
      <c r="K65">
        <v>0.2</v>
      </c>
      <c r="L65">
        <v>10</v>
      </c>
      <c r="M65" s="35">
        <f t="shared" si="6"/>
        <v>100.07801236</v>
      </c>
    </row>
    <row r="66" spans="1:13" x14ac:dyDescent="0.25">
      <c r="A66">
        <v>58</v>
      </c>
      <c r="D66">
        <v>0.60003541737999999</v>
      </c>
      <c r="E66" s="1">
        <v>-2.6331872833333298E-5</v>
      </c>
      <c r="F66" s="1">
        <v>-1.5857924333333301E-5</v>
      </c>
      <c r="G66" s="1">
        <v>2.5534177639184098E-7</v>
      </c>
      <c r="H66" s="1">
        <v>7.60405960346549E-8</v>
      </c>
      <c r="I66" s="1">
        <v>1.04302697030752E-7</v>
      </c>
      <c r="K66">
        <v>0.2</v>
      </c>
      <c r="L66">
        <v>10</v>
      </c>
      <c r="M66" s="35">
        <f t="shared" si="6"/>
        <v>60.003541737999996</v>
      </c>
    </row>
    <row r="67" spans="1:13" x14ac:dyDescent="0.25">
      <c r="A67">
        <v>59</v>
      </c>
      <c r="D67">
        <v>0.40013409686000001</v>
      </c>
      <c r="E67" s="1">
        <v>-1.9743525333333401E-5</v>
      </c>
      <c r="F67" s="1">
        <v>-1.024078205E-5</v>
      </c>
      <c r="G67" s="1">
        <v>2.44610555752245E-7</v>
      </c>
      <c r="H67" s="1">
        <v>6.6817419072840195E-8</v>
      </c>
      <c r="I67" s="1">
        <v>1.2802162752297299E-7</v>
      </c>
      <c r="K67">
        <v>0.2</v>
      </c>
      <c r="L67">
        <v>10</v>
      </c>
      <c r="M67" s="35">
        <f t="shared" si="6"/>
        <v>40.013409686000003</v>
      </c>
    </row>
    <row r="68" spans="1:13" x14ac:dyDescent="0.25">
      <c r="A68">
        <v>60</v>
      </c>
      <c r="D68">
        <v>0.20001238441999999</v>
      </c>
      <c r="E68" s="1">
        <v>-1.13446663333333E-5</v>
      </c>
      <c r="F68" s="1">
        <v>-4.9453524500000104E-6</v>
      </c>
      <c r="G68" s="1">
        <v>7.3894554720665304E-8</v>
      </c>
      <c r="H68" s="1">
        <v>9.7230068222518202E-8</v>
      </c>
      <c r="I68" s="1">
        <v>1.3336332741236401E-7</v>
      </c>
      <c r="K68">
        <v>0.2</v>
      </c>
      <c r="L68">
        <v>10</v>
      </c>
      <c r="M68" s="35">
        <f t="shared" si="6"/>
        <v>20.001238441999998</v>
      </c>
    </row>
    <row r="69" spans="1:13" x14ac:dyDescent="0.25">
      <c r="A69">
        <v>61</v>
      </c>
      <c r="D69">
        <v>0.1004237056</v>
      </c>
      <c r="E69" s="1">
        <v>-6.2239777E-6</v>
      </c>
      <c r="F69" s="1">
        <v>-2.3413423000000001E-6</v>
      </c>
      <c r="G69" s="1">
        <v>5.8419166539749202E-8</v>
      </c>
      <c r="H69" s="1">
        <v>1.2047333780845499E-7</v>
      </c>
      <c r="I69" s="1">
        <v>1.1342992628363099E-7</v>
      </c>
      <c r="K69">
        <v>0.2</v>
      </c>
      <c r="L69">
        <v>10</v>
      </c>
      <c r="M69" s="35">
        <f t="shared" si="6"/>
        <v>10.04237056</v>
      </c>
    </row>
    <row r="70" spans="1:13" x14ac:dyDescent="0.25">
      <c r="A70">
        <v>62</v>
      </c>
    </row>
    <row r="71" spans="1:13" x14ac:dyDescent="0.25">
      <c r="A71">
        <v>63</v>
      </c>
    </row>
    <row r="72" spans="1:13" x14ac:dyDescent="0.25">
      <c r="A72">
        <v>64</v>
      </c>
      <c r="C72" s="2" t="s">
        <v>48</v>
      </c>
      <c r="G72" t="s">
        <v>49</v>
      </c>
    </row>
    <row r="73" spans="1:13" x14ac:dyDescent="0.25">
      <c r="A73">
        <v>65</v>
      </c>
      <c r="B73" t="s">
        <v>50</v>
      </c>
      <c r="C73" s="2" t="s">
        <v>51</v>
      </c>
      <c r="G73" s="6" t="s">
        <v>52</v>
      </c>
    </row>
    <row r="74" spans="1:13" x14ac:dyDescent="0.25">
      <c r="A74">
        <v>66</v>
      </c>
      <c r="B74" t="s">
        <v>53</v>
      </c>
      <c r="C74" s="2"/>
      <c r="D74" s="3" t="s">
        <v>4</v>
      </c>
      <c r="E74" s="4" t="s">
        <v>5</v>
      </c>
      <c r="F74" s="4" t="s">
        <v>6</v>
      </c>
      <c r="G74" s="4" t="s">
        <v>7</v>
      </c>
      <c r="H74" s="4" t="s">
        <v>8</v>
      </c>
      <c r="I74" s="4" t="s">
        <v>9</v>
      </c>
      <c r="J74" s="2" t="s">
        <v>54</v>
      </c>
      <c r="K74" s="2" t="s">
        <v>4</v>
      </c>
      <c r="L74" s="2" t="s">
        <v>13</v>
      </c>
      <c r="M74" s="2" t="s">
        <v>166</v>
      </c>
    </row>
    <row r="75" spans="1:13" x14ac:dyDescent="0.25">
      <c r="A75">
        <v>67</v>
      </c>
      <c r="C75" s="2"/>
      <c r="D75" s="3" t="s">
        <v>10</v>
      </c>
      <c r="E75" s="4" t="s">
        <v>11</v>
      </c>
      <c r="F75" s="4" t="s">
        <v>11</v>
      </c>
      <c r="G75" s="4" t="s">
        <v>12</v>
      </c>
      <c r="H75" s="4" t="s">
        <v>11</v>
      </c>
      <c r="I75" s="4" t="s">
        <v>11</v>
      </c>
    </row>
    <row r="76" spans="1:13" x14ac:dyDescent="0.25">
      <c r="A76">
        <v>68</v>
      </c>
      <c r="B76" s="5">
        <v>41316</v>
      </c>
      <c r="C76" t="s">
        <v>55</v>
      </c>
      <c r="D76">
        <v>0.25098371990000001</v>
      </c>
      <c r="E76" s="1">
        <v>1.10694787333333E-6</v>
      </c>
      <c r="F76" s="1">
        <v>3.8811758499999999E-7</v>
      </c>
      <c r="G76" s="1">
        <v>2.4848838500065999E-8</v>
      </c>
      <c r="H76" s="1">
        <v>7.1482966670673595E-8</v>
      </c>
      <c r="I76" s="1">
        <v>5.9582445977061402E-8</v>
      </c>
      <c r="J76">
        <v>4</v>
      </c>
      <c r="K76">
        <v>0.2</v>
      </c>
      <c r="L76">
        <v>10</v>
      </c>
      <c r="M76" s="35">
        <f>J76*D76/K76</f>
        <v>5.0196743980000003</v>
      </c>
    </row>
    <row r="77" spans="1:13" x14ac:dyDescent="0.25">
      <c r="A77">
        <v>69</v>
      </c>
      <c r="C77" t="s">
        <v>56</v>
      </c>
      <c r="D77">
        <v>0.25093198904000003</v>
      </c>
      <c r="E77" s="1">
        <v>1.1128578216666699E-6</v>
      </c>
      <c r="F77" s="1">
        <v>6.1246032333333301E-7</v>
      </c>
      <c r="G77" s="1">
        <v>7.3518821809399694E-8</v>
      </c>
      <c r="H77" s="1">
        <v>7.8378493623101395E-8</v>
      </c>
      <c r="I77" s="1">
        <v>5.5262660079859703E-8</v>
      </c>
      <c r="J77">
        <v>4</v>
      </c>
      <c r="K77">
        <v>0.2</v>
      </c>
      <c r="L77">
        <v>10</v>
      </c>
      <c r="M77" s="35">
        <f t="shared" ref="M77:M89" si="7">J77*D77/K77</f>
        <v>5.0186397808000001</v>
      </c>
    </row>
    <row r="78" spans="1:13" x14ac:dyDescent="0.25">
      <c r="A78">
        <v>70</v>
      </c>
      <c r="C78" t="s">
        <v>57</v>
      </c>
      <c r="D78">
        <v>0.25094776221999998</v>
      </c>
      <c r="E78" s="1">
        <v>1.2742564833333299E-6</v>
      </c>
      <c r="F78" s="1">
        <v>-1.1533968666666699E-7</v>
      </c>
      <c r="G78" s="1">
        <v>5.0614150353220504E-9</v>
      </c>
      <c r="H78" s="1">
        <v>5.3159851490259E-8</v>
      </c>
      <c r="I78" s="1">
        <v>7.6623016201283102E-8</v>
      </c>
      <c r="J78">
        <v>4</v>
      </c>
      <c r="K78">
        <v>0.2</v>
      </c>
      <c r="L78">
        <v>10</v>
      </c>
      <c r="M78" s="35">
        <f t="shared" si="7"/>
        <v>5.018955244399999</v>
      </c>
    </row>
    <row r="79" spans="1:13" x14ac:dyDescent="0.25">
      <c r="A79">
        <v>71</v>
      </c>
      <c r="C79" t="s">
        <v>58</v>
      </c>
      <c r="D79">
        <v>0.25089962966000001</v>
      </c>
      <c r="E79" s="1">
        <v>1.038727835E-6</v>
      </c>
      <c r="F79" s="1">
        <v>1.05654467E-6</v>
      </c>
      <c r="G79" s="1">
        <v>6.1471729702659999E-8</v>
      </c>
      <c r="H79" s="1">
        <v>8.7693309886413004E-8</v>
      </c>
      <c r="I79" s="1">
        <v>3.8883190305680498E-8</v>
      </c>
      <c r="J79">
        <v>4</v>
      </c>
      <c r="K79">
        <v>0.2</v>
      </c>
      <c r="L79">
        <v>10</v>
      </c>
      <c r="M79" s="35">
        <f t="shared" si="7"/>
        <v>5.0179925931999998</v>
      </c>
    </row>
    <row r="80" spans="1:13" x14ac:dyDescent="0.25">
      <c r="A80">
        <v>72</v>
      </c>
      <c r="E80" s="1"/>
      <c r="F80" s="1"/>
      <c r="G80" s="1"/>
      <c r="H80" s="1"/>
      <c r="I80" s="1"/>
      <c r="M80" s="35"/>
    </row>
    <row r="81" spans="1:13" x14ac:dyDescent="0.25">
      <c r="A81">
        <v>73</v>
      </c>
      <c r="C81" t="s">
        <v>59</v>
      </c>
      <c r="D81">
        <v>0.25018463827999998</v>
      </c>
      <c r="E81" s="1">
        <v>1.0518229566666701E-6</v>
      </c>
      <c r="F81" s="1">
        <v>7.6421845000000004E-7</v>
      </c>
      <c r="G81" s="1">
        <v>5.5492297628617298E-9</v>
      </c>
      <c r="H81" s="1">
        <v>7.9870890198879404E-8</v>
      </c>
      <c r="I81" s="1">
        <v>4.1016252776805898E-8</v>
      </c>
      <c r="J81">
        <v>4</v>
      </c>
      <c r="K81">
        <v>0.2</v>
      </c>
      <c r="L81">
        <v>10</v>
      </c>
      <c r="M81" s="35">
        <f t="shared" si="7"/>
        <v>5.0036927655999994</v>
      </c>
    </row>
    <row r="82" spans="1:13" x14ac:dyDescent="0.25">
      <c r="A82">
        <v>74</v>
      </c>
      <c r="C82" t="s">
        <v>60</v>
      </c>
      <c r="D82">
        <v>0.24997495174000001</v>
      </c>
      <c r="E82" s="1">
        <v>-1.03020448333333E-5</v>
      </c>
      <c r="F82" s="1">
        <v>-3.4361743833333301E-6</v>
      </c>
      <c r="G82" s="1">
        <v>2.3925872662024799E-8</v>
      </c>
      <c r="H82" s="1">
        <v>6.2316929659775104E-10</v>
      </c>
      <c r="I82" s="1">
        <v>8.6673336126547893E-9</v>
      </c>
      <c r="J82">
        <v>4</v>
      </c>
      <c r="K82">
        <v>0.2</v>
      </c>
      <c r="L82">
        <v>10</v>
      </c>
      <c r="M82" s="35">
        <f t="shared" si="7"/>
        <v>4.9994990347999995</v>
      </c>
    </row>
    <row r="83" spans="1:13" x14ac:dyDescent="0.25">
      <c r="A83">
        <v>75</v>
      </c>
      <c r="C83" s="2" t="s">
        <v>61</v>
      </c>
      <c r="E83" s="1"/>
      <c r="F83" s="1"/>
      <c r="G83" s="1"/>
      <c r="H83" s="1"/>
      <c r="I83" s="1"/>
      <c r="M83" s="35"/>
    </row>
    <row r="84" spans="1:13" x14ac:dyDescent="0.25">
      <c r="A84">
        <v>76</v>
      </c>
      <c r="C84" t="s">
        <v>62</v>
      </c>
      <c r="D84">
        <v>0.25051263274000002</v>
      </c>
      <c r="E84" s="1">
        <v>1.0113854683333301E-6</v>
      </c>
      <c r="F84" s="1">
        <v>7.8468658E-7</v>
      </c>
      <c r="G84" s="1">
        <v>1.00297723732088E-7</v>
      </c>
      <c r="H84" s="1">
        <v>4.3697323538621903E-8</v>
      </c>
      <c r="I84" s="1">
        <v>3.3416760231560402E-8</v>
      </c>
      <c r="J84">
        <v>4</v>
      </c>
      <c r="K84">
        <v>0.2</v>
      </c>
      <c r="L84">
        <v>10</v>
      </c>
      <c r="M84" s="35">
        <f t="shared" si="7"/>
        <v>5.0102526548000004</v>
      </c>
    </row>
    <row r="85" spans="1:13" x14ac:dyDescent="0.25">
      <c r="A85">
        <v>77</v>
      </c>
      <c r="C85" t="s">
        <v>63</v>
      </c>
      <c r="D85">
        <v>0.25094195547999998</v>
      </c>
      <c r="E85" s="1">
        <v>-3.2595979935000098E-8</v>
      </c>
      <c r="F85" s="1">
        <v>4.2429589333333403E-7</v>
      </c>
      <c r="G85" s="1">
        <v>2.4554884175045902E-7</v>
      </c>
      <c r="H85" s="1">
        <v>9.1307520755876802E-8</v>
      </c>
      <c r="I85" s="1">
        <v>3.5796454980187901E-8</v>
      </c>
      <c r="J85">
        <v>4</v>
      </c>
      <c r="K85">
        <v>0.2</v>
      </c>
      <c r="L85">
        <v>10</v>
      </c>
      <c r="M85" s="35">
        <f t="shared" si="7"/>
        <v>5.0188391095999991</v>
      </c>
    </row>
    <row r="86" spans="1:13" x14ac:dyDescent="0.25">
      <c r="A86">
        <v>78</v>
      </c>
      <c r="C86" t="s">
        <v>64</v>
      </c>
      <c r="D86">
        <v>0.25112440652000001</v>
      </c>
      <c r="E86" s="1">
        <v>1.76087071666667E-6</v>
      </c>
      <c r="F86" s="1">
        <v>9.7052060666666603E-7</v>
      </c>
      <c r="G86" s="1">
        <v>5.4369982833778798E-8</v>
      </c>
      <c r="H86" s="1">
        <v>1.27318793056271E-8</v>
      </c>
      <c r="I86" s="1">
        <v>4.2509838472349997E-8</v>
      </c>
      <c r="J86">
        <v>4</v>
      </c>
      <c r="K86">
        <v>0.2</v>
      </c>
      <c r="L86">
        <v>10</v>
      </c>
      <c r="M86" s="35">
        <f t="shared" si="7"/>
        <v>5.0224881304000002</v>
      </c>
    </row>
    <row r="87" spans="1:13" x14ac:dyDescent="0.25">
      <c r="A87">
        <v>79</v>
      </c>
      <c r="C87" t="s">
        <v>65</v>
      </c>
      <c r="D87">
        <v>0.25107092949999998</v>
      </c>
      <c r="E87" s="1">
        <v>-1.0777307833333299E-6</v>
      </c>
      <c r="F87" s="1">
        <v>-1.7145744416666699E-7</v>
      </c>
      <c r="G87" s="1">
        <v>4.4478067314194498E-8</v>
      </c>
      <c r="H87" s="1">
        <v>4.98919446382853E-8</v>
      </c>
      <c r="I87" s="1">
        <v>9.4992195187227197E-8</v>
      </c>
      <c r="J87">
        <v>4</v>
      </c>
      <c r="K87">
        <v>0.2</v>
      </c>
      <c r="L87">
        <v>10</v>
      </c>
      <c r="M87" s="35">
        <f t="shared" si="7"/>
        <v>5.0214185899999997</v>
      </c>
    </row>
    <row r="88" spans="1:13" x14ac:dyDescent="0.25">
      <c r="A88">
        <v>80</v>
      </c>
      <c r="C88" t="s">
        <v>66</v>
      </c>
      <c r="D88">
        <v>0.25057618467999998</v>
      </c>
      <c r="E88" s="1">
        <v>6.8487579833333296E-7</v>
      </c>
      <c r="F88" s="1">
        <v>4.3083491000000002E-7</v>
      </c>
      <c r="G88" s="1">
        <v>1.0744039808818399E-7</v>
      </c>
      <c r="H88" s="1">
        <v>8.1012803475280006E-8</v>
      </c>
      <c r="I88" s="1">
        <v>6.5044751256002494E-8</v>
      </c>
      <c r="J88">
        <v>4</v>
      </c>
      <c r="K88">
        <v>0.2</v>
      </c>
      <c r="L88">
        <v>10</v>
      </c>
      <c r="M88" s="35">
        <f t="shared" si="7"/>
        <v>5.0115236935999992</v>
      </c>
    </row>
    <row r="89" spans="1:13" x14ac:dyDescent="0.25">
      <c r="A89">
        <v>81</v>
      </c>
      <c r="C89" t="s">
        <v>67</v>
      </c>
      <c r="D89">
        <v>0.25065261789999999</v>
      </c>
      <c r="E89" s="1">
        <v>1.71073206666667E-6</v>
      </c>
      <c r="F89" s="1">
        <v>8.2948608166666604E-7</v>
      </c>
      <c r="G89" s="1">
        <v>5.3832116789035198E-8</v>
      </c>
      <c r="H89" s="1">
        <v>4.9971433653594101E-8</v>
      </c>
      <c r="I89" s="1">
        <v>5.9993824008601101E-8</v>
      </c>
      <c r="J89">
        <v>4</v>
      </c>
      <c r="K89">
        <v>0.2</v>
      </c>
      <c r="L89">
        <v>10</v>
      </c>
      <c r="M89" s="35">
        <f t="shared" si="7"/>
        <v>5.0130523579999995</v>
      </c>
    </row>
    <row r="90" spans="1:13" x14ac:dyDescent="0.25">
      <c r="A90">
        <v>82</v>
      </c>
    </row>
    <row r="91" spans="1:13" x14ac:dyDescent="0.25">
      <c r="A91">
        <v>83</v>
      </c>
    </row>
    <row r="92" spans="1:13" x14ac:dyDescent="0.25">
      <c r="A92">
        <v>84</v>
      </c>
      <c r="C92" s="2" t="s">
        <v>68</v>
      </c>
      <c r="G92" t="s">
        <v>69</v>
      </c>
    </row>
    <row r="93" spans="1:13" x14ac:dyDescent="0.25">
      <c r="A93">
        <v>85</v>
      </c>
      <c r="D93" s="3" t="s">
        <v>4</v>
      </c>
      <c r="E93" s="4" t="s">
        <v>5</v>
      </c>
      <c r="F93" s="4" t="s">
        <v>6</v>
      </c>
      <c r="G93" s="4" t="s">
        <v>7</v>
      </c>
      <c r="H93" s="4" t="s">
        <v>8</v>
      </c>
      <c r="I93" s="4" t="s">
        <v>9</v>
      </c>
      <c r="J93" s="1"/>
    </row>
    <row r="94" spans="1:13" x14ac:dyDescent="0.25">
      <c r="A94">
        <v>86</v>
      </c>
      <c r="D94" s="3" t="s">
        <v>10</v>
      </c>
      <c r="E94" s="4" t="s">
        <v>11</v>
      </c>
      <c r="F94" s="4" t="s">
        <v>11</v>
      </c>
      <c r="G94" s="4" t="s">
        <v>12</v>
      </c>
      <c r="H94" s="4" t="s">
        <v>11</v>
      </c>
      <c r="I94" s="4" t="s">
        <v>11</v>
      </c>
      <c r="J94" s="1"/>
      <c r="K94" s="2" t="s">
        <v>4</v>
      </c>
      <c r="L94" s="2" t="s">
        <v>13</v>
      </c>
      <c r="M94" s="2" t="s">
        <v>164</v>
      </c>
    </row>
    <row r="95" spans="1:13" x14ac:dyDescent="0.25">
      <c r="A95">
        <v>87</v>
      </c>
      <c r="B95" s="5">
        <v>41317</v>
      </c>
      <c r="C95" s="8"/>
      <c r="D95" s="12">
        <v>1.1910543054</v>
      </c>
      <c r="E95" s="13">
        <v>-5.7684090166666397E-6</v>
      </c>
      <c r="F95" s="13">
        <v>-4.4968720666666702E-6</v>
      </c>
      <c r="G95" s="13">
        <v>3.5415596790156497E-5</v>
      </c>
      <c r="H95" s="13">
        <v>1.5973306059861099E-7</v>
      </c>
      <c r="I95" s="13">
        <v>8.5251808346776804E-8</v>
      </c>
      <c r="J95" s="12"/>
      <c r="K95" s="12">
        <v>0.2</v>
      </c>
      <c r="L95" s="12">
        <v>10</v>
      </c>
      <c r="M95" s="38">
        <f>100*D95/(K95*5)</f>
        <v>119.10543054</v>
      </c>
    </row>
    <row r="96" spans="1:13" x14ac:dyDescent="0.25">
      <c r="A96">
        <v>88</v>
      </c>
      <c r="C96" s="12" t="s">
        <v>70</v>
      </c>
      <c r="D96" s="12">
        <v>1.1931460482</v>
      </c>
      <c r="E96" s="13">
        <v>-6.3658499333333404E-6</v>
      </c>
      <c r="F96" s="13">
        <v>-4.8584480500000097E-6</v>
      </c>
      <c r="G96" s="13">
        <v>9.6394320270405905E-6</v>
      </c>
      <c r="H96" s="13">
        <v>2.3927037010739299E-7</v>
      </c>
      <c r="I96" s="13">
        <v>9.9825818969998002E-8</v>
      </c>
      <c r="J96" s="12"/>
      <c r="K96" s="12">
        <v>0.2</v>
      </c>
      <c r="L96" s="12">
        <v>10</v>
      </c>
      <c r="M96" s="38">
        <f t="shared" ref="M96:M101" si="8">100*D96/(K96*5)</f>
        <v>119.31460482</v>
      </c>
    </row>
    <row r="97" spans="1:13" x14ac:dyDescent="0.25">
      <c r="A97">
        <v>89</v>
      </c>
      <c r="C97" s="12" t="s">
        <v>71</v>
      </c>
      <c r="D97" s="12">
        <v>0.99886711409999995</v>
      </c>
      <c r="E97" s="13">
        <v>-5.7023791833333297E-6</v>
      </c>
      <c r="F97" s="13">
        <v>-3.96341723333335E-6</v>
      </c>
      <c r="G97" s="13">
        <v>2.2934462420108099E-5</v>
      </c>
      <c r="H97" s="13">
        <v>1.7983682664895501E-7</v>
      </c>
      <c r="I97" s="13">
        <v>4.7841222357699799E-8</v>
      </c>
      <c r="J97" s="12"/>
      <c r="K97" s="12">
        <v>0.2</v>
      </c>
      <c r="L97" s="12">
        <v>10</v>
      </c>
      <c r="M97" s="38">
        <f t="shared" si="8"/>
        <v>99.88671140999999</v>
      </c>
    </row>
    <row r="98" spans="1:13" x14ac:dyDescent="0.25">
      <c r="A98">
        <v>90</v>
      </c>
      <c r="C98" s="8" t="s">
        <v>72</v>
      </c>
      <c r="D98" s="12">
        <v>0.60322849097999998</v>
      </c>
      <c r="E98" s="13">
        <v>-4.8494065333333401E-6</v>
      </c>
      <c r="F98" s="13">
        <v>-2.8260403500000099E-6</v>
      </c>
      <c r="G98" s="13">
        <v>4.9304227702278998E-6</v>
      </c>
      <c r="H98" s="13">
        <v>7.14980748154491E-8</v>
      </c>
      <c r="I98" s="13">
        <v>9.6794305523159902E-8</v>
      </c>
      <c r="J98" s="12"/>
      <c r="K98" s="12">
        <v>0.2</v>
      </c>
      <c r="L98" s="12">
        <v>10</v>
      </c>
      <c r="M98" s="38">
        <f t="shared" si="8"/>
        <v>60.322849097999999</v>
      </c>
    </row>
    <row r="99" spans="1:13" x14ac:dyDescent="0.25">
      <c r="A99">
        <v>91</v>
      </c>
      <c r="C99" s="8" t="s">
        <v>73</v>
      </c>
      <c r="D99" s="12">
        <v>0.40171928652</v>
      </c>
      <c r="E99" s="13">
        <v>-3.5566234833333402E-6</v>
      </c>
      <c r="F99" s="13">
        <v>-1.98878946666667E-6</v>
      </c>
      <c r="G99" s="13">
        <v>9.2060290845901995E-6</v>
      </c>
      <c r="H99" s="13">
        <v>7.2201389578269599E-8</v>
      </c>
      <c r="I99" s="13">
        <v>6.59392795207497E-8</v>
      </c>
      <c r="J99" s="12"/>
      <c r="K99" s="12">
        <v>0.2</v>
      </c>
      <c r="L99" s="12">
        <v>10</v>
      </c>
      <c r="M99" s="38">
        <f t="shared" si="8"/>
        <v>40.171928651999998</v>
      </c>
    </row>
    <row r="100" spans="1:13" x14ac:dyDescent="0.25">
      <c r="A100">
        <v>92</v>
      </c>
      <c r="C100" s="8"/>
      <c r="D100" s="12">
        <v>0.20378716524000001</v>
      </c>
      <c r="E100" s="13">
        <v>-1.8266117500000001E-6</v>
      </c>
      <c r="F100" s="13">
        <v>-1.0559786333333501E-6</v>
      </c>
      <c r="G100" s="13">
        <v>1.8974463586156701E-7</v>
      </c>
      <c r="H100" s="13">
        <v>6.7561071906121898E-8</v>
      </c>
      <c r="I100" s="13">
        <v>4.0436710698723401E-8</v>
      </c>
      <c r="J100" s="12"/>
      <c r="K100" s="12">
        <v>0.2</v>
      </c>
      <c r="L100" s="12">
        <v>10</v>
      </c>
      <c r="M100" s="38">
        <f t="shared" si="8"/>
        <v>20.378716524000001</v>
      </c>
    </row>
    <row r="101" spans="1:13" x14ac:dyDescent="0.25">
      <c r="A101">
        <v>93</v>
      </c>
      <c r="C101" s="8"/>
      <c r="D101" s="12">
        <v>9.9501614660000001E-2</v>
      </c>
      <c r="E101" s="13">
        <v>-9.7747313999999993E-7</v>
      </c>
      <c r="F101" s="13">
        <v>-4.8030529E-7</v>
      </c>
      <c r="G101" s="13">
        <v>1.9952746033999001E-7</v>
      </c>
      <c r="H101" s="13">
        <v>4.2602848475507699E-8</v>
      </c>
      <c r="I101" s="13">
        <v>1.9761650533948301E-8</v>
      </c>
      <c r="J101" s="12"/>
      <c r="K101" s="12">
        <v>0.2</v>
      </c>
      <c r="L101" s="12">
        <v>10</v>
      </c>
      <c r="M101" s="38">
        <f t="shared" si="8"/>
        <v>9.9501614660000008</v>
      </c>
    </row>
    <row r="102" spans="1:13" x14ac:dyDescent="0.25">
      <c r="A102">
        <v>94</v>
      </c>
      <c r="C102" s="2" t="s">
        <v>74</v>
      </c>
    </row>
    <row r="103" spans="1:13" x14ac:dyDescent="0.25">
      <c r="A103">
        <v>95</v>
      </c>
      <c r="C103" t="s">
        <v>75</v>
      </c>
      <c r="D103">
        <v>1.0140457848</v>
      </c>
      <c r="E103" s="1">
        <v>9.22766470716666E-8</v>
      </c>
      <c r="F103" s="1">
        <v>3.0585369999999998E-7</v>
      </c>
      <c r="G103" s="1">
        <v>1.5300822823578501E-5</v>
      </c>
      <c r="H103" s="1">
        <v>5.1603668697110501E-8</v>
      </c>
      <c r="I103" s="1">
        <v>6.6845555930617605E-8</v>
      </c>
      <c r="K103">
        <v>0.2</v>
      </c>
      <c r="L103">
        <v>10</v>
      </c>
      <c r="M103" s="35">
        <f>100*D103/(K103*5)</f>
        <v>101.40457848</v>
      </c>
    </row>
    <row r="104" spans="1:13" x14ac:dyDescent="0.25">
      <c r="A104">
        <v>96</v>
      </c>
    </row>
    <row r="105" spans="1:13" x14ac:dyDescent="0.25">
      <c r="A105">
        <v>97</v>
      </c>
      <c r="B105" s="5">
        <v>41317</v>
      </c>
      <c r="C105" t="s">
        <v>76</v>
      </c>
      <c r="D105">
        <v>1.198422997</v>
      </c>
      <c r="E105" s="1">
        <v>-5.31873313333335E-6</v>
      </c>
      <c r="F105" s="1">
        <v>-5.3151278333333301E-6</v>
      </c>
      <c r="G105" s="1">
        <v>5.1140889333762303E-6</v>
      </c>
      <c r="H105" s="1">
        <v>9.1533774703742903E-8</v>
      </c>
      <c r="I105" s="1">
        <v>1.3439190961006099E-7</v>
      </c>
      <c r="K105">
        <v>0.2</v>
      </c>
      <c r="L105">
        <v>10</v>
      </c>
      <c r="M105" s="35">
        <f t="shared" ref="M105:M110" si="9">100*D105/(K105*5)</f>
        <v>119.8422997</v>
      </c>
    </row>
    <row r="106" spans="1:13" x14ac:dyDescent="0.25">
      <c r="A106">
        <v>98</v>
      </c>
      <c r="D106">
        <v>1.0013164314</v>
      </c>
      <c r="E106" s="1">
        <v>-4.9707770333333497E-6</v>
      </c>
      <c r="F106" s="1">
        <v>-4.8937128666666896E-6</v>
      </c>
      <c r="G106" s="1">
        <v>6.56151889406539E-6</v>
      </c>
      <c r="H106" s="1">
        <v>9.8524279578854305E-8</v>
      </c>
      <c r="I106" s="1">
        <v>5.4116247259477197E-8</v>
      </c>
      <c r="K106">
        <v>0.2</v>
      </c>
      <c r="L106">
        <v>10</v>
      </c>
      <c r="M106" s="35">
        <f t="shared" si="9"/>
        <v>100.13164314000001</v>
      </c>
    </row>
    <row r="107" spans="1:13" x14ac:dyDescent="0.25">
      <c r="A107">
        <v>99</v>
      </c>
      <c r="D107">
        <v>0.60068013694</v>
      </c>
      <c r="E107" s="1">
        <v>-4.0097863E-6</v>
      </c>
      <c r="F107" s="1">
        <v>-2.7571289166666599E-6</v>
      </c>
      <c r="G107" s="1">
        <v>2.2947094538326602E-6</v>
      </c>
      <c r="H107" s="1">
        <v>6.68873856292051E-8</v>
      </c>
      <c r="I107" s="1">
        <v>2.97920776604518E-8</v>
      </c>
      <c r="K107">
        <v>0.2</v>
      </c>
      <c r="L107">
        <v>10</v>
      </c>
      <c r="M107" s="35">
        <f t="shared" si="9"/>
        <v>60.068013694000001</v>
      </c>
    </row>
    <row r="108" spans="1:13" x14ac:dyDescent="0.25">
      <c r="A108">
        <v>100</v>
      </c>
      <c r="D108">
        <v>0.40034832860000003</v>
      </c>
      <c r="E108" s="1">
        <v>-3.1084978833333401E-6</v>
      </c>
      <c r="F108" s="1">
        <v>-1.76789720000001E-6</v>
      </c>
      <c r="G108" s="1">
        <v>9.8346678506426703E-7</v>
      </c>
      <c r="H108" s="1">
        <v>3.7001733297505401E-8</v>
      </c>
      <c r="I108" s="1">
        <v>8.4344780256357395E-8</v>
      </c>
      <c r="K108">
        <v>0.2</v>
      </c>
      <c r="L108">
        <v>10</v>
      </c>
      <c r="M108" s="35">
        <f t="shared" si="9"/>
        <v>40.034832860000002</v>
      </c>
    </row>
    <row r="109" spans="1:13" x14ac:dyDescent="0.25">
      <c r="A109">
        <v>101</v>
      </c>
      <c r="D109">
        <v>0.20053416339999999</v>
      </c>
      <c r="E109" s="1">
        <v>-1.78396865E-6</v>
      </c>
      <c r="F109" s="1">
        <v>-8.9668247999999905E-7</v>
      </c>
      <c r="G109" s="1">
        <v>4.6211135540603498E-7</v>
      </c>
      <c r="H109" s="1">
        <v>3.36260417436273E-8</v>
      </c>
      <c r="I109" s="1">
        <v>3.4668017093034498E-8</v>
      </c>
      <c r="K109">
        <v>0.2</v>
      </c>
      <c r="L109">
        <v>10</v>
      </c>
      <c r="M109" s="35">
        <f t="shared" si="9"/>
        <v>20.053416339999998</v>
      </c>
    </row>
    <row r="110" spans="1:13" x14ac:dyDescent="0.25">
      <c r="A110">
        <v>102</v>
      </c>
      <c r="D110">
        <v>0.10063719734</v>
      </c>
      <c r="E110" s="1">
        <v>-9.7181226833333307E-7</v>
      </c>
      <c r="F110" s="1">
        <v>-4.6320038666666802E-7</v>
      </c>
      <c r="G110" s="1">
        <v>1.6463740110996401E-7</v>
      </c>
      <c r="H110" s="1">
        <v>7.4302443503245599E-8</v>
      </c>
      <c r="I110" s="1">
        <v>5.09113343531721E-8</v>
      </c>
      <c r="K110">
        <v>0.2</v>
      </c>
      <c r="L110">
        <v>10</v>
      </c>
      <c r="M110" s="35">
        <f t="shared" si="9"/>
        <v>10.063719733999999</v>
      </c>
    </row>
    <row r="111" spans="1:13" x14ac:dyDescent="0.25">
      <c r="A111">
        <v>103</v>
      </c>
    </row>
    <row r="112" spans="1:13" x14ac:dyDescent="0.25">
      <c r="A112">
        <v>104</v>
      </c>
      <c r="B112" s="5">
        <v>41318</v>
      </c>
      <c r="C112" t="s">
        <v>77</v>
      </c>
      <c r="D112">
        <v>1.1963523218000001</v>
      </c>
      <c r="E112" s="1">
        <v>-6.2447333666666698E-6</v>
      </c>
      <c r="F112" s="1">
        <v>-5.3345330500000201E-6</v>
      </c>
      <c r="G112" s="1">
        <v>2.59140595019293E-6</v>
      </c>
      <c r="H112" s="1">
        <v>9.2361283131329199E-8</v>
      </c>
      <c r="I112" s="1">
        <v>7.4150873293559507E-8</v>
      </c>
      <c r="K112">
        <v>0.2</v>
      </c>
      <c r="L112">
        <v>10</v>
      </c>
      <c r="M112" s="35">
        <f t="shared" ref="M112:M117" si="10">100*D112/(K112*5)</f>
        <v>119.63523218</v>
      </c>
    </row>
    <row r="113" spans="1:13" x14ac:dyDescent="0.25">
      <c r="A113">
        <v>105</v>
      </c>
      <c r="C113" t="s">
        <v>78</v>
      </c>
      <c r="D113">
        <v>1.0109338616000001</v>
      </c>
      <c r="E113" s="1">
        <v>-5.4315057333333201E-6</v>
      </c>
      <c r="F113" s="1">
        <v>-4.4821574999999996E-6</v>
      </c>
      <c r="G113" s="1">
        <v>9.86341990804034E-7</v>
      </c>
      <c r="H113" s="1">
        <v>2.6828795024417699E-8</v>
      </c>
      <c r="I113" s="1">
        <v>1.0133628632470999E-7</v>
      </c>
      <c r="K113">
        <v>0.2</v>
      </c>
      <c r="L113">
        <v>10</v>
      </c>
      <c r="M113" s="35">
        <f t="shared" si="10"/>
        <v>101.09338616000001</v>
      </c>
    </row>
    <row r="114" spans="1:13" x14ac:dyDescent="0.25">
      <c r="A114">
        <v>106</v>
      </c>
      <c r="D114">
        <v>0.60110570409999997</v>
      </c>
      <c r="E114" s="1">
        <v>-4.0627396499999997E-6</v>
      </c>
      <c r="F114" s="1">
        <v>-2.7981263666666701E-6</v>
      </c>
      <c r="G114" s="1">
        <v>1.72483384897024E-6</v>
      </c>
      <c r="H114" s="1">
        <v>6.5477274429460103E-8</v>
      </c>
      <c r="I114" s="1">
        <v>3.4151352493455202E-8</v>
      </c>
      <c r="K114">
        <v>0.2</v>
      </c>
      <c r="L114">
        <v>10</v>
      </c>
      <c r="M114" s="35">
        <f t="shared" si="10"/>
        <v>60.110570409999994</v>
      </c>
    </row>
    <row r="115" spans="1:13" x14ac:dyDescent="0.25">
      <c r="A115">
        <v>107</v>
      </c>
      <c r="C115" t="s">
        <v>79</v>
      </c>
      <c r="D115">
        <v>0.40002324321999999</v>
      </c>
      <c r="E115" s="1">
        <v>-3.0801727499999998E-6</v>
      </c>
      <c r="F115" s="1">
        <v>-1.87014888333333E-6</v>
      </c>
      <c r="G115" s="1">
        <v>1.0795634356833401E-6</v>
      </c>
      <c r="H115" s="1">
        <v>6.2655813869138799E-8</v>
      </c>
      <c r="I115" s="1">
        <v>1.18454225539881E-7</v>
      </c>
      <c r="K115">
        <v>0.2</v>
      </c>
      <c r="L115">
        <v>10</v>
      </c>
      <c r="M115" s="35">
        <f t="shared" si="10"/>
        <v>40.002324322</v>
      </c>
    </row>
    <row r="116" spans="1:13" x14ac:dyDescent="0.25">
      <c r="A116">
        <v>108</v>
      </c>
      <c r="C116" t="s">
        <v>80</v>
      </c>
      <c r="D116">
        <v>0.20007469580000001</v>
      </c>
      <c r="E116" s="1">
        <v>-1.76790641666667E-6</v>
      </c>
      <c r="F116" s="1">
        <v>-1.00233792666667E-6</v>
      </c>
      <c r="G116" s="1">
        <v>5.2617665828927897E-7</v>
      </c>
      <c r="H116" s="1">
        <v>4.7466765327539698E-8</v>
      </c>
      <c r="I116" s="1">
        <v>6.1840885932996995E-8</v>
      </c>
      <c r="K116">
        <v>0.2</v>
      </c>
      <c r="L116">
        <v>10</v>
      </c>
      <c r="M116" s="35">
        <f t="shared" si="10"/>
        <v>20.007469580000002</v>
      </c>
    </row>
    <row r="117" spans="1:13" x14ac:dyDescent="0.25">
      <c r="A117">
        <v>109</v>
      </c>
      <c r="D117">
        <v>9.9579969219999995E-2</v>
      </c>
      <c r="E117" s="1">
        <v>-9.4275982333333303E-7</v>
      </c>
      <c r="F117" s="1">
        <v>-4.7803235666666604E-7</v>
      </c>
      <c r="G117" s="1">
        <v>1.7742524581259201E-7</v>
      </c>
      <c r="H117" s="1">
        <v>9.0645546481365896E-8</v>
      </c>
      <c r="I117" s="1">
        <v>3.7011785849818E-8</v>
      </c>
      <c r="K117">
        <v>0.2</v>
      </c>
      <c r="L117">
        <v>10</v>
      </c>
      <c r="M117" s="35">
        <f t="shared" si="10"/>
        <v>9.9579969219999995</v>
      </c>
    </row>
    <row r="118" spans="1:13" x14ac:dyDescent="0.25">
      <c r="A118">
        <v>110</v>
      </c>
      <c r="E118" s="1"/>
      <c r="F118" s="1"/>
      <c r="G118" s="1"/>
      <c r="H118" s="1"/>
      <c r="I118" s="1"/>
      <c r="M118" s="35"/>
    </row>
    <row r="119" spans="1:13" x14ac:dyDescent="0.25">
      <c r="A119">
        <v>111</v>
      </c>
      <c r="C119" t="s">
        <v>81</v>
      </c>
      <c r="D119">
        <v>0.99553253665999997</v>
      </c>
      <c r="E119" s="1">
        <v>-5.40291173333333E-6</v>
      </c>
      <c r="F119" s="1">
        <v>-4.4344546999999899E-6</v>
      </c>
      <c r="G119" s="1">
        <v>3.2083027119539099E-6</v>
      </c>
      <c r="H119" s="1">
        <v>5.2880770373821999E-8</v>
      </c>
      <c r="I119" s="1">
        <v>1.9775494479531999E-8</v>
      </c>
      <c r="K119">
        <v>0.2</v>
      </c>
      <c r="L119">
        <v>10</v>
      </c>
      <c r="M119" s="35">
        <f>100*D119/(K119*5)</f>
        <v>99.553253666000003</v>
      </c>
    </row>
    <row r="120" spans="1:13" x14ac:dyDescent="0.25">
      <c r="A120">
        <v>112</v>
      </c>
      <c r="C120" t="s">
        <v>82</v>
      </c>
      <c r="D120">
        <v>0.98682859574000004</v>
      </c>
      <c r="E120" s="1">
        <v>-5.3711948666666701E-6</v>
      </c>
      <c r="F120" s="1">
        <v>-6.6480151833333297E-6</v>
      </c>
      <c r="G120" s="1">
        <v>1.73364704090761E-6</v>
      </c>
      <c r="H120" s="1">
        <v>7.5227399695116203E-9</v>
      </c>
      <c r="I120" s="1">
        <v>9.2574403832627496E-8</v>
      </c>
      <c r="K120">
        <v>0.2</v>
      </c>
      <c r="L120">
        <v>10</v>
      </c>
      <c r="M120" s="35">
        <f>100*D120/(K120*5)</f>
        <v>98.682859574000005</v>
      </c>
    </row>
    <row r="121" spans="1:13" x14ac:dyDescent="0.25">
      <c r="A121">
        <v>113</v>
      </c>
      <c r="C121" t="s">
        <v>83</v>
      </c>
      <c r="E121" s="1"/>
      <c r="F121" s="1"/>
      <c r="G121" s="1"/>
      <c r="H121" s="1"/>
      <c r="I121" s="1"/>
      <c r="M121" s="35"/>
    </row>
    <row r="122" spans="1:13" x14ac:dyDescent="0.25">
      <c r="A122">
        <v>114</v>
      </c>
      <c r="E122" s="1"/>
      <c r="F122" s="1"/>
      <c r="G122" s="1"/>
      <c r="H122" s="1"/>
      <c r="I122" s="1"/>
      <c r="M122" s="35"/>
    </row>
    <row r="123" spans="1:13" x14ac:dyDescent="0.25">
      <c r="A123">
        <v>115</v>
      </c>
      <c r="C123" t="s">
        <v>84</v>
      </c>
      <c r="D123">
        <v>0.99226059858000004</v>
      </c>
      <c r="E123" s="1">
        <v>-6.35317896666666E-3</v>
      </c>
      <c r="F123" s="1">
        <v>1.9841290666666601E-2</v>
      </c>
      <c r="G123" s="1">
        <v>6.8748795487000202E-6</v>
      </c>
      <c r="H123" s="1">
        <v>2.6658775739561401E-5</v>
      </c>
      <c r="I123" s="1">
        <v>6.3620621234173794E-5</v>
      </c>
      <c r="K123">
        <v>0.2</v>
      </c>
      <c r="L123">
        <v>10</v>
      </c>
      <c r="M123" s="35">
        <f>100*D123/(K123*5)</f>
        <v>99.226059857999999</v>
      </c>
    </row>
    <row r="124" spans="1:13" x14ac:dyDescent="0.25">
      <c r="A124">
        <v>116</v>
      </c>
      <c r="E124" s="1"/>
      <c r="F124" s="1"/>
      <c r="G124" s="1"/>
      <c r="H124" s="1"/>
      <c r="I124" s="1"/>
      <c r="M124" s="35"/>
    </row>
    <row r="125" spans="1:13" x14ac:dyDescent="0.25">
      <c r="A125">
        <v>117</v>
      </c>
      <c r="B125" s="5">
        <v>41318</v>
      </c>
      <c r="C125" s="2" t="s">
        <v>85</v>
      </c>
      <c r="H125" t="s">
        <v>30</v>
      </c>
      <c r="I125" t="s">
        <v>31</v>
      </c>
      <c r="J125" t="s">
        <v>32</v>
      </c>
      <c r="L125" t="s">
        <v>33</v>
      </c>
      <c r="M125" t="s">
        <v>165</v>
      </c>
    </row>
    <row r="126" spans="1:13" x14ac:dyDescent="0.25">
      <c r="A126">
        <v>118</v>
      </c>
      <c r="D126" t="s">
        <v>34</v>
      </c>
      <c r="E126" t="s">
        <v>86</v>
      </c>
      <c r="F126" t="s">
        <v>87</v>
      </c>
      <c r="G126" t="s">
        <v>37</v>
      </c>
      <c r="H126" t="s">
        <v>35</v>
      </c>
      <c r="I126" t="s">
        <v>38</v>
      </c>
      <c r="J126" t="s">
        <v>33</v>
      </c>
      <c r="K126" t="s">
        <v>39</v>
      </c>
      <c r="L126" t="s">
        <v>40</v>
      </c>
      <c r="M126" t="s">
        <v>40</v>
      </c>
    </row>
    <row r="127" spans="1:13" x14ac:dyDescent="0.25">
      <c r="A127">
        <v>119</v>
      </c>
      <c r="C127" t="s">
        <v>41</v>
      </c>
      <c r="D127">
        <v>1.0069349999999999</v>
      </c>
      <c r="E127" s="6">
        <v>0.44772000000000001</v>
      </c>
      <c r="F127">
        <f>E127/D127</f>
        <v>0.44463644624528897</v>
      </c>
      <c r="G127">
        <v>0.2</v>
      </c>
      <c r="H127">
        <f>0.317/G127</f>
        <v>1.585</v>
      </c>
      <c r="I127">
        <f>H127+1</f>
        <v>2.585</v>
      </c>
      <c r="J127">
        <f>F127-K127*I127/20</f>
        <v>0.315386446245289</v>
      </c>
      <c r="K127">
        <v>1</v>
      </c>
      <c r="L127">
        <f>J127</f>
        <v>0.315386446245289</v>
      </c>
      <c r="M127" s="37">
        <f>1/L127</f>
        <v>3.1707133007937154</v>
      </c>
    </row>
    <row r="128" spans="1:13" x14ac:dyDescent="0.25">
      <c r="A128">
        <v>120</v>
      </c>
      <c r="C128" t="s">
        <v>42</v>
      </c>
      <c r="D128">
        <v>1.004105</v>
      </c>
      <c r="E128">
        <v>0.91015000000000001</v>
      </c>
      <c r="F128">
        <f>E128/D128</f>
        <v>0.90642910850956826</v>
      </c>
      <c r="G128">
        <v>0.2</v>
      </c>
      <c r="H128">
        <f>0.317/G128</f>
        <v>1.585</v>
      </c>
      <c r="I128">
        <f>H128+1</f>
        <v>2.585</v>
      </c>
      <c r="J128">
        <f>F128-K128*I128/20</f>
        <v>0.6479291085095682</v>
      </c>
      <c r="K128">
        <v>2</v>
      </c>
      <c r="L128">
        <f>J128-J127</f>
        <v>0.3325426622642792</v>
      </c>
      <c r="M128" s="37">
        <f>1/L128</f>
        <v>3.0071329590946658</v>
      </c>
    </row>
    <row r="129" spans="1:13" x14ac:dyDescent="0.25">
      <c r="A129">
        <v>121</v>
      </c>
      <c r="C129" t="s">
        <v>43</v>
      </c>
      <c r="D129">
        <v>1.00099</v>
      </c>
      <c r="E129">
        <v>1.3517399999999999</v>
      </c>
      <c r="F129">
        <f>E129/D129</f>
        <v>1.3504031009300792</v>
      </c>
      <c r="G129">
        <v>0.2</v>
      </c>
      <c r="H129">
        <f>0.317/G129</f>
        <v>1.585</v>
      </c>
      <c r="I129">
        <f>H129+1</f>
        <v>2.585</v>
      </c>
      <c r="J129">
        <f>F129-K129*I129/20</f>
        <v>0.96265310093007916</v>
      </c>
      <c r="K129">
        <v>3</v>
      </c>
      <c r="L129">
        <f>J129-J128</f>
        <v>0.31472399242051097</v>
      </c>
      <c r="M129" s="37">
        <f>1/L129</f>
        <v>3.1773872475024842</v>
      </c>
    </row>
    <row r="130" spans="1:13" x14ac:dyDescent="0.25">
      <c r="A130">
        <v>122</v>
      </c>
      <c r="C130" t="s">
        <v>44</v>
      </c>
      <c r="D130">
        <v>0.99802500000000005</v>
      </c>
      <c r="E130">
        <v>1.75434</v>
      </c>
      <c r="F130">
        <f>E130/D130</f>
        <v>1.7578116780641766</v>
      </c>
      <c r="G130">
        <v>0.2</v>
      </c>
      <c r="H130">
        <f>0.317/G130</f>
        <v>1.585</v>
      </c>
      <c r="I130">
        <f>H130+1</f>
        <v>2.585</v>
      </c>
      <c r="J130">
        <f>F130-K130*I130/20</f>
        <v>1.2408116780641767</v>
      </c>
      <c r="K130">
        <v>4</v>
      </c>
      <c r="L130">
        <f>J130-J129</f>
        <v>0.27815857713409753</v>
      </c>
      <c r="M130" s="37">
        <f>1/L130</f>
        <v>3.5950715965803557</v>
      </c>
    </row>
    <row r="131" spans="1:13" x14ac:dyDescent="0.25">
      <c r="A131">
        <v>123</v>
      </c>
      <c r="C131" t="s">
        <v>88</v>
      </c>
      <c r="D131">
        <v>0.99509999999999998</v>
      </c>
      <c r="E131">
        <v>2.1569199999999999</v>
      </c>
      <c r="F131">
        <f>E131/D131</f>
        <v>2.1675409506582253</v>
      </c>
      <c r="G131">
        <v>0.2</v>
      </c>
      <c r="H131">
        <f>0.317/G131</f>
        <v>1.585</v>
      </c>
      <c r="I131">
        <f>H131+1</f>
        <v>2.585</v>
      </c>
      <c r="J131">
        <f>F131-K131*I131/20</f>
        <v>1.5212909506582253</v>
      </c>
      <c r="K131">
        <v>5</v>
      </c>
      <c r="L131">
        <f>J131-J130</f>
        <v>0.28047927259404859</v>
      </c>
      <c r="M131" s="37">
        <f>1/L131</f>
        <v>3.5653258465460622</v>
      </c>
    </row>
    <row r="132" spans="1:13" x14ac:dyDescent="0.25">
      <c r="A132">
        <v>124</v>
      </c>
      <c r="M132" s="37"/>
    </row>
    <row r="133" spans="1:13" x14ac:dyDescent="0.25">
      <c r="A133">
        <v>125</v>
      </c>
      <c r="C133" s="2" t="s">
        <v>89</v>
      </c>
      <c r="J133" s="2" t="s">
        <v>54</v>
      </c>
      <c r="K133" s="2" t="s">
        <v>4</v>
      </c>
      <c r="L133" s="2" t="s">
        <v>13</v>
      </c>
      <c r="M133" s="2" t="s">
        <v>166</v>
      </c>
    </row>
    <row r="134" spans="1:13" x14ac:dyDescent="0.25">
      <c r="A134">
        <v>126</v>
      </c>
    </row>
    <row r="135" spans="1:13" x14ac:dyDescent="0.25">
      <c r="A135">
        <v>127</v>
      </c>
      <c r="C135" t="s">
        <v>90</v>
      </c>
      <c r="D135">
        <v>1.0018978346</v>
      </c>
      <c r="E135" s="1">
        <v>3.3815338333333302E-7</v>
      </c>
      <c r="F135" s="1">
        <v>4.7709583999999905E-7</v>
      </c>
      <c r="G135" s="1">
        <v>1.43931433785145E-6</v>
      </c>
      <c r="H135" s="1">
        <v>6.9007439597382501E-8</v>
      </c>
      <c r="I135" s="1">
        <v>8.01414519841702E-8</v>
      </c>
      <c r="J135">
        <v>4</v>
      </c>
      <c r="K135">
        <v>0.2</v>
      </c>
      <c r="L135">
        <v>10</v>
      </c>
      <c r="M135" s="35">
        <f>J135*D135/K135</f>
        <v>20.037956691999998</v>
      </c>
    </row>
    <row r="136" spans="1:13" x14ac:dyDescent="0.25">
      <c r="A136">
        <v>128</v>
      </c>
      <c r="C136" t="s">
        <v>91</v>
      </c>
      <c r="D136">
        <v>0.99817059141999998</v>
      </c>
      <c r="E136" s="1">
        <v>-1.13289503333333E-6</v>
      </c>
      <c r="F136" s="1">
        <v>2.3575239833333401E-7</v>
      </c>
      <c r="G136" s="1">
        <v>1.22088748498714E-6</v>
      </c>
      <c r="H136" s="1">
        <v>8.2992426734806405E-8</v>
      </c>
      <c r="I136" s="1">
        <v>6.6599875157313206E-8</v>
      </c>
      <c r="J136">
        <v>4</v>
      </c>
      <c r="K136">
        <v>0.2</v>
      </c>
      <c r="L136">
        <v>10</v>
      </c>
      <c r="M136" s="35">
        <f>J136*D136/K136</f>
        <v>19.963411828399998</v>
      </c>
    </row>
    <row r="137" spans="1:13" x14ac:dyDescent="0.25">
      <c r="A137">
        <v>129</v>
      </c>
      <c r="C137" t="s">
        <v>92</v>
      </c>
      <c r="D137">
        <v>0.99929306606000001</v>
      </c>
      <c r="E137" s="1">
        <v>3.3083644000000002E-7</v>
      </c>
      <c r="F137" s="1">
        <v>5.3573319166666705E-7</v>
      </c>
      <c r="G137" s="1">
        <v>4.0816254206063102E-7</v>
      </c>
      <c r="H137" s="1">
        <v>3.1010986016567297E-8</v>
      </c>
      <c r="I137" s="1">
        <v>7.33014734000956E-8</v>
      </c>
      <c r="J137">
        <v>4</v>
      </c>
      <c r="K137">
        <v>0.2</v>
      </c>
      <c r="L137">
        <v>10</v>
      </c>
      <c r="M137" s="35">
        <f>J137*D137/K137</f>
        <v>19.985861321199998</v>
      </c>
    </row>
    <row r="138" spans="1:13" x14ac:dyDescent="0.25">
      <c r="A138">
        <v>130</v>
      </c>
      <c r="M138" s="35"/>
    </row>
    <row r="139" spans="1:13" x14ac:dyDescent="0.25">
      <c r="A139">
        <v>131</v>
      </c>
      <c r="C139" t="s">
        <v>62</v>
      </c>
      <c r="D139">
        <v>1.0013311305999999</v>
      </c>
      <c r="E139" s="1">
        <v>2.9685841616666702E-7</v>
      </c>
      <c r="F139" s="1">
        <v>5.8599053833333305E-7</v>
      </c>
      <c r="G139" s="1">
        <v>1.7675003296359901E-6</v>
      </c>
      <c r="H139" s="1">
        <v>4.2695036214530699E-8</v>
      </c>
      <c r="I139" s="1">
        <v>3.8749301805433E-8</v>
      </c>
      <c r="J139">
        <v>4</v>
      </c>
      <c r="K139">
        <v>0.2</v>
      </c>
      <c r="L139">
        <v>10</v>
      </c>
      <c r="M139" s="35">
        <f>J139*D139/K139</f>
        <v>20.026622611999997</v>
      </c>
    </row>
    <row r="140" spans="1:13" x14ac:dyDescent="0.25">
      <c r="A140">
        <v>132</v>
      </c>
      <c r="C140" t="s">
        <v>93</v>
      </c>
      <c r="D140">
        <v>0.99735963139999995</v>
      </c>
      <c r="E140" s="1">
        <v>1.27363805486667E-7</v>
      </c>
      <c r="F140" s="1">
        <v>4.8943362666666504E-7</v>
      </c>
      <c r="G140" s="1">
        <v>4.9371820121232699E-6</v>
      </c>
      <c r="H140" s="1">
        <v>4.9443560580973501E-8</v>
      </c>
      <c r="I140" s="1">
        <v>7.3289041551407694E-8</v>
      </c>
      <c r="J140">
        <v>4</v>
      </c>
      <c r="K140">
        <v>0.2</v>
      </c>
      <c r="L140">
        <v>10</v>
      </c>
      <c r="M140" s="35">
        <f>J140*D140/K140</f>
        <v>19.947192627999996</v>
      </c>
    </row>
    <row r="141" spans="1:13" x14ac:dyDescent="0.25">
      <c r="A141">
        <v>133</v>
      </c>
      <c r="C141" t="s">
        <v>64</v>
      </c>
      <c r="D141">
        <v>1.0015937984000001</v>
      </c>
      <c r="E141" s="1">
        <v>-1.3100902333333299E-6</v>
      </c>
      <c r="F141" s="1">
        <v>-1.7864306051666699E-7</v>
      </c>
      <c r="G141" s="1">
        <v>2.2165043133331598E-6</v>
      </c>
      <c r="H141" s="1">
        <v>8.2076250746560103E-8</v>
      </c>
      <c r="I141" s="1">
        <v>5.2600605212757602E-8</v>
      </c>
      <c r="J141">
        <v>4</v>
      </c>
      <c r="K141">
        <v>0.2</v>
      </c>
      <c r="L141">
        <v>10</v>
      </c>
      <c r="M141" s="35">
        <f>J141*D141/K141</f>
        <v>20.031875968000001</v>
      </c>
    </row>
    <row r="142" spans="1:13" x14ac:dyDescent="0.25">
      <c r="A142">
        <v>134</v>
      </c>
      <c r="C142" t="s">
        <v>94</v>
      </c>
      <c r="D142">
        <v>1.0013404236000001</v>
      </c>
      <c r="E142" s="1">
        <v>-6.4751885000000003E-7</v>
      </c>
      <c r="F142" s="1">
        <v>-4.48348296666667E-7</v>
      </c>
      <c r="G142" s="1">
        <v>2.7175330249371401E-6</v>
      </c>
      <c r="H142" s="1">
        <v>4.4439166164478901E-8</v>
      </c>
      <c r="I142" s="1">
        <v>5.5261838083394599E-8</v>
      </c>
      <c r="J142">
        <v>4</v>
      </c>
      <c r="K142">
        <v>0.2</v>
      </c>
      <c r="L142">
        <v>10</v>
      </c>
      <c r="M142" s="35">
        <f>J142*D142/K142</f>
        <v>20.026808471999999</v>
      </c>
    </row>
    <row r="143" spans="1:13" x14ac:dyDescent="0.25">
      <c r="A143">
        <v>135</v>
      </c>
      <c r="C143" t="s">
        <v>95</v>
      </c>
      <c r="D143">
        <v>0.99859575761999997</v>
      </c>
      <c r="E143" s="1">
        <v>-6.3215312833333295E-7</v>
      </c>
      <c r="F143" s="1">
        <v>-4.2784238500000002E-7</v>
      </c>
      <c r="G143" s="1">
        <v>2.1439012232716301E-6</v>
      </c>
      <c r="H143" s="1">
        <v>7.3703101403142199E-8</v>
      </c>
      <c r="I143" s="1">
        <v>5.6432546874093698E-8</v>
      </c>
      <c r="J143">
        <v>4</v>
      </c>
      <c r="K143">
        <v>0.2</v>
      </c>
      <c r="L143">
        <v>10</v>
      </c>
      <c r="M143" s="35">
        <f>J143*D143/K143</f>
        <v>19.971915152399998</v>
      </c>
    </row>
    <row r="144" spans="1:13" x14ac:dyDescent="0.25">
      <c r="A144">
        <v>136</v>
      </c>
    </row>
    <row r="145" spans="1:13" x14ac:dyDescent="0.25">
      <c r="A145">
        <v>137</v>
      </c>
      <c r="B145" s="14">
        <v>41320</v>
      </c>
      <c r="C145" s="2" t="s">
        <v>96</v>
      </c>
      <c r="J145" s="2" t="s">
        <v>54</v>
      </c>
      <c r="K145" s="2" t="s">
        <v>4</v>
      </c>
      <c r="L145" s="2" t="s">
        <v>13</v>
      </c>
      <c r="M145" s="2" t="s">
        <v>166</v>
      </c>
    </row>
    <row r="146" spans="1:13" x14ac:dyDescent="0.25">
      <c r="A146">
        <v>138</v>
      </c>
      <c r="B146" s="10" t="s">
        <v>97</v>
      </c>
      <c r="C146" s="15" t="s">
        <v>98</v>
      </c>
    </row>
    <row r="147" spans="1:13" x14ac:dyDescent="0.25">
      <c r="A147">
        <v>139</v>
      </c>
      <c r="B147" s="10" t="s">
        <v>99</v>
      </c>
      <c r="C147" t="s">
        <v>62</v>
      </c>
      <c r="D147">
        <v>1.011685355</v>
      </c>
      <c r="E147" s="1">
        <v>1.47276436666667E-6</v>
      </c>
      <c r="F147" s="1">
        <v>8.3777067833333297E-7</v>
      </c>
      <c r="G147" s="1">
        <v>1.2371379043499E-5</v>
      </c>
      <c r="H147" s="1">
        <v>5.0014543714125998E-8</v>
      </c>
      <c r="I147" s="1">
        <v>5.98958721992164E-8</v>
      </c>
      <c r="J147">
        <v>4</v>
      </c>
      <c r="K147">
        <v>0.2</v>
      </c>
      <c r="L147">
        <v>10</v>
      </c>
      <c r="M147" s="35">
        <f t="shared" ref="M147:M152" si="11">J147*D147/K147</f>
        <v>20.2337071</v>
      </c>
    </row>
    <row r="148" spans="1:13" x14ac:dyDescent="0.25">
      <c r="A148">
        <v>140</v>
      </c>
      <c r="B148" s="10" t="s">
        <v>100</v>
      </c>
      <c r="C148" t="s">
        <v>91</v>
      </c>
      <c r="D148">
        <v>1.0013689938000001</v>
      </c>
      <c r="E148" s="1">
        <v>2.3617208666666601E-6</v>
      </c>
      <c r="F148" s="1">
        <v>1.07076411666667E-6</v>
      </c>
      <c r="G148" s="1">
        <v>1.1239721754645599E-5</v>
      </c>
      <c r="H148" s="1">
        <v>1.0634892439316099E-7</v>
      </c>
      <c r="I148" s="1">
        <v>7.3185795629250005E-8</v>
      </c>
      <c r="J148">
        <v>4</v>
      </c>
      <c r="K148">
        <v>0.2</v>
      </c>
      <c r="L148">
        <v>10</v>
      </c>
      <c r="M148" s="35">
        <f t="shared" si="11"/>
        <v>20.027379876000001</v>
      </c>
    </row>
    <row r="149" spans="1:13" x14ac:dyDescent="0.25">
      <c r="A149">
        <v>141</v>
      </c>
      <c r="B149" s="10" t="s">
        <v>101</v>
      </c>
      <c r="E149" s="1"/>
      <c r="F149" s="1"/>
      <c r="G149" s="1"/>
      <c r="H149" s="1"/>
      <c r="I149" s="1"/>
      <c r="M149" s="35"/>
    </row>
    <row r="150" spans="1:13" x14ac:dyDescent="0.25">
      <c r="A150">
        <v>142</v>
      </c>
      <c r="B150" s="10"/>
      <c r="C150" t="s">
        <v>62</v>
      </c>
      <c r="D150">
        <v>1.003048202</v>
      </c>
      <c r="E150" s="1">
        <v>1.4625626333333399E-6</v>
      </c>
      <c r="F150" s="1">
        <v>8.7027061833333498E-7</v>
      </c>
      <c r="G150" s="1">
        <v>1.36947618427354E-5</v>
      </c>
      <c r="H150" s="1">
        <v>6.5985459181541596E-8</v>
      </c>
      <c r="I150" s="1">
        <v>7.0293074387068894E-8</v>
      </c>
      <c r="J150">
        <v>4</v>
      </c>
      <c r="K150">
        <v>0.2</v>
      </c>
      <c r="L150">
        <v>10</v>
      </c>
      <c r="M150" s="35">
        <f t="shared" si="11"/>
        <v>20.060964039999998</v>
      </c>
    </row>
    <row r="151" spans="1:13" x14ac:dyDescent="0.25">
      <c r="A151">
        <v>143</v>
      </c>
      <c r="C151" t="s">
        <v>93</v>
      </c>
      <c r="D151">
        <v>1.0150417786000001</v>
      </c>
      <c r="E151" s="1">
        <v>1.4698600666666701E-6</v>
      </c>
      <c r="F151" s="1">
        <v>5.5131847833333301E-7</v>
      </c>
      <c r="G151" s="1">
        <v>5.2717347008347204E-6</v>
      </c>
      <c r="H151" s="1">
        <v>1.4985714426522601E-7</v>
      </c>
      <c r="I151" s="1">
        <v>8.2919495889665093E-8</v>
      </c>
      <c r="J151">
        <v>4</v>
      </c>
      <c r="K151">
        <v>0.2</v>
      </c>
      <c r="L151">
        <v>10</v>
      </c>
      <c r="M151" s="35">
        <f t="shared" si="11"/>
        <v>20.300835572</v>
      </c>
    </row>
    <row r="152" spans="1:13" x14ac:dyDescent="0.25">
      <c r="A152">
        <v>144</v>
      </c>
      <c r="C152" t="s">
        <v>64</v>
      </c>
      <c r="D152">
        <v>1.0508021031999999</v>
      </c>
      <c r="E152" s="1">
        <v>6.4280052500000001E-7</v>
      </c>
      <c r="F152" s="1">
        <v>3.9621259666666598E-7</v>
      </c>
      <c r="G152" s="1">
        <v>3.9442732625482796E-6</v>
      </c>
      <c r="H152" s="1">
        <v>4.7939186471848997E-8</v>
      </c>
      <c r="I152" s="1">
        <v>5.5319842752885597E-8</v>
      </c>
      <c r="J152">
        <v>4</v>
      </c>
      <c r="K152">
        <v>0.2</v>
      </c>
      <c r="L152">
        <v>10</v>
      </c>
      <c r="M152" s="35">
        <f t="shared" si="11"/>
        <v>21.016042063999997</v>
      </c>
    </row>
    <row r="153" spans="1:13" x14ac:dyDescent="0.25">
      <c r="A153">
        <v>145</v>
      </c>
      <c r="G153" s="1"/>
      <c r="H153" s="1"/>
      <c r="I153" s="1"/>
      <c r="M153" s="35"/>
    </row>
    <row r="154" spans="1:13" x14ac:dyDescent="0.25">
      <c r="A154">
        <v>146</v>
      </c>
      <c r="G154" s="1"/>
      <c r="H154" s="1"/>
      <c r="I154" s="1"/>
      <c r="M154" s="35"/>
    </row>
    <row r="155" spans="1:13" x14ac:dyDescent="0.25">
      <c r="A155">
        <v>147</v>
      </c>
      <c r="C155" s="2" t="s">
        <v>102</v>
      </c>
      <c r="H155" t="s">
        <v>30</v>
      </c>
      <c r="I155" t="s">
        <v>31</v>
      </c>
      <c r="J155" t="s">
        <v>32</v>
      </c>
      <c r="L155" t="s">
        <v>33</v>
      </c>
      <c r="M155" t="s">
        <v>165</v>
      </c>
    </row>
    <row r="156" spans="1:13" x14ac:dyDescent="0.25">
      <c r="A156">
        <v>148</v>
      </c>
      <c r="F156" t="s">
        <v>87</v>
      </c>
      <c r="G156" t="s">
        <v>37</v>
      </c>
      <c r="H156" t="s">
        <v>35</v>
      </c>
      <c r="I156" t="s">
        <v>38</v>
      </c>
      <c r="J156" t="s">
        <v>33</v>
      </c>
      <c r="K156" t="s">
        <v>39</v>
      </c>
      <c r="L156" t="s">
        <v>40</v>
      </c>
      <c r="M156" t="s">
        <v>40</v>
      </c>
    </row>
    <row r="157" spans="1:13" x14ac:dyDescent="0.25">
      <c r="A157">
        <v>149</v>
      </c>
      <c r="C157" t="s">
        <v>41</v>
      </c>
      <c r="D157">
        <v>1.00532</v>
      </c>
      <c r="E157">
        <v>0.35792000000000002</v>
      </c>
      <c r="F157">
        <f>E157/D157</f>
        <v>0.35602594198862053</v>
      </c>
      <c r="G157">
        <v>0.2</v>
      </c>
      <c r="H157">
        <f>0.268/G157</f>
        <v>1.34</v>
      </c>
      <c r="I157">
        <f>H157+1</f>
        <v>2.34</v>
      </c>
      <c r="J157">
        <f>F157-K157*I157/20</f>
        <v>0.23902594198862054</v>
      </c>
      <c r="K157">
        <v>1</v>
      </c>
      <c r="L157">
        <f>J157</f>
        <v>0.23902594198862054</v>
      </c>
      <c r="M157" s="37">
        <f>1/L157</f>
        <v>4.1836463091843292</v>
      </c>
    </row>
    <row r="158" spans="1:13" x14ac:dyDescent="0.25">
      <c r="A158">
        <v>150</v>
      </c>
      <c r="C158" t="s">
        <v>42</v>
      </c>
      <c r="D158">
        <v>1.001765</v>
      </c>
      <c r="E158">
        <v>0.73007999999999995</v>
      </c>
      <c r="F158">
        <f>E158/D158</f>
        <v>0.72879367915628912</v>
      </c>
      <c r="G158">
        <v>0.2</v>
      </c>
      <c r="H158">
        <f>0.268/G158</f>
        <v>1.34</v>
      </c>
      <c r="I158">
        <f>H158+1</f>
        <v>2.34</v>
      </c>
      <c r="J158">
        <f>F158-K158*I158/20</f>
        <v>0.49479367915628913</v>
      </c>
      <c r="K158">
        <v>2</v>
      </c>
      <c r="L158">
        <f>J158-J157</f>
        <v>0.2557677371676686</v>
      </c>
      <c r="M158" s="37">
        <f>1/L158</f>
        <v>3.9097972679190955</v>
      </c>
    </row>
    <row r="159" spans="1:13" x14ac:dyDescent="0.25">
      <c r="A159">
        <v>151</v>
      </c>
      <c r="C159" t="s">
        <v>43</v>
      </c>
      <c r="D159">
        <v>1.002885</v>
      </c>
      <c r="E159">
        <v>1.10884</v>
      </c>
      <c r="F159">
        <f>E159/D159</f>
        <v>1.1056501991753791</v>
      </c>
      <c r="G159">
        <v>0.2</v>
      </c>
      <c r="H159">
        <f>0.268/G159</f>
        <v>1.34</v>
      </c>
      <c r="I159">
        <f>H159+1</f>
        <v>2.34</v>
      </c>
      <c r="J159">
        <f>F159-K159*I159/20</f>
        <v>0.75465019917537912</v>
      </c>
      <c r="K159">
        <v>3</v>
      </c>
      <c r="L159">
        <f>J159-J158</f>
        <v>0.25985652001908999</v>
      </c>
      <c r="M159" s="37">
        <f>1/L159</f>
        <v>3.8482775030102627</v>
      </c>
    </row>
    <row r="160" spans="1:13" x14ac:dyDescent="0.25">
      <c r="A160">
        <v>152</v>
      </c>
      <c r="C160" t="s">
        <v>44</v>
      </c>
      <c r="D160">
        <v>1.0013399999999999</v>
      </c>
      <c r="E160">
        <v>1.4712700000000001</v>
      </c>
      <c r="F160">
        <f>E160/D160</f>
        <v>1.4693011364771209</v>
      </c>
      <c r="G160">
        <v>0.2</v>
      </c>
      <c r="H160">
        <f>0.268/G160</f>
        <v>1.34</v>
      </c>
      <c r="I160">
        <f>H160+1</f>
        <v>2.34</v>
      </c>
      <c r="J160">
        <f>F160-K160*I160/20</f>
        <v>1.0013011364771209</v>
      </c>
      <c r="K160">
        <v>4</v>
      </c>
      <c r="L160">
        <f>J160-J159</f>
        <v>0.24665093730174181</v>
      </c>
      <c r="M160" s="37">
        <f>1/L160</f>
        <v>4.0543125882252147</v>
      </c>
    </row>
    <row r="161" spans="1:13" x14ac:dyDescent="0.25">
      <c r="A161">
        <v>153</v>
      </c>
    </row>
    <row r="162" spans="1:13" x14ac:dyDescent="0.25">
      <c r="A162">
        <v>154</v>
      </c>
    </row>
    <row r="163" spans="1:13" x14ac:dyDescent="0.25">
      <c r="A163">
        <v>155</v>
      </c>
      <c r="B163" s="5"/>
      <c r="C163" s="2" t="s">
        <v>103</v>
      </c>
    </row>
    <row r="164" spans="1:13" x14ac:dyDescent="0.25">
      <c r="A164">
        <v>156</v>
      </c>
      <c r="B164" s="16">
        <v>41323</v>
      </c>
      <c r="C164" t="s">
        <v>104</v>
      </c>
      <c r="D164">
        <v>1.1960680354</v>
      </c>
      <c r="E164" s="1">
        <v>-9.8374567666666606E-7</v>
      </c>
      <c r="F164" s="1">
        <v>-1.56161221666667E-6</v>
      </c>
      <c r="G164" s="1">
        <v>3.8106708815205699E-6</v>
      </c>
      <c r="H164" s="1">
        <v>4.0688636322263999E-8</v>
      </c>
      <c r="I164" s="1">
        <v>2.1216666520758099E-8</v>
      </c>
      <c r="K164">
        <v>0.2</v>
      </c>
      <c r="L164">
        <v>10</v>
      </c>
      <c r="M164" s="35">
        <f t="shared" ref="M164:M169" si="12">100*D164/(K164*5)</f>
        <v>119.60680354</v>
      </c>
    </row>
    <row r="165" spans="1:13" x14ac:dyDescent="0.25">
      <c r="A165">
        <v>157</v>
      </c>
      <c r="B165" s="17" t="s">
        <v>105</v>
      </c>
      <c r="C165" s="17"/>
      <c r="D165">
        <v>1.00027461</v>
      </c>
      <c r="E165" s="1">
        <v>-8.7450099166666697E-7</v>
      </c>
      <c r="F165" s="1">
        <v>-1.35873898333333E-6</v>
      </c>
      <c r="G165" s="1">
        <v>5.1117408576711802E-7</v>
      </c>
      <c r="H165" s="1">
        <v>4.0751274713947303E-8</v>
      </c>
      <c r="I165" s="1">
        <v>9.5421023114055099E-8</v>
      </c>
      <c r="K165">
        <v>0.2</v>
      </c>
      <c r="L165">
        <v>10</v>
      </c>
      <c r="M165" s="35">
        <f t="shared" si="12"/>
        <v>100.02746099999999</v>
      </c>
    </row>
    <row r="166" spans="1:13" x14ac:dyDescent="0.25">
      <c r="A166">
        <v>158</v>
      </c>
      <c r="B166" s="17" t="s">
        <v>106</v>
      </c>
      <c r="C166" s="17"/>
      <c r="D166">
        <v>0.60096920089999994</v>
      </c>
      <c r="E166" s="1">
        <v>-6.0035448000000005E-7</v>
      </c>
      <c r="F166" s="1">
        <v>-9.31724183333334E-7</v>
      </c>
      <c r="G166" s="1">
        <v>1.6333634804858401E-6</v>
      </c>
      <c r="H166" s="1">
        <v>6.7839499944228204E-8</v>
      </c>
      <c r="I166" s="1">
        <v>9.8502742105975901E-8</v>
      </c>
      <c r="K166">
        <v>0.2</v>
      </c>
      <c r="L166">
        <v>10</v>
      </c>
      <c r="M166" s="35">
        <f t="shared" si="12"/>
        <v>60.096920089999998</v>
      </c>
    </row>
    <row r="167" spans="1:13" x14ac:dyDescent="0.25">
      <c r="A167">
        <v>159</v>
      </c>
      <c r="B167" s="17" t="s">
        <v>107</v>
      </c>
      <c r="C167" s="17"/>
      <c r="D167">
        <v>0.40018177713999997</v>
      </c>
      <c r="E167" s="1">
        <v>-4.7924224333333301E-7</v>
      </c>
      <c r="F167" s="1">
        <v>-7.3506155999999996E-7</v>
      </c>
      <c r="G167" s="1">
        <v>1.10218046899321E-6</v>
      </c>
      <c r="H167" s="1">
        <v>3.9562851413467702E-8</v>
      </c>
      <c r="I167" s="1">
        <v>4.1964673611380901E-8</v>
      </c>
      <c r="K167">
        <v>0.2</v>
      </c>
      <c r="L167">
        <v>10</v>
      </c>
      <c r="M167" s="35">
        <f t="shared" si="12"/>
        <v>40.018177713999997</v>
      </c>
    </row>
    <row r="168" spans="1:13" x14ac:dyDescent="0.25">
      <c r="A168">
        <v>160</v>
      </c>
      <c r="B168" s="17" t="s">
        <v>108</v>
      </c>
      <c r="C168" s="17"/>
      <c r="D168">
        <v>0.20035957535999999</v>
      </c>
      <c r="E168" s="1">
        <v>-3.3444060510000001E-7</v>
      </c>
      <c r="F168" s="1">
        <v>-4.3099882666666597E-7</v>
      </c>
      <c r="G168" s="1">
        <v>5.3225840029920904E-7</v>
      </c>
      <c r="H168" s="1">
        <v>8.8900146479028494E-8</v>
      </c>
      <c r="I168" s="1">
        <v>9.8837399294379596E-8</v>
      </c>
      <c r="K168">
        <v>0.2</v>
      </c>
      <c r="L168">
        <v>10</v>
      </c>
      <c r="M168" s="35">
        <f t="shared" si="12"/>
        <v>20.035957535999998</v>
      </c>
    </row>
    <row r="169" spans="1:13" x14ac:dyDescent="0.25">
      <c r="A169">
        <v>161</v>
      </c>
      <c r="B169" s="17" t="s">
        <v>109</v>
      </c>
      <c r="C169" s="17"/>
      <c r="D169">
        <v>9.9591476558000006E-2</v>
      </c>
      <c r="E169" s="1">
        <v>-1.7361880033833299E-7</v>
      </c>
      <c r="F169" s="1">
        <v>-2.1578986433333299E-7</v>
      </c>
      <c r="G169" s="1">
        <v>2.18084235820564E-7</v>
      </c>
      <c r="H169" s="1">
        <v>9.5829898930532005E-8</v>
      </c>
      <c r="I169" s="1">
        <v>7.4107877340477898E-8</v>
      </c>
      <c r="K169">
        <v>0.2</v>
      </c>
      <c r="L169">
        <v>10</v>
      </c>
      <c r="M169" s="35">
        <f t="shared" si="12"/>
        <v>9.9591476558000007</v>
      </c>
    </row>
    <row r="170" spans="1:13" x14ac:dyDescent="0.25">
      <c r="A170">
        <v>162</v>
      </c>
      <c r="E170" s="1"/>
      <c r="F170" s="1"/>
      <c r="G170" s="1"/>
      <c r="H170" s="1"/>
      <c r="I170" s="1"/>
      <c r="M170" s="35"/>
    </row>
    <row r="171" spans="1:13" x14ac:dyDescent="0.25">
      <c r="A171">
        <v>163</v>
      </c>
      <c r="C171" s="2" t="s">
        <v>110</v>
      </c>
    </row>
    <row r="172" spans="1:13" x14ac:dyDescent="0.25">
      <c r="A172">
        <v>164</v>
      </c>
      <c r="B172" s="18">
        <v>41323</v>
      </c>
      <c r="C172" t="s">
        <v>104</v>
      </c>
      <c r="D172">
        <v>1.1977587588</v>
      </c>
      <c r="E172" s="1">
        <v>-1.94300883333334E-5</v>
      </c>
      <c r="F172" s="1">
        <v>-2.7810269333333298E-6</v>
      </c>
      <c r="G172" s="1">
        <v>1.6389647102162299E-6</v>
      </c>
      <c r="H172" s="1">
        <v>2.2105454015292899E-8</v>
      </c>
      <c r="I172" s="1">
        <v>1.5601320411925299E-8</v>
      </c>
      <c r="K172">
        <v>0.2</v>
      </c>
      <c r="L172">
        <v>10</v>
      </c>
      <c r="M172" s="35">
        <f t="shared" ref="M172:M177" si="13">100*D172/(K172*5)</f>
        <v>119.77587588</v>
      </c>
    </row>
    <row r="173" spans="1:13" x14ac:dyDescent="0.25">
      <c r="A173">
        <v>165</v>
      </c>
      <c r="D173">
        <v>1.0000905104</v>
      </c>
      <c r="E173" s="1">
        <v>-1.5989592333333301E-5</v>
      </c>
      <c r="F173" s="1">
        <v>-2.0864608666666801E-6</v>
      </c>
      <c r="G173" s="1">
        <v>5.2944218655493797E-7</v>
      </c>
      <c r="H173" s="1">
        <v>4.5519410964505601E-8</v>
      </c>
      <c r="I173" s="1">
        <v>2.34408764536558E-8</v>
      </c>
      <c r="K173">
        <v>0.2</v>
      </c>
      <c r="L173">
        <v>10</v>
      </c>
      <c r="M173" s="35">
        <f t="shared" si="13"/>
        <v>100.00905104</v>
      </c>
    </row>
    <row r="174" spans="1:13" x14ac:dyDescent="0.25">
      <c r="A174">
        <v>166</v>
      </c>
      <c r="D174">
        <v>0.60042712304000001</v>
      </c>
      <c r="E174" s="1">
        <v>-9.8039174999999193E-6</v>
      </c>
      <c r="F174" s="1">
        <v>-1.46305713333333E-6</v>
      </c>
      <c r="G174" s="1">
        <v>1.4031995914410199E-7</v>
      </c>
      <c r="H174" s="1">
        <v>3.2941069403051697E-8</v>
      </c>
      <c r="I174" s="1">
        <v>4.5481358512203203E-8</v>
      </c>
      <c r="K174">
        <v>0.2</v>
      </c>
      <c r="L174">
        <v>10</v>
      </c>
      <c r="M174" s="35">
        <f t="shared" si="13"/>
        <v>60.042712303999998</v>
      </c>
    </row>
    <row r="175" spans="1:13" x14ac:dyDescent="0.25">
      <c r="A175">
        <v>167</v>
      </c>
      <c r="D175">
        <v>0.40053547521999999</v>
      </c>
      <c r="E175" s="1">
        <v>-6.6504547166666697E-6</v>
      </c>
      <c r="F175" s="1">
        <v>-9.9130596999999703E-7</v>
      </c>
      <c r="G175" s="1">
        <v>1.68015564401571E-6</v>
      </c>
      <c r="H175" s="1">
        <v>1.26620795155929E-7</v>
      </c>
      <c r="I175" s="1">
        <v>5.74542075554882E-8</v>
      </c>
      <c r="K175">
        <v>0.2</v>
      </c>
      <c r="L175">
        <v>10</v>
      </c>
      <c r="M175" s="35">
        <f t="shared" si="13"/>
        <v>40.053547522000002</v>
      </c>
    </row>
    <row r="176" spans="1:13" x14ac:dyDescent="0.25">
      <c r="A176">
        <v>168</v>
      </c>
      <c r="D176">
        <v>0.20082145286</v>
      </c>
      <c r="E176" s="1">
        <v>-3.4033486333333301E-6</v>
      </c>
      <c r="F176" s="1">
        <v>-5.7950651999999996E-7</v>
      </c>
      <c r="G176" s="1">
        <v>6.6452787598458395E-7</v>
      </c>
      <c r="H176" s="1">
        <v>1.12864891695627E-7</v>
      </c>
      <c r="I176" s="1">
        <v>1.1417392608697E-7</v>
      </c>
      <c r="K176">
        <v>0.2</v>
      </c>
      <c r="L176">
        <v>10</v>
      </c>
      <c r="M176" s="35">
        <f t="shared" si="13"/>
        <v>20.082145285999999</v>
      </c>
    </row>
    <row r="177" spans="1:13" x14ac:dyDescent="0.25">
      <c r="A177">
        <v>169</v>
      </c>
      <c r="D177">
        <v>0.10008493005999999</v>
      </c>
      <c r="E177" s="1">
        <v>-1.7255858E-6</v>
      </c>
      <c r="F177" s="1">
        <v>-2.9264812499999999E-7</v>
      </c>
      <c r="G177" s="1">
        <v>3.3175617892881203E-7</v>
      </c>
      <c r="H177" s="1">
        <v>6.9694781689114496E-8</v>
      </c>
      <c r="I177" s="1">
        <v>7.4358759966279103E-8</v>
      </c>
      <c r="K177">
        <v>0.2</v>
      </c>
      <c r="L177">
        <v>10</v>
      </c>
      <c r="M177" s="35">
        <f t="shared" si="13"/>
        <v>10.008493006</v>
      </c>
    </row>
    <row r="178" spans="1:13" x14ac:dyDescent="0.25">
      <c r="A178">
        <v>170</v>
      </c>
    </row>
    <row r="179" spans="1:13" x14ac:dyDescent="0.25">
      <c r="A179">
        <v>171</v>
      </c>
      <c r="C179" t="s">
        <v>111</v>
      </c>
      <c r="D179">
        <v>0.40004505672000001</v>
      </c>
      <c r="E179">
        <v>2.2605576833333199E-3</v>
      </c>
      <c r="F179">
        <v>-1.10333791666668E-2</v>
      </c>
      <c r="G179" s="1">
        <v>2.1872560295618001E-7</v>
      </c>
      <c r="H179" s="1">
        <v>6.7774458659873604E-6</v>
      </c>
      <c r="I179" s="1">
        <v>4.2161334766650698E-5</v>
      </c>
      <c r="K179">
        <v>0.2</v>
      </c>
      <c r="L179">
        <v>10</v>
      </c>
      <c r="M179" s="35">
        <f>100*D179/(K179*5)</f>
        <v>40.004505672000001</v>
      </c>
    </row>
    <row r="180" spans="1:13" x14ac:dyDescent="0.25">
      <c r="A180">
        <v>172</v>
      </c>
    </row>
    <row r="181" spans="1:13" x14ac:dyDescent="0.25">
      <c r="A181">
        <v>173</v>
      </c>
      <c r="G181" s="19" t="s">
        <v>112</v>
      </c>
      <c r="H181" s="20">
        <v>0.26800000000000002</v>
      </c>
      <c r="I181" s="19" t="s">
        <v>113</v>
      </c>
    </row>
    <row r="182" spans="1:13" x14ac:dyDescent="0.25">
      <c r="A182">
        <v>174</v>
      </c>
      <c r="B182" s="18">
        <v>41323</v>
      </c>
      <c r="C182" s="2" t="s">
        <v>114</v>
      </c>
      <c r="D182" s="8"/>
      <c r="E182" s="21" t="s">
        <v>115</v>
      </c>
      <c r="F182" s="22"/>
      <c r="G182" s="22"/>
      <c r="H182" s="22"/>
      <c r="I182" s="22"/>
      <c r="J182" s="8"/>
      <c r="K182" s="8"/>
      <c r="L182" t="s">
        <v>116</v>
      </c>
      <c r="M182" t="s">
        <v>167</v>
      </c>
    </row>
    <row r="183" spans="1:13" x14ac:dyDescent="0.25">
      <c r="A183">
        <v>175</v>
      </c>
      <c r="C183" t="s">
        <v>117</v>
      </c>
      <c r="D183">
        <v>0.500861</v>
      </c>
      <c r="E183" s="1">
        <v>7.5539999999999996E-2</v>
      </c>
      <c r="F183">
        <f>E183/D183</f>
        <v>0.1508202874649853</v>
      </c>
      <c r="G183">
        <v>0.2</v>
      </c>
      <c r="H183">
        <f>H$181/G183</f>
        <v>1.34</v>
      </c>
      <c r="I183">
        <f>H183+1</f>
        <v>2.34</v>
      </c>
      <c r="J183">
        <f>F183-I183/100</f>
        <v>0.12742028746498529</v>
      </c>
      <c r="K183">
        <v>1</v>
      </c>
      <c r="L183" s="23" t="e">
        <f>1/$S$182*($S$183*E183/D183-1/($S$185*$S$182)*($S$183+$S$184))</f>
        <v>#DIV/0!</v>
      </c>
      <c r="M183" s="37" t="e">
        <f>1/L183</f>
        <v>#DIV/0!</v>
      </c>
    </row>
    <row r="184" spans="1:13" x14ac:dyDescent="0.25">
      <c r="A184">
        <v>176</v>
      </c>
      <c r="C184" t="s">
        <v>118</v>
      </c>
      <c r="D184">
        <v>0.50062950000000006</v>
      </c>
      <c r="E184">
        <v>7.5111999999999998E-2</v>
      </c>
      <c r="F184">
        <f>E184/D184</f>
        <v>0.15003510580179552</v>
      </c>
      <c r="G184">
        <v>0.2</v>
      </c>
      <c r="H184">
        <f>H$181/G184</f>
        <v>1.34</v>
      </c>
      <c r="I184">
        <f>H184+1</f>
        <v>2.34</v>
      </c>
      <c r="J184">
        <f>F184-I184/100</f>
        <v>0.12663510580179552</v>
      </c>
      <c r="K184">
        <v>2</v>
      </c>
      <c r="L184" s="23" t="e">
        <f>1/$S$182*($S$183*E184/D184-1/($S$185*$S$182)*($S$183+$S$184))</f>
        <v>#DIV/0!</v>
      </c>
      <c r="M184" s="37" t="e">
        <f>1/L184</f>
        <v>#DIV/0!</v>
      </c>
    </row>
    <row r="185" spans="1:13" x14ac:dyDescent="0.25">
      <c r="A185">
        <v>177</v>
      </c>
      <c r="C185" t="s">
        <v>119</v>
      </c>
      <c r="D185">
        <v>0.50116499999999997</v>
      </c>
      <c r="E185" s="1">
        <v>8.1626000000000004E-2</v>
      </c>
      <c r="F185">
        <f>E185/D185</f>
        <v>0.16287250705855358</v>
      </c>
      <c r="G185">
        <v>0.2</v>
      </c>
      <c r="H185">
        <f>H$181/G185</f>
        <v>1.34</v>
      </c>
      <c r="I185">
        <f>H185+1</f>
        <v>2.34</v>
      </c>
      <c r="J185">
        <f>F185-I185/100</f>
        <v>0.13947250705855357</v>
      </c>
      <c r="K185">
        <v>3</v>
      </c>
      <c r="L185" s="23" t="e">
        <f>1/$S$182*($S$183*E185/D185-1/($S$185*$S$182)*($S$183+$S$184))</f>
        <v>#DIV/0!</v>
      </c>
      <c r="M185" s="37" t="e">
        <f>1/L185</f>
        <v>#DIV/0!</v>
      </c>
    </row>
    <row r="186" spans="1:13" x14ac:dyDescent="0.25">
      <c r="A186">
        <v>178</v>
      </c>
      <c r="C186" t="s">
        <v>120</v>
      </c>
      <c r="D186">
        <v>0.50107400000000002</v>
      </c>
      <c r="E186" s="1">
        <v>9.8595000000000002E-2</v>
      </c>
      <c r="F186">
        <f>E186/D186</f>
        <v>0.19676734374563437</v>
      </c>
      <c r="G186">
        <v>0.2</v>
      </c>
      <c r="H186">
        <f>H$181/G186</f>
        <v>1.34</v>
      </c>
      <c r="I186">
        <f>H186+1</f>
        <v>2.34</v>
      </c>
      <c r="J186">
        <f>F186-I186/100</f>
        <v>0.17336734374563437</v>
      </c>
      <c r="K186">
        <v>4</v>
      </c>
      <c r="L186" s="23" t="e">
        <f>1/$S$182*($S$183*E186/D186-1/($S$185*$S$182)*($S$183+$S$184))</f>
        <v>#DIV/0!</v>
      </c>
      <c r="M186" s="37" t="e">
        <f>1/L186</f>
        <v>#DIV/0!</v>
      </c>
    </row>
    <row r="187" spans="1:13" x14ac:dyDescent="0.25">
      <c r="A187">
        <v>179</v>
      </c>
      <c r="C187" t="s">
        <v>121</v>
      </c>
      <c r="D187">
        <v>0.49979000000000001</v>
      </c>
      <c r="E187" s="1">
        <v>7.4319999999999997E-2</v>
      </c>
      <c r="F187">
        <f>E187/D187</f>
        <v>0.14870245503111307</v>
      </c>
      <c r="G187">
        <v>0.2</v>
      </c>
      <c r="H187">
        <f>H$181/G187</f>
        <v>1.34</v>
      </c>
      <c r="I187">
        <f>H187+1</f>
        <v>2.34</v>
      </c>
      <c r="J187">
        <f>F187-I187/100</f>
        <v>0.12530245503111306</v>
      </c>
      <c r="K187">
        <v>5</v>
      </c>
      <c r="L187" s="23" t="e">
        <f>1/$S$182*($S$183*E187/D187-1/($S$185*$S$182)*($S$183+$S$184))</f>
        <v>#DIV/0!</v>
      </c>
      <c r="M187" s="37" t="e">
        <f>1/L187</f>
        <v>#DIV/0!</v>
      </c>
    </row>
    <row r="188" spans="1:13" x14ac:dyDescent="0.25">
      <c r="A188">
        <v>180</v>
      </c>
      <c r="E188" s="1"/>
      <c r="L188" s="24"/>
      <c r="M188" s="37"/>
    </row>
    <row r="189" spans="1:13" x14ac:dyDescent="0.25">
      <c r="A189">
        <v>181</v>
      </c>
      <c r="B189" s="18">
        <v>41324</v>
      </c>
      <c r="C189" s="2" t="s">
        <v>114</v>
      </c>
      <c r="D189" s="8"/>
      <c r="E189" s="21" t="s">
        <v>115</v>
      </c>
      <c r="F189" s="22"/>
      <c r="G189" s="22"/>
      <c r="H189" s="22"/>
      <c r="I189" s="22"/>
      <c r="J189" s="8"/>
      <c r="K189" s="8"/>
      <c r="L189" t="s">
        <v>116</v>
      </c>
      <c r="M189" t="s">
        <v>167</v>
      </c>
    </row>
    <row r="190" spans="1:13" x14ac:dyDescent="0.25">
      <c r="A190">
        <v>182</v>
      </c>
      <c r="B190" s="25" t="s">
        <v>122</v>
      </c>
      <c r="C190" t="s">
        <v>117</v>
      </c>
      <c r="D190">
        <v>0.50169299999999994</v>
      </c>
      <c r="E190" s="1">
        <v>6.7930000000000004E-2</v>
      </c>
      <c r="F190">
        <f>E190/D190</f>
        <v>0.13540153041800465</v>
      </c>
      <c r="G190">
        <v>0.2</v>
      </c>
      <c r="H190">
        <f>H$181/G190</f>
        <v>1.34</v>
      </c>
      <c r="I190">
        <f>H190+1</f>
        <v>2.34</v>
      </c>
      <c r="J190">
        <f>F190-I190/100</f>
        <v>0.11200153041800465</v>
      </c>
      <c r="K190">
        <v>1</v>
      </c>
      <c r="L190" s="23" t="e">
        <f>1/$S$182*($S$183*E190/D190-1/($S$185*$S$182)*($S$183+$S$184))</f>
        <v>#DIV/0!</v>
      </c>
      <c r="M190" s="37" t="e">
        <f>1/L190</f>
        <v>#DIV/0!</v>
      </c>
    </row>
    <row r="191" spans="1:13" x14ac:dyDescent="0.25">
      <c r="A191">
        <v>183</v>
      </c>
      <c r="B191" s="25" t="s">
        <v>123</v>
      </c>
      <c r="C191" t="s">
        <v>118</v>
      </c>
      <c r="D191">
        <v>0.50152350000000001</v>
      </c>
      <c r="E191">
        <v>7.1811E-2</v>
      </c>
      <c r="F191">
        <f>E191/D191</f>
        <v>0.14318571313208653</v>
      </c>
      <c r="G191">
        <v>0.2</v>
      </c>
      <c r="H191">
        <f>H$181/G191</f>
        <v>1.34</v>
      </c>
      <c r="I191">
        <f>H191+1</f>
        <v>2.34</v>
      </c>
      <c r="J191">
        <f>F191-I191/100</f>
        <v>0.11978571313208652</v>
      </c>
      <c r="K191">
        <v>2</v>
      </c>
      <c r="L191" s="23" t="e">
        <f>1/$S$182*($S$183*E191/D191-1/($S$185*$S$182)*($S$183+$S$184))</f>
        <v>#DIV/0!</v>
      </c>
      <c r="M191" s="37" t="e">
        <f>1/L191</f>
        <v>#DIV/0!</v>
      </c>
    </row>
    <row r="192" spans="1:13" x14ac:dyDescent="0.25">
      <c r="A192">
        <v>184</v>
      </c>
      <c r="B192" s="25" t="s">
        <v>124</v>
      </c>
      <c r="C192" t="s">
        <v>119</v>
      </c>
      <c r="D192">
        <v>0.50126300000000001</v>
      </c>
      <c r="E192" s="1">
        <v>7.5062000000000004E-2</v>
      </c>
      <c r="F192">
        <f>E192/D192</f>
        <v>0.14974574225506371</v>
      </c>
      <c r="G192">
        <v>0.2</v>
      </c>
      <c r="H192">
        <f>H$181/G192</f>
        <v>1.34</v>
      </c>
      <c r="I192">
        <f>H192+1</f>
        <v>2.34</v>
      </c>
      <c r="J192">
        <f>F192-I192/100</f>
        <v>0.1263457422550637</v>
      </c>
      <c r="K192">
        <v>3</v>
      </c>
      <c r="L192" s="23" t="e">
        <f>1/$S$182*($S$183*E192/D192-1/($S$185*$S$182)*($S$183+$S$184))</f>
        <v>#DIV/0!</v>
      </c>
      <c r="M192" s="37" t="e">
        <f>1/L192</f>
        <v>#DIV/0!</v>
      </c>
    </row>
    <row r="193" spans="1:13" x14ac:dyDescent="0.25">
      <c r="A193">
        <v>185</v>
      </c>
      <c r="C193" t="s">
        <v>120</v>
      </c>
      <c r="D193">
        <v>0.50156900000000004</v>
      </c>
      <c r="E193" s="1">
        <v>8.4796999999999997E-2</v>
      </c>
      <c r="F193">
        <f>E193/D193</f>
        <v>0.16906347880351455</v>
      </c>
      <c r="G193">
        <v>0.2</v>
      </c>
      <c r="H193">
        <f>H$181/G193</f>
        <v>1.34</v>
      </c>
      <c r="I193">
        <f>H193+1</f>
        <v>2.34</v>
      </c>
      <c r="J193">
        <f>F193-I193/100</f>
        <v>0.14566347880351455</v>
      </c>
      <c r="K193">
        <v>4</v>
      </c>
      <c r="L193" s="23" t="e">
        <f>1/$S$182*($S$183*E193/D193-1/($S$185*$S$182)*($S$183+$S$184))</f>
        <v>#DIV/0!</v>
      </c>
      <c r="M193" s="37" t="e">
        <f>1/L193</f>
        <v>#DIV/0!</v>
      </c>
    </row>
    <row r="194" spans="1:13" x14ac:dyDescent="0.25">
      <c r="A194">
        <v>186</v>
      </c>
      <c r="C194" t="s">
        <v>121</v>
      </c>
      <c r="D194">
        <v>0.50091100000000011</v>
      </c>
      <c r="E194" s="1">
        <v>6.9577E-2</v>
      </c>
      <c r="F194">
        <f>E194/D194</f>
        <v>0.13890092251917005</v>
      </c>
      <c r="G194">
        <v>0.2</v>
      </c>
      <c r="H194">
        <f>H$181/G194</f>
        <v>1.34</v>
      </c>
      <c r="I194">
        <f>H194+1</f>
        <v>2.34</v>
      </c>
      <c r="J194">
        <f>F194-I194/100</f>
        <v>0.11550092251917005</v>
      </c>
      <c r="K194">
        <v>5</v>
      </c>
      <c r="L194" s="23" t="e">
        <f>1/$S$182*($S$183*E194/D194-1/($S$185*$S$182)*($S$183+$S$184))</f>
        <v>#DIV/0!</v>
      </c>
      <c r="M194" s="37" t="e">
        <f>1/L194</f>
        <v>#DIV/0!</v>
      </c>
    </row>
    <row r="195" spans="1:13" x14ac:dyDescent="0.25">
      <c r="A195">
        <v>187</v>
      </c>
      <c r="E195" s="1"/>
      <c r="F195" s="1"/>
      <c r="G195" s="1"/>
      <c r="H195" s="1"/>
      <c r="I195" s="1"/>
      <c r="L195" s="26"/>
      <c r="M195" s="26"/>
    </row>
    <row r="196" spans="1:13" x14ac:dyDescent="0.25">
      <c r="A196">
        <v>188</v>
      </c>
      <c r="E196" s="1"/>
      <c r="F196" s="1"/>
      <c r="G196" s="1"/>
      <c r="H196" s="1"/>
      <c r="I196" s="1"/>
      <c r="L196" s="26"/>
      <c r="M196" t="s">
        <v>168</v>
      </c>
    </row>
    <row r="197" spans="1:13" x14ac:dyDescent="0.25">
      <c r="A197">
        <v>189</v>
      </c>
      <c r="B197" s="18">
        <v>41324</v>
      </c>
      <c r="C197" s="2" t="s">
        <v>125</v>
      </c>
      <c r="J197" t="s">
        <v>54</v>
      </c>
      <c r="K197" t="s">
        <v>4</v>
      </c>
      <c r="L197" t="s">
        <v>126</v>
      </c>
      <c r="M197" t="s">
        <v>169</v>
      </c>
    </row>
    <row r="198" spans="1:13" x14ac:dyDescent="0.25">
      <c r="A198">
        <v>190</v>
      </c>
      <c r="C198" t="s">
        <v>62</v>
      </c>
      <c r="D198">
        <v>1.0047759216000001</v>
      </c>
      <c r="E198" s="1">
        <v>-3.7006530833333299E-7</v>
      </c>
      <c r="F198" s="1">
        <v>8.2526931000000002E-7</v>
      </c>
      <c r="G198" s="1">
        <v>2.62435693897442E-6</v>
      </c>
      <c r="H198" s="1">
        <v>9.5783384549287097E-8</v>
      </c>
      <c r="I198" s="1">
        <v>5.7684786153808102E-8</v>
      </c>
      <c r="J198">
        <v>20</v>
      </c>
      <c r="K198">
        <v>0.2</v>
      </c>
      <c r="L198">
        <v>10</v>
      </c>
      <c r="M198">
        <f>J198*0.5*(D198+D199)/K198</f>
        <v>100.44025016999998</v>
      </c>
    </row>
    <row r="199" spans="1:13" x14ac:dyDescent="0.25">
      <c r="A199">
        <v>191</v>
      </c>
      <c r="C199" t="s">
        <v>127</v>
      </c>
      <c r="D199">
        <v>1.0040290817999999</v>
      </c>
      <c r="E199" s="1">
        <v>4.91942841666667E-7</v>
      </c>
      <c r="F199" s="1">
        <v>-1.08262061666667E-6</v>
      </c>
      <c r="G199" s="1">
        <v>4.4566171204600203E-6</v>
      </c>
      <c r="H199" s="1">
        <v>9.1803162642307304E-8</v>
      </c>
      <c r="I199" s="1">
        <v>7.6509359932362099E-8</v>
      </c>
    </row>
    <row r="200" spans="1:13" x14ac:dyDescent="0.25">
      <c r="A200">
        <v>192</v>
      </c>
      <c r="C200" t="s">
        <v>93</v>
      </c>
      <c r="D200">
        <v>1.0023540230000001</v>
      </c>
      <c r="E200" s="1">
        <v>2.37451935E-7</v>
      </c>
      <c r="F200" s="1">
        <v>-9.6895934999999903E-7</v>
      </c>
      <c r="G200" s="1">
        <v>8.2035169621312897E-7</v>
      </c>
      <c r="H200" s="1">
        <v>4.33923418682849E-8</v>
      </c>
      <c r="I200" s="1">
        <v>2.0131845842780999E-8</v>
      </c>
      <c r="J200">
        <v>20</v>
      </c>
      <c r="K200">
        <v>0.2</v>
      </c>
      <c r="L200">
        <v>10</v>
      </c>
      <c r="M200">
        <f>J200*0.5*(D200+D201)/K200</f>
        <v>100.18509829000003</v>
      </c>
    </row>
    <row r="201" spans="1:13" x14ac:dyDescent="0.25">
      <c r="A201">
        <v>193</v>
      </c>
      <c r="C201" t="s">
        <v>128</v>
      </c>
      <c r="D201">
        <v>1.0013479428000001</v>
      </c>
      <c r="E201" s="1">
        <v>-1.69326749E-6</v>
      </c>
      <c r="F201" s="1">
        <v>6.1310787333333402E-7</v>
      </c>
      <c r="G201" s="1">
        <v>3.1634235656222599E-6</v>
      </c>
      <c r="H201" s="1">
        <v>8.8169871724755797E-8</v>
      </c>
      <c r="I201" s="1">
        <v>2.8832736005750301E-8</v>
      </c>
    </row>
    <row r="202" spans="1:13" x14ac:dyDescent="0.25">
      <c r="A202">
        <v>194</v>
      </c>
      <c r="C202" t="s">
        <v>64</v>
      </c>
      <c r="D202">
        <v>1.0009566714</v>
      </c>
      <c r="E202" s="1">
        <v>-1.05866580333333E-6</v>
      </c>
      <c r="F202" s="1">
        <v>-1.1270505E-6</v>
      </c>
      <c r="G202" s="1">
        <v>2.1940165952213101E-6</v>
      </c>
      <c r="H202" s="1">
        <v>5.2933843902031699E-8</v>
      </c>
      <c r="I202" s="1">
        <v>2.3926296601926001E-8</v>
      </c>
      <c r="J202">
        <v>20</v>
      </c>
      <c r="K202">
        <v>0.2</v>
      </c>
      <c r="L202">
        <v>10</v>
      </c>
      <c r="M202">
        <f>J202*0.5*(D202+D203)/K202</f>
        <v>99.966279771999993</v>
      </c>
    </row>
    <row r="203" spans="1:13" x14ac:dyDescent="0.25">
      <c r="A203">
        <v>195</v>
      </c>
      <c r="C203" t="s">
        <v>129</v>
      </c>
      <c r="D203">
        <v>0.99836892403999999</v>
      </c>
      <c r="E203" s="1">
        <v>-5.0579395499999998E-7</v>
      </c>
      <c r="F203" s="1">
        <v>1.0867244250000001E-6</v>
      </c>
      <c r="G203" s="1">
        <v>4.5449558339381397E-6</v>
      </c>
      <c r="H203" s="1">
        <v>5.6447369153778803E-8</v>
      </c>
      <c r="I203" s="1">
        <v>3.4051252934770101E-8</v>
      </c>
    </row>
    <row r="204" spans="1:13" x14ac:dyDescent="0.25">
      <c r="A204">
        <v>196</v>
      </c>
      <c r="C204" t="s">
        <v>94</v>
      </c>
      <c r="D204">
        <v>1.0064976083999999</v>
      </c>
      <c r="E204" s="1">
        <v>-1.7321911333333299E-6</v>
      </c>
      <c r="F204" s="1">
        <v>9.8664448749999897E-9</v>
      </c>
      <c r="G204" s="1">
        <v>2.7798490150772101E-6</v>
      </c>
      <c r="H204" s="1">
        <v>5.5889092523039597E-8</v>
      </c>
      <c r="I204" s="1">
        <v>2.16994766368591E-8</v>
      </c>
      <c r="J204">
        <v>20</v>
      </c>
      <c r="K204">
        <v>0.2</v>
      </c>
      <c r="L204">
        <v>10</v>
      </c>
      <c r="M204">
        <f>J204*0.5*(D204+D205)/K204</f>
        <v>100.39234090000001</v>
      </c>
    </row>
    <row r="205" spans="1:13" x14ac:dyDescent="0.25">
      <c r="A205">
        <v>197</v>
      </c>
      <c r="C205" t="s">
        <v>130</v>
      </c>
      <c r="D205">
        <v>1.0013492096000001</v>
      </c>
      <c r="E205" s="1">
        <v>-2.7340835000000001E-6</v>
      </c>
      <c r="F205" s="1">
        <v>-3.47486320083333E-7</v>
      </c>
      <c r="G205" s="1">
        <v>7.9226286037187395E-6</v>
      </c>
      <c r="H205" s="1">
        <v>5.8788756042999799E-8</v>
      </c>
      <c r="I205" s="1">
        <v>8.7845857999968798E-8</v>
      </c>
      <c r="M205" s="39"/>
    </row>
    <row r="206" spans="1:13" x14ac:dyDescent="0.25">
      <c r="A206">
        <v>198</v>
      </c>
      <c r="C206" t="s">
        <v>65</v>
      </c>
      <c r="D206">
        <v>1.0085811978000001</v>
      </c>
      <c r="E206" s="1">
        <v>3.5286682833333303E-7</v>
      </c>
      <c r="F206" s="1">
        <v>-4.1159463833333302E-7</v>
      </c>
      <c r="G206" s="1">
        <v>2.7937468886099E-6</v>
      </c>
      <c r="H206" s="1">
        <v>1.32155127920835E-7</v>
      </c>
      <c r="I206" s="1">
        <v>9.0253377291845307E-8</v>
      </c>
      <c r="J206">
        <v>20</v>
      </c>
      <c r="K206">
        <v>0.2</v>
      </c>
      <c r="L206">
        <v>10</v>
      </c>
      <c r="M206">
        <f>J206*0.5*(D206+D207)/K206</f>
        <v>100.71571074000001</v>
      </c>
    </row>
    <row r="207" spans="1:13" x14ac:dyDescent="0.25">
      <c r="A207">
        <v>199</v>
      </c>
      <c r="C207" t="s">
        <v>131</v>
      </c>
      <c r="D207">
        <v>1.0057330170000001</v>
      </c>
      <c r="E207" s="1">
        <v>4.5718839166666699E-7</v>
      </c>
      <c r="F207" s="1">
        <v>4.18004486666667E-7</v>
      </c>
      <c r="G207" s="1">
        <v>6.9556739788376499E-6</v>
      </c>
      <c r="H207" s="1">
        <v>4.3130423517106E-8</v>
      </c>
      <c r="I207" s="1">
        <v>3.2881942357366202E-8</v>
      </c>
      <c r="M207" s="39"/>
    </row>
    <row r="208" spans="1:13" x14ac:dyDescent="0.25">
      <c r="A208">
        <v>200</v>
      </c>
      <c r="C208" t="s">
        <v>66</v>
      </c>
      <c r="D208">
        <v>1.0022646799999999</v>
      </c>
      <c r="E208" s="1">
        <v>-1.5550671516666701E-6</v>
      </c>
      <c r="F208" s="1">
        <v>-1.0697562516666699E-6</v>
      </c>
      <c r="G208" s="1">
        <v>4.4148378727331602E-6</v>
      </c>
      <c r="H208" s="1">
        <v>8.7347796843167999E-8</v>
      </c>
      <c r="I208" s="1">
        <v>3.9840774522696402E-8</v>
      </c>
      <c r="J208">
        <v>20</v>
      </c>
      <c r="K208">
        <v>0.2</v>
      </c>
      <c r="L208">
        <v>10</v>
      </c>
      <c r="M208">
        <f>J208*0.5*(D208+D209)/K208</f>
        <v>100.22354222</v>
      </c>
    </row>
    <row r="209" spans="1:13" x14ac:dyDescent="0.25">
      <c r="A209">
        <v>201</v>
      </c>
      <c r="C209" t="s">
        <v>132</v>
      </c>
      <c r="D209">
        <v>1.0022061644</v>
      </c>
      <c r="E209" s="1">
        <v>-3.3873684833333301E-7</v>
      </c>
      <c r="F209" s="1">
        <v>8.7565766499999904E-7</v>
      </c>
      <c r="G209" s="1">
        <v>5.6907750070780501E-6</v>
      </c>
      <c r="H209" s="1">
        <v>8.5788006176108296E-8</v>
      </c>
      <c r="I209" s="1">
        <v>2.4099045701910601E-8</v>
      </c>
      <c r="L209" s="26"/>
      <c r="M209" s="26"/>
    </row>
    <row r="210" spans="1:13" x14ac:dyDescent="0.25">
      <c r="A210">
        <v>202</v>
      </c>
      <c r="C210" t="s">
        <v>133</v>
      </c>
      <c r="D210">
        <v>1.0018331864000001</v>
      </c>
      <c r="E210" s="1">
        <v>4.13070297E-7</v>
      </c>
      <c r="F210" s="1">
        <v>1.0921553333333301E-6</v>
      </c>
      <c r="G210" s="1">
        <v>2.8559040816847202E-6</v>
      </c>
      <c r="H210" s="1">
        <v>6.6976491580010706E-8</v>
      </c>
      <c r="I210" s="1">
        <v>9.82982988436539E-11</v>
      </c>
      <c r="J210">
        <v>20</v>
      </c>
      <c r="K210">
        <v>0.2</v>
      </c>
      <c r="L210">
        <v>10</v>
      </c>
      <c r="M210">
        <f>J210*0.5*(D210+D211)/K210</f>
        <v>100.02766844000001</v>
      </c>
    </row>
    <row r="211" spans="1:13" x14ac:dyDescent="0.25">
      <c r="A211">
        <v>203</v>
      </c>
      <c r="C211" t="s">
        <v>134</v>
      </c>
      <c r="D211">
        <v>0.99872018240000004</v>
      </c>
      <c r="E211" s="1">
        <v>9.35063745000001E-7</v>
      </c>
      <c r="F211" s="1">
        <v>-1.1307105E-6</v>
      </c>
      <c r="G211" s="1">
        <v>5.2781314175000097E-6</v>
      </c>
      <c r="H211" s="1">
        <v>9.0526105636735204E-8</v>
      </c>
      <c r="I211" s="1">
        <v>9.6454487407705999E-8</v>
      </c>
    </row>
    <row r="212" spans="1:13" x14ac:dyDescent="0.25">
      <c r="A212">
        <v>204</v>
      </c>
      <c r="C212" t="s">
        <v>67</v>
      </c>
      <c r="D212">
        <v>1.0027039648</v>
      </c>
      <c r="E212" s="1">
        <v>-1.8556212250000001E-6</v>
      </c>
      <c r="F212" s="1">
        <v>-6.9513231000000002E-7</v>
      </c>
      <c r="G212" s="1">
        <v>3.2238685950103201E-6</v>
      </c>
      <c r="H212" s="1">
        <v>1.2002362670619401E-7</v>
      </c>
      <c r="I212" s="1">
        <v>3.1612049347317401E-8</v>
      </c>
      <c r="J212">
        <v>20</v>
      </c>
      <c r="K212">
        <v>0.2</v>
      </c>
      <c r="L212">
        <v>10</v>
      </c>
      <c r="M212">
        <f>J212*0.5*(D212+D213)/K212</f>
        <v>100.38494428999999</v>
      </c>
    </row>
    <row r="213" spans="1:13" x14ac:dyDescent="0.25">
      <c r="A213">
        <v>205</v>
      </c>
      <c r="C213" t="s">
        <v>135</v>
      </c>
      <c r="D213">
        <v>1.004994921</v>
      </c>
      <c r="E213" s="1">
        <v>-2.50324185E-6</v>
      </c>
      <c r="F213" s="1">
        <v>2.6466120770000102E-7</v>
      </c>
      <c r="G213" s="1">
        <v>1.08816651657659E-5</v>
      </c>
      <c r="H213" s="1">
        <v>1.3691387163618899E-7</v>
      </c>
      <c r="I213" s="1">
        <v>1.63773378468649E-7</v>
      </c>
      <c r="L213" s="26"/>
      <c r="M213" s="26"/>
    </row>
    <row r="214" spans="1:13" x14ac:dyDescent="0.25">
      <c r="A214">
        <v>206</v>
      </c>
      <c r="C214" t="s">
        <v>136</v>
      </c>
      <c r="D214">
        <v>1.0060139960000001</v>
      </c>
      <c r="E214" s="1">
        <v>7.4171158399999994E-8</v>
      </c>
      <c r="F214" s="1">
        <v>1.2320428666666701E-6</v>
      </c>
      <c r="G214" s="1">
        <v>3.3850170951883099E-6</v>
      </c>
      <c r="H214" s="1">
        <v>1.2938618981515101E-7</v>
      </c>
      <c r="I214" s="1">
        <v>5.96320138805397E-8</v>
      </c>
      <c r="J214">
        <v>20</v>
      </c>
      <c r="K214">
        <v>0.2</v>
      </c>
      <c r="L214">
        <v>10</v>
      </c>
      <c r="M214">
        <f>J214*0.5*(D214+D215)/K214</f>
        <v>100.43674593999999</v>
      </c>
    </row>
    <row r="215" spans="1:13" x14ac:dyDescent="0.25">
      <c r="A215">
        <v>207</v>
      </c>
      <c r="C215" t="s">
        <v>137</v>
      </c>
      <c r="D215">
        <v>1.0027209228</v>
      </c>
      <c r="E215" s="1">
        <v>-6.3063973833333297E-7</v>
      </c>
      <c r="F215" s="1">
        <v>-1.3869114000000001E-6</v>
      </c>
      <c r="G215" s="1">
        <v>5.3386539332576902E-6</v>
      </c>
      <c r="H215" s="1">
        <v>1.079617798186E-7</v>
      </c>
      <c r="I215" s="1">
        <v>8.3580069586235695E-8</v>
      </c>
      <c r="L215" s="26"/>
      <c r="M215" s="26"/>
    </row>
    <row r="216" spans="1:13" x14ac:dyDescent="0.25">
      <c r="A216">
        <v>208</v>
      </c>
      <c r="C216" t="s">
        <v>138</v>
      </c>
      <c r="D216">
        <v>1.0026240174000001</v>
      </c>
      <c r="E216" s="1">
        <v>-1.3664006233333299E-6</v>
      </c>
      <c r="F216" s="1">
        <v>1.1572996499999999E-6</v>
      </c>
      <c r="G216" s="1">
        <v>3.5777380335883299E-6</v>
      </c>
      <c r="H216" s="1">
        <v>4.8143814339311702E-8</v>
      </c>
      <c r="I216" s="1">
        <v>3.6469488430433203E-8</v>
      </c>
      <c r="J216">
        <v>20</v>
      </c>
      <c r="K216">
        <v>0.2</v>
      </c>
      <c r="L216">
        <v>10</v>
      </c>
      <c r="M216">
        <f>J216*0.5*(D216+D217)/K216</f>
        <v>100.17347633999999</v>
      </c>
    </row>
    <row r="217" spans="1:13" x14ac:dyDescent="0.25">
      <c r="A217">
        <v>209</v>
      </c>
      <c r="C217" t="s">
        <v>139</v>
      </c>
      <c r="D217">
        <v>1.0008455093999999</v>
      </c>
      <c r="E217" s="1">
        <v>-4.2348939333333301E-6</v>
      </c>
      <c r="F217" s="1">
        <v>-1.9412346999999998E-6</v>
      </c>
      <c r="G217" s="1">
        <v>4.7735124278820302E-6</v>
      </c>
      <c r="H217" s="1">
        <v>1.26655601342889E-7</v>
      </c>
      <c r="I217" s="1">
        <v>5.8906880146351902E-8</v>
      </c>
      <c r="L217" s="26"/>
      <c r="M217" s="26"/>
    </row>
    <row r="218" spans="1:13" x14ac:dyDescent="0.25">
      <c r="A218">
        <v>210</v>
      </c>
      <c r="E218" s="1"/>
      <c r="F218" s="1"/>
      <c r="G218" s="1"/>
      <c r="H218" s="1"/>
      <c r="I218" s="1"/>
      <c r="L218" s="26"/>
      <c r="M218" s="26"/>
    </row>
    <row r="219" spans="1:13" x14ac:dyDescent="0.25">
      <c r="A219">
        <v>211</v>
      </c>
      <c r="E219" s="1"/>
      <c r="F219" s="1"/>
      <c r="G219" s="1"/>
      <c r="H219" s="1"/>
      <c r="I219" s="1"/>
      <c r="L219" s="26"/>
      <c r="M219" s="26"/>
    </row>
    <row r="220" spans="1:13" x14ac:dyDescent="0.25">
      <c r="A220">
        <v>212</v>
      </c>
      <c r="E220" s="1"/>
      <c r="H220" t="s">
        <v>30</v>
      </c>
      <c r="I220" t="s">
        <v>31</v>
      </c>
      <c r="J220" t="s">
        <v>32</v>
      </c>
      <c r="L220" t="s">
        <v>33</v>
      </c>
      <c r="M220" t="s">
        <v>165</v>
      </c>
    </row>
    <row r="221" spans="1:13" x14ac:dyDescent="0.25">
      <c r="A221">
        <v>213</v>
      </c>
      <c r="B221" s="18">
        <v>41325</v>
      </c>
      <c r="C221" s="2" t="s">
        <v>140</v>
      </c>
      <c r="F221" t="s">
        <v>87</v>
      </c>
      <c r="G221" t="s">
        <v>37</v>
      </c>
      <c r="H221" t="s">
        <v>35</v>
      </c>
      <c r="I221" t="s">
        <v>38</v>
      </c>
      <c r="J221" t="s">
        <v>33</v>
      </c>
      <c r="K221" t="s">
        <v>39</v>
      </c>
      <c r="L221" t="s">
        <v>40</v>
      </c>
      <c r="M221" t="s">
        <v>40</v>
      </c>
    </row>
    <row r="222" spans="1:13" x14ac:dyDescent="0.25">
      <c r="A222">
        <v>214</v>
      </c>
      <c r="C222" t="s">
        <v>41</v>
      </c>
      <c r="D222">
        <v>1.0045189999999999</v>
      </c>
      <c r="E222">
        <v>0.212535</v>
      </c>
      <c r="F222">
        <f>E222/D222</f>
        <v>0.21157887506358766</v>
      </c>
      <c r="G222">
        <v>0.2</v>
      </c>
      <c r="H222">
        <f>0.317/G222</f>
        <v>1.585</v>
      </c>
      <c r="I222">
        <f>H222+1</f>
        <v>2.585</v>
      </c>
      <c r="J222">
        <f>F222-K222*I222/20</f>
        <v>8.2328875063587659E-2</v>
      </c>
      <c r="K222">
        <v>1</v>
      </c>
      <c r="L222">
        <f>J222</f>
        <v>8.2328875063587659E-2</v>
      </c>
      <c r="M222" s="37">
        <f>1/L222</f>
        <v>12.146406703937572</v>
      </c>
    </row>
    <row r="223" spans="1:13" x14ac:dyDescent="0.25">
      <c r="A223">
        <v>215</v>
      </c>
      <c r="C223" t="s">
        <v>42</v>
      </c>
      <c r="D223">
        <v>1.0025235000000001</v>
      </c>
      <c r="E223">
        <v>0.42619699999999999</v>
      </c>
      <c r="F223">
        <f>E223/D223</f>
        <v>0.42512419908361243</v>
      </c>
      <c r="G223">
        <v>0.2</v>
      </c>
      <c r="H223">
        <f>0.317/G223</f>
        <v>1.585</v>
      </c>
      <c r="I223">
        <f>H223+1</f>
        <v>2.585</v>
      </c>
      <c r="J223">
        <f>F223-K223*I223/20</f>
        <v>0.16662419908361242</v>
      </c>
      <c r="K223">
        <v>2</v>
      </c>
      <c r="L223">
        <f>J223-J222</f>
        <v>8.4295324020024764E-2</v>
      </c>
      <c r="M223" s="37">
        <f>1/L223</f>
        <v>11.863054227805627</v>
      </c>
    </row>
    <row r="224" spans="1:13" x14ac:dyDescent="0.25">
      <c r="A224">
        <v>216</v>
      </c>
      <c r="J224" s="2" t="s">
        <v>54</v>
      </c>
      <c r="K224" s="2" t="s">
        <v>4</v>
      </c>
      <c r="L224" s="2" t="s">
        <v>13</v>
      </c>
      <c r="M224" s="2" t="s">
        <v>166</v>
      </c>
    </row>
    <row r="225" spans="1:13" x14ac:dyDescent="0.25">
      <c r="A225">
        <v>217</v>
      </c>
      <c r="C225" s="2" t="s">
        <v>141</v>
      </c>
    </row>
    <row r="226" spans="1:13" x14ac:dyDescent="0.25">
      <c r="A226">
        <v>218</v>
      </c>
      <c r="C226" t="s">
        <v>62</v>
      </c>
      <c r="D226">
        <v>1.0338426115999999</v>
      </c>
      <c r="E226" s="1">
        <v>-9.9954221666666698E-7</v>
      </c>
      <c r="F226" s="1">
        <v>-3.9976357833333299E-6</v>
      </c>
      <c r="G226" s="1">
        <v>2.9351545693854501E-6</v>
      </c>
      <c r="H226" s="1">
        <v>6.2973586660041198E-8</v>
      </c>
      <c r="I226" s="1">
        <v>3.93700501403422E-8</v>
      </c>
      <c r="J226">
        <v>4</v>
      </c>
      <c r="K226">
        <v>0.2</v>
      </c>
      <c r="L226">
        <v>10</v>
      </c>
      <c r="M226" s="35">
        <f>J226*D226/K226</f>
        <v>20.676852231999998</v>
      </c>
    </row>
    <row r="227" spans="1:13" x14ac:dyDescent="0.25">
      <c r="A227">
        <v>219</v>
      </c>
      <c r="C227" t="s">
        <v>142</v>
      </c>
      <c r="D227">
        <v>1.0287421511999999</v>
      </c>
      <c r="E227" s="1">
        <v>-4.37677528333333E-7</v>
      </c>
      <c r="F227" s="1">
        <v>-2.5896893666666701E-6</v>
      </c>
      <c r="G227" s="1">
        <v>1.9686697574696999E-6</v>
      </c>
      <c r="H227" s="1">
        <v>9.7208001983046E-8</v>
      </c>
      <c r="I227" s="1">
        <v>1.0358376237422E-7</v>
      </c>
      <c r="J227">
        <v>4</v>
      </c>
      <c r="K227">
        <v>0.2</v>
      </c>
      <c r="L227">
        <v>10</v>
      </c>
      <c r="M227" s="35">
        <f>J227*D227/K227</f>
        <v>20.574843023999996</v>
      </c>
    </row>
    <row r="228" spans="1:13" x14ac:dyDescent="0.25">
      <c r="A228">
        <v>220</v>
      </c>
      <c r="C228" t="s">
        <v>143</v>
      </c>
      <c r="D228">
        <v>1.0260011056</v>
      </c>
      <c r="E228" s="1">
        <v>-1.4980915783333101E-6</v>
      </c>
      <c r="F228" s="1">
        <v>-5.41018216666666E-6</v>
      </c>
      <c r="G228" s="1">
        <v>1.63343528683066E-6</v>
      </c>
      <c r="H228" s="1">
        <v>7.6819661262317802E-8</v>
      </c>
      <c r="I228" s="1">
        <v>2.27474121232627E-8</v>
      </c>
      <c r="J228">
        <v>4</v>
      </c>
      <c r="K228">
        <v>0.2</v>
      </c>
      <c r="L228">
        <v>10</v>
      </c>
      <c r="M228" s="35">
        <f>J228*D228/K228</f>
        <v>20.520022111999999</v>
      </c>
    </row>
    <row r="229" spans="1:13" x14ac:dyDescent="0.25">
      <c r="A229">
        <v>221</v>
      </c>
    </row>
    <row r="230" spans="1:13" x14ac:dyDescent="0.25">
      <c r="A230">
        <v>222</v>
      </c>
    </row>
    <row r="231" spans="1:13" x14ac:dyDescent="0.25">
      <c r="A231">
        <v>223</v>
      </c>
      <c r="B231" s="5">
        <v>41325</v>
      </c>
      <c r="C231" s="2" t="s">
        <v>144</v>
      </c>
    </row>
    <row r="232" spans="1:13" x14ac:dyDescent="0.25">
      <c r="A232">
        <v>224</v>
      </c>
      <c r="D232">
        <v>1.1945690899999999</v>
      </c>
      <c r="E232" s="1">
        <v>-9.7388594666665804E-6</v>
      </c>
      <c r="F232" s="1">
        <v>-9.8710531999999499E-7</v>
      </c>
      <c r="G232" s="1">
        <v>4.9624946402912603E-6</v>
      </c>
      <c r="H232" s="1">
        <v>2.02482238988416E-8</v>
      </c>
      <c r="I232" s="1">
        <v>1.4142093521015799E-7</v>
      </c>
      <c r="K232">
        <v>0.2</v>
      </c>
      <c r="L232">
        <v>10</v>
      </c>
      <c r="M232" s="35">
        <f t="shared" ref="M232:M237" si="14">100*D232/(K232*5)</f>
        <v>119.456909</v>
      </c>
    </row>
    <row r="233" spans="1:13" x14ac:dyDescent="0.25">
      <c r="A233">
        <v>225</v>
      </c>
      <c r="D233">
        <v>1.0003476134</v>
      </c>
      <c r="E233" s="1">
        <v>-9.8098731166666202E-6</v>
      </c>
      <c r="F233" s="1">
        <v>-1.4768541799999901E-6</v>
      </c>
      <c r="G233" s="1">
        <v>1.56004494328328E-6</v>
      </c>
      <c r="H233" s="1">
        <v>2.0301944122856899E-8</v>
      </c>
      <c r="I233" s="1">
        <v>7.1839561143603601E-9</v>
      </c>
      <c r="K233">
        <v>0.2</v>
      </c>
      <c r="L233">
        <v>10</v>
      </c>
      <c r="M233" s="35">
        <f t="shared" si="14"/>
        <v>100.03476134</v>
      </c>
    </row>
    <row r="234" spans="1:13" x14ac:dyDescent="0.25">
      <c r="A234">
        <v>226</v>
      </c>
      <c r="D234">
        <v>0.60274286322000004</v>
      </c>
      <c r="E234" s="1">
        <v>-7.3509166333333599E-6</v>
      </c>
      <c r="F234" s="1">
        <v>-1.45608215E-6</v>
      </c>
      <c r="G234" s="1">
        <v>1.5995352999302001E-6</v>
      </c>
      <c r="H234" s="1">
        <v>3.7328049652741001E-8</v>
      </c>
      <c r="I234" s="1">
        <v>6.6657203316662904E-8</v>
      </c>
      <c r="K234">
        <v>0.2</v>
      </c>
      <c r="L234">
        <v>10</v>
      </c>
      <c r="M234" s="35">
        <f t="shared" si="14"/>
        <v>60.274286322000002</v>
      </c>
    </row>
    <row r="235" spans="1:13" x14ac:dyDescent="0.25">
      <c r="A235">
        <v>227</v>
      </c>
      <c r="D235">
        <v>0.40023779871999998</v>
      </c>
      <c r="E235" s="1">
        <v>-5.4164725500000096E-6</v>
      </c>
      <c r="F235" s="1">
        <v>-1.0128301200000001E-6</v>
      </c>
      <c r="G235" s="1">
        <v>9.4587122414203803E-7</v>
      </c>
      <c r="H235" s="1">
        <v>7.9604378689422004E-8</v>
      </c>
      <c r="I235" s="1">
        <v>8.7522824935351199E-8</v>
      </c>
      <c r="K235">
        <v>0.2</v>
      </c>
      <c r="L235">
        <v>10</v>
      </c>
      <c r="M235" s="35">
        <f t="shared" si="14"/>
        <v>40.023779871999999</v>
      </c>
    </row>
    <row r="236" spans="1:13" x14ac:dyDescent="0.25">
      <c r="A236">
        <v>228</v>
      </c>
      <c r="D236">
        <v>0.20036435395999999</v>
      </c>
      <c r="E236" s="1">
        <v>-2.9495687000000001E-6</v>
      </c>
      <c r="F236" s="1">
        <v>-6.9823860833333395E-7</v>
      </c>
      <c r="G236" s="1">
        <v>3.4313295288303602E-7</v>
      </c>
      <c r="H236" s="1">
        <v>1.27728978443937E-7</v>
      </c>
      <c r="I236" s="1">
        <v>1.09546038735517E-7</v>
      </c>
      <c r="K236">
        <v>0.2</v>
      </c>
      <c r="L236">
        <v>10</v>
      </c>
      <c r="M236" s="35">
        <f t="shared" si="14"/>
        <v>20.036435395999998</v>
      </c>
    </row>
    <row r="237" spans="1:13" x14ac:dyDescent="0.25">
      <c r="A237">
        <v>229</v>
      </c>
      <c r="D237">
        <v>9.9997140218000005E-2</v>
      </c>
      <c r="E237" s="1">
        <v>-1.54244628333333E-6</v>
      </c>
      <c r="F237" s="1">
        <v>-2.91402113333334E-7</v>
      </c>
      <c r="G237" s="1">
        <v>1.73033345731934E-7</v>
      </c>
      <c r="H237" s="1">
        <v>4.5097437047137099E-8</v>
      </c>
      <c r="I237" s="1">
        <v>2.0924347063163602E-8</v>
      </c>
      <c r="K237">
        <v>0.2</v>
      </c>
      <c r="L237">
        <v>10</v>
      </c>
      <c r="M237" s="35">
        <f t="shared" si="14"/>
        <v>9.9997140218000009</v>
      </c>
    </row>
    <row r="238" spans="1:13" x14ac:dyDescent="0.25">
      <c r="A238">
        <v>230</v>
      </c>
      <c r="E238" s="1"/>
      <c r="F238" s="1"/>
      <c r="G238" s="1"/>
      <c r="H238" s="1"/>
      <c r="I238" s="1"/>
    </row>
    <row r="239" spans="1:13" x14ac:dyDescent="0.25">
      <c r="A239">
        <v>231</v>
      </c>
      <c r="C239" t="s">
        <v>145</v>
      </c>
      <c r="D239">
        <v>0.20065994241999999</v>
      </c>
      <c r="E239">
        <v>-9.91648240000002E-4</v>
      </c>
      <c r="F239">
        <v>6.0660612204766701E-3</v>
      </c>
      <c r="G239" s="1">
        <v>8.5315959673213797E-8</v>
      </c>
      <c r="H239" s="1">
        <v>2.4787443622855299E-4</v>
      </c>
      <c r="I239" s="1">
        <v>1.7427844451910901E-6</v>
      </c>
      <c r="K239">
        <v>0.2</v>
      </c>
      <c r="L239">
        <v>10</v>
      </c>
      <c r="M239" s="35">
        <f>100*D239/(K239*5)</f>
        <v>20.065994241999999</v>
      </c>
    </row>
    <row r="240" spans="1:13" x14ac:dyDescent="0.25">
      <c r="A240">
        <v>232</v>
      </c>
      <c r="C240" t="s">
        <v>146</v>
      </c>
      <c r="D240">
        <v>0.20064166895999999</v>
      </c>
      <c r="E240">
        <v>1.145418E-3</v>
      </c>
      <c r="F240">
        <v>-6.6427523666666502E-3</v>
      </c>
      <c r="G240" s="1">
        <v>7.6265647744164905E-8</v>
      </c>
      <c r="H240" s="1">
        <v>5.1980615697559099E-4</v>
      </c>
      <c r="I240" s="1">
        <v>3.3827799218983401E-7</v>
      </c>
      <c r="K240">
        <v>0.2</v>
      </c>
      <c r="L240">
        <v>10</v>
      </c>
      <c r="M240" s="35">
        <f>100*D240/(K240*5)</f>
        <v>20.064166896</v>
      </c>
    </row>
    <row r="241" spans="1:13" x14ac:dyDescent="0.25">
      <c r="A241">
        <v>233</v>
      </c>
    </row>
    <row r="242" spans="1:13" x14ac:dyDescent="0.25">
      <c r="A242">
        <v>234</v>
      </c>
      <c r="C242" s="2" t="s">
        <v>147</v>
      </c>
    </row>
    <row r="243" spans="1:13" x14ac:dyDescent="0.25">
      <c r="A243">
        <v>235</v>
      </c>
    </row>
    <row r="244" spans="1:13" x14ac:dyDescent="0.25">
      <c r="A244">
        <v>236</v>
      </c>
      <c r="D244">
        <v>1.1977071829999999</v>
      </c>
      <c r="E244" s="1">
        <v>-3.6446552333333398E-7</v>
      </c>
      <c r="F244" s="1">
        <v>-1.5570041283333299E-6</v>
      </c>
      <c r="G244" s="1">
        <v>5.7868421810900301E-6</v>
      </c>
      <c r="H244" s="1">
        <v>1.4580283268250299E-7</v>
      </c>
      <c r="I244" s="1">
        <v>4.7565758628129299E-8</v>
      </c>
      <c r="K244">
        <v>0.2</v>
      </c>
      <c r="L244">
        <v>10</v>
      </c>
      <c r="M244" s="35">
        <f t="shared" ref="M244:M249" si="15">100*D244/(K244*5)</f>
        <v>119.77071829999998</v>
      </c>
    </row>
    <row r="245" spans="1:13" x14ac:dyDescent="0.25">
      <c r="A245">
        <v>237</v>
      </c>
      <c r="D245">
        <v>1.0038054448</v>
      </c>
      <c r="E245" s="1">
        <v>-3.7041208333333301E-7</v>
      </c>
      <c r="F245" s="1">
        <v>-1.3687059666666699E-6</v>
      </c>
      <c r="G245" s="1">
        <v>1.6386429451885901E-6</v>
      </c>
      <c r="H245" s="1">
        <v>3.7572735545856797E-8</v>
      </c>
      <c r="I245" s="1">
        <v>5.1282531680970301E-8</v>
      </c>
      <c r="K245">
        <v>0.2</v>
      </c>
      <c r="L245">
        <v>10</v>
      </c>
      <c r="M245" s="35">
        <f t="shared" si="15"/>
        <v>100.38054448</v>
      </c>
    </row>
    <row r="246" spans="1:13" x14ac:dyDescent="0.25">
      <c r="A246">
        <v>238</v>
      </c>
      <c r="D246">
        <v>0.59952154721999995</v>
      </c>
      <c r="E246" s="1">
        <v>-4.32393126666667E-7</v>
      </c>
      <c r="F246" s="1">
        <v>-1.00443594666667E-6</v>
      </c>
      <c r="G246" s="1">
        <v>7.7979947093332995E-7</v>
      </c>
      <c r="H246" s="1">
        <v>6.2602786853812095E-8</v>
      </c>
      <c r="I246" s="1">
        <v>2.9075532682376699E-8</v>
      </c>
      <c r="K246">
        <v>0.2</v>
      </c>
      <c r="L246">
        <v>10</v>
      </c>
      <c r="M246" s="35">
        <f t="shared" si="15"/>
        <v>59.952154721999996</v>
      </c>
    </row>
    <row r="247" spans="1:13" x14ac:dyDescent="0.25">
      <c r="A247">
        <v>239</v>
      </c>
      <c r="D247">
        <v>0.40033884660000002</v>
      </c>
      <c r="E247" s="1">
        <v>-4.0620174166666701E-7</v>
      </c>
      <c r="F247" s="1">
        <v>-7.5277115000000103E-7</v>
      </c>
      <c r="G247" s="1">
        <v>6.1005257127926697E-7</v>
      </c>
      <c r="H247" s="1">
        <v>4.1195034556171498E-8</v>
      </c>
      <c r="I247" s="1">
        <v>4.56977698540633E-8</v>
      </c>
      <c r="K247">
        <v>0.2</v>
      </c>
      <c r="L247">
        <v>10</v>
      </c>
      <c r="M247" s="35">
        <f t="shared" si="15"/>
        <v>40.033884660000005</v>
      </c>
    </row>
    <row r="248" spans="1:13" x14ac:dyDescent="0.25">
      <c r="A248">
        <v>240</v>
      </c>
      <c r="D248">
        <v>0.20043455675999999</v>
      </c>
      <c r="E248" s="1">
        <v>-2.8135855666666599E-7</v>
      </c>
      <c r="F248" s="1">
        <v>-4.28105878333333E-7</v>
      </c>
      <c r="G248" s="1">
        <v>7.5001621056737195E-7</v>
      </c>
      <c r="H248" s="1">
        <v>4.8918233100963502E-8</v>
      </c>
      <c r="I248" s="1">
        <v>2.1973358005247799E-8</v>
      </c>
      <c r="K248">
        <v>0.2</v>
      </c>
      <c r="L248">
        <v>10</v>
      </c>
      <c r="M248" s="35">
        <f t="shared" si="15"/>
        <v>20.043455676000001</v>
      </c>
    </row>
    <row r="249" spans="1:13" x14ac:dyDescent="0.25">
      <c r="A249">
        <v>241</v>
      </c>
      <c r="D249">
        <v>9.9031507685999998E-2</v>
      </c>
      <c r="E249" s="1">
        <v>-1.9195853166666699E-7</v>
      </c>
      <c r="F249" s="1">
        <v>-2.4563415499999999E-7</v>
      </c>
      <c r="G249" s="1">
        <v>1.3298394388140901E-7</v>
      </c>
      <c r="H249" s="1">
        <v>3.3103690786944599E-8</v>
      </c>
      <c r="I249" s="1">
        <v>3.3839522448447701E-8</v>
      </c>
      <c r="K249">
        <v>0.2</v>
      </c>
      <c r="L249">
        <v>10</v>
      </c>
      <c r="M249" s="35">
        <f t="shared" si="15"/>
        <v>9.9031507685999998</v>
      </c>
    </row>
    <row r="250" spans="1:13" x14ac:dyDescent="0.25">
      <c r="A250">
        <v>242</v>
      </c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</row>
    <row r="251" spans="1:13" x14ac:dyDescent="0.25">
      <c r="A251">
        <v>243</v>
      </c>
    </row>
    <row r="252" spans="1:13" x14ac:dyDescent="0.25">
      <c r="A252">
        <v>244</v>
      </c>
      <c r="B252" s="28">
        <v>41326</v>
      </c>
      <c r="C252" s="29" t="s">
        <v>148</v>
      </c>
      <c r="D252" s="30"/>
      <c r="E252" s="30"/>
      <c r="F252" s="30"/>
      <c r="G252" s="30"/>
      <c r="H252" s="30"/>
      <c r="I252" s="30"/>
      <c r="J252" s="30"/>
    </row>
    <row r="253" spans="1:13" x14ac:dyDescent="0.25">
      <c r="A253">
        <v>245</v>
      </c>
      <c r="C253" s="2" t="s">
        <v>68</v>
      </c>
      <c r="D253" s="6"/>
      <c r="E253" s="6"/>
      <c r="F253" s="6"/>
      <c r="G253" s="6" t="s">
        <v>69</v>
      </c>
      <c r="H253" s="6"/>
      <c r="I253" s="6"/>
      <c r="J253" s="6"/>
      <c r="K253" s="6"/>
      <c r="L253" s="6"/>
      <c r="M253" s="6"/>
    </row>
    <row r="254" spans="1:13" x14ac:dyDescent="0.25">
      <c r="A254">
        <v>246</v>
      </c>
      <c r="C254" s="6"/>
      <c r="D254" s="3" t="s">
        <v>4</v>
      </c>
      <c r="E254" s="4" t="s">
        <v>5</v>
      </c>
      <c r="F254" s="4" t="s">
        <v>6</v>
      </c>
      <c r="G254" s="4" t="s">
        <v>7</v>
      </c>
      <c r="H254" s="4" t="s">
        <v>8</v>
      </c>
      <c r="I254" s="4" t="s">
        <v>9</v>
      </c>
      <c r="J254" s="21"/>
      <c r="K254" s="6"/>
      <c r="L254" s="6"/>
      <c r="M254" s="6"/>
    </row>
    <row r="255" spans="1:13" x14ac:dyDescent="0.25">
      <c r="A255">
        <v>247</v>
      </c>
      <c r="C255" s="6"/>
      <c r="D255" s="3" t="s">
        <v>10</v>
      </c>
      <c r="E255" s="4" t="s">
        <v>11</v>
      </c>
      <c r="F255" s="4" t="s">
        <v>11</v>
      </c>
      <c r="G255" s="4" t="s">
        <v>12</v>
      </c>
      <c r="H255" s="4" t="s">
        <v>11</v>
      </c>
      <c r="I255" s="4" t="s">
        <v>11</v>
      </c>
      <c r="J255" s="21"/>
      <c r="K255" s="2" t="s">
        <v>4</v>
      </c>
      <c r="L255" s="2" t="s">
        <v>13</v>
      </c>
      <c r="M255" s="2" t="s">
        <v>164</v>
      </c>
    </row>
    <row r="256" spans="1:13" x14ac:dyDescent="0.25">
      <c r="A256">
        <v>248</v>
      </c>
      <c r="B256" s="21"/>
      <c r="C256" s="6"/>
      <c r="D256" s="21">
        <v>1.1954913232</v>
      </c>
      <c r="E256" s="21">
        <v>-4.7680543616666701E-6</v>
      </c>
      <c r="F256" s="21">
        <v>-4.3578559149999904E-6</v>
      </c>
      <c r="G256" s="21">
        <v>4.8012394371471996E-6</v>
      </c>
      <c r="H256" s="21">
        <v>4.0482834950446699E-7</v>
      </c>
      <c r="I256" s="21">
        <v>4.1663828653851499E-7</v>
      </c>
      <c r="J256" s="6"/>
      <c r="K256" s="6">
        <v>0.2</v>
      </c>
      <c r="L256" s="6">
        <v>10</v>
      </c>
      <c r="M256" s="36">
        <f>100*D256/(K256*5)</f>
        <v>119.54913232</v>
      </c>
    </row>
    <row r="257" spans="1:13" x14ac:dyDescent="0.25">
      <c r="A257">
        <v>249</v>
      </c>
      <c r="B257" s="21"/>
      <c r="C257" s="6" t="s">
        <v>149</v>
      </c>
      <c r="D257" s="21">
        <v>1.1975484936</v>
      </c>
      <c r="E257" s="21">
        <v>-4.8270848333333298E-6</v>
      </c>
      <c r="F257" s="21">
        <v>-4.4139355166666504E-6</v>
      </c>
      <c r="G257" s="21">
        <v>3.5998995351682599E-6</v>
      </c>
      <c r="H257" s="21">
        <v>5.1844805152546802E-8</v>
      </c>
      <c r="I257" s="21">
        <v>1.1269370053366899E-8</v>
      </c>
      <c r="J257" s="6"/>
      <c r="K257" s="6">
        <v>0.2</v>
      </c>
      <c r="L257" s="6">
        <v>10</v>
      </c>
      <c r="M257" s="35">
        <f t="shared" ref="M257:M262" si="16">100*D257/(K257*5)</f>
        <v>119.75484936000001</v>
      </c>
    </row>
    <row r="258" spans="1:13" x14ac:dyDescent="0.25">
      <c r="A258">
        <v>250</v>
      </c>
      <c r="B258" s="21"/>
      <c r="C258" s="21" t="s">
        <v>150</v>
      </c>
      <c r="D258" s="21">
        <v>1.0006818752</v>
      </c>
      <c r="E258" s="21">
        <v>-4.1756720666666698E-6</v>
      </c>
      <c r="F258" s="21">
        <v>-3.8680595499999901E-6</v>
      </c>
      <c r="G258" s="21">
        <v>2.6472900554264499E-7</v>
      </c>
      <c r="H258" s="21">
        <v>8.8256071929332798E-8</v>
      </c>
      <c r="I258" s="21">
        <v>6.9514716700596594E-8</v>
      </c>
      <c r="J258" s="6"/>
      <c r="K258" s="6">
        <v>0.2</v>
      </c>
      <c r="L258" s="6">
        <v>10</v>
      </c>
      <c r="M258" s="35">
        <f t="shared" si="16"/>
        <v>100.06818752</v>
      </c>
    </row>
    <row r="259" spans="1:13" x14ac:dyDescent="0.25">
      <c r="A259">
        <v>251</v>
      </c>
      <c r="B259" s="21"/>
      <c r="C259" s="6" t="s">
        <v>151</v>
      </c>
      <c r="D259" s="21">
        <v>0.60076338941999996</v>
      </c>
      <c r="E259" s="21">
        <v>-3.12613573333334E-6</v>
      </c>
      <c r="F259" s="21">
        <v>-2.4352394833333301E-6</v>
      </c>
      <c r="G259" s="21">
        <v>2.0198134505840902E-6</v>
      </c>
      <c r="H259" s="21">
        <v>1.2203462110590701E-7</v>
      </c>
      <c r="I259" s="21">
        <v>1.58041216098522E-7</v>
      </c>
      <c r="J259" s="6"/>
      <c r="K259" s="6">
        <v>0.2</v>
      </c>
      <c r="L259" s="6">
        <v>10</v>
      </c>
      <c r="M259" s="35">
        <f t="shared" si="16"/>
        <v>60.076338941999992</v>
      </c>
    </row>
    <row r="260" spans="1:13" x14ac:dyDescent="0.25">
      <c r="A260">
        <v>252</v>
      </c>
      <c r="B260" s="21"/>
      <c r="C260" s="6"/>
      <c r="D260" s="21">
        <v>0.39951808981999998</v>
      </c>
      <c r="E260" s="21">
        <v>-2.4111442499999999E-6</v>
      </c>
      <c r="F260" s="21">
        <v>-1.65768603333333E-6</v>
      </c>
      <c r="G260" s="21">
        <v>8.8372753599915005E-7</v>
      </c>
      <c r="H260" s="21">
        <v>7.3642217324286999E-8</v>
      </c>
      <c r="I260" s="21">
        <v>9.9533486510481702E-8</v>
      </c>
      <c r="J260" s="6"/>
      <c r="K260" s="6">
        <v>0.2</v>
      </c>
      <c r="L260" s="6">
        <v>10</v>
      </c>
      <c r="M260" s="35">
        <f t="shared" si="16"/>
        <v>39.951808981999996</v>
      </c>
    </row>
    <row r="261" spans="1:13" x14ac:dyDescent="0.25">
      <c r="A261">
        <v>253</v>
      </c>
      <c r="B261" s="21"/>
      <c r="C261" s="6"/>
      <c r="D261" s="21">
        <v>0.20069301798</v>
      </c>
      <c r="E261" s="21">
        <v>-1.33717748333333E-6</v>
      </c>
      <c r="F261" s="21">
        <v>-8.77836933333333E-7</v>
      </c>
      <c r="G261" s="21">
        <v>5.6530020040333602E-8</v>
      </c>
      <c r="H261" s="21">
        <v>1.09124203105909E-7</v>
      </c>
      <c r="I261" s="21">
        <v>9.3741363452278694E-8</v>
      </c>
      <c r="J261" s="6"/>
      <c r="K261" s="6">
        <v>0.2</v>
      </c>
      <c r="L261" s="6">
        <v>10</v>
      </c>
      <c r="M261" s="35">
        <f t="shared" si="16"/>
        <v>20.069301798000001</v>
      </c>
    </row>
    <row r="262" spans="1:13" x14ac:dyDescent="0.25">
      <c r="A262">
        <v>254</v>
      </c>
      <c r="B262" s="21"/>
      <c r="C262" s="6"/>
      <c r="D262" s="21">
        <v>9.9962054760000002E-2</v>
      </c>
      <c r="E262" s="21">
        <v>-7.4503823666666603E-7</v>
      </c>
      <c r="F262" s="21">
        <v>-4.24202685E-7</v>
      </c>
      <c r="G262" s="21">
        <v>1.4187829103256701E-7</v>
      </c>
      <c r="H262" s="21">
        <v>6.3812187677177502E-8</v>
      </c>
      <c r="I262" s="21">
        <v>6.0994536379682805E-8</v>
      </c>
      <c r="J262" s="6"/>
      <c r="K262" s="6">
        <v>0.2</v>
      </c>
      <c r="L262" s="6">
        <v>10</v>
      </c>
      <c r="M262" s="35">
        <f t="shared" si="16"/>
        <v>9.9962054760000001</v>
      </c>
    </row>
    <row r="263" spans="1:13" x14ac:dyDescent="0.25">
      <c r="A263">
        <v>255</v>
      </c>
      <c r="C263" s="2" t="s">
        <v>74</v>
      </c>
      <c r="D263" s="6"/>
      <c r="E263" s="21"/>
      <c r="F263" s="21"/>
      <c r="G263" s="21"/>
      <c r="H263" s="21"/>
      <c r="I263" s="21"/>
      <c r="J263" s="6"/>
      <c r="K263" s="6"/>
      <c r="L263" s="6"/>
      <c r="M263" s="6"/>
    </row>
    <row r="264" spans="1:13" x14ac:dyDescent="0.25">
      <c r="A264">
        <v>256</v>
      </c>
      <c r="C264" s="6" t="s">
        <v>75</v>
      </c>
      <c r="D264" s="6">
        <v>1.013536781</v>
      </c>
      <c r="E264" s="21">
        <v>-1.2305485666666699E-7</v>
      </c>
      <c r="F264" s="21">
        <v>4.2425951433333301E-8</v>
      </c>
      <c r="G264" s="21">
        <v>3.0555380983847001E-6</v>
      </c>
      <c r="H264" s="21">
        <v>2.9331896001110901E-8</v>
      </c>
      <c r="I264" s="21">
        <v>2.71520409624402E-8</v>
      </c>
      <c r="J264" s="6"/>
      <c r="K264" s="6">
        <v>0.2</v>
      </c>
      <c r="L264" s="6">
        <v>10</v>
      </c>
      <c r="M264" s="36">
        <f>100*D264/(K264*5)</f>
        <v>101.3536781</v>
      </c>
    </row>
    <row r="265" spans="1:13" x14ac:dyDescent="0.25">
      <c r="A265">
        <v>257</v>
      </c>
      <c r="C265" s="6"/>
      <c r="D265" s="6"/>
      <c r="E265" s="6"/>
      <c r="F265" s="6"/>
      <c r="G265" s="19" t="s">
        <v>112</v>
      </c>
      <c r="H265" s="20">
        <v>0.317</v>
      </c>
      <c r="I265" s="19" t="s">
        <v>113</v>
      </c>
      <c r="J265" s="6"/>
      <c r="K265" s="6"/>
      <c r="L265" s="6"/>
      <c r="M265" s="6"/>
    </row>
    <row r="266" spans="1:13" x14ac:dyDescent="0.25">
      <c r="A266">
        <v>258</v>
      </c>
      <c r="C266" s="2" t="s">
        <v>85</v>
      </c>
      <c r="H266" t="s">
        <v>30</v>
      </c>
      <c r="I266" t="s">
        <v>31</v>
      </c>
      <c r="J266" t="s">
        <v>32</v>
      </c>
      <c r="L266" t="s">
        <v>33</v>
      </c>
      <c r="M266" t="s">
        <v>165</v>
      </c>
    </row>
    <row r="267" spans="1:13" x14ac:dyDescent="0.25">
      <c r="A267">
        <v>259</v>
      </c>
      <c r="B267" s="6"/>
      <c r="D267" t="s">
        <v>34</v>
      </c>
      <c r="E267" t="s">
        <v>86</v>
      </c>
      <c r="F267" t="s">
        <v>87</v>
      </c>
      <c r="G267" t="s">
        <v>37</v>
      </c>
      <c r="H267" t="s">
        <v>35</v>
      </c>
      <c r="I267" t="s">
        <v>38</v>
      </c>
      <c r="J267" t="s">
        <v>33</v>
      </c>
      <c r="K267" t="s">
        <v>39</v>
      </c>
      <c r="L267" t="s">
        <v>40</v>
      </c>
      <c r="M267" t="s">
        <v>40</v>
      </c>
    </row>
    <row r="268" spans="1:13" x14ac:dyDescent="0.25">
      <c r="A268">
        <v>260</v>
      </c>
      <c r="B268" s="6"/>
      <c r="C268" t="s">
        <v>41</v>
      </c>
      <c r="D268">
        <v>1.002365</v>
      </c>
      <c r="E268" s="6">
        <v>0.43540000000000001</v>
      </c>
      <c r="F268">
        <f>E268/D268</f>
        <v>0.43437270854429277</v>
      </c>
      <c r="G268">
        <v>0.2</v>
      </c>
      <c r="H268">
        <f>H$265/G268</f>
        <v>1.585</v>
      </c>
      <c r="I268">
        <f>H268+1</f>
        <v>2.585</v>
      </c>
      <c r="J268">
        <f>F268-K268*I268/20</f>
        <v>0.3051227085442928</v>
      </c>
      <c r="K268">
        <v>1</v>
      </c>
      <c r="L268">
        <f>J268</f>
        <v>0.3051227085442928</v>
      </c>
      <c r="M268" s="37">
        <f>1/L268</f>
        <v>3.2773699629597912</v>
      </c>
    </row>
    <row r="269" spans="1:13" x14ac:dyDescent="0.25">
      <c r="A269">
        <v>261</v>
      </c>
      <c r="B269" s="6"/>
      <c r="C269" t="s">
        <v>42</v>
      </c>
      <c r="D269">
        <v>1.0018899999999999</v>
      </c>
      <c r="E269">
        <v>0.86750000000000005</v>
      </c>
      <c r="F269">
        <f>E269/D269</f>
        <v>0.86586351795107253</v>
      </c>
      <c r="G269">
        <v>0.2</v>
      </c>
      <c r="H269">
        <f>H$265/G269</f>
        <v>1.585</v>
      </c>
      <c r="I269">
        <f>H269+1</f>
        <v>2.585</v>
      </c>
      <c r="J269">
        <f>F269-K269*I269/20</f>
        <v>0.60736351795107257</v>
      </c>
      <c r="K269">
        <v>2</v>
      </c>
      <c r="L269">
        <f>J269-J268</f>
        <v>0.30224080940677978</v>
      </c>
      <c r="M269" s="37">
        <f>1/L269</f>
        <v>3.3086200436094</v>
      </c>
    </row>
    <row r="270" spans="1:13" x14ac:dyDescent="0.25">
      <c r="A270">
        <v>262</v>
      </c>
      <c r="B270" s="6"/>
      <c r="C270" t="s">
        <v>43</v>
      </c>
      <c r="D270">
        <v>1.00203</v>
      </c>
      <c r="E270">
        <v>1.3086</v>
      </c>
      <c r="F270">
        <f>E270/D270</f>
        <v>1.3059489236849195</v>
      </c>
      <c r="G270">
        <v>0.2</v>
      </c>
      <c r="H270">
        <f>H$265/G270</f>
        <v>1.585</v>
      </c>
      <c r="I270">
        <f>H270+1</f>
        <v>2.585</v>
      </c>
      <c r="J270">
        <f>F270-K270*I270/20</f>
        <v>0.91819892368491951</v>
      </c>
      <c r="K270">
        <v>3</v>
      </c>
      <c r="L270">
        <f>J270-J269</f>
        <v>0.31083540573384694</v>
      </c>
      <c r="M270" s="37">
        <f>1/L270</f>
        <v>3.2171367275201939</v>
      </c>
    </row>
    <row r="271" spans="1:13" x14ac:dyDescent="0.25">
      <c r="A271">
        <v>263</v>
      </c>
      <c r="B271" s="6"/>
      <c r="C271" t="s">
        <v>44</v>
      </c>
      <c r="D271">
        <v>1.0017849999999999</v>
      </c>
      <c r="E271">
        <v>1.70821</v>
      </c>
      <c r="F271">
        <f>E271/D271</f>
        <v>1.7051662781934249</v>
      </c>
      <c r="G271">
        <v>0.2</v>
      </c>
      <c r="H271">
        <f>H$265/G271</f>
        <v>1.585</v>
      </c>
      <c r="I271">
        <f>H271+1</f>
        <v>2.585</v>
      </c>
      <c r="J271">
        <f>F271-K271*I271/20</f>
        <v>1.188166278193425</v>
      </c>
      <c r="K271">
        <v>4</v>
      </c>
      <c r="L271">
        <f>J271-J270</f>
        <v>0.26996735450850551</v>
      </c>
      <c r="M271" s="37">
        <f>1/L271</f>
        <v>3.7041515698095058</v>
      </c>
    </row>
    <row r="272" spans="1:13" x14ac:dyDescent="0.25">
      <c r="A272">
        <v>264</v>
      </c>
      <c r="B272" s="6"/>
      <c r="C272" t="s">
        <v>88</v>
      </c>
      <c r="D272">
        <v>1.0020549999999999</v>
      </c>
      <c r="E272">
        <v>2.11334</v>
      </c>
      <c r="F272">
        <f>E272/D272</f>
        <v>2.1090059926850326</v>
      </c>
      <c r="G272">
        <v>0.2</v>
      </c>
      <c r="H272">
        <f>H$265/G272</f>
        <v>1.585</v>
      </c>
      <c r="I272">
        <f>H272+1</f>
        <v>2.585</v>
      </c>
      <c r="J272">
        <f>F272-K272*I272/20</f>
        <v>1.4627559926850326</v>
      </c>
      <c r="K272">
        <v>5</v>
      </c>
      <c r="L272">
        <f>J272-J271</f>
        <v>0.27458971449160763</v>
      </c>
      <c r="M272" s="37">
        <f>1/L272</f>
        <v>3.6417970055850848</v>
      </c>
    </row>
    <row r="273" spans="1:13" x14ac:dyDescent="0.25">
      <c r="A273">
        <v>265</v>
      </c>
      <c r="B273" s="6"/>
      <c r="M273" s="37"/>
    </row>
    <row r="274" spans="1:13" x14ac:dyDescent="0.25">
      <c r="A274">
        <v>266</v>
      </c>
      <c r="B274" s="6"/>
      <c r="C274" s="2" t="s">
        <v>89</v>
      </c>
      <c r="J274" s="2" t="s">
        <v>54</v>
      </c>
      <c r="K274" s="2" t="s">
        <v>4</v>
      </c>
      <c r="L274" s="2" t="s">
        <v>13</v>
      </c>
      <c r="M274" s="2" t="s">
        <v>166</v>
      </c>
    </row>
    <row r="275" spans="1:13" x14ac:dyDescent="0.25">
      <c r="A275">
        <v>267</v>
      </c>
      <c r="B275" s="6"/>
    </row>
    <row r="276" spans="1:13" x14ac:dyDescent="0.25">
      <c r="A276">
        <v>268</v>
      </c>
      <c r="B276" s="6"/>
      <c r="C276" t="s">
        <v>90</v>
      </c>
      <c r="D276" s="6">
        <v>1.004450928</v>
      </c>
      <c r="E276" s="21">
        <v>2.681448695E-7</v>
      </c>
      <c r="F276" s="21">
        <v>4.8245795666666701E-7</v>
      </c>
      <c r="G276" s="21">
        <v>1.91545986686197E-6</v>
      </c>
      <c r="H276" s="21">
        <v>5.4364384795124703E-8</v>
      </c>
      <c r="I276" s="21">
        <v>7.4874106913392394E-8</v>
      </c>
      <c r="J276">
        <v>4</v>
      </c>
      <c r="K276">
        <v>0.2</v>
      </c>
      <c r="L276">
        <v>10</v>
      </c>
      <c r="M276" s="35">
        <f>J276*D276/K276</f>
        <v>20.08901856</v>
      </c>
    </row>
    <row r="277" spans="1:13" x14ac:dyDescent="0.25">
      <c r="A277">
        <v>269</v>
      </c>
      <c r="B277" s="6"/>
      <c r="C277" t="s">
        <v>91</v>
      </c>
      <c r="D277" s="6">
        <v>0.99958252382000001</v>
      </c>
      <c r="E277" s="1">
        <v>-1.1264067566666701E-6</v>
      </c>
      <c r="F277" s="1">
        <v>2.0001609333333301E-7</v>
      </c>
      <c r="G277" s="1">
        <v>1.1523758563598499E-6</v>
      </c>
      <c r="H277" s="21">
        <v>1.36870419992162E-7</v>
      </c>
      <c r="I277" s="21">
        <v>4.55594838965276E-8</v>
      </c>
      <c r="J277">
        <v>4</v>
      </c>
      <c r="K277">
        <v>0.2</v>
      </c>
      <c r="L277">
        <v>10</v>
      </c>
      <c r="M277" s="35">
        <f>J277*D277/K277</f>
        <v>19.9916504764</v>
      </c>
    </row>
    <row r="278" spans="1:13" x14ac:dyDescent="0.25">
      <c r="A278">
        <v>270</v>
      </c>
      <c r="B278" s="6"/>
      <c r="C278" t="s">
        <v>92</v>
      </c>
      <c r="D278" s="6">
        <v>0.99761699477999999</v>
      </c>
      <c r="E278" s="1">
        <v>2.57124411666667E-7</v>
      </c>
      <c r="F278" s="1">
        <v>4.72687871666666E-7</v>
      </c>
      <c r="G278" s="1">
        <v>9.8854691945386904E-7</v>
      </c>
      <c r="H278" s="21">
        <v>1.4006186567803599E-7</v>
      </c>
      <c r="I278" s="21">
        <v>3.5221960661144298E-8</v>
      </c>
      <c r="J278">
        <v>4</v>
      </c>
      <c r="K278">
        <v>0.2</v>
      </c>
      <c r="L278">
        <v>10</v>
      </c>
      <c r="M278" s="35">
        <f>J278*D278/K278</f>
        <v>19.952339895599998</v>
      </c>
    </row>
    <row r="279" spans="1:13" x14ac:dyDescent="0.25">
      <c r="A279">
        <v>271</v>
      </c>
      <c r="B279" s="6"/>
      <c r="M279" s="35"/>
    </row>
    <row r="280" spans="1:13" x14ac:dyDescent="0.25">
      <c r="A280">
        <v>272</v>
      </c>
      <c r="B280" s="6"/>
      <c r="C280" t="s">
        <v>62</v>
      </c>
      <c r="D280" s="6">
        <v>1.0015660548</v>
      </c>
      <c r="E280" s="21">
        <v>2.7139843833333299E-7</v>
      </c>
      <c r="F280" s="21">
        <v>4.7221590666666702E-7</v>
      </c>
      <c r="G280" s="21">
        <v>8.5620036910527901E-7</v>
      </c>
      <c r="H280" s="21">
        <v>2.90947629473564E-8</v>
      </c>
      <c r="I280" s="21">
        <v>4.0049127196165202E-8</v>
      </c>
      <c r="J280">
        <v>4</v>
      </c>
      <c r="K280">
        <v>0.2</v>
      </c>
      <c r="L280">
        <v>10</v>
      </c>
      <c r="M280" s="35">
        <f>J280*D280/K280</f>
        <v>20.031321095999999</v>
      </c>
    </row>
    <row r="281" spans="1:13" x14ac:dyDescent="0.25">
      <c r="A281">
        <v>273</v>
      </c>
      <c r="B281" s="6"/>
      <c r="C281" t="s">
        <v>93</v>
      </c>
      <c r="D281" s="6">
        <v>1.0010860692000001</v>
      </c>
      <c r="E281" s="21">
        <v>1.6790924451666701E-8</v>
      </c>
      <c r="F281" s="21">
        <v>3.4232516666666698E-7</v>
      </c>
      <c r="G281" s="21">
        <v>8.3959761983379806E-6</v>
      </c>
      <c r="H281" s="21">
        <v>4.2702115047683E-8</v>
      </c>
      <c r="I281" s="21">
        <v>3.57302252879205E-8</v>
      </c>
      <c r="J281">
        <v>4</v>
      </c>
      <c r="K281">
        <v>0.2</v>
      </c>
      <c r="L281">
        <v>10</v>
      </c>
      <c r="M281" s="35">
        <f>J281*D281/K281</f>
        <v>20.021721383999999</v>
      </c>
    </row>
    <row r="282" spans="1:13" x14ac:dyDescent="0.25">
      <c r="A282">
        <v>274</v>
      </c>
      <c r="B282" s="6"/>
      <c r="C282" t="s">
        <v>64</v>
      </c>
      <c r="D282" s="6">
        <v>1.0031506753999999</v>
      </c>
      <c r="E282" s="1">
        <v>-1.3840552744999999E-6</v>
      </c>
      <c r="F282" s="1">
        <v>-2.3310204E-7</v>
      </c>
      <c r="G282" s="1">
        <v>1.62486815669027E-6</v>
      </c>
      <c r="H282" s="21">
        <v>1.51724848064302E-7</v>
      </c>
      <c r="I282" s="21">
        <v>6.2747435444181803E-8</v>
      </c>
      <c r="J282">
        <v>4</v>
      </c>
      <c r="K282">
        <v>0.2</v>
      </c>
      <c r="L282">
        <v>10</v>
      </c>
      <c r="M282" s="35">
        <f>J282*D282/K282</f>
        <v>20.063013507999997</v>
      </c>
    </row>
    <row r="283" spans="1:13" x14ac:dyDescent="0.25">
      <c r="A283">
        <v>275</v>
      </c>
      <c r="B283" s="6"/>
      <c r="C283" t="s">
        <v>94</v>
      </c>
      <c r="D283" s="6">
        <v>1.0115676672</v>
      </c>
      <c r="E283" s="1">
        <v>-6.6087073666666695E-7</v>
      </c>
      <c r="F283" s="1">
        <v>-4.3336406499999999E-7</v>
      </c>
      <c r="G283" s="1">
        <v>2.0809236407745702E-6</v>
      </c>
      <c r="H283" s="21">
        <v>4.4714736769331997E-8</v>
      </c>
      <c r="I283" s="21">
        <v>2.88663377254102E-8</v>
      </c>
      <c r="J283">
        <v>4</v>
      </c>
      <c r="K283">
        <v>0.2</v>
      </c>
      <c r="L283">
        <v>10</v>
      </c>
      <c r="M283" s="35">
        <f>J283*D283/K283</f>
        <v>20.231353343999999</v>
      </c>
    </row>
    <row r="284" spans="1:13" x14ac:dyDescent="0.25">
      <c r="A284">
        <v>276</v>
      </c>
      <c r="B284" s="7"/>
      <c r="C284" t="s">
        <v>95</v>
      </c>
      <c r="D284">
        <v>1.0102005972000001</v>
      </c>
      <c r="E284" s="1">
        <v>-6.61214161666666E-7</v>
      </c>
      <c r="F284" s="1">
        <v>-4.3845546166666599E-7</v>
      </c>
      <c r="G284" s="1">
        <v>1.9909917917905101E-6</v>
      </c>
      <c r="H284" s="1">
        <v>2.0429634641590199E-8</v>
      </c>
      <c r="I284" s="1">
        <v>3.2475699367966398E-8</v>
      </c>
      <c r="J284">
        <v>4</v>
      </c>
      <c r="K284">
        <v>0.2</v>
      </c>
      <c r="L284">
        <v>10</v>
      </c>
      <c r="M284" s="35">
        <f>J284*D284/K284</f>
        <v>20.204011944000001</v>
      </c>
    </row>
    <row r="285" spans="1:13" x14ac:dyDescent="0.25">
      <c r="A285">
        <v>277</v>
      </c>
      <c r="B285" s="6"/>
      <c r="C285" s="6"/>
      <c r="D285" s="6"/>
      <c r="E285" s="21"/>
      <c r="F285" s="21"/>
      <c r="G285" s="19" t="s">
        <v>112</v>
      </c>
      <c r="H285" s="20">
        <v>0.317</v>
      </c>
      <c r="I285" s="19" t="s">
        <v>113</v>
      </c>
      <c r="J285" s="6"/>
      <c r="K285" s="6"/>
      <c r="L285" s="6"/>
      <c r="M285" s="6"/>
    </row>
    <row r="286" spans="1:13" x14ac:dyDescent="0.25">
      <c r="A286">
        <v>278</v>
      </c>
      <c r="B286" s="6"/>
      <c r="C286" s="2" t="s">
        <v>152</v>
      </c>
      <c r="D286" s="8"/>
      <c r="E286" s="21" t="s">
        <v>115</v>
      </c>
      <c r="F286" s="22"/>
      <c r="G286" s="22"/>
      <c r="H286" s="22"/>
      <c r="I286" s="22"/>
      <c r="J286" s="8"/>
      <c r="K286" s="8"/>
      <c r="L286" t="s">
        <v>116</v>
      </c>
      <c r="M286" t="s">
        <v>167</v>
      </c>
    </row>
    <row r="287" spans="1:13" x14ac:dyDescent="0.25">
      <c r="A287">
        <v>279</v>
      </c>
      <c r="B287" s="6"/>
      <c r="C287" t="s">
        <v>117</v>
      </c>
      <c r="D287">
        <v>1.0031950000000001</v>
      </c>
      <c r="E287" s="1">
        <v>0.44183</v>
      </c>
      <c r="F287">
        <f>E287/D287</f>
        <v>0.4404228489974531</v>
      </c>
      <c r="G287">
        <v>0.2</v>
      </c>
      <c r="H287">
        <f>H$285/G287</f>
        <v>1.585</v>
      </c>
      <c r="I287">
        <f>H287+1</f>
        <v>2.585</v>
      </c>
      <c r="J287">
        <f>F287-I287/100</f>
        <v>0.41457284899745311</v>
      </c>
      <c r="K287">
        <v>1</v>
      </c>
      <c r="L287" s="24">
        <f>G287*J287/(D287*20)</f>
        <v>4.1325250723683151E-3</v>
      </c>
      <c r="M287" s="37">
        <f>1/L287</f>
        <v>241.98280288397825</v>
      </c>
    </row>
    <row r="288" spans="1:13" x14ac:dyDescent="0.25">
      <c r="A288">
        <v>280</v>
      </c>
      <c r="B288" s="6"/>
      <c r="C288" t="s">
        <v>118</v>
      </c>
      <c r="D288">
        <v>1.00274</v>
      </c>
      <c r="E288">
        <v>0.43447999999999998</v>
      </c>
      <c r="F288">
        <f>E288/D288</f>
        <v>0.4332927777888585</v>
      </c>
      <c r="G288">
        <v>0.2</v>
      </c>
      <c r="H288">
        <f>H$285/G288</f>
        <v>1.585</v>
      </c>
      <c r="I288">
        <f>H288+1</f>
        <v>2.585</v>
      </c>
      <c r="J288">
        <f>F288-I288/100</f>
        <v>0.40744277778885851</v>
      </c>
      <c r="K288">
        <v>2</v>
      </c>
      <c r="L288" s="24">
        <f>G288*J288/(D288*20)</f>
        <v>4.063294351365843E-3</v>
      </c>
      <c r="M288" s="37">
        <f>1/L288</f>
        <v>246.10572445086541</v>
      </c>
    </row>
    <row r="289" spans="1:13" x14ac:dyDescent="0.25">
      <c r="A289">
        <v>281</v>
      </c>
      <c r="B289" s="6"/>
      <c r="C289" t="s">
        <v>119</v>
      </c>
      <c r="D289">
        <v>1.0017100000000001</v>
      </c>
      <c r="E289" s="1">
        <v>0.44124000000000002</v>
      </c>
      <c r="F289">
        <f>E289/D289</f>
        <v>0.44048676762735722</v>
      </c>
      <c r="G289">
        <v>0.2</v>
      </c>
      <c r="H289">
        <f>H$285/G289</f>
        <v>1.585</v>
      </c>
      <c r="I289">
        <f>H289+1</f>
        <v>2.585</v>
      </c>
      <c r="J289">
        <f>F289-I289/100</f>
        <v>0.41463676762735724</v>
      </c>
      <c r="K289">
        <v>3</v>
      </c>
      <c r="L289" s="24">
        <f>G289*J289/(D289*20)</f>
        <v>4.1392894912435458E-3</v>
      </c>
      <c r="M289" s="37">
        <f>1/L289</f>
        <v>241.58735505584923</v>
      </c>
    </row>
    <row r="290" spans="1:13" x14ac:dyDescent="0.25">
      <c r="A290">
        <v>282</v>
      </c>
      <c r="B290" s="6"/>
      <c r="C290" t="s">
        <v>120</v>
      </c>
      <c r="D290">
        <v>1.0008300000000001</v>
      </c>
      <c r="E290" s="1">
        <v>0.39817999999999998</v>
      </c>
      <c r="F290">
        <f>E290/D290</f>
        <v>0.39784978467871662</v>
      </c>
      <c r="G290">
        <v>0.2</v>
      </c>
      <c r="H290">
        <f>H$285/G290</f>
        <v>1.585</v>
      </c>
      <c r="I290">
        <f>H290+1</f>
        <v>2.585</v>
      </c>
      <c r="J290">
        <f>F290-I290/100</f>
        <v>0.37199978467871664</v>
      </c>
      <c r="K290">
        <v>4</v>
      </c>
      <c r="L290" s="24">
        <f>G290*J290/(D290*20)</f>
        <v>3.7169128091555669E-3</v>
      </c>
      <c r="M290" s="37">
        <f>1/L290</f>
        <v>269.04047830683083</v>
      </c>
    </row>
    <row r="291" spans="1:13" x14ac:dyDescent="0.25">
      <c r="A291">
        <v>283</v>
      </c>
      <c r="B291" s="6"/>
      <c r="C291" t="s">
        <v>121</v>
      </c>
      <c r="D291">
        <v>1.00098</v>
      </c>
      <c r="E291" s="1">
        <v>0.40244999999999997</v>
      </c>
      <c r="F291">
        <f>E291/D291</f>
        <v>0.40205598513456808</v>
      </c>
      <c r="G291">
        <v>0.2</v>
      </c>
      <c r="H291">
        <f>H$285/G291</f>
        <v>1.585</v>
      </c>
      <c r="I291">
        <f>H291+1</f>
        <v>2.585</v>
      </c>
      <c r="J291">
        <f>F291-I291/100</f>
        <v>0.3762059851345681</v>
      </c>
      <c r="K291">
        <v>5</v>
      </c>
      <c r="L291" s="24">
        <f>G291*J291/(D291*20)</f>
        <v>3.7583766422362892E-3</v>
      </c>
      <c r="M291" s="37">
        <f>1/L291</f>
        <v>266.07232195998995</v>
      </c>
    </row>
    <row r="292" spans="1:13" x14ac:dyDescent="0.25">
      <c r="A292">
        <v>284</v>
      </c>
      <c r="B292" s="6"/>
      <c r="E292" s="1"/>
      <c r="L292" s="24"/>
      <c r="M292" s="37"/>
    </row>
    <row r="293" spans="1:13" x14ac:dyDescent="0.25">
      <c r="A293">
        <v>285</v>
      </c>
      <c r="B293" s="6"/>
      <c r="E293" s="1"/>
      <c r="L293" s="24"/>
      <c r="M293" s="37"/>
    </row>
    <row r="294" spans="1:13" x14ac:dyDescent="0.25">
      <c r="A294">
        <v>286</v>
      </c>
      <c r="B294" s="6"/>
      <c r="C294" s="2" t="s">
        <v>153</v>
      </c>
      <c r="D294" s="3" t="s">
        <v>4</v>
      </c>
      <c r="E294" s="4" t="s">
        <v>5</v>
      </c>
      <c r="F294" s="4" t="s">
        <v>6</v>
      </c>
      <c r="G294" s="4" t="s">
        <v>7</v>
      </c>
      <c r="H294" s="4" t="s">
        <v>8</v>
      </c>
      <c r="I294" s="4" t="s">
        <v>9</v>
      </c>
      <c r="J294" s="31" t="s">
        <v>154</v>
      </c>
      <c r="K294" s="6"/>
      <c r="L294" s="6"/>
      <c r="M294" s="6"/>
    </row>
    <row r="295" spans="1:13" x14ac:dyDescent="0.25">
      <c r="A295">
        <v>287</v>
      </c>
      <c r="B295" s="6"/>
      <c r="C295" s="6" t="s">
        <v>155</v>
      </c>
      <c r="D295" s="3" t="s">
        <v>10</v>
      </c>
      <c r="E295" s="4" t="s">
        <v>11</v>
      </c>
      <c r="F295" s="4" t="s">
        <v>11</v>
      </c>
      <c r="G295" s="4" t="s">
        <v>12</v>
      </c>
      <c r="H295" s="4" t="s">
        <v>11</v>
      </c>
      <c r="I295" s="4" t="s">
        <v>11</v>
      </c>
      <c r="J295" s="31" t="s">
        <v>156</v>
      </c>
      <c r="K295" s="2" t="s">
        <v>4</v>
      </c>
      <c r="L295" s="2" t="s">
        <v>13</v>
      </c>
      <c r="M295" s="2" t="s">
        <v>164</v>
      </c>
    </row>
    <row r="296" spans="1:13" x14ac:dyDescent="0.25">
      <c r="A296">
        <v>288</v>
      </c>
      <c r="B296" s="5">
        <v>41327</v>
      </c>
      <c r="C296" s="6" t="s">
        <v>14</v>
      </c>
      <c r="D296" s="6">
        <v>0.10066181422000001</v>
      </c>
      <c r="E296" s="21">
        <v>-2.6431918066666701E-6</v>
      </c>
      <c r="F296" s="21">
        <v>-9.1408116000000002E-7</v>
      </c>
      <c r="G296" s="21">
        <v>3.2334634665656598E-8</v>
      </c>
      <c r="H296" s="21">
        <v>2.0503958642415701E-7</v>
      </c>
      <c r="I296" s="21">
        <v>7.2341554463998994E-8</v>
      </c>
      <c r="J296" s="10">
        <v>20.13</v>
      </c>
      <c r="K296">
        <v>0.2</v>
      </c>
      <c r="L296">
        <v>10</v>
      </c>
      <c r="M296" s="35">
        <f t="shared" ref="M296:M301" si="17">100*D296/(K296*5)</f>
        <v>10.066181422000001</v>
      </c>
    </row>
    <row r="297" spans="1:13" x14ac:dyDescent="0.25">
      <c r="A297">
        <v>289</v>
      </c>
      <c r="D297" s="6">
        <v>0.20127206459999999</v>
      </c>
      <c r="E297" s="21">
        <v>-4.8142616999999697E-6</v>
      </c>
      <c r="F297" s="21">
        <v>-1.76782252666667E-6</v>
      </c>
      <c r="G297" s="21">
        <v>2.09403945043464E-8</v>
      </c>
      <c r="H297" s="21">
        <v>2.14743638349179E-7</v>
      </c>
      <c r="I297" s="21">
        <v>9.6244894648059004E-8</v>
      </c>
      <c r="J297" s="10">
        <v>20.13</v>
      </c>
      <c r="K297">
        <v>0.2</v>
      </c>
      <c r="L297">
        <v>10</v>
      </c>
      <c r="M297" s="35">
        <f t="shared" si="17"/>
        <v>20.12720646</v>
      </c>
    </row>
    <row r="298" spans="1:13" x14ac:dyDescent="0.25">
      <c r="A298">
        <v>290</v>
      </c>
      <c r="D298" s="6">
        <v>0.40103114965999997</v>
      </c>
      <c r="E298" s="21">
        <v>-7.8988337500000003E-6</v>
      </c>
      <c r="F298" s="21">
        <v>-3.8593632833333301E-6</v>
      </c>
      <c r="G298" s="21">
        <v>1.2028510955179799E-7</v>
      </c>
      <c r="H298" s="21">
        <v>3.1399202801627099E-7</v>
      </c>
      <c r="I298" s="21">
        <v>2.2032451453266201E-7</v>
      </c>
      <c r="J298" s="10">
        <v>20.14</v>
      </c>
      <c r="K298">
        <v>0.2</v>
      </c>
      <c r="L298">
        <v>10</v>
      </c>
      <c r="M298" s="35">
        <f t="shared" si="17"/>
        <v>40.103114966</v>
      </c>
    </row>
    <row r="299" spans="1:13" x14ac:dyDescent="0.25">
      <c r="A299">
        <v>291</v>
      </c>
      <c r="D299" s="6">
        <v>0.60028010089999995</v>
      </c>
      <c r="E299" s="21">
        <v>-1.03575472166667E-5</v>
      </c>
      <c r="F299" s="21">
        <v>-6.1394131666666604E-6</v>
      </c>
      <c r="G299" s="21">
        <v>3.97567104648894E-7</v>
      </c>
      <c r="H299" s="21">
        <v>2.3575588972724399E-7</v>
      </c>
      <c r="I299" s="21">
        <v>2.4603292720481798E-7</v>
      </c>
      <c r="J299" s="10">
        <v>20.170000000000002</v>
      </c>
      <c r="K299">
        <v>0.2</v>
      </c>
      <c r="L299">
        <v>10</v>
      </c>
      <c r="M299" s="35">
        <f t="shared" si="17"/>
        <v>60.028010089999995</v>
      </c>
    </row>
    <row r="300" spans="1:13" x14ac:dyDescent="0.25">
      <c r="A300">
        <v>292</v>
      </c>
      <c r="D300" s="6">
        <v>1.0021124608</v>
      </c>
      <c r="E300" s="21">
        <v>-1.24592276666667E-5</v>
      </c>
      <c r="F300" s="21">
        <v>-1.0367221933333399E-5</v>
      </c>
      <c r="G300" s="21">
        <v>1.75681624692454E-6</v>
      </c>
      <c r="H300" s="21">
        <v>2.09191611769106E-7</v>
      </c>
      <c r="I300" s="21">
        <v>4.5952620119161402E-7</v>
      </c>
      <c r="J300" s="10">
        <v>20.28</v>
      </c>
      <c r="K300">
        <v>0.2</v>
      </c>
      <c r="L300">
        <v>10</v>
      </c>
      <c r="M300" s="35">
        <f t="shared" si="17"/>
        <v>100.21124608000001</v>
      </c>
    </row>
    <row r="301" spans="1:13" x14ac:dyDescent="0.25">
      <c r="A301">
        <v>293</v>
      </c>
      <c r="D301" s="6">
        <v>1.1980544598</v>
      </c>
      <c r="E301" s="21">
        <v>-1.3829416833333399E-5</v>
      </c>
      <c r="F301" s="21">
        <v>-1.2451472500000101E-5</v>
      </c>
      <c r="G301" s="21">
        <v>2.68781444789918E-6</v>
      </c>
      <c r="H301" s="21">
        <v>1.39119789749598E-7</v>
      </c>
      <c r="I301" s="21">
        <v>2.1850854772086899E-7</v>
      </c>
      <c r="J301" s="10">
        <v>20.46</v>
      </c>
      <c r="K301">
        <v>0.2</v>
      </c>
      <c r="L301">
        <v>10</v>
      </c>
      <c r="M301" s="35">
        <f t="shared" si="17"/>
        <v>119.80544598</v>
      </c>
    </row>
    <row r="302" spans="1:13" x14ac:dyDescent="0.25">
      <c r="A302">
        <v>294</v>
      </c>
      <c r="D302" s="32" t="s">
        <v>157</v>
      </c>
      <c r="F302" s="1"/>
      <c r="G302" s="1"/>
      <c r="H302" s="1"/>
      <c r="I302" s="1"/>
      <c r="J302" s="1"/>
      <c r="L302" s="1"/>
      <c r="M302" s="1"/>
    </row>
    <row r="303" spans="1:13" x14ac:dyDescent="0.25">
      <c r="A303">
        <v>295</v>
      </c>
      <c r="B303" s="6"/>
      <c r="C303" s="6"/>
      <c r="D303" s="6"/>
      <c r="E303" s="21"/>
      <c r="F303" s="21"/>
      <c r="G303" s="21"/>
      <c r="H303" s="21"/>
      <c r="I303" s="21"/>
      <c r="L303" s="6"/>
      <c r="M303" s="6"/>
    </row>
    <row r="304" spans="1:13" x14ac:dyDescent="0.25">
      <c r="A304">
        <v>296</v>
      </c>
      <c r="B304" s="6"/>
      <c r="C304" s="6"/>
      <c r="D304" s="6"/>
      <c r="E304" s="21"/>
      <c r="F304" s="21"/>
      <c r="G304" s="21"/>
      <c r="H304" s="21"/>
      <c r="I304" s="21"/>
      <c r="L304" s="33"/>
      <c r="M304" s="33"/>
    </row>
    <row r="305" spans="1:13" x14ac:dyDescent="0.25">
      <c r="A305">
        <v>297</v>
      </c>
      <c r="C305" s="6" t="s">
        <v>158</v>
      </c>
      <c r="D305">
        <v>0.10177848120000001</v>
      </c>
      <c r="E305" s="1">
        <v>-2.7882176666666702E-6</v>
      </c>
      <c r="F305" s="1">
        <v>-1.07751288666667E-6</v>
      </c>
      <c r="G305" s="1">
        <v>1.13530238438999E-8</v>
      </c>
      <c r="H305" s="1">
        <v>1.11431965867589E-6</v>
      </c>
      <c r="I305" s="1">
        <v>1.23950405758194E-6</v>
      </c>
      <c r="J305" s="10">
        <v>20.76</v>
      </c>
      <c r="K305">
        <v>0.2</v>
      </c>
      <c r="L305">
        <v>10</v>
      </c>
      <c r="M305" s="35">
        <f t="shared" ref="M305:M310" si="18">100*D305/(K305*5)</f>
        <v>10.17784812</v>
      </c>
    </row>
    <row r="306" spans="1:13" x14ac:dyDescent="0.25">
      <c r="A306">
        <v>298</v>
      </c>
      <c r="D306">
        <v>0.20078480673999999</v>
      </c>
      <c r="E306" s="1">
        <v>-4.6572219833333302E-6</v>
      </c>
      <c r="F306" s="1">
        <v>-1.7484238116666699E-6</v>
      </c>
      <c r="G306" s="1">
        <v>2.25382588200263E-8</v>
      </c>
      <c r="H306" s="1">
        <v>2.14479739237144E-7</v>
      </c>
      <c r="I306" s="1">
        <v>9.7103152650739998E-8</v>
      </c>
      <c r="J306" s="10">
        <v>20.74</v>
      </c>
      <c r="K306">
        <v>0.2</v>
      </c>
      <c r="L306">
        <v>10</v>
      </c>
      <c r="M306" s="35">
        <f t="shared" si="18"/>
        <v>20.078480673999998</v>
      </c>
    </row>
    <row r="307" spans="1:13" x14ac:dyDescent="0.25">
      <c r="A307">
        <v>299</v>
      </c>
      <c r="D307">
        <v>0.40011531342000001</v>
      </c>
      <c r="E307" s="1">
        <v>-7.8038043499999505E-6</v>
      </c>
      <c r="F307" s="1">
        <v>-3.8146265499999998E-6</v>
      </c>
      <c r="G307" s="1">
        <v>1.0582528169652699E-7</v>
      </c>
      <c r="H307" s="1">
        <v>2.99465362828897E-7</v>
      </c>
      <c r="I307" s="1">
        <v>2.27463517899605E-7</v>
      </c>
      <c r="J307" s="10">
        <v>20.73</v>
      </c>
      <c r="K307">
        <v>0.2</v>
      </c>
      <c r="L307">
        <v>10</v>
      </c>
      <c r="M307" s="35">
        <f t="shared" si="18"/>
        <v>40.011531341999998</v>
      </c>
    </row>
    <row r="308" spans="1:13" x14ac:dyDescent="0.25">
      <c r="A308">
        <v>300</v>
      </c>
      <c r="C308" s="6"/>
      <c r="D308">
        <v>0.60032931794</v>
      </c>
      <c r="E308" s="1">
        <v>-9.8121460500000004E-6</v>
      </c>
      <c r="F308" s="1">
        <v>-5.9496949499999997E-6</v>
      </c>
      <c r="G308" s="1">
        <v>3.6621538668309898E-7</v>
      </c>
      <c r="H308" s="1">
        <v>2.0943382219585301E-7</v>
      </c>
      <c r="I308" s="1">
        <v>2.75343716883699E-7</v>
      </c>
      <c r="J308" s="10">
        <v>20.73</v>
      </c>
      <c r="K308">
        <v>0.2</v>
      </c>
      <c r="L308">
        <v>10</v>
      </c>
      <c r="M308" s="35">
        <f t="shared" si="18"/>
        <v>60.032931794</v>
      </c>
    </row>
    <row r="309" spans="1:13" x14ac:dyDescent="0.25">
      <c r="A309">
        <v>301</v>
      </c>
      <c r="D309">
        <v>1.0059666302000001</v>
      </c>
      <c r="E309" s="1">
        <v>-1.24484752333334E-5</v>
      </c>
      <c r="F309" s="1">
        <v>-1.03384099E-5</v>
      </c>
      <c r="G309" s="1">
        <v>1.8515305518772499E-6</v>
      </c>
      <c r="H309" s="1">
        <v>2.6627054144162299E-7</v>
      </c>
      <c r="I309" s="1">
        <v>4.5808099121188199E-7</v>
      </c>
      <c r="J309" s="10">
        <v>20.79</v>
      </c>
      <c r="K309">
        <v>0.2</v>
      </c>
      <c r="L309">
        <v>10</v>
      </c>
      <c r="M309" s="35">
        <f t="shared" si="18"/>
        <v>100.59666302000001</v>
      </c>
    </row>
    <row r="310" spans="1:13" x14ac:dyDescent="0.25">
      <c r="A310">
        <v>302</v>
      </c>
      <c r="D310">
        <v>1.1984204698000001</v>
      </c>
      <c r="E310" s="1">
        <v>-1.34617171666667E-5</v>
      </c>
      <c r="F310" s="1">
        <v>-1.24508146666667E-5</v>
      </c>
      <c r="G310" s="1">
        <v>2.5744220777981598E-6</v>
      </c>
      <c r="H310" s="1">
        <v>2.10642334749306E-7</v>
      </c>
      <c r="I310" s="1">
        <v>2.24578757643931E-7</v>
      </c>
      <c r="J310" s="10">
        <v>21.01</v>
      </c>
      <c r="K310">
        <v>0.2</v>
      </c>
      <c r="L310">
        <v>10</v>
      </c>
      <c r="M310" s="35">
        <f t="shared" si="18"/>
        <v>119.84204698000001</v>
      </c>
    </row>
    <row r="311" spans="1:13" x14ac:dyDescent="0.25">
      <c r="A311">
        <v>303</v>
      </c>
      <c r="D311" s="32" t="s">
        <v>157</v>
      </c>
      <c r="F311" s="1"/>
      <c r="G311" s="1"/>
      <c r="H311" s="1"/>
      <c r="I311" s="1"/>
      <c r="J311" s="1"/>
      <c r="L311" s="1"/>
      <c r="M311" s="1"/>
    </row>
    <row r="312" spans="1:13" x14ac:dyDescent="0.25">
      <c r="A312">
        <v>304</v>
      </c>
      <c r="E312" s="1"/>
      <c r="F312" s="1"/>
      <c r="G312" s="1"/>
      <c r="H312" s="1"/>
      <c r="I312" s="1"/>
      <c r="L312" s="26"/>
      <c r="M312" s="26"/>
    </row>
    <row r="313" spans="1:13" x14ac:dyDescent="0.25">
      <c r="A313">
        <v>305</v>
      </c>
      <c r="C313" s="6" t="s">
        <v>159</v>
      </c>
      <c r="D313">
        <v>0.10010017622</v>
      </c>
      <c r="E313" s="1">
        <v>-2.6952004333333302E-6</v>
      </c>
      <c r="F313" s="1">
        <v>-1.0460448883333299E-6</v>
      </c>
      <c r="G313" s="1">
        <v>2.3929673306587299E-8</v>
      </c>
      <c r="H313" s="1">
        <v>1.08762465581505E-6</v>
      </c>
      <c r="I313" s="1">
        <v>1.2434596606014201E-6</v>
      </c>
      <c r="J313" s="10">
        <v>21.43</v>
      </c>
      <c r="K313">
        <v>0.2</v>
      </c>
      <c r="L313">
        <v>10</v>
      </c>
      <c r="M313" s="35">
        <f t="shared" ref="M313:M318" si="19">100*D313/(K313*5)</f>
        <v>10.010017621999999</v>
      </c>
    </row>
    <row r="314" spans="1:13" x14ac:dyDescent="0.25">
      <c r="A314">
        <v>306</v>
      </c>
      <c r="D314">
        <v>0.20022459876000001</v>
      </c>
      <c r="E314" s="1">
        <v>-4.6452831333333303E-6</v>
      </c>
      <c r="F314" s="1">
        <v>-1.74352458166667E-6</v>
      </c>
      <c r="G314" s="1">
        <v>2.11407447229416E-8</v>
      </c>
      <c r="H314" s="1">
        <v>2.16061120950027E-7</v>
      </c>
      <c r="I314" s="1">
        <v>9.3210820021318002E-8</v>
      </c>
      <c r="J314" s="10">
        <v>21.39</v>
      </c>
      <c r="K314">
        <v>0.2</v>
      </c>
      <c r="L314">
        <v>10</v>
      </c>
      <c r="M314" s="35">
        <f t="shared" si="19"/>
        <v>20.022459876000003</v>
      </c>
    </row>
    <row r="315" spans="1:13" x14ac:dyDescent="0.25">
      <c r="A315">
        <v>307</v>
      </c>
      <c r="D315">
        <v>0.40043943393999998</v>
      </c>
      <c r="E315" s="1">
        <v>-7.8022525666666208E-6</v>
      </c>
      <c r="F315" s="1">
        <v>-3.80820788333333E-6</v>
      </c>
      <c r="G315" s="1">
        <v>4.6267465085503998E-8</v>
      </c>
      <c r="H315" s="1">
        <v>3.1486664819054703E-7</v>
      </c>
      <c r="I315" s="1">
        <v>2.3049651614725E-7</v>
      </c>
      <c r="J315" s="10">
        <v>21.36</v>
      </c>
      <c r="K315">
        <v>0.2</v>
      </c>
      <c r="L315">
        <v>10</v>
      </c>
      <c r="M315" s="35">
        <f t="shared" si="19"/>
        <v>40.043943393999996</v>
      </c>
    </row>
    <row r="316" spans="1:13" x14ac:dyDescent="0.25">
      <c r="A316">
        <v>308</v>
      </c>
      <c r="D316">
        <v>0.60020276435999997</v>
      </c>
      <c r="E316" s="1">
        <v>-1.0069532716666699E-5</v>
      </c>
      <c r="F316" s="1">
        <v>-5.9070517999999901E-6</v>
      </c>
      <c r="G316" s="1">
        <v>2.9189364863561898E-7</v>
      </c>
      <c r="H316" s="1">
        <v>2.47389596983758E-7</v>
      </c>
      <c r="I316" s="1">
        <v>2.3849083913173701E-7</v>
      </c>
      <c r="J316" s="10">
        <v>21.34</v>
      </c>
      <c r="K316">
        <v>0.2</v>
      </c>
      <c r="L316">
        <v>10</v>
      </c>
      <c r="M316" s="35">
        <f t="shared" si="19"/>
        <v>60.020276435999996</v>
      </c>
    </row>
    <row r="317" spans="1:13" x14ac:dyDescent="0.25">
      <c r="A317">
        <v>309</v>
      </c>
      <c r="D317">
        <v>1.00651954</v>
      </c>
      <c r="E317" s="1">
        <v>-1.24500896500001E-5</v>
      </c>
      <c r="F317" s="1">
        <v>-1.0328214750000001E-5</v>
      </c>
      <c r="G317" s="1">
        <v>1.8203370044695499E-6</v>
      </c>
      <c r="H317" s="1">
        <v>2.5022548489654003E-7</v>
      </c>
      <c r="I317" s="1">
        <v>4.9153161957287803E-7</v>
      </c>
      <c r="J317" s="10">
        <v>21.39</v>
      </c>
      <c r="K317">
        <v>0.2</v>
      </c>
      <c r="L317">
        <v>10</v>
      </c>
      <c r="M317" s="35">
        <f t="shared" si="19"/>
        <v>100.651954</v>
      </c>
    </row>
    <row r="318" spans="1:13" x14ac:dyDescent="0.25">
      <c r="A318">
        <v>310</v>
      </c>
      <c r="D318">
        <v>1.1963332514</v>
      </c>
      <c r="E318" s="1">
        <v>-1.32916408333334E-5</v>
      </c>
      <c r="F318" s="1">
        <v>-1.24584325E-5</v>
      </c>
      <c r="G318" s="1">
        <v>2.5532675379018602E-6</v>
      </c>
      <c r="H318" s="1">
        <v>1.4931612755930101E-7</v>
      </c>
      <c r="I318" s="1">
        <v>2.27836309135345E-7</v>
      </c>
      <c r="J318" s="10">
        <v>21.49</v>
      </c>
      <c r="K318">
        <v>0.2</v>
      </c>
      <c r="L318">
        <v>10</v>
      </c>
      <c r="M318" s="35">
        <f t="shared" si="19"/>
        <v>119.63332514</v>
      </c>
    </row>
    <row r="319" spans="1:13" x14ac:dyDescent="0.25">
      <c r="A319">
        <v>311</v>
      </c>
      <c r="D319" s="32" t="s">
        <v>157</v>
      </c>
      <c r="F319" s="1"/>
      <c r="G319" s="1"/>
      <c r="H319" s="1"/>
      <c r="I319" s="1"/>
      <c r="J319" s="1"/>
      <c r="L319" s="1"/>
      <c r="M319" s="1"/>
    </row>
    <row r="320" spans="1:13" x14ac:dyDescent="0.25">
      <c r="A320">
        <v>312</v>
      </c>
      <c r="C320" s="6" t="s">
        <v>160</v>
      </c>
      <c r="E320" s="1"/>
      <c r="F320" s="1"/>
      <c r="G320" s="1"/>
      <c r="H320" s="1"/>
      <c r="I320" s="1"/>
      <c r="L320" s="26"/>
      <c r="M320" s="26"/>
    </row>
    <row r="321" spans="1:13" x14ac:dyDescent="0.25">
      <c r="A321">
        <v>313</v>
      </c>
      <c r="D321">
        <v>0.10121758209999999</v>
      </c>
      <c r="E321" s="1">
        <v>-2.7123840000000001E-6</v>
      </c>
      <c r="F321" s="1">
        <v>-1.0362315266666699E-6</v>
      </c>
      <c r="G321" s="1">
        <v>3.3449901303315302E-8</v>
      </c>
      <c r="H321" s="1">
        <v>1.0841283544331799E-6</v>
      </c>
      <c r="I321" s="1">
        <v>1.24412587951023E-6</v>
      </c>
      <c r="J321" s="10">
        <v>21.94</v>
      </c>
      <c r="K321">
        <v>0.2</v>
      </c>
      <c r="L321">
        <v>10</v>
      </c>
      <c r="M321" s="35">
        <f t="shared" ref="M321:M326" si="20">100*D321/(K321*5)</f>
        <v>10.121758209999999</v>
      </c>
    </row>
    <row r="322" spans="1:13" x14ac:dyDescent="0.25">
      <c r="A322">
        <v>314</v>
      </c>
      <c r="D322">
        <v>0.19976587783999999</v>
      </c>
      <c r="E322" s="1">
        <v>-4.5649188999999996E-6</v>
      </c>
      <c r="F322" s="1">
        <v>-1.73605586666666E-6</v>
      </c>
      <c r="G322" s="1">
        <v>6.00757917787042E-8</v>
      </c>
      <c r="H322" s="1">
        <v>2.10042032089111E-7</v>
      </c>
      <c r="I322" s="1">
        <v>9.4164935749330396E-8</v>
      </c>
      <c r="J322" s="10">
        <v>21.9</v>
      </c>
      <c r="K322">
        <v>0.2</v>
      </c>
      <c r="L322">
        <v>10</v>
      </c>
      <c r="M322" s="35">
        <f t="shared" si="20"/>
        <v>19.976587783999999</v>
      </c>
    </row>
    <row r="323" spans="1:13" x14ac:dyDescent="0.25">
      <c r="A323">
        <v>315</v>
      </c>
      <c r="D323">
        <v>0.39960189493999998</v>
      </c>
      <c r="E323" s="1">
        <v>-7.8010382499999492E-6</v>
      </c>
      <c r="F323" s="1">
        <v>-3.7099307500000002E-6</v>
      </c>
      <c r="G323" s="1">
        <v>1.2436825874837601E-8</v>
      </c>
      <c r="H323" s="1">
        <v>3.2727968595546102E-7</v>
      </c>
      <c r="I323" s="1">
        <v>2.2459313131216701E-7</v>
      </c>
      <c r="J323" s="10">
        <v>21.85</v>
      </c>
      <c r="K323">
        <v>0.2</v>
      </c>
      <c r="L323">
        <v>10</v>
      </c>
      <c r="M323" s="35">
        <f t="shared" si="20"/>
        <v>39.960189493999998</v>
      </c>
    </row>
    <row r="324" spans="1:13" x14ac:dyDescent="0.25">
      <c r="A324">
        <v>316</v>
      </c>
      <c r="D324">
        <v>0.60036370043999998</v>
      </c>
      <c r="E324" s="1">
        <v>-9.7751963500000005E-6</v>
      </c>
      <c r="F324" s="1">
        <v>-5.7544431833333303E-6</v>
      </c>
      <c r="G324" s="1">
        <v>2.18505851401442E-7</v>
      </c>
      <c r="H324" s="1">
        <v>1.9866765801838699E-7</v>
      </c>
      <c r="I324" s="1">
        <v>2.4880003125810302E-7</v>
      </c>
      <c r="J324" s="10">
        <v>21.82</v>
      </c>
      <c r="K324">
        <v>0.2</v>
      </c>
      <c r="L324">
        <v>10</v>
      </c>
      <c r="M324" s="35">
        <f t="shared" si="20"/>
        <v>60.036370043999995</v>
      </c>
    </row>
    <row r="325" spans="1:13" x14ac:dyDescent="0.25">
      <c r="A325">
        <v>317</v>
      </c>
      <c r="D325">
        <v>1.0012925589999999</v>
      </c>
      <c r="E325" s="1">
        <v>-1.2448997200000101E-5</v>
      </c>
      <c r="F325" s="1">
        <v>-1.03269534333333E-5</v>
      </c>
      <c r="G325" s="1">
        <v>1.47854558064335E-6</v>
      </c>
      <c r="H325" s="1">
        <v>2.6090922326515102E-7</v>
      </c>
      <c r="I325" s="1">
        <v>5.0297333603702703E-7</v>
      </c>
      <c r="J325" s="10">
        <v>21.88</v>
      </c>
      <c r="K325">
        <v>0.2</v>
      </c>
      <c r="L325">
        <v>10</v>
      </c>
      <c r="M325" s="35">
        <f t="shared" si="20"/>
        <v>100.12925589999999</v>
      </c>
    </row>
    <row r="326" spans="1:13" x14ac:dyDescent="0.25">
      <c r="A326">
        <v>318</v>
      </c>
      <c r="C326" s="1"/>
      <c r="D326">
        <v>1.1985930149999999</v>
      </c>
      <c r="E326" s="1">
        <v>-1.31712573333335E-5</v>
      </c>
      <c r="F326" s="1">
        <v>-1.2443349166666699E-5</v>
      </c>
      <c r="G326" s="1">
        <v>2.35647249640619E-6</v>
      </c>
      <c r="H326" s="1">
        <v>7.1852211375541505E-8</v>
      </c>
      <c r="I326" s="1">
        <v>2.2544880054232199E-7</v>
      </c>
      <c r="J326" s="10">
        <v>22.04</v>
      </c>
      <c r="K326">
        <v>0.2</v>
      </c>
      <c r="L326">
        <v>10</v>
      </c>
      <c r="M326" s="35">
        <f t="shared" si="20"/>
        <v>119.85930149999999</v>
      </c>
    </row>
    <row r="327" spans="1:13" x14ac:dyDescent="0.25">
      <c r="A327">
        <v>319</v>
      </c>
      <c r="C327" s="1"/>
      <c r="D327" s="32" t="s">
        <v>157</v>
      </c>
      <c r="F327" s="1"/>
      <c r="G327" s="1"/>
      <c r="H327" s="1"/>
      <c r="I327" s="1"/>
      <c r="J327" s="1"/>
      <c r="L327" s="1"/>
      <c r="M327" s="1"/>
    </row>
    <row r="328" spans="1:13" x14ac:dyDescent="0.25">
      <c r="A328">
        <v>320</v>
      </c>
      <c r="C328" s="6" t="s">
        <v>161</v>
      </c>
      <c r="E328" s="1"/>
      <c r="F328" s="1"/>
      <c r="G328" s="1"/>
      <c r="H328" s="1"/>
      <c r="I328" s="1"/>
      <c r="L328" s="26"/>
      <c r="M328" s="26"/>
    </row>
    <row r="329" spans="1:13" x14ac:dyDescent="0.25">
      <c r="A329">
        <v>321</v>
      </c>
      <c r="D329">
        <v>0.1002852316</v>
      </c>
      <c r="E329" s="1">
        <v>-2.6263951499999999E-6</v>
      </c>
      <c r="F329" s="1">
        <v>-1.030829305E-6</v>
      </c>
      <c r="G329" s="1">
        <v>1.03929963794876E-7</v>
      </c>
      <c r="H329" s="1">
        <v>1.0609318937575499E-6</v>
      </c>
      <c r="I329" s="1">
        <v>1.2433135656703899E-6</v>
      </c>
      <c r="J329" s="10">
        <v>23.45</v>
      </c>
      <c r="K329">
        <v>0.2</v>
      </c>
      <c r="L329">
        <v>10</v>
      </c>
      <c r="M329" s="35">
        <f t="shared" ref="M329:M334" si="21">100*D329/(K329*5)</f>
        <v>10.028523159999999</v>
      </c>
    </row>
    <row r="330" spans="1:13" x14ac:dyDescent="0.25">
      <c r="A330">
        <v>322</v>
      </c>
      <c r="D330">
        <v>0.20081079869999999</v>
      </c>
      <c r="E330" s="1">
        <v>-4.5618507999999997E-6</v>
      </c>
      <c r="F330" s="1">
        <v>-1.74465078166668E-6</v>
      </c>
      <c r="G330" s="1">
        <v>1.5464217589391999E-7</v>
      </c>
      <c r="H330" s="1">
        <v>2.0079818933370199E-7</v>
      </c>
      <c r="I330" s="1">
        <v>1.0306968709372E-7</v>
      </c>
      <c r="J330" s="10">
        <v>23.46</v>
      </c>
      <c r="K330">
        <v>0.2</v>
      </c>
      <c r="L330">
        <v>10</v>
      </c>
      <c r="M330" s="35">
        <f t="shared" si="21"/>
        <v>20.08107987</v>
      </c>
    </row>
    <row r="331" spans="1:13" x14ac:dyDescent="0.25">
      <c r="A331">
        <v>323</v>
      </c>
      <c r="D331">
        <v>0.40062925890000001</v>
      </c>
      <c r="E331" s="1">
        <v>-7.7999522999999594E-6</v>
      </c>
      <c r="F331" s="1">
        <v>-3.82846886666666E-6</v>
      </c>
      <c r="G331" s="1">
        <v>1.1556645860633701E-7</v>
      </c>
      <c r="H331" s="1">
        <v>3.2821328282390201E-7</v>
      </c>
      <c r="I331" s="1">
        <v>2.29296148065586E-7</v>
      </c>
      <c r="J331" s="10">
        <v>23.41</v>
      </c>
      <c r="K331">
        <v>0.2</v>
      </c>
      <c r="L331">
        <v>10</v>
      </c>
      <c r="M331" s="35">
        <f t="shared" si="21"/>
        <v>40.062925890000002</v>
      </c>
    </row>
    <row r="332" spans="1:13" x14ac:dyDescent="0.25">
      <c r="A332">
        <v>324</v>
      </c>
      <c r="D332">
        <v>0.60031290280000005</v>
      </c>
      <c r="E332" s="1">
        <v>-9.6869184833333199E-6</v>
      </c>
      <c r="F332" s="1">
        <v>-5.8263441333333298E-6</v>
      </c>
      <c r="G332" s="1">
        <v>8.4222783295165696E-8</v>
      </c>
      <c r="H332" s="1">
        <v>1.8696709280833299E-7</v>
      </c>
      <c r="I332" s="1">
        <v>2.2877312661000101E-7</v>
      </c>
      <c r="J332" s="10">
        <v>23.35</v>
      </c>
      <c r="K332">
        <v>0.2</v>
      </c>
      <c r="L332">
        <v>10</v>
      </c>
      <c r="M332" s="35">
        <f t="shared" si="21"/>
        <v>60.031290280000007</v>
      </c>
    </row>
    <row r="333" spans="1:13" x14ac:dyDescent="0.25">
      <c r="A333">
        <v>325</v>
      </c>
      <c r="B333" s="1"/>
      <c r="D333">
        <v>1.0006231997999999</v>
      </c>
      <c r="E333" s="1">
        <v>-1.2439064583333401E-5</v>
      </c>
      <c r="F333" s="1">
        <v>-1.0327796633333299E-5</v>
      </c>
      <c r="G333" s="1">
        <v>1.3298142002161399E-6</v>
      </c>
      <c r="H333" s="1">
        <v>2.7492861222293101E-7</v>
      </c>
      <c r="I333" s="1">
        <v>4.9511206948024098E-7</v>
      </c>
      <c r="J333" s="10">
        <v>23.33</v>
      </c>
      <c r="K333">
        <v>0.2</v>
      </c>
      <c r="L333">
        <v>10</v>
      </c>
      <c r="M333" s="35">
        <f t="shared" si="21"/>
        <v>100.06231998</v>
      </c>
    </row>
    <row r="334" spans="1:13" x14ac:dyDescent="0.25">
      <c r="A334">
        <v>326</v>
      </c>
      <c r="B334" s="1"/>
      <c r="C334" s="1"/>
      <c r="D334">
        <v>1.1976655302000001</v>
      </c>
      <c r="E334" s="1">
        <v>-1.31657815000001E-5</v>
      </c>
      <c r="F334" s="1">
        <v>-1.2450804666666701E-5</v>
      </c>
      <c r="G334" s="1">
        <v>2.27315744314718E-6</v>
      </c>
      <c r="H334" s="1">
        <v>6.9788511287674296E-8</v>
      </c>
      <c r="I334" s="1">
        <v>2.24826031955572E-7</v>
      </c>
      <c r="J334" s="10">
        <v>23.42</v>
      </c>
      <c r="K334">
        <v>0.2</v>
      </c>
      <c r="L334">
        <v>10</v>
      </c>
      <c r="M334" s="35">
        <f t="shared" si="21"/>
        <v>119.76655302</v>
      </c>
    </row>
    <row r="335" spans="1:13" x14ac:dyDescent="0.25">
      <c r="A335">
        <v>327</v>
      </c>
      <c r="B335" s="1"/>
      <c r="C335" s="1"/>
      <c r="D335" s="32" t="s">
        <v>157</v>
      </c>
      <c r="F335" s="1"/>
      <c r="G335" s="1"/>
      <c r="H335" s="1"/>
      <c r="I335" s="1"/>
      <c r="J335" s="1"/>
      <c r="L335" s="1"/>
      <c r="M335" s="1"/>
    </row>
    <row r="336" spans="1:13" x14ac:dyDescent="0.25">
      <c r="A336">
        <v>328</v>
      </c>
      <c r="B336" s="1"/>
      <c r="C336" s="1"/>
      <c r="E336" s="1"/>
      <c r="F336" s="1"/>
      <c r="G336" s="1"/>
      <c r="H336" s="1"/>
      <c r="I336" s="1"/>
      <c r="L336" s="26"/>
      <c r="M336" s="26"/>
    </row>
    <row r="337" spans="1:13" x14ac:dyDescent="0.25">
      <c r="A337">
        <v>329</v>
      </c>
      <c r="B337" s="1"/>
      <c r="C337" s="1"/>
      <c r="E337" s="1"/>
      <c r="F337" s="1"/>
      <c r="G337" s="1"/>
      <c r="H337" s="1"/>
      <c r="I337" s="1"/>
      <c r="L337" s="26"/>
      <c r="M337" s="26"/>
    </row>
    <row r="338" spans="1:13" x14ac:dyDescent="0.25">
      <c r="A338">
        <v>330</v>
      </c>
      <c r="B338" s="1"/>
      <c r="C338" s="1" t="s">
        <v>162</v>
      </c>
      <c r="D338">
        <v>1.1951874168000001</v>
      </c>
      <c r="E338" s="1">
        <v>-1.31728005000001E-5</v>
      </c>
      <c r="F338" s="1">
        <v>-1.2468198500000099E-5</v>
      </c>
      <c r="G338" s="1">
        <v>1.69414983228045E-6</v>
      </c>
      <c r="H338" s="1">
        <v>2.83460314682762E-10</v>
      </c>
      <c r="I338" s="1">
        <v>1.7660968671527299E-8</v>
      </c>
      <c r="J338" s="10">
        <v>23.53</v>
      </c>
      <c r="K338">
        <v>0.2</v>
      </c>
      <c r="L338">
        <v>10</v>
      </c>
      <c r="M338" s="35">
        <f t="shared" ref="M338:M343" si="22">100*D338/(K338*5)</f>
        <v>119.51874168000001</v>
      </c>
    </row>
    <row r="339" spans="1:13" x14ac:dyDescent="0.25">
      <c r="A339">
        <v>331</v>
      </c>
      <c r="D339">
        <v>1.0025173140000001</v>
      </c>
      <c r="E339" s="1">
        <v>-1.2323846333333301E-5</v>
      </c>
      <c r="F339" s="1">
        <v>-1.04059811666667E-5</v>
      </c>
      <c r="G339" s="1">
        <v>1.6676929921288199E-7</v>
      </c>
      <c r="H339" s="1">
        <v>1.22885896342456E-7</v>
      </c>
      <c r="I339" s="1">
        <v>2.2440376934290499E-7</v>
      </c>
      <c r="J339" s="10">
        <v>23.75</v>
      </c>
      <c r="K339">
        <v>0.2</v>
      </c>
      <c r="L339">
        <v>10</v>
      </c>
      <c r="M339" s="35">
        <f t="shared" si="22"/>
        <v>100.25173140000001</v>
      </c>
    </row>
    <row r="340" spans="1:13" x14ac:dyDescent="0.25">
      <c r="A340">
        <v>332</v>
      </c>
      <c r="D340">
        <v>0.60017355951999996</v>
      </c>
      <c r="E340" s="1">
        <v>-9.7196892000000094E-6</v>
      </c>
      <c r="F340" s="1">
        <v>-5.9466170499999998E-6</v>
      </c>
      <c r="G340" s="1">
        <v>5.3882867993118905E-7</v>
      </c>
      <c r="H340" s="1">
        <v>2.7465599807218101E-7</v>
      </c>
      <c r="I340" s="1">
        <v>4.98417403524193E-7</v>
      </c>
      <c r="J340" s="10">
        <v>23.93</v>
      </c>
      <c r="K340">
        <v>0.2</v>
      </c>
      <c r="L340">
        <v>10</v>
      </c>
      <c r="M340" s="35">
        <f t="shared" si="22"/>
        <v>60.017355951999996</v>
      </c>
    </row>
    <row r="341" spans="1:13" x14ac:dyDescent="0.25">
      <c r="A341">
        <v>333</v>
      </c>
      <c r="D341">
        <v>0.40001035148000003</v>
      </c>
      <c r="E341" s="1">
        <v>-7.8276698999999908E-6</v>
      </c>
      <c r="F341" s="1">
        <v>-3.8009913166666602E-6</v>
      </c>
      <c r="G341" s="1">
        <v>3.4344407874662802E-7</v>
      </c>
      <c r="H341" s="1">
        <v>1.91585508318496E-7</v>
      </c>
      <c r="I341" s="1">
        <v>2.2449267614727699E-7</v>
      </c>
      <c r="J341" s="10">
        <v>24.06</v>
      </c>
      <c r="K341">
        <v>0.2</v>
      </c>
      <c r="L341">
        <v>10</v>
      </c>
      <c r="M341" s="35">
        <f t="shared" si="22"/>
        <v>40.001035148</v>
      </c>
    </row>
    <row r="342" spans="1:13" x14ac:dyDescent="0.25">
      <c r="A342">
        <v>334</v>
      </c>
      <c r="D342">
        <v>0.2003273817</v>
      </c>
      <c r="E342" s="1">
        <v>-4.5462147666666702E-6</v>
      </c>
      <c r="F342" s="1">
        <v>-1.77209403333335E-6</v>
      </c>
      <c r="G342" s="1">
        <v>1.5625320085674299E-7</v>
      </c>
      <c r="H342" s="1">
        <v>3.2273430792466498E-7</v>
      </c>
      <c r="I342" s="1">
        <v>2.2432144116215699E-7</v>
      </c>
      <c r="J342" s="10">
        <v>24.06</v>
      </c>
      <c r="K342">
        <v>0.2</v>
      </c>
      <c r="L342">
        <v>10</v>
      </c>
      <c r="M342" s="35">
        <f t="shared" si="22"/>
        <v>20.032738170000002</v>
      </c>
    </row>
    <row r="343" spans="1:13" x14ac:dyDescent="0.25">
      <c r="A343">
        <v>335</v>
      </c>
      <c r="D343">
        <v>0.10029546559999999</v>
      </c>
      <c r="E343" s="1">
        <v>-2.5007254499999998E-6</v>
      </c>
      <c r="F343" s="1">
        <v>-8.7053639833333401E-7</v>
      </c>
      <c r="G343" s="1">
        <v>9.4917924254610804E-8</v>
      </c>
      <c r="H343" s="1">
        <v>2.0777707023104699E-7</v>
      </c>
      <c r="I343" s="1">
        <v>1.10611990611851E-7</v>
      </c>
      <c r="J343" s="10">
        <v>24.01</v>
      </c>
      <c r="K343">
        <v>0.2</v>
      </c>
      <c r="L343">
        <v>10</v>
      </c>
      <c r="M343" s="35">
        <f t="shared" si="22"/>
        <v>10.02954656</v>
      </c>
    </row>
    <row r="344" spans="1:13" x14ac:dyDescent="0.25">
      <c r="A344">
        <v>336</v>
      </c>
      <c r="E344" s="1"/>
      <c r="F344" s="1"/>
      <c r="G344" s="1"/>
      <c r="H344" s="1"/>
      <c r="I344" s="1"/>
      <c r="J344" s="1"/>
      <c r="L344" s="1"/>
      <c r="M344" s="1"/>
    </row>
    <row r="345" spans="1:13" x14ac:dyDescent="0.25">
      <c r="A345">
        <v>337</v>
      </c>
      <c r="L345" s="26"/>
      <c r="M345" s="26"/>
    </row>
    <row r="346" spans="1:13" x14ac:dyDescent="0.25">
      <c r="A346">
        <v>338</v>
      </c>
      <c r="L346" s="26"/>
      <c r="M346" s="26"/>
    </row>
    <row r="347" spans="1:13" x14ac:dyDescent="0.25">
      <c r="A347">
        <v>339</v>
      </c>
      <c r="B347" s="34">
        <v>41330</v>
      </c>
      <c r="C347" s="2" t="s">
        <v>163</v>
      </c>
    </row>
    <row r="348" spans="1:13" x14ac:dyDescent="0.25">
      <c r="A348">
        <v>340</v>
      </c>
      <c r="D348">
        <v>1.1986681388</v>
      </c>
      <c r="E348" s="1">
        <v>-1.48286945333333E-5</v>
      </c>
      <c r="F348" s="1">
        <v>-1.40180794166666E-6</v>
      </c>
      <c r="G348" s="1">
        <v>8.3824646989308099E-6</v>
      </c>
      <c r="H348" s="1">
        <v>1.25005331501825E-6</v>
      </c>
      <c r="I348" s="1">
        <v>1.01502513224624E-7</v>
      </c>
      <c r="K348">
        <v>0.2</v>
      </c>
      <c r="L348">
        <v>10</v>
      </c>
      <c r="M348" s="35">
        <f t="shared" ref="M348:M353" si="23">100*D348/(K348*5)</f>
        <v>119.86681388</v>
      </c>
    </row>
    <row r="349" spans="1:13" x14ac:dyDescent="0.25">
      <c r="A349">
        <v>341</v>
      </c>
      <c r="D349">
        <v>1.0001620973800001</v>
      </c>
      <c r="E349" s="1">
        <v>-1.25289208333334E-5</v>
      </c>
      <c r="F349" s="1">
        <v>-1.3855155133333301E-6</v>
      </c>
      <c r="G349" s="1">
        <v>2.5083290245112801E-6</v>
      </c>
      <c r="H349" s="1">
        <v>2.6230982835056903E-7</v>
      </c>
      <c r="I349" s="1">
        <v>9.5310664538846704E-8</v>
      </c>
      <c r="K349">
        <v>0.2</v>
      </c>
      <c r="L349">
        <v>10</v>
      </c>
      <c r="M349" s="35">
        <f t="shared" si="23"/>
        <v>100.016209738</v>
      </c>
    </row>
    <row r="350" spans="1:13" x14ac:dyDescent="0.25">
      <c r="A350">
        <v>342</v>
      </c>
      <c r="D350">
        <v>0.60212391058000003</v>
      </c>
      <c r="E350" s="1">
        <v>-7.9344375000000007E-6</v>
      </c>
      <c r="F350" s="1">
        <v>-9.50516281499995E-7</v>
      </c>
      <c r="G350" s="1">
        <v>6.8883615013765802E-7</v>
      </c>
      <c r="H350" s="1">
        <v>4.8301340892437596E-7</v>
      </c>
      <c r="I350" s="1">
        <v>1.7028638313337501E-7</v>
      </c>
      <c r="K350">
        <v>0.2</v>
      </c>
      <c r="L350">
        <v>10</v>
      </c>
      <c r="M350" s="35">
        <f t="shared" si="23"/>
        <v>60.212391058000001</v>
      </c>
    </row>
    <row r="351" spans="1:13" x14ac:dyDescent="0.25">
      <c r="A351">
        <v>343</v>
      </c>
      <c r="D351">
        <v>0.40058401848000003</v>
      </c>
      <c r="E351" s="1">
        <v>-5.4342710333333397E-6</v>
      </c>
      <c r="F351" s="1">
        <v>-6.3178415999999996E-7</v>
      </c>
      <c r="G351" s="1">
        <v>6.6098832722290001E-7</v>
      </c>
      <c r="H351" s="1">
        <v>2.5950798525530099E-7</v>
      </c>
      <c r="I351" s="1">
        <v>1.17948385340966E-7</v>
      </c>
      <c r="K351">
        <v>0.2</v>
      </c>
      <c r="L351">
        <v>10</v>
      </c>
      <c r="M351" s="35">
        <f t="shared" si="23"/>
        <v>40.058401848000003</v>
      </c>
    </row>
    <row r="352" spans="1:13" x14ac:dyDescent="0.25">
      <c r="A352">
        <v>344</v>
      </c>
      <c r="D352">
        <v>0.20093239292000001</v>
      </c>
      <c r="E352" s="1">
        <v>-2.8182406833333399E-6</v>
      </c>
      <c r="F352" s="1">
        <v>-4.0631901833333302E-7</v>
      </c>
      <c r="G352" s="1">
        <v>4.0825594392850601E-7</v>
      </c>
      <c r="H352" s="1">
        <v>2.60751612496195E-7</v>
      </c>
      <c r="I352" s="1">
        <v>1.2632074147715401E-7</v>
      </c>
      <c r="K352">
        <v>0.2</v>
      </c>
      <c r="L352">
        <v>10</v>
      </c>
      <c r="M352" s="35">
        <f t="shared" si="23"/>
        <v>20.093239292</v>
      </c>
    </row>
    <row r="353" spans="1:15" x14ac:dyDescent="0.25">
      <c r="A353">
        <v>345</v>
      </c>
      <c r="D353">
        <v>0.100474513</v>
      </c>
      <c r="E353" s="1">
        <v>-1.48916876666667E-6</v>
      </c>
      <c r="F353" s="1">
        <v>-1.6678915053333301E-7</v>
      </c>
      <c r="G353" s="1">
        <v>1.85683774598632E-7</v>
      </c>
      <c r="H353" s="1">
        <v>1.4290256955753301E-7</v>
      </c>
      <c r="I353" s="1">
        <v>2.0688175039477199E-7</v>
      </c>
      <c r="K353">
        <v>0.2</v>
      </c>
      <c r="L353">
        <v>10</v>
      </c>
      <c r="M353" s="35">
        <f t="shared" si="23"/>
        <v>10.047451300000001</v>
      </c>
    </row>
    <row r="354" spans="1:15" x14ac:dyDescent="0.25">
      <c r="M354" s="27"/>
    </row>
    <row r="356" spans="1:15" x14ac:dyDescent="0.25">
      <c r="C356" t="str">
        <f>C198</f>
        <v>sec 1 vs sec 2</v>
      </c>
      <c r="D356">
        <f>AVERAGE(D198:D199)</f>
        <v>1.0044025017</v>
      </c>
      <c r="E356">
        <f t="shared" ref="E356:L356" si="24">AVERAGE(E198:E199)</f>
        <v>6.0938766666667008E-8</v>
      </c>
      <c r="F356">
        <f t="shared" si="24"/>
        <v>-1.2867565333333501E-7</v>
      </c>
      <c r="G356">
        <f t="shared" si="24"/>
        <v>3.5404870297172202E-6</v>
      </c>
      <c r="H356">
        <f t="shared" si="24"/>
        <v>9.3793273595797201E-8</v>
      </c>
      <c r="I356">
        <f t="shared" si="24"/>
        <v>6.7097073043085107E-8</v>
      </c>
      <c r="J356">
        <f t="shared" si="24"/>
        <v>20</v>
      </c>
      <c r="K356">
        <f t="shared" si="24"/>
        <v>0.2</v>
      </c>
      <c r="L356">
        <f t="shared" si="24"/>
        <v>10</v>
      </c>
      <c r="M356" s="26"/>
      <c r="O356" t="s">
        <v>170</v>
      </c>
    </row>
    <row r="357" spans="1:15" x14ac:dyDescent="0.25">
      <c r="C357" t="str">
        <f>C200</f>
        <v>sec 1 vs sec3</v>
      </c>
      <c r="D357">
        <f>AVERAGE(D200:D201)</f>
        <v>1.0018509829000002</v>
      </c>
      <c r="E357">
        <f t="shared" ref="E357:L357" si="25">AVERAGE(E200:E201)</f>
        <v>-7.2790777749999994E-7</v>
      </c>
      <c r="F357">
        <f t="shared" si="25"/>
        <v>-1.7792573833333251E-7</v>
      </c>
      <c r="G357">
        <f t="shared" si="25"/>
        <v>1.9918876309176943E-6</v>
      </c>
      <c r="H357">
        <f t="shared" si="25"/>
        <v>6.5781106796520348E-8</v>
      </c>
      <c r="I357">
        <f t="shared" si="25"/>
        <v>2.448229092426565E-8</v>
      </c>
      <c r="J357">
        <f t="shared" si="25"/>
        <v>20</v>
      </c>
      <c r="K357">
        <f t="shared" si="25"/>
        <v>0.2</v>
      </c>
      <c r="L357">
        <f t="shared" si="25"/>
        <v>10</v>
      </c>
    </row>
    <row r="358" spans="1:15" x14ac:dyDescent="0.25">
      <c r="C358" t="str">
        <f>C202</f>
        <v>sec 1 vs sec 4</v>
      </c>
      <c r="D358">
        <f>AVERAGE(D202:D203)</f>
        <v>0.99966279772</v>
      </c>
      <c r="E358">
        <f t="shared" ref="E358:L358" si="26">AVERAGE(E202:E203)</f>
        <v>-7.8222987916666492E-7</v>
      </c>
      <c r="F358">
        <f t="shared" si="26"/>
        <v>-2.0163037499999944E-8</v>
      </c>
      <c r="G358">
        <f t="shared" si="26"/>
        <v>3.3694862145797249E-6</v>
      </c>
      <c r="H358">
        <f t="shared" si="26"/>
        <v>5.4690606527905247E-8</v>
      </c>
      <c r="I358">
        <f t="shared" si="26"/>
        <v>2.898877476834805E-8</v>
      </c>
      <c r="J358">
        <f t="shared" si="26"/>
        <v>20</v>
      </c>
      <c r="K358">
        <f t="shared" si="26"/>
        <v>0.2</v>
      </c>
      <c r="L358">
        <f t="shared" si="26"/>
        <v>10</v>
      </c>
      <c r="M358" s="26"/>
    </row>
    <row r="359" spans="1:15" x14ac:dyDescent="0.25">
      <c r="C359" t="str">
        <f>C204</f>
        <v>sec 1 vs sec 5</v>
      </c>
      <c r="D359">
        <f>AVERAGE(D204:D205)</f>
        <v>1.003923409</v>
      </c>
      <c r="E359">
        <f t="shared" ref="E359:L359" si="27">AVERAGE(E204:E205)</f>
        <v>-2.233137316666665E-6</v>
      </c>
      <c r="F359">
        <f t="shared" si="27"/>
        <v>-1.688099376041665E-7</v>
      </c>
      <c r="G359">
        <f t="shared" si="27"/>
        <v>5.3512388093979752E-6</v>
      </c>
      <c r="H359">
        <f t="shared" si="27"/>
        <v>5.7338924283019698E-8</v>
      </c>
      <c r="I359">
        <f t="shared" si="27"/>
        <v>5.4772667318413945E-8</v>
      </c>
      <c r="J359">
        <f t="shared" si="27"/>
        <v>20</v>
      </c>
      <c r="K359">
        <f t="shared" si="27"/>
        <v>0.2</v>
      </c>
      <c r="L359">
        <f t="shared" si="27"/>
        <v>10</v>
      </c>
      <c r="M359" s="26"/>
    </row>
    <row r="360" spans="1:15" x14ac:dyDescent="0.25">
      <c r="M360" s="26"/>
    </row>
    <row r="361" spans="1:15" x14ac:dyDescent="0.25">
      <c r="M361" s="26"/>
    </row>
    <row r="362" spans="1:15" x14ac:dyDescent="0.25">
      <c r="M362" s="26"/>
    </row>
    <row r="363" spans="1:15" x14ac:dyDescent="0.25">
      <c r="M363" s="26"/>
    </row>
    <row r="364" spans="1:15" x14ac:dyDescent="0.25">
      <c r="M364" s="26"/>
    </row>
  </sheetData>
  <pageMargins left="0.7" right="0.7" top="0.75" bottom="0.75" header="0.3" footer="0.3"/>
  <pageSetup paperSize="9" scale="47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28AE8-ED91-4862-905F-09B77BE105E0}">
  <dimension ref="A1"/>
  <sheetViews>
    <sheetView tabSelected="1" workbookViewId="0">
      <selection activeCell="K23" sqref="K23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3686E-F203-4390-B6D2-84712565576C}">
  <dimension ref="A2:M374"/>
  <sheetViews>
    <sheetView workbookViewId="0">
      <selection activeCell="Q40" sqref="Q40"/>
    </sheetView>
  </sheetViews>
  <sheetFormatPr defaultRowHeight="15" x14ac:dyDescent="0.25"/>
  <sheetData>
    <row r="2" spans="1:13" ht="15.75" x14ac:dyDescent="0.25">
      <c r="B2" s="40" t="s">
        <v>171</v>
      </c>
    </row>
    <row r="3" spans="1:13" x14ac:dyDescent="0.25">
      <c r="B3" s="41" t="s">
        <v>172</v>
      </c>
    </row>
    <row r="4" spans="1:13" x14ac:dyDescent="0.25">
      <c r="B4" s="41" t="s">
        <v>173</v>
      </c>
    </row>
    <row r="5" spans="1:13" x14ac:dyDescent="0.25">
      <c r="B5" s="41" t="s">
        <v>174</v>
      </c>
      <c r="E5" s="1"/>
      <c r="F5" s="1"/>
      <c r="G5" s="1"/>
      <c r="H5" s="1"/>
      <c r="I5" s="1"/>
      <c r="J5" s="1"/>
    </row>
    <row r="6" spans="1:13" x14ac:dyDescent="0.25">
      <c r="B6" s="41" t="s">
        <v>175</v>
      </c>
      <c r="E6" s="1"/>
      <c r="F6" s="1"/>
      <c r="G6" s="1"/>
      <c r="H6" s="1"/>
      <c r="I6" s="1"/>
      <c r="J6" s="1"/>
    </row>
    <row r="7" spans="1:13" x14ac:dyDescent="0.25">
      <c r="E7" s="1"/>
      <c r="F7" s="1"/>
      <c r="G7" s="1"/>
      <c r="H7" s="1"/>
      <c r="I7" s="1"/>
      <c r="J7" s="1"/>
      <c r="K7" s="1"/>
    </row>
    <row r="8" spans="1:13" x14ac:dyDescent="0.25">
      <c r="B8" s="2" t="s">
        <v>0</v>
      </c>
      <c r="E8" s="1"/>
      <c r="F8" s="1"/>
      <c r="G8" s="1"/>
      <c r="H8" s="1"/>
      <c r="I8" s="1"/>
      <c r="J8" s="1"/>
      <c r="K8" s="1"/>
    </row>
    <row r="9" spans="1:13" x14ac:dyDescent="0.25">
      <c r="A9" s="2" t="s">
        <v>1</v>
      </c>
      <c r="B9" s="2" t="s">
        <v>2</v>
      </c>
      <c r="C9" s="2" t="s">
        <v>3</v>
      </c>
      <c r="D9" s="3" t="s">
        <v>4</v>
      </c>
      <c r="E9" s="4" t="s">
        <v>5</v>
      </c>
      <c r="F9" s="4" t="s">
        <v>6</v>
      </c>
      <c r="G9" s="4" t="s">
        <v>7</v>
      </c>
      <c r="H9" s="4" t="s">
        <v>8</v>
      </c>
      <c r="I9" s="4" t="s">
        <v>9</v>
      </c>
      <c r="J9" s="4" t="s">
        <v>176</v>
      </c>
      <c r="K9" s="4" t="s">
        <v>176</v>
      </c>
    </row>
    <row r="10" spans="1:13" x14ac:dyDescent="0.25">
      <c r="D10" s="3" t="s">
        <v>10</v>
      </c>
      <c r="E10" s="4" t="s">
        <v>11</v>
      </c>
      <c r="F10" s="4" t="s">
        <v>11</v>
      </c>
      <c r="G10" s="4" t="s">
        <v>12</v>
      </c>
      <c r="H10" s="4" t="s">
        <v>11</v>
      </c>
      <c r="I10" s="4" t="s">
        <v>11</v>
      </c>
      <c r="J10" s="4" t="s">
        <v>177</v>
      </c>
      <c r="K10" s="4" t="s">
        <v>178</v>
      </c>
      <c r="L10" s="2" t="s">
        <v>4</v>
      </c>
      <c r="M10" s="2" t="s">
        <v>13</v>
      </c>
    </row>
    <row r="11" spans="1:13" x14ac:dyDescent="0.25">
      <c r="A11">
        <v>1</v>
      </c>
      <c r="B11" s="5">
        <v>41340</v>
      </c>
      <c r="C11" s="6" t="s">
        <v>14</v>
      </c>
      <c r="D11">
        <v>1.1988233788</v>
      </c>
      <c r="E11" s="1">
        <v>-1.31988048000001E-5</v>
      </c>
      <c r="F11" s="1">
        <v>-1.2465848799999999E-5</v>
      </c>
      <c r="G11" s="1">
        <v>2.5170463238839202E-6</v>
      </c>
      <c r="H11" s="1">
        <v>6.8663838058763103E-8</v>
      </c>
      <c r="I11" s="1">
        <v>2.23224680212561E-8</v>
      </c>
      <c r="J11" s="42">
        <v>12</v>
      </c>
      <c r="K11" s="42">
        <v>1</v>
      </c>
      <c r="L11">
        <v>0.2</v>
      </c>
      <c r="M11">
        <v>10</v>
      </c>
    </row>
    <row r="12" spans="1:13" x14ac:dyDescent="0.25">
      <c r="A12">
        <v>2</v>
      </c>
      <c r="D12">
        <v>1.0010969536000001</v>
      </c>
      <c r="E12" s="1">
        <v>-1.24481278000001E-5</v>
      </c>
      <c r="F12" s="1">
        <v>-1.03859886E-5</v>
      </c>
      <c r="G12" s="1">
        <v>6.9974897689348301E-7</v>
      </c>
      <c r="H12" s="1">
        <v>6.4485930303904698E-8</v>
      </c>
      <c r="I12" s="1">
        <v>1.9775786458191699E-8</v>
      </c>
      <c r="J12" s="42">
        <v>12</v>
      </c>
      <c r="K12" s="42">
        <v>1</v>
      </c>
      <c r="L12">
        <v>0.2</v>
      </c>
      <c r="M12">
        <v>10</v>
      </c>
    </row>
    <row r="13" spans="1:13" x14ac:dyDescent="0.25">
      <c r="A13">
        <v>3</v>
      </c>
      <c r="D13">
        <v>0.5999447242</v>
      </c>
      <c r="E13" s="1">
        <v>-9.8826731599999995E-6</v>
      </c>
      <c r="F13" s="1">
        <v>-5.9982716400000096E-6</v>
      </c>
      <c r="G13" s="1">
        <v>3.1072752980253202E-7</v>
      </c>
      <c r="H13" s="1">
        <v>1.49517496584227E-7</v>
      </c>
      <c r="I13" s="1">
        <v>1.45760725606421E-7</v>
      </c>
      <c r="J13" s="42">
        <v>12</v>
      </c>
      <c r="K13" s="42">
        <v>1</v>
      </c>
      <c r="L13">
        <v>0.2</v>
      </c>
      <c r="M13">
        <v>10</v>
      </c>
    </row>
    <row r="14" spans="1:13" x14ac:dyDescent="0.25">
      <c r="A14">
        <v>4</v>
      </c>
      <c r="D14">
        <v>0.40080285912000002</v>
      </c>
      <c r="E14" s="1">
        <v>-7.8315316600000402E-6</v>
      </c>
      <c r="F14" s="1">
        <v>-3.8323683200000104E-6</v>
      </c>
      <c r="G14" s="1">
        <v>2.38099857272051E-7</v>
      </c>
      <c r="H14" s="1">
        <v>1.5939255297673199E-8</v>
      </c>
      <c r="I14" s="1">
        <v>9.1338213917164098E-8</v>
      </c>
      <c r="J14" s="42">
        <v>11</v>
      </c>
      <c r="K14" s="42">
        <v>1</v>
      </c>
      <c r="L14">
        <v>0.2</v>
      </c>
      <c r="M14">
        <v>10</v>
      </c>
    </row>
    <row r="15" spans="1:13" x14ac:dyDescent="0.25">
      <c r="A15">
        <v>5</v>
      </c>
      <c r="D15">
        <v>0.19992975158000001</v>
      </c>
      <c r="E15" s="1">
        <v>-4.6114961200000001E-6</v>
      </c>
      <c r="F15" s="1">
        <v>-1.74714468000001E-6</v>
      </c>
      <c r="G15" s="1">
        <v>1.39486794291652E-7</v>
      </c>
      <c r="H15" s="1">
        <v>3.6744132877856798E-8</v>
      </c>
      <c r="I15" s="1">
        <v>1.74027081156928E-9</v>
      </c>
      <c r="J15" s="42">
        <v>10</v>
      </c>
      <c r="K15" s="42">
        <v>1</v>
      </c>
      <c r="L15">
        <v>0.2</v>
      </c>
      <c r="M15">
        <v>10</v>
      </c>
    </row>
    <row r="16" spans="1:13" x14ac:dyDescent="0.25">
      <c r="A16">
        <v>6</v>
      </c>
      <c r="D16">
        <v>0.10073160076</v>
      </c>
      <c r="E16" s="1">
        <v>-2.5306537400000001E-6</v>
      </c>
      <c r="F16" s="1">
        <v>-8.7794551200000002E-7</v>
      </c>
      <c r="G16" s="1">
        <v>4.10456679546084E-8</v>
      </c>
      <c r="H16" s="1">
        <v>7.2215004190350898E-8</v>
      </c>
      <c r="I16" s="1">
        <v>1.0688384003357E-7</v>
      </c>
      <c r="J16" s="42">
        <v>10</v>
      </c>
      <c r="K16" s="42">
        <v>1</v>
      </c>
      <c r="L16">
        <v>0.2</v>
      </c>
      <c r="M16">
        <v>10</v>
      </c>
    </row>
    <row r="17" spans="1:13" x14ac:dyDescent="0.25">
      <c r="A17">
        <v>7</v>
      </c>
      <c r="D17">
        <v>5.0124900921999997E-2</v>
      </c>
      <c r="E17" s="1">
        <v>-1.3380413199999999E-6</v>
      </c>
      <c r="F17" s="1">
        <v>-4.3976629000000001E-7</v>
      </c>
      <c r="G17" s="1">
        <v>1.97277076776291E-8</v>
      </c>
      <c r="H17" s="1">
        <v>5.5201611054910398E-8</v>
      </c>
      <c r="I17" s="1">
        <v>6.7370465614020304E-8</v>
      </c>
      <c r="J17" s="42">
        <v>9</v>
      </c>
      <c r="K17" s="42">
        <v>1</v>
      </c>
      <c r="L17">
        <v>0.2</v>
      </c>
      <c r="M17">
        <v>10</v>
      </c>
    </row>
    <row r="18" spans="1:13" x14ac:dyDescent="0.25">
      <c r="A18">
        <v>8</v>
      </c>
      <c r="F18" s="1"/>
      <c r="G18" s="1"/>
      <c r="H18" s="1"/>
      <c r="I18" s="1"/>
      <c r="J18" s="1"/>
      <c r="K18" s="1"/>
      <c r="M18" s="1"/>
    </row>
    <row r="19" spans="1:13" x14ac:dyDescent="0.25">
      <c r="A19">
        <v>9</v>
      </c>
      <c r="B19" s="5">
        <v>41340</v>
      </c>
      <c r="C19" s="5" t="s">
        <v>179</v>
      </c>
      <c r="D19">
        <v>1.1988167949999999</v>
      </c>
      <c r="E19" s="1">
        <v>-1.31728080000001E-5</v>
      </c>
      <c r="F19" s="1">
        <v>-1.24699988E-5</v>
      </c>
      <c r="G19" s="1">
        <v>2.9131743030655599E-6</v>
      </c>
      <c r="H19" s="1">
        <v>2.9246538256698698E-10</v>
      </c>
      <c r="I19" s="1">
        <v>1.5130074638282499E-8</v>
      </c>
      <c r="J19" s="42">
        <v>12</v>
      </c>
      <c r="K19" s="42">
        <v>1</v>
      </c>
      <c r="L19">
        <v>0.2</v>
      </c>
      <c r="M19">
        <v>10</v>
      </c>
    </row>
    <row r="20" spans="1:13" x14ac:dyDescent="0.25">
      <c r="A20">
        <v>10</v>
      </c>
      <c r="D20">
        <v>1.0008320278</v>
      </c>
      <c r="E20" s="1">
        <v>-1.24434596E-5</v>
      </c>
      <c r="F20" s="1">
        <v>-1.03815E-5</v>
      </c>
      <c r="G20" s="1">
        <v>8.0144006092547001E-7</v>
      </c>
      <c r="H20" s="1">
        <v>5.8532628916186602E-8</v>
      </c>
      <c r="I20" s="1">
        <v>1.3552527156068799E-20</v>
      </c>
      <c r="J20" s="42">
        <v>12</v>
      </c>
      <c r="K20" s="42">
        <v>1</v>
      </c>
      <c r="L20">
        <v>0.2</v>
      </c>
      <c r="M20">
        <v>10</v>
      </c>
    </row>
    <row r="21" spans="1:13" x14ac:dyDescent="0.25">
      <c r="A21">
        <v>11</v>
      </c>
      <c r="D21">
        <v>0.59966756870000004</v>
      </c>
      <c r="E21" s="1">
        <v>-9.8140872399999899E-6</v>
      </c>
      <c r="F21" s="1">
        <v>-5.8913818800000004E-6</v>
      </c>
      <c r="G21" s="1">
        <v>2.4838664599599001E-7</v>
      </c>
      <c r="H21" s="1">
        <v>1.08982696571439E-7</v>
      </c>
      <c r="I21" s="1">
        <v>1.1512751871583799E-7</v>
      </c>
      <c r="J21" s="42">
        <v>12</v>
      </c>
      <c r="K21" s="42">
        <v>1</v>
      </c>
      <c r="L21">
        <v>0.2</v>
      </c>
      <c r="M21">
        <v>10</v>
      </c>
    </row>
    <row r="22" spans="1:13" x14ac:dyDescent="0.25">
      <c r="A22">
        <v>12</v>
      </c>
      <c r="D22">
        <v>0.40062683154000001</v>
      </c>
      <c r="E22" s="1">
        <v>-7.8301947800000306E-6</v>
      </c>
      <c r="F22" s="1">
        <v>-3.75829052E-6</v>
      </c>
      <c r="G22" s="1">
        <v>2.3588880975537101E-7</v>
      </c>
      <c r="H22" s="1">
        <v>5.8579090938319096E-9</v>
      </c>
      <c r="I22" s="1">
        <v>8.1103522895923698E-8</v>
      </c>
      <c r="J22" s="42">
        <v>11</v>
      </c>
      <c r="K22" s="42">
        <v>1</v>
      </c>
      <c r="L22">
        <v>0.2</v>
      </c>
      <c r="M22">
        <v>10</v>
      </c>
    </row>
    <row r="23" spans="1:13" x14ac:dyDescent="0.25">
      <c r="A23">
        <v>13</v>
      </c>
      <c r="D23">
        <v>0.19981954178</v>
      </c>
      <c r="E23" s="1">
        <v>-4.5890698600000002E-6</v>
      </c>
      <c r="F23" s="1">
        <v>-1.7510553000000101E-6</v>
      </c>
      <c r="G23" s="1">
        <v>1.3750436373063199E-7</v>
      </c>
      <c r="H23" s="1">
        <v>8.1145374264836494E-8</v>
      </c>
      <c r="I23" s="1">
        <v>1.48546291138486E-8</v>
      </c>
      <c r="J23" s="42">
        <v>10</v>
      </c>
      <c r="K23" s="42">
        <v>1</v>
      </c>
      <c r="L23">
        <v>0.2</v>
      </c>
      <c r="M23">
        <v>10</v>
      </c>
    </row>
    <row r="24" spans="1:13" x14ac:dyDescent="0.25">
      <c r="A24">
        <v>14</v>
      </c>
      <c r="D24">
        <v>0.10068159652</v>
      </c>
      <c r="E24" s="1">
        <v>-2.5639610800000002E-6</v>
      </c>
      <c r="F24" s="1">
        <v>-8.78539993999999E-7</v>
      </c>
      <c r="G24" s="1">
        <v>3.9310326304441903E-8</v>
      </c>
      <c r="H24" s="1">
        <v>8.0390183181988095E-8</v>
      </c>
      <c r="I24" s="1">
        <v>7.0167806132684304E-8</v>
      </c>
      <c r="J24" s="42">
        <v>10</v>
      </c>
      <c r="K24" s="42">
        <v>1</v>
      </c>
      <c r="L24">
        <v>0.2</v>
      </c>
      <c r="M24">
        <v>10</v>
      </c>
    </row>
    <row r="25" spans="1:13" x14ac:dyDescent="0.25">
      <c r="A25">
        <v>15</v>
      </c>
      <c r="D25">
        <v>5.0079344342000003E-2</v>
      </c>
      <c r="E25" s="1">
        <v>-1.3197801799999999E-6</v>
      </c>
      <c r="F25" s="1">
        <v>-4.3626532800000002E-7</v>
      </c>
      <c r="G25" s="1">
        <v>3.5262592780421798E-8</v>
      </c>
      <c r="H25" s="1">
        <v>5.8004078740788598E-8</v>
      </c>
      <c r="I25" s="1">
        <v>5.7904855478693799E-8</v>
      </c>
      <c r="J25" s="42">
        <v>9</v>
      </c>
      <c r="K25" s="42">
        <v>1</v>
      </c>
      <c r="L25">
        <v>0.2</v>
      </c>
      <c r="M25">
        <v>10</v>
      </c>
    </row>
    <row r="26" spans="1:13" x14ac:dyDescent="0.25">
      <c r="A26">
        <v>16</v>
      </c>
      <c r="C26" s="2" t="s">
        <v>180</v>
      </c>
    </row>
    <row r="27" spans="1:13" x14ac:dyDescent="0.25">
      <c r="A27">
        <v>17</v>
      </c>
      <c r="B27" s="5">
        <v>41340</v>
      </c>
      <c r="C27" s="5" t="s">
        <v>179</v>
      </c>
      <c r="D27">
        <v>1.1994547188</v>
      </c>
      <c r="E27" s="1">
        <v>-1.31793436000001E-5</v>
      </c>
      <c r="F27" s="1">
        <v>-1.1800244E-5</v>
      </c>
      <c r="G27" s="1">
        <v>2.1147490552154399E-6</v>
      </c>
      <c r="H27" s="1">
        <v>1.45465645098765E-8</v>
      </c>
      <c r="I27" s="1">
        <v>5.13163333062681E-8</v>
      </c>
      <c r="J27" s="42">
        <v>12</v>
      </c>
      <c r="K27" s="42">
        <v>1</v>
      </c>
      <c r="L27">
        <v>0.2</v>
      </c>
      <c r="M27">
        <v>10</v>
      </c>
    </row>
    <row r="28" spans="1:13" x14ac:dyDescent="0.25">
      <c r="A28">
        <v>18</v>
      </c>
      <c r="D28">
        <v>1.0008570188000001</v>
      </c>
      <c r="E28" s="1">
        <v>-1.24681024E-5</v>
      </c>
      <c r="F28" s="1">
        <v>-1.0349553399999999E-5</v>
      </c>
      <c r="G28" s="1">
        <v>4.2704625938664898E-7</v>
      </c>
      <c r="H28" s="1">
        <v>1.6535765910292701E-8</v>
      </c>
      <c r="I28" s="1">
        <v>5.0262645458033901E-8</v>
      </c>
      <c r="J28" s="42">
        <v>12</v>
      </c>
      <c r="K28" s="42">
        <v>1</v>
      </c>
      <c r="L28">
        <v>0.2</v>
      </c>
      <c r="M28">
        <v>10</v>
      </c>
    </row>
    <row r="29" spans="1:13" x14ac:dyDescent="0.25">
      <c r="A29">
        <v>19</v>
      </c>
      <c r="D29">
        <v>0.60061488519999995</v>
      </c>
      <c r="E29" s="1">
        <v>-9.7341857200000108E-6</v>
      </c>
      <c r="F29" s="1">
        <v>-5.6089360400000297E-6</v>
      </c>
      <c r="G29" s="1">
        <v>4.9354353100290496E-7</v>
      </c>
      <c r="H29" s="1">
        <v>3.7870392816573801E-8</v>
      </c>
      <c r="I29" s="1">
        <v>4.15730151747307E-8</v>
      </c>
      <c r="J29" s="42">
        <v>12</v>
      </c>
      <c r="K29" s="42">
        <v>1</v>
      </c>
      <c r="L29">
        <v>0.2</v>
      </c>
      <c r="M29">
        <v>10</v>
      </c>
    </row>
    <row r="30" spans="1:13" x14ac:dyDescent="0.25">
      <c r="A30">
        <v>20</v>
      </c>
      <c r="D30">
        <v>0.40143653427999998</v>
      </c>
      <c r="E30" s="1">
        <v>-7.8326654000000502E-6</v>
      </c>
      <c r="F30" s="1">
        <v>-3.5780515600000001E-6</v>
      </c>
      <c r="G30" s="1">
        <v>3.5368998230268E-7</v>
      </c>
      <c r="H30" s="1">
        <v>1.84511160638033E-9</v>
      </c>
      <c r="I30" s="1">
        <v>1.0601616822903201E-7</v>
      </c>
      <c r="J30" s="42">
        <v>11</v>
      </c>
      <c r="K30" s="42">
        <v>1</v>
      </c>
      <c r="L30">
        <v>0.2</v>
      </c>
      <c r="M30">
        <v>10</v>
      </c>
    </row>
    <row r="31" spans="1:13" x14ac:dyDescent="0.25">
      <c r="A31">
        <v>21</v>
      </c>
      <c r="D31">
        <v>0.20034340468</v>
      </c>
      <c r="E31" s="1">
        <v>-4.5393460200000097E-6</v>
      </c>
      <c r="F31" s="1">
        <v>-1.74351578E-6</v>
      </c>
      <c r="G31" s="1">
        <v>1.5849043981442201E-7</v>
      </c>
      <c r="H31" s="1">
        <v>1.97538569287013E-8</v>
      </c>
      <c r="I31" s="1">
        <v>6.9973920850271001E-9</v>
      </c>
      <c r="J31" s="42">
        <v>10</v>
      </c>
      <c r="K31" s="42">
        <v>1</v>
      </c>
      <c r="L31">
        <v>0.2</v>
      </c>
      <c r="M31">
        <v>10</v>
      </c>
    </row>
    <row r="32" spans="1:13" x14ac:dyDescent="0.25">
      <c r="A32">
        <v>22</v>
      </c>
      <c r="D32">
        <v>0.10030161382</v>
      </c>
      <c r="E32" s="1">
        <v>-2.51478166E-6</v>
      </c>
      <c r="F32" s="1">
        <v>-8.6162918000000001E-7</v>
      </c>
      <c r="G32" s="1">
        <v>6.6665156696456104E-8</v>
      </c>
      <c r="H32" s="1">
        <v>7.72912397276975E-8</v>
      </c>
      <c r="I32" s="1">
        <v>7.5680255046184894E-8</v>
      </c>
      <c r="J32" s="42">
        <v>10</v>
      </c>
      <c r="K32" s="42">
        <v>1</v>
      </c>
      <c r="L32">
        <v>0.2</v>
      </c>
      <c r="M32">
        <v>10</v>
      </c>
    </row>
    <row r="33" spans="1:13" x14ac:dyDescent="0.25">
      <c r="A33">
        <v>23</v>
      </c>
      <c r="D33">
        <v>4.9553251335999998E-2</v>
      </c>
      <c r="E33" s="1">
        <v>-1.32132932E-6</v>
      </c>
      <c r="F33" s="1">
        <v>-4.19493106E-7</v>
      </c>
      <c r="G33" s="1">
        <v>2.2443467704125401E-8</v>
      </c>
      <c r="H33" s="1">
        <v>2.8183658824531699E-8</v>
      </c>
      <c r="I33" s="1">
        <v>4.7169054915513901E-8</v>
      </c>
      <c r="J33" s="42">
        <v>9</v>
      </c>
      <c r="K33" s="42">
        <v>1</v>
      </c>
      <c r="L33">
        <v>0.2</v>
      </c>
      <c r="M33">
        <v>10</v>
      </c>
    </row>
    <row r="34" spans="1:13" x14ac:dyDescent="0.25">
      <c r="A34">
        <v>24</v>
      </c>
      <c r="M34" s="1"/>
    </row>
    <row r="35" spans="1:13" x14ac:dyDescent="0.25">
      <c r="A35">
        <v>25</v>
      </c>
      <c r="C35" s="2" t="s">
        <v>46</v>
      </c>
      <c r="E35" s="1"/>
      <c r="F35" s="1"/>
      <c r="G35" s="1"/>
      <c r="H35" s="1"/>
      <c r="I35" s="1"/>
      <c r="M35" s="35"/>
    </row>
    <row r="36" spans="1:13" x14ac:dyDescent="0.25">
      <c r="A36">
        <v>26</v>
      </c>
      <c r="B36" s="5">
        <v>41341</v>
      </c>
      <c r="C36" s="11"/>
      <c r="D36">
        <v>1.1986883226</v>
      </c>
      <c r="E36" s="1">
        <v>-3.1719671200000201E-5</v>
      </c>
      <c r="F36" s="1">
        <v>-2.52465975999999E-5</v>
      </c>
      <c r="G36" s="1">
        <v>2.38579553839425E-6</v>
      </c>
      <c r="H36" s="1">
        <v>8.2051847023582897E-10</v>
      </c>
      <c r="I36" s="1">
        <v>5.7999503446174104E-10</v>
      </c>
      <c r="J36">
        <v>13</v>
      </c>
      <c r="K36">
        <v>1</v>
      </c>
      <c r="L36">
        <v>0.2</v>
      </c>
      <c r="M36">
        <v>10</v>
      </c>
    </row>
    <row r="37" spans="1:13" x14ac:dyDescent="0.25">
      <c r="A37">
        <v>27</v>
      </c>
      <c r="D37">
        <v>1.0009160723999999</v>
      </c>
      <c r="E37" s="1">
        <v>-2.85528166000001E-5</v>
      </c>
      <c r="F37" s="1">
        <v>-2.1258038399999999E-5</v>
      </c>
      <c r="G37" s="1">
        <v>5.03342349404346E-7</v>
      </c>
      <c r="H37" s="1">
        <v>6.0384140301928398E-10</v>
      </c>
      <c r="I37" s="1">
        <v>2.1281443100842601E-7</v>
      </c>
      <c r="J37">
        <v>13</v>
      </c>
      <c r="K37">
        <v>1</v>
      </c>
      <c r="L37">
        <v>0.2</v>
      </c>
      <c r="M37">
        <v>10</v>
      </c>
    </row>
    <row r="38" spans="1:13" x14ac:dyDescent="0.25">
      <c r="A38">
        <v>28</v>
      </c>
      <c r="D38">
        <v>0.60003141104000002</v>
      </c>
      <c r="E38" s="1">
        <v>-2.30374710000001E-5</v>
      </c>
      <c r="F38" s="1">
        <v>-1.20003427999999E-5</v>
      </c>
      <c r="G38" s="1">
        <v>4.88142521535796E-7</v>
      </c>
      <c r="H38" s="1">
        <v>5.4374534480788002E-10</v>
      </c>
      <c r="I38" s="1">
        <v>2.7123952809278E-9</v>
      </c>
      <c r="J38">
        <v>13</v>
      </c>
      <c r="K38">
        <v>1</v>
      </c>
      <c r="L38">
        <v>0.2</v>
      </c>
      <c r="M38">
        <v>10</v>
      </c>
    </row>
    <row r="39" spans="1:13" x14ac:dyDescent="0.25">
      <c r="A39">
        <v>29</v>
      </c>
      <c r="D39">
        <v>0.40058324724</v>
      </c>
      <c r="E39" s="1">
        <v>-1.8068643200000101E-5</v>
      </c>
      <c r="F39" s="1">
        <v>-7.5878752000000301E-6</v>
      </c>
      <c r="G39" s="1">
        <v>3.0454412455694701E-7</v>
      </c>
      <c r="H39" s="1">
        <v>2.12383204081683E-8</v>
      </c>
      <c r="I39" s="1">
        <v>3.3163855867494701E-9</v>
      </c>
      <c r="J39">
        <v>12</v>
      </c>
      <c r="K39">
        <v>1</v>
      </c>
      <c r="L39">
        <v>0.2</v>
      </c>
      <c r="M39">
        <v>10</v>
      </c>
    </row>
    <row r="40" spans="1:13" x14ac:dyDescent="0.25">
      <c r="A40">
        <v>30</v>
      </c>
      <c r="D40">
        <v>0.20051213722</v>
      </c>
      <c r="E40" s="1">
        <v>-1.10607348E-5</v>
      </c>
      <c r="F40" s="1">
        <v>-3.4887500000000401E-6</v>
      </c>
      <c r="G40" s="1">
        <v>1.5342023280311601E-7</v>
      </c>
      <c r="H40" s="1">
        <v>3.4923432662898499E-8</v>
      </c>
      <c r="I40" s="1">
        <v>3.8116482626443497E-20</v>
      </c>
      <c r="J40">
        <v>12</v>
      </c>
      <c r="K40">
        <v>1</v>
      </c>
      <c r="L40">
        <v>0.2</v>
      </c>
      <c r="M40">
        <v>10</v>
      </c>
    </row>
    <row r="41" spans="1:13" x14ac:dyDescent="0.25">
      <c r="A41">
        <v>31</v>
      </c>
      <c r="D41">
        <v>9.9696250626000002E-2</v>
      </c>
      <c r="E41" s="1">
        <v>-5.9171577599999703E-6</v>
      </c>
      <c r="F41" s="1">
        <v>-1.59808524E-6</v>
      </c>
      <c r="G41" s="1">
        <v>6.1426817266612298E-8</v>
      </c>
      <c r="H41" s="1">
        <v>1.7027633170302801E-8</v>
      </c>
      <c r="I41" s="1">
        <v>6.4423189534067605E-8</v>
      </c>
      <c r="J41">
        <v>11</v>
      </c>
      <c r="K41">
        <v>1</v>
      </c>
      <c r="L41">
        <v>0.2</v>
      </c>
      <c r="M41">
        <v>10</v>
      </c>
    </row>
    <row r="42" spans="1:13" x14ac:dyDescent="0.25">
      <c r="A42">
        <v>32</v>
      </c>
      <c r="D42">
        <v>4.9248535842000001E-2</v>
      </c>
      <c r="E42" s="1">
        <v>-3.1366072999999898E-6</v>
      </c>
      <c r="F42" s="1">
        <v>-7.40630692E-7</v>
      </c>
      <c r="G42" s="1">
        <v>1.4278449404235001E-8</v>
      </c>
      <c r="H42" s="1">
        <v>1.0374001624734799E-8</v>
      </c>
      <c r="I42" s="1">
        <v>7.5740140425227394E-8</v>
      </c>
      <c r="J42">
        <v>10</v>
      </c>
      <c r="K42">
        <v>1</v>
      </c>
      <c r="L42">
        <v>0.2</v>
      </c>
      <c r="M42">
        <v>10</v>
      </c>
    </row>
    <row r="43" spans="1:13" x14ac:dyDescent="0.25">
      <c r="A43">
        <v>33</v>
      </c>
    </row>
    <row r="44" spans="1:13" x14ac:dyDescent="0.25">
      <c r="A44">
        <v>34</v>
      </c>
      <c r="C44" s="2" t="s">
        <v>68</v>
      </c>
      <c r="D44" s="6"/>
      <c r="E44" s="6"/>
      <c r="F44" s="6"/>
      <c r="I44" s="6" t="s">
        <v>181</v>
      </c>
      <c r="J44" s="6"/>
      <c r="K44" s="6"/>
      <c r="L44" s="6"/>
      <c r="M44" s="6"/>
    </row>
    <row r="45" spans="1:13" x14ac:dyDescent="0.25">
      <c r="A45">
        <v>35</v>
      </c>
      <c r="C45" s="6"/>
      <c r="D45" s="3" t="s">
        <v>4</v>
      </c>
      <c r="E45" s="4" t="s">
        <v>5</v>
      </c>
      <c r="F45" s="4" t="s">
        <v>6</v>
      </c>
      <c r="G45" s="4" t="s">
        <v>7</v>
      </c>
      <c r="H45" s="4" t="s">
        <v>8</v>
      </c>
      <c r="I45" s="4" t="s">
        <v>9</v>
      </c>
      <c r="J45" s="21"/>
      <c r="L45" s="6"/>
      <c r="M45" s="6"/>
    </row>
    <row r="46" spans="1:13" x14ac:dyDescent="0.25">
      <c r="A46">
        <v>36</v>
      </c>
      <c r="C46" s="6"/>
      <c r="D46" s="3" t="s">
        <v>10</v>
      </c>
      <c r="E46" s="4" t="s">
        <v>11</v>
      </c>
      <c r="F46" s="4" t="s">
        <v>11</v>
      </c>
      <c r="G46" s="4" t="s">
        <v>12</v>
      </c>
      <c r="H46" s="4" t="s">
        <v>11</v>
      </c>
      <c r="I46" s="4" t="s">
        <v>11</v>
      </c>
      <c r="J46" s="21"/>
      <c r="L46" s="2" t="s">
        <v>4</v>
      </c>
      <c r="M46" s="2" t="s">
        <v>13</v>
      </c>
    </row>
    <row r="47" spans="1:13" x14ac:dyDescent="0.25">
      <c r="A47">
        <v>37</v>
      </c>
      <c r="C47" s="6"/>
      <c r="D47" s="8">
        <v>1.1987392965999999</v>
      </c>
      <c r="E47" s="22">
        <v>3.4904375599999999E-6</v>
      </c>
      <c r="F47" s="22">
        <v>3.3315734000000001E-6</v>
      </c>
      <c r="G47" s="22">
        <v>5.2141206444716801E-6</v>
      </c>
      <c r="H47" s="22">
        <v>2.0769395264340301E-8</v>
      </c>
      <c r="I47" s="22">
        <v>6.5335336430143299E-8</v>
      </c>
      <c r="J47" s="8">
        <v>10</v>
      </c>
      <c r="K47" s="8">
        <v>1</v>
      </c>
      <c r="L47" s="8">
        <v>0.2</v>
      </c>
      <c r="M47" s="8">
        <v>10</v>
      </c>
    </row>
    <row r="48" spans="1:13" x14ac:dyDescent="0.25">
      <c r="A48">
        <v>38</v>
      </c>
      <c r="C48" s="6"/>
      <c r="D48" s="8">
        <v>1.0007990914</v>
      </c>
      <c r="E48" s="22">
        <v>3.0869766599999901E-6</v>
      </c>
      <c r="F48" s="22">
        <v>2.8959045600000001E-6</v>
      </c>
      <c r="G48" s="22">
        <v>5.4416388967328203E-7</v>
      </c>
      <c r="H48" s="22">
        <v>2.5368293979777201E-8</v>
      </c>
      <c r="I48" s="22">
        <v>5.4829390385142903E-8</v>
      </c>
      <c r="J48" s="8">
        <v>10</v>
      </c>
      <c r="K48" s="8">
        <v>1</v>
      </c>
      <c r="L48" s="8">
        <v>0.2</v>
      </c>
      <c r="M48" s="8">
        <v>10</v>
      </c>
    </row>
    <row r="49" spans="1:13" x14ac:dyDescent="0.25">
      <c r="A49">
        <v>39</v>
      </c>
      <c r="C49" s="6"/>
      <c r="D49" s="8">
        <v>0.60139049162000002</v>
      </c>
      <c r="E49" s="22">
        <v>2.0916509E-6</v>
      </c>
      <c r="F49" s="22">
        <v>2.0508491199999998E-6</v>
      </c>
      <c r="G49" s="22">
        <v>1.4757406441772101E-6</v>
      </c>
      <c r="H49" s="22">
        <v>2.3142520584412898E-9</v>
      </c>
      <c r="I49" s="22">
        <v>2.1405197416179099E-8</v>
      </c>
      <c r="J49" s="8">
        <v>10</v>
      </c>
      <c r="K49" s="8">
        <v>1</v>
      </c>
      <c r="L49" s="8">
        <v>0.2</v>
      </c>
      <c r="M49" s="8">
        <v>10</v>
      </c>
    </row>
    <row r="50" spans="1:13" x14ac:dyDescent="0.25">
      <c r="A50">
        <v>40</v>
      </c>
      <c r="C50" s="6"/>
      <c r="D50" s="8">
        <v>0.40058162668000002</v>
      </c>
      <c r="E50" s="22">
        <v>1.6568919E-6</v>
      </c>
      <c r="F50" s="22">
        <v>1.3946831999999901E-6</v>
      </c>
      <c r="G50" s="22">
        <v>4.4958473472943297E-6</v>
      </c>
      <c r="H50" s="22">
        <v>5.1639612850891897E-8</v>
      </c>
      <c r="I50" s="22">
        <v>1.27280703957826E-9</v>
      </c>
      <c r="J50" s="8">
        <v>10</v>
      </c>
      <c r="K50" s="8">
        <v>1</v>
      </c>
      <c r="L50" s="8">
        <v>0.2</v>
      </c>
      <c r="M50" s="8">
        <v>10</v>
      </c>
    </row>
    <row r="51" spans="1:13" x14ac:dyDescent="0.25">
      <c r="A51">
        <v>41</v>
      </c>
      <c r="C51" s="6"/>
      <c r="D51" s="8">
        <v>0.20092368684</v>
      </c>
      <c r="E51" s="22">
        <v>9.3927474600000003E-7</v>
      </c>
      <c r="F51" s="22">
        <v>7.5124161399999997E-7</v>
      </c>
      <c r="G51" s="22">
        <v>4.1320805607469001E-7</v>
      </c>
      <c r="H51" s="22">
        <v>2.0319392294984701E-8</v>
      </c>
      <c r="I51" s="22">
        <v>2.5900271270027302E-8</v>
      </c>
      <c r="J51" s="8">
        <v>8</v>
      </c>
      <c r="K51" s="8">
        <v>1</v>
      </c>
      <c r="L51" s="8">
        <v>0.2</v>
      </c>
      <c r="M51" s="8">
        <v>10</v>
      </c>
    </row>
    <row r="52" spans="1:13" x14ac:dyDescent="0.25">
      <c r="A52">
        <v>42</v>
      </c>
      <c r="C52" s="6"/>
      <c r="D52" s="8">
        <v>0.10004239946</v>
      </c>
      <c r="E52" s="22">
        <v>5.0613500999999996E-7</v>
      </c>
      <c r="F52" s="22">
        <v>3.7563482800000003E-7</v>
      </c>
      <c r="G52" s="22">
        <v>1.3818527129996401E-7</v>
      </c>
      <c r="H52" s="22">
        <v>2.1708298720579201E-8</v>
      </c>
      <c r="I52" s="22">
        <v>2.7662662400398399E-8</v>
      </c>
      <c r="J52" s="8">
        <v>8</v>
      </c>
      <c r="K52" s="8">
        <v>1</v>
      </c>
      <c r="L52" s="8">
        <v>0.2</v>
      </c>
      <c r="M52" s="8">
        <v>10</v>
      </c>
    </row>
    <row r="53" spans="1:13" x14ac:dyDescent="0.25">
      <c r="A53">
        <v>43</v>
      </c>
      <c r="C53" s="6"/>
      <c r="D53" s="8">
        <v>0.10019825086</v>
      </c>
      <c r="E53" s="22">
        <v>5.2587627800000005E-7</v>
      </c>
      <c r="F53" s="22">
        <v>3.7492681599999997E-7</v>
      </c>
      <c r="G53" s="22">
        <v>1.2422448975718701E-7</v>
      </c>
      <c r="H53" s="22">
        <v>3.1525436132886697E-8</v>
      </c>
      <c r="I53" s="22">
        <v>3.0415389025921497E-8</v>
      </c>
      <c r="J53" s="8">
        <v>8</v>
      </c>
      <c r="K53" s="8">
        <v>1</v>
      </c>
      <c r="L53" s="8">
        <v>0.2</v>
      </c>
      <c r="M53" s="8">
        <v>10</v>
      </c>
    </row>
    <row r="54" spans="1:13" x14ac:dyDescent="0.25">
      <c r="A54">
        <v>44</v>
      </c>
      <c r="C54" s="6"/>
      <c r="D54" s="8">
        <v>0.1003120527</v>
      </c>
      <c r="E54" s="22">
        <v>5.1409620799999999E-7</v>
      </c>
      <c r="F54" s="22">
        <v>3.9204613799999999E-7</v>
      </c>
      <c r="G54" s="22">
        <v>8.8558995371458306E-8</v>
      </c>
      <c r="H54" s="22">
        <v>2.9017679327829401E-8</v>
      </c>
      <c r="I54" s="22">
        <v>3.45006216009937E-8</v>
      </c>
      <c r="J54" s="8">
        <v>8</v>
      </c>
      <c r="K54" s="8">
        <v>1</v>
      </c>
      <c r="L54" s="8">
        <v>0.2</v>
      </c>
      <c r="M54" s="8">
        <v>10</v>
      </c>
    </row>
    <row r="55" spans="1:13" x14ac:dyDescent="0.25">
      <c r="A55">
        <v>45</v>
      </c>
      <c r="C55" s="6"/>
      <c r="D55" s="8">
        <v>5.0133900039999998E-2</v>
      </c>
      <c r="E55" s="22">
        <v>2.8631539999999998E-7</v>
      </c>
      <c r="F55" s="22">
        <v>1.8596438600000001E-7</v>
      </c>
      <c r="G55" s="22">
        <v>2.1582334984686801E-8</v>
      </c>
      <c r="H55" s="22">
        <v>2.02283733832456E-8</v>
      </c>
      <c r="I55" s="22">
        <v>2.48038842015722E-8</v>
      </c>
      <c r="J55" s="8">
        <v>8</v>
      </c>
      <c r="K55" s="8">
        <v>1</v>
      </c>
      <c r="L55" s="8">
        <v>0.2</v>
      </c>
      <c r="M55" s="8">
        <v>10</v>
      </c>
    </row>
    <row r="56" spans="1:13" x14ac:dyDescent="0.25">
      <c r="A56">
        <v>46</v>
      </c>
      <c r="C56" s="6"/>
      <c r="D56" s="8">
        <v>5.016416948E-2</v>
      </c>
      <c r="E56" s="22">
        <v>2.8469634399999997E-7</v>
      </c>
      <c r="F56" s="22">
        <v>1.9180486000000001E-7</v>
      </c>
      <c r="G56" s="22">
        <v>4.9874779543648497E-8</v>
      </c>
      <c r="H56" s="22">
        <v>3.2172043574222398E-8</v>
      </c>
      <c r="I56" s="22">
        <v>2.4140432982869201E-8</v>
      </c>
      <c r="J56" s="8">
        <v>8</v>
      </c>
      <c r="K56" s="8">
        <v>1</v>
      </c>
      <c r="L56" s="8">
        <v>0.2</v>
      </c>
      <c r="M56" s="8">
        <v>10</v>
      </c>
    </row>
    <row r="57" spans="1:13" x14ac:dyDescent="0.25">
      <c r="A57">
        <v>47</v>
      </c>
      <c r="C57" s="6"/>
      <c r="D57" s="8">
        <v>5.0193988888000002E-2</v>
      </c>
      <c r="E57" s="22">
        <v>2.8277295999999997E-7</v>
      </c>
      <c r="F57" s="22">
        <v>2.1054986199999999E-7</v>
      </c>
      <c r="G57" s="22">
        <v>2.1367472472566699E-8</v>
      </c>
      <c r="H57" s="22">
        <v>3.7785269044091797E-8</v>
      </c>
      <c r="I57" s="22">
        <v>2.8806794597506999E-8</v>
      </c>
      <c r="J57" s="8">
        <v>7</v>
      </c>
      <c r="K57" s="8">
        <v>1</v>
      </c>
      <c r="L57" s="8">
        <v>0.2</v>
      </c>
      <c r="M57" s="8">
        <v>10</v>
      </c>
    </row>
    <row r="58" spans="1:13" x14ac:dyDescent="0.25">
      <c r="A58">
        <v>48</v>
      </c>
      <c r="C58" s="6"/>
      <c r="D58" s="8">
        <v>5.0217038239999998E-2</v>
      </c>
      <c r="E58" s="22">
        <v>2.8060366E-7</v>
      </c>
      <c r="F58" s="22">
        <v>1.9622606200000001E-7</v>
      </c>
      <c r="G58" s="22">
        <v>3.9193087590807198E-8</v>
      </c>
      <c r="H58" s="22">
        <v>2.8232518566936199E-8</v>
      </c>
      <c r="I58" s="22">
        <v>2.4208021963187202E-8</v>
      </c>
      <c r="J58" s="8">
        <v>7</v>
      </c>
      <c r="K58" s="8">
        <v>1</v>
      </c>
      <c r="L58" s="8">
        <v>0.2</v>
      </c>
      <c r="M58" s="8">
        <v>10</v>
      </c>
    </row>
    <row r="59" spans="1:13" x14ac:dyDescent="0.25">
      <c r="A59">
        <v>49</v>
      </c>
      <c r="C59" s="6"/>
      <c r="D59" s="8">
        <v>5.0240246422E-2</v>
      </c>
      <c r="E59" s="22">
        <v>2.8329192399999998E-7</v>
      </c>
      <c r="F59" s="22">
        <v>1.9541644600000001E-7</v>
      </c>
      <c r="G59" s="22">
        <v>4.12682911457801E-8</v>
      </c>
      <c r="H59" s="22">
        <v>2.0131736112372999E-8</v>
      </c>
      <c r="I59" s="22">
        <v>2.3574516611525298E-8</v>
      </c>
      <c r="J59" s="8">
        <v>7</v>
      </c>
      <c r="K59" s="8">
        <v>1</v>
      </c>
      <c r="L59" s="8">
        <v>0.2</v>
      </c>
      <c r="M59" s="8">
        <v>10</v>
      </c>
    </row>
    <row r="60" spans="1:13" x14ac:dyDescent="0.25">
      <c r="A60">
        <v>50</v>
      </c>
      <c r="C60" s="6"/>
      <c r="D60" s="8">
        <v>4.9425200922E-2</v>
      </c>
      <c r="E60" s="22">
        <v>2.7645088800000001E-7</v>
      </c>
      <c r="F60" s="22">
        <v>1.9940010799999999E-7</v>
      </c>
      <c r="G60" s="22">
        <v>3.6989017165609E-8</v>
      </c>
      <c r="H60" s="22">
        <v>2.71318621926962E-8</v>
      </c>
      <c r="I60" s="22">
        <v>2.49312393842812E-8</v>
      </c>
      <c r="J60" s="8">
        <v>7</v>
      </c>
      <c r="K60" s="8">
        <v>1</v>
      </c>
      <c r="L60" s="8">
        <v>0.2</v>
      </c>
      <c r="M60" s="8">
        <v>10</v>
      </c>
    </row>
    <row r="61" spans="1:13" x14ac:dyDescent="0.25">
      <c r="A61">
        <v>51</v>
      </c>
      <c r="C61" s="6"/>
      <c r="D61" s="8">
        <v>4.9443430263999999E-2</v>
      </c>
      <c r="E61" s="22">
        <v>2.78864524E-7</v>
      </c>
      <c r="F61" s="22">
        <v>1.8842526799999999E-7</v>
      </c>
      <c r="G61" s="22">
        <v>1.9124625994938499E-8</v>
      </c>
      <c r="H61" s="22">
        <v>2.72151240891058E-8</v>
      </c>
      <c r="I61" s="22">
        <v>2.39378583701253E-8</v>
      </c>
      <c r="J61" s="8">
        <v>7</v>
      </c>
      <c r="K61" s="8">
        <v>1</v>
      </c>
      <c r="L61" s="8">
        <v>0.2</v>
      </c>
      <c r="M61" s="8">
        <v>10</v>
      </c>
    </row>
    <row r="62" spans="1:13" x14ac:dyDescent="0.25">
      <c r="A62">
        <v>52</v>
      </c>
      <c r="D62" s="8" t="s">
        <v>182</v>
      </c>
    </row>
    <row r="63" spans="1:13" x14ac:dyDescent="0.25">
      <c r="A63">
        <v>53</v>
      </c>
      <c r="C63" s="2"/>
      <c r="D63" s="6" t="s">
        <v>183</v>
      </c>
      <c r="E63" s="6"/>
      <c r="F63" s="6"/>
      <c r="I63" s="6"/>
      <c r="J63" s="6"/>
      <c r="K63" s="6"/>
      <c r="L63" s="6"/>
      <c r="M63" s="6"/>
    </row>
    <row r="64" spans="1:13" x14ac:dyDescent="0.25">
      <c r="A64">
        <v>54</v>
      </c>
      <c r="C64" s="2" t="s">
        <v>68</v>
      </c>
      <c r="D64" s="6"/>
      <c r="E64" s="6"/>
      <c r="F64" s="6"/>
      <c r="I64" s="6" t="s">
        <v>181</v>
      </c>
      <c r="J64" s="6"/>
      <c r="K64" s="6"/>
      <c r="L64" s="6"/>
      <c r="M64" s="6"/>
    </row>
    <row r="65" spans="1:13" x14ac:dyDescent="0.25">
      <c r="A65">
        <v>55</v>
      </c>
      <c r="C65" s="6"/>
      <c r="D65" s="3" t="s">
        <v>4</v>
      </c>
      <c r="E65" s="4" t="s">
        <v>5</v>
      </c>
      <c r="F65" s="4" t="s">
        <v>6</v>
      </c>
      <c r="G65" s="4" t="s">
        <v>7</v>
      </c>
      <c r="H65" s="4" t="s">
        <v>8</v>
      </c>
      <c r="I65" s="4" t="s">
        <v>9</v>
      </c>
      <c r="J65" s="21"/>
      <c r="L65" s="6"/>
      <c r="M65" s="6"/>
    </row>
    <row r="66" spans="1:13" x14ac:dyDescent="0.25">
      <c r="A66">
        <v>56</v>
      </c>
      <c r="C66" s="6"/>
      <c r="D66" s="3" t="s">
        <v>10</v>
      </c>
      <c r="E66" s="4" t="s">
        <v>11</v>
      </c>
      <c r="F66" s="4" t="s">
        <v>11</v>
      </c>
      <c r="G66" s="4" t="s">
        <v>12</v>
      </c>
      <c r="H66" s="4" t="s">
        <v>11</v>
      </c>
      <c r="I66" s="4" t="s">
        <v>11</v>
      </c>
      <c r="J66" s="21"/>
      <c r="L66" s="2" t="s">
        <v>4</v>
      </c>
      <c r="M66" s="2" t="s">
        <v>13</v>
      </c>
    </row>
    <row r="67" spans="1:13" x14ac:dyDescent="0.25">
      <c r="A67">
        <v>57</v>
      </c>
      <c r="C67" s="6"/>
      <c r="D67">
        <v>1.1992237658</v>
      </c>
      <c r="E67" s="1">
        <v>-4.5233667200000002E-6</v>
      </c>
      <c r="F67" s="1">
        <v>-3.9146583399999899E-6</v>
      </c>
      <c r="G67" s="1">
        <v>5.1961217157282597E-6</v>
      </c>
      <c r="H67" s="1">
        <v>7.0028432440271105E-8</v>
      </c>
      <c r="I67" s="1">
        <v>1.70588423242728E-8</v>
      </c>
      <c r="J67">
        <v>11</v>
      </c>
      <c r="K67">
        <v>1</v>
      </c>
      <c r="L67" s="6">
        <v>0.2</v>
      </c>
      <c r="M67" s="6">
        <v>10</v>
      </c>
    </row>
    <row r="68" spans="1:13" x14ac:dyDescent="0.25">
      <c r="A68">
        <v>58</v>
      </c>
      <c r="C68" s="6"/>
      <c r="D68">
        <v>1.0007674825999999</v>
      </c>
      <c r="E68" s="1">
        <v>-4.1391568799999902E-6</v>
      </c>
      <c r="F68" s="1">
        <v>-3.4543284399999999E-6</v>
      </c>
      <c r="G68" s="1">
        <v>4.9408736930202197E-7</v>
      </c>
      <c r="H68" s="1">
        <v>6.7470028505699796E-9</v>
      </c>
      <c r="I68" s="1">
        <v>8.2048128782075293E-9</v>
      </c>
      <c r="J68">
        <v>10</v>
      </c>
      <c r="K68">
        <v>1</v>
      </c>
      <c r="L68" s="6">
        <v>0.2</v>
      </c>
      <c r="M68" s="6">
        <v>10</v>
      </c>
    </row>
    <row r="69" spans="1:13" x14ac:dyDescent="0.25">
      <c r="A69">
        <v>59</v>
      </c>
      <c r="C69" s="6"/>
      <c r="D69">
        <v>0.60064223348000001</v>
      </c>
      <c r="E69" s="1">
        <v>-2.8415491200000001E-6</v>
      </c>
      <c r="F69" s="1">
        <v>-2.2306863600000002E-6</v>
      </c>
      <c r="G69" s="1">
        <v>1.50152736031714E-6</v>
      </c>
      <c r="H69" s="1">
        <v>4.4319880961320301E-8</v>
      </c>
      <c r="I69" s="1">
        <v>6.6629645323612502E-8</v>
      </c>
      <c r="J69">
        <v>10</v>
      </c>
      <c r="K69">
        <v>1</v>
      </c>
      <c r="L69" s="6">
        <v>0.2</v>
      </c>
      <c r="M69" s="6">
        <v>10</v>
      </c>
    </row>
    <row r="70" spans="1:13" x14ac:dyDescent="0.25">
      <c r="A70">
        <v>60</v>
      </c>
      <c r="C70" s="6"/>
      <c r="D70">
        <v>0.39976236242000002</v>
      </c>
      <c r="E70" s="1">
        <v>-2.1299111399999999E-6</v>
      </c>
      <c r="F70" s="1">
        <v>-1.52644026E-6</v>
      </c>
      <c r="G70" s="1">
        <v>6.9169790824350303E-7</v>
      </c>
      <c r="H70" s="1">
        <v>4.2472812613487301E-8</v>
      </c>
      <c r="I70" s="1">
        <v>6.1443265549060797E-8</v>
      </c>
      <c r="J70">
        <v>10</v>
      </c>
      <c r="K70">
        <v>1</v>
      </c>
      <c r="L70" s="6">
        <v>0.2</v>
      </c>
      <c r="M70" s="6">
        <v>10</v>
      </c>
    </row>
    <row r="71" spans="1:13" x14ac:dyDescent="0.25">
      <c r="A71">
        <v>61</v>
      </c>
      <c r="C71" s="6"/>
      <c r="D71">
        <v>0.19950318442000001</v>
      </c>
      <c r="E71" s="1">
        <v>-1.28955252E-6</v>
      </c>
      <c r="F71" s="1">
        <v>-8.2335659200000001E-7</v>
      </c>
      <c r="G71" s="1">
        <v>2.66831503294767E-7</v>
      </c>
      <c r="H71" s="1">
        <v>2.4246661346453499E-8</v>
      </c>
      <c r="I71" s="1">
        <v>4.9158498512724497E-8</v>
      </c>
      <c r="J71">
        <v>9</v>
      </c>
      <c r="K71">
        <v>1</v>
      </c>
      <c r="L71" s="6">
        <v>0.2</v>
      </c>
      <c r="M71" s="6">
        <v>10</v>
      </c>
    </row>
    <row r="72" spans="1:13" x14ac:dyDescent="0.25">
      <c r="A72">
        <v>62</v>
      </c>
      <c r="C72" s="6"/>
      <c r="D72">
        <v>9.9793955909999996E-2</v>
      </c>
      <c r="E72" s="1">
        <v>-6.7628119599999901E-7</v>
      </c>
      <c r="F72" s="1">
        <v>-4.2366175399999998E-7</v>
      </c>
      <c r="G72" s="1">
        <v>1.1412399164957399E-7</v>
      </c>
      <c r="H72" s="1">
        <v>4.3725489270511099E-8</v>
      </c>
      <c r="I72" s="1">
        <v>2.7156594308150701E-8</v>
      </c>
      <c r="J72">
        <v>8</v>
      </c>
      <c r="K72">
        <v>1</v>
      </c>
      <c r="L72" s="6">
        <v>0.2</v>
      </c>
      <c r="M72" s="6">
        <v>10</v>
      </c>
    </row>
    <row r="73" spans="1:13" x14ac:dyDescent="0.25">
      <c r="A73">
        <v>63</v>
      </c>
      <c r="C73" s="6"/>
      <c r="D73">
        <v>4.9893044592000002E-2</v>
      </c>
      <c r="E73" s="1">
        <v>-3.7931961799999998E-7</v>
      </c>
      <c r="F73" s="1">
        <v>-2.08062803E-7</v>
      </c>
      <c r="G73" s="1">
        <v>6.6207285993915296E-8</v>
      </c>
      <c r="H73" s="1">
        <v>3.59032958870363E-8</v>
      </c>
      <c r="I73" s="1">
        <v>3.2651299909897799E-8</v>
      </c>
      <c r="J73">
        <v>7</v>
      </c>
      <c r="K73">
        <v>1</v>
      </c>
      <c r="L73" s="6">
        <v>0.2</v>
      </c>
      <c r="M73" s="6">
        <v>10</v>
      </c>
    </row>
    <row r="74" spans="1:13" x14ac:dyDescent="0.25">
      <c r="A74">
        <v>64</v>
      </c>
      <c r="C74" s="6"/>
      <c r="D74">
        <v>4.9928311916000001E-2</v>
      </c>
      <c r="E74" s="1">
        <v>-3.6378823800000002E-7</v>
      </c>
      <c r="F74" s="1">
        <v>-2.14083366E-7</v>
      </c>
      <c r="G74" s="1">
        <v>4.9185936789428203E-8</v>
      </c>
      <c r="H74" s="1">
        <v>2.1998843476813901E-8</v>
      </c>
      <c r="I74" s="1">
        <v>1.40576022308231E-8</v>
      </c>
      <c r="J74">
        <v>7</v>
      </c>
      <c r="K74">
        <v>1</v>
      </c>
      <c r="L74" s="6">
        <v>0.2</v>
      </c>
      <c r="M74" s="6">
        <v>10</v>
      </c>
    </row>
    <row r="75" spans="1:13" x14ac:dyDescent="0.25">
      <c r="A75">
        <v>65</v>
      </c>
      <c r="C75" s="6"/>
      <c r="D75">
        <v>4.9966001590000003E-2</v>
      </c>
      <c r="E75" s="1">
        <v>-3.5908951999999997E-7</v>
      </c>
      <c r="F75" s="1">
        <v>-2.1548648400000001E-7</v>
      </c>
      <c r="G75" s="1">
        <v>5.4291567175364498E-8</v>
      </c>
      <c r="H75" s="1">
        <v>2.0104880827639799E-8</v>
      </c>
      <c r="I75" s="1">
        <v>1.32353787453833E-8</v>
      </c>
      <c r="J75">
        <v>7</v>
      </c>
      <c r="K75">
        <v>1</v>
      </c>
      <c r="L75" s="6">
        <v>0.2</v>
      </c>
      <c r="M75" s="6">
        <v>10</v>
      </c>
    </row>
    <row r="76" spans="1:13" x14ac:dyDescent="0.25">
      <c r="A76">
        <v>66</v>
      </c>
      <c r="C76" s="6"/>
      <c r="D76">
        <v>4.9995234405999997E-2</v>
      </c>
      <c r="E76" s="1">
        <v>-3.6526507600000002E-7</v>
      </c>
      <c r="F76" s="1">
        <v>-2.0875635599999999E-7</v>
      </c>
      <c r="G76" s="1">
        <v>1.9744711956314798E-8</v>
      </c>
      <c r="H76" s="1">
        <v>2.57130582237552E-8</v>
      </c>
      <c r="I76" s="1">
        <v>2.3595988081732599E-8</v>
      </c>
      <c r="J76">
        <v>7</v>
      </c>
      <c r="K76">
        <v>1</v>
      </c>
      <c r="L76" s="6">
        <v>0.2</v>
      </c>
      <c r="M76" s="6">
        <v>10</v>
      </c>
    </row>
    <row r="77" spans="1:13" x14ac:dyDescent="0.25">
      <c r="A77">
        <v>67</v>
      </c>
      <c r="C77" s="6"/>
      <c r="D77">
        <v>5.0023021250000001E-2</v>
      </c>
      <c r="E77" s="1">
        <v>-3.6686679200000001E-7</v>
      </c>
      <c r="F77" s="1">
        <v>-2.0221050400000001E-7</v>
      </c>
      <c r="G77" s="1">
        <v>3.3673228468125298E-8</v>
      </c>
      <c r="H77" s="1">
        <v>2.0646198754267999E-8</v>
      </c>
      <c r="I77" s="1">
        <v>2.5214759186674501E-8</v>
      </c>
      <c r="J77">
        <v>7</v>
      </c>
      <c r="K77">
        <v>1</v>
      </c>
      <c r="L77" s="6">
        <v>0.2</v>
      </c>
      <c r="M77" s="6">
        <v>10</v>
      </c>
    </row>
    <row r="78" spans="1:13" x14ac:dyDescent="0.25">
      <c r="A78">
        <v>68</v>
      </c>
      <c r="C78" s="6"/>
      <c r="D78">
        <v>5.0044450934E-2</v>
      </c>
      <c r="E78" s="1">
        <v>-3.52723446E-7</v>
      </c>
      <c r="F78" s="1">
        <v>-2.20140442E-7</v>
      </c>
      <c r="G78" s="1">
        <v>2.21936504578848E-8</v>
      </c>
      <c r="H78" s="1">
        <v>2.1441726477107302E-8</v>
      </c>
      <c r="I78" s="1">
        <v>1.6237469209659401E-8</v>
      </c>
      <c r="J78">
        <v>7</v>
      </c>
      <c r="K78">
        <v>1</v>
      </c>
      <c r="L78" s="6">
        <v>0.2</v>
      </c>
      <c r="M78" s="6">
        <v>10</v>
      </c>
    </row>
    <row r="79" spans="1:13" x14ac:dyDescent="0.25">
      <c r="A79">
        <v>69</v>
      </c>
    </row>
    <row r="80" spans="1:13" x14ac:dyDescent="0.25">
      <c r="A80">
        <v>70</v>
      </c>
      <c r="C80" s="2" t="s">
        <v>74</v>
      </c>
      <c r="D80" s="6"/>
      <c r="E80" s="6"/>
      <c r="F80" s="6"/>
      <c r="G80" s="6"/>
      <c r="H80" s="6"/>
      <c r="I80" s="6"/>
      <c r="J80" s="6"/>
      <c r="K80" s="6"/>
      <c r="L80" s="6"/>
      <c r="M80" s="6"/>
    </row>
    <row r="81" spans="1:13" x14ac:dyDescent="0.25">
      <c r="A81">
        <v>71</v>
      </c>
      <c r="C81" s="6" t="s">
        <v>75</v>
      </c>
      <c r="D81" s="6">
        <v>1.005643391</v>
      </c>
      <c r="E81" s="21">
        <v>-1.1859579541800001E-8</v>
      </c>
      <c r="F81" s="21">
        <v>-1.0126804880000001E-7</v>
      </c>
      <c r="G81" s="21">
        <v>4.9927189189819203E-6</v>
      </c>
      <c r="H81" s="21">
        <v>2.1757110999624801E-8</v>
      </c>
      <c r="I81" s="21">
        <v>3.5509042124944702E-8</v>
      </c>
      <c r="J81" s="6">
        <v>7</v>
      </c>
      <c r="K81">
        <v>1</v>
      </c>
      <c r="L81" s="6">
        <v>0.2</v>
      </c>
      <c r="M81" s="6">
        <v>10</v>
      </c>
    </row>
    <row r="82" spans="1:13" x14ac:dyDescent="0.25">
      <c r="A82">
        <v>72</v>
      </c>
      <c r="D82">
        <v>1.001247982</v>
      </c>
      <c r="E82" s="1">
        <v>-1.5681634921999999E-8</v>
      </c>
      <c r="F82" s="1">
        <v>-1.102745186E-7</v>
      </c>
      <c r="G82" s="1">
        <v>3.6679876119586799E-6</v>
      </c>
      <c r="H82" s="1">
        <v>2.2776877454036699E-8</v>
      </c>
      <c r="I82" s="1">
        <v>2.0975334396957602E-8</v>
      </c>
      <c r="J82">
        <v>6</v>
      </c>
      <c r="K82">
        <v>1</v>
      </c>
      <c r="L82" s="6">
        <v>0.2</v>
      </c>
      <c r="M82" s="6">
        <v>10</v>
      </c>
    </row>
    <row r="83" spans="1:13" x14ac:dyDescent="0.25">
      <c r="A83">
        <v>73</v>
      </c>
      <c r="E83" s="1"/>
      <c r="F83" s="1"/>
      <c r="G83" s="1"/>
      <c r="H83" s="1"/>
      <c r="I83" s="1"/>
      <c r="L83" s="6"/>
      <c r="M83" s="6"/>
    </row>
    <row r="84" spans="1:13" x14ac:dyDescent="0.25">
      <c r="A84">
        <v>74</v>
      </c>
      <c r="B84" t="s">
        <v>184</v>
      </c>
      <c r="E84" s="1"/>
      <c r="F84" s="1"/>
      <c r="G84" s="1"/>
      <c r="H84" s="1"/>
      <c r="I84" s="1"/>
      <c r="L84" s="6"/>
      <c r="M84" s="6"/>
    </row>
    <row r="85" spans="1:13" x14ac:dyDescent="0.25">
      <c r="A85">
        <v>75</v>
      </c>
      <c r="C85" s="2" t="s">
        <v>68</v>
      </c>
      <c r="D85" s="6"/>
      <c r="E85" s="6"/>
      <c r="F85" s="6"/>
      <c r="I85" s="6" t="s">
        <v>181</v>
      </c>
      <c r="J85" s="6"/>
      <c r="K85" s="6"/>
      <c r="L85" s="6"/>
      <c r="M85" s="6"/>
    </row>
    <row r="86" spans="1:13" x14ac:dyDescent="0.25">
      <c r="A86">
        <v>76</v>
      </c>
      <c r="C86" s="6"/>
      <c r="D86" s="3" t="s">
        <v>4</v>
      </c>
      <c r="E86" s="4" t="s">
        <v>5</v>
      </c>
      <c r="F86" s="4" t="s">
        <v>6</v>
      </c>
      <c r="G86" s="4" t="s">
        <v>7</v>
      </c>
      <c r="H86" s="4" t="s">
        <v>8</v>
      </c>
      <c r="I86" s="4" t="s">
        <v>9</v>
      </c>
      <c r="J86" s="21"/>
      <c r="L86" s="6"/>
      <c r="M86" s="6"/>
    </row>
    <row r="87" spans="1:13" x14ac:dyDescent="0.25">
      <c r="A87">
        <v>77</v>
      </c>
      <c r="B87" s="5">
        <v>41344</v>
      </c>
      <c r="C87" s="6"/>
      <c r="D87" s="3" t="s">
        <v>10</v>
      </c>
      <c r="E87" s="4" t="s">
        <v>11</v>
      </c>
      <c r="F87" s="4" t="s">
        <v>11</v>
      </c>
      <c r="G87" s="4" t="s">
        <v>12</v>
      </c>
      <c r="H87" s="4" t="s">
        <v>11</v>
      </c>
      <c r="I87" s="4" t="s">
        <v>11</v>
      </c>
      <c r="J87" s="21"/>
      <c r="L87" s="2" t="s">
        <v>4</v>
      </c>
      <c r="M87" s="2" t="s">
        <v>13</v>
      </c>
    </row>
    <row r="88" spans="1:13" x14ac:dyDescent="0.25">
      <c r="A88">
        <v>78</v>
      </c>
      <c r="D88">
        <v>1.1981919936000001</v>
      </c>
      <c r="E88" s="1">
        <v>-4.6751670000000003E-6</v>
      </c>
      <c r="F88" s="1">
        <v>-4.9266920000000004E-6</v>
      </c>
      <c r="G88" s="1">
        <v>5.9849053283794097E-6</v>
      </c>
      <c r="H88" s="1">
        <v>1.0392063690624699E-7</v>
      </c>
      <c r="I88" s="1">
        <v>8.5766620080309405E-9</v>
      </c>
      <c r="J88">
        <v>11</v>
      </c>
      <c r="K88">
        <v>1</v>
      </c>
      <c r="L88" s="6">
        <v>0.2</v>
      </c>
      <c r="M88" s="6">
        <v>10</v>
      </c>
    </row>
    <row r="89" spans="1:13" x14ac:dyDescent="0.25">
      <c r="A89">
        <v>79</v>
      </c>
      <c r="D89">
        <v>1.0010324961999999</v>
      </c>
      <c r="E89" s="1">
        <v>-3.9183940599999997E-6</v>
      </c>
      <c r="F89" s="1">
        <v>-4.4046091600000003E-6</v>
      </c>
      <c r="G89" s="1">
        <v>9.9632974211165503E-7</v>
      </c>
      <c r="H89" s="1">
        <v>1.37199008785195E-8</v>
      </c>
      <c r="I89" s="1">
        <v>8.6237757446724197E-9</v>
      </c>
      <c r="J89">
        <v>11</v>
      </c>
      <c r="K89">
        <v>1</v>
      </c>
      <c r="L89" s="6">
        <v>0.2</v>
      </c>
      <c r="M89" s="6">
        <v>10</v>
      </c>
    </row>
    <row r="90" spans="1:13" x14ac:dyDescent="0.25">
      <c r="A90">
        <v>80</v>
      </c>
      <c r="D90">
        <v>0.59995283485999995</v>
      </c>
      <c r="E90" s="1">
        <v>-3.1367887999999998E-6</v>
      </c>
      <c r="F90" s="1">
        <v>-2.7737714E-6</v>
      </c>
      <c r="G90" s="1">
        <v>9.2719719936389498E-7</v>
      </c>
      <c r="H90" s="1">
        <v>6.9164484354327302E-9</v>
      </c>
      <c r="I90" s="1">
        <v>9.7791196352228108E-9</v>
      </c>
      <c r="J90">
        <v>10</v>
      </c>
      <c r="K90">
        <v>1</v>
      </c>
      <c r="L90" s="6">
        <v>0.2</v>
      </c>
      <c r="M90" s="6">
        <v>10</v>
      </c>
    </row>
    <row r="91" spans="1:13" x14ac:dyDescent="0.25">
      <c r="A91">
        <v>81</v>
      </c>
      <c r="D91">
        <v>0.40055044579999999</v>
      </c>
      <c r="E91" s="1">
        <v>-2.4784942000000002E-6</v>
      </c>
      <c r="F91" s="1">
        <v>-1.7453778800000001E-6</v>
      </c>
      <c r="G91" s="1">
        <v>7.7520603625201802E-7</v>
      </c>
      <c r="H91" s="1">
        <v>3.4056273718068398E-8</v>
      </c>
      <c r="I91" s="1">
        <v>3.1487431628508499E-9</v>
      </c>
      <c r="J91">
        <v>10</v>
      </c>
      <c r="K91">
        <v>1</v>
      </c>
      <c r="L91" s="6">
        <v>0.2</v>
      </c>
      <c r="M91" s="6">
        <v>10</v>
      </c>
    </row>
    <row r="92" spans="1:13" x14ac:dyDescent="0.25">
      <c r="A92">
        <v>82</v>
      </c>
      <c r="D92">
        <v>0.20016806422</v>
      </c>
      <c r="E92" s="1">
        <v>-1.4822901600000001E-6</v>
      </c>
      <c r="F92" s="1">
        <v>-8.9006793999999896E-7</v>
      </c>
      <c r="G92" s="1">
        <v>3.6902721974692698E-7</v>
      </c>
      <c r="H92" s="1">
        <v>3.4353929981508697E-8</v>
      </c>
      <c r="I92" s="1">
        <v>1.16955344360316E-8</v>
      </c>
      <c r="J92">
        <v>9</v>
      </c>
      <c r="K92">
        <v>1</v>
      </c>
      <c r="L92" s="6">
        <v>0.2</v>
      </c>
      <c r="M92" s="6">
        <v>10</v>
      </c>
    </row>
    <row r="93" spans="1:13" x14ac:dyDescent="0.25">
      <c r="A93">
        <v>83</v>
      </c>
      <c r="D93">
        <v>9.9585404032000002E-2</v>
      </c>
      <c r="E93" s="1">
        <v>-7.87813234000001E-7</v>
      </c>
      <c r="F93" s="1">
        <v>-4.53256944E-7</v>
      </c>
      <c r="G93" s="1">
        <v>1.51916731742906E-7</v>
      </c>
      <c r="H93" s="1">
        <v>1.85621672286197E-8</v>
      </c>
      <c r="I93" s="1">
        <v>4.5190485274412101E-8</v>
      </c>
      <c r="J93">
        <v>8</v>
      </c>
      <c r="K93">
        <v>1</v>
      </c>
      <c r="L93" s="6">
        <v>0.2</v>
      </c>
      <c r="M93" s="6">
        <v>10</v>
      </c>
    </row>
    <row r="94" spans="1:13" x14ac:dyDescent="0.25">
      <c r="A94">
        <v>84</v>
      </c>
      <c r="D94">
        <v>4.9807166915999998E-2</v>
      </c>
      <c r="E94" s="1">
        <v>-4.2089226600000002E-7</v>
      </c>
      <c r="F94" s="1">
        <v>-2.1841760400000001E-7</v>
      </c>
      <c r="G94" s="1">
        <v>3.6239951655956297E-8</v>
      </c>
      <c r="H94" s="1">
        <v>3.4716788476920502E-8</v>
      </c>
      <c r="I94" s="1">
        <v>2.6626148442671601E-8</v>
      </c>
      <c r="J94">
        <v>7</v>
      </c>
      <c r="K94">
        <v>1</v>
      </c>
      <c r="L94" s="6">
        <v>0.2</v>
      </c>
      <c r="M94" s="6">
        <v>10</v>
      </c>
    </row>
    <row r="95" spans="1:13" x14ac:dyDescent="0.25">
      <c r="A95">
        <v>85</v>
      </c>
      <c r="E95" s="1"/>
      <c r="F95" s="1"/>
      <c r="G95" s="1"/>
      <c r="H95" s="1"/>
      <c r="I95" s="1"/>
      <c r="L95" s="6"/>
      <c r="M95" s="6"/>
    </row>
    <row r="96" spans="1:13" x14ac:dyDescent="0.25">
      <c r="A96">
        <v>86</v>
      </c>
      <c r="E96" s="1"/>
      <c r="F96" s="1"/>
      <c r="G96" s="1"/>
      <c r="H96" s="1"/>
      <c r="I96" s="1"/>
      <c r="L96" s="6"/>
      <c r="M96" s="6"/>
    </row>
    <row r="97" spans="1:13" x14ac:dyDescent="0.25">
      <c r="A97">
        <v>87</v>
      </c>
      <c r="C97" s="2" t="s">
        <v>103</v>
      </c>
      <c r="L97" t="s">
        <v>185</v>
      </c>
    </row>
    <row r="98" spans="1:13" x14ac:dyDescent="0.25">
      <c r="A98">
        <v>88</v>
      </c>
      <c r="D98">
        <v>1.1989033988</v>
      </c>
      <c r="E98" s="1">
        <v>4.1017115200000003E-6</v>
      </c>
      <c r="F98" s="1">
        <v>4.3453211799999999E-6</v>
      </c>
      <c r="G98" s="1">
        <v>7.53359306942794E-6</v>
      </c>
      <c r="H98" s="1">
        <v>7.1649347043009405E-8</v>
      </c>
      <c r="I98" s="1">
        <v>2.50465916485178E-8</v>
      </c>
      <c r="J98">
        <v>11</v>
      </c>
      <c r="K98">
        <v>1</v>
      </c>
      <c r="L98">
        <v>0.2</v>
      </c>
      <c r="M98">
        <v>10</v>
      </c>
    </row>
    <row r="99" spans="1:13" x14ac:dyDescent="0.25">
      <c r="A99">
        <v>89</v>
      </c>
      <c r="D99">
        <v>1.0017299613999999</v>
      </c>
      <c r="E99" s="1">
        <v>3.7452150999999999E-6</v>
      </c>
      <c r="F99" s="1">
        <v>3.7855738200000001E-6</v>
      </c>
      <c r="G99" s="1">
        <v>3.08229733578431E-6</v>
      </c>
      <c r="H99" s="1">
        <v>2.6519918306623802E-8</v>
      </c>
      <c r="I99" s="1">
        <v>9.4058451617917006E-9</v>
      </c>
      <c r="J99">
        <v>10</v>
      </c>
      <c r="K99">
        <v>1</v>
      </c>
      <c r="L99">
        <v>0.2</v>
      </c>
      <c r="M99">
        <v>10</v>
      </c>
    </row>
    <row r="100" spans="1:13" x14ac:dyDescent="0.25">
      <c r="A100">
        <v>90</v>
      </c>
      <c r="D100">
        <v>0.60034134266000005</v>
      </c>
      <c r="E100" s="1">
        <v>3.06261246E-6</v>
      </c>
      <c r="F100" s="1">
        <v>2.3623002000000001E-6</v>
      </c>
      <c r="G100" s="1">
        <v>2.4087257543116098E-6</v>
      </c>
      <c r="H100" s="1">
        <v>2.9772577391760999E-8</v>
      </c>
      <c r="I100" s="1">
        <v>4.6057324389938199E-8</v>
      </c>
      <c r="J100">
        <v>10</v>
      </c>
      <c r="K100">
        <v>1</v>
      </c>
      <c r="L100">
        <v>0.2</v>
      </c>
      <c r="M100">
        <v>10</v>
      </c>
    </row>
    <row r="101" spans="1:13" x14ac:dyDescent="0.25">
      <c r="A101">
        <v>91</v>
      </c>
      <c r="D101">
        <v>0.40006054563999999</v>
      </c>
      <c r="E101" s="1">
        <v>2.4360132799999999E-6</v>
      </c>
      <c r="F101" s="1">
        <v>1.4333405799999999E-6</v>
      </c>
      <c r="G101" s="1">
        <v>1.5119898218068001E-6</v>
      </c>
      <c r="H101" s="1">
        <v>5.0401969447235E-9</v>
      </c>
      <c r="I101" s="1">
        <v>2.2455743048574501E-8</v>
      </c>
      <c r="J101">
        <v>10</v>
      </c>
      <c r="K101">
        <v>1</v>
      </c>
      <c r="L101">
        <v>0.2</v>
      </c>
      <c r="M101">
        <v>10</v>
      </c>
    </row>
    <row r="102" spans="1:13" x14ac:dyDescent="0.25">
      <c r="A102">
        <v>92</v>
      </c>
      <c r="D102">
        <v>0.19976442342</v>
      </c>
      <c r="E102" s="1">
        <v>1.4726032600000001E-6</v>
      </c>
      <c r="F102" s="1">
        <v>7.5887718199999997E-7</v>
      </c>
      <c r="G102" s="1">
        <v>6.9550129406655104E-7</v>
      </c>
      <c r="H102" s="1">
        <v>7.48129967637468E-8</v>
      </c>
      <c r="I102" s="1">
        <v>3.9594676943256897E-8</v>
      </c>
      <c r="J102">
        <v>9</v>
      </c>
      <c r="K102">
        <v>1</v>
      </c>
      <c r="L102">
        <v>0.2</v>
      </c>
      <c r="M102">
        <v>10</v>
      </c>
    </row>
    <row r="103" spans="1:13" x14ac:dyDescent="0.25">
      <c r="A103">
        <v>93</v>
      </c>
      <c r="D103">
        <v>0.100012123336</v>
      </c>
      <c r="E103" s="1">
        <v>8.4131757600000001E-7</v>
      </c>
      <c r="F103" s="1">
        <v>4.1302173200000001E-7</v>
      </c>
      <c r="G103" s="1">
        <v>2.78082180315436E-7</v>
      </c>
      <c r="H103" s="1">
        <v>3.5323036120132998E-8</v>
      </c>
      <c r="I103" s="1">
        <v>2.0832740845893902E-8</v>
      </c>
      <c r="J103">
        <v>9</v>
      </c>
      <c r="K103">
        <v>1</v>
      </c>
      <c r="L103">
        <v>0.2</v>
      </c>
      <c r="M103">
        <v>10</v>
      </c>
    </row>
    <row r="104" spans="1:13" x14ac:dyDescent="0.25">
      <c r="A104">
        <v>94</v>
      </c>
      <c r="D104">
        <v>5.0021963241999999E-2</v>
      </c>
      <c r="E104" s="1">
        <v>4.4637866599999998E-7</v>
      </c>
      <c r="F104" s="1">
        <v>1.9231390599999999E-7</v>
      </c>
      <c r="G104" s="1">
        <v>9.1752558607245304E-8</v>
      </c>
      <c r="H104" s="1">
        <v>2.06491868675365E-8</v>
      </c>
      <c r="I104" s="1">
        <v>5.0416206326985402E-8</v>
      </c>
      <c r="J104">
        <v>8</v>
      </c>
      <c r="K104">
        <v>1</v>
      </c>
      <c r="L104">
        <v>0.2</v>
      </c>
      <c r="M104">
        <v>10</v>
      </c>
    </row>
    <row r="105" spans="1:13" x14ac:dyDescent="0.25">
      <c r="A105">
        <v>95</v>
      </c>
      <c r="D105" s="1" t="s">
        <v>186</v>
      </c>
    </row>
    <row r="106" spans="1:13" x14ac:dyDescent="0.25">
      <c r="A106">
        <v>96</v>
      </c>
      <c r="C106" s="2" t="s">
        <v>187</v>
      </c>
      <c r="E106" s="1"/>
      <c r="G106" s="1"/>
      <c r="H106" s="1"/>
      <c r="I106" s="1"/>
      <c r="L106" t="s">
        <v>185</v>
      </c>
    </row>
    <row r="107" spans="1:13" x14ac:dyDescent="0.25">
      <c r="A107">
        <v>97</v>
      </c>
      <c r="D107">
        <v>1.1988080308</v>
      </c>
      <c r="E107" s="1">
        <v>4.6984733599999999E-6</v>
      </c>
      <c r="F107" s="1">
        <v>3.5323391599999998E-6</v>
      </c>
      <c r="G107" s="1">
        <v>7.3614363994844596E-6</v>
      </c>
      <c r="H107" s="1">
        <v>9.6569949277766506E-8</v>
      </c>
      <c r="I107" s="1">
        <v>6.4849127655616205E-8</v>
      </c>
      <c r="J107">
        <v>11</v>
      </c>
      <c r="K107">
        <v>1</v>
      </c>
      <c r="L107">
        <v>0.2</v>
      </c>
      <c r="M107">
        <v>10</v>
      </c>
    </row>
    <row r="108" spans="1:13" x14ac:dyDescent="0.25">
      <c r="A108">
        <v>98</v>
      </c>
      <c r="D108">
        <v>1.0022068129999999</v>
      </c>
      <c r="E108" s="1">
        <v>4.1970687799999998E-6</v>
      </c>
      <c r="F108" s="1">
        <v>3.1277477199999899E-6</v>
      </c>
      <c r="G108" s="1">
        <v>1.37928141511434E-6</v>
      </c>
      <c r="H108" s="1">
        <v>2.0914811524649202E-8</v>
      </c>
      <c r="I108" s="1">
        <v>5.6760045455936796E-9</v>
      </c>
      <c r="J108">
        <v>10</v>
      </c>
      <c r="K108">
        <v>1</v>
      </c>
      <c r="L108">
        <v>0.2</v>
      </c>
      <c r="M108">
        <v>10</v>
      </c>
    </row>
    <row r="109" spans="1:13" x14ac:dyDescent="0.25">
      <c r="A109">
        <v>99</v>
      </c>
      <c r="D109">
        <v>0.60127842828</v>
      </c>
      <c r="E109" s="1">
        <v>3.2879570400000001E-6</v>
      </c>
      <c r="F109" s="1">
        <v>1.9874712000000002E-6</v>
      </c>
      <c r="G109" s="1">
        <v>2.2077537304086002E-6</v>
      </c>
      <c r="H109" s="1">
        <v>6.5277875933875206E-8</v>
      </c>
      <c r="I109" s="1">
        <v>4.2422431898230401E-8</v>
      </c>
      <c r="J109">
        <v>10</v>
      </c>
      <c r="K109">
        <v>1</v>
      </c>
      <c r="L109">
        <v>0.2</v>
      </c>
      <c r="M109">
        <v>10</v>
      </c>
    </row>
    <row r="110" spans="1:13" x14ac:dyDescent="0.25">
      <c r="A110">
        <v>100</v>
      </c>
      <c r="D110">
        <v>0.40120864466</v>
      </c>
      <c r="E110" s="1">
        <v>2.4518424200000099E-6</v>
      </c>
      <c r="F110" s="1">
        <v>1.38807278E-6</v>
      </c>
      <c r="G110" s="1">
        <v>1.47343485061542E-6</v>
      </c>
      <c r="H110" s="1">
        <v>1.28443388753022E-8</v>
      </c>
      <c r="I110" s="1">
        <v>6.74926399480713E-9</v>
      </c>
      <c r="J110">
        <v>10</v>
      </c>
      <c r="K110">
        <v>1</v>
      </c>
      <c r="L110">
        <v>0.2</v>
      </c>
      <c r="M110">
        <v>10</v>
      </c>
    </row>
    <row r="111" spans="1:13" x14ac:dyDescent="0.25">
      <c r="A111">
        <v>101</v>
      </c>
      <c r="D111">
        <v>0.20007584287999999</v>
      </c>
      <c r="E111" s="1">
        <v>1.50839702E-6</v>
      </c>
      <c r="F111" s="1">
        <v>6.70940772000002E-7</v>
      </c>
      <c r="G111" s="1">
        <v>7.20778542069946E-7</v>
      </c>
      <c r="H111" s="1">
        <v>2.41426246899462E-8</v>
      </c>
      <c r="I111" s="1">
        <v>1.4445178360962401E-8</v>
      </c>
      <c r="J111">
        <v>9</v>
      </c>
      <c r="K111">
        <v>1</v>
      </c>
      <c r="L111">
        <v>0.2</v>
      </c>
      <c r="M111">
        <v>10</v>
      </c>
    </row>
    <row r="112" spans="1:13" x14ac:dyDescent="0.25">
      <c r="A112">
        <v>102</v>
      </c>
      <c r="D112">
        <v>0.10085255474</v>
      </c>
      <c r="E112" s="1">
        <v>8.4912022199999897E-7</v>
      </c>
      <c r="F112" s="1">
        <v>3.73095922E-7</v>
      </c>
      <c r="G112" s="1">
        <v>3.0519129920008098E-7</v>
      </c>
      <c r="H112" s="1">
        <v>3.1526938867145303E-8</v>
      </c>
      <c r="I112" s="1">
        <v>3.5935704723685597E-8</v>
      </c>
      <c r="J112">
        <v>9</v>
      </c>
      <c r="K112">
        <v>1</v>
      </c>
      <c r="L112">
        <v>0.2</v>
      </c>
      <c r="M112">
        <v>10</v>
      </c>
    </row>
    <row r="113" spans="1:13" x14ac:dyDescent="0.25">
      <c r="A113">
        <v>103</v>
      </c>
      <c r="D113">
        <v>5.01683853E-2</v>
      </c>
      <c r="E113" s="1">
        <v>4.4315955599999998E-7</v>
      </c>
      <c r="F113" s="1">
        <v>1.80936182E-7</v>
      </c>
      <c r="G113" s="1">
        <v>7.0979234471248598E-8</v>
      </c>
      <c r="H113" s="1">
        <v>2.0204008658750499E-8</v>
      </c>
      <c r="I113" s="1">
        <v>2.03444196528895E-8</v>
      </c>
      <c r="J113">
        <v>7</v>
      </c>
      <c r="K113">
        <v>1</v>
      </c>
      <c r="L113">
        <v>0.2</v>
      </c>
      <c r="M113">
        <v>10</v>
      </c>
    </row>
    <row r="114" spans="1:13" x14ac:dyDescent="0.25">
      <c r="A114">
        <v>104</v>
      </c>
      <c r="E114" s="1"/>
      <c r="F114" s="1"/>
      <c r="G114" s="1"/>
      <c r="H114" s="1"/>
      <c r="I114" s="1"/>
    </row>
    <row r="115" spans="1:13" x14ac:dyDescent="0.25">
      <c r="A115">
        <v>105</v>
      </c>
      <c r="C115" s="2" t="s">
        <v>110</v>
      </c>
      <c r="E115" s="1"/>
      <c r="F115" s="1"/>
      <c r="G115" s="1"/>
      <c r="H115" s="1"/>
      <c r="I115" s="1"/>
      <c r="L115" t="s">
        <v>185</v>
      </c>
    </row>
    <row r="116" spans="1:13" x14ac:dyDescent="0.25">
      <c r="A116">
        <v>106</v>
      </c>
      <c r="D116" s="8">
        <v>1.1985080194</v>
      </c>
      <c r="E116" s="22">
        <v>1.81024806E-5</v>
      </c>
      <c r="F116" s="22">
        <v>3.4878199999999699E-6</v>
      </c>
      <c r="G116" s="22">
        <v>9.4965644709540995E-6</v>
      </c>
      <c r="H116" s="22">
        <v>8.1478454352300805E-8</v>
      </c>
      <c r="I116" s="22">
        <v>3.1763735522036299E-20</v>
      </c>
      <c r="J116" s="8">
        <v>12</v>
      </c>
      <c r="K116" s="8">
        <v>1</v>
      </c>
      <c r="L116" s="8">
        <v>0.2</v>
      </c>
      <c r="M116" s="8">
        <v>10</v>
      </c>
    </row>
    <row r="117" spans="1:13" x14ac:dyDescent="0.25">
      <c r="A117">
        <v>107</v>
      </c>
      <c r="D117">
        <v>1.0009207790000001</v>
      </c>
      <c r="E117" s="1">
        <v>1.59021756E-5</v>
      </c>
      <c r="F117" s="1">
        <v>2.79305000000001E-6</v>
      </c>
      <c r="G117" s="1">
        <v>4.3638334378982502E-6</v>
      </c>
      <c r="H117" s="1">
        <v>2.3916326738025698E-8</v>
      </c>
      <c r="I117" s="1">
        <v>1.22819777351874E-20</v>
      </c>
      <c r="J117">
        <v>12</v>
      </c>
      <c r="K117">
        <v>1</v>
      </c>
      <c r="L117">
        <v>0.2</v>
      </c>
      <c r="M117">
        <v>10</v>
      </c>
    </row>
    <row r="118" spans="1:13" x14ac:dyDescent="0.25">
      <c r="A118">
        <v>108</v>
      </c>
      <c r="D118">
        <v>0.60157761231999995</v>
      </c>
      <c r="E118" s="1">
        <v>1.02926368E-5</v>
      </c>
      <c r="F118" s="1">
        <v>1.9156454600000001E-6</v>
      </c>
      <c r="G118" s="1">
        <v>1.67241567599598E-6</v>
      </c>
      <c r="H118" s="1">
        <v>1.89919795113622E-8</v>
      </c>
      <c r="I118" s="1">
        <v>3.2964691874616498E-8</v>
      </c>
      <c r="J118">
        <v>11</v>
      </c>
      <c r="K118">
        <v>1</v>
      </c>
      <c r="L118">
        <v>0.2</v>
      </c>
      <c r="M118">
        <v>10</v>
      </c>
    </row>
    <row r="119" spans="1:13" x14ac:dyDescent="0.25">
      <c r="A119">
        <v>109</v>
      </c>
      <c r="D119">
        <v>0.40020200750000001</v>
      </c>
      <c r="E119" s="1">
        <v>7.1173757799999996E-6</v>
      </c>
      <c r="F119" s="1">
        <v>1.16847446E-6</v>
      </c>
      <c r="G119" s="1">
        <v>1.35541854545447E-6</v>
      </c>
      <c r="H119" s="1">
        <v>7.7409757906814304E-8</v>
      </c>
      <c r="I119" s="1">
        <v>7.7702666625466595E-8</v>
      </c>
      <c r="J119">
        <v>11</v>
      </c>
      <c r="K119">
        <v>1</v>
      </c>
      <c r="L119">
        <v>0.2</v>
      </c>
      <c r="M119">
        <v>10</v>
      </c>
    </row>
    <row r="120" spans="1:13" x14ac:dyDescent="0.25">
      <c r="A120">
        <v>110</v>
      </c>
      <c r="D120">
        <v>0.20029584557999999</v>
      </c>
      <c r="E120" s="1">
        <v>3.79621222E-6</v>
      </c>
      <c r="F120" s="1">
        <v>6.9617989200000403E-7</v>
      </c>
      <c r="G120" s="1">
        <v>7.2864148485941099E-7</v>
      </c>
      <c r="H120" s="1">
        <v>3.7277554200349201E-9</v>
      </c>
      <c r="I120" s="1">
        <v>1.68179610664789E-9</v>
      </c>
      <c r="J120">
        <v>10</v>
      </c>
      <c r="K120">
        <v>1</v>
      </c>
      <c r="L120">
        <v>0.2</v>
      </c>
      <c r="M120">
        <v>10</v>
      </c>
    </row>
    <row r="121" spans="1:13" x14ac:dyDescent="0.25">
      <c r="A121">
        <v>111</v>
      </c>
      <c r="D121">
        <v>9.9907159925999994E-2</v>
      </c>
      <c r="E121" s="1">
        <v>2.0548385000000001E-6</v>
      </c>
      <c r="F121" s="1">
        <v>3.47618000000003E-7</v>
      </c>
      <c r="G121" s="1">
        <v>2.7281904966340798E-7</v>
      </c>
      <c r="H121" s="1">
        <v>1.7976443184067301E-8</v>
      </c>
      <c r="I121" s="1">
        <v>3.2822526706104101E-21</v>
      </c>
      <c r="J121">
        <v>10</v>
      </c>
      <c r="K121">
        <v>1</v>
      </c>
      <c r="L121">
        <v>0.2</v>
      </c>
      <c r="M121">
        <v>10</v>
      </c>
    </row>
    <row r="122" spans="1:13" x14ac:dyDescent="0.25">
      <c r="A122">
        <v>112</v>
      </c>
      <c r="D122">
        <v>4.9999022781999997E-2</v>
      </c>
      <c r="E122" s="1">
        <v>1.02001432E-6</v>
      </c>
      <c r="F122" s="1">
        <v>1.5226665240000001E-7</v>
      </c>
      <c r="G122" s="1">
        <v>1.11274259710836E-7</v>
      </c>
      <c r="H122" s="1">
        <v>2.8826322260212101E-8</v>
      </c>
      <c r="I122" s="1">
        <v>1.6508816904082899E-8</v>
      </c>
      <c r="J122">
        <v>8</v>
      </c>
      <c r="K122">
        <v>1</v>
      </c>
      <c r="L122">
        <v>0.2</v>
      </c>
      <c r="M122">
        <v>10</v>
      </c>
    </row>
    <row r="123" spans="1:13" x14ac:dyDescent="0.25">
      <c r="A123">
        <v>113</v>
      </c>
    </row>
    <row r="124" spans="1:13" x14ac:dyDescent="0.25">
      <c r="A124">
        <v>114</v>
      </c>
      <c r="D124" t="s">
        <v>111</v>
      </c>
    </row>
    <row r="125" spans="1:13" x14ac:dyDescent="0.25">
      <c r="A125">
        <v>115</v>
      </c>
      <c r="D125">
        <v>0.40304850168</v>
      </c>
      <c r="E125" s="1">
        <v>-4.0319574599999801E-5</v>
      </c>
      <c r="F125">
        <v>1.05194424E-4</v>
      </c>
      <c r="G125" s="1">
        <v>1.06585032407852E-7</v>
      </c>
      <c r="H125" s="1">
        <v>2.0966650946332199E-5</v>
      </c>
      <c r="I125" s="1">
        <v>6.0775245394308797E-6</v>
      </c>
      <c r="J125">
        <v>14</v>
      </c>
      <c r="K125">
        <v>1</v>
      </c>
      <c r="L125">
        <v>0.2</v>
      </c>
      <c r="M125">
        <v>10</v>
      </c>
    </row>
    <row r="126" spans="1:13" x14ac:dyDescent="0.25">
      <c r="A126">
        <v>116</v>
      </c>
    </row>
    <row r="127" spans="1:13" x14ac:dyDescent="0.25">
      <c r="A127">
        <v>117</v>
      </c>
      <c r="C127" s="2" t="s">
        <v>188</v>
      </c>
      <c r="L127" t="s">
        <v>185</v>
      </c>
    </row>
    <row r="128" spans="1:13" x14ac:dyDescent="0.25">
      <c r="A128">
        <v>118</v>
      </c>
      <c r="D128">
        <v>1.1986896488000001</v>
      </c>
      <c r="E128" s="1">
        <v>-2.17200686E-6</v>
      </c>
      <c r="F128" s="1">
        <v>-3.1204979E-6</v>
      </c>
      <c r="G128" s="1">
        <v>7.05361203511004E-6</v>
      </c>
      <c r="H128" s="1">
        <v>4.7210954855207103E-8</v>
      </c>
      <c r="I128" s="1">
        <v>7.8139792289204292E-9</v>
      </c>
      <c r="J128">
        <v>10</v>
      </c>
      <c r="K128">
        <v>1</v>
      </c>
      <c r="L128">
        <v>0.2</v>
      </c>
      <c r="M128">
        <v>10</v>
      </c>
    </row>
    <row r="129" spans="1:13" x14ac:dyDescent="0.25">
      <c r="A129">
        <v>119</v>
      </c>
      <c r="D129">
        <v>1.1989809736000001</v>
      </c>
      <c r="E129" s="1">
        <v>-2.17341826E-6</v>
      </c>
      <c r="F129" s="1">
        <v>-3.11834604E-6</v>
      </c>
      <c r="G129" s="1">
        <v>6.6253192482765498E-6</v>
      </c>
      <c r="H129" s="1">
        <v>4.7656739510507903E-8</v>
      </c>
      <c r="I129" s="1">
        <v>8.5099689493205594E-9</v>
      </c>
      <c r="J129">
        <v>10</v>
      </c>
      <c r="K129">
        <v>1</v>
      </c>
      <c r="L129">
        <v>0.2</v>
      </c>
      <c r="M129">
        <v>10</v>
      </c>
    </row>
    <row r="130" spans="1:13" x14ac:dyDescent="0.25">
      <c r="A130">
        <v>120</v>
      </c>
      <c r="D130">
        <v>1.0005157734000001</v>
      </c>
      <c r="E130" s="1">
        <v>-2.0888228600000001E-6</v>
      </c>
      <c r="F130" s="1">
        <v>-2.74399432E-6</v>
      </c>
      <c r="G130" s="1">
        <v>5.1402226775118297E-7</v>
      </c>
      <c r="H130" s="1">
        <v>5.4755802633511102E-9</v>
      </c>
      <c r="I130" s="1">
        <v>1.0731216675549899E-8</v>
      </c>
      <c r="J130">
        <v>10</v>
      </c>
      <c r="K130">
        <v>1</v>
      </c>
      <c r="L130">
        <v>0.2</v>
      </c>
      <c r="M130">
        <v>10</v>
      </c>
    </row>
    <row r="131" spans="1:13" x14ac:dyDescent="0.25">
      <c r="A131">
        <v>121</v>
      </c>
      <c r="D131">
        <v>0.60005844500000005</v>
      </c>
      <c r="E131" s="1">
        <v>-1.7438043399999801E-6</v>
      </c>
      <c r="F131" s="1">
        <v>-1.73604944E-6</v>
      </c>
      <c r="G131" s="1">
        <v>1.9750286561578102E-6</v>
      </c>
      <c r="H131" s="1">
        <v>6.6181429751857897E-10</v>
      </c>
      <c r="I131" s="1">
        <v>8.9039083601753104E-9</v>
      </c>
      <c r="J131">
        <v>10</v>
      </c>
      <c r="K131">
        <v>1</v>
      </c>
      <c r="L131">
        <v>0.2</v>
      </c>
      <c r="M131">
        <v>10</v>
      </c>
    </row>
    <row r="132" spans="1:13" x14ac:dyDescent="0.25">
      <c r="A132">
        <v>122</v>
      </c>
      <c r="D132">
        <v>0.40012615767999998</v>
      </c>
      <c r="E132" s="1">
        <v>-1.39539376E-6</v>
      </c>
      <c r="F132" s="1">
        <v>-1.1276832000000001E-6</v>
      </c>
      <c r="G132" s="1">
        <v>1.4608447882910999E-6</v>
      </c>
      <c r="H132" s="1">
        <v>3.0194373831268601E-8</v>
      </c>
      <c r="I132" s="1">
        <v>2.9158645183890101E-8</v>
      </c>
      <c r="J132">
        <v>9</v>
      </c>
      <c r="K132">
        <v>1</v>
      </c>
      <c r="L132">
        <v>0.2</v>
      </c>
      <c r="M132">
        <v>10</v>
      </c>
    </row>
    <row r="133" spans="1:13" x14ac:dyDescent="0.25">
      <c r="A133">
        <v>123</v>
      </c>
      <c r="D133">
        <v>0.19995050042000001</v>
      </c>
      <c r="E133" s="1">
        <v>-8.6620394399999997E-7</v>
      </c>
      <c r="F133" s="1">
        <v>-6.1139699399999998E-7</v>
      </c>
      <c r="G133" s="1">
        <v>7.0468305553271601E-7</v>
      </c>
      <c r="H133" s="1">
        <v>3.2967120390850997E-8</v>
      </c>
      <c r="I133" s="1">
        <v>1.8656244519998198E-8</v>
      </c>
      <c r="J133">
        <v>8</v>
      </c>
      <c r="K133">
        <v>1</v>
      </c>
      <c r="L133">
        <v>0.2</v>
      </c>
      <c r="M133">
        <v>10</v>
      </c>
    </row>
    <row r="134" spans="1:13" x14ac:dyDescent="0.25">
      <c r="A134">
        <v>124</v>
      </c>
      <c r="D134">
        <v>0.10025760626000001</v>
      </c>
      <c r="E134" s="1">
        <v>-4.9690636199999995E-7</v>
      </c>
      <c r="F134" s="1">
        <v>-3.0002512E-7</v>
      </c>
      <c r="G134" s="1">
        <v>2.4527525366295699E-7</v>
      </c>
      <c r="H134" s="1">
        <v>2.4947978522897498E-8</v>
      </c>
      <c r="I134" s="1">
        <v>2.2602711081761901E-8</v>
      </c>
      <c r="J134">
        <v>7</v>
      </c>
      <c r="K134">
        <v>1</v>
      </c>
      <c r="L134">
        <v>0.2</v>
      </c>
      <c r="M134">
        <v>10</v>
      </c>
    </row>
    <row r="135" spans="1:13" x14ac:dyDescent="0.25">
      <c r="A135">
        <v>125</v>
      </c>
      <c r="D135">
        <v>5.0287811786000003E-2</v>
      </c>
      <c r="E135" s="1">
        <v>-2.7282316599999997E-7</v>
      </c>
      <c r="F135" s="1">
        <v>-1.58770085E-7</v>
      </c>
      <c r="G135" s="1">
        <v>9.6530122703916206E-8</v>
      </c>
      <c r="H135" s="1">
        <v>1.86258434217204E-8</v>
      </c>
      <c r="I135" s="1">
        <v>3.3355308032505897E-8</v>
      </c>
      <c r="J135">
        <v>7</v>
      </c>
      <c r="K135">
        <v>1</v>
      </c>
      <c r="L135">
        <v>0.2</v>
      </c>
      <c r="M135">
        <v>10</v>
      </c>
    </row>
    <row r="136" spans="1:13" x14ac:dyDescent="0.25">
      <c r="A136">
        <v>126</v>
      </c>
      <c r="D136" s="1"/>
      <c r="E136" s="1"/>
      <c r="F136" s="1"/>
      <c r="G136" s="1"/>
      <c r="H136" s="1"/>
      <c r="M136" s="35"/>
    </row>
    <row r="137" spans="1:13" x14ac:dyDescent="0.25">
      <c r="A137">
        <v>127</v>
      </c>
    </row>
    <row r="138" spans="1:13" x14ac:dyDescent="0.25">
      <c r="A138">
        <v>128</v>
      </c>
      <c r="C138" s="2" t="s">
        <v>189</v>
      </c>
      <c r="L138" t="s">
        <v>185</v>
      </c>
    </row>
    <row r="139" spans="1:13" x14ac:dyDescent="0.25">
      <c r="A139">
        <v>129</v>
      </c>
      <c r="D139" s="8">
        <v>1.1956811893999999</v>
      </c>
      <c r="E139" s="22">
        <v>1.4578363E-5</v>
      </c>
      <c r="F139" s="22">
        <v>4.2027425999999898E-6</v>
      </c>
      <c r="G139" s="22">
        <v>8.6495680612348698E-6</v>
      </c>
      <c r="H139" s="22">
        <v>3.1657500390902599E-8</v>
      </c>
      <c r="I139" s="22">
        <v>3.7816282937909203E-8</v>
      </c>
      <c r="J139" s="8">
        <v>12</v>
      </c>
      <c r="K139" s="8">
        <v>1</v>
      </c>
      <c r="L139" s="8">
        <v>0.2</v>
      </c>
      <c r="M139" s="8">
        <v>10</v>
      </c>
    </row>
    <row r="140" spans="1:13" x14ac:dyDescent="0.25">
      <c r="A140">
        <v>130</v>
      </c>
      <c r="B140" s="5">
        <v>41345</v>
      </c>
      <c r="D140" s="8">
        <v>1.1973069236</v>
      </c>
      <c r="E140" s="22">
        <v>1.4575453600000101E-5</v>
      </c>
      <c r="F140" s="22">
        <v>4.3012007800000003E-6</v>
      </c>
      <c r="G140" s="22">
        <v>5.3178895254133804E-6</v>
      </c>
      <c r="H140" s="22">
        <v>3.1155130669602598E-8</v>
      </c>
      <c r="I140" s="22">
        <v>1.0738263711043601E-7</v>
      </c>
      <c r="J140" s="8">
        <v>12</v>
      </c>
      <c r="K140" s="8">
        <v>1</v>
      </c>
      <c r="L140" s="8">
        <v>0.2</v>
      </c>
      <c r="M140" s="8">
        <v>10</v>
      </c>
    </row>
    <row r="141" spans="1:13" x14ac:dyDescent="0.25">
      <c r="A141">
        <v>131</v>
      </c>
      <c r="D141">
        <v>1.0006112804</v>
      </c>
      <c r="E141" s="1">
        <v>1.24818890000001E-5</v>
      </c>
      <c r="F141" s="1">
        <v>3.5936456400000099E-6</v>
      </c>
      <c r="G141" s="1">
        <v>7.0970466529626496E-7</v>
      </c>
      <c r="H141" s="1">
        <v>3.8754441539002999E-8</v>
      </c>
      <c r="I141" s="1">
        <v>6.7085130031851301E-8</v>
      </c>
      <c r="J141">
        <v>12</v>
      </c>
      <c r="K141">
        <v>1</v>
      </c>
      <c r="L141">
        <v>0.2</v>
      </c>
      <c r="M141">
        <v>10</v>
      </c>
    </row>
    <row r="142" spans="1:13" x14ac:dyDescent="0.25">
      <c r="A142">
        <v>132</v>
      </c>
      <c r="D142">
        <v>0.60013135478000001</v>
      </c>
      <c r="E142" s="1">
        <v>8.3313666000000097E-6</v>
      </c>
      <c r="F142" s="1">
        <v>2.4282978199999998E-6</v>
      </c>
      <c r="G142" s="1">
        <v>2.2154631086526599E-6</v>
      </c>
      <c r="H142" s="1">
        <v>1.9139862153108902E-8</v>
      </c>
      <c r="I142" s="1">
        <v>8.6416303929061903E-9</v>
      </c>
      <c r="J142">
        <v>11</v>
      </c>
      <c r="K142">
        <v>1</v>
      </c>
      <c r="L142">
        <v>0.2</v>
      </c>
      <c r="M142">
        <v>10</v>
      </c>
    </row>
    <row r="143" spans="1:13" x14ac:dyDescent="0.25">
      <c r="A143">
        <v>133</v>
      </c>
      <c r="D143">
        <v>0.40001591761999999</v>
      </c>
      <c r="E143" s="1">
        <v>5.8566487400000002E-6</v>
      </c>
      <c r="F143" s="1">
        <v>1.4869565400000199E-6</v>
      </c>
      <c r="G143" s="1">
        <v>1.5775725933558499E-6</v>
      </c>
      <c r="H143" s="1">
        <v>2.8739019242354099E-8</v>
      </c>
      <c r="I143" s="1">
        <v>2.1365792955760099E-8</v>
      </c>
      <c r="J143">
        <v>11</v>
      </c>
      <c r="K143">
        <v>1</v>
      </c>
      <c r="L143">
        <v>0.2</v>
      </c>
      <c r="M143">
        <v>10</v>
      </c>
    </row>
    <row r="144" spans="1:13" x14ac:dyDescent="0.25">
      <c r="A144">
        <v>134</v>
      </c>
      <c r="D144">
        <v>0.19992534749999999</v>
      </c>
      <c r="E144" s="1">
        <v>3.1465592200000101E-6</v>
      </c>
      <c r="F144" s="1">
        <v>7.3381783599999997E-7</v>
      </c>
      <c r="G144" s="1">
        <v>7.8195645663685602E-7</v>
      </c>
      <c r="H144" s="1">
        <v>3.6575932879307398E-8</v>
      </c>
      <c r="I144" s="1">
        <v>4.4124735223195403E-8</v>
      </c>
      <c r="J144">
        <v>10</v>
      </c>
      <c r="K144">
        <v>1</v>
      </c>
      <c r="L144">
        <v>0.2</v>
      </c>
      <c r="M144">
        <v>10</v>
      </c>
    </row>
    <row r="145" spans="1:13" x14ac:dyDescent="0.25">
      <c r="A145">
        <v>135</v>
      </c>
      <c r="D145">
        <v>9.9993475858000003E-2</v>
      </c>
      <c r="E145" s="1">
        <v>1.70030868E-6</v>
      </c>
      <c r="F145" s="1">
        <v>4.3365709200000103E-7</v>
      </c>
      <c r="G145" s="1">
        <v>3.0780787660044501E-7</v>
      </c>
      <c r="H145" s="1">
        <v>3.3810155697032799E-8</v>
      </c>
      <c r="I145" s="1">
        <v>9.90444141259546E-9</v>
      </c>
      <c r="J145">
        <v>9</v>
      </c>
      <c r="K145">
        <v>1</v>
      </c>
      <c r="L145">
        <v>0.2</v>
      </c>
      <c r="M145">
        <v>10</v>
      </c>
    </row>
    <row r="146" spans="1:13" x14ac:dyDescent="0.25">
      <c r="A146">
        <v>136</v>
      </c>
      <c r="D146">
        <v>5.0068643247999998E-2</v>
      </c>
      <c r="E146" s="1">
        <v>8.6273696200000005E-7</v>
      </c>
      <c r="F146" s="1">
        <v>2.07508141400001E-7</v>
      </c>
      <c r="G146" s="1">
        <v>1.2140641128620201E-7</v>
      </c>
      <c r="H146" s="1">
        <v>5.9786938886955401E-8</v>
      </c>
      <c r="I146" s="1">
        <v>3.6641785481383997E-8</v>
      </c>
      <c r="J146">
        <v>9</v>
      </c>
      <c r="K146">
        <v>1</v>
      </c>
      <c r="L146">
        <v>0.2</v>
      </c>
      <c r="M146">
        <v>10</v>
      </c>
    </row>
    <row r="147" spans="1:13" x14ac:dyDescent="0.25">
      <c r="A147">
        <v>137</v>
      </c>
      <c r="D147">
        <v>4.9514262557999997E-2</v>
      </c>
      <c r="E147" s="1">
        <v>8.5984235000000096E-7</v>
      </c>
      <c r="F147" s="1">
        <v>1.9578396808999999E-7</v>
      </c>
      <c r="G147" s="1">
        <v>1.2370535367256001E-7</v>
      </c>
      <c r="H147" s="1">
        <v>4.2926532830307899E-8</v>
      </c>
      <c r="I147" s="1">
        <v>6.0727709195761202E-8</v>
      </c>
      <c r="J147">
        <v>9</v>
      </c>
      <c r="K147">
        <v>1</v>
      </c>
      <c r="L147">
        <v>0.2</v>
      </c>
      <c r="M147">
        <v>10</v>
      </c>
    </row>
    <row r="148" spans="1:13" x14ac:dyDescent="0.25">
      <c r="A148">
        <v>138</v>
      </c>
      <c r="D148">
        <v>5.0413830896000003E-2</v>
      </c>
      <c r="E148" s="1">
        <v>8.7201551800000004E-7</v>
      </c>
      <c r="F148" s="1">
        <v>1.9777648399999999E-7</v>
      </c>
      <c r="G148" s="1">
        <v>3.0694113161867199E-8</v>
      </c>
      <c r="H148" s="1">
        <v>2.57044443834461E-8</v>
      </c>
      <c r="I148" s="1">
        <v>1.91574483328481E-8</v>
      </c>
      <c r="J148">
        <v>8</v>
      </c>
      <c r="K148">
        <v>1</v>
      </c>
      <c r="L148">
        <v>0.2</v>
      </c>
      <c r="M148">
        <v>10</v>
      </c>
    </row>
    <row r="149" spans="1:13" x14ac:dyDescent="0.25">
      <c r="A149">
        <v>139</v>
      </c>
      <c r="E149" s="1"/>
      <c r="F149" s="1"/>
      <c r="G149" s="1"/>
      <c r="H149" s="1"/>
      <c r="I149" s="1"/>
    </row>
    <row r="150" spans="1:13" x14ac:dyDescent="0.25">
      <c r="A150">
        <v>140</v>
      </c>
      <c r="D150" s="41" t="s">
        <v>190</v>
      </c>
      <c r="E150" s="1"/>
      <c r="F150" s="1"/>
      <c r="G150" s="1"/>
      <c r="H150" s="1"/>
      <c r="I150" s="1"/>
    </row>
    <row r="151" spans="1:13" x14ac:dyDescent="0.25">
      <c r="A151">
        <v>141</v>
      </c>
      <c r="E151" s="1"/>
      <c r="F151" s="1"/>
      <c r="G151" s="1"/>
      <c r="H151" s="1"/>
      <c r="I151" s="1"/>
    </row>
    <row r="152" spans="1:13" x14ac:dyDescent="0.25">
      <c r="A152">
        <v>142</v>
      </c>
      <c r="B152" s="2" t="s">
        <v>0</v>
      </c>
      <c r="E152" s="1"/>
      <c r="F152" s="1"/>
      <c r="G152" s="1"/>
      <c r="H152" s="1"/>
      <c r="I152" s="1"/>
      <c r="J152" s="1"/>
      <c r="K152" s="1"/>
    </row>
    <row r="153" spans="1:13" x14ac:dyDescent="0.25">
      <c r="A153">
        <v>143</v>
      </c>
      <c r="B153" s="2" t="s">
        <v>2</v>
      </c>
      <c r="C153" s="2" t="s">
        <v>3</v>
      </c>
      <c r="D153" s="3" t="s">
        <v>4</v>
      </c>
      <c r="E153" s="4" t="s">
        <v>5</v>
      </c>
      <c r="F153" s="4" t="s">
        <v>6</v>
      </c>
      <c r="G153" s="4" t="s">
        <v>7</v>
      </c>
      <c r="H153" s="4" t="s">
        <v>8</v>
      </c>
      <c r="I153" s="4" t="s">
        <v>9</v>
      </c>
      <c r="J153" s="4" t="s">
        <v>176</v>
      </c>
      <c r="K153" s="4" t="s">
        <v>176</v>
      </c>
    </row>
    <row r="154" spans="1:13" x14ac:dyDescent="0.25">
      <c r="A154">
        <v>144</v>
      </c>
      <c r="D154" s="3" t="s">
        <v>10</v>
      </c>
      <c r="E154" s="4" t="s">
        <v>11</v>
      </c>
      <c r="F154" s="4" t="s">
        <v>11</v>
      </c>
      <c r="G154" s="4" t="s">
        <v>12</v>
      </c>
      <c r="H154" s="4" t="s">
        <v>11</v>
      </c>
      <c r="I154" s="4" t="s">
        <v>11</v>
      </c>
      <c r="J154" s="4" t="s">
        <v>177</v>
      </c>
      <c r="K154" s="4" t="s">
        <v>178</v>
      </c>
      <c r="L154" s="2" t="s">
        <v>4</v>
      </c>
      <c r="M154" s="2" t="s">
        <v>13</v>
      </c>
    </row>
    <row r="155" spans="1:13" x14ac:dyDescent="0.25">
      <c r="A155">
        <v>145</v>
      </c>
      <c r="B155" s="5">
        <v>41345</v>
      </c>
      <c r="C155" s="6" t="s">
        <v>14</v>
      </c>
      <c r="D155">
        <v>1.1992134297999999</v>
      </c>
      <c r="E155" s="1">
        <v>-1.2067783999999999E-5</v>
      </c>
      <c r="F155" s="1">
        <v>-1.08544622E-5</v>
      </c>
      <c r="G155" s="1">
        <v>2.8783982255580402E-6</v>
      </c>
      <c r="H155" s="1">
        <v>1.1461816166733799E-7</v>
      </c>
      <c r="I155" s="1">
        <v>1.17431259003555E-7</v>
      </c>
      <c r="J155" s="42">
        <v>12</v>
      </c>
      <c r="K155" s="42">
        <v>1</v>
      </c>
      <c r="L155">
        <v>0.2</v>
      </c>
      <c r="M155">
        <v>10</v>
      </c>
    </row>
    <row r="156" spans="1:13" x14ac:dyDescent="0.25">
      <c r="A156">
        <v>146</v>
      </c>
      <c r="D156">
        <v>1.0012826708</v>
      </c>
      <c r="E156" s="1">
        <v>-1.1078215999999901E-5</v>
      </c>
      <c r="F156" s="1">
        <v>-8.9881710599999892E-6</v>
      </c>
      <c r="G156" s="1">
        <v>3.7900329040240102E-7</v>
      </c>
      <c r="H156" s="1">
        <v>3.2022492095416602E-10</v>
      </c>
      <c r="I156" s="1">
        <v>3.61097951758249E-9</v>
      </c>
      <c r="J156" s="42">
        <v>12</v>
      </c>
      <c r="K156" s="42">
        <v>1</v>
      </c>
      <c r="L156">
        <v>0.2</v>
      </c>
      <c r="M156">
        <v>10</v>
      </c>
    </row>
    <row r="157" spans="1:13" x14ac:dyDescent="0.25">
      <c r="A157">
        <v>147</v>
      </c>
      <c r="D157">
        <v>0.60003849411999999</v>
      </c>
      <c r="E157" s="1">
        <v>-8.8206701599999207E-6</v>
      </c>
      <c r="F157" s="1">
        <v>-4.9627592600000002E-6</v>
      </c>
      <c r="G157" s="1">
        <v>2.5253519020032998E-6</v>
      </c>
      <c r="H157" s="1">
        <v>1.5702220989368001E-10</v>
      </c>
      <c r="I157" s="1">
        <v>2.43401105267088E-8</v>
      </c>
      <c r="J157" s="42">
        <v>11</v>
      </c>
      <c r="K157" s="42">
        <v>1</v>
      </c>
      <c r="L157">
        <v>0.2</v>
      </c>
      <c r="M157">
        <v>10</v>
      </c>
    </row>
    <row r="158" spans="1:13" x14ac:dyDescent="0.25">
      <c r="A158">
        <v>148</v>
      </c>
      <c r="D158">
        <v>0.40068668876000002</v>
      </c>
      <c r="E158" s="1">
        <v>-6.8620707999999897E-6</v>
      </c>
      <c r="F158" s="1">
        <v>-3.3756497399999999E-6</v>
      </c>
      <c r="G158" s="1">
        <v>1.6131387367365099E-6</v>
      </c>
      <c r="H158" s="1">
        <v>1.1957382312195299E-8</v>
      </c>
      <c r="I158" s="1">
        <v>1.68103276271583E-8</v>
      </c>
      <c r="J158" s="42">
        <v>11</v>
      </c>
      <c r="K158" s="42">
        <v>1</v>
      </c>
      <c r="L158">
        <v>0.2</v>
      </c>
      <c r="M158">
        <v>10</v>
      </c>
    </row>
    <row r="159" spans="1:13" x14ac:dyDescent="0.25">
      <c r="A159">
        <v>149</v>
      </c>
      <c r="D159">
        <v>0.20073238814</v>
      </c>
      <c r="E159" s="1">
        <v>-4.1451915200000198E-6</v>
      </c>
      <c r="F159" s="1">
        <v>-1.6145989200000001E-6</v>
      </c>
      <c r="G159" s="1">
        <v>3.1363599180996298E-7</v>
      </c>
      <c r="H159" s="1">
        <v>2.30024670189966E-9</v>
      </c>
      <c r="I159" s="1">
        <v>5.7135352040865199E-8</v>
      </c>
      <c r="J159" s="42">
        <v>10</v>
      </c>
      <c r="K159" s="42">
        <v>1</v>
      </c>
      <c r="L159">
        <v>0.2</v>
      </c>
      <c r="M159">
        <v>10</v>
      </c>
    </row>
    <row r="160" spans="1:13" x14ac:dyDescent="0.25">
      <c r="A160">
        <v>150</v>
      </c>
      <c r="D160">
        <v>0.10093327226</v>
      </c>
      <c r="E160" s="1">
        <v>-2.34597512E-6</v>
      </c>
      <c r="F160" s="1">
        <v>-7.0643653399999703E-7</v>
      </c>
      <c r="G160" s="1">
        <v>3.4842348764673797E-8</v>
      </c>
      <c r="H160" s="1">
        <v>4.25433277093553E-8</v>
      </c>
      <c r="I160" s="1">
        <v>8.6782037210959698E-9</v>
      </c>
      <c r="J160" s="42">
        <v>10</v>
      </c>
      <c r="K160" s="42">
        <v>1</v>
      </c>
      <c r="L160">
        <v>0.2</v>
      </c>
      <c r="M160">
        <v>10</v>
      </c>
    </row>
    <row r="161" spans="1:13" x14ac:dyDescent="0.25">
      <c r="A161">
        <v>151</v>
      </c>
      <c r="D161">
        <v>4.9894502315999997E-2</v>
      </c>
      <c r="E161" s="1">
        <v>-1.2163044E-6</v>
      </c>
      <c r="F161" s="1">
        <v>-4.0279395999999999E-7</v>
      </c>
      <c r="G161" s="1">
        <v>2.3514439781691799E-8</v>
      </c>
      <c r="H161" s="1">
        <v>3.0606965093586099E-8</v>
      </c>
      <c r="I161" s="1">
        <v>2.5805890251150001E-8</v>
      </c>
      <c r="J161" s="42">
        <v>9</v>
      </c>
      <c r="K161" s="42">
        <v>1</v>
      </c>
      <c r="L161">
        <v>0.2</v>
      </c>
      <c r="M161">
        <v>10</v>
      </c>
    </row>
    <row r="162" spans="1:13" x14ac:dyDescent="0.25">
      <c r="A162">
        <v>152</v>
      </c>
      <c r="D162">
        <v>4.9986365287999997E-2</v>
      </c>
      <c r="E162" s="1">
        <v>-1.2448519599999999E-6</v>
      </c>
      <c r="F162" s="1">
        <v>-4.1082405600000002E-7</v>
      </c>
      <c r="G162" s="1">
        <v>5.6435374141314003E-8</v>
      </c>
      <c r="H162" s="1">
        <v>3.1995643705954699E-8</v>
      </c>
      <c r="I162" s="1">
        <v>2.0058840140767499E-8</v>
      </c>
      <c r="J162">
        <v>9</v>
      </c>
      <c r="K162">
        <v>1</v>
      </c>
      <c r="L162">
        <v>0.2</v>
      </c>
      <c r="M162">
        <v>10</v>
      </c>
    </row>
    <row r="163" spans="1:13" x14ac:dyDescent="0.25">
      <c r="A163">
        <v>153</v>
      </c>
      <c r="D163">
        <v>5.0062205082000003E-2</v>
      </c>
      <c r="E163" s="1">
        <v>-1.2271516000000001E-6</v>
      </c>
      <c r="F163" s="1">
        <v>-4.0913045400000002E-7</v>
      </c>
      <c r="G163" s="1">
        <v>1.01080341207812E-7</v>
      </c>
      <c r="H163" s="1">
        <v>3.3972070885361099E-8</v>
      </c>
      <c r="I163" s="1">
        <v>2.1403502925359799E-8</v>
      </c>
      <c r="J163">
        <v>9</v>
      </c>
      <c r="K163">
        <v>1</v>
      </c>
      <c r="L163">
        <v>0.2</v>
      </c>
      <c r="M163">
        <v>10</v>
      </c>
    </row>
    <row r="164" spans="1:13" x14ac:dyDescent="0.25">
      <c r="A164">
        <v>154</v>
      </c>
    </row>
    <row r="165" spans="1:13" x14ac:dyDescent="0.25">
      <c r="A165">
        <v>155</v>
      </c>
    </row>
    <row r="166" spans="1:13" x14ac:dyDescent="0.25">
      <c r="A166">
        <v>156</v>
      </c>
      <c r="C166" s="2" t="s">
        <v>68</v>
      </c>
      <c r="D166" s="6"/>
      <c r="E166" s="6"/>
      <c r="F166" s="6"/>
      <c r="I166" s="6" t="s">
        <v>181</v>
      </c>
      <c r="J166" s="6"/>
      <c r="K166" s="6"/>
      <c r="L166" s="6"/>
      <c r="M166" s="6"/>
    </row>
    <row r="167" spans="1:13" x14ac:dyDescent="0.25">
      <c r="A167">
        <v>157</v>
      </c>
      <c r="C167" s="6"/>
      <c r="D167" s="3" t="s">
        <v>4</v>
      </c>
      <c r="E167" s="4" t="s">
        <v>5</v>
      </c>
      <c r="F167" s="4" t="s">
        <v>6</v>
      </c>
      <c r="G167" s="4" t="s">
        <v>7</v>
      </c>
      <c r="H167" s="4" t="s">
        <v>8</v>
      </c>
      <c r="I167" s="4" t="s">
        <v>9</v>
      </c>
      <c r="J167" s="21"/>
      <c r="L167" s="6"/>
      <c r="M167" s="6"/>
    </row>
    <row r="168" spans="1:13" x14ac:dyDescent="0.25">
      <c r="A168">
        <v>158</v>
      </c>
      <c r="C168" s="6"/>
      <c r="D168" s="3" t="s">
        <v>10</v>
      </c>
      <c r="E168" s="4" t="s">
        <v>11</v>
      </c>
      <c r="F168" s="4" t="s">
        <v>11</v>
      </c>
      <c r="G168" s="4" t="s">
        <v>12</v>
      </c>
      <c r="H168" s="4" t="s">
        <v>11</v>
      </c>
      <c r="I168" s="4" t="s">
        <v>11</v>
      </c>
      <c r="J168" s="21"/>
      <c r="L168" s="2" t="s">
        <v>4</v>
      </c>
      <c r="M168" s="2" t="s">
        <v>13</v>
      </c>
    </row>
    <row r="169" spans="1:13" x14ac:dyDescent="0.25">
      <c r="A169">
        <v>159</v>
      </c>
      <c r="C169" s="6"/>
      <c r="D169">
        <v>1.1992392908</v>
      </c>
      <c r="E169" s="1">
        <v>-3.9497321199999798E-6</v>
      </c>
      <c r="F169" s="1">
        <v>-3.8513173600000103E-6</v>
      </c>
      <c r="G169" s="1">
        <v>3.8168334285865298E-6</v>
      </c>
      <c r="H169" s="1">
        <v>6.4264695253328199E-10</v>
      </c>
      <c r="I169" s="1">
        <v>4.1125762317924199E-8</v>
      </c>
      <c r="J169">
        <v>11</v>
      </c>
      <c r="K169">
        <v>1</v>
      </c>
      <c r="L169" s="6">
        <v>0.2</v>
      </c>
      <c r="M169" s="6">
        <v>10</v>
      </c>
    </row>
    <row r="170" spans="1:13" x14ac:dyDescent="0.25">
      <c r="A170">
        <v>160</v>
      </c>
      <c r="C170" s="6"/>
      <c r="D170">
        <v>1.0009320314000001</v>
      </c>
      <c r="E170" s="1">
        <v>-3.5420732599999999E-6</v>
      </c>
      <c r="F170" s="1">
        <v>-3.1676283000000001E-6</v>
      </c>
      <c r="G170" s="1">
        <v>3.33949684629694E-7</v>
      </c>
      <c r="H170" s="1">
        <v>3.5798799208526602E-8</v>
      </c>
      <c r="I170" s="1">
        <v>3.2225469376100601E-8</v>
      </c>
      <c r="J170">
        <v>10</v>
      </c>
      <c r="K170">
        <v>1</v>
      </c>
      <c r="L170" s="6">
        <v>0.2</v>
      </c>
      <c r="M170" s="6">
        <v>10</v>
      </c>
    </row>
    <row r="171" spans="1:13" x14ac:dyDescent="0.25">
      <c r="A171">
        <v>161</v>
      </c>
      <c r="C171" s="6"/>
      <c r="D171">
        <v>0.60035549210000005</v>
      </c>
      <c r="E171" s="1">
        <v>-2.7391303200000102E-6</v>
      </c>
      <c r="F171" s="1">
        <v>-2.0727825999999999E-6</v>
      </c>
      <c r="G171" s="1">
        <v>1.7051517688726099E-6</v>
      </c>
      <c r="H171" s="1">
        <v>1.22465506285484E-8</v>
      </c>
      <c r="I171" s="1">
        <v>8.3563637809755398E-9</v>
      </c>
      <c r="J171">
        <v>10</v>
      </c>
      <c r="K171">
        <v>1</v>
      </c>
      <c r="L171" s="6">
        <v>0.2</v>
      </c>
      <c r="M171" s="6">
        <v>10</v>
      </c>
    </row>
    <row r="172" spans="1:13" x14ac:dyDescent="0.25">
      <c r="A172">
        <v>162</v>
      </c>
      <c r="C172" s="6"/>
      <c r="D172">
        <v>0.40057213714000001</v>
      </c>
      <c r="E172" s="1">
        <v>-2.0653494799999999E-6</v>
      </c>
      <c r="F172" s="1">
        <v>-1.3953502999999999E-6</v>
      </c>
      <c r="G172" s="1">
        <v>1.21059535209571E-6</v>
      </c>
      <c r="H172" s="1">
        <v>1.37310919496448E-8</v>
      </c>
      <c r="I172" s="1">
        <v>6.5569123831268595E-11</v>
      </c>
      <c r="J172">
        <v>10</v>
      </c>
      <c r="K172">
        <v>1</v>
      </c>
      <c r="L172" s="6">
        <v>0.2</v>
      </c>
      <c r="M172" s="6">
        <v>10</v>
      </c>
    </row>
    <row r="173" spans="1:13" x14ac:dyDescent="0.25">
      <c r="A173">
        <v>163</v>
      </c>
      <c r="C173" s="6"/>
      <c r="D173">
        <v>0.20152266274</v>
      </c>
      <c r="E173" s="1">
        <v>-1.14097414E-6</v>
      </c>
      <c r="F173" s="1">
        <v>-6.88794898E-7</v>
      </c>
      <c r="G173" s="1">
        <v>4.0894133061090898E-7</v>
      </c>
      <c r="H173" s="1">
        <v>3.7550226404915301E-8</v>
      </c>
      <c r="I173" s="1">
        <v>3.39806979212552E-8</v>
      </c>
      <c r="J173">
        <v>9</v>
      </c>
      <c r="K173">
        <v>1</v>
      </c>
      <c r="L173" s="6">
        <v>0.2</v>
      </c>
      <c r="M173" s="6">
        <v>10</v>
      </c>
    </row>
    <row r="174" spans="1:13" x14ac:dyDescent="0.25">
      <c r="A174">
        <v>164</v>
      </c>
      <c r="C174" s="6"/>
      <c r="D174">
        <v>9.9747214224E-2</v>
      </c>
      <c r="E174" s="1">
        <v>-6.2510664000000096E-7</v>
      </c>
      <c r="F174" s="1">
        <v>-3.69439326E-7</v>
      </c>
      <c r="G174" s="1">
        <v>1.2049527436430999E-7</v>
      </c>
      <c r="H174" s="1">
        <v>1.10019187376748E-8</v>
      </c>
      <c r="I174" s="1">
        <v>2.95699328267029E-8</v>
      </c>
      <c r="J174">
        <v>8</v>
      </c>
      <c r="K174">
        <v>1</v>
      </c>
      <c r="L174" s="6">
        <v>0.2</v>
      </c>
      <c r="M174" s="6">
        <v>10</v>
      </c>
    </row>
    <row r="175" spans="1:13" x14ac:dyDescent="0.25">
      <c r="A175">
        <v>165</v>
      </c>
      <c r="C175" s="6"/>
      <c r="D175">
        <v>4.9441033635999998E-2</v>
      </c>
      <c r="E175" s="1">
        <v>-3.3288645400000001E-7</v>
      </c>
      <c r="F175" s="1">
        <v>-1.8123105000000001E-7</v>
      </c>
      <c r="G175" s="1">
        <v>7.3350152878215195E-8</v>
      </c>
      <c r="H175" s="1">
        <v>1.6811307924129101E-8</v>
      </c>
      <c r="I175" s="1">
        <v>2.11385742228633E-8</v>
      </c>
      <c r="J175">
        <v>7</v>
      </c>
      <c r="K175">
        <v>1</v>
      </c>
      <c r="L175" s="6">
        <v>0.2</v>
      </c>
      <c r="M175" s="6">
        <v>10</v>
      </c>
    </row>
    <row r="176" spans="1:13" x14ac:dyDescent="0.25">
      <c r="A176">
        <v>166</v>
      </c>
      <c r="C176" s="6"/>
      <c r="D176">
        <v>5.0312045976000003E-2</v>
      </c>
      <c r="E176" s="1">
        <v>-3.35403166E-7</v>
      </c>
      <c r="F176" s="1">
        <v>-1.8838972400000001E-7</v>
      </c>
      <c r="G176" s="1">
        <v>4.1493313822519301E-8</v>
      </c>
      <c r="H176" s="1">
        <v>1.43294994107416E-8</v>
      </c>
      <c r="I176" s="1">
        <v>2.1964938086592101E-8</v>
      </c>
      <c r="J176">
        <v>7</v>
      </c>
      <c r="K176">
        <v>1</v>
      </c>
      <c r="L176" s="6">
        <v>0.2</v>
      </c>
      <c r="M176" s="6">
        <v>10</v>
      </c>
    </row>
    <row r="177" spans="1:13" x14ac:dyDescent="0.25">
      <c r="A177">
        <v>167</v>
      </c>
      <c r="C177" s="6"/>
      <c r="D177">
        <v>5.0340034584E-2</v>
      </c>
      <c r="E177" s="1">
        <v>-3.3846883800000001E-7</v>
      </c>
      <c r="F177" s="1">
        <v>-1.7550119399999999E-7</v>
      </c>
      <c r="G177" s="1">
        <v>4.2758669360895701E-8</v>
      </c>
      <c r="H177" s="1">
        <v>2.51427802752153E-8</v>
      </c>
      <c r="I177" s="1">
        <v>2.25730890729728E-8</v>
      </c>
      <c r="J177">
        <v>7</v>
      </c>
      <c r="K177">
        <v>1</v>
      </c>
      <c r="L177" s="6">
        <v>0.2</v>
      </c>
      <c r="M177" s="6">
        <v>10</v>
      </c>
    </row>
    <row r="178" spans="1:13" x14ac:dyDescent="0.25">
      <c r="A178">
        <v>168</v>
      </c>
      <c r="D178" t="s">
        <v>191</v>
      </c>
    </row>
    <row r="179" spans="1:13" x14ac:dyDescent="0.25">
      <c r="A179">
        <v>169</v>
      </c>
      <c r="C179" s="43" t="s">
        <v>192</v>
      </c>
      <c r="D179">
        <v>0.40003420497999997</v>
      </c>
      <c r="E179" s="1">
        <v>-2.06937266E-6</v>
      </c>
      <c r="F179" s="1">
        <v>-1.39516562000001E-6</v>
      </c>
      <c r="G179" s="1">
        <v>1.4019577154588699E-7</v>
      </c>
      <c r="H179" s="1">
        <v>2.51778994502004E-8</v>
      </c>
      <c r="I179" s="1">
        <v>5.0605667484580698E-9</v>
      </c>
      <c r="J179">
        <v>10</v>
      </c>
      <c r="K179">
        <v>1</v>
      </c>
      <c r="L179" s="6">
        <v>0.2</v>
      </c>
      <c r="M179" s="6">
        <v>10</v>
      </c>
    </row>
    <row r="180" spans="1:13" x14ac:dyDescent="0.25">
      <c r="A180">
        <v>170</v>
      </c>
      <c r="C180" s="43" t="s">
        <v>193</v>
      </c>
      <c r="D180">
        <v>0.39973868076000002</v>
      </c>
      <c r="E180" s="1">
        <v>-5.0483948400000201E-5</v>
      </c>
      <c r="F180" s="1">
        <v>-4.3676899400000102E-6</v>
      </c>
      <c r="G180" s="1">
        <v>3.0801949532983101E-8</v>
      </c>
      <c r="H180" s="1">
        <v>8.0678215151480204E-10</v>
      </c>
      <c r="I180" s="1">
        <v>3.15091865683073E-8</v>
      </c>
      <c r="J180">
        <v>13</v>
      </c>
      <c r="K180">
        <v>1</v>
      </c>
      <c r="L180" s="6">
        <v>0.2</v>
      </c>
      <c r="M180" s="6">
        <v>10</v>
      </c>
    </row>
    <row r="181" spans="1:13" x14ac:dyDescent="0.25">
      <c r="A181">
        <v>171</v>
      </c>
    </row>
    <row r="182" spans="1:13" x14ac:dyDescent="0.25">
      <c r="A182">
        <v>172</v>
      </c>
      <c r="C182" s="2" t="s">
        <v>103</v>
      </c>
      <c r="L182" t="s">
        <v>185</v>
      </c>
    </row>
    <row r="183" spans="1:13" x14ac:dyDescent="0.25">
      <c r="A183">
        <v>173</v>
      </c>
      <c r="D183">
        <v>1.1979504752000001</v>
      </c>
      <c r="E183" s="1">
        <v>-3.1038590799999998E-6</v>
      </c>
      <c r="F183" s="1">
        <v>-2.4462822199999802E-6</v>
      </c>
      <c r="G183" s="1">
        <v>1.1854485210505901E-5</v>
      </c>
      <c r="H183" s="1">
        <v>5.6970935005140701E-9</v>
      </c>
      <c r="I183" s="1">
        <v>7.0720853269456999E-9</v>
      </c>
      <c r="J183">
        <v>10</v>
      </c>
      <c r="K183">
        <v>1</v>
      </c>
      <c r="L183">
        <v>0.2</v>
      </c>
      <c r="M183">
        <v>10</v>
      </c>
    </row>
    <row r="184" spans="1:13" x14ac:dyDescent="0.25">
      <c r="A184">
        <v>174</v>
      </c>
      <c r="D184">
        <v>1.1984700020000001</v>
      </c>
      <c r="E184" s="1">
        <v>-3.1063115400000002E-6</v>
      </c>
      <c r="F184" s="1">
        <v>-2.44712613999999E-6</v>
      </c>
      <c r="G184" s="1">
        <v>7.2371320014464999E-6</v>
      </c>
      <c r="H184" s="1">
        <v>4.1855695225858898E-9</v>
      </c>
      <c r="I184" s="1">
        <v>7.8974205725920698E-9</v>
      </c>
      <c r="J184">
        <v>10</v>
      </c>
      <c r="K184">
        <v>1</v>
      </c>
      <c r="L184">
        <v>0.2</v>
      </c>
      <c r="M184">
        <v>10</v>
      </c>
    </row>
    <row r="185" spans="1:13" x14ac:dyDescent="0.25">
      <c r="A185">
        <v>175</v>
      </c>
      <c r="D185">
        <v>0.99848646088000004</v>
      </c>
      <c r="E185" s="1">
        <v>-2.7728826599999999E-6</v>
      </c>
      <c r="F185" s="1">
        <v>-2.09703712E-6</v>
      </c>
      <c r="G185" s="1">
        <v>3.7839652143351302E-6</v>
      </c>
      <c r="H185" s="1">
        <v>8.9833003692629593E-9</v>
      </c>
      <c r="I185" s="1">
        <v>3.4506878887549899E-9</v>
      </c>
      <c r="J185">
        <v>10</v>
      </c>
      <c r="K185">
        <v>1</v>
      </c>
      <c r="L185">
        <v>0.2</v>
      </c>
      <c r="M185">
        <v>10</v>
      </c>
    </row>
    <row r="186" spans="1:13" x14ac:dyDescent="0.25">
      <c r="A186">
        <v>176</v>
      </c>
      <c r="D186">
        <v>0.60036926252</v>
      </c>
      <c r="E186" s="1">
        <v>-2.0935112599999798E-6</v>
      </c>
      <c r="F186" s="1">
        <v>-1.3922275200000001E-6</v>
      </c>
      <c r="G186" s="1">
        <v>1.3296558777046999E-6</v>
      </c>
      <c r="H186" s="1">
        <v>1.5355851693735601E-9</v>
      </c>
      <c r="I186" s="1">
        <v>3.8787550901803396E-9</v>
      </c>
      <c r="J186">
        <v>10</v>
      </c>
      <c r="K186">
        <v>1</v>
      </c>
      <c r="L186">
        <v>0.2</v>
      </c>
      <c r="M186">
        <v>10</v>
      </c>
    </row>
    <row r="187" spans="1:13" x14ac:dyDescent="0.25">
      <c r="A187">
        <v>177</v>
      </c>
      <c r="D187">
        <v>0.40078594610000001</v>
      </c>
      <c r="E187" s="1">
        <v>-1.6660049800000001E-6</v>
      </c>
      <c r="F187" s="1">
        <v>-9.4028956999999999E-7</v>
      </c>
      <c r="G187" s="1">
        <v>2.7769300194604901E-6</v>
      </c>
      <c r="H187" s="1">
        <v>3.8765825411044699E-8</v>
      </c>
      <c r="I187" s="1">
        <v>3.4107434241014101E-8</v>
      </c>
      <c r="J187">
        <v>9</v>
      </c>
      <c r="K187">
        <v>1</v>
      </c>
      <c r="L187">
        <v>0.2</v>
      </c>
      <c r="M187">
        <v>10</v>
      </c>
    </row>
    <row r="188" spans="1:13" x14ac:dyDescent="0.25">
      <c r="A188">
        <v>178</v>
      </c>
      <c r="D188">
        <v>0.20078383601999999</v>
      </c>
      <c r="E188" s="1">
        <v>-9.9174236399999991E-7</v>
      </c>
      <c r="F188" s="1">
        <v>-4.8233880200000102E-7</v>
      </c>
      <c r="G188" s="1">
        <v>4.4005058290330101E-6</v>
      </c>
      <c r="H188" s="1">
        <v>3.3498995238059102E-8</v>
      </c>
      <c r="I188" s="1">
        <v>2.6761207488355198E-8</v>
      </c>
      <c r="J188">
        <v>9</v>
      </c>
      <c r="K188">
        <v>1</v>
      </c>
      <c r="L188">
        <v>0.2</v>
      </c>
      <c r="M188">
        <v>10</v>
      </c>
    </row>
    <row r="189" spans="1:13" x14ac:dyDescent="0.25">
      <c r="A189">
        <v>179</v>
      </c>
      <c r="D189">
        <v>9.9260643213999994E-2</v>
      </c>
      <c r="E189" s="1">
        <v>-5.3568698800000003E-7</v>
      </c>
      <c r="F189" s="1">
        <v>-2.7366537199999998E-7</v>
      </c>
      <c r="G189" s="1">
        <v>2.8207054289619501E-6</v>
      </c>
      <c r="H189" s="1">
        <v>2.4700100400845599E-8</v>
      </c>
      <c r="I189" s="1">
        <v>2.60304834071443E-8</v>
      </c>
      <c r="J189">
        <v>8</v>
      </c>
      <c r="K189">
        <v>1</v>
      </c>
      <c r="L189">
        <v>0.2</v>
      </c>
      <c r="M189">
        <v>10</v>
      </c>
    </row>
    <row r="190" spans="1:13" x14ac:dyDescent="0.25">
      <c r="A190">
        <v>180</v>
      </c>
      <c r="D190">
        <v>5.0156125952000002E-2</v>
      </c>
      <c r="E190" s="1">
        <v>-2.9903616999999999E-7</v>
      </c>
      <c r="F190" s="1">
        <v>-1.2923713019999999E-7</v>
      </c>
      <c r="G190" s="1">
        <v>5.4842039941956295E-7</v>
      </c>
      <c r="H190" s="1">
        <v>1.08004252214948E-8</v>
      </c>
      <c r="I190" s="1">
        <v>1.9170019981386202E-8</v>
      </c>
      <c r="J190">
        <v>7</v>
      </c>
      <c r="K190">
        <v>1</v>
      </c>
      <c r="L190">
        <v>0.2</v>
      </c>
      <c r="M190">
        <v>10</v>
      </c>
    </row>
    <row r="191" spans="1:13" x14ac:dyDescent="0.25">
      <c r="A191">
        <v>181</v>
      </c>
      <c r="D191">
        <v>5.0152628563999997E-2</v>
      </c>
      <c r="E191" s="1">
        <v>-2.9370364200000002E-7</v>
      </c>
      <c r="F191" s="1">
        <v>-1.2870358E-7</v>
      </c>
      <c r="G191" s="1">
        <v>1.6777966087108E-7</v>
      </c>
      <c r="H191" s="1">
        <v>1.9475767779213101E-8</v>
      </c>
      <c r="I191" s="1">
        <v>2.4939337747646E-8</v>
      </c>
      <c r="J191">
        <v>7</v>
      </c>
      <c r="K191">
        <v>1</v>
      </c>
      <c r="L191">
        <v>0.2</v>
      </c>
      <c r="M191">
        <v>10</v>
      </c>
    </row>
    <row r="192" spans="1:13" x14ac:dyDescent="0.25">
      <c r="A192">
        <v>182</v>
      </c>
      <c r="E192" s="1"/>
      <c r="F192" s="1"/>
      <c r="G192" s="1"/>
      <c r="H192" s="1"/>
      <c r="I192" s="1"/>
    </row>
    <row r="193" spans="1:13" x14ac:dyDescent="0.25">
      <c r="A193">
        <v>183</v>
      </c>
      <c r="C193" s="2" t="s">
        <v>110</v>
      </c>
      <c r="E193" s="1"/>
      <c r="F193" s="1"/>
      <c r="G193" s="1"/>
      <c r="H193" s="1"/>
      <c r="I193" s="1"/>
      <c r="L193" t="s">
        <v>185</v>
      </c>
    </row>
    <row r="194" spans="1:13" x14ac:dyDescent="0.25">
      <c r="A194">
        <v>184</v>
      </c>
      <c r="D194" s="8">
        <v>1.1967498223999999</v>
      </c>
      <c r="E194" s="22">
        <v>-1.59659152E-5</v>
      </c>
      <c r="F194" s="22">
        <v>-2.7604832000000001E-6</v>
      </c>
      <c r="G194" s="22">
        <v>1.0394868163005201E-5</v>
      </c>
      <c r="H194" s="22">
        <v>3.0068082745728202E-10</v>
      </c>
      <c r="I194" s="22">
        <v>1.6967654822042999E-8</v>
      </c>
      <c r="J194" s="8">
        <v>12</v>
      </c>
      <c r="K194" s="8">
        <v>1</v>
      </c>
      <c r="L194" s="8">
        <v>0.2</v>
      </c>
      <c r="M194" s="8">
        <v>10</v>
      </c>
    </row>
    <row r="195" spans="1:13" x14ac:dyDescent="0.25">
      <c r="A195">
        <v>185</v>
      </c>
      <c r="D195">
        <v>1.0004419520000001</v>
      </c>
      <c r="E195" s="1">
        <v>-1.3872100000000101E-5</v>
      </c>
      <c r="F195" s="1">
        <v>-2.0964200000000001E-6</v>
      </c>
      <c r="G195" s="1">
        <v>3.0106623151193999E-6</v>
      </c>
      <c r="H195" s="1">
        <v>1.1180834903756801E-19</v>
      </c>
      <c r="I195" s="1">
        <v>1.2705494208814499E-21</v>
      </c>
      <c r="J195">
        <v>12</v>
      </c>
      <c r="K195">
        <v>1</v>
      </c>
      <c r="L195">
        <v>0.2</v>
      </c>
      <c r="M195">
        <v>10</v>
      </c>
    </row>
    <row r="196" spans="1:13" x14ac:dyDescent="0.25">
      <c r="A196">
        <v>186</v>
      </c>
      <c r="D196">
        <v>0.60072354246000004</v>
      </c>
      <c r="E196" s="1">
        <v>-8.8178921399999405E-6</v>
      </c>
      <c r="F196" s="1">
        <v>-1.4777723799999901E-6</v>
      </c>
      <c r="G196" s="1">
        <v>1.3571438623224201E-6</v>
      </c>
      <c r="H196" s="1">
        <v>6.6986501939123803E-9</v>
      </c>
      <c r="I196" s="1">
        <v>2.9021258648790599E-9</v>
      </c>
      <c r="J196">
        <v>11</v>
      </c>
      <c r="K196">
        <v>1</v>
      </c>
      <c r="L196">
        <v>0.2</v>
      </c>
      <c r="M196">
        <v>10</v>
      </c>
    </row>
    <row r="197" spans="1:13" x14ac:dyDescent="0.25">
      <c r="A197">
        <v>187</v>
      </c>
      <c r="D197">
        <v>0.40045035715999999</v>
      </c>
      <c r="E197" s="1">
        <v>-5.9583607399999897E-6</v>
      </c>
      <c r="F197" s="1">
        <v>-9.8627799999999493E-7</v>
      </c>
      <c r="G197" s="1">
        <v>1.21738849149008E-6</v>
      </c>
      <c r="H197" s="1">
        <v>3.0866032703481698E-8</v>
      </c>
      <c r="I197" s="1">
        <v>5.0821976835257998E-21</v>
      </c>
      <c r="J197">
        <v>11</v>
      </c>
      <c r="K197">
        <v>1</v>
      </c>
      <c r="L197">
        <v>0.2</v>
      </c>
      <c r="M197">
        <v>10</v>
      </c>
    </row>
    <row r="198" spans="1:13" x14ac:dyDescent="0.25">
      <c r="A198">
        <v>188</v>
      </c>
      <c r="D198">
        <v>0.20001910279999999</v>
      </c>
      <c r="E198" s="1">
        <v>-3.1441196799999999E-6</v>
      </c>
      <c r="F198" s="1">
        <v>-4.8616796600000005E-7</v>
      </c>
      <c r="G198" s="1">
        <v>5.9113036363836402E-7</v>
      </c>
      <c r="H198" s="1">
        <v>8.7131545778552497E-9</v>
      </c>
      <c r="I198" s="1">
        <v>6.0692460889708902E-8</v>
      </c>
      <c r="J198">
        <v>10</v>
      </c>
      <c r="K198">
        <v>1</v>
      </c>
      <c r="L198">
        <v>0.2</v>
      </c>
      <c r="M198">
        <v>10</v>
      </c>
    </row>
    <row r="199" spans="1:13" x14ac:dyDescent="0.25">
      <c r="A199">
        <v>189</v>
      </c>
      <c r="D199">
        <v>0.10000293669800001</v>
      </c>
      <c r="E199" s="1">
        <v>-1.6591707400000001E-6</v>
      </c>
      <c r="F199" s="1">
        <v>-2.3251512200000001E-7</v>
      </c>
      <c r="G199" s="1">
        <v>1.95873300615701E-7</v>
      </c>
      <c r="H199" s="1">
        <v>3.3368053597002002E-8</v>
      </c>
      <c r="I199" s="1">
        <v>1.120545601567E-8</v>
      </c>
      <c r="J199">
        <v>9</v>
      </c>
      <c r="K199">
        <v>1</v>
      </c>
      <c r="L199">
        <v>0.2</v>
      </c>
      <c r="M199">
        <v>10</v>
      </c>
    </row>
    <row r="200" spans="1:13" x14ac:dyDescent="0.25">
      <c r="A200">
        <v>190</v>
      </c>
      <c r="D200">
        <v>4.9720754765999998E-2</v>
      </c>
      <c r="E200" s="1">
        <v>-8.6054684400000005E-7</v>
      </c>
      <c r="F200" s="1">
        <v>-1.428258284E-7</v>
      </c>
      <c r="G200" s="1">
        <v>8.02942710306743E-8</v>
      </c>
      <c r="H200" s="1">
        <v>1.64664084012168E-8</v>
      </c>
      <c r="I200" s="1">
        <v>3.97700155337163E-8</v>
      </c>
      <c r="J200">
        <v>9</v>
      </c>
      <c r="K200">
        <v>1</v>
      </c>
      <c r="L200">
        <v>0.2</v>
      </c>
      <c r="M200">
        <v>10</v>
      </c>
    </row>
    <row r="201" spans="1:13" x14ac:dyDescent="0.25">
      <c r="A201">
        <v>191</v>
      </c>
      <c r="D201">
        <v>4.9784543511999998E-2</v>
      </c>
      <c r="E201" s="1">
        <v>-8.5819900399999903E-7</v>
      </c>
      <c r="F201" s="1">
        <v>-1.3553375859999999E-7</v>
      </c>
      <c r="G201" s="1">
        <v>7.6950140371935002E-8</v>
      </c>
      <c r="H201" s="1">
        <v>4.3085839679133399E-8</v>
      </c>
      <c r="I201" s="1">
        <v>1.7910177484042599E-8</v>
      </c>
      <c r="J201">
        <v>8</v>
      </c>
      <c r="K201">
        <v>1</v>
      </c>
      <c r="L201">
        <v>0.2</v>
      </c>
      <c r="M201">
        <v>10</v>
      </c>
    </row>
    <row r="202" spans="1:13" x14ac:dyDescent="0.25">
      <c r="A202">
        <v>192</v>
      </c>
      <c r="D202">
        <v>4.9944508286E-2</v>
      </c>
      <c r="E202" s="1">
        <v>-8.4462869000000003E-7</v>
      </c>
      <c r="F202" s="1">
        <v>-1.4201372800000001E-7</v>
      </c>
      <c r="G202" s="1">
        <v>5.7356638446847499E-8</v>
      </c>
      <c r="H202" s="1">
        <v>2.57450846283694E-8</v>
      </c>
      <c r="I202" s="1">
        <v>1.2180305668661001E-8</v>
      </c>
      <c r="J202">
        <v>8</v>
      </c>
      <c r="K202">
        <v>1</v>
      </c>
      <c r="L202">
        <v>0.2</v>
      </c>
      <c r="M202">
        <v>10</v>
      </c>
    </row>
    <row r="203" spans="1:13" x14ac:dyDescent="0.25">
      <c r="A203">
        <v>193</v>
      </c>
      <c r="D203">
        <v>5.0087558111999997E-2</v>
      </c>
      <c r="E203" s="1">
        <v>-8.5322747799999998E-7</v>
      </c>
      <c r="F203" s="1">
        <v>-1.355434002E-7</v>
      </c>
      <c r="G203" s="1">
        <v>4.6937489059647199E-8</v>
      </c>
      <c r="H203" s="1">
        <v>2.56336446572374E-8</v>
      </c>
      <c r="I203" s="1">
        <v>2.1670568050244099E-8</v>
      </c>
      <c r="J203">
        <v>8</v>
      </c>
      <c r="K203">
        <v>1</v>
      </c>
      <c r="L203">
        <v>0.2</v>
      </c>
      <c r="M203">
        <v>10</v>
      </c>
    </row>
    <row r="204" spans="1:13" x14ac:dyDescent="0.25">
      <c r="A204">
        <v>194</v>
      </c>
    </row>
    <row r="205" spans="1:13" x14ac:dyDescent="0.25">
      <c r="A205">
        <v>195</v>
      </c>
      <c r="C205" s="2" t="s">
        <v>188</v>
      </c>
      <c r="L205" t="s">
        <v>185</v>
      </c>
    </row>
    <row r="206" spans="1:13" x14ac:dyDescent="0.25">
      <c r="A206">
        <v>196</v>
      </c>
      <c r="D206">
        <v>1.1980793668</v>
      </c>
      <c r="E206" s="1">
        <v>-2.2632533400000001E-6</v>
      </c>
      <c r="F206" s="1">
        <v>-2.8384270800000002E-6</v>
      </c>
      <c r="G206" s="1">
        <v>9.4718055251684098E-6</v>
      </c>
      <c r="H206" s="1">
        <v>6.4325121113328698E-8</v>
      </c>
      <c r="I206" s="1">
        <v>2.87733862705382E-8</v>
      </c>
      <c r="J206">
        <v>10</v>
      </c>
      <c r="K206">
        <v>1</v>
      </c>
      <c r="L206">
        <v>0.2</v>
      </c>
      <c r="M206">
        <v>10</v>
      </c>
    </row>
    <row r="207" spans="1:13" x14ac:dyDescent="0.25">
      <c r="A207">
        <v>197</v>
      </c>
      <c r="D207">
        <v>1.1979913684000001</v>
      </c>
      <c r="E207" s="1">
        <v>-2.2603960999999998E-6</v>
      </c>
      <c r="F207" s="1">
        <v>-2.8441767400000001E-6</v>
      </c>
      <c r="G207" s="1">
        <v>7.2275452690013896E-6</v>
      </c>
      <c r="H207" s="1">
        <v>4.4879815991044403E-8</v>
      </c>
      <c r="I207" s="1">
        <v>3.3092011911825498E-8</v>
      </c>
      <c r="J207">
        <v>10</v>
      </c>
      <c r="K207">
        <v>1</v>
      </c>
      <c r="L207">
        <v>0.2</v>
      </c>
      <c r="M207">
        <v>10</v>
      </c>
    </row>
    <row r="208" spans="1:13" x14ac:dyDescent="0.25">
      <c r="A208">
        <v>198</v>
      </c>
      <c r="D208">
        <v>1.0005971123999999</v>
      </c>
      <c r="E208" s="1">
        <v>-2.0916711199999899E-6</v>
      </c>
      <c r="F208" s="1">
        <v>-2.4431546599999899E-6</v>
      </c>
      <c r="G208" s="1">
        <v>1.31930706958788E-6</v>
      </c>
      <c r="H208" s="1">
        <v>1.59803815523908E-9</v>
      </c>
      <c r="I208" s="1">
        <v>2.6381862869024201E-9</v>
      </c>
      <c r="J208">
        <v>10</v>
      </c>
      <c r="K208">
        <v>1</v>
      </c>
      <c r="L208">
        <v>0.2</v>
      </c>
      <c r="M208">
        <v>10</v>
      </c>
    </row>
    <row r="209" spans="1:13" x14ac:dyDescent="0.25">
      <c r="A209">
        <v>199</v>
      </c>
      <c r="D209">
        <v>0.60054093791999996</v>
      </c>
      <c r="E209" s="1">
        <v>-1.7420764999999899E-6</v>
      </c>
      <c r="F209" s="1">
        <v>-1.5627897999999999E-6</v>
      </c>
      <c r="G209" s="1">
        <v>1.25094077561917E-6</v>
      </c>
      <c r="H209" s="1">
        <v>2.5083662312349898E-9</v>
      </c>
      <c r="I209" s="1">
        <v>4.41163606790043E-8</v>
      </c>
      <c r="J209">
        <v>10</v>
      </c>
      <c r="K209">
        <v>1</v>
      </c>
      <c r="L209">
        <v>0.2</v>
      </c>
      <c r="M209">
        <v>10</v>
      </c>
    </row>
    <row r="210" spans="1:13" x14ac:dyDescent="0.25">
      <c r="A210">
        <v>200</v>
      </c>
      <c r="D210">
        <v>0.39999222565999998</v>
      </c>
      <c r="E210" s="1">
        <v>-1.36742504E-6</v>
      </c>
      <c r="F210" s="1">
        <v>-1.0938114000000001E-6</v>
      </c>
      <c r="G210" s="1">
        <v>1.5915615547415299E-6</v>
      </c>
      <c r="H210" s="1">
        <v>2.8340084548187201E-8</v>
      </c>
      <c r="I210" s="1">
        <v>1.05978050010368E-8</v>
      </c>
      <c r="J210">
        <v>9</v>
      </c>
      <c r="K210">
        <v>1</v>
      </c>
      <c r="L210">
        <v>0.2</v>
      </c>
      <c r="M210">
        <v>10</v>
      </c>
    </row>
    <row r="211" spans="1:13" x14ac:dyDescent="0.25">
      <c r="A211">
        <v>201</v>
      </c>
      <c r="D211">
        <v>9.9826008719999998E-2</v>
      </c>
      <c r="E211" s="1">
        <v>-4.7771828600000005E-7</v>
      </c>
      <c r="F211" s="1">
        <v>-2.8951308000000001E-7</v>
      </c>
      <c r="G211" s="1">
        <v>3.89715799838206E-7</v>
      </c>
      <c r="H211" s="1">
        <v>1.75814987214459E-8</v>
      </c>
      <c r="I211" s="1">
        <v>2.0875845659843299E-8</v>
      </c>
      <c r="J211">
        <v>8</v>
      </c>
      <c r="K211">
        <v>1</v>
      </c>
      <c r="L211">
        <v>0.2</v>
      </c>
      <c r="M211">
        <v>10</v>
      </c>
    </row>
    <row r="212" spans="1:13" x14ac:dyDescent="0.25">
      <c r="A212">
        <v>202</v>
      </c>
      <c r="D212">
        <v>5.0005586025999998E-2</v>
      </c>
      <c r="E212" s="1">
        <v>-2.4809416800000003E-7</v>
      </c>
      <c r="F212" s="1">
        <v>-1.4314733000000001E-7</v>
      </c>
      <c r="G212" s="1">
        <v>1.5294198218030399E-7</v>
      </c>
      <c r="H212" s="1">
        <v>2.2958843258399901E-8</v>
      </c>
      <c r="I212" s="1">
        <v>2.07819619653771E-8</v>
      </c>
      <c r="J212">
        <v>7</v>
      </c>
      <c r="K212">
        <v>1</v>
      </c>
      <c r="L212">
        <v>0.2</v>
      </c>
      <c r="M212">
        <v>10</v>
      </c>
    </row>
    <row r="213" spans="1:13" x14ac:dyDescent="0.25">
      <c r="A213">
        <v>203</v>
      </c>
      <c r="D213">
        <v>4.9385373539999999E-2</v>
      </c>
      <c r="E213" s="1">
        <v>-2.5425829999999998E-7</v>
      </c>
      <c r="F213" s="1">
        <v>-1.2959425379999999E-7</v>
      </c>
      <c r="G213" s="1">
        <v>1.12577206715712E-7</v>
      </c>
      <c r="H213" s="1">
        <v>2.1448133947036E-8</v>
      </c>
      <c r="I213" s="1">
        <v>1.64217762155318E-8</v>
      </c>
      <c r="J213">
        <v>7</v>
      </c>
      <c r="K213">
        <v>1</v>
      </c>
      <c r="L213">
        <v>0.2</v>
      </c>
      <c r="M213">
        <v>10</v>
      </c>
    </row>
    <row r="214" spans="1:13" x14ac:dyDescent="0.25">
      <c r="A214">
        <v>204</v>
      </c>
      <c r="D214">
        <v>5.0417357753999997E-2</v>
      </c>
      <c r="E214" s="1">
        <v>-2.6736230599999998E-7</v>
      </c>
      <c r="F214" s="1">
        <v>-1.244790566E-7</v>
      </c>
      <c r="G214" s="1">
        <v>1.0446453851166101E-7</v>
      </c>
      <c r="H214" s="1">
        <v>1.93221391420402E-8</v>
      </c>
      <c r="I214" s="1">
        <v>2.0181156380874099E-8</v>
      </c>
      <c r="J214">
        <v>7</v>
      </c>
      <c r="K214">
        <v>1</v>
      </c>
      <c r="L214">
        <v>0.2</v>
      </c>
      <c r="M214">
        <v>10</v>
      </c>
    </row>
    <row r="215" spans="1:13" x14ac:dyDescent="0.25">
      <c r="A215">
        <v>205</v>
      </c>
    </row>
    <row r="216" spans="1:13" x14ac:dyDescent="0.25">
      <c r="A216">
        <v>206</v>
      </c>
      <c r="C216" s="2" t="s">
        <v>189</v>
      </c>
      <c r="L216" t="s">
        <v>185</v>
      </c>
    </row>
    <row r="217" spans="1:13" x14ac:dyDescent="0.25">
      <c r="A217">
        <v>207</v>
      </c>
      <c r="D217" s="8">
        <v>1.1973482726</v>
      </c>
      <c r="E217" s="22">
        <v>-1.5227754400000001E-5</v>
      </c>
      <c r="F217" s="22">
        <v>-2.8479713399999999E-6</v>
      </c>
      <c r="G217" s="22">
        <v>8.3658609938314798E-6</v>
      </c>
      <c r="H217" s="22">
        <v>2.7747733612675401E-8</v>
      </c>
      <c r="I217" s="22">
        <v>4.5771831302717198E-8</v>
      </c>
      <c r="J217" s="8">
        <v>12</v>
      </c>
      <c r="K217" s="8">
        <v>1</v>
      </c>
      <c r="L217" s="8">
        <v>0.2</v>
      </c>
      <c r="M217" s="8">
        <v>10</v>
      </c>
    </row>
    <row r="218" spans="1:13" x14ac:dyDescent="0.25">
      <c r="A218">
        <v>208</v>
      </c>
      <c r="D218" s="8">
        <v>1.1966667364000001</v>
      </c>
      <c r="E218" s="22">
        <v>-1.5235822200000001E-5</v>
      </c>
      <c r="F218" s="22">
        <v>-2.8896089600000001E-6</v>
      </c>
      <c r="G218" s="22">
        <v>9.00123106812959E-6</v>
      </c>
      <c r="H218" s="22">
        <v>1.9062263432236999E-8</v>
      </c>
      <c r="I218" s="22">
        <v>5.0342048469628203E-8</v>
      </c>
      <c r="J218" s="8">
        <v>12</v>
      </c>
      <c r="K218" s="8">
        <v>1</v>
      </c>
      <c r="L218" s="8">
        <v>0.2</v>
      </c>
      <c r="M218" s="8">
        <v>10</v>
      </c>
    </row>
    <row r="219" spans="1:13" x14ac:dyDescent="0.25">
      <c r="A219">
        <v>209</v>
      </c>
      <c r="D219">
        <v>1.0002898456</v>
      </c>
      <c r="E219" s="1">
        <v>-1.25578558E-5</v>
      </c>
      <c r="F219" s="1">
        <v>-2.7861099799999899E-6</v>
      </c>
      <c r="G219" s="1">
        <v>1.8689893738982099E-6</v>
      </c>
      <c r="H219" s="1">
        <v>8.3220487780113301E-8</v>
      </c>
      <c r="I219" s="1">
        <v>7.0045373151694099E-9</v>
      </c>
      <c r="J219">
        <v>12</v>
      </c>
      <c r="K219">
        <v>1</v>
      </c>
      <c r="L219">
        <v>0.2</v>
      </c>
      <c r="M219">
        <v>10</v>
      </c>
    </row>
    <row r="220" spans="1:13" x14ac:dyDescent="0.25">
      <c r="A220">
        <v>210</v>
      </c>
      <c r="D220">
        <v>0.60015608854000002</v>
      </c>
      <c r="E220" s="1">
        <v>-8.2177916600000001E-6</v>
      </c>
      <c r="F220" s="1">
        <v>-1.4894726200000001E-6</v>
      </c>
      <c r="G220" s="1">
        <v>1.64441512581104E-6</v>
      </c>
      <c r="H220" s="1">
        <v>4.4844098160676597E-8</v>
      </c>
      <c r="I220" s="1">
        <v>1.46213753982175E-8</v>
      </c>
      <c r="J220">
        <v>11</v>
      </c>
      <c r="K220">
        <v>1</v>
      </c>
      <c r="L220">
        <v>0.2</v>
      </c>
      <c r="M220">
        <v>10</v>
      </c>
    </row>
    <row r="221" spans="1:13" x14ac:dyDescent="0.25">
      <c r="A221">
        <v>211</v>
      </c>
      <c r="D221">
        <v>0.39986475329999999</v>
      </c>
      <c r="E221" s="1">
        <v>-5.69968266E-6</v>
      </c>
      <c r="F221" s="1">
        <v>-9.899780959999981E-7</v>
      </c>
      <c r="G221" s="1">
        <v>9.6073692811247696E-7</v>
      </c>
      <c r="H221" s="1">
        <v>8.7572238749071603E-8</v>
      </c>
      <c r="I221" s="1">
        <v>2.4597048885555298E-9</v>
      </c>
      <c r="J221">
        <v>11</v>
      </c>
      <c r="K221">
        <v>1</v>
      </c>
      <c r="L221">
        <v>0.2</v>
      </c>
      <c r="M221">
        <v>10</v>
      </c>
    </row>
    <row r="222" spans="1:13" x14ac:dyDescent="0.25">
      <c r="A222">
        <v>212</v>
      </c>
      <c r="D222">
        <v>0.2000437487</v>
      </c>
      <c r="E222" s="1">
        <v>-3.0011812399999999E-6</v>
      </c>
      <c r="F222" s="1">
        <v>-6.6381356599999903E-7</v>
      </c>
      <c r="G222" s="1">
        <v>6.4023956799218304E-7</v>
      </c>
      <c r="H222" s="1">
        <v>4.6553407334613001E-8</v>
      </c>
      <c r="I222" s="1">
        <v>3.4402772506436798E-8</v>
      </c>
      <c r="J222">
        <v>10</v>
      </c>
      <c r="K222">
        <v>1</v>
      </c>
      <c r="L222">
        <v>0.2</v>
      </c>
      <c r="M222">
        <v>10</v>
      </c>
    </row>
    <row r="223" spans="1:13" x14ac:dyDescent="0.25">
      <c r="A223">
        <v>213</v>
      </c>
      <c r="D223">
        <v>0.10014578373999999</v>
      </c>
      <c r="E223" s="1">
        <v>-1.5396158399999999E-6</v>
      </c>
      <c r="F223" s="1">
        <v>-2.6054153000000002E-7</v>
      </c>
      <c r="G223" s="1">
        <v>3.12217587970034E-7</v>
      </c>
      <c r="H223" s="1">
        <v>1.17566436321937E-8</v>
      </c>
      <c r="I223" s="1">
        <v>2.23133753002342E-8</v>
      </c>
      <c r="J223">
        <v>9</v>
      </c>
      <c r="K223">
        <v>1</v>
      </c>
      <c r="L223">
        <v>0.2</v>
      </c>
      <c r="M223">
        <v>10</v>
      </c>
    </row>
    <row r="224" spans="1:13" x14ac:dyDescent="0.25">
      <c r="A224">
        <v>214</v>
      </c>
      <c r="D224">
        <v>5.0256175957999999E-2</v>
      </c>
      <c r="E224" s="1">
        <v>-7.85999149999999E-7</v>
      </c>
      <c r="F224" s="1">
        <v>-1.5986764999999999E-7</v>
      </c>
      <c r="G224" s="1">
        <v>1.37354765350287E-7</v>
      </c>
      <c r="H224" s="1">
        <v>1.4578429756441501E-8</v>
      </c>
      <c r="I224" s="1">
        <v>1.5321463049836299E-8</v>
      </c>
      <c r="J224">
        <v>8</v>
      </c>
      <c r="K224">
        <v>1</v>
      </c>
      <c r="L224">
        <v>0.2</v>
      </c>
      <c r="M224">
        <v>10</v>
      </c>
    </row>
    <row r="225" spans="1:13" x14ac:dyDescent="0.25">
      <c r="A225">
        <v>215</v>
      </c>
      <c r="D225">
        <v>4.9675826300000003E-2</v>
      </c>
      <c r="E225" s="1">
        <v>-7.8355501399999998E-7</v>
      </c>
      <c r="F225" s="1">
        <v>-1.4786443999999999E-7</v>
      </c>
      <c r="G225" s="1">
        <v>1.12515687698529E-7</v>
      </c>
      <c r="H225" s="1">
        <v>8.4218485349597701E-9</v>
      </c>
      <c r="I225" s="1">
        <v>1.34442009245027E-8</v>
      </c>
      <c r="J225">
        <v>8</v>
      </c>
      <c r="K225">
        <v>1</v>
      </c>
      <c r="L225">
        <v>0.2</v>
      </c>
      <c r="M225">
        <v>10</v>
      </c>
    </row>
    <row r="226" spans="1:13" x14ac:dyDescent="0.25">
      <c r="A226">
        <v>216</v>
      </c>
      <c r="D226">
        <v>4.9758585036000003E-2</v>
      </c>
      <c r="E226" s="1">
        <v>-7.8139819399999996E-7</v>
      </c>
      <c r="F226" s="1">
        <v>-1.5315457399999999E-7</v>
      </c>
      <c r="G226" s="1">
        <v>8.3599568207996102E-8</v>
      </c>
      <c r="H226" s="1">
        <v>1.1547734100522201E-8</v>
      </c>
      <c r="I226" s="1">
        <v>1.102175780375E-8</v>
      </c>
      <c r="J226">
        <v>8</v>
      </c>
      <c r="K226">
        <v>1</v>
      </c>
      <c r="L226">
        <v>0.2</v>
      </c>
      <c r="M226">
        <v>10</v>
      </c>
    </row>
    <row r="227" spans="1:13" x14ac:dyDescent="0.25">
      <c r="A227">
        <v>217</v>
      </c>
      <c r="E227" s="1"/>
      <c r="F227" s="1"/>
      <c r="G227" s="1"/>
      <c r="H227" s="1"/>
      <c r="I227" s="1"/>
    </row>
    <row r="228" spans="1:13" x14ac:dyDescent="0.25">
      <c r="A228">
        <v>218</v>
      </c>
      <c r="D228" s="44" t="s">
        <v>194</v>
      </c>
      <c r="E228" s="1"/>
      <c r="F228" s="1"/>
      <c r="G228" s="1"/>
      <c r="H228" s="1"/>
      <c r="I228" s="1"/>
    </row>
    <row r="229" spans="1:13" x14ac:dyDescent="0.25">
      <c r="A229">
        <v>219</v>
      </c>
      <c r="D229" s="8">
        <v>1.1972800562000001</v>
      </c>
      <c r="E229" s="22">
        <v>-1.5260884600000001E-5</v>
      </c>
      <c r="F229" s="22">
        <v>-2.0964200000000001E-6</v>
      </c>
      <c r="G229" s="22">
        <v>7.9069152863483408E-6</v>
      </c>
      <c r="H229" s="22">
        <v>4.5435649923820796E-9</v>
      </c>
      <c r="I229" s="22">
        <v>1.2705494208814499E-21</v>
      </c>
      <c r="J229" s="8">
        <v>12</v>
      </c>
      <c r="K229" s="8">
        <v>1</v>
      </c>
      <c r="L229" s="8">
        <v>0.2</v>
      </c>
      <c r="M229" s="8">
        <v>10</v>
      </c>
    </row>
    <row r="230" spans="1:13" x14ac:dyDescent="0.25">
      <c r="A230">
        <v>220</v>
      </c>
      <c r="D230">
        <v>1.00028055774</v>
      </c>
      <c r="E230" s="1">
        <v>-1.25920816E-5</v>
      </c>
      <c r="F230" s="1">
        <v>-2.0893284399999999E-6</v>
      </c>
      <c r="G230" s="1">
        <v>2.8901757003906298E-6</v>
      </c>
      <c r="H230" s="1">
        <v>7.7658826294504301E-8</v>
      </c>
      <c r="I230" s="1">
        <v>3.8117219686645599E-9</v>
      </c>
      <c r="J230">
        <v>12</v>
      </c>
      <c r="K230">
        <v>1</v>
      </c>
      <c r="L230">
        <v>0.2</v>
      </c>
      <c r="M230">
        <v>10</v>
      </c>
    </row>
    <row r="231" spans="1:13" x14ac:dyDescent="0.25">
      <c r="A231">
        <v>221</v>
      </c>
      <c r="D231">
        <v>0.59948498778000003</v>
      </c>
      <c r="E231" s="1">
        <v>-8.2206983000000001E-6</v>
      </c>
      <c r="F231" s="1">
        <v>-1.1180551599999999E-6</v>
      </c>
      <c r="G231" s="1">
        <v>1.12868525845876E-6</v>
      </c>
      <c r="H231" s="1">
        <v>7.7570774136333104E-8</v>
      </c>
      <c r="I231" s="1">
        <v>6.8543072970026701E-8</v>
      </c>
      <c r="J231">
        <v>11</v>
      </c>
      <c r="K231">
        <v>1</v>
      </c>
      <c r="L231">
        <v>0.2</v>
      </c>
      <c r="M231">
        <v>10</v>
      </c>
    </row>
    <row r="232" spans="1:13" x14ac:dyDescent="0.25">
      <c r="A232">
        <v>222</v>
      </c>
      <c r="C232" s="44" t="s">
        <v>195</v>
      </c>
    </row>
    <row r="233" spans="1:13" x14ac:dyDescent="0.25">
      <c r="A233">
        <v>223</v>
      </c>
      <c r="C233" s="2" t="s">
        <v>189</v>
      </c>
    </row>
    <row r="234" spans="1:13" x14ac:dyDescent="0.25">
      <c r="A234">
        <v>224</v>
      </c>
      <c r="D234">
        <v>1.1993042089999999</v>
      </c>
      <c r="E234" s="1">
        <v>-1.5088092E-5</v>
      </c>
      <c r="F234" s="1">
        <v>-3.4792421200000199E-6</v>
      </c>
      <c r="G234" s="1">
        <v>3.9716390920778399E-6</v>
      </c>
      <c r="H234" s="1">
        <v>9.3466033916070194E-8</v>
      </c>
      <c r="I234" s="1">
        <v>1.07709842217691E-8</v>
      </c>
      <c r="J234">
        <v>12</v>
      </c>
      <c r="K234">
        <v>1</v>
      </c>
      <c r="L234">
        <v>0.2</v>
      </c>
      <c r="M234">
        <v>10</v>
      </c>
    </row>
    <row r="235" spans="1:13" x14ac:dyDescent="0.25">
      <c r="A235">
        <v>225</v>
      </c>
      <c r="D235">
        <v>1.1990305033999999</v>
      </c>
      <c r="E235" s="1">
        <v>-1.49160624E-5</v>
      </c>
      <c r="F235" s="1">
        <v>-3.4863371200000199E-6</v>
      </c>
      <c r="G235" s="1">
        <v>6.4678972390865898E-6</v>
      </c>
      <c r="H235" s="1">
        <v>1.2376565139908601E-7</v>
      </c>
      <c r="I235" s="1">
        <v>4.4239880770182301E-9</v>
      </c>
      <c r="J235">
        <v>12</v>
      </c>
      <c r="K235">
        <v>1</v>
      </c>
      <c r="L235">
        <v>0.2</v>
      </c>
      <c r="M235">
        <v>10</v>
      </c>
    </row>
    <row r="236" spans="1:13" x14ac:dyDescent="0.25">
      <c r="A236">
        <v>226</v>
      </c>
      <c r="D236">
        <v>1.0000640871599999</v>
      </c>
      <c r="E236" s="1">
        <v>-1.24743116E-5</v>
      </c>
      <c r="F236" s="1">
        <v>-2.7939800000000302E-6</v>
      </c>
      <c r="G236" s="1">
        <v>1.2828408464942299E-6</v>
      </c>
      <c r="H236" s="1">
        <v>2.9662339759374298E-10</v>
      </c>
      <c r="I236" s="1">
        <v>3.43048343637992E-20</v>
      </c>
      <c r="J236">
        <v>12</v>
      </c>
      <c r="K236">
        <v>1</v>
      </c>
      <c r="L236">
        <v>0.2</v>
      </c>
      <c r="M236">
        <v>10</v>
      </c>
    </row>
    <row r="237" spans="1:13" x14ac:dyDescent="0.25">
      <c r="A237">
        <v>227</v>
      </c>
      <c r="D237">
        <v>0.60024769552000001</v>
      </c>
      <c r="E237" s="1">
        <v>-7.8839953200000002E-6</v>
      </c>
      <c r="F237" s="1">
        <v>-1.8948684399999999E-6</v>
      </c>
      <c r="G237" s="1">
        <v>1.86262186106098E-6</v>
      </c>
      <c r="H237" s="1">
        <v>3.0528627222618501E-8</v>
      </c>
      <c r="I237" s="1">
        <v>4.2360530525081998E-8</v>
      </c>
      <c r="J237">
        <v>11</v>
      </c>
      <c r="K237">
        <v>1</v>
      </c>
      <c r="L237">
        <v>0.2</v>
      </c>
      <c r="M237">
        <v>10</v>
      </c>
    </row>
    <row r="238" spans="1:13" x14ac:dyDescent="0.25">
      <c r="A238">
        <v>228</v>
      </c>
      <c r="D238">
        <v>0.39994777622</v>
      </c>
      <c r="E238" s="1">
        <v>-5.48758734E-6</v>
      </c>
      <c r="F238" s="1">
        <v>-1.0763123659999999E-6</v>
      </c>
      <c r="G238" s="1">
        <v>1.0642100351720301E-6</v>
      </c>
      <c r="H238" s="1">
        <v>5.4442069493401897E-8</v>
      </c>
      <c r="I238" s="1">
        <v>7.3064738594564496E-8</v>
      </c>
      <c r="J238">
        <v>11</v>
      </c>
      <c r="K238">
        <v>1</v>
      </c>
      <c r="L238">
        <v>0.2</v>
      </c>
      <c r="M238">
        <v>10</v>
      </c>
    </row>
    <row r="239" spans="1:13" x14ac:dyDescent="0.25">
      <c r="A239">
        <v>229</v>
      </c>
      <c r="D239">
        <v>0.20065449086000001</v>
      </c>
      <c r="E239" s="1">
        <v>-2.9987959400000001E-6</v>
      </c>
      <c r="F239" s="1">
        <v>-6.8799543399999796E-7</v>
      </c>
      <c r="G239" s="1">
        <v>5.18442192180201E-7</v>
      </c>
      <c r="H239" s="1">
        <v>4.61993720662565E-8</v>
      </c>
      <c r="I239" s="1">
        <v>1.1280078106717401E-8</v>
      </c>
      <c r="J239">
        <v>10</v>
      </c>
      <c r="K239">
        <v>1</v>
      </c>
      <c r="L239">
        <v>0.2</v>
      </c>
      <c r="M239">
        <v>10</v>
      </c>
    </row>
    <row r="240" spans="1:13" x14ac:dyDescent="0.25">
      <c r="A240">
        <v>230</v>
      </c>
      <c r="D240">
        <v>0.1004010508</v>
      </c>
      <c r="E240" s="1">
        <v>-1.53622154E-6</v>
      </c>
      <c r="F240" s="1">
        <v>-3.0334476399999999E-7</v>
      </c>
      <c r="G240" s="1">
        <v>2.28775731801262E-7</v>
      </c>
      <c r="H240" s="1">
        <v>5.6300433238475198E-9</v>
      </c>
      <c r="I240" s="1">
        <v>3.0085399595556402E-8</v>
      </c>
      <c r="J240">
        <v>9</v>
      </c>
      <c r="K240">
        <v>1</v>
      </c>
      <c r="L240">
        <v>0.2</v>
      </c>
      <c r="M240">
        <v>10</v>
      </c>
    </row>
    <row r="241" spans="1:13" x14ac:dyDescent="0.25">
      <c r="A241">
        <v>231</v>
      </c>
      <c r="D241">
        <v>5.0360189100000001E-2</v>
      </c>
      <c r="E241" s="1">
        <v>-7.9062314800000001E-7</v>
      </c>
      <c r="F241" s="1">
        <v>-1.57738232E-7</v>
      </c>
      <c r="G241" s="1">
        <v>9.2747165968504797E-8</v>
      </c>
      <c r="H241" s="1">
        <v>1.3142275408699101E-8</v>
      </c>
      <c r="I241" s="1">
        <v>6.9161914145124698E-9</v>
      </c>
      <c r="J241">
        <v>8</v>
      </c>
      <c r="K241">
        <v>1</v>
      </c>
      <c r="L241">
        <v>0.2</v>
      </c>
      <c r="M241">
        <v>10</v>
      </c>
    </row>
    <row r="242" spans="1:13" x14ac:dyDescent="0.25">
      <c r="A242">
        <v>232</v>
      </c>
      <c r="D242">
        <v>4.9628616803999999E-2</v>
      </c>
      <c r="E242" s="1">
        <v>-7.77547032E-7</v>
      </c>
      <c r="F242" s="1">
        <v>-1.3286991859999999E-7</v>
      </c>
      <c r="G242" s="1">
        <v>9.3535624333828096E-8</v>
      </c>
      <c r="H242" s="1">
        <v>9.9128326070289296E-9</v>
      </c>
      <c r="I242" s="1">
        <v>2.8808719650573101E-8</v>
      </c>
      <c r="J242">
        <v>8</v>
      </c>
      <c r="K242">
        <v>1</v>
      </c>
      <c r="L242">
        <v>0.2</v>
      </c>
      <c r="M242">
        <v>10</v>
      </c>
    </row>
    <row r="243" spans="1:13" x14ac:dyDescent="0.25">
      <c r="A243">
        <v>233</v>
      </c>
      <c r="D243">
        <v>4.9728741783999997E-2</v>
      </c>
      <c r="E243" s="1">
        <v>-8.0044451199999904E-7</v>
      </c>
      <c r="F243" s="1">
        <v>-1.7142960400000001E-7</v>
      </c>
      <c r="G243" s="1">
        <v>6.8234396444276505E-8</v>
      </c>
      <c r="H243" s="1">
        <v>4.6580139753094901E-8</v>
      </c>
      <c r="I243" s="1">
        <v>2.2976087939751299E-8</v>
      </c>
      <c r="J243">
        <v>8</v>
      </c>
      <c r="K243">
        <v>1</v>
      </c>
      <c r="L243">
        <v>0.2</v>
      </c>
      <c r="M243">
        <v>10</v>
      </c>
    </row>
    <row r="244" spans="1:13" x14ac:dyDescent="0.25">
      <c r="A244">
        <v>234</v>
      </c>
    </row>
    <row r="245" spans="1:13" x14ac:dyDescent="0.25">
      <c r="A245">
        <v>235</v>
      </c>
      <c r="C245" s="12" t="s">
        <v>196</v>
      </c>
    </row>
    <row r="246" spans="1:13" x14ac:dyDescent="0.25">
      <c r="A246">
        <v>236</v>
      </c>
      <c r="C246" s="2" t="s">
        <v>188</v>
      </c>
      <c r="L246" t="s">
        <v>185</v>
      </c>
    </row>
    <row r="247" spans="1:13" x14ac:dyDescent="0.25">
      <c r="A247">
        <v>237</v>
      </c>
      <c r="B247" s="5">
        <v>41348</v>
      </c>
      <c r="C247" s="6" t="s">
        <v>14</v>
      </c>
      <c r="D247">
        <v>1.1989456754000001</v>
      </c>
      <c r="E247" s="1">
        <v>-2.43310651666667E-6</v>
      </c>
      <c r="F247" s="1">
        <v>-3.14547583333333E-6</v>
      </c>
      <c r="G247" s="1">
        <v>6.3254513581103097E-6</v>
      </c>
      <c r="H247" s="1">
        <v>8.66562544577072E-9</v>
      </c>
      <c r="I247" s="1">
        <v>2.37848289596307E-8</v>
      </c>
      <c r="J247">
        <v>10</v>
      </c>
      <c r="K247">
        <v>1</v>
      </c>
      <c r="L247">
        <v>0.2</v>
      </c>
      <c r="M247">
        <v>10</v>
      </c>
    </row>
    <row r="248" spans="1:13" x14ac:dyDescent="0.25">
      <c r="A248">
        <v>238</v>
      </c>
      <c r="D248">
        <v>1.1990899723999999</v>
      </c>
      <c r="E248" s="1">
        <v>-2.4241528499999999E-6</v>
      </c>
      <c r="F248" s="1">
        <v>-3.1489520500000002E-6</v>
      </c>
      <c r="G248" s="1">
        <v>4.6091440566490604E-6</v>
      </c>
      <c r="H248" s="1">
        <v>1.09528885099244E-8</v>
      </c>
      <c r="I248" s="1">
        <v>1.52477953258004E-8</v>
      </c>
      <c r="J248">
        <v>10</v>
      </c>
      <c r="K248">
        <v>1</v>
      </c>
      <c r="L248">
        <v>0.2</v>
      </c>
      <c r="M248">
        <v>10</v>
      </c>
    </row>
    <row r="249" spans="1:13" x14ac:dyDescent="0.25">
      <c r="A249">
        <v>239</v>
      </c>
      <c r="D249">
        <v>1.0016515392000001</v>
      </c>
      <c r="E249" s="1">
        <v>-2.1320165666666698E-6</v>
      </c>
      <c r="F249" s="1">
        <v>-2.7758774000000001E-6</v>
      </c>
      <c r="G249" s="1">
        <v>2.4977282289990802E-6</v>
      </c>
      <c r="H249" s="1">
        <v>3.1967400794333501E-8</v>
      </c>
      <c r="I249" s="1">
        <v>9.2417685125737805E-9</v>
      </c>
      <c r="J249">
        <v>10</v>
      </c>
      <c r="K249">
        <v>1</v>
      </c>
      <c r="L249">
        <v>0.2</v>
      </c>
      <c r="M249">
        <v>10</v>
      </c>
    </row>
    <row r="250" spans="1:13" x14ac:dyDescent="0.25">
      <c r="A250">
        <v>240</v>
      </c>
      <c r="D250">
        <v>0.60079884224000002</v>
      </c>
      <c r="E250" s="1">
        <v>-1.7503825333333399E-6</v>
      </c>
      <c r="F250" s="1">
        <v>-1.74252424999999E-6</v>
      </c>
      <c r="G250" s="1">
        <v>1.14103361563385E-6</v>
      </c>
      <c r="H250" s="1">
        <v>8.6425244527022202E-9</v>
      </c>
      <c r="I250" s="1">
        <v>6.6652133077269098E-9</v>
      </c>
      <c r="J250">
        <v>10</v>
      </c>
      <c r="K250">
        <v>1</v>
      </c>
      <c r="L250">
        <v>0.2</v>
      </c>
      <c r="M250">
        <v>10</v>
      </c>
    </row>
    <row r="251" spans="1:13" x14ac:dyDescent="0.25">
      <c r="A251">
        <v>241</v>
      </c>
      <c r="D251">
        <v>0.40071349826000002</v>
      </c>
      <c r="E251" s="1">
        <v>-1.5200678499999999E-6</v>
      </c>
      <c r="F251" s="1">
        <v>-1.1841900999999999E-6</v>
      </c>
      <c r="G251" s="1">
        <v>7.8233935804881996E-7</v>
      </c>
      <c r="H251" s="1">
        <v>1.5336648891163699E-8</v>
      </c>
      <c r="I251" s="1">
        <v>4.0970343737757401E-8</v>
      </c>
      <c r="J251">
        <v>9</v>
      </c>
      <c r="K251">
        <v>1</v>
      </c>
      <c r="L251">
        <v>0.2</v>
      </c>
      <c r="M251">
        <v>10</v>
      </c>
    </row>
    <row r="252" spans="1:13" x14ac:dyDescent="0.25">
      <c r="A252">
        <v>242</v>
      </c>
      <c r="D252">
        <v>0.19999084906</v>
      </c>
      <c r="E252" s="1">
        <v>-9.10864503333333E-7</v>
      </c>
      <c r="F252" s="1">
        <v>-6.5833922833333299E-7</v>
      </c>
      <c r="G252" s="1">
        <v>3.6116465254434501E-7</v>
      </c>
      <c r="H252" s="1">
        <v>4.0064314909280401E-8</v>
      </c>
      <c r="I252" s="1">
        <v>9.6957800019491607E-9</v>
      </c>
      <c r="J252">
        <v>9</v>
      </c>
      <c r="K252">
        <v>1</v>
      </c>
      <c r="L252">
        <v>0.2</v>
      </c>
      <c r="M252">
        <v>10</v>
      </c>
    </row>
    <row r="253" spans="1:13" x14ac:dyDescent="0.25">
      <c r="A253">
        <v>243</v>
      </c>
      <c r="D253">
        <v>9.9998294838000004E-2</v>
      </c>
      <c r="E253" s="1">
        <v>-5.2942986833333298E-7</v>
      </c>
      <c r="F253" s="1">
        <v>-3.2890740666666698E-7</v>
      </c>
      <c r="G253" s="1">
        <v>1.59828618351215E-7</v>
      </c>
      <c r="H253" s="1">
        <v>3.43625494589822E-8</v>
      </c>
      <c r="I253" s="1">
        <v>1.8394904814593501E-8</v>
      </c>
      <c r="J253">
        <v>8</v>
      </c>
      <c r="K253">
        <v>1</v>
      </c>
      <c r="L253">
        <v>0.2</v>
      </c>
      <c r="M253">
        <v>10</v>
      </c>
    </row>
    <row r="254" spans="1:13" x14ac:dyDescent="0.25">
      <c r="A254">
        <v>244</v>
      </c>
      <c r="D254">
        <v>4.9392275201999999E-2</v>
      </c>
      <c r="E254" s="1">
        <v>-2.7687041166666599E-7</v>
      </c>
      <c r="F254" s="1">
        <v>-1.61706055333333E-7</v>
      </c>
      <c r="G254" s="1">
        <v>6.6615302460698998E-8</v>
      </c>
      <c r="H254" s="1">
        <v>2.8114441844400899E-8</v>
      </c>
      <c r="I254" s="1">
        <v>3.0227004723637E-8</v>
      </c>
      <c r="J254">
        <v>7</v>
      </c>
      <c r="K254">
        <v>1</v>
      </c>
      <c r="L254">
        <v>0.2</v>
      </c>
      <c r="M254">
        <v>10</v>
      </c>
    </row>
    <row r="255" spans="1:13" x14ac:dyDescent="0.25">
      <c r="A255">
        <v>245</v>
      </c>
      <c r="D255">
        <v>4.9450587871999997E-2</v>
      </c>
      <c r="E255" s="1">
        <v>-2.7475887833333299E-7</v>
      </c>
      <c r="F255" s="1">
        <v>-1.64720861166667E-7</v>
      </c>
      <c r="G255" s="1">
        <v>6.3686601958879904E-8</v>
      </c>
      <c r="H255" s="1">
        <v>2.5073675357238699E-8</v>
      </c>
      <c r="I255" s="1">
        <v>2.9153904189714899E-8</v>
      </c>
      <c r="J255">
        <v>7</v>
      </c>
      <c r="K255">
        <v>1</v>
      </c>
      <c r="L255">
        <v>0.2</v>
      </c>
      <c r="M255">
        <v>10</v>
      </c>
    </row>
    <row r="256" spans="1:13" x14ac:dyDescent="0.25">
      <c r="A256">
        <v>246</v>
      </c>
      <c r="D256">
        <v>4.9511463536E-2</v>
      </c>
      <c r="E256" s="1">
        <v>-2.76758186666666E-7</v>
      </c>
      <c r="F256" s="1">
        <v>-1.4937376833333301E-7</v>
      </c>
      <c r="G256" s="1">
        <v>6.0266399211003699E-8</v>
      </c>
      <c r="H256" s="1">
        <v>3.9945905753637498E-8</v>
      </c>
      <c r="I256" s="1">
        <v>3.6945457895313198E-8</v>
      </c>
      <c r="J256">
        <v>7</v>
      </c>
      <c r="K256">
        <v>1</v>
      </c>
      <c r="L256">
        <v>0.2</v>
      </c>
      <c r="M256">
        <v>10</v>
      </c>
    </row>
    <row r="257" spans="1:13" x14ac:dyDescent="0.25">
      <c r="A257">
        <v>247</v>
      </c>
      <c r="D257">
        <v>4.9585895828E-2</v>
      </c>
      <c r="E257" s="1">
        <v>-2.8151058166666599E-7</v>
      </c>
      <c r="F257" s="1">
        <v>-1.7237103833333299E-7</v>
      </c>
      <c r="G257" s="1">
        <v>4.2266533314503397E-8</v>
      </c>
      <c r="H257" s="1">
        <v>2.2864230744184899E-8</v>
      </c>
      <c r="I257" s="1">
        <v>2.46555727701372E-8</v>
      </c>
      <c r="J257">
        <v>7</v>
      </c>
      <c r="K257">
        <v>1</v>
      </c>
      <c r="L257">
        <v>0.2</v>
      </c>
      <c r="M257">
        <v>10</v>
      </c>
    </row>
    <row r="258" spans="1:13" x14ac:dyDescent="0.25">
      <c r="A258">
        <v>248</v>
      </c>
      <c r="B258" s="41" t="s">
        <v>197</v>
      </c>
    </row>
    <row r="259" spans="1:13" x14ac:dyDescent="0.25">
      <c r="A259">
        <v>249</v>
      </c>
      <c r="C259" s="2" t="s">
        <v>188</v>
      </c>
      <c r="L259" t="s">
        <v>185</v>
      </c>
    </row>
    <row r="260" spans="1:13" x14ac:dyDescent="0.25">
      <c r="A260">
        <v>250</v>
      </c>
      <c r="C260" s="6" t="s">
        <v>198</v>
      </c>
      <c r="D260">
        <v>1.1992552009999999</v>
      </c>
      <c r="E260" s="1">
        <v>-2.71819671666667E-6</v>
      </c>
      <c r="F260" s="1">
        <v>-3.7038501166666701E-6</v>
      </c>
      <c r="G260" s="1">
        <v>4.2928834214033299E-6</v>
      </c>
      <c r="H260" s="1">
        <v>4.9260070050563097E-8</v>
      </c>
      <c r="I260" s="1">
        <v>5.2189834813110098E-8</v>
      </c>
      <c r="J260">
        <v>10</v>
      </c>
      <c r="K260">
        <v>1</v>
      </c>
      <c r="L260">
        <v>0.2</v>
      </c>
      <c r="M260">
        <v>10</v>
      </c>
    </row>
    <row r="261" spans="1:13" x14ac:dyDescent="0.25">
      <c r="A261">
        <v>251</v>
      </c>
      <c r="D261">
        <v>1.1991972021999999</v>
      </c>
      <c r="E261" s="1">
        <v>-2.7245933999999999E-6</v>
      </c>
      <c r="F261" s="1">
        <v>-3.7131364833333299E-6</v>
      </c>
      <c r="G261" s="1">
        <v>4.1770812423190296E-6</v>
      </c>
      <c r="H261" s="1">
        <v>5.1279220321425898E-8</v>
      </c>
      <c r="I261" s="1">
        <v>6.6418181527849599E-8</v>
      </c>
      <c r="J261">
        <v>10</v>
      </c>
      <c r="K261">
        <v>1</v>
      </c>
      <c r="L261">
        <v>0.2</v>
      </c>
      <c r="M261">
        <v>10</v>
      </c>
    </row>
    <row r="262" spans="1:13" x14ac:dyDescent="0.25">
      <c r="A262">
        <v>252</v>
      </c>
      <c r="D262">
        <v>1.0016254983999999</v>
      </c>
      <c r="E262" s="1">
        <v>-2.4558636500000001E-6</v>
      </c>
      <c r="F262" s="1">
        <v>-3.1722576166666701E-6</v>
      </c>
      <c r="G262" s="1">
        <v>1.2828254358660099E-6</v>
      </c>
      <c r="H262" s="1">
        <v>1.2182313608020701E-8</v>
      </c>
      <c r="I262" s="1">
        <v>1.83727110362005E-8</v>
      </c>
      <c r="J262">
        <v>10</v>
      </c>
      <c r="K262">
        <v>1</v>
      </c>
      <c r="L262">
        <v>0.2</v>
      </c>
      <c r="M262">
        <v>10</v>
      </c>
    </row>
    <row r="263" spans="1:13" x14ac:dyDescent="0.25">
      <c r="A263">
        <v>253</v>
      </c>
      <c r="D263">
        <v>0.60103125938000002</v>
      </c>
      <c r="E263" s="1">
        <v>-2.0900221666666501E-6</v>
      </c>
      <c r="F263" s="1">
        <v>-2.0912603166666499E-6</v>
      </c>
      <c r="G263" s="1">
        <v>1.1481234635568801E-6</v>
      </c>
      <c r="H263" s="1">
        <v>9.3315874125943208E-9</v>
      </c>
      <c r="I263" s="1">
        <v>6.0963603950544298E-9</v>
      </c>
      <c r="J263">
        <v>10</v>
      </c>
      <c r="K263">
        <v>1</v>
      </c>
      <c r="L263">
        <v>0.2</v>
      </c>
      <c r="M263">
        <v>10</v>
      </c>
    </row>
    <row r="264" spans="1:13" x14ac:dyDescent="0.25">
      <c r="A264">
        <v>254</v>
      </c>
      <c r="D264">
        <v>0.40010698653999999</v>
      </c>
      <c r="E264" s="1">
        <v>-1.74575595E-6</v>
      </c>
      <c r="F264" s="1">
        <v>-1.3933393500000001E-6</v>
      </c>
      <c r="G264" s="1">
        <v>2.0848054127484099E-7</v>
      </c>
      <c r="H264" s="1">
        <v>1.7561255927467099E-9</v>
      </c>
      <c r="I264" s="1">
        <v>9.5319088195475596E-9</v>
      </c>
      <c r="J264">
        <v>10</v>
      </c>
      <c r="K264">
        <v>1</v>
      </c>
      <c r="L264">
        <v>0.2</v>
      </c>
      <c r="M264">
        <v>10</v>
      </c>
    </row>
    <row r="265" spans="1:13" x14ac:dyDescent="0.25">
      <c r="A265">
        <v>255</v>
      </c>
      <c r="D265">
        <v>0.19974012386000001</v>
      </c>
      <c r="E265" s="1">
        <v>-1.10165575E-6</v>
      </c>
      <c r="F265" s="1">
        <v>-7.19290254999999E-7</v>
      </c>
      <c r="G265" s="1">
        <v>2.9758520481274201E-7</v>
      </c>
      <c r="H265" s="1">
        <v>1.0129510161116699E-8</v>
      </c>
      <c r="I265" s="1">
        <v>3.8413605753300201E-8</v>
      </c>
      <c r="J265">
        <v>9</v>
      </c>
      <c r="K265">
        <v>1</v>
      </c>
      <c r="L265">
        <v>0.2</v>
      </c>
      <c r="M265">
        <v>10</v>
      </c>
    </row>
    <row r="266" spans="1:13" x14ac:dyDescent="0.25">
      <c r="A266">
        <v>256</v>
      </c>
      <c r="D266">
        <v>0.1001482551</v>
      </c>
      <c r="E266" s="1">
        <v>-6.3093656999999996E-7</v>
      </c>
      <c r="F266" s="1">
        <v>-3.6978829000000002E-7</v>
      </c>
      <c r="G266" s="1">
        <v>1.20688126501297E-7</v>
      </c>
      <c r="H266" s="1">
        <v>1.74480485863539E-8</v>
      </c>
      <c r="I266" s="1">
        <v>2.1762594283906098E-8</v>
      </c>
      <c r="J266">
        <v>8</v>
      </c>
      <c r="K266">
        <v>1</v>
      </c>
      <c r="L266">
        <v>0.2</v>
      </c>
      <c r="M266">
        <v>10</v>
      </c>
    </row>
    <row r="267" spans="1:13" x14ac:dyDescent="0.25">
      <c r="A267">
        <v>257</v>
      </c>
      <c r="D267">
        <v>5.0147061485999997E-2</v>
      </c>
      <c r="E267" s="1">
        <v>-3.4588096833333302E-7</v>
      </c>
      <c r="F267" s="1">
        <v>-1.7459663500000001E-7</v>
      </c>
      <c r="G267" s="1">
        <v>6.3870088595623395E-8</v>
      </c>
      <c r="H267" s="1">
        <v>1.84546477380089E-8</v>
      </c>
      <c r="I267" s="1">
        <v>1.3686299704026699E-8</v>
      </c>
      <c r="J267">
        <v>8</v>
      </c>
      <c r="K267">
        <v>1</v>
      </c>
      <c r="L267">
        <v>0.2</v>
      </c>
      <c r="M267">
        <v>10</v>
      </c>
    </row>
    <row r="268" spans="1:13" x14ac:dyDescent="0.25">
      <c r="A268">
        <v>258</v>
      </c>
      <c r="D268">
        <v>5.0189260962E-2</v>
      </c>
      <c r="E268" s="1">
        <v>-3.3826290833333301E-7</v>
      </c>
      <c r="F268" s="1">
        <v>-1.7907057E-7</v>
      </c>
      <c r="G268" s="1">
        <v>6.5423893646918396E-8</v>
      </c>
      <c r="H268" s="1">
        <v>1.7773623607280099E-8</v>
      </c>
      <c r="I268" s="1">
        <v>1.48683162517404E-8</v>
      </c>
      <c r="J268">
        <v>8</v>
      </c>
      <c r="K268">
        <v>1</v>
      </c>
      <c r="L268">
        <v>0.2</v>
      </c>
      <c r="M268">
        <v>10</v>
      </c>
    </row>
    <row r="269" spans="1:13" x14ac:dyDescent="0.25">
      <c r="A269">
        <v>259</v>
      </c>
      <c r="D269">
        <v>5.0225589488000003E-2</v>
      </c>
      <c r="E269" s="1">
        <v>-3.54126078333333E-7</v>
      </c>
      <c r="F269" s="1">
        <v>-1.7465047666666699E-7</v>
      </c>
      <c r="G269" s="1">
        <v>3.3207403586705001E-8</v>
      </c>
      <c r="H269" s="1">
        <v>2.38475044498482E-8</v>
      </c>
      <c r="I269" s="1">
        <v>2.3219491218215499E-8</v>
      </c>
      <c r="J269">
        <v>8</v>
      </c>
      <c r="K269">
        <v>1</v>
      </c>
      <c r="L269">
        <v>0.2</v>
      </c>
      <c r="M269">
        <v>10</v>
      </c>
    </row>
    <row r="270" spans="1:13" x14ac:dyDescent="0.25">
      <c r="A270">
        <v>260</v>
      </c>
      <c r="D270">
        <v>4.9516134977999997E-2</v>
      </c>
      <c r="E270" s="1">
        <v>-3.3821672833333299E-7</v>
      </c>
      <c r="F270" s="1">
        <v>-1.8969376000000001E-7</v>
      </c>
      <c r="G270" s="1">
        <v>3.7766566619716301E-8</v>
      </c>
      <c r="H270" s="1">
        <v>1.9730845475917399E-8</v>
      </c>
      <c r="I270" s="1">
        <v>2.0493900291527398E-8</v>
      </c>
      <c r="J270">
        <v>7</v>
      </c>
      <c r="K270">
        <v>1</v>
      </c>
      <c r="L270">
        <v>0.2</v>
      </c>
      <c r="M270">
        <v>10</v>
      </c>
    </row>
    <row r="271" spans="1:13" x14ac:dyDescent="0.25">
      <c r="A271">
        <v>261</v>
      </c>
      <c r="D271">
        <v>4.9545000059999997E-2</v>
      </c>
      <c r="E271" s="1">
        <v>-3.4961740000000002E-7</v>
      </c>
      <c r="F271" s="1">
        <v>-1.88540963333333E-7</v>
      </c>
      <c r="G271" s="1">
        <v>3.25262787501221E-8</v>
      </c>
      <c r="H271" s="1">
        <v>2.0358190371035802E-8</v>
      </c>
      <c r="I271" s="1">
        <v>2.5400816192962299E-8</v>
      </c>
      <c r="J271">
        <v>7</v>
      </c>
      <c r="K271">
        <v>1</v>
      </c>
      <c r="L271">
        <v>0.2</v>
      </c>
      <c r="M271">
        <v>10</v>
      </c>
    </row>
    <row r="272" spans="1:13" x14ac:dyDescent="0.25">
      <c r="A272">
        <v>262</v>
      </c>
    </row>
    <row r="273" spans="1:13" x14ac:dyDescent="0.25">
      <c r="A273">
        <v>263</v>
      </c>
    </row>
    <row r="274" spans="1:13" x14ac:dyDescent="0.25">
      <c r="A274">
        <v>264</v>
      </c>
      <c r="B274" s="2" t="s">
        <v>199</v>
      </c>
      <c r="E274" s="1"/>
      <c r="F274" s="1"/>
      <c r="G274" s="1"/>
      <c r="H274" s="1"/>
      <c r="I274" s="1"/>
      <c r="J274" s="1"/>
      <c r="K274" s="1"/>
    </row>
    <row r="275" spans="1:13" x14ac:dyDescent="0.25">
      <c r="A275">
        <v>265</v>
      </c>
      <c r="B275" s="2" t="s">
        <v>2</v>
      </c>
      <c r="C275" s="2" t="s">
        <v>3</v>
      </c>
      <c r="D275" s="3" t="s">
        <v>4</v>
      </c>
      <c r="E275" s="4" t="s">
        <v>5</v>
      </c>
      <c r="F275" s="4" t="s">
        <v>6</v>
      </c>
      <c r="G275" s="4" t="s">
        <v>7</v>
      </c>
      <c r="H275" s="4" t="s">
        <v>8</v>
      </c>
      <c r="I275" s="4" t="s">
        <v>9</v>
      </c>
      <c r="J275" s="4" t="s">
        <v>176</v>
      </c>
      <c r="K275" s="4" t="s">
        <v>176</v>
      </c>
    </row>
    <row r="276" spans="1:13" x14ac:dyDescent="0.25">
      <c r="A276">
        <v>266</v>
      </c>
      <c r="D276" s="3" t="s">
        <v>10</v>
      </c>
      <c r="E276" s="4" t="s">
        <v>11</v>
      </c>
      <c r="F276" s="4" t="s">
        <v>11</v>
      </c>
      <c r="G276" s="4" t="s">
        <v>12</v>
      </c>
      <c r="H276" s="4" t="s">
        <v>11</v>
      </c>
      <c r="I276" s="4" t="s">
        <v>11</v>
      </c>
      <c r="J276" s="4" t="s">
        <v>177</v>
      </c>
      <c r="K276" s="4" t="s">
        <v>178</v>
      </c>
      <c r="L276" s="2" t="s">
        <v>4</v>
      </c>
      <c r="M276" s="2" t="s">
        <v>13</v>
      </c>
    </row>
    <row r="277" spans="1:13" x14ac:dyDescent="0.25">
      <c r="A277">
        <v>267</v>
      </c>
      <c r="B277" s="5">
        <v>41351</v>
      </c>
      <c r="C277" s="6" t="s">
        <v>14</v>
      </c>
      <c r="D277" s="8">
        <v>1.1997753933999999</v>
      </c>
      <c r="E277" s="22">
        <v>-1.5966068833333299E-5</v>
      </c>
      <c r="F277" s="22">
        <v>-1.29722726666667E-5</v>
      </c>
      <c r="G277" s="22">
        <v>1.1265477218584401E-6</v>
      </c>
      <c r="H277" s="22">
        <v>1.17388754666832E-9</v>
      </c>
      <c r="I277" s="22">
        <v>9.4310259531447095E-8</v>
      </c>
      <c r="J277" s="8">
        <v>12</v>
      </c>
      <c r="K277" s="8">
        <v>1</v>
      </c>
      <c r="L277" s="8">
        <v>0.2</v>
      </c>
      <c r="M277" s="8">
        <v>10</v>
      </c>
    </row>
    <row r="278" spans="1:13" x14ac:dyDescent="0.25">
      <c r="A278">
        <v>268</v>
      </c>
      <c r="D278" s="8">
        <v>1.0002524718000001</v>
      </c>
      <c r="E278" s="22">
        <v>-1.3871978333333499E-5</v>
      </c>
      <c r="F278" s="22">
        <v>-1.1078214999999899E-5</v>
      </c>
      <c r="G278" s="22">
        <v>2.9098134411772201E-6</v>
      </c>
      <c r="H278" s="22">
        <v>4.6028674637562798E-10</v>
      </c>
      <c r="I278" s="22">
        <v>3.1902194281914502E-10</v>
      </c>
      <c r="J278" s="8">
        <v>12</v>
      </c>
      <c r="K278" s="8">
        <v>1</v>
      </c>
      <c r="L278" s="8">
        <v>0.2</v>
      </c>
      <c r="M278" s="8">
        <v>10</v>
      </c>
    </row>
    <row r="279" spans="1:13" x14ac:dyDescent="0.25">
      <c r="A279">
        <v>269</v>
      </c>
      <c r="D279" s="8">
        <v>0.60000610363999995</v>
      </c>
      <c r="E279" s="22">
        <v>-1.05097E-5</v>
      </c>
      <c r="F279" s="22">
        <v>-6.2679265500000099E-6</v>
      </c>
      <c r="G279" s="22">
        <v>5.5631479809922903E-7</v>
      </c>
      <c r="H279" s="22">
        <v>8.4483963172505898E-8</v>
      </c>
      <c r="I279" s="22">
        <v>2.1056201681788801E-8</v>
      </c>
      <c r="J279" s="8">
        <v>12</v>
      </c>
      <c r="K279" s="8">
        <v>1</v>
      </c>
      <c r="L279" s="8">
        <v>0.2</v>
      </c>
      <c r="M279" s="8">
        <v>10</v>
      </c>
    </row>
    <row r="280" spans="1:13" x14ac:dyDescent="0.25">
      <c r="A280">
        <v>270</v>
      </c>
      <c r="D280" s="8">
        <v>0.40000010877999997</v>
      </c>
      <c r="E280" s="22">
        <v>-8.3280897333333895E-6</v>
      </c>
      <c r="F280" s="22">
        <v>-3.9410630833333298E-6</v>
      </c>
      <c r="G280" s="22">
        <v>4.25145806558886E-7</v>
      </c>
      <c r="H280" s="22">
        <v>4.9023048547502001E-10</v>
      </c>
      <c r="I280" s="22">
        <v>7.2972239694093697E-9</v>
      </c>
      <c r="J280" s="8">
        <v>11</v>
      </c>
      <c r="K280" s="8">
        <v>1</v>
      </c>
      <c r="L280" s="8">
        <v>0.2</v>
      </c>
      <c r="M280" s="8">
        <v>10</v>
      </c>
    </row>
    <row r="281" spans="1:13" x14ac:dyDescent="0.25">
      <c r="A281">
        <v>271</v>
      </c>
      <c r="D281" s="8">
        <v>0.2003440511</v>
      </c>
      <c r="E281" s="22">
        <v>-4.9169540333333296E-6</v>
      </c>
      <c r="F281" s="22">
        <v>-1.8670643E-6</v>
      </c>
      <c r="G281" s="22">
        <v>1.9861069048169E-7</v>
      </c>
      <c r="H281" s="22">
        <v>3.9073654880651002E-8</v>
      </c>
      <c r="I281" s="22">
        <v>5.7667453549149702E-8</v>
      </c>
      <c r="J281" s="8">
        <v>10</v>
      </c>
      <c r="K281" s="8">
        <v>1</v>
      </c>
      <c r="L281" s="8">
        <v>0.2</v>
      </c>
      <c r="M281" s="8">
        <v>10</v>
      </c>
    </row>
    <row r="282" spans="1:13" x14ac:dyDescent="0.25">
      <c r="A282">
        <v>272</v>
      </c>
      <c r="D282" s="8">
        <v>9.9716228517999994E-2</v>
      </c>
      <c r="E282" s="22">
        <v>-2.7588688666666699E-6</v>
      </c>
      <c r="F282" s="22">
        <v>-9.4570299000000005E-7</v>
      </c>
      <c r="G282" s="22">
        <v>7.1270385904439304E-8</v>
      </c>
      <c r="H282" s="22">
        <v>1.6428075989462501E-8</v>
      </c>
      <c r="I282" s="22">
        <v>5.6239117655002702E-8</v>
      </c>
      <c r="J282" s="8">
        <v>10</v>
      </c>
      <c r="K282" s="8">
        <v>1</v>
      </c>
      <c r="L282" s="8">
        <v>0.2</v>
      </c>
      <c r="M282" s="8">
        <v>10</v>
      </c>
    </row>
    <row r="283" spans="1:13" x14ac:dyDescent="0.25">
      <c r="A283">
        <v>273</v>
      </c>
      <c r="D283" s="8">
        <v>4.9676965683999999E-2</v>
      </c>
      <c r="E283" s="22">
        <v>-1.43062283333333E-6</v>
      </c>
      <c r="F283" s="22">
        <v>-4.4173198333333501E-7</v>
      </c>
      <c r="G283" s="22">
        <v>2.68402868146877E-8</v>
      </c>
      <c r="H283" s="22">
        <v>3.8709374785774498E-8</v>
      </c>
      <c r="I283" s="22">
        <v>9.3255961019330406E-9</v>
      </c>
      <c r="J283" s="8">
        <v>9</v>
      </c>
      <c r="K283" s="8">
        <v>1</v>
      </c>
      <c r="L283" s="8">
        <v>0.2</v>
      </c>
      <c r="M283" s="8">
        <v>10</v>
      </c>
    </row>
    <row r="284" spans="1:13" x14ac:dyDescent="0.25">
      <c r="A284">
        <v>274</v>
      </c>
      <c r="D284" s="8">
        <v>4.9709609070000001E-2</v>
      </c>
      <c r="E284" s="22">
        <v>-1.4306726833333299E-6</v>
      </c>
      <c r="F284" s="22">
        <v>-4.3834546833333402E-7</v>
      </c>
      <c r="G284" s="22">
        <v>2.2661014931453E-8</v>
      </c>
      <c r="H284" s="22">
        <v>4.6905197309392603E-8</v>
      </c>
      <c r="I284" s="22">
        <v>1.2154096640323799E-8</v>
      </c>
      <c r="J284" s="8">
        <v>9</v>
      </c>
      <c r="K284" s="8">
        <v>1</v>
      </c>
      <c r="L284" s="8">
        <v>0.2</v>
      </c>
      <c r="M284" s="8">
        <v>10</v>
      </c>
    </row>
    <row r="285" spans="1:13" x14ac:dyDescent="0.25">
      <c r="A285">
        <v>275</v>
      </c>
      <c r="D285" s="8">
        <v>4.9743213456000003E-2</v>
      </c>
      <c r="E285" s="22">
        <v>-1.4605851E-6</v>
      </c>
      <c r="F285" s="22">
        <v>-4.39540660000001E-7</v>
      </c>
      <c r="G285" s="22">
        <v>2.5569620476542398E-8</v>
      </c>
      <c r="H285" s="22">
        <v>4.27109487952445E-8</v>
      </c>
      <c r="I285" s="22">
        <v>8.47868647635942E-9</v>
      </c>
      <c r="J285" s="8">
        <v>9</v>
      </c>
      <c r="K285" s="8">
        <v>1</v>
      </c>
      <c r="L285" s="8">
        <v>0.2</v>
      </c>
      <c r="M285" s="8">
        <v>10</v>
      </c>
    </row>
    <row r="286" spans="1:13" x14ac:dyDescent="0.25">
      <c r="A286">
        <v>276</v>
      </c>
      <c r="D286" s="8">
        <v>1.3314132286000001E-2</v>
      </c>
      <c r="E286" s="22">
        <v>-4.08788801666666E-7</v>
      </c>
      <c r="F286" s="22">
        <v>-1.16568983666667E-7</v>
      </c>
      <c r="G286" s="22">
        <v>1.18883104739075E-7</v>
      </c>
      <c r="H286" s="22">
        <v>2.7082822535800499E-8</v>
      </c>
      <c r="I286" s="22">
        <v>3.5696961501186598E-8</v>
      </c>
      <c r="J286" s="8">
        <v>8</v>
      </c>
      <c r="K286" s="8">
        <v>1</v>
      </c>
      <c r="L286" s="8">
        <v>0.2</v>
      </c>
      <c r="M286" s="8">
        <v>10</v>
      </c>
    </row>
    <row r="287" spans="1:13" x14ac:dyDescent="0.25">
      <c r="A287">
        <v>277</v>
      </c>
      <c r="D287" s="8">
        <v>1.3313732458000001E-2</v>
      </c>
      <c r="E287" s="22">
        <v>-4.0870913833333299E-7</v>
      </c>
      <c r="F287" s="22">
        <v>-1.1445215766666699E-7</v>
      </c>
      <c r="G287" s="22">
        <v>8.0063607400074994E-8</v>
      </c>
      <c r="H287" s="22">
        <v>2.7450208270051399E-8</v>
      </c>
      <c r="I287" s="22">
        <v>3.0486399202529797E-8</v>
      </c>
      <c r="J287" s="8">
        <v>8</v>
      </c>
      <c r="K287" s="8">
        <v>1</v>
      </c>
      <c r="L287" s="8">
        <v>0.2</v>
      </c>
      <c r="M287" s="8">
        <v>10</v>
      </c>
    </row>
    <row r="288" spans="1:13" x14ac:dyDescent="0.25">
      <c r="A288">
        <v>278</v>
      </c>
      <c r="D288" s="8">
        <v>1.3309933458E-2</v>
      </c>
      <c r="E288" s="22">
        <v>-4.0096209833333298E-7</v>
      </c>
      <c r="F288" s="22">
        <v>-1.08842157833333E-7</v>
      </c>
      <c r="G288" s="22">
        <v>7.6541146795022898E-8</v>
      </c>
      <c r="H288" s="22">
        <v>1.9435125719308599E-8</v>
      </c>
      <c r="I288" s="22">
        <v>2.6773570153091399E-8</v>
      </c>
      <c r="J288" s="8">
        <v>8</v>
      </c>
      <c r="K288" s="8">
        <v>1</v>
      </c>
      <c r="L288" s="8">
        <v>0.2</v>
      </c>
      <c r="M288" s="8">
        <v>10</v>
      </c>
    </row>
    <row r="289" spans="1:13" x14ac:dyDescent="0.25">
      <c r="A289">
        <v>279</v>
      </c>
      <c r="D289" s="8">
        <v>1.3336908999999999E-2</v>
      </c>
      <c r="E289" s="22">
        <v>-3.9894512500000001E-7</v>
      </c>
      <c r="F289" s="22">
        <v>-1.3030057616666699E-7</v>
      </c>
      <c r="G289" s="22">
        <v>1.3662686103166201E-7</v>
      </c>
      <c r="H289" s="22">
        <v>2.5988519592107901E-8</v>
      </c>
      <c r="I289" s="22">
        <v>2.4707993808685602E-8</v>
      </c>
      <c r="J289" s="8">
        <v>8</v>
      </c>
      <c r="K289" s="8">
        <v>1</v>
      </c>
      <c r="L289" s="8">
        <v>0.2</v>
      </c>
      <c r="M289" s="8">
        <v>10</v>
      </c>
    </row>
    <row r="290" spans="1:13" x14ac:dyDescent="0.25">
      <c r="A290">
        <v>280</v>
      </c>
      <c r="D290" s="8">
        <v>1.3411756683999999E-2</v>
      </c>
      <c r="E290" s="22">
        <v>-3.9242252833333301E-7</v>
      </c>
      <c r="F290" s="22">
        <v>-1.0722437733333299E-7</v>
      </c>
      <c r="G290" s="22">
        <v>8.4279731178415699E-8</v>
      </c>
      <c r="H290" s="22">
        <v>3.3827818035198903E-8</v>
      </c>
      <c r="I290" s="22">
        <v>2.0222619343751E-8</v>
      </c>
      <c r="J290" s="8">
        <v>7</v>
      </c>
      <c r="K290" s="8">
        <v>1</v>
      </c>
      <c r="L290" s="8">
        <v>0.2</v>
      </c>
      <c r="M290" s="8">
        <v>10</v>
      </c>
    </row>
    <row r="291" spans="1:13" x14ac:dyDescent="0.25">
      <c r="A291">
        <v>281</v>
      </c>
      <c r="D291" s="8">
        <v>1.3393021442000001E-2</v>
      </c>
      <c r="E291" s="22">
        <v>-3.9773879166666699E-7</v>
      </c>
      <c r="F291" s="22">
        <v>-1.13054362E-7</v>
      </c>
      <c r="G291" s="22">
        <v>3.1698011871372297E-8</v>
      </c>
      <c r="H291" s="22">
        <v>3.2054028253740597E-8</v>
      </c>
      <c r="I291" s="22">
        <v>2.8066910242897901E-8</v>
      </c>
      <c r="J291" s="8">
        <v>7</v>
      </c>
      <c r="K291" s="8">
        <v>1</v>
      </c>
      <c r="L291" s="8">
        <v>0.2</v>
      </c>
      <c r="M291" s="8">
        <v>10</v>
      </c>
    </row>
    <row r="292" spans="1:13" x14ac:dyDescent="0.25">
      <c r="A292">
        <v>282</v>
      </c>
      <c r="D292" s="8">
        <v>1.3402608163999999E-2</v>
      </c>
      <c r="E292" s="22">
        <v>-4.0078442000000001E-7</v>
      </c>
      <c r="F292" s="22">
        <v>-1.1963381666666699E-7</v>
      </c>
      <c r="G292" s="22">
        <v>5.83532799360466E-8</v>
      </c>
      <c r="H292" s="22">
        <v>2.7262467751048E-8</v>
      </c>
      <c r="I292" s="22">
        <v>1.9724428368644501E-8</v>
      </c>
      <c r="J292" s="8">
        <v>7</v>
      </c>
      <c r="K292" s="8">
        <v>1</v>
      </c>
      <c r="L292" s="8">
        <v>0.2</v>
      </c>
      <c r="M292" s="8">
        <v>10</v>
      </c>
    </row>
    <row r="293" spans="1:13" x14ac:dyDescent="0.25">
      <c r="A293">
        <v>283</v>
      </c>
      <c r="D293" s="8"/>
      <c r="E293" s="22"/>
      <c r="F293" s="22"/>
      <c r="G293" s="22"/>
      <c r="H293" s="22"/>
      <c r="I293" s="22"/>
      <c r="J293" s="8"/>
      <c r="K293" s="8"/>
      <c r="L293" s="8"/>
      <c r="M293" s="8"/>
    </row>
    <row r="294" spans="1:13" x14ac:dyDescent="0.25">
      <c r="A294">
        <v>284</v>
      </c>
      <c r="D294" s="8"/>
      <c r="E294" s="22"/>
      <c r="F294" s="22"/>
      <c r="G294" s="22"/>
      <c r="H294" s="22"/>
      <c r="I294" s="22"/>
      <c r="J294" s="8"/>
      <c r="K294" s="8"/>
      <c r="L294" s="8"/>
      <c r="M294" s="8"/>
    </row>
    <row r="295" spans="1:13" x14ac:dyDescent="0.25">
      <c r="A295">
        <v>285</v>
      </c>
      <c r="B295" s="5">
        <v>41351</v>
      </c>
      <c r="C295" s="6" t="s">
        <v>198</v>
      </c>
      <c r="D295" s="8">
        <v>1.1992652046000001</v>
      </c>
      <c r="E295" s="22">
        <v>-1.6101036833333201E-5</v>
      </c>
      <c r="F295" s="22">
        <v>-1.4154711E-5</v>
      </c>
      <c r="G295" s="22">
        <v>3.7662603646832101E-6</v>
      </c>
      <c r="H295" s="22">
        <v>2.2708566480509499E-7</v>
      </c>
      <c r="I295" s="22">
        <v>4.4830681458140298E-10</v>
      </c>
      <c r="J295" s="45">
        <v>12</v>
      </c>
      <c r="K295" s="45">
        <v>1</v>
      </c>
      <c r="L295" s="8">
        <v>0.2</v>
      </c>
      <c r="M295" s="8">
        <v>10</v>
      </c>
    </row>
    <row r="296" spans="1:13" x14ac:dyDescent="0.25">
      <c r="A296">
        <v>286</v>
      </c>
      <c r="D296" s="8">
        <v>1.00029921454</v>
      </c>
      <c r="E296" s="22">
        <v>-1.48622915E-5</v>
      </c>
      <c r="F296" s="22">
        <v>-1.2061121500000099E-5</v>
      </c>
      <c r="G296" s="22">
        <v>6.7470444900919702E-6</v>
      </c>
      <c r="H296" s="22">
        <v>5.3378138262931799E-8</v>
      </c>
      <c r="I296" s="22">
        <v>4.4909659317359199E-10</v>
      </c>
      <c r="J296" s="45">
        <v>12</v>
      </c>
      <c r="K296" s="45">
        <v>1</v>
      </c>
      <c r="L296" s="8">
        <v>0.2</v>
      </c>
      <c r="M296" s="8">
        <v>10</v>
      </c>
    </row>
    <row r="297" spans="1:13" x14ac:dyDescent="0.25">
      <c r="A297">
        <v>287</v>
      </c>
      <c r="D297" s="8">
        <v>0.60044742726</v>
      </c>
      <c r="E297" s="22">
        <v>-1.19339826666667E-5</v>
      </c>
      <c r="F297" s="22">
        <v>-7.1743369333333601E-6</v>
      </c>
      <c r="G297" s="22">
        <v>5.0000323757331803E-7</v>
      </c>
      <c r="H297" s="22">
        <v>3.4377517355905099E-8</v>
      </c>
      <c r="I297" s="22">
        <v>5.7473842939387695E-10</v>
      </c>
      <c r="J297" s="45">
        <v>12</v>
      </c>
      <c r="K297" s="45">
        <v>1</v>
      </c>
      <c r="L297" s="8">
        <v>0.2</v>
      </c>
      <c r="M297" s="8">
        <v>10</v>
      </c>
    </row>
    <row r="298" spans="1:13" x14ac:dyDescent="0.25">
      <c r="A298">
        <v>288</v>
      </c>
      <c r="D298" s="8">
        <v>0.40058750069999999</v>
      </c>
      <c r="E298" s="22">
        <v>-9.5160623666666E-6</v>
      </c>
      <c r="F298" s="22">
        <v>-4.5092756666666698E-6</v>
      </c>
      <c r="G298" s="22">
        <v>3.8805170986804999E-7</v>
      </c>
      <c r="H298" s="22">
        <v>2.29323059362886E-10</v>
      </c>
      <c r="I298" s="22">
        <v>2.23252303807947E-8</v>
      </c>
      <c r="J298" s="45">
        <v>11</v>
      </c>
      <c r="K298" s="45">
        <v>1</v>
      </c>
      <c r="L298" s="8">
        <v>0.2</v>
      </c>
      <c r="M298" s="8">
        <v>10</v>
      </c>
    </row>
    <row r="299" spans="1:13" x14ac:dyDescent="0.25">
      <c r="A299">
        <v>289</v>
      </c>
      <c r="D299" s="8">
        <v>0.19999140792</v>
      </c>
      <c r="E299" s="22">
        <v>-5.6880933999999996E-6</v>
      </c>
      <c r="F299" s="22">
        <v>-2.0913032499999999E-6</v>
      </c>
      <c r="G299" s="22">
        <v>1.7079925721543499E-7</v>
      </c>
      <c r="H299" s="22">
        <v>6.0628931878875504E-8</v>
      </c>
      <c r="I299" s="22">
        <v>4.4466378706510801E-8</v>
      </c>
      <c r="J299" s="45">
        <v>11</v>
      </c>
      <c r="K299" s="45">
        <v>1</v>
      </c>
      <c r="L299" s="8">
        <v>0.2</v>
      </c>
      <c r="M299" s="8">
        <v>10</v>
      </c>
    </row>
    <row r="300" spans="1:13" x14ac:dyDescent="0.25">
      <c r="A300">
        <v>290</v>
      </c>
      <c r="D300" s="8">
        <v>0.10075397933999999</v>
      </c>
      <c r="E300" s="22">
        <v>-3.2010214833333299E-6</v>
      </c>
      <c r="F300" s="22">
        <v>-1.0490243833333399E-6</v>
      </c>
      <c r="G300" s="22">
        <v>7.7557494262275298E-8</v>
      </c>
      <c r="H300" s="22">
        <v>1.4438480678372001E-8</v>
      </c>
      <c r="I300" s="22">
        <v>1.1867408955014099E-9</v>
      </c>
      <c r="J300" s="8">
        <v>10</v>
      </c>
      <c r="K300" s="8">
        <v>1</v>
      </c>
      <c r="L300" s="8">
        <v>0.2</v>
      </c>
      <c r="M300" s="8">
        <v>10</v>
      </c>
    </row>
    <row r="301" spans="1:13" x14ac:dyDescent="0.25">
      <c r="A301">
        <v>291</v>
      </c>
      <c r="D301" s="8">
        <v>4.9539102135999998E-2</v>
      </c>
      <c r="E301" s="22">
        <v>-1.74689686666667E-6</v>
      </c>
      <c r="F301" s="22">
        <v>-4.4888552875E-7</v>
      </c>
      <c r="G301" s="22">
        <v>3.8201508326494503E-8</v>
      </c>
      <c r="H301" s="22">
        <v>1.3620201477039699E-7</v>
      </c>
      <c r="I301" s="22">
        <v>1.05179107460903E-7</v>
      </c>
      <c r="J301" s="8">
        <v>9</v>
      </c>
      <c r="K301" s="8">
        <v>1</v>
      </c>
      <c r="L301" s="8">
        <v>0.2</v>
      </c>
      <c r="M301" s="8">
        <v>10</v>
      </c>
    </row>
    <row r="302" spans="1:13" x14ac:dyDescent="0.25">
      <c r="A302">
        <v>292</v>
      </c>
      <c r="D302" s="8">
        <v>4.9569095434000003E-2</v>
      </c>
      <c r="E302" s="22">
        <v>-1.6922812000000001E-6</v>
      </c>
      <c r="F302" s="22">
        <v>-4.9425030500000002E-7</v>
      </c>
      <c r="G302" s="22">
        <v>4.2210817653760203E-8</v>
      </c>
      <c r="H302" s="22">
        <v>2.7348403357904898E-8</v>
      </c>
      <c r="I302" s="22">
        <v>2.7342912068431399E-8</v>
      </c>
      <c r="J302" s="8">
        <v>9</v>
      </c>
      <c r="K302" s="8">
        <v>1</v>
      </c>
      <c r="L302" s="8">
        <v>0.2</v>
      </c>
      <c r="M302" s="8">
        <v>10</v>
      </c>
    </row>
    <row r="303" spans="1:13" x14ac:dyDescent="0.25">
      <c r="A303">
        <v>293</v>
      </c>
      <c r="D303" s="8">
        <v>4.9593216968000002E-2</v>
      </c>
      <c r="E303" s="22">
        <v>-1.6952835999999999E-6</v>
      </c>
      <c r="F303" s="22">
        <v>-4.9073616166666703E-7</v>
      </c>
      <c r="G303" s="22">
        <v>2.2380661544056999E-8</v>
      </c>
      <c r="H303" s="22">
        <v>2.9306739703351501E-8</v>
      </c>
      <c r="I303" s="22">
        <v>2.2902224014977201E-8</v>
      </c>
      <c r="J303" s="8">
        <v>9</v>
      </c>
      <c r="K303" s="8">
        <v>1</v>
      </c>
      <c r="L303" s="8">
        <v>0.2</v>
      </c>
      <c r="M303" s="8">
        <v>10</v>
      </c>
    </row>
    <row r="304" spans="1:13" x14ac:dyDescent="0.25">
      <c r="A304">
        <v>294</v>
      </c>
      <c r="D304" s="8">
        <v>1.663384435E-2</v>
      </c>
      <c r="E304" s="22">
        <v>-6.0815765666666605E-7</v>
      </c>
      <c r="F304" s="22">
        <v>-1.64856445E-7</v>
      </c>
      <c r="G304" s="22">
        <v>5.8783400380822902E-8</v>
      </c>
      <c r="H304" s="22">
        <v>1.9217416679983902E-8</v>
      </c>
      <c r="I304" s="22">
        <v>1.68132135053646E-8</v>
      </c>
      <c r="J304" s="8">
        <v>8</v>
      </c>
      <c r="K304" s="8">
        <v>1</v>
      </c>
      <c r="L304" s="8">
        <v>0.2</v>
      </c>
      <c r="M304" s="8">
        <v>10</v>
      </c>
    </row>
    <row r="305" spans="1:13" x14ac:dyDescent="0.25">
      <c r="A305">
        <v>295</v>
      </c>
      <c r="D305" s="8">
        <v>1.6786477134E-2</v>
      </c>
      <c r="E305" s="22">
        <v>-6.1597952333333304E-7</v>
      </c>
      <c r="F305" s="22">
        <v>-1.7234033499999999E-7</v>
      </c>
      <c r="G305" s="22">
        <v>1.0699103811305201E-7</v>
      </c>
      <c r="H305" s="22">
        <v>1.69465446151358E-8</v>
      </c>
      <c r="I305" s="22">
        <v>1.8006669562214301E-8</v>
      </c>
      <c r="J305" s="8">
        <v>8</v>
      </c>
      <c r="K305" s="8">
        <v>1</v>
      </c>
      <c r="L305" s="8">
        <v>0.2</v>
      </c>
      <c r="M305" s="8">
        <v>10</v>
      </c>
    </row>
    <row r="306" spans="1:13" x14ac:dyDescent="0.25">
      <c r="A306">
        <v>296</v>
      </c>
      <c r="D306" s="8">
        <v>1.6786508338000002E-2</v>
      </c>
      <c r="E306" s="22">
        <v>-6.00465328333333E-7</v>
      </c>
      <c r="F306" s="22">
        <v>-1.8091934666666601E-7</v>
      </c>
      <c r="G306" s="22">
        <v>1.11613550647311E-7</v>
      </c>
      <c r="H306" s="22">
        <v>1.7804861878352101E-8</v>
      </c>
      <c r="I306" s="22">
        <v>1.95623133918211E-8</v>
      </c>
      <c r="J306" s="8">
        <v>8</v>
      </c>
      <c r="K306" s="8">
        <v>1</v>
      </c>
      <c r="L306" s="8">
        <v>0.2</v>
      </c>
      <c r="M306" s="8">
        <v>10</v>
      </c>
    </row>
    <row r="307" spans="1:13" x14ac:dyDescent="0.25">
      <c r="A307">
        <v>297</v>
      </c>
      <c r="D307" s="8">
        <v>1.6784893703999999E-2</v>
      </c>
      <c r="E307" s="22">
        <v>-6.1181387833333304E-7</v>
      </c>
      <c r="F307" s="22">
        <v>-1.6766449666666701E-7</v>
      </c>
      <c r="G307" s="22">
        <v>1.3314825827337801E-7</v>
      </c>
      <c r="H307" s="22">
        <v>1.8601269339847001E-8</v>
      </c>
      <c r="I307" s="22">
        <v>1.6579228921253302E-8</v>
      </c>
      <c r="J307" s="8">
        <v>8</v>
      </c>
      <c r="K307" s="8">
        <v>1</v>
      </c>
      <c r="L307" s="8">
        <v>0.2</v>
      </c>
      <c r="M307" s="8">
        <v>10</v>
      </c>
    </row>
    <row r="308" spans="1:13" x14ac:dyDescent="0.25">
      <c r="A308">
        <v>298</v>
      </c>
      <c r="D308" s="8">
        <v>1.6787214330000001E-2</v>
      </c>
      <c r="E308" s="22">
        <v>-6.1855054000000004E-7</v>
      </c>
      <c r="F308" s="22">
        <v>-1.63691511666667E-7</v>
      </c>
      <c r="G308" s="22">
        <v>8.1593131713599497E-8</v>
      </c>
      <c r="H308" s="22">
        <v>2.1431765961653E-8</v>
      </c>
      <c r="I308" s="22">
        <v>2.03161488534744E-8</v>
      </c>
      <c r="J308" s="8">
        <v>8</v>
      </c>
      <c r="K308" s="8">
        <v>1</v>
      </c>
      <c r="L308" s="8">
        <v>0.2</v>
      </c>
      <c r="M308" s="8">
        <v>10</v>
      </c>
    </row>
    <row r="309" spans="1:13" x14ac:dyDescent="0.25">
      <c r="A309">
        <v>299</v>
      </c>
      <c r="D309" s="8" t="s">
        <v>200</v>
      </c>
      <c r="E309" s="8"/>
      <c r="F309" s="8"/>
      <c r="G309" s="8"/>
      <c r="H309" s="8"/>
      <c r="I309" s="8"/>
      <c r="J309" s="8"/>
      <c r="K309" s="8"/>
      <c r="L309" s="8"/>
      <c r="M309" s="8"/>
    </row>
    <row r="310" spans="1:13" x14ac:dyDescent="0.25">
      <c r="A310">
        <v>300</v>
      </c>
      <c r="B310" s="5">
        <v>41352</v>
      </c>
      <c r="C310" s="6" t="s">
        <v>198</v>
      </c>
      <c r="D310" s="8">
        <v>1.1995428972</v>
      </c>
      <c r="E310" s="22">
        <v>-1.55499034999999E-5</v>
      </c>
      <c r="F310" s="22">
        <v>-1.4290845833333299E-5</v>
      </c>
      <c r="G310" s="22">
        <v>2.9515571138124998E-6</v>
      </c>
      <c r="H310" s="22">
        <v>4.4759105218868301E-10</v>
      </c>
      <c r="I310" s="22">
        <v>1.2123304162908301E-7</v>
      </c>
      <c r="J310" s="45">
        <v>12</v>
      </c>
      <c r="K310" s="45">
        <v>1</v>
      </c>
      <c r="L310" s="8">
        <v>0.2</v>
      </c>
      <c r="M310" s="8">
        <v>10</v>
      </c>
    </row>
    <row r="311" spans="1:13" x14ac:dyDescent="0.25">
      <c r="A311">
        <v>301</v>
      </c>
      <c r="D311" s="8">
        <v>1.0003294061400001</v>
      </c>
      <c r="E311" s="22">
        <v>-1.5198726333333299E-5</v>
      </c>
      <c r="F311" s="22">
        <v>-1.20617031666667E-5</v>
      </c>
      <c r="G311" s="22">
        <v>1.46932028303586E-5</v>
      </c>
      <c r="H311" s="22">
        <v>3.2549316143336902E-7</v>
      </c>
      <c r="I311" s="22">
        <v>2.3029198796794299E-9</v>
      </c>
      <c r="J311" s="45">
        <v>12</v>
      </c>
      <c r="K311" s="45">
        <v>1</v>
      </c>
      <c r="L311" s="8">
        <v>0.2</v>
      </c>
      <c r="M311" s="8">
        <v>10</v>
      </c>
    </row>
    <row r="312" spans="1:13" x14ac:dyDescent="0.25">
      <c r="A312">
        <v>302</v>
      </c>
      <c r="D312" s="8">
        <v>0.60028256440000005</v>
      </c>
      <c r="E312" s="22">
        <v>-1.1362602000000001E-5</v>
      </c>
      <c r="F312" s="22">
        <v>-7.1739859333333599E-6</v>
      </c>
      <c r="G312" s="22">
        <v>5.8159616038588599E-7</v>
      </c>
      <c r="H312" s="22">
        <v>4.4743267650019301E-10</v>
      </c>
      <c r="I312" s="22">
        <v>1.7012155836994999E-9</v>
      </c>
      <c r="J312" s="45">
        <v>12</v>
      </c>
      <c r="K312" s="45">
        <v>1</v>
      </c>
      <c r="L312" s="8">
        <v>0.2</v>
      </c>
      <c r="M312" s="8">
        <v>10</v>
      </c>
    </row>
    <row r="313" spans="1:13" x14ac:dyDescent="0.25">
      <c r="A313">
        <v>303</v>
      </c>
      <c r="D313" s="8">
        <v>0.39969021253999998</v>
      </c>
      <c r="E313" s="22">
        <v>-9.3147328833333404E-6</v>
      </c>
      <c r="F313" s="22">
        <v>-4.4910062833333302E-6</v>
      </c>
      <c r="G313" s="22">
        <v>4.1185893530060203E-7</v>
      </c>
      <c r="H313" s="22">
        <v>7.7713427676215601E-8</v>
      </c>
      <c r="I313" s="22">
        <v>2.5053192445003699E-8</v>
      </c>
      <c r="J313" s="8">
        <v>11</v>
      </c>
      <c r="K313" s="8">
        <v>1</v>
      </c>
      <c r="L313" s="8">
        <v>0.2</v>
      </c>
      <c r="M313" s="8">
        <v>10</v>
      </c>
    </row>
    <row r="314" spans="1:13" x14ac:dyDescent="0.25">
      <c r="A314">
        <v>304</v>
      </c>
      <c r="D314" s="8">
        <v>0.2012841735</v>
      </c>
      <c r="E314" s="22">
        <v>-5.5970863999999898E-6</v>
      </c>
      <c r="F314" s="22">
        <v>-2.1973730500000002E-6</v>
      </c>
      <c r="G314" s="22">
        <v>2.0270492460525499E-7</v>
      </c>
      <c r="H314" s="22">
        <v>3.0705886900940202E-8</v>
      </c>
      <c r="I314" s="22">
        <v>7.32323076735774E-8</v>
      </c>
      <c r="J314" s="8">
        <v>11</v>
      </c>
      <c r="K314" s="8">
        <v>1</v>
      </c>
      <c r="L314" s="8">
        <v>0.2</v>
      </c>
      <c r="M314" s="8">
        <v>10</v>
      </c>
    </row>
    <row r="315" spans="1:13" x14ac:dyDescent="0.25">
      <c r="A315">
        <v>305</v>
      </c>
      <c r="D315" s="8">
        <v>0.10046620316</v>
      </c>
      <c r="E315" s="22">
        <v>-3.1908316666666601E-6</v>
      </c>
      <c r="F315" s="22">
        <v>-1.049667E-6</v>
      </c>
      <c r="G315" s="22">
        <v>7.9396577766556301E-8</v>
      </c>
      <c r="H315" s="22">
        <v>2.16391127642106E-8</v>
      </c>
      <c r="I315" s="22">
        <v>1.8889243852873602E-9</v>
      </c>
      <c r="J315" s="8">
        <v>10</v>
      </c>
      <c r="K315" s="8">
        <v>1</v>
      </c>
      <c r="L315" s="8">
        <v>0.2</v>
      </c>
      <c r="M315" s="8">
        <v>10</v>
      </c>
    </row>
    <row r="316" spans="1:13" x14ac:dyDescent="0.25">
      <c r="A316">
        <v>306</v>
      </c>
      <c r="D316" s="8">
        <v>5.0023405004000002E-2</v>
      </c>
      <c r="E316" s="22">
        <v>-1.68571026666667E-6</v>
      </c>
      <c r="F316" s="22">
        <v>-5.2822122833333405E-7</v>
      </c>
      <c r="G316" s="22">
        <v>4.1142245240969903E-8</v>
      </c>
      <c r="H316" s="22">
        <v>1.12714436560993E-7</v>
      </c>
      <c r="I316" s="22">
        <v>6.3189948630613206E-8</v>
      </c>
      <c r="J316" s="8">
        <v>9</v>
      </c>
      <c r="K316" s="8">
        <v>1</v>
      </c>
      <c r="L316" s="8">
        <v>0.2</v>
      </c>
      <c r="M316" s="8">
        <v>10</v>
      </c>
    </row>
    <row r="317" spans="1:13" x14ac:dyDescent="0.25">
      <c r="A317">
        <v>307</v>
      </c>
      <c r="D317" s="8">
        <v>5.0048562852000003E-2</v>
      </c>
      <c r="E317" s="22">
        <v>-1.7082917999999999E-6</v>
      </c>
      <c r="F317" s="22">
        <v>-4.9810678333333402E-7</v>
      </c>
      <c r="G317" s="22">
        <v>2.04368290258887E-8</v>
      </c>
      <c r="H317" s="22">
        <v>3.1202985195223502E-8</v>
      </c>
      <c r="I317" s="22">
        <v>4.3773164279038802E-8</v>
      </c>
      <c r="J317" s="8">
        <v>9</v>
      </c>
      <c r="K317" s="8">
        <v>1</v>
      </c>
      <c r="L317" s="8">
        <v>0.2</v>
      </c>
      <c r="M317" s="8">
        <v>10</v>
      </c>
    </row>
    <row r="318" spans="1:13" x14ac:dyDescent="0.25">
      <c r="A318">
        <v>308</v>
      </c>
      <c r="D318" s="8">
        <v>5.0069924336E-2</v>
      </c>
      <c r="E318" s="22">
        <v>-1.7295436166666699E-6</v>
      </c>
      <c r="F318" s="22">
        <v>-4.899475E-7</v>
      </c>
      <c r="G318" s="22">
        <v>3.2425303355528403E-8</v>
      </c>
      <c r="H318" s="22">
        <v>2.6496424955448698E-8</v>
      </c>
      <c r="I318" s="22">
        <v>1.7675015768498401E-8</v>
      </c>
      <c r="J318" s="8">
        <v>9</v>
      </c>
      <c r="K318" s="8">
        <v>1</v>
      </c>
      <c r="L318" s="8">
        <v>0.2</v>
      </c>
      <c r="M318" s="8">
        <v>10</v>
      </c>
    </row>
    <row r="319" spans="1:13" x14ac:dyDescent="0.25">
      <c r="A319">
        <v>309</v>
      </c>
      <c r="D319" s="8">
        <v>1.3007514966E-2</v>
      </c>
      <c r="E319" s="22">
        <v>-4.68963643333333E-7</v>
      </c>
      <c r="F319" s="22">
        <v>-1.24264003833333E-7</v>
      </c>
      <c r="G319" s="22">
        <v>5.72857937146196E-8</v>
      </c>
      <c r="H319" s="22">
        <v>2.0822935210470601E-8</v>
      </c>
      <c r="I319" s="22">
        <v>2.0595499210075001E-8</v>
      </c>
      <c r="J319" s="8">
        <v>8</v>
      </c>
      <c r="K319" s="8">
        <v>1</v>
      </c>
      <c r="L319" s="8">
        <v>0.2</v>
      </c>
      <c r="M319" s="8">
        <v>10</v>
      </c>
    </row>
    <row r="320" spans="1:13" x14ac:dyDescent="0.25">
      <c r="A320">
        <v>310</v>
      </c>
      <c r="D320" s="8">
        <v>1.3010896706000001E-2</v>
      </c>
      <c r="E320" s="22">
        <v>-4.8182565833333297E-7</v>
      </c>
      <c r="F320" s="22">
        <v>-1.36150694333333E-7</v>
      </c>
      <c r="G320" s="22">
        <v>8.3477420516488598E-8</v>
      </c>
      <c r="H320" s="22">
        <v>3.03990089749364E-8</v>
      </c>
      <c r="I320" s="22">
        <v>2.3602186231154499E-8</v>
      </c>
      <c r="J320" s="8">
        <v>8</v>
      </c>
      <c r="K320" s="8">
        <v>1</v>
      </c>
      <c r="L320" s="8">
        <v>0.2</v>
      </c>
      <c r="M320" s="8">
        <v>10</v>
      </c>
    </row>
    <row r="321" spans="1:13" x14ac:dyDescent="0.25">
      <c r="A321">
        <v>311</v>
      </c>
      <c r="D321" s="8">
        <v>1.3014443331999999E-2</v>
      </c>
      <c r="E321" s="22">
        <v>-4.7436241166666599E-7</v>
      </c>
      <c r="F321" s="22">
        <v>-1.18749052E-7</v>
      </c>
      <c r="G321" s="22">
        <v>3.5653226840855497E-8</v>
      </c>
      <c r="H321" s="22">
        <v>2.3862007258168E-8</v>
      </c>
      <c r="I321" s="22">
        <v>1.8608415782019099E-8</v>
      </c>
      <c r="J321" s="8">
        <v>7</v>
      </c>
      <c r="K321" s="8">
        <v>1</v>
      </c>
      <c r="L321" s="8">
        <v>0.2</v>
      </c>
      <c r="M321" s="8">
        <v>10</v>
      </c>
    </row>
    <row r="322" spans="1:13" x14ac:dyDescent="0.25">
      <c r="A322">
        <v>312</v>
      </c>
      <c r="D322" s="8">
        <v>1.301970608E-2</v>
      </c>
      <c r="E322" s="22">
        <v>-4.7318054999999999E-7</v>
      </c>
      <c r="F322" s="22">
        <v>-1.20789908333333E-7</v>
      </c>
      <c r="G322" s="22">
        <v>1.08467069235045E-7</v>
      </c>
      <c r="H322" s="22">
        <v>2.6151741097503099E-8</v>
      </c>
      <c r="I322" s="22">
        <v>1.7502757340461101E-8</v>
      </c>
      <c r="J322" s="8">
        <v>7</v>
      </c>
      <c r="K322" s="8">
        <v>1</v>
      </c>
      <c r="L322" s="8">
        <v>0.2</v>
      </c>
      <c r="M322" s="8">
        <v>10</v>
      </c>
    </row>
    <row r="323" spans="1:13" x14ac:dyDescent="0.25">
      <c r="A323">
        <v>313</v>
      </c>
      <c r="D323" s="8">
        <v>1.3017963174000001E-2</v>
      </c>
      <c r="E323" s="22">
        <v>-4.6957930500000002E-7</v>
      </c>
      <c r="F323" s="22">
        <v>-1.3318040333333299E-7</v>
      </c>
      <c r="G323" s="22">
        <v>6.5506586882011503E-8</v>
      </c>
      <c r="H323" s="22">
        <v>2.43872178395153E-8</v>
      </c>
      <c r="I323" s="22">
        <v>2.4430534738324E-8</v>
      </c>
      <c r="J323" s="8">
        <v>7</v>
      </c>
      <c r="K323" s="8">
        <v>1</v>
      </c>
      <c r="L323" s="8">
        <v>0.2</v>
      </c>
      <c r="M323" s="8">
        <v>10</v>
      </c>
    </row>
    <row r="324" spans="1:13" x14ac:dyDescent="0.25">
      <c r="A324">
        <v>314</v>
      </c>
      <c r="D324" s="8">
        <v>1.302599498E-2</v>
      </c>
      <c r="E324" s="22">
        <v>-4.68340236666667E-7</v>
      </c>
      <c r="F324" s="22">
        <v>-1.2712171083333301E-7</v>
      </c>
      <c r="G324" s="22">
        <v>7.1406435509861001E-8</v>
      </c>
      <c r="H324" s="22">
        <v>2.9203426832376899E-8</v>
      </c>
      <c r="I324" s="22">
        <v>2.7194917128697001E-8</v>
      </c>
      <c r="J324" s="8">
        <v>7</v>
      </c>
      <c r="K324" s="8">
        <v>1</v>
      </c>
      <c r="L324" s="8">
        <v>0.2</v>
      </c>
      <c r="M324" s="8">
        <v>10</v>
      </c>
    </row>
    <row r="325" spans="1:13" x14ac:dyDescent="0.25">
      <c r="A325">
        <v>315</v>
      </c>
      <c r="C325" s="8" t="s">
        <v>201</v>
      </c>
    </row>
    <row r="326" spans="1:13" x14ac:dyDescent="0.25">
      <c r="A326">
        <v>316</v>
      </c>
      <c r="C326" s="8" t="s">
        <v>202</v>
      </c>
    </row>
    <row r="327" spans="1:13" x14ac:dyDescent="0.25">
      <c r="A327">
        <v>317</v>
      </c>
      <c r="E327" s="1"/>
      <c r="F327" s="1"/>
      <c r="G327" s="1"/>
      <c r="H327" s="1"/>
      <c r="I327" s="1"/>
    </row>
    <row r="328" spans="1:13" x14ac:dyDescent="0.25">
      <c r="A328">
        <v>318</v>
      </c>
      <c r="B328" s="2" t="s">
        <v>2</v>
      </c>
      <c r="C328" s="2" t="s">
        <v>3</v>
      </c>
      <c r="D328" s="3" t="s">
        <v>4</v>
      </c>
      <c r="E328" s="4" t="s">
        <v>5</v>
      </c>
      <c r="F328" s="4" t="s">
        <v>6</v>
      </c>
      <c r="G328" s="4" t="s">
        <v>7</v>
      </c>
      <c r="H328" s="4" t="s">
        <v>8</v>
      </c>
      <c r="I328" s="4" t="s">
        <v>9</v>
      </c>
      <c r="J328" s="4" t="s">
        <v>176</v>
      </c>
      <c r="K328" s="4" t="s">
        <v>176</v>
      </c>
    </row>
    <row r="329" spans="1:13" x14ac:dyDescent="0.25">
      <c r="A329">
        <v>319</v>
      </c>
      <c r="D329" s="3" t="s">
        <v>10</v>
      </c>
      <c r="E329" s="4" t="s">
        <v>11</v>
      </c>
      <c r="F329" s="4" t="s">
        <v>11</v>
      </c>
      <c r="G329" s="4" t="s">
        <v>12</v>
      </c>
      <c r="H329" s="4" t="s">
        <v>11</v>
      </c>
      <c r="I329" s="4" t="s">
        <v>11</v>
      </c>
      <c r="J329" s="4" t="s">
        <v>177</v>
      </c>
      <c r="K329" s="4" t="s">
        <v>178</v>
      </c>
      <c r="L329" s="2" t="s">
        <v>4</v>
      </c>
      <c r="M329" s="2" t="s">
        <v>13</v>
      </c>
    </row>
    <row r="330" spans="1:13" x14ac:dyDescent="0.25">
      <c r="A330">
        <v>320</v>
      </c>
      <c r="B330" s="5">
        <v>41352</v>
      </c>
      <c r="C330" s="6" t="s">
        <v>14</v>
      </c>
      <c r="D330">
        <v>1.1994934799999999</v>
      </c>
      <c r="E330" s="1">
        <v>-1.31727945000001E-5</v>
      </c>
      <c r="F330" s="1">
        <v>-1.2455668000000001E-5</v>
      </c>
      <c r="G330" s="1">
        <v>2.1393031775693802E-6</v>
      </c>
      <c r="H330" s="1">
        <v>2.7589807900753399E-10</v>
      </c>
      <c r="I330" s="1">
        <v>3.2963115386747001E-8</v>
      </c>
      <c r="J330">
        <v>12</v>
      </c>
      <c r="K330">
        <v>1</v>
      </c>
      <c r="L330">
        <v>0.2</v>
      </c>
      <c r="M330">
        <v>10</v>
      </c>
    </row>
    <row r="331" spans="1:13" x14ac:dyDescent="0.25">
      <c r="A331">
        <v>321</v>
      </c>
      <c r="D331">
        <v>1.0003655934</v>
      </c>
      <c r="E331" s="1">
        <v>-1.18499233333333E-5</v>
      </c>
      <c r="F331" s="1">
        <v>-1.03809538333333E-5</v>
      </c>
      <c r="G331" s="1">
        <v>1.86694924077333E-6</v>
      </c>
      <c r="H331" s="1">
        <v>1.3302401282809401E-7</v>
      </c>
      <c r="I331" s="1">
        <v>1.23216015147746E-9</v>
      </c>
      <c r="J331">
        <v>12</v>
      </c>
      <c r="K331">
        <v>1</v>
      </c>
      <c r="L331">
        <v>0.2</v>
      </c>
      <c r="M331">
        <v>10</v>
      </c>
    </row>
    <row r="332" spans="1:13" x14ac:dyDescent="0.25">
      <c r="A332">
        <v>322</v>
      </c>
      <c r="D332">
        <v>0.60037394791999998</v>
      </c>
      <c r="E332" s="1">
        <v>-9.6866216666666803E-6</v>
      </c>
      <c r="F332" s="1">
        <v>-5.5879600000000697E-6</v>
      </c>
      <c r="G332" s="1">
        <v>7.2795561010460801E-7</v>
      </c>
      <c r="H332" s="1">
        <v>4.7376396959761701E-9</v>
      </c>
      <c r="I332" s="1">
        <v>7.4538899358378406E-20</v>
      </c>
      <c r="J332">
        <v>12</v>
      </c>
      <c r="K332">
        <v>1</v>
      </c>
      <c r="L332">
        <v>0.2</v>
      </c>
      <c r="M332">
        <v>10</v>
      </c>
    </row>
    <row r="333" spans="1:13" x14ac:dyDescent="0.25">
      <c r="A333">
        <v>323</v>
      </c>
      <c r="D333">
        <v>0.40069161024</v>
      </c>
      <c r="E333" s="1">
        <v>-7.8057598166666503E-6</v>
      </c>
      <c r="F333" s="1">
        <v>-3.5402547833333301E-6</v>
      </c>
      <c r="G333" s="1">
        <v>3.9218283598983801E-7</v>
      </c>
      <c r="H333" s="1">
        <v>2.4885604040617299E-8</v>
      </c>
      <c r="I333" s="1">
        <v>4.9131370337966203E-8</v>
      </c>
      <c r="J333">
        <v>11</v>
      </c>
      <c r="K333">
        <v>1</v>
      </c>
      <c r="L333">
        <v>0.2</v>
      </c>
      <c r="M333">
        <v>10</v>
      </c>
    </row>
    <row r="334" spans="1:13" x14ac:dyDescent="0.25">
      <c r="A334">
        <v>324</v>
      </c>
      <c r="D334">
        <v>0.20017243256</v>
      </c>
      <c r="E334" s="1">
        <v>-4.5092372833333403E-6</v>
      </c>
      <c r="F334" s="1">
        <v>-1.74354431666666E-6</v>
      </c>
      <c r="G334" s="1">
        <v>2.3261028877125799E-7</v>
      </c>
      <c r="H334" s="1">
        <v>6.3426459347070002E-9</v>
      </c>
      <c r="I334" s="1">
        <v>1.38542864596326E-9</v>
      </c>
      <c r="J334">
        <v>10</v>
      </c>
      <c r="K334">
        <v>1</v>
      </c>
      <c r="L334">
        <v>0.2</v>
      </c>
      <c r="M334">
        <v>10</v>
      </c>
    </row>
    <row r="335" spans="1:13" x14ac:dyDescent="0.25">
      <c r="A335">
        <v>325</v>
      </c>
      <c r="D335">
        <v>0.10026776462000001</v>
      </c>
      <c r="E335" s="1">
        <v>-2.4937842166666701E-6</v>
      </c>
      <c r="F335" s="1">
        <v>-8.3418796666666698E-7</v>
      </c>
      <c r="G335" s="1">
        <v>1.0076749870153401E-7</v>
      </c>
      <c r="H335" s="1">
        <v>1.37461645855804E-7</v>
      </c>
      <c r="I335" s="1">
        <v>7.20886190897395E-8</v>
      </c>
      <c r="J335">
        <v>10</v>
      </c>
      <c r="K335">
        <v>1</v>
      </c>
      <c r="L335">
        <v>0.2</v>
      </c>
      <c r="M335">
        <v>10</v>
      </c>
    </row>
    <row r="336" spans="1:13" x14ac:dyDescent="0.25">
      <c r="A336">
        <v>326</v>
      </c>
      <c r="D336">
        <v>5.0416513269999998E-2</v>
      </c>
      <c r="E336" s="1">
        <v>-1.3327521666666599E-6</v>
      </c>
      <c r="F336" s="1">
        <v>-4.3768592666666601E-7</v>
      </c>
      <c r="G336" s="1">
        <v>3.6831218134069299E-8</v>
      </c>
      <c r="H336" s="1">
        <v>1.4494697523769E-8</v>
      </c>
      <c r="I336" s="1">
        <v>8.7441098110645704E-9</v>
      </c>
      <c r="J336">
        <v>9</v>
      </c>
      <c r="K336">
        <v>1</v>
      </c>
      <c r="L336">
        <v>0.2</v>
      </c>
      <c r="M336">
        <v>10</v>
      </c>
    </row>
    <row r="337" spans="1:13" x14ac:dyDescent="0.25">
      <c r="A337">
        <v>327</v>
      </c>
      <c r="D337">
        <v>1.6803832452000001E-2</v>
      </c>
      <c r="E337" s="1">
        <v>-4.48639885166667E-7</v>
      </c>
      <c r="F337" s="1">
        <v>-1.5051960900000001E-7</v>
      </c>
      <c r="G337" s="1">
        <v>5.67125149890297E-8</v>
      </c>
      <c r="H337" s="1">
        <v>8.88978296325982E-8</v>
      </c>
      <c r="I337" s="1">
        <v>9.2611810651252394E-8</v>
      </c>
      <c r="J337">
        <v>8</v>
      </c>
      <c r="K337">
        <v>1</v>
      </c>
      <c r="L337">
        <v>0.2</v>
      </c>
      <c r="M337">
        <v>10</v>
      </c>
    </row>
    <row r="338" spans="1:13" x14ac:dyDescent="0.25">
      <c r="A338">
        <v>328</v>
      </c>
      <c r="D338">
        <v>1.6803898944000001E-2</v>
      </c>
      <c r="E338" s="1">
        <v>-4.7054649499999998E-7</v>
      </c>
      <c r="F338" s="1">
        <v>-1.2302655500000001E-7</v>
      </c>
      <c r="G338" s="1">
        <v>9.6004715019012796E-8</v>
      </c>
      <c r="H338" s="1">
        <v>1.92364535708459E-8</v>
      </c>
      <c r="I338" s="1">
        <v>2.0885130175926801E-8</v>
      </c>
      <c r="J338">
        <v>7</v>
      </c>
      <c r="K338">
        <v>1</v>
      </c>
      <c r="L338">
        <v>0.2</v>
      </c>
      <c r="M338">
        <v>10</v>
      </c>
    </row>
    <row r="339" spans="1:13" x14ac:dyDescent="0.25">
      <c r="A339">
        <v>329</v>
      </c>
      <c r="D339">
        <v>1.6821431596000001E-2</v>
      </c>
      <c r="E339" s="1">
        <v>-4.6031097E-7</v>
      </c>
      <c r="F339" s="1">
        <v>-1.2639210633333301E-7</v>
      </c>
      <c r="G339" s="1">
        <v>6.8134768367331494E-8</v>
      </c>
      <c r="H339" s="1">
        <v>1.9864373136323701E-8</v>
      </c>
      <c r="I339" s="1">
        <v>1.9524172116213399E-8</v>
      </c>
      <c r="J339">
        <v>7</v>
      </c>
      <c r="K339">
        <v>1</v>
      </c>
      <c r="L339">
        <v>0.2</v>
      </c>
      <c r="M339">
        <v>10</v>
      </c>
    </row>
    <row r="340" spans="1:13" x14ac:dyDescent="0.25">
      <c r="A340">
        <v>330</v>
      </c>
    </row>
    <row r="341" spans="1:13" x14ac:dyDescent="0.25">
      <c r="A341">
        <v>331</v>
      </c>
      <c r="C341" s="6" t="s">
        <v>198</v>
      </c>
      <c r="D341">
        <v>1.1988964771999999</v>
      </c>
      <c r="E341" s="1">
        <v>-1.48523244999999E-5</v>
      </c>
      <c r="F341" s="1">
        <v>-1.36847861666667E-5</v>
      </c>
      <c r="G341" s="1">
        <v>1.9556888677949998E-6</v>
      </c>
      <c r="H341" s="1">
        <v>4.4927691906008801E-10</v>
      </c>
      <c r="I341" s="1">
        <v>8.7567362786060494E-8</v>
      </c>
      <c r="J341" s="42">
        <v>12</v>
      </c>
      <c r="K341" s="42">
        <v>1</v>
      </c>
      <c r="L341">
        <v>0.2</v>
      </c>
      <c r="M341">
        <v>10</v>
      </c>
    </row>
    <row r="342" spans="1:13" x14ac:dyDescent="0.25">
      <c r="A342">
        <v>332</v>
      </c>
      <c r="D342">
        <v>1.0016697738</v>
      </c>
      <c r="E342" s="1">
        <v>-1.3488232833333401E-5</v>
      </c>
      <c r="F342" s="1">
        <v>-1.17286611666667E-5</v>
      </c>
      <c r="G342" s="1">
        <v>3.89641318261105E-7</v>
      </c>
      <c r="H342" s="1">
        <v>3.1571078093283802E-8</v>
      </c>
      <c r="I342" s="1">
        <v>6.9746776809437897E-8</v>
      </c>
      <c r="J342" s="42">
        <v>12</v>
      </c>
      <c r="K342" s="42">
        <v>1</v>
      </c>
      <c r="L342">
        <v>0.2</v>
      </c>
      <c r="M342">
        <v>10</v>
      </c>
    </row>
    <row r="343" spans="1:13" x14ac:dyDescent="0.25">
      <c r="A343">
        <v>333</v>
      </c>
      <c r="D343">
        <v>0.60029752709999995</v>
      </c>
      <c r="E343" s="1">
        <v>-1.12126176666667E-5</v>
      </c>
      <c r="F343" s="1">
        <v>-6.9737919666666504E-6</v>
      </c>
      <c r="G343" s="1">
        <v>5.2410587314674603E-7</v>
      </c>
      <c r="H343" s="1">
        <v>3.6977657955702002E-8</v>
      </c>
      <c r="I343" s="1">
        <v>8.5481356329255306E-9</v>
      </c>
      <c r="J343">
        <v>12</v>
      </c>
      <c r="K343">
        <v>1</v>
      </c>
      <c r="L343">
        <v>0.2</v>
      </c>
      <c r="M343">
        <v>10</v>
      </c>
    </row>
    <row r="344" spans="1:13" x14ac:dyDescent="0.25">
      <c r="A344">
        <v>334</v>
      </c>
      <c r="D344">
        <v>0.40017397974000002</v>
      </c>
      <c r="E344" s="1">
        <v>-9.0143826500000195E-6</v>
      </c>
      <c r="F344" s="1">
        <v>-4.3097225666666602E-6</v>
      </c>
      <c r="G344" s="1">
        <v>2.4864094695815501E-7</v>
      </c>
      <c r="H344" s="1">
        <v>6.28661332866643E-9</v>
      </c>
      <c r="I344" s="1">
        <v>5.0038990977825302E-8</v>
      </c>
      <c r="J344">
        <v>11</v>
      </c>
      <c r="K344">
        <v>1</v>
      </c>
      <c r="L344">
        <v>0.2</v>
      </c>
      <c r="M344">
        <v>10</v>
      </c>
    </row>
    <row r="345" spans="1:13" x14ac:dyDescent="0.25">
      <c r="A345">
        <v>335</v>
      </c>
      <c r="D345">
        <v>0.20031669837999999</v>
      </c>
      <c r="E345" s="1">
        <v>-5.3944749166666698E-6</v>
      </c>
      <c r="F345" s="1">
        <v>-1.9832254833333398E-6</v>
      </c>
      <c r="G345" s="1">
        <v>1.58482367977507E-7</v>
      </c>
      <c r="H345" s="1">
        <v>1.07397921649628E-7</v>
      </c>
      <c r="I345" s="1">
        <v>6.5083400930182196E-9</v>
      </c>
      <c r="J345">
        <v>11</v>
      </c>
      <c r="K345">
        <v>1</v>
      </c>
      <c r="L345">
        <v>0.2</v>
      </c>
      <c r="M345">
        <v>10</v>
      </c>
    </row>
    <row r="346" spans="1:13" x14ac:dyDescent="0.25">
      <c r="A346">
        <v>336</v>
      </c>
      <c r="D346">
        <v>9.9638357354000007E-2</v>
      </c>
      <c r="E346" s="1">
        <v>-3.0067373666666702E-6</v>
      </c>
      <c r="F346" s="1">
        <v>-1.03912205000001E-6</v>
      </c>
      <c r="G346" s="1">
        <v>4.51126177439535E-8</v>
      </c>
      <c r="H346" s="1">
        <v>5.2540194363289402E-8</v>
      </c>
      <c r="I346" s="1">
        <v>1.0692684070467599E-8</v>
      </c>
      <c r="J346">
        <v>10</v>
      </c>
      <c r="K346">
        <v>1</v>
      </c>
      <c r="L346">
        <v>0.2</v>
      </c>
      <c r="M346">
        <v>10</v>
      </c>
    </row>
    <row r="347" spans="1:13" x14ac:dyDescent="0.25">
      <c r="A347">
        <v>337</v>
      </c>
      <c r="D347">
        <v>5.0030319470000001E-2</v>
      </c>
      <c r="E347" s="1">
        <v>-1.6056761666666701E-6</v>
      </c>
      <c r="F347" s="1">
        <v>-4.6706964666666702E-7</v>
      </c>
      <c r="G347" s="1">
        <v>2.4512382682812099E-8</v>
      </c>
      <c r="H347" s="1">
        <v>2.2330700033187999E-8</v>
      </c>
      <c r="I347" s="1">
        <v>2.1634643713694199E-8</v>
      </c>
      <c r="J347">
        <v>9</v>
      </c>
      <c r="K347">
        <v>1</v>
      </c>
      <c r="L347">
        <v>0.2</v>
      </c>
      <c r="M347">
        <v>10</v>
      </c>
    </row>
    <row r="348" spans="1:13" x14ac:dyDescent="0.25">
      <c r="A348">
        <v>338</v>
      </c>
      <c r="D348">
        <v>1.6905113023999999E-2</v>
      </c>
      <c r="E348" s="1">
        <v>-5.82391358333333E-7</v>
      </c>
      <c r="F348" s="1">
        <v>-1.5775394333333399E-7</v>
      </c>
      <c r="G348" s="1">
        <v>7.5515404518197401E-8</v>
      </c>
      <c r="H348" s="1">
        <v>2.06972345409541E-8</v>
      </c>
      <c r="I348" s="1">
        <v>2.0731881595265799E-8</v>
      </c>
      <c r="J348">
        <v>8</v>
      </c>
      <c r="K348">
        <v>1</v>
      </c>
      <c r="L348">
        <v>0.2</v>
      </c>
      <c r="M348">
        <v>10</v>
      </c>
    </row>
    <row r="349" spans="1:13" x14ac:dyDescent="0.25">
      <c r="A349">
        <v>339</v>
      </c>
      <c r="D349">
        <v>1.6919771976E-2</v>
      </c>
      <c r="E349" s="1">
        <v>-5.830625E-7</v>
      </c>
      <c r="F349" s="1">
        <v>-1.6862249666666701E-7</v>
      </c>
      <c r="G349" s="1">
        <v>9.7669261212127894E-8</v>
      </c>
      <c r="H349" s="1">
        <v>2.3995904280036399E-8</v>
      </c>
      <c r="I349" s="1">
        <v>2.4669040875423599E-8</v>
      </c>
      <c r="J349">
        <v>8</v>
      </c>
      <c r="K349">
        <v>1</v>
      </c>
      <c r="L349">
        <v>0.2</v>
      </c>
      <c r="M349">
        <v>10</v>
      </c>
    </row>
    <row r="350" spans="1:13" x14ac:dyDescent="0.25">
      <c r="A350">
        <v>340</v>
      </c>
      <c r="D350">
        <v>1.6924551146E-2</v>
      </c>
      <c r="E350" s="1">
        <v>-5.8513895166666699E-7</v>
      </c>
      <c r="F350" s="1">
        <v>-1.5828448199999999E-7</v>
      </c>
      <c r="G350" s="1">
        <v>6.6869841136424696E-8</v>
      </c>
      <c r="H350" s="1">
        <v>2.30845880368843E-8</v>
      </c>
      <c r="I350" s="1">
        <v>2.330868668132E-8</v>
      </c>
      <c r="J350">
        <v>8</v>
      </c>
      <c r="K350">
        <v>1</v>
      </c>
      <c r="L350">
        <v>0.2</v>
      </c>
      <c r="M350">
        <v>10</v>
      </c>
    </row>
    <row r="351" spans="1:13" x14ac:dyDescent="0.25">
      <c r="A351">
        <v>341</v>
      </c>
      <c r="E351" s="1"/>
      <c r="F351" s="1"/>
      <c r="G351" s="1"/>
      <c r="H351" s="1"/>
      <c r="I351" s="1"/>
    </row>
    <row r="352" spans="1:13" x14ac:dyDescent="0.25">
      <c r="A352">
        <v>342</v>
      </c>
      <c r="C352" s="2" t="s">
        <v>203</v>
      </c>
    </row>
    <row r="353" spans="1:13" x14ac:dyDescent="0.25">
      <c r="A353">
        <v>343</v>
      </c>
      <c r="B353" s="5">
        <v>41352</v>
      </c>
      <c r="C353" s="6" t="s">
        <v>14</v>
      </c>
      <c r="D353">
        <v>1.1975291364</v>
      </c>
      <c r="E353" s="1">
        <v>-1.2474302000000101E-5</v>
      </c>
      <c r="F353" s="1">
        <v>-1.1775296499999999E-5</v>
      </c>
      <c r="G353" s="1">
        <v>2.1175406028369001E-6</v>
      </c>
      <c r="H353" s="1">
        <v>2.8529984227133699E-10</v>
      </c>
      <c r="I353" s="1">
        <v>4.0629674397744397E-9</v>
      </c>
      <c r="J353">
        <v>12</v>
      </c>
      <c r="K353">
        <v>1</v>
      </c>
      <c r="L353">
        <v>0.2</v>
      </c>
      <c r="M353">
        <v>10</v>
      </c>
    </row>
    <row r="354" spans="1:13" x14ac:dyDescent="0.25">
      <c r="A354">
        <v>344</v>
      </c>
      <c r="D354">
        <v>1.0014273793999999</v>
      </c>
      <c r="E354" s="1">
        <v>-1.1776716666666701E-5</v>
      </c>
      <c r="F354" s="1">
        <v>-9.6859841166666197E-6</v>
      </c>
      <c r="G354" s="1">
        <v>3.95153538038394E-7</v>
      </c>
      <c r="H354" s="1">
        <v>3.2102267140446598E-10</v>
      </c>
      <c r="I354" s="1">
        <v>5.8320935251750101E-9</v>
      </c>
      <c r="J354">
        <v>12</v>
      </c>
      <c r="K354">
        <v>1</v>
      </c>
      <c r="L354">
        <v>0.2</v>
      </c>
      <c r="M354">
        <v>10</v>
      </c>
    </row>
    <row r="355" spans="1:13" x14ac:dyDescent="0.25">
      <c r="A355">
        <v>345</v>
      </c>
      <c r="D355">
        <v>0.60095215611999997</v>
      </c>
      <c r="E355" s="1">
        <v>-9.5464952500000097E-6</v>
      </c>
      <c r="F355" s="1">
        <v>-5.5763669166666703E-6</v>
      </c>
      <c r="G355" s="1">
        <v>4.8700928434359898E-7</v>
      </c>
      <c r="H355" s="1">
        <v>8.3390222424079796E-8</v>
      </c>
      <c r="I355" s="1">
        <v>7.1837553312820597E-9</v>
      </c>
      <c r="J355">
        <v>12</v>
      </c>
      <c r="K355">
        <v>1</v>
      </c>
      <c r="L355">
        <v>0.2</v>
      </c>
      <c r="M355">
        <v>10</v>
      </c>
    </row>
    <row r="356" spans="1:13" x14ac:dyDescent="0.25">
      <c r="A356">
        <v>346</v>
      </c>
      <c r="D356">
        <v>0.40106102104000002</v>
      </c>
      <c r="E356" s="1">
        <v>-7.3369363166666599E-6</v>
      </c>
      <c r="F356" s="1">
        <v>-3.48198498333333E-6</v>
      </c>
      <c r="G356" s="1">
        <v>1.5943123958583701E-7</v>
      </c>
      <c r="H356" s="1">
        <v>4.9602447348221197E-8</v>
      </c>
      <c r="I356" s="1">
        <v>5.4166869643719701E-8</v>
      </c>
      <c r="J356">
        <v>11</v>
      </c>
      <c r="K356">
        <v>1</v>
      </c>
      <c r="L356">
        <v>0.2</v>
      </c>
      <c r="M356">
        <v>10</v>
      </c>
    </row>
    <row r="357" spans="1:13" x14ac:dyDescent="0.25">
      <c r="A357">
        <v>347</v>
      </c>
      <c r="D357">
        <v>0.20068891027999999</v>
      </c>
      <c r="E357" s="1">
        <v>-4.3530881833333302E-6</v>
      </c>
      <c r="F357" s="1">
        <v>-1.6748138666666699E-6</v>
      </c>
      <c r="G357" s="1">
        <v>1.17871712654798E-7</v>
      </c>
      <c r="H357" s="1">
        <v>4.7605981996660801E-8</v>
      </c>
      <c r="I357" s="1">
        <v>5.1339629975769097E-8</v>
      </c>
      <c r="J357">
        <v>10</v>
      </c>
      <c r="K357">
        <v>1</v>
      </c>
      <c r="L357">
        <v>0.2</v>
      </c>
      <c r="M357">
        <v>10</v>
      </c>
    </row>
    <row r="358" spans="1:13" x14ac:dyDescent="0.25">
      <c r="A358">
        <v>348</v>
      </c>
      <c r="D358">
        <v>0.10049021472</v>
      </c>
      <c r="E358" s="1">
        <v>-2.4318778833333298E-6</v>
      </c>
      <c r="F358" s="1">
        <v>-7.3828437499999995E-7</v>
      </c>
      <c r="G358" s="1">
        <v>5.4806589645412802E-8</v>
      </c>
      <c r="H358" s="1">
        <v>7.3330358210672703E-9</v>
      </c>
      <c r="I358" s="1">
        <v>2.91577614970876E-8</v>
      </c>
      <c r="J358">
        <v>10</v>
      </c>
      <c r="K358">
        <v>1</v>
      </c>
      <c r="L358">
        <v>0.2</v>
      </c>
      <c r="M358">
        <v>10</v>
      </c>
    </row>
    <row r="359" spans="1:13" x14ac:dyDescent="0.25">
      <c r="A359">
        <v>349</v>
      </c>
      <c r="D359">
        <v>5.0506725379999999E-2</v>
      </c>
      <c r="E359" s="1">
        <v>-1.3126822499999999E-6</v>
      </c>
      <c r="F359" s="1">
        <v>-4.2743481333333399E-7</v>
      </c>
      <c r="G359" s="1">
        <v>2.55007664471445E-8</v>
      </c>
      <c r="H359" s="1">
        <v>7.6793552748586902E-9</v>
      </c>
      <c r="I359" s="1">
        <v>1.33957611978002E-8</v>
      </c>
      <c r="J359">
        <v>9</v>
      </c>
      <c r="K359">
        <v>1</v>
      </c>
      <c r="L359">
        <v>0.2</v>
      </c>
      <c r="M359">
        <v>10</v>
      </c>
    </row>
    <row r="360" spans="1:13" x14ac:dyDescent="0.25">
      <c r="A360">
        <v>350</v>
      </c>
      <c r="D360">
        <v>1.2757750123999999E-2</v>
      </c>
      <c r="E360" s="1">
        <v>-3.4072551000000003E-7</v>
      </c>
      <c r="F360" s="1">
        <v>-1.18656315833333E-7</v>
      </c>
      <c r="G360" s="1">
        <v>8.2740735935875696E-8</v>
      </c>
      <c r="H360" s="1">
        <v>1.42490844294139E-8</v>
      </c>
      <c r="I360" s="1">
        <v>2.0398528114058401E-8</v>
      </c>
      <c r="J360">
        <v>8</v>
      </c>
      <c r="K360">
        <v>1</v>
      </c>
      <c r="L360">
        <v>0.2</v>
      </c>
      <c r="M360">
        <v>10</v>
      </c>
    </row>
    <row r="361" spans="1:13" x14ac:dyDescent="0.25">
      <c r="A361">
        <v>351</v>
      </c>
      <c r="D361">
        <v>1.2776909646E-2</v>
      </c>
      <c r="E361" s="1">
        <v>-3.4491558333333299E-7</v>
      </c>
      <c r="F361" s="1">
        <v>-9.1415630666666596E-8</v>
      </c>
      <c r="G361" s="1">
        <v>8.6746469497031001E-8</v>
      </c>
      <c r="H361" s="1">
        <v>1.9527728317609999E-8</v>
      </c>
      <c r="I361" s="1">
        <v>1.7331406228087601E-8</v>
      </c>
      <c r="J361">
        <v>7</v>
      </c>
      <c r="K361">
        <v>1</v>
      </c>
      <c r="L361">
        <v>0.2</v>
      </c>
      <c r="M361">
        <v>10</v>
      </c>
    </row>
    <row r="362" spans="1:13" x14ac:dyDescent="0.25">
      <c r="A362">
        <v>352</v>
      </c>
      <c r="D362">
        <v>1.2757995931999999E-2</v>
      </c>
      <c r="E362" s="1">
        <v>-3.47828718333333E-7</v>
      </c>
      <c r="F362" s="1">
        <v>-9.3753289166666698E-8</v>
      </c>
      <c r="G362" s="1">
        <v>4.9332158099135703E-8</v>
      </c>
      <c r="H362" s="1">
        <v>2.14884701138152E-8</v>
      </c>
      <c r="I362" s="1">
        <v>2.24890335941936E-8</v>
      </c>
      <c r="J362">
        <v>7</v>
      </c>
      <c r="K362">
        <v>1</v>
      </c>
      <c r="L362">
        <v>0.2</v>
      </c>
      <c r="M362">
        <v>10</v>
      </c>
    </row>
    <row r="363" spans="1:13" x14ac:dyDescent="0.25">
      <c r="A363">
        <v>353</v>
      </c>
    </row>
    <row r="364" spans="1:13" x14ac:dyDescent="0.25">
      <c r="A364">
        <v>354</v>
      </c>
      <c r="C364" s="6" t="s">
        <v>198</v>
      </c>
      <c r="D364">
        <v>1.1990142786</v>
      </c>
      <c r="E364" s="1">
        <v>-1.4852289999999899E-5</v>
      </c>
      <c r="F364" s="1">
        <v>-1.3456699999999999E-5</v>
      </c>
      <c r="G364" s="1">
        <v>1.9927999716241199E-6</v>
      </c>
      <c r="H364" s="1">
        <v>4.4598206241969398E-10</v>
      </c>
      <c r="I364" s="1">
        <v>5.0821976835257998E-21</v>
      </c>
      <c r="J364">
        <v>12</v>
      </c>
      <c r="K364">
        <v>1</v>
      </c>
      <c r="L364">
        <v>0.2</v>
      </c>
      <c r="M364">
        <v>10</v>
      </c>
    </row>
    <row r="365" spans="1:13" x14ac:dyDescent="0.25">
      <c r="A365">
        <v>355</v>
      </c>
      <c r="D365">
        <v>1.0010910496000001</v>
      </c>
      <c r="E365" s="1">
        <v>-1.3664512166666699E-5</v>
      </c>
      <c r="F365" s="1">
        <v>-1.1606786166666699E-5</v>
      </c>
      <c r="G365" s="1">
        <v>5.7076419707586095E-7</v>
      </c>
      <c r="H365" s="1">
        <v>5.5114332394628203E-8</v>
      </c>
      <c r="I365" s="1">
        <v>4.4026749353533801E-8</v>
      </c>
      <c r="J365">
        <v>12</v>
      </c>
      <c r="K365">
        <v>1</v>
      </c>
      <c r="L365">
        <v>0.2</v>
      </c>
      <c r="M365">
        <v>10</v>
      </c>
    </row>
    <row r="366" spans="1:13" x14ac:dyDescent="0.25">
      <c r="A366">
        <v>356</v>
      </c>
      <c r="D366">
        <v>0.60084868887999998</v>
      </c>
      <c r="E366" s="1">
        <v>-1.1024844833333299E-5</v>
      </c>
      <c r="F366" s="1">
        <v>-6.7743751166666597E-6</v>
      </c>
      <c r="G366" s="1">
        <v>4.5664386646804101E-7</v>
      </c>
      <c r="H366" s="1">
        <v>1.03295610135695E-7</v>
      </c>
      <c r="I366" s="1">
        <v>1.47212220421131E-7</v>
      </c>
      <c r="J366">
        <v>12</v>
      </c>
      <c r="K366">
        <v>1</v>
      </c>
      <c r="L366">
        <v>0.2</v>
      </c>
      <c r="M366">
        <v>10</v>
      </c>
    </row>
    <row r="367" spans="1:13" x14ac:dyDescent="0.25">
      <c r="A367">
        <v>357</v>
      </c>
      <c r="D367">
        <v>0.39987622462</v>
      </c>
      <c r="E367" s="1">
        <v>-8.8355821833333303E-6</v>
      </c>
      <c r="F367" s="1">
        <v>-4.2400847000000003E-6</v>
      </c>
      <c r="G367" s="1">
        <v>2.9119088316656699E-7</v>
      </c>
      <c r="H367" s="1">
        <v>5.5354841673814399E-8</v>
      </c>
      <c r="I367" s="1">
        <v>5.4992194605931698E-8</v>
      </c>
      <c r="J367">
        <v>11</v>
      </c>
      <c r="K367">
        <v>1</v>
      </c>
      <c r="L367">
        <v>0.2</v>
      </c>
      <c r="M367">
        <v>10</v>
      </c>
    </row>
    <row r="368" spans="1:13" x14ac:dyDescent="0.25">
      <c r="A368">
        <v>358</v>
      </c>
      <c r="D368">
        <v>0.19972881083999999</v>
      </c>
      <c r="E368" s="1">
        <v>-5.3391710500000003E-6</v>
      </c>
      <c r="F368" s="1">
        <v>-2.03620155E-6</v>
      </c>
      <c r="G368" s="1">
        <v>9.9178370986069695E-8</v>
      </c>
      <c r="H368" s="1">
        <v>5.3018821479397003E-8</v>
      </c>
      <c r="I368" s="1">
        <v>5.44248528348722E-8</v>
      </c>
      <c r="J368">
        <v>11</v>
      </c>
      <c r="K368">
        <v>1</v>
      </c>
      <c r="L368">
        <v>0.2</v>
      </c>
      <c r="M368">
        <v>10</v>
      </c>
    </row>
    <row r="369" spans="1:13" x14ac:dyDescent="0.25">
      <c r="A369">
        <v>359</v>
      </c>
      <c r="D369">
        <v>0.10028331386</v>
      </c>
      <c r="E369" s="1">
        <v>-3.0043300000000002E-6</v>
      </c>
      <c r="F369" s="1">
        <v>-9.7538935999999805E-7</v>
      </c>
      <c r="G369" s="1">
        <v>5.7780106730956001E-8</v>
      </c>
      <c r="H369" s="1">
        <v>5.1916318343400797E-8</v>
      </c>
      <c r="I369" s="1">
        <v>5.5117280755619001E-8</v>
      </c>
      <c r="J369">
        <v>10</v>
      </c>
      <c r="K369">
        <v>1</v>
      </c>
      <c r="L369">
        <v>0.2</v>
      </c>
      <c r="M369">
        <v>10</v>
      </c>
    </row>
    <row r="370" spans="1:13" x14ac:dyDescent="0.25">
      <c r="A370">
        <v>360</v>
      </c>
      <c r="D370">
        <v>5.0201511669999997E-2</v>
      </c>
      <c r="E370" s="1">
        <v>-1.6038513333333301E-6</v>
      </c>
      <c r="F370" s="1">
        <v>-4.7842198666666699E-7</v>
      </c>
      <c r="G370" s="1">
        <v>1.42708439100165E-8</v>
      </c>
      <c r="H370" s="1">
        <v>5.3435418187648598E-8</v>
      </c>
      <c r="I370" s="1">
        <v>5.4231143209719998E-8</v>
      </c>
      <c r="J370">
        <v>9</v>
      </c>
      <c r="K370">
        <v>1</v>
      </c>
      <c r="L370">
        <v>0.2</v>
      </c>
      <c r="M370">
        <v>10</v>
      </c>
    </row>
    <row r="371" spans="1:13" x14ac:dyDescent="0.25">
      <c r="A371">
        <v>361</v>
      </c>
      <c r="D371">
        <v>5.0188001686000003E-2</v>
      </c>
      <c r="E371" s="1">
        <v>-1.6108822333333301E-6</v>
      </c>
      <c r="F371" s="1">
        <v>-4.8532008499999899E-7</v>
      </c>
      <c r="G371" s="1">
        <v>3.1833304429200901E-8</v>
      </c>
      <c r="H371" s="1">
        <v>5.4182657382341603E-8</v>
      </c>
      <c r="I371" s="1">
        <v>5.0816881043092103E-8</v>
      </c>
      <c r="J371">
        <v>10</v>
      </c>
      <c r="K371">
        <v>1</v>
      </c>
      <c r="L371">
        <v>0.2</v>
      </c>
      <c r="M371">
        <v>10</v>
      </c>
    </row>
    <row r="372" spans="1:13" x14ac:dyDescent="0.25">
      <c r="A372">
        <v>362</v>
      </c>
      <c r="D372">
        <v>1.2781510887999999E-2</v>
      </c>
      <c r="E372" s="1">
        <v>-4.5358433833333402E-7</v>
      </c>
      <c r="F372" s="1">
        <v>-1.16813139583333E-7</v>
      </c>
      <c r="G372" s="1">
        <v>8.6575696252547402E-8</v>
      </c>
      <c r="H372" s="1">
        <v>5.9622230661785905E-8</v>
      </c>
      <c r="I372" s="1">
        <v>5.6622343009591598E-8</v>
      </c>
      <c r="J372">
        <v>9</v>
      </c>
      <c r="K372">
        <v>1</v>
      </c>
      <c r="L372">
        <v>0.2</v>
      </c>
      <c r="M372">
        <v>10</v>
      </c>
    </row>
    <row r="373" spans="1:13" x14ac:dyDescent="0.25">
      <c r="A373">
        <v>363</v>
      </c>
      <c r="D373">
        <v>1.278110838E-2</v>
      </c>
      <c r="E373" s="1">
        <v>-4.3993406833333402E-7</v>
      </c>
      <c r="F373" s="1">
        <v>-1.2165176256166701E-7</v>
      </c>
      <c r="G373" s="1">
        <v>6.2327473217195005E-8</v>
      </c>
      <c r="H373" s="1">
        <v>5.4978921487393601E-8</v>
      </c>
      <c r="I373" s="1">
        <v>5.3057974065493702E-8</v>
      </c>
      <c r="J373">
        <v>8</v>
      </c>
      <c r="K373">
        <v>1</v>
      </c>
      <c r="L373">
        <v>0.2</v>
      </c>
      <c r="M373">
        <v>10</v>
      </c>
    </row>
    <row r="374" spans="1:13" x14ac:dyDescent="0.25">
      <c r="A374">
        <v>364</v>
      </c>
      <c r="D374">
        <v>1.2785939059999999E-2</v>
      </c>
      <c r="E374" s="1">
        <v>-4.3777381999999902E-7</v>
      </c>
      <c r="F374" s="1">
        <v>-1.1956976125000001E-7</v>
      </c>
      <c r="G374" s="1">
        <v>3.8392513773755901E-8</v>
      </c>
      <c r="H374" s="1">
        <v>5.2971582682833498E-8</v>
      </c>
      <c r="I374" s="1">
        <v>5.3880195811609701E-8</v>
      </c>
      <c r="J374">
        <v>8</v>
      </c>
      <c r="K374">
        <v>1</v>
      </c>
      <c r="L374">
        <v>0.2</v>
      </c>
      <c r="M374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Data2013</vt:lpstr>
      <vt:lpstr>ForPython</vt:lpstr>
      <vt:lpstr>Data2013b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Jones</dc:creator>
  <cp:lastModifiedBy>Keith Jones</cp:lastModifiedBy>
  <cp:lastPrinted>2018-05-20T21:17:55Z</cp:lastPrinted>
  <dcterms:created xsi:type="dcterms:W3CDTF">2018-05-11T02:46:15Z</dcterms:created>
  <dcterms:modified xsi:type="dcterms:W3CDTF">2018-05-27T23:18:57Z</dcterms:modified>
</cp:coreProperties>
</file>