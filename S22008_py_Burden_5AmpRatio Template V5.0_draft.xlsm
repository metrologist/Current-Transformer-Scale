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omments3.xml" ContentType="application/vnd.openxmlformats-officedocument.spreadsheetml.comments+xml"/>
  <Override PartName="/xl/drawings/drawing2.xml" ContentType="application/vnd.openxmlformats-officedocument.drawing+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201" codeName="{21656B06-1B9B-AA78-C99D-37B55691406E}"/>
  <workbookPr codeName="ThisWorkbook"/>
  <mc:AlternateContent xmlns:mc="http://schemas.openxmlformats.org/markup-compatibility/2006">
    <mc:Choice Requires="x15">
      <x15ac:absPath xmlns:x15ac="http://schemas.microsoft.com/office/spreadsheetml/2010/11/ac" url="Y:\Staff\KJ\PycharmProjects\CTs\"/>
    </mc:Choice>
  </mc:AlternateContent>
  <bookViews>
    <workbookView xWindow="-15" yWindow="6030" windowWidth="19170" windowHeight="5970" firstSheet="2" activeTab="5"/>
  </bookViews>
  <sheets>
    <sheet name="UserGuide" sheetId="14" r:id="rId1"/>
    <sheet name="Ambient Conditions" sheetId="17" r:id="rId2"/>
    <sheet name="5 A data" sheetId="2" r:id="rId3"/>
    <sheet name="ForPython" sheetId="19" r:id="rId4"/>
    <sheet name="PythonResults" sheetId="20" r:id="rId5"/>
    <sheet name="BurdenTables" sheetId="21" r:id="rId6"/>
    <sheet name="5 A calc" sheetId="6" r:id="rId7"/>
    <sheet name="5 A Tables" sheetId="7" r:id="rId8"/>
    <sheet name="Uncertainties" sheetId="8" r:id="rId9"/>
    <sheet name="TwoStageCT" sheetId="16" r:id="rId10"/>
    <sheet name="844400" sheetId="9" r:id="rId11"/>
    <sheet name="Arnold" sheetId="15" r:id="rId12"/>
    <sheet name="Changes" sheetId="10" r:id="rId13"/>
    <sheet name="V2.0 Validation" sheetId="18" r:id="rId14"/>
    <sheet name="Cf Previous results" sheetId="13" r:id="rId15"/>
  </sheets>
  <functionGroups builtInGroupCount="18"/>
  <externalReferences>
    <externalReference r:id="rId16"/>
  </externalReferences>
  <definedNames>
    <definedName name="_xlnm._FilterDatabase" localSheetId="3" hidden="1">ForPython!$A$3:$E$127</definedName>
    <definedName name="aux_CT_phase">Uncertainties!$C$9</definedName>
    <definedName name="aux_CT_ratio">Uncertainties!$C$8</definedName>
    <definedName name="B5A0VA">'5 A data'!$N$92</definedName>
    <definedName name="B5A5.0VA">'5 A data'!$N$91</definedName>
    <definedName name="burdens">PythonResults!$A$40:$Q$44</definedName>
    <definedName name="BurdenUnc">Uncertainties!$G$3</definedName>
    <definedName name="config_Im">Uncertainties!$J$5</definedName>
    <definedName name="config_Re">Uncertainties!$G$5</definedName>
    <definedName name="current_coef">Uncertainties!$G$5</definedName>
    <definedName name="earthing_Im">Uncertainties!$J$7</definedName>
    <definedName name="earthing_Re">Uncertainties!$G$7</definedName>
    <definedName name="high_burden">'5 A calc'!$N$3</definedName>
    <definedName name="low__burden">'5 A calc'!$N$4</definedName>
    <definedName name="mutual_ind">Uncertainties!$C$6</definedName>
    <definedName name="phase_factor">Uncertainties!$M$6</definedName>
    <definedName name="pyvalues">[1]pyUBresults!$Z$2:$AF$28</definedName>
    <definedName name="ratio_factor">Uncertainties!$M$5</definedName>
    <definedName name="report_burden">#REF!</definedName>
    <definedName name="slidewire_res">Uncertainties!$C$5</definedName>
    <definedName name="TestSetPhaseCor">'5 A calc'!$R$3</definedName>
    <definedName name="TestSetRatioCor">'5 A calc'!$R$2</definedName>
  </definedNames>
  <calcPr calcId="171027"/>
</workbook>
</file>

<file path=xl/calcChain.xml><?xml version="1.0" encoding="utf-8"?>
<calcChain xmlns="http://schemas.openxmlformats.org/spreadsheetml/2006/main">
  <c r="I12" i="21" l="1"/>
  <c r="I13" i="21"/>
  <c r="I14" i="21"/>
  <c r="H14" i="21" s="1"/>
  <c r="S14" i="21" s="1"/>
  <c r="I15" i="21"/>
  <c r="H15" i="21" s="1"/>
  <c r="S15" i="21" s="1"/>
  <c r="O15" i="21"/>
  <c r="U15" i="21" s="1"/>
  <c r="P12" i="21"/>
  <c r="O12" i="21" s="1"/>
  <c r="U12" i="21" s="1"/>
  <c r="P13" i="21"/>
  <c r="O13" i="21" s="1"/>
  <c r="U13" i="21" s="1"/>
  <c r="P14" i="21"/>
  <c r="O14" i="21" s="1"/>
  <c r="U14" i="21" s="1"/>
  <c r="P15" i="21"/>
  <c r="P11" i="21"/>
  <c r="O11" i="21" s="1"/>
  <c r="U11" i="21" s="1"/>
  <c r="N12" i="21"/>
  <c r="N13" i="21"/>
  <c r="N14" i="21"/>
  <c r="N15" i="21"/>
  <c r="N11" i="21"/>
  <c r="L12" i="21"/>
  <c r="T12" i="21" s="1"/>
  <c r="L11" i="21"/>
  <c r="T11" i="21" s="1"/>
  <c r="M12" i="21"/>
  <c r="M13" i="21"/>
  <c r="L13" i="21" s="1"/>
  <c r="T13" i="21" s="1"/>
  <c r="M14" i="21"/>
  <c r="L14" i="21" s="1"/>
  <c r="T14" i="21" s="1"/>
  <c r="M15" i="21"/>
  <c r="L15" i="21" s="1"/>
  <c r="T15" i="21" s="1"/>
  <c r="M11" i="21"/>
  <c r="K11" i="21"/>
  <c r="K12" i="21"/>
  <c r="K13" i="21"/>
  <c r="K14" i="21"/>
  <c r="K15" i="21"/>
  <c r="H12" i="21"/>
  <c r="S12" i="21" s="1"/>
  <c r="H13" i="21"/>
  <c r="S13" i="21" s="1"/>
  <c r="I11" i="21"/>
  <c r="H11" i="21" s="1"/>
  <c r="S11" i="21" s="1"/>
  <c r="E13" i="21"/>
  <c r="R13" i="21" s="1"/>
  <c r="F12" i="21"/>
  <c r="E12" i="21" s="1"/>
  <c r="R12" i="21" s="1"/>
  <c r="F13" i="21"/>
  <c r="F14" i="21"/>
  <c r="E14" i="21" s="1"/>
  <c r="R14" i="21" s="1"/>
  <c r="F15" i="21"/>
  <c r="E15" i="21" s="1"/>
  <c r="R15" i="21" s="1"/>
  <c r="F11" i="21"/>
  <c r="E11" i="21" s="1"/>
  <c r="R11" i="21" s="1"/>
  <c r="G12" i="21"/>
  <c r="G13" i="21"/>
  <c r="G14" i="21"/>
  <c r="G15" i="21"/>
  <c r="G11" i="21"/>
  <c r="D12" i="21"/>
  <c r="D13" i="21"/>
  <c r="D14" i="21"/>
  <c r="D15" i="21"/>
  <c r="D11" i="21"/>
  <c r="C3" i="19" l="1"/>
  <c r="L126" i="19" l="1"/>
  <c r="L124" i="19"/>
  <c r="L119" i="19"/>
  <c r="L117" i="19"/>
  <c r="L112" i="19"/>
  <c r="L110" i="19"/>
  <c r="L105" i="19"/>
  <c r="L103" i="19"/>
  <c r="L98" i="19"/>
  <c r="L96" i="19"/>
  <c r="L91" i="19"/>
  <c r="L89" i="19"/>
  <c r="L84" i="19"/>
  <c r="L82" i="19"/>
  <c r="L77" i="19"/>
  <c r="L75" i="19"/>
  <c r="L70" i="19"/>
  <c r="L68" i="19"/>
  <c r="L63" i="19"/>
  <c r="L61" i="19"/>
  <c r="L56" i="19"/>
  <c r="L54" i="19"/>
  <c r="L49" i="19"/>
  <c r="L47" i="19"/>
  <c r="L42" i="19"/>
  <c r="L40" i="19"/>
  <c r="L35" i="19"/>
  <c r="L33" i="19"/>
  <c r="L28" i="19"/>
  <c r="L26" i="19"/>
  <c r="L21" i="19"/>
  <c r="L19" i="19"/>
  <c r="L14" i="19"/>
  <c r="L12" i="19"/>
  <c r="L7" i="19"/>
  <c r="L5" i="19"/>
  <c r="Q213" i="2" l="1"/>
  <c r="Q212" i="2"/>
  <c r="R212" i="2"/>
  <c r="Q211" i="2"/>
  <c r="Q210" i="2"/>
  <c r="R210" i="2"/>
  <c r="Q206" i="2"/>
  <c r="R205" i="2"/>
  <c r="Q205" i="2"/>
  <c r="Q204" i="2"/>
  <c r="R203" i="2"/>
  <c r="Q203" i="2"/>
  <c r="Q199" i="2"/>
  <c r="Q198" i="2"/>
  <c r="R198" i="2"/>
  <c r="Q197" i="2"/>
  <c r="Q196" i="2"/>
  <c r="R196" i="2"/>
  <c r="Q192" i="2"/>
  <c r="Q191" i="2"/>
  <c r="R191" i="2"/>
  <c r="Q190" i="2"/>
  <c r="Q189" i="2"/>
  <c r="R189" i="2"/>
  <c r="Q185" i="2"/>
  <c r="Q184" i="2"/>
  <c r="R184" i="2"/>
  <c r="Q183" i="2"/>
  <c r="Q182" i="2"/>
  <c r="R182" i="2"/>
  <c r="Q178" i="2"/>
  <c r="Q177" i="2"/>
  <c r="R177" i="2"/>
  <c r="Q176" i="2"/>
  <c r="Q175" i="2"/>
  <c r="R175" i="2"/>
  <c r="Q171" i="2"/>
  <c r="R170" i="2"/>
  <c r="Q170" i="2"/>
  <c r="Q169" i="2"/>
  <c r="R168" i="2"/>
  <c r="Q168" i="2"/>
  <c r="Q164" i="2"/>
  <c r="R163" i="2"/>
  <c r="Q163" i="2"/>
  <c r="Q162" i="2"/>
  <c r="R161" i="2"/>
  <c r="Q161" i="2"/>
  <c r="Q157" i="2"/>
  <c r="Q156" i="2"/>
  <c r="R156" i="2"/>
  <c r="Q155" i="2"/>
  <c r="Q154" i="2"/>
  <c r="R154" i="2"/>
  <c r="Q150" i="2"/>
  <c r="Q149" i="2"/>
  <c r="R149" i="2"/>
  <c r="Q148" i="2"/>
  <c r="Q147" i="2"/>
  <c r="R147" i="2"/>
  <c r="Q143" i="2"/>
  <c r="R142" i="2"/>
  <c r="Q142" i="2"/>
  <c r="Q141" i="2"/>
  <c r="R140" i="2"/>
  <c r="Q140" i="2"/>
  <c r="Q136" i="2"/>
  <c r="R135" i="2"/>
  <c r="Q135" i="2"/>
  <c r="Q134" i="2"/>
  <c r="R133" i="2"/>
  <c r="Q133" i="2"/>
  <c r="Q129" i="2"/>
  <c r="R128" i="2"/>
  <c r="Q128" i="2"/>
  <c r="Q127" i="2"/>
  <c r="R126" i="2"/>
  <c r="Q126" i="2"/>
  <c r="Q122" i="2"/>
  <c r="S121" i="2"/>
  <c r="R121" i="2"/>
  <c r="T121" i="2"/>
  <c r="U121" i="2"/>
  <c r="Q121" i="2"/>
  <c r="Q120" i="2"/>
  <c r="S119" i="2"/>
  <c r="R119" i="2"/>
  <c r="T119" i="2"/>
  <c r="U119" i="2"/>
  <c r="Q119" i="2"/>
  <c r="Q115" i="2"/>
  <c r="R114" i="2"/>
  <c r="Q114" i="2"/>
  <c r="Q113" i="2"/>
  <c r="R112" i="2"/>
  <c r="Q112" i="2"/>
  <c r="Q108" i="2"/>
  <c r="Q107" i="2"/>
  <c r="R107" i="2"/>
  <c r="Q106" i="2"/>
  <c r="Q105" i="2"/>
  <c r="R105" i="2"/>
  <c r="Q101" i="2"/>
  <c r="Q100" i="2"/>
  <c r="R100" i="2"/>
  <c r="Q99" i="2"/>
  <c r="Q98" i="2"/>
  <c r="R98" i="2"/>
  <c r="W93" i="2"/>
  <c r="V93" i="2"/>
  <c r="W91" i="2"/>
  <c r="V91" i="2"/>
  <c r="U93" i="2"/>
  <c r="U91" i="2"/>
  <c r="T93" i="2"/>
  <c r="T91" i="2"/>
  <c r="S93" i="2"/>
  <c r="S91" i="2"/>
  <c r="R93" i="2"/>
  <c r="R91" i="2"/>
  <c r="Q92" i="2"/>
  <c r="Q93" i="2"/>
  <c r="Q94" i="2"/>
  <c r="Q91" i="2"/>
  <c r="M4" i="19"/>
  <c r="N4" i="19"/>
  <c r="O4" i="19"/>
  <c r="P4" i="19"/>
  <c r="M5" i="19"/>
  <c r="N5" i="19"/>
  <c r="O5" i="19"/>
  <c r="P5" i="19"/>
  <c r="M6" i="19"/>
  <c r="N6" i="19"/>
  <c r="O6" i="19"/>
  <c r="P6" i="19"/>
  <c r="M7" i="19"/>
  <c r="N7" i="19"/>
  <c r="O7" i="19"/>
  <c r="P7" i="19"/>
  <c r="M8" i="19"/>
  <c r="N8" i="19"/>
  <c r="O8" i="19"/>
  <c r="P8" i="19"/>
  <c r="M9" i="19"/>
  <c r="N9" i="19"/>
  <c r="O9" i="19"/>
  <c r="P9" i="19"/>
  <c r="M10" i="19"/>
  <c r="N10" i="19"/>
  <c r="O10" i="19"/>
  <c r="P10" i="19"/>
  <c r="M11" i="19"/>
  <c r="N11" i="19"/>
  <c r="O11" i="19"/>
  <c r="P11" i="19"/>
  <c r="M12" i="19"/>
  <c r="N12" i="19"/>
  <c r="O12" i="19"/>
  <c r="P12" i="19"/>
  <c r="M13" i="19"/>
  <c r="N13" i="19"/>
  <c r="O13" i="19"/>
  <c r="P13" i="19"/>
  <c r="M14" i="19"/>
  <c r="N14" i="19"/>
  <c r="O14" i="19"/>
  <c r="P14" i="19"/>
  <c r="M15" i="19"/>
  <c r="N15" i="19"/>
  <c r="O15" i="19"/>
  <c r="P15" i="19"/>
  <c r="M16" i="19"/>
  <c r="N16" i="19"/>
  <c r="O16" i="19"/>
  <c r="P16" i="19"/>
  <c r="M17" i="19"/>
  <c r="N17" i="19"/>
  <c r="O17" i="19"/>
  <c r="P17" i="19"/>
  <c r="M18" i="19"/>
  <c r="N18" i="19"/>
  <c r="O18" i="19"/>
  <c r="P18" i="19"/>
  <c r="M19" i="19"/>
  <c r="N19" i="19"/>
  <c r="O19" i="19"/>
  <c r="P19" i="19"/>
  <c r="M20" i="19"/>
  <c r="N20" i="19"/>
  <c r="O20" i="19"/>
  <c r="P20" i="19"/>
  <c r="M21" i="19"/>
  <c r="N21" i="19"/>
  <c r="O21" i="19"/>
  <c r="P21" i="19"/>
  <c r="M22" i="19"/>
  <c r="N22" i="19"/>
  <c r="O22" i="19"/>
  <c r="P22" i="19"/>
  <c r="M23" i="19"/>
  <c r="N23" i="19"/>
  <c r="O23" i="19"/>
  <c r="P23" i="19"/>
  <c r="M24" i="19"/>
  <c r="N24" i="19"/>
  <c r="O24" i="19"/>
  <c r="P24" i="19"/>
  <c r="M25" i="19"/>
  <c r="N25" i="19"/>
  <c r="O25" i="19"/>
  <c r="P25" i="19"/>
  <c r="M26" i="19"/>
  <c r="N26" i="19"/>
  <c r="O26" i="19"/>
  <c r="P26" i="19"/>
  <c r="M27" i="19"/>
  <c r="N27" i="19"/>
  <c r="O27" i="19"/>
  <c r="P27" i="19"/>
  <c r="M28" i="19"/>
  <c r="N28" i="19"/>
  <c r="O28" i="19"/>
  <c r="P28" i="19"/>
  <c r="M29" i="19"/>
  <c r="N29" i="19"/>
  <c r="O29" i="19"/>
  <c r="P29" i="19"/>
  <c r="M30" i="19"/>
  <c r="N30" i="19"/>
  <c r="O30" i="19"/>
  <c r="P30" i="19"/>
  <c r="M31" i="19"/>
  <c r="N31" i="19"/>
  <c r="O31" i="19"/>
  <c r="P31" i="19"/>
  <c r="M32" i="19"/>
  <c r="N32" i="19"/>
  <c r="O32" i="19"/>
  <c r="P32" i="19"/>
  <c r="M33" i="19"/>
  <c r="N33" i="19"/>
  <c r="O33" i="19"/>
  <c r="P33" i="19"/>
  <c r="M34" i="19"/>
  <c r="N34" i="19"/>
  <c r="O34" i="19"/>
  <c r="P34" i="19"/>
  <c r="M35" i="19"/>
  <c r="N35" i="19"/>
  <c r="O35" i="19"/>
  <c r="P35" i="19"/>
  <c r="M36" i="19"/>
  <c r="N36" i="19"/>
  <c r="O36" i="19"/>
  <c r="P36" i="19"/>
  <c r="M37" i="19"/>
  <c r="N37" i="19"/>
  <c r="O37" i="19"/>
  <c r="P37" i="19"/>
  <c r="M38" i="19"/>
  <c r="N38" i="19"/>
  <c r="O38" i="19"/>
  <c r="P38" i="19"/>
  <c r="M39" i="19"/>
  <c r="N39" i="19"/>
  <c r="O39" i="19"/>
  <c r="P39" i="19"/>
  <c r="M40" i="19"/>
  <c r="N40" i="19"/>
  <c r="O40" i="19"/>
  <c r="P40" i="19"/>
  <c r="M41" i="19"/>
  <c r="N41" i="19"/>
  <c r="O41" i="19"/>
  <c r="P41" i="19"/>
  <c r="M42" i="19"/>
  <c r="N42" i="19"/>
  <c r="O42" i="19"/>
  <c r="P42" i="19"/>
  <c r="M43" i="19"/>
  <c r="N43" i="19"/>
  <c r="O43" i="19"/>
  <c r="P43" i="19"/>
  <c r="M44" i="19"/>
  <c r="N44" i="19"/>
  <c r="O44" i="19"/>
  <c r="P44" i="19"/>
  <c r="M45" i="19"/>
  <c r="N45" i="19"/>
  <c r="O45" i="19"/>
  <c r="P45" i="19"/>
  <c r="M46" i="19"/>
  <c r="N46" i="19"/>
  <c r="O46" i="19"/>
  <c r="P46" i="19"/>
  <c r="M47" i="19"/>
  <c r="N47" i="19"/>
  <c r="O47" i="19"/>
  <c r="P47" i="19"/>
  <c r="M48" i="19"/>
  <c r="N48" i="19"/>
  <c r="O48" i="19"/>
  <c r="P48" i="19"/>
  <c r="M49" i="19"/>
  <c r="N49" i="19"/>
  <c r="O49" i="19"/>
  <c r="P49" i="19"/>
  <c r="M50" i="19"/>
  <c r="N50" i="19"/>
  <c r="O50" i="19"/>
  <c r="P50" i="19"/>
  <c r="M51" i="19"/>
  <c r="N51" i="19"/>
  <c r="O51" i="19"/>
  <c r="P51" i="19"/>
  <c r="M52" i="19"/>
  <c r="N52" i="19"/>
  <c r="O52" i="19"/>
  <c r="P52" i="19"/>
  <c r="M53" i="19"/>
  <c r="N53" i="19"/>
  <c r="O53" i="19"/>
  <c r="P53" i="19"/>
  <c r="M54" i="19"/>
  <c r="N54" i="19"/>
  <c r="O54" i="19"/>
  <c r="P54" i="19"/>
  <c r="M55" i="19"/>
  <c r="N55" i="19"/>
  <c r="O55" i="19"/>
  <c r="P55" i="19"/>
  <c r="M56" i="19"/>
  <c r="N56" i="19"/>
  <c r="O56" i="19"/>
  <c r="P56" i="19"/>
  <c r="M57" i="19"/>
  <c r="N57" i="19"/>
  <c r="O57" i="19"/>
  <c r="P57" i="19"/>
  <c r="M58" i="19"/>
  <c r="N58" i="19"/>
  <c r="O58" i="19"/>
  <c r="P58" i="19"/>
  <c r="M59" i="19"/>
  <c r="N59" i="19"/>
  <c r="O59" i="19"/>
  <c r="P59" i="19"/>
  <c r="M60" i="19"/>
  <c r="N60" i="19"/>
  <c r="O60" i="19"/>
  <c r="P60" i="19"/>
  <c r="M61" i="19"/>
  <c r="N61" i="19"/>
  <c r="O61" i="19"/>
  <c r="P61" i="19"/>
  <c r="M62" i="19"/>
  <c r="N62" i="19"/>
  <c r="O62" i="19"/>
  <c r="P62" i="19"/>
  <c r="M63" i="19"/>
  <c r="N63" i="19"/>
  <c r="O63" i="19"/>
  <c r="P63" i="19"/>
  <c r="M64" i="19"/>
  <c r="N64" i="19"/>
  <c r="O64" i="19"/>
  <c r="P64" i="19"/>
  <c r="M65" i="19"/>
  <c r="N65" i="19"/>
  <c r="O65" i="19"/>
  <c r="P65" i="19"/>
  <c r="M66" i="19"/>
  <c r="N66" i="19"/>
  <c r="O66" i="19"/>
  <c r="P66" i="19"/>
  <c r="M67" i="19"/>
  <c r="N67" i="19"/>
  <c r="O67" i="19"/>
  <c r="P67" i="19"/>
  <c r="M68" i="19"/>
  <c r="N68" i="19"/>
  <c r="O68" i="19"/>
  <c r="P68" i="19"/>
  <c r="M69" i="19"/>
  <c r="N69" i="19"/>
  <c r="O69" i="19"/>
  <c r="P69" i="19"/>
  <c r="M70" i="19"/>
  <c r="N70" i="19"/>
  <c r="O70" i="19"/>
  <c r="P70" i="19"/>
  <c r="M71" i="19"/>
  <c r="N71" i="19"/>
  <c r="O71" i="19"/>
  <c r="P71" i="19"/>
  <c r="M72" i="19"/>
  <c r="N72" i="19"/>
  <c r="O72" i="19"/>
  <c r="P72" i="19"/>
  <c r="M73" i="19"/>
  <c r="N73" i="19"/>
  <c r="O73" i="19"/>
  <c r="P73" i="19"/>
  <c r="M74" i="19"/>
  <c r="N74" i="19"/>
  <c r="O74" i="19"/>
  <c r="P74" i="19"/>
  <c r="M75" i="19"/>
  <c r="N75" i="19"/>
  <c r="O75" i="19"/>
  <c r="P75" i="19"/>
  <c r="M76" i="19"/>
  <c r="N76" i="19"/>
  <c r="O76" i="19"/>
  <c r="P76" i="19"/>
  <c r="M77" i="19"/>
  <c r="N77" i="19"/>
  <c r="O77" i="19"/>
  <c r="P77" i="19"/>
  <c r="M78" i="19"/>
  <c r="N78" i="19"/>
  <c r="O78" i="19"/>
  <c r="P78" i="19"/>
  <c r="M79" i="19"/>
  <c r="N79" i="19"/>
  <c r="O79" i="19"/>
  <c r="P79" i="19"/>
  <c r="M80" i="19"/>
  <c r="N80" i="19"/>
  <c r="O80" i="19"/>
  <c r="P80" i="19"/>
  <c r="M81" i="19"/>
  <c r="N81" i="19"/>
  <c r="O81" i="19"/>
  <c r="P81" i="19"/>
  <c r="M82" i="19"/>
  <c r="N82" i="19"/>
  <c r="O82" i="19"/>
  <c r="P82" i="19"/>
  <c r="M83" i="19"/>
  <c r="N83" i="19"/>
  <c r="O83" i="19"/>
  <c r="P83" i="19"/>
  <c r="M84" i="19"/>
  <c r="N84" i="19"/>
  <c r="O84" i="19"/>
  <c r="P84" i="19"/>
  <c r="M85" i="19"/>
  <c r="N85" i="19"/>
  <c r="O85" i="19"/>
  <c r="P85" i="19"/>
  <c r="M86" i="19"/>
  <c r="N86" i="19"/>
  <c r="O86" i="19"/>
  <c r="P86" i="19"/>
  <c r="M87" i="19"/>
  <c r="N87" i="19"/>
  <c r="O87" i="19"/>
  <c r="P87" i="19"/>
  <c r="M88" i="19"/>
  <c r="N88" i="19"/>
  <c r="O88" i="19"/>
  <c r="P88" i="19"/>
  <c r="M89" i="19"/>
  <c r="N89" i="19"/>
  <c r="O89" i="19"/>
  <c r="P89" i="19"/>
  <c r="M90" i="19"/>
  <c r="N90" i="19"/>
  <c r="O90" i="19"/>
  <c r="P90" i="19"/>
  <c r="M91" i="19"/>
  <c r="N91" i="19"/>
  <c r="O91" i="19"/>
  <c r="P91" i="19"/>
  <c r="M92" i="19"/>
  <c r="N92" i="19"/>
  <c r="O92" i="19"/>
  <c r="P92" i="19"/>
  <c r="M93" i="19"/>
  <c r="N93" i="19"/>
  <c r="O93" i="19"/>
  <c r="P93" i="19"/>
  <c r="M94" i="19"/>
  <c r="N94" i="19"/>
  <c r="O94" i="19"/>
  <c r="P94" i="19"/>
  <c r="M95" i="19"/>
  <c r="N95" i="19"/>
  <c r="O95" i="19"/>
  <c r="P95" i="19"/>
  <c r="M96" i="19"/>
  <c r="N96" i="19"/>
  <c r="O96" i="19"/>
  <c r="P96" i="19"/>
  <c r="M97" i="19"/>
  <c r="N97" i="19"/>
  <c r="O97" i="19"/>
  <c r="P97" i="19"/>
  <c r="M98" i="19"/>
  <c r="N98" i="19"/>
  <c r="O98" i="19"/>
  <c r="P98" i="19"/>
  <c r="M99" i="19"/>
  <c r="N99" i="19"/>
  <c r="O99" i="19"/>
  <c r="P99" i="19"/>
  <c r="M100" i="19"/>
  <c r="N100" i="19"/>
  <c r="O100" i="19"/>
  <c r="P100" i="19"/>
  <c r="M101" i="19"/>
  <c r="N101" i="19"/>
  <c r="O101" i="19"/>
  <c r="P101" i="19"/>
  <c r="M102" i="19"/>
  <c r="N102" i="19"/>
  <c r="O102" i="19"/>
  <c r="P102" i="19"/>
  <c r="M103" i="19"/>
  <c r="N103" i="19"/>
  <c r="O103" i="19"/>
  <c r="P103" i="19"/>
  <c r="M104" i="19"/>
  <c r="N104" i="19"/>
  <c r="O104" i="19"/>
  <c r="P104" i="19"/>
  <c r="M105" i="19"/>
  <c r="N105" i="19"/>
  <c r="O105" i="19"/>
  <c r="P105" i="19"/>
  <c r="M106" i="19"/>
  <c r="N106" i="19"/>
  <c r="O106" i="19"/>
  <c r="P106" i="19"/>
  <c r="M107" i="19"/>
  <c r="N107" i="19"/>
  <c r="O107" i="19"/>
  <c r="P107" i="19"/>
  <c r="M108" i="19"/>
  <c r="N108" i="19"/>
  <c r="O108" i="19"/>
  <c r="P108" i="19"/>
  <c r="M109" i="19"/>
  <c r="N109" i="19"/>
  <c r="O109" i="19"/>
  <c r="P109" i="19"/>
  <c r="M110" i="19"/>
  <c r="N110" i="19"/>
  <c r="O110" i="19"/>
  <c r="P110" i="19"/>
  <c r="M111" i="19"/>
  <c r="N111" i="19"/>
  <c r="O111" i="19"/>
  <c r="P111" i="19"/>
  <c r="M112" i="19"/>
  <c r="N112" i="19"/>
  <c r="O112" i="19"/>
  <c r="P112" i="19"/>
  <c r="M113" i="19"/>
  <c r="N113" i="19"/>
  <c r="O113" i="19"/>
  <c r="P113" i="19"/>
  <c r="M114" i="19"/>
  <c r="N114" i="19"/>
  <c r="O114" i="19"/>
  <c r="P114" i="19"/>
  <c r="M115" i="19"/>
  <c r="N115" i="19"/>
  <c r="O115" i="19"/>
  <c r="P115" i="19"/>
  <c r="M116" i="19"/>
  <c r="N116" i="19"/>
  <c r="O116" i="19"/>
  <c r="P116" i="19"/>
  <c r="M117" i="19"/>
  <c r="N117" i="19"/>
  <c r="O117" i="19"/>
  <c r="P117" i="19"/>
  <c r="M118" i="19"/>
  <c r="N118" i="19"/>
  <c r="O118" i="19"/>
  <c r="P118" i="19"/>
  <c r="M119" i="19"/>
  <c r="N119" i="19"/>
  <c r="O119" i="19"/>
  <c r="P119" i="19"/>
  <c r="M120" i="19"/>
  <c r="N120" i="19"/>
  <c r="O120" i="19"/>
  <c r="P120" i="19"/>
  <c r="M121" i="19"/>
  <c r="N121" i="19"/>
  <c r="O121" i="19"/>
  <c r="P121" i="19"/>
  <c r="M122" i="19"/>
  <c r="N122" i="19"/>
  <c r="O122" i="19"/>
  <c r="P122" i="19"/>
  <c r="M123" i="19"/>
  <c r="N123" i="19"/>
  <c r="O123" i="19"/>
  <c r="P123" i="19"/>
  <c r="M124" i="19"/>
  <c r="N124" i="19"/>
  <c r="O124" i="19"/>
  <c r="P124" i="19"/>
  <c r="M125" i="19"/>
  <c r="N125" i="19"/>
  <c r="O125" i="19"/>
  <c r="P125" i="19"/>
  <c r="M126" i="19"/>
  <c r="N126" i="19"/>
  <c r="O126" i="19"/>
  <c r="P126" i="19"/>
  <c r="M127" i="19"/>
  <c r="N127" i="19"/>
  <c r="O127" i="19"/>
  <c r="P127" i="19"/>
  <c r="P1" i="19"/>
  <c r="P2" i="19"/>
  <c r="P3" i="19"/>
  <c r="O1" i="19"/>
  <c r="O2" i="19"/>
  <c r="O3" i="19"/>
  <c r="M1" i="19"/>
  <c r="N1" i="19"/>
  <c r="M2" i="19"/>
  <c r="N2" i="19"/>
  <c r="M3" i="19"/>
  <c r="N3" i="19"/>
  <c r="A123" i="19"/>
  <c r="B123" i="19"/>
  <c r="C123" i="19"/>
  <c r="D123" i="19"/>
  <c r="E123" i="19"/>
  <c r="F123" i="19"/>
  <c r="G123" i="19"/>
  <c r="H123" i="19"/>
  <c r="I123" i="19"/>
  <c r="J123" i="19"/>
  <c r="K123" i="19"/>
  <c r="A124" i="19"/>
  <c r="B124" i="19"/>
  <c r="C124" i="19"/>
  <c r="D124" i="19"/>
  <c r="E124" i="19"/>
  <c r="F124" i="19"/>
  <c r="G124" i="19"/>
  <c r="H124" i="19"/>
  <c r="I124" i="19"/>
  <c r="J124" i="19"/>
  <c r="K124" i="19"/>
  <c r="A125" i="19"/>
  <c r="B125" i="19"/>
  <c r="C125" i="19"/>
  <c r="D125" i="19"/>
  <c r="E125" i="19"/>
  <c r="F125" i="19"/>
  <c r="G125" i="19"/>
  <c r="H125" i="19"/>
  <c r="I125" i="19"/>
  <c r="J125" i="19"/>
  <c r="K125" i="19"/>
  <c r="A126" i="19"/>
  <c r="B126" i="19"/>
  <c r="C126" i="19"/>
  <c r="D126" i="19"/>
  <c r="E126" i="19"/>
  <c r="F126" i="19"/>
  <c r="G126" i="19"/>
  <c r="H126" i="19"/>
  <c r="I126" i="19"/>
  <c r="J126" i="19"/>
  <c r="K126" i="19"/>
  <c r="A127" i="19"/>
  <c r="B127" i="19"/>
  <c r="C127" i="19"/>
  <c r="D127" i="19"/>
  <c r="E127" i="19"/>
  <c r="F127" i="19"/>
  <c r="G127" i="19"/>
  <c r="H127" i="19"/>
  <c r="I127" i="19"/>
  <c r="J127" i="19"/>
  <c r="K127" i="19"/>
  <c r="A20" i="19"/>
  <c r="B20" i="19"/>
  <c r="C20" i="19"/>
  <c r="D20" i="19"/>
  <c r="E20" i="19"/>
  <c r="F20" i="19"/>
  <c r="G20" i="19"/>
  <c r="H20" i="19"/>
  <c r="I20" i="19"/>
  <c r="J20" i="19"/>
  <c r="K20" i="19"/>
  <c r="A21" i="19"/>
  <c r="B21" i="19"/>
  <c r="C21" i="19"/>
  <c r="D21" i="19"/>
  <c r="E21" i="19"/>
  <c r="F21" i="19"/>
  <c r="G21" i="19"/>
  <c r="H21" i="19"/>
  <c r="I21" i="19"/>
  <c r="J21" i="19"/>
  <c r="K21" i="19"/>
  <c r="A22" i="19"/>
  <c r="B22" i="19"/>
  <c r="C22" i="19"/>
  <c r="D22" i="19"/>
  <c r="E22" i="19"/>
  <c r="F22" i="19"/>
  <c r="G22" i="19"/>
  <c r="H22" i="19"/>
  <c r="I22" i="19"/>
  <c r="J22" i="19"/>
  <c r="K22" i="19"/>
  <c r="A23" i="19"/>
  <c r="B23" i="19"/>
  <c r="C23" i="19"/>
  <c r="D23" i="19"/>
  <c r="E23" i="19"/>
  <c r="F23" i="19"/>
  <c r="G23" i="19"/>
  <c r="H23" i="19"/>
  <c r="I23" i="19"/>
  <c r="J23" i="19"/>
  <c r="K23" i="19"/>
  <c r="A24" i="19"/>
  <c r="B24" i="19"/>
  <c r="C24" i="19"/>
  <c r="D24" i="19"/>
  <c r="E24" i="19"/>
  <c r="F24" i="19"/>
  <c r="G24" i="19"/>
  <c r="H24" i="19"/>
  <c r="I24" i="19"/>
  <c r="J24" i="19"/>
  <c r="K24" i="19"/>
  <c r="A25" i="19"/>
  <c r="B25" i="19"/>
  <c r="C25" i="19"/>
  <c r="D25" i="19"/>
  <c r="E25" i="19"/>
  <c r="F25" i="19"/>
  <c r="G25" i="19"/>
  <c r="H25" i="19"/>
  <c r="I25" i="19"/>
  <c r="J25" i="19"/>
  <c r="K25" i="19"/>
  <c r="A26" i="19"/>
  <c r="B26" i="19"/>
  <c r="C26" i="19"/>
  <c r="D26" i="19"/>
  <c r="E26" i="19"/>
  <c r="F26" i="19"/>
  <c r="G26" i="19"/>
  <c r="H26" i="19"/>
  <c r="I26" i="19"/>
  <c r="J26" i="19"/>
  <c r="K26" i="19"/>
  <c r="A27" i="19"/>
  <c r="B27" i="19"/>
  <c r="C27" i="19"/>
  <c r="D27" i="19"/>
  <c r="E27" i="19"/>
  <c r="F27" i="19"/>
  <c r="G27" i="19"/>
  <c r="H27" i="19"/>
  <c r="I27" i="19"/>
  <c r="J27" i="19"/>
  <c r="K27" i="19"/>
  <c r="A28" i="19"/>
  <c r="B28" i="19"/>
  <c r="C28" i="19"/>
  <c r="D28" i="19"/>
  <c r="E28" i="19"/>
  <c r="F28" i="19"/>
  <c r="G28" i="19"/>
  <c r="H28" i="19"/>
  <c r="I28" i="19"/>
  <c r="J28" i="19"/>
  <c r="K28" i="19"/>
  <c r="A29" i="19"/>
  <c r="B29" i="19"/>
  <c r="C29" i="19"/>
  <c r="D29" i="19"/>
  <c r="E29" i="19"/>
  <c r="F29" i="19"/>
  <c r="G29" i="19"/>
  <c r="H29" i="19"/>
  <c r="I29" i="19"/>
  <c r="J29" i="19"/>
  <c r="K29" i="19"/>
  <c r="A30" i="19"/>
  <c r="B30" i="19"/>
  <c r="C30" i="19"/>
  <c r="D30" i="19"/>
  <c r="E30" i="19"/>
  <c r="F30" i="19"/>
  <c r="G30" i="19"/>
  <c r="H30" i="19"/>
  <c r="I30" i="19"/>
  <c r="J30" i="19"/>
  <c r="K30" i="19"/>
  <c r="A31" i="19"/>
  <c r="B31" i="19"/>
  <c r="C31" i="19"/>
  <c r="D31" i="19"/>
  <c r="E31" i="19"/>
  <c r="F31" i="19"/>
  <c r="G31" i="19"/>
  <c r="H31" i="19"/>
  <c r="I31" i="19"/>
  <c r="J31" i="19"/>
  <c r="K31" i="19"/>
  <c r="A32" i="19"/>
  <c r="B32" i="19"/>
  <c r="C32" i="19"/>
  <c r="D32" i="19"/>
  <c r="E32" i="19"/>
  <c r="F32" i="19"/>
  <c r="G32" i="19"/>
  <c r="H32" i="19"/>
  <c r="I32" i="19"/>
  <c r="J32" i="19"/>
  <c r="K32" i="19"/>
  <c r="A33" i="19"/>
  <c r="B33" i="19"/>
  <c r="C33" i="19"/>
  <c r="D33" i="19"/>
  <c r="E33" i="19"/>
  <c r="F33" i="19"/>
  <c r="G33" i="19"/>
  <c r="H33" i="19"/>
  <c r="I33" i="19"/>
  <c r="J33" i="19"/>
  <c r="K33" i="19"/>
  <c r="A34" i="19"/>
  <c r="B34" i="19"/>
  <c r="C34" i="19"/>
  <c r="D34" i="19"/>
  <c r="E34" i="19"/>
  <c r="F34" i="19"/>
  <c r="G34" i="19"/>
  <c r="H34" i="19"/>
  <c r="I34" i="19"/>
  <c r="J34" i="19"/>
  <c r="K34" i="19"/>
  <c r="A35" i="19"/>
  <c r="B35" i="19"/>
  <c r="C35" i="19"/>
  <c r="D35" i="19"/>
  <c r="E35" i="19"/>
  <c r="F35" i="19"/>
  <c r="G35" i="19"/>
  <c r="H35" i="19"/>
  <c r="I35" i="19"/>
  <c r="J35" i="19"/>
  <c r="K35" i="19"/>
  <c r="A36" i="19"/>
  <c r="B36" i="19"/>
  <c r="C36" i="19"/>
  <c r="D36" i="19"/>
  <c r="E36" i="19"/>
  <c r="F36" i="19"/>
  <c r="G36" i="19"/>
  <c r="H36" i="19"/>
  <c r="I36" i="19"/>
  <c r="J36" i="19"/>
  <c r="K36" i="19"/>
  <c r="A37" i="19"/>
  <c r="B37" i="19"/>
  <c r="C37" i="19"/>
  <c r="D37" i="19"/>
  <c r="E37" i="19"/>
  <c r="F37" i="19"/>
  <c r="G37" i="19"/>
  <c r="H37" i="19"/>
  <c r="I37" i="19"/>
  <c r="J37" i="19"/>
  <c r="K37" i="19"/>
  <c r="A38" i="19"/>
  <c r="B38" i="19"/>
  <c r="C38" i="19"/>
  <c r="D38" i="19"/>
  <c r="E38" i="19"/>
  <c r="F38" i="19"/>
  <c r="G38" i="19"/>
  <c r="H38" i="19"/>
  <c r="I38" i="19"/>
  <c r="J38" i="19"/>
  <c r="K38" i="19"/>
  <c r="A39" i="19"/>
  <c r="B39" i="19"/>
  <c r="C39" i="19"/>
  <c r="D39" i="19"/>
  <c r="E39" i="19"/>
  <c r="F39" i="19"/>
  <c r="G39" i="19"/>
  <c r="H39" i="19"/>
  <c r="I39" i="19"/>
  <c r="J39" i="19"/>
  <c r="K39" i="19"/>
  <c r="A40" i="19"/>
  <c r="B40" i="19"/>
  <c r="C40" i="19"/>
  <c r="D40" i="19"/>
  <c r="E40" i="19"/>
  <c r="F40" i="19"/>
  <c r="G40" i="19"/>
  <c r="H40" i="19"/>
  <c r="I40" i="19"/>
  <c r="J40" i="19"/>
  <c r="K40" i="19"/>
  <c r="A41" i="19"/>
  <c r="B41" i="19"/>
  <c r="C41" i="19"/>
  <c r="D41" i="19"/>
  <c r="E41" i="19"/>
  <c r="F41" i="19"/>
  <c r="G41" i="19"/>
  <c r="H41" i="19"/>
  <c r="I41" i="19"/>
  <c r="J41" i="19"/>
  <c r="K41" i="19"/>
  <c r="A42" i="19"/>
  <c r="B42" i="19"/>
  <c r="C42" i="19"/>
  <c r="D42" i="19"/>
  <c r="E42" i="19"/>
  <c r="F42" i="19"/>
  <c r="G42" i="19"/>
  <c r="H42" i="19"/>
  <c r="I42" i="19"/>
  <c r="J42" i="19"/>
  <c r="K42" i="19"/>
  <c r="A43" i="19"/>
  <c r="B43" i="19"/>
  <c r="C43" i="19"/>
  <c r="D43" i="19"/>
  <c r="E43" i="19"/>
  <c r="F43" i="19"/>
  <c r="G43" i="19"/>
  <c r="H43" i="19"/>
  <c r="I43" i="19"/>
  <c r="J43" i="19"/>
  <c r="K43" i="19"/>
  <c r="A44" i="19"/>
  <c r="B44" i="19"/>
  <c r="C44" i="19"/>
  <c r="D44" i="19"/>
  <c r="E44" i="19"/>
  <c r="F44" i="19"/>
  <c r="G44" i="19"/>
  <c r="H44" i="19"/>
  <c r="I44" i="19"/>
  <c r="J44" i="19"/>
  <c r="K44" i="19"/>
  <c r="A45" i="19"/>
  <c r="B45" i="19"/>
  <c r="C45" i="19"/>
  <c r="D45" i="19"/>
  <c r="E45" i="19"/>
  <c r="F45" i="19"/>
  <c r="G45" i="19"/>
  <c r="H45" i="19"/>
  <c r="I45" i="19"/>
  <c r="J45" i="19"/>
  <c r="K45" i="19"/>
  <c r="A46" i="19"/>
  <c r="B46" i="19"/>
  <c r="C46" i="19"/>
  <c r="D46" i="19"/>
  <c r="E46" i="19"/>
  <c r="F46" i="19"/>
  <c r="G46" i="19"/>
  <c r="H46" i="19"/>
  <c r="I46" i="19"/>
  <c r="J46" i="19"/>
  <c r="K46" i="19"/>
  <c r="A47" i="19"/>
  <c r="B47" i="19"/>
  <c r="C47" i="19"/>
  <c r="D47" i="19"/>
  <c r="E47" i="19"/>
  <c r="F47" i="19"/>
  <c r="G47" i="19"/>
  <c r="H47" i="19"/>
  <c r="I47" i="19"/>
  <c r="J47" i="19"/>
  <c r="K47" i="19"/>
  <c r="A48" i="19"/>
  <c r="B48" i="19"/>
  <c r="C48" i="19"/>
  <c r="D48" i="19"/>
  <c r="E48" i="19"/>
  <c r="F48" i="19"/>
  <c r="G48" i="19"/>
  <c r="H48" i="19"/>
  <c r="I48" i="19"/>
  <c r="J48" i="19"/>
  <c r="K48" i="19"/>
  <c r="A49" i="19"/>
  <c r="B49" i="19"/>
  <c r="C49" i="19"/>
  <c r="D49" i="19"/>
  <c r="E49" i="19"/>
  <c r="F49" i="19"/>
  <c r="G49" i="19"/>
  <c r="H49" i="19"/>
  <c r="I49" i="19"/>
  <c r="J49" i="19"/>
  <c r="K49" i="19"/>
  <c r="A50" i="19"/>
  <c r="B50" i="19"/>
  <c r="C50" i="19"/>
  <c r="D50" i="19"/>
  <c r="E50" i="19"/>
  <c r="F50" i="19"/>
  <c r="G50" i="19"/>
  <c r="H50" i="19"/>
  <c r="I50" i="19"/>
  <c r="J50" i="19"/>
  <c r="K50" i="19"/>
  <c r="A51" i="19"/>
  <c r="B51" i="19"/>
  <c r="C51" i="19"/>
  <c r="D51" i="19"/>
  <c r="E51" i="19"/>
  <c r="F51" i="19"/>
  <c r="G51" i="19"/>
  <c r="H51" i="19"/>
  <c r="I51" i="19"/>
  <c r="J51" i="19"/>
  <c r="K51" i="19"/>
  <c r="A52" i="19"/>
  <c r="B52" i="19"/>
  <c r="C52" i="19"/>
  <c r="D52" i="19"/>
  <c r="E52" i="19"/>
  <c r="F52" i="19"/>
  <c r="G52" i="19"/>
  <c r="H52" i="19"/>
  <c r="I52" i="19"/>
  <c r="J52" i="19"/>
  <c r="K52" i="19"/>
  <c r="A53" i="19"/>
  <c r="B53" i="19"/>
  <c r="C53" i="19"/>
  <c r="D53" i="19"/>
  <c r="E53" i="19"/>
  <c r="F53" i="19"/>
  <c r="G53" i="19"/>
  <c r="H53" i="19"/>
  <c r="I53" i="19"/>
  <c r="J53" i="19"/>
  <c r="K53" i="19"/>
  <c r="A54" i="19"/>
  <c r="B54" i="19"/>
  <c r="C54" i="19"/>
  <c r="D54" i="19"/>
  <c r="E54" i="19"/>
  <c r="F54" i="19"/>
  <c r="G54" i="19"/>
  <c r="H54" i="19"/>
  <c r="I54" i="19"/>
  <c r="J54" i="19"/>
  <c r="K54" i="19"/>
  <c r="A55" i="19"/>
  <c r="B55" i="19"/>
  <c r="C55" i="19"/>
  <c r="D55" i="19"/>
  <c r="E55" i="19"/>
  <c r="F55" i="19"/>
  <c r="G55" i="19"/>
  <c r="H55" i="19"/>
  <c r="I55" i="19"/>
  <c r="J55" i="19"/>
  <c r="K55" i="19"/>
  <c r="A56" i="19"/>
  <c r="B56" i="19"/>
  <c r="C56" i="19"/>
  <c r="D56" i="19"/>
  <c r="E56" i="19"/>
  <c r="F56" i="19"/>
  <c r="G56" i="19"/>
  <c r="H56" i="19"/>
  <c r="I56" i="19"/>
  <c r="J56" i="19"/>
  <c r="K56" i="19"/>
  <c r="A57" i="19"/>
  <c r="B57" i="19"/>
  <c r="C57" i="19"/>
  <c r="D57" i="19"/>
  <c r="E57" i="19"/>
  <c r="F57" i="19"/>
  <c r="G57" i="19"/>
  <c r="H57" i="19"/>
  <c r="I57" i="19"/>
  <c r="J57" i="19"/>
  <c r="K57" i="19"/>
  <c r="A58" i="19"/>
  <c r="B58" i="19"/>
  <c r="C58" i="19"/>
  <c r="D58" i="19"/>
  <c r="E58" i="19"/>
  <c r="F58" i="19"/>
  <c r="G58" i="19"/>
  <c r="H58" i="19"/>
  <c r="I58" i="19"/>
  <c r="J58" i="19"/>
  <c r="K58" i="19"/>
  <c r="A59" i="19"/>
  <c r="B59" i="19"/>
  <c r="C59" i="19"/>
  <c r="D59" i="19"/>
  <c r="E59" i="19"/>
  <c r="F59" i="19"/>
  <c r="G59" i="19"/>
  <c r="H59" i="19"/>
  <c r="I59" i="19"/>
  <c r="J59" i="19"/>
  <c r="K59" i="19"/>
  <c r="A60" i="19"/>
  <c r="B60" i="19"/>
  <c r="C60" i="19"/>
  <c r="D60" i="19"/>
  <c r="E60" i="19"/>
  <c r="F60" i="19"/>
  <c r="G60" i="19"/>
  <c r="H60" i="19"/>
  <c r="I60" i="19"/>
  <c r="J60" i="19"/>
  <c r="K60" i="19"/>
  <c r="A61" i="19"/>
  <c r="B61" i="19"/>
  <c r="C61" i="19"/>
  <c r="D61" i="19"/>
  <c r="E61" i="19"/>
  <c r="F61" i="19"/>
  <c r="G61" i="19"/>
  <c r="H61" i="19"/>
  <c r="I61" i="19"/>
  <c r="J61" i="19"/>
  <c r="K61" i="19"/>
  <c r="A62" i="19"/>
  <c r="B62" i="19"/>
  <c r="C62" i="19"/>
  <c r="D62" i="19"/>
  <c r="E62" i="19"/>
  <c r="F62" i="19"/>
  <c r="G62" i="19"/>
  <c r="H62" i="19"/>
  <c r="I62" i="19"/>
  <c r="J62" i="19"/>
  <c r="K62" i="19"/>
  <c r="A63" i="19"/>
  <c r="B63" i="19"/>
  <c r="C63" i="19"/>
  <c r="D63" i="19"/>
  <c r="E63" i="19"/>
  <c r="F63" i="19"/>
  <c r="G63" i="19"/>
  <c r="H63" i="19"/>
  <c r="I63" i="19"/>
  <c r="J63" i="19"/>
  <c r="K63" i="19"/>
  <c r="A64" i="19"/>
  <c r="B64" i="19"/>
  <c r="C64" i="19"/>
  <c r="D64" i="19"/>
  <c r="E64" i="19"/>
  <c r="F64" i="19"/>
  <c r="G64" i="19"/>
  <c r="H64" i="19"/>
  <c r="I64" i="19"/>
  <c r="J64" i="19"/>
  <c r="K64" i="19"/>
  <c r="A65" i="19"/>
  <c r="B65" i="19"/>
  <c r="C65" i="19"/>
  <c r="D65" i="19"/>
  <c r="E65" i="19"/>
  <c r="F65" i="19"/>
  <c r="G65" i="19"/>
  <c r="H65" i="19"/>
  <c r="I65" i="19"/>
  <c r="J65" i="19"/>
  <c r="K65" i="19"/>
  <c r="A66" i="19"/>
  <c r="B66" i="19"/>
  <c r="C66" i="19"/>
  <c r="D66" i="19"/>
  <c r="E66" i="19"/>
  <c r="F66" i="19"/>
  <c r="G66" i="19"/>
  <c r="H66" i="19"/>
  <c r="I66" i="19"/>
  <c r="J66" i="19"/>
  <c r="K66" i="19"/>
  <c r="A67" i="19"/>
  <c r="B67" i="19"/>
  <c r="C67" i="19"/>
  <c r="D67" i="19"/>
  <c r="E67" i="19"/>
  <c r="F67" i="19"/>
  <c r="G67" i="19"/>
  <c r="H67" i="19"/>
  <c r="I67" i="19"/>
  <c r="J67" i="19"/>
  <c r="K67" i="19"/>
  <c r="A68" i="19"/>
  <c r="B68" i="19"/>
  <c r="C68" i="19"/>
  <c r="D68" i="19"/>
  <c r="E68" i="19"/>
  <c r="F68" i="19"/>
  <c r="G68" i="19"/>
  <c r="H68" i="19"/>
  <c r="I68" i="19"/>
  <c r="J68" i="19"/>
  <c r="K68" i="19"/>
  <c r="A69" i="19"/>
  <c r="B69" i="19"/>
  <c r="C69" i="19"/>
  <c r="D69" i="19"/>
  <c r="E69" i="19"/>
  <c r="F69" i="19"/>
  <c r="G69" i="19"/>
  <c r="H69" i="19"/>
  <c r="I69" i="19"/>
  <c r="J69" i="19"/>
  <c r="K69" i="19"/>
  <c r="A70" i="19"/>
  <c r="B70" i="19"/>
  <c r="C70" i="19"/>
  <c r="D70" i="19"/>
  <c r="E70" i="19"/>
  <c r="F70" i="19"/>
  <c r="G70" i="19"/>
  <c r="H70" i="19"/>
  <c r="I70" i="19"/>
  <c r="J70" i="19"/>
  <c r="K70" i="19"/>
  <c r="A71" i="19"/>
  <c r="B71" i="19"/>
  <c r="C71" i="19"/>
  <c r="D71" i="19"/>
  <c r="E71" i="19"/>
  <c r="F71" i="19"/>
  <c r="G71" i="19"/>
  <c r="H71" i="19"/>
  <c r="I71" i="19"/>
  <c r="J71" i="19"/>
  <c r="K71" i="19"/>
  <c r="A72" i="19"/>
  <c r="B72" i="19"/>
  <c r="C72" i="19"/>
  <c r="D72" i="19"/>
  <c r="E72" i="19"/>
  <c r="F72" i="19"/>
  <c r="G72" i="19"/>
  <c r="H72" i="19"/>
  <c r="I72" i="19"/>
  <c r="J72" i="19"/>
  <c r="K72" i="19"/>
  <c r="A73" i="19"/>
  <c r="B73" i="19"/>
  <c r="C73" i="19"/>
  <c r="D73" i="19"/>
  <c r="E73" i="19"/>
  <c r="F73" i="19"/>
  <c r="G73" i="19"/>
  <c r="H73" i="19"/>
  <c r="I73" i="19"/>
  <c r="J73" i="19"/>
  <c r="K73" i="19"/>
  <c r="A74" i="19"/>
  <c r="B74" i="19"/>
  <c r="C74" i="19"/>
  <c r="D74" i="19"/>
  <c r="E74" i="19"/>
  <c r="F74" i="19"/>
  <c r="G74" i="19"/>
  <c r="H74" i="19"/>
  <c r="I74" i="19"/>
  <c r="J74" i="19"/>
  <c r="K74" i="19"/>
  <c r="A75" i="19"/>
  <c r="B75" i="19"/>
  <c r="C75" i="19"/>
  <c r="D75" i="19"/>
  <c r="E75" i="19"/>
  <c r="F75" i="19"/>
  <c r="G75" i="19"/>
  <c r="H75" i="19"/>
  <c r="I75" i="19"/>
  <c r="J75" i="19"/>
  <c r="K75" i="19"/>
  <c r="A76" i="19"/>
  <c r="B76" i="19"/>
  <c r="C76" i="19"/>
  <c r="D76" i="19"/>
  <c r="E76" i="19"/>
  <c r="F76" i="19"/>
  <c r="G76" i="19"/>
  <c r="H76" i="19"/>
  <c r="I76" i="19"/>
  <c r="J76" i="19"/>
  <c r="K76" i="19"/>
  <c r="A77" i="19"/>
  <c r="B77" i="19"/>
  <c r="C77" i="19"/>
  <c r="D77" i="19"/>
  <c r="E77" i="19"/>
  <c r="F77" i="19"/>
  <c r="G77" i="19"/>
  <c r="H77" i="19"/>
  <c r="I77" i="19"/>
  <c r="J77" i="19"/>
  <c r="K77" i="19"/>
  <c r="A78" i="19"/>
  <c r="B78" i="19"/>
  <c r="C78" i="19"/>
  <c r="D78" i="19"/>
  <c r="E78" i="19"/>
  <c r="F78" i="19"/>
  <c r="G78" i="19"/>
  <c r="H78" i="19"/>
  <c r="I78" i="19"/>
  <c r="J78" i="19"/>
  <c r="K78" i="19"/>
  <c r="A79" i="19"/>
  <c r="B79" i="19"/>
  <c r="C79" i="19"/>
  <c r="D79" i="19"/>
  <c r="E79" i="19"/>
  <c r="F79" i="19"/>
  <c r="G79" i="19"/>
  <c r="H79" i="19"/>
  <c r="I79" i="19"/>
  <c r="J79" i="19"/>
  <c r="K79" i="19"/>
  <c r="A80" i="19"/>
  <c r="B80" i="19"/>
  <c r="C80" i="19"/>
  <c r="D80" i="19"/>
  <c r="E80" i="19"/>
  <c r="F80" i="19"/>
  <c r="G80" i="19"/>
  <c r="H80" i="19"/>
  <c r="I80" i="19"/>
  <c r="J80" i="19"/>
  <c r="K80" i="19"/>
  <c r="A81" i="19"/>
  <c r="B81" i="19"/>
  <c r="C81" i="19"/>
  <c r="D81" i="19"/>
  <c r="E81" i="19"/>
  <c r="F81" i="19"/>
  <c r="G81" i="19"/>
  <c r="H81" i="19"/>
  <c r="I81" i="19"/>
  <c r="J81" i="19"/>
  <c r="K81" i="19"/>
  <c r="A82" i="19"/>
  <c r="B82" i="19"/>
  <c r="C82" i="19"/>
  <c r="D82" i="19"/>
  <c r="E82" i="19"/>
  <c r="F82" i="19"/>
  <c r="G82" i="19"/>
  <c r="H82" i="19"/>
  <c r="I82" i="19"/>
  <c r="J82" i="19"/>
  <c r="K82" i="19"/>
  <c r="A83" i="19"/>
  <c r="B83" i="19"/>
  <c r="C83" i="19"/>
  <c r="D83" i="19"/>
  <c r="E83" i="19"/>
  <c r="F83" i="19"/>
  <c r="G83" i="19"/>
  <c r="H83" i="19"/>
  <c r="I83" i="19"/>
  <c r="J83" i="19"/>
  <c r="K83" i="19"/>
  <c r="A84" i="19"/>
  <c r="B84" i="19"/>
  <c r="C84" i="19"/>
  <c r="D84" i="19"/>
  <c r="E84" i="19"/>
  <c r="F84" i="19"/>
  <c r="G84" i="19"/>
  <c r="H84" i="19"/>
  <c r="I84" i="19"/>
  <c r="J84" i="19"/>
  <c r="K84" i="19"/>
  <c r="A85" i="19"/>
  <c r="B85" i="19"/>
  <c r="C85" i="19"/>
  <c r="D85" i="19"/>
  <c r="E85" i="19"/>
  <c r="F85" i="19"/>
  <c r="G85" i="19"/>
  <c r="H85" i="19"/>
  <c r="I85" i="19"/>
  <c r="J85" i="19"/>
  <c r="K85" i="19"/>
  <c r="A86" i="19"/>
  <c r="B86" i="19"/>
  <c r="C86" i="19"/>
  <c r="D86" i="19"/>
  <c r="E86" i="19"/>
  <c r="F86" i="19"/>
  <c r="G86" i="19"/>
  <c r="H86" i="19"/>
  <c r="I86" i="19"/>
  <c r="J86" i="19"/>
  <c r="K86" i="19"/>
  <c r="A87" i="19"/>
  <c r="B87" i="19"/>
  <c r="C87" i="19"/>
  <c r="D87" i="19"/>
  <c r="E87" i="19"/>
  <c r="F87" i="19"/>
  <c r="G87" i="19"/>
  <c r="H87" i="19"/>
  <c r="I87" i="19"/>
  <c r="J87" i="19"/>
  <c r="K87" i="19"/>
  <c r="A88" i="19"/>
  <c r="B88" i="19"/>
  <c r="C88" i="19"/>
  <c r="D88" i="19"/>
  <c r="E88" i="19"/>
  <c r="F88" i="19"/>
  <c r="G88" i="19"/>
  <c r="H88" i="19"/>
  <c r="I88" i="19"/>
  <c r="J88" i="19"/>
  <c r="K88" i="19"/>
  <c r="A89" i="19"/>
  <c r="B89" i="19"/>
  <c r="C89" i="19"/>
  <c r="D89" i="19"/>
  <c r="E89" i="19"/>
  <c r="F89" i="19"/>
  <c r="G89" i="19"/>
  <c r="H89" i="19"/>
  <c r="I89" i="19"/>
  <c r="J89" i="19"/>
  <c r="K89" i="19"/>
  <c r="A90" i="19"/>
  <c r="B90" i="19"/>
  <c r="C90" i="19"/>
  <c r="D90" i="19"/>
  <c r="E90" i="19"/>
  <c r="F90" i="19"/>
  <c r="G90" i="19"/>
  <c r="H90" i="19"/>
  <c r="I90" i="19"/>
  <c r="J90" i="19"/>
  <c r="K90" i="19"/>
  <c r="A91" i="19"/>
  <c r="B91" i="19"/>
  <c r="C91" i="19"/>
  <c r="D91" i="19"/>
  <c r="E91" i="19"/>
  <c r="F91" i="19"/>
  <c r="G91" i="19"/>
  <c r="H91" i="19"/>
  <c r="I91" i="19"/>
  <c r="J91" i="19"/>
  <c r="K91" i="19"/>
  <c r="A92" i="19"/>
  <c r="B92" i="19"/>
  <c r="C92" i="19"/>
  <c r="D92" i="19"/>
  <c r="E92" i="19"/>
  <c r="F92" i="19"/>
  <c r="G92" i="19"/>
  <c r="H92" i="19"/>
  <c r="I92" i="19"/>
  <c r="J92" i="19"/>
  <c r="K92" i="19"/>
  <c r="A93" i="19"/>
  <c r="B93" i="19"/>
  <c r="C93" i="19"/>
  <c r="D93" i="19"/>
  <c r="E93" i="19"/>
  <c r="F93" i="19"/>
  <c r="G93" i="19"/>
  <c r="H93" i="19"/>
  <c r="I93" i="19"/>
  <c r="J93" i="19"/>
  <c r="K93" i="19"/>
  <c r="A94" i="19"/>
  <c r="B94" i="19"/>
  <c r="C94" i="19"/>
  <c r="D94" i="19"/>
  <c r="E94" i="19"/>
  <c r="F94" i="19"/>
  <c r="G94" i="19"/>
  <c r="H94" i="19"/>
  <c r="I94" i="19"/>
  <c r="J94" i="19"/>
  <c r="K94" i="19"/>
  <c r="A95" i="19"/>
  <c r="B95" i="19"/>
  <c r="C95" i="19"/>
  <c r="D95" i="19"/>
  <c r="E95" i="19"/>
  <c r="F95" i="19"/>
  <c r="G95" i="19"/>
  <c r="H95" i="19"/>
  <c r="I95" i="19"/>
  <c r="J95" i="19"/>
  <c r="K95" i="19"/>
  <c r="A96" i="19"/>
  <c r="B96" i="19"/>
  <c r="C96" i="19"/>
  <c r="D96" i="19"/>
  <c r="E96" i="19"/>
  <c r="F96" i="19"/>
  <c r="G96" i="19"/>
  <c r="H96" i="19"/>
  <c r="I96" i="19"/>
  <c r="J96" i="19"/>
  <c r="K96" i="19"/>
  <c r="A97" i="19"/>
  <c r="B97" i="19"/>
  <c r="C97" i="19"/>
  <c r="D97" i="19"/>
  <c r="E97" i="19"/>
  <c r="F97" i="19"/>
  <c r="G97" i="19"/>
  <c r="H97" i="19"/>
  <c r="I97" i="19"/>
  <c r="J97" i="19"/>
  <c r="K97" i="19"/>
  <c r="A98" i="19"/>
  <c r="B98" i="19"/>
  <c r="C98" i="19"/>
  <c r="D98" i="19"/>
  <c r="E98" i="19"/>
  <c r="F98" i="19"/>
  <c r="G98" i="19"/>
  <c r="H98" i="19"/>
  <c r="I98" i="19"/>
  <c r="J98" i="19"/>
  <c r="K98" i="19"/>
  <c r="A99" i="19"/>
  <c r="B99" i="19"/>
  <c r="C99" i="19"/>
  <c r="D99" i="19"/>
  <c r="E99" i="19"/>
  <c r="F99" i="19"/>
  <c r="G99" i="19"/>
  <c r="H99" i="19"/>
  <c r="I99" i="19"/>
  <c r="J99" i="19"/>
  <c r="K99" i="19"/>
  <c r="A100" i="19"/>
  <c r="B100" i="19"/>
  <c r="C100" i="19"/>
  <c r="D100" i="19"/>
  <c r="E100" i="19"/>
  <c r="F100" i="19"/>
  <c r="G100" i="19"/>
  <c r="H100" i="19"/>
  <c r="I100" i="19"/>
  <c r="J100" i="19"/>
  <c r="K100" i="19"/>
  <c r="A101" i="19"/>
  <c r="B101" i="19"/>
  <c r="C101" i="19"/>
  <c r="D101" i="19"/>
  <c r="E101" i="19"/>
  <c r="F101" i="19"/>
  <c r="G101" i="19"/>
  <c r="H101" i="19"/>
  <c r="I101" i="19"/>
  <c r="J101" i="19"/>
  <c r="K101" i="19"/>
  <c r="A102" i="19"/>
  <c r="B102" i="19"/>
  <c r="C102" i="19"/>
  <c r="D102" i="19"/>
  <c r="E102" i="19"/>
  <c r="F102" i="19"/>
  <c r="G102" i="19"/>
  <c r="H102" i="19"/>
  <c r="I102" i="19"/>
  <c r="J102" i="19"/>
  <c r="K102" i="19"/>
  <c r="A103" i="19"/>
  <c r="B103" i="19"/>
  <c r="C103" i="19"/>
  <c r="D103" i="19"/>
  <c r="E103" i="19"/>
  <c r="F103" i="19"/>
  <c r="G103" i="19"/>
  <c r="H103" i="19"/>
  <c r="I103" i="19"/>
  <c r="J103" i="19"/>
  <c r="K103" i="19"/>
  <c r="A104" i="19"/>
  <c r="B104" i="19"/>
  <c r="C104" i="19"/>
  <c r="D104" i="19"/>
  <c r="E104" i="19"/>
  <c r="F104" i="19"/>
  <c r="G104" i="19"/>
  <c r="H104" i="19"/>
  <c r="I104" i="19"/>
  <c r="J104" i="19"/>
  <c r="K104" i="19"/>
  <c r="A105" i="19"/>
  <c r="B105" i="19"/>
  <c r="C105" i="19"/>
  <c r="D105" i="19"/>
  <c r="E105" i="19"/>
  <c r="F105" i="19"/>
  <c r="G105" i="19"/>
  <c r="H105" i="19"/>
  <c r="I105" i="19"/>
  <c r="J105" i="19"/>
  <c r="K105" i="19"/>
  <c r="A106" i="19"/>
  <c r="B106" i="19"/>
  <c r="C106" i="19"/>
  <c r="D106" i="19"/>
  <c r="E106" i="19"/>
  <c r="F106" i="19"/>
  <c r="G106" i="19"/>
  <c r="H106" i="19"/>
  <c r="I106" i="19"/>
  <c r="J106" i="19"/>
  <c r="K106" i="19"/>
  <c r="A107" i="19"/>
  <c r="B107" i="19"/>
  <c r="C107" i="19"/>
  <c r="D107" i="19"/>
  <c r="E107" i="19"/>
  <c r="F107" i="19"/>
  <c r="G107" i="19"/>
  <c r="H107" i="19"/>
  <c r="I107" i="19"/>
  <c r="J107" i="19"/>
  <c r="K107" i="19"/>
  <c r="A108" i="19"/>
  <c r="B108" i="19"/>
  <c r="C108" i="19"/>
  <c r="D108" i="19"/>
  <c r="E108" i="19"/>
  <c r="F108" i="19"/>
  <c r="G108" i="19"/>
  <c r="H108" i="19"/>
  <c r="I108" i="19"/>
  <c r="J108" i="19"/>
  <c r="K108" i="19"/>
  <c r="A109" i="19"/>
  <c r="B109" i="19"/>
  <c r="C109" i="19"/>
  <c r="D109" i="19"/>
  <c r="E109" i="19"/>
  <c r="F109" i="19"/>
  <c r="G109" i="19"/>
  <c r="H109" i="19"/>
  <c r="I109" i="19"/>
  <c r="J109" i="19"/>
  <c r="K109" i="19"/>
  <c r="A110" i="19"/>
  <c r="B110" i="19"/>
  <c r="C110" i="19"/>
  <c r="D110" i="19"/>
  <c r="E110" i="19"/>
  <c r="F110" i="19"/>
  <c r="G110" i="19"/>
  <c r="H110" i="19"/>
  <c r="I110" i="19"/>
  <c r="J110" i="19"/>
  <c r="K110" i="19"/>
  <c r="A111" i="19"/>
  <c r="B111" i="19"/>
  <c r="C111" i="19"/>
  <c r="D111" i="19"/>
  <c r="E111" i="19"/>
  <c r="F111" i="19"/>
  <c r="G111" i="19"/>
  <c r="H111" i="19"/>
  <c r="I111" i="19"/>
  <c r="J111" i="19"/>
  <c r="K111" i="19"/>
  <c r="A112" i="19"/>
  <c r="B112" i="19"/>
  <c r="C112" i="19"/>
  <c r="D112" i="19"/>
  <c r="E112" i="19"/>
  <c r="F112" i="19"/>
  <c r="G112" i="19"/>
  <c r="H112" i="19"/>
  <c r="I112" i="19"/>
  <c r="J112" i="19"/>
  <c r="K112" i="19"/>
  <c r="A113" i="19"/>
  <c r="B113" i="19"/>
  <c r="C113" i="19"/>
  <c r="D113" i="19"/>
  <c r="E113" i="19"/>
  <c r="F113" i="19"/>
  <c r="G113" i="19"/>
  <c r="H113" i="19"/>
  <c r="I113" i="19"/>
  <c r="J113" i="19"/>
  <c r="K113" i="19"/>
  <c r="A114" i="19"/>
  <c r="B114" i="19"/>
  <c r="C114" i="19"/>
  <c r="D114" i="19"/>
  <c r="E114" i="19"/>
  <c r="F114" i="19"/>
  <c r="G114" i="19"/>
  <c r="H114" i="19"/>
  <c r="I114" i="19"/>
  <c r="J114" i="19"/>
  <c r="K114" i="19"/>
  <c r="A115" i="19"/>
  <c r="B115" i="19"/>
  <c r="C115" i="19"/>
  <c r="D115" i="19"/>
  <c r="E115" i="19"/>
  <c r="F115" i="19"/>
  <c r="G115" i="19"/>
  <c r="H115" i="19"/>
  <c r="I115" i="19"/>
  <c r="J115" i="19"/>
  <c r="K115" i="19"/>
  <c r="A116" i="19"/>
  <c r="B116" i="19"/>
  <c r="C116" i="19"/>
  <c r="D116" i="19"/>
  <c r="E116" i="19"/>
  <c r="F116" i="19"/>
  <c r="G116" i="19"/>
  <c r="H116" i="19"/>
  <c r="I116" i="19"/>
  <c r="J116" i="19"/>
  <c r="K116" i="19"/>
  <c r="A117" i="19"/>
  <c r="B117" i="19"/>
  <c r="C117" i="19"/>
  <c r="D117" i="19"/>
  <c r="E117" i="19"/>
  <c r="F117" i="19"/>
  <c r="G117" i="19"/>
  <c r="H117" i="19"/>
  <c r="I117" i="19"/>
  <c r="J117" i="19"/>
  <c r="K117" i="19"/>
  <c r="A118" i="19"/>
  <c r="B118" i="19"/>
  <c r="C118" i="19"/>
  <c r="D118" i="19"/>
  <c r="E118" i="19"/>
  <c r="F118" i="19"/>
  <c r="G118" i="19"/>
  <c r="H118" i="19"/>
  <c r="I118" i="19"/>
  <c r="J118" i="19"/>
  <c r="K118" i="19"/>
  <c r="A119" i="19"/>
  <c r="B119" i="19"/>
  <c r="C119" i="19"/>
  <c r="D119" i="19"/>
  <c r="E119" i="19"/>
  <c r="F119" i="19"/>
  <c r="G119" i="19"/>
  <c r="H119" i="19"/>
  <c r="I119" i="19"/>
  <c r="J119" i="19"/>
  <c r="K119" i="19"/>
  <c r="A120" i="19"/>
  <c r="B120" i="19"/>
  <c r="C120" i="19"/>
  <c r="D120" i="19"/>
  <c r="E120" i="19"/>
  <c r="F120" i="19"/>
  <c r="G120" i="19"/>
  <c r="H120" i="19"/>
  <c r="I120" i="19"/>
  <c r="J120" i="19"/>
  <c r="K120" i="19"/>
  <c r="A121" i="19"/>
  <c r="B121" i="19"/>
  <c r="C121" i="19"/>
  <c r="D121" i="19"/>
  <c r="E121" i="19"/>
  <c r="F121" i="19"/>
  <c r="G121" i="19"/>
  <c r="H121" i="19"/>
  <c r="I121" i="19"/>
  <c r="J121" i="19"/>
  <c r="K121" i="19"/>
  <c r="A122" i="19"/>
  <c r="B122" i="19"/>
  <c r="C122" i="19"/>
  <c r="D122" i="19"/>
  <c r="E122" i="19"/>
  <c r="F122" i="19"/>
  <c r="G122" i="19"/>
  <c r="H122" i="19"/>
  <c r="I122" i="19"/>
  <c r="J122" i="19"/>
  <c r="K122" i="19"/>
  <c r="A4" i="19"/>
  <c r="B4" i="19"/>
  <c r="C4" i="19"/>
  <c r="D4" i="19"/>
  <c r="E4" i="19"/>
  <c r="F4" i="19"/>
  <c r="G4" i="19"/>
  <c r="H4" i="19"/>
  <c r="I4" i="19"/>
  <c r="J4" i="19"/>
  <c r="K4" i="19"/>
  <c r="A5" i="19"/>
  <c r="B5" i="19"/>
  <c r="C5" i="19"/>
  <c r="D5" i="19"/>
  <c r="E5" i="19"/>
  <c r="F5" i="19"/>
  <c r="G5" i="19"/>
  <c r="H5" i="19"/>
  <c r="I5" i="19"/>
  <c r="J5" i="19"/>
  <c r="K5" i="19"/>
  <c r="A6" i="19"/>
  <c r="B6" i="19"/>
  <c r="C6" i="19"/>
  <c r="D6" i="19"/>
  <c r="E6" i="19"/>
  <c r="F6" i="19"/>
  <c r="G6" i="19"/>
  <c r="H6" i="19"/>
  <c r="I6" i="19"/>
  <c r="J6" i="19"/>
  <c r="K6" i="19"/>
  <c r="A7" i="19"/>
  <c r="B7" i="19"/>
  <c r="C7" i="19"/>
  <c r="D7" i="19"/>
  <c r="E7" i="19"/>
  <c r="F7" i="19"/>
  <c r="G7" i="19"/>
  <c r="H7" i="19"/>
  <c r="I7" i="19"/>
  <c r="J7" i="19"/>
  <c r="K7" i="19"/>
  <c r="A8" i="19"/>
  <c r="B8" i="19"/>
  <c r="C8" i="19"/>
  <c r="D8" i="19"/>
  <c r="E8" i="19"/>
  <c r="F8" i="19"/>
  <c r="G8" i="19"/>
  <c r="H8" i="19"/>
  <c r="I8" i="19"/>
  <c r="J8" i="19"/>
  <c r="K8" i="19"/>
  <c r="A9" i="19"/>
  <c r="B9" i="19"/>
  <c r="C9" i="19"/>
  <c r="D9" i="19"/>
  <c r="E9" i="19"/>
  <c r="F9" i="19"/>
  <c r="G9" i="19"/>
  <c r="H9" i="19"/>
  <c r="I9" i="19"/>
  <c r="J9" i="19"/>
  <c r="K9" i="19"/>
  <c r="A10" i="19"/>
  <c r="B10" i="19"/>
  <c r="C10" i="19"/>
  <c r="D10" i="19"/>
  <c r="E10" i="19"/>
  <c r="F10" i="19"/>
  <c r="G10" i="19"/>
  <c r="H10" i="19"/>
  <c r="I10" i="19"/>
  <c r="J10" i="19"/>
  <c r="K10" i="19"/>
  <c r="A11" i="19"/>
  <c r="B11" i="19"/>
  <c r="C11" i="19"/>
  <c r="D11" i="19"/>
  <c r="E11" i="19"/>
  <c r="F11" i="19"/>
  <c r="G11" i="19"/>
  <c r="H11" i="19"/>
  <c r="I11" i="19"/>
  <c r="J11" i="19"/>
  <c r="K11" i="19"/>
  <c r="A12" i="19"/>
  <c r="B12" i="19"/>
  <c r="C12" i="19"/>
  <c r="D12" i="19"/>
  <c r="E12" i="19"/>
  <c r="F12" i="19"/>
  <c r="G12" i="19"/>
  <c r="H12" i="19"/>
  <c r="I12" i="19"/>
  <c r="J12" i="19"/>
  <c r="K12" i="19"/>
  <c r="A13" i="19"/>
  <c r="B13" i="19"/>
  <c r="C13" i="19"/>
  <c r="D13" i="19"/>
  <c r="E13" i="19"/>
  <c r="F13" i="19"/>
  <c r="G13" i="19"/>
  <c r="H13" i="19"/>
  <c r="I13" i="19"/>
  <c r="J13" i="19"/>
  <c r="K13" i="19"/>
  <c r="A14" i="19"/>
  <c r="B14" i="19"/>
  <c r="C14" i="19"/>
  <c r="D14" i="19"/>
  <c r="E14" i="19"/>
  <c r="F14" i="19"/>
  <c r="G14" i="19"/>
  <c r="H14" i="19"/>
  <c r="I14" i="19"/>
  <c r="J14" i="19"/>
  <c r="K14" i="19"/>
  <c r="A15" i="19"/>
  <c r="B15" i="19"/>
  <c r="C15" i="19"/>
  <c r="D15" i="19"/>
  <c r="E15" i="19"/>
  <c r="F15" i="19"/>
  <c r="G15" i="19"/>
  <c r="H15" i="19"/>
  <c r="I15" i="19"/>
  <c r="J15" i="19"/>
  <c r="K15" i="19"/>
  <c r="A16" i="19"/>
  <c r="B16" i="19"/>
  <c r="C16" i="19"/>
  <c r="D16" i="19"/>
  <c r="E16" i="19"/>
  <c r="F16" i="19"/>
  <c r="G16" i="19"/>
  <c r="H16" i="19"/>
  <c r="I16" i="19"/>
  <c r="J16" i="19"/>
  <c r="K16" i="19"/>
  <c r="A17" i="19"/>
  <c r="B17" i="19"/>
  <c r="C17" i="19"/>
  <c r="D17" i="19"/>
  <c r="E17" i="19"/>
  <c r="F17" i="19"/>
  <c r="G17" i="19"/>
  <c r="H17" i="19"/>
  <c r="I17" i="19"/>
  <c r="J17" i="19"/>
  <c r="K17" i="19"/>
  <c r="A18" i="19"/>
  <c r="B18" i="19"/>
  <c r="C18" i="19"/>
  <c r="D18" i="19"/>
  <c r="E18" i="19"/>
  <c r="F18" i="19"/>
  <c r="G18" i="19"/>
  <c r="H18" i="19"/>
  <c r="I18" i="19"/>
  <c r="J18" i="19"/>
  <c r="K18" i="19"/>
  <c r="A19" i="19"/>
  <c r="B19" i="19"/>
  <c r="C19" i="19"/>
  <c r="D19" i="19"/>
  <c r="E19" i="19"/>
  <c r="F19" i="19"/>
  <c r="G19" i="19"/>
  <c r="H19" i="19"/>
  <c r="I19" i="19"/>
  <c r="J19" i="19"/>
  <c r="K19" i="19"/>
  <c r="B3" i="19"/>
  <c r="D3" i="19"/>
  <c r="E3" i="19"/>
  <c r="F3" i="19"/>
  <c r="G3" i="19"/>
  <c r="H3" i="19"/>
  <c r="I3" i="19"/>
  <c r="J3" i="19"/>
  <c r="K3" i="19"/>
  <c r="A3" i="19"/>
  <c r="BI102" i="2"/>
  <c r="BH102" i="2"/>
  <c r="BL102" i="2"/>
  <c r="BL103" i="2"/>
  <c r="BL104" i="2"/>
  <c r="BL105" i="2"/>
  <c r="BL106" i="2"/>
  <c r="BK103" i="2"/>
  <c r="BK104" i="2"/>
  <c r="BK105" i="2"/>
  <c r="BK106" i="2"/>
  <c r="BK102" i="2"/>
  <c r="BI103" i="2"/>
  <c r="BI104" i="2"/>
  <c r="BI105" i="2"/>
  <c r="BI106" i="2"/>
  <c r="BH103" i="2"/>
  <c r="BH104" i="2"/>
  <c r="BH105" i="2"/>
  <c r="BH106" i="2"/>
  <c r="BA102" i="2"/>
  <c r="K213" i="2"/>
  <c r="J123" i="6"/>
  <c r="J213" i="2"/>
  <c r="I123" i="6"/>
  <c r="I213" i="2"/>
  <c r="D123" i="6"/>
  <c r="K212" i="2"/>
  <c r="J122" i="6"/>
  <c r="AM122" i="6" s="1"/>
  <c r="J212" i="2"/>
  <c r="I212" i="2"/>
  <c r="D122" i="6"/>
  <c r="K211" i="2"/>
  <c r="J121" i="6"/>
  <c r="J211" i="2"/>
  <c r="I211" i="2"/>
  <c r="D121" i="6"/>
  <c r="AK121" i="6"/>
  <c r="K210" i="2"/>
  <c r="J120" i="6"/>
  <c r="J210" i="2"/>
  <c r="I120" i="6"/>
  <c r="I210" i="2"/>
  <c r="D120" i="6"/>
  <c r="AK120" i="6" s="1"/>
  <c r="I203" i="2"/>
  <c r="D113" i="6"/>
  <c r="W113" i="6" s="1"/>
  <c r="J203" i="2"/>
  <c r="I113" i="6"/>
  <c r="K203" i="2"/>
  <c r="J113" i="6"/>
  <c r="AM113" i="6" s="1"/>
  <c r="I204" i="2"/>
  <c r="J204" i="2"/>
  <c r="K204" i="2"/>
  <c r="I205" i="2"/>
  <c r="J205" i="2"/>
  <c r="K205" i="2"/>
  <c r="I206" i="2"/>
  <c r="J206" i="2"/>
  <c r="K206" i="2"/>
  <c r="D112" i="6"/>
  <c r="AK112" i="6" s="1"/>
  <c r="J111" i="6"/>
  <c r="AM111" i="6"/>
  <c r="D111" i="6"/>
  <c r="AK111" i="6" s="1"/>
  <c r="K199" i="2"/>
  <c r="J109" i="6"/>
  <c r="J199" i="2"/>
  <c r="I109" i="6"/>
  <c r="I199" i="2"/>
  <c r="K198" i="2"/>
  <c r="J108" i="6"/>
  <c r="AM108" i="6" s="1"/>
  <c r="J198" i="2"/>
  <c r="I198" i="2"/>
  <c r="K197" i="2"/>
  <c r="J107" i="6"/>
  <c r="J197" i="2"/>
  <c r="I107" i="6"/>
  <c r="Y107" i="6"/>
  <c r="I197" i="2"/>
  <c r="K196" i="2"/>
  <c r="J196" i="2"/>
  <c r="I196" i="2"/>
  <c r="D105" i="6"/>
  <c r="K192" i="2"/>
  <c r="J102" i="6"/>
  <c r="J192" i="2"/>
  <c r="I192" i="2"/>
  <c r="D102" i="6"/>
  <c r="K191" i="2"/>
  <c r="J191" i="2"/>
  <c r="I101" i="6"/>
  <c r="I191" i="2"/>
  <c r="D101" i="6"/>
  <c r="K190" i="2"/>
  <c r="J190" i="2"/>
  <c r="I190" i="2"/>
  <c r="K189" i="2"/>
  <c r="J99" i="6"/>
  <c r="AM99" i="6" s="1"/>
  <c r="J189" i="2"/>
  <c r="I189" i="2"/>
  <c r="K185" i="2"/>
  <c r="J95" i="6"/>
  <c r="AF95" i="6" s="1"/>
  <c r="J185" i="2"/>
  <c r="I95" i="6"/>
  <c r="R95" i="6" s="1"/>
  <c r="I185" i="2"/>
  <c r="K184" i="2"/>
  <c r="J184" i="2"/>
  <c r="I94" i="6"/>
  <c r="Y94" i="6" s="1"/>
  <c r="I184" i="2"/>
  <c r="K183" i="2"/>
  <c r="J93" i="6"/>
  <c r="AM93" i="6" s="1"/>
  <c r="J183" i="2"/>
  <c r="I93" i="6"/>
  <c r="I183" i="2"/>
  <c r="D93" i="6"/>
  <c r="W93" i="6"/>
  <c r="K182" i="2"/>
  <c r="J91" i="6"/>
  <c r="AM91" i="6" s="1"/>
  <c r="J182" i="2"/>
  <c r="I91" i="6"/>
  <c r="Y91" i="6" s="1"/>
  <c r="I182" i="2"/>
  <c r="D91" i="6"/>
  <c r="W91" i="6"/>
  <c r="K178" i="2"/>
  <c r="J178" i="2"/>
  <c r="I178" i="2"/>
  <c r="K177" i="2"/>
  <c r="J177" i="2"/>
  <c r="I177" i="2"/>
  <c r="K176" i="2"/>
  <c r="J86" i="6"/>
  <c r="AM86" i="6" s="1"/>
  <c r="J176" i="2"/>
  <c r="I86" i="6"/>
  <c r="I176" i="2"/>
  <c r="D86" i="6"/>
  <c r="AK86" i="6" s="1"/>
  <c r="K175" i="2"/>
  <c r="J84" i="6"/>
  <c r="AM84" i="6" s="1"/>
  <c r="J175" i="2"/>
  <c r="I85" i="6"/>
  <c r="K85" i="6"/>
  <c r="I175" i="2"/>
  <c r="D84" i="6"/>
  <c r="AK84" i="6"/>
  <c r="K171" i="2"/>
  <c r="J81" i="6"/>
  <c r="J171" i="2"/>
  <c r="I81" i="6"/>
  <c r="Y81" i="6"/>
  <c r="I171" i="2"/>
  <c r="D81" i="6"/>
  <c r="K170" i="2"/>
  <c r="J170" i="2"/>
  <c r="I170" i="2"/>
  <c r="K169" i="2"/>
  <c r="J169" i="2"/>
  <c r="I169" i="2"/>
  <c r="K168" i="2"/>
  <c r="J168" i="2"/>
  <c r="I77" i="6"/>
  <c r="I168" i="2"/>
  <c r="D77" i="6"/>
  <c r="W77" i="6" s="1"/>
  <c r="K164" i="2"/>
  <c r="J74" i="6"/>
  <c r="AM74" i="6" s="1"/>
  <c r="J164" i="2"/>
  <c r="I74" i="6"/>
  <c r="Y74" i="6"/>
  <c r="I164" i="2"/>
  <c r="K163" i="2"/>
  <c r="J73" i="6"/>
  <c r="AM73" i="6"/>
  <c r="J163" i="2"/>
  <c r="I73" i="6"/>
  <c r="I163" i="2"/>
  <c r="K162" i="2"/>
  <c r="J162" i="2"/>
  <c r="I162" i="2"/>
  <c r="D72" i="6"/>
  <c r="AK72" i="6"/>
  <c r="K161" i="2"/>
  <c r="J161" i="2"/>
  <c r="I71" i="6"/>
  <c r="Y71" i="6"/>
  <c r="I161" i="2"/>
  <c r="AZ106" i="2"/>
  <c r="AZ102" i="2"/>
  <c r="AZ103" i="2"/>
  <c r="AZ104" i="2"/>
  <c r="AZ105" i="2"/>
  <c r="AM109" i="2"/>
  <c r="AL109" i="2"/>
  <c r="I154" i="2"/>
  <c r="J154" i="2"/>
  <c r="I63" i="6"/>
  <c r="K154" i="2"/>
  <c r="J64" i="6"/>
  <c r="AM64" i="6" s="1"/>
  <c r="I155" i="2"/>
  <c r="J155" i="2"/>
  <c r="K155" i="2"/>
  <c r="I156" i="2"/>
  <c r="J156" i="2"/>
  <c r="K156" i="2"/>
  <c r="I157" i="2"/>
  <c r="D67" i="6"/>
  <c r="W67" i="6"/>
  <c r="D66" i="6"/>
  <c r="J157" i="2"/>
  <c r="I67" i="6"/>
  <c r="K157" i="2"/>
  <c r="J66" i="6"/>
  <c r="AM66" i="6" s="1"/>
  <c r="I140" i="2"/>
  <c r="D49" i="6"/>
  <c r="J140" i="2"/>
  <c r="I50" i="6"/>
  <c r="Y50" i="6" s="1"/>
  <c r="K140" i="2"/>
  <c r="J50" i="6"/>
  <c r="AM50" i="6" s="1"/>
  <c r="J49" i="6"/>
  <c r="AM49" i="6"/>
  <c r="I141" i="2"/>
  <c r="D51" i="6"/>
  <c r="AK51" i="6" s="1"/>
  <c r="J141" i="2"/>
  <c r="N140" i="2"/>
  <c r="K141" i="2"/>
  <c r="J51" i="6"/>
  <c r="AF51" i="6"/>
  <c r="I142" i="2"/>
  <c r="J142" i="2"/>
  <c r="K142" i="2"/>
  <c r="I143" i="2"/>
  <c r="D53" i="6"/>
  <c r="J143" i="2"/>
  <c r="I53" i="6"/>
  <c r="Y53" i="6"/>
  <c r="K143" i="2"/>
  <c r="I147" i="2"/>
  <c r="D57" i="6"/>
  <c r="W57" i="6"/>
  <c r="D56" i="6"/>
  <c r="W56" i="6" s="1"/>
  <c r="J147" i="2"/>
  <c r="I56" i="6"/>
  <c r="Y56" i="6"/>
  <c r="K147" i="2"/>
  <c r="J57" i="6"/>
  <c r="J56" i="6"/>
  <c r="I148" i="2"/>
  <c r="D58" i="6"/>
  <c r="AK58" i="6"/>
  <c r="J148" i="2"/>
  <c r="K148" i="2"/>
  <c r="O147" i="2"/>
  <c r="I149" i="2"/>
  <c r="J149" i="2"/>
  <c r="I59" i="6"/>
  <c r="R59" i="6" s="1"/>
  <c r="K149" i="2"/>
  <c r="I150" i="2"/>
  <c r="J150" i="2"/>
  <c r="K150" i="2"/>
  <c r="J112" i="2"/>
  <c r="J113" i="2"/>
  <c r="K136" i="2"/>
  <c r="J136" i="2"/>
  <c r="I136" i="2"/>
  <c r="D46" i="6"/>
  <c r="AK46" i="6"/>
  <c r="K135" i="2"/>
  <c r="J135" i="2"/>
  <c r="I45" i="6"/>
  <c r="I135" i="2"/>
  <c r="D45" i="6"/>
  <c r="K134" i="2"/>
  <c r="J134" i="2"/>
  <c r="N133" i="2"/>
  <c r="I134" i="2"/>
  <c r="K133" i="2"/>
  <c r="O133" i="2"/>
  <c r="J133" i="2"/>
  <c r="I133" i="2"/>
  <c r="K129" i="2"/>
  <c r="J39" i="6"/>
  <c r="J129" i="2"/>
  <c r="I39" i="6"/>
  <c r="Y39" i="6"/>
  <c r="I129" i="2"/>
  <c r="D39" i="6"/>
  <c r="K128" i="2"/>
  <c r="J38" i="6"/>
  <c r="AM38" i="6"/>
  <c r="J128" i="2"/>
  <c r="I128" i="2"/>
  <c r="D38" i="6"/>
  <c r="K127" i="2"/>
  <c r="J127" i="2"/>
  <c r="I37" i="6"/>
  <c r="Y37" i="6"/>
  <c r="I127" i="2"/>
  <c r="D37" i="6"/>
  <c r="W37" i="6" s="1"/>
  <c r="K126" i="2"/>
  <c r="J126" i="2"/>
  <c r="I126" i="2"/>
  <c r="D36" i="6"/>
  <c r="W36" i="6"/>
  <c r="K122" i="2"/>
  <c r="J32" i="6"/>
  <c r="AM32" i="6" s="1"/>
  <c r="J122" i="2"/>
  <c r="N120" i="2"/>
  <c r="I122" i="2"/>
  <c r="D32" i="6"/>
  <c r="K121" i="2"/>
  <c r="J31" i="6"/>
  <c r="J121" i="2"/>
  <c r="I31" i="6"/>
  <c r="Y31" i="6"/>
  <c r="I121" i="2"/>
  <c r="K120" i="2"/>
  <c r="J120" i="2"/>
  <c r="I30" i="6"/>
  <c r="Y30" i="6"/>
  <c r="I120" i="2"/>
  <c r="D30" i="6"/>
  <c r="K119" i="2"/>
  <c r="J119" i="2"/>
  <c r="I29" i="6"/>
  <c r="I119" i="2"/>
  <c r="D29" i="6"/>
  <c r="AK29" i="6"/>
  <c r="K115" i="2"/>
  <c r="J115" i="2"/>
  <c r="N113" i="2"/>
  <c r="I115" i="2"/>
  <c r="K114" i="2"/>
  <c r="O113" i="2"/>
  <c r="J114" i="2"/>
  <c r="I114" i="2"/>
  <c r="K113" i="2"/>
  <c r="N112" i="2"/>
  <c r="I113" i="2"/>
  <c r="K112" i="2"/>
  <c r="J22" i="6"/>
  <c r="AM22" i="6" s="1"/>
  <c r="I112" i="2"/>
  <c r="D22" i="6"/>
  <c r="K108" i="2"/>
  <c r="O106" i="2"/>
  <c r="J108" i="2"/>
  <c r="I108" i="2"/>
  <c r="K107" i="2"/>
  <c r="J17" i="6"/>
  <c r="AM17" i="6" s="1"/>
  <c r="J107" i="2"/>
  <c r="I17" i="6"/>
  <c r="I107" i="2"/>
  <c r="D17" i="6"/>
  <c r="K106" i="2"/>
  <c r="J106" i="2"/>
  <c r="I106" i="2"/>
  <c r="K105" i="2"/>
  <c r="J105" i="2"/>
  <c r="N105" i="2"/>
  <c r="I105" i="2"/>
  <c r="D15" i="6"/>
  <c r="K101" i="2"/>
  <c r="J11" i="6"/>
  <c r="J101" i="2"/>
  <c r="I11" i="6"/>
  <c r="Y11" i="6"/>
  <c r="I101" i="2"/>
  <c r="K100" i="2"/>
  <c r="J10" i="6"/>
  <c r="AM10" i="6"/>
  <c r="J100" i="2"/>
  <c r="I10" i="6"/>
  <c r="I100" i="2"/>
  <c r="D10" i="6"/>
  <c r="K99" i="2"/>
  <c r="J9" i="6"/>
  <c r="AM9" i="6"/>
  <c r="J99" i="2"/>
  <c r="I99" i="2"/>
  <c r="K98" i="2"/>
  <c r="O98" i="2"/>
  <c r="AF98" i="2"/>
  <c r="J98" i="2"/>
  <c r="I98" i="2"/>
  <c r="J8" i="2"/>
  <c r="A25" i="16"/>
  <c r="A26" i="16"/>
  <c r="A27" i="16"/>
  <c r="A28" i="16"/>
  <c r="A29" i="16"/>
  <c r="A30" i="16"/>
  <c r="A24" i="16"/>
  <c r="A44" i="16"/>
  <c r="A43" i="16"/>
  <c r="A42" i="16"/>
  <c r="A41" i="16"/>
  <c r="A40" i="16"/>
  <c r="A39" i="16"/>
  <c r="A38" i="16"/>
  <c r="A66" i="16"/>
  <c r="A72" i="16"/>
  <c r="A71" i="16"/>
  <c r="A70" i="16"/>
  <c r="A69" i="16"/>
  <c r="A68" i="16"/>
  <c r="A67" i="16"/>
  <c r="A53" i="16"/>
  <c r="A54" i="16"/>
  <c r="A55" i="16"/>
  <c r="A56" i="16"/>
  <c r="A57" i="16"/>
  <c r="A58" i="16"/>
  <c r="A52" i="16"/>
  <c r="A16" i="16"/>
  <c r="A15" i="16"/>
  <c r="A14" i="16"/>
  <c r="A13" i="16"/>
  <c r="A12" i="16"/>
  <c r="A11" i="16"/>
  <c r="A10" i="16"/>
  <c r="K112" i="9"/>
  <c r="L112" i="9"/>
  <c r="K113" i="9"/>
  <c r="L113" i="9"/>
  <c r="K114" i="9"/>
  <c r="L114" i="9"/>
  <c r="K115" i="9"/>
  <c r="L115" i="9"/>
  <c r="K116" i="9"/>
  <c r="L116" i="9"/>
  <c r="K117" i="9"/>
  <c r="L117" i="9"/>
  <c r="K119" i="9"/>
  <c r="L119" i="9"/>
  <c r="K120" i="9"/>
  <c r="L120" i="9"/>
  <c r="K121" i="9"/>
  <c r="L121" i="9"/>
  <c r="K122" i="9"/>
  <c r="L122" i="9"/>
  <c r="K123" i="9"/>
  <c r="L123" i="9"/>
  <c r="K124" i="9"/>
  <c r="L124" i="9"/>
  <c r="K125" i="9"/>
  <c r="L125" i="9"/>
  <c r="L111" i="9"/>
  <c r="K111" i="9"/>
  <c r="K91" i="9"/>
  <c r="L91" i="9"/>
  <c r="K92" i="9"/>
  <c r="L92" i="9"/>
  <c r="K93" i="9"/>
  <c r="L93" i="9"/>
  <c r="K94" i="9"/>
  <c r="L94" i="9"/>
  <c r="K95" i="9"/>
  <c r="L95" i="9"/>
  <c r="K96" i="9"/>
  <c r="L96" i="9"/>
  <c r="K98" i="9"/>
  <c r="L98" i="9"/>
  <c r="K99" i="9"/>
  <c r="L99" i="9"/>
  <c r="K100" i="9"/>
  <c r="L100" i="9"/>
  <c r="K101" i="9"/>
  <c r="L101" i="9"/>
  <c r="K102" i="9"/>
  <c r="L102" i="9"/>
  <c r="K103" i="9"/>
  <c r="L103" i="9"/>
  <c r="K104" i="9"/>
  <c r="L104" i="9"/>
  <c r="L90" i="9"/>
  <c r="K90" i="9"/>
  <c r="K70" i="9"/>
  <c r="L70" i="9"/>
  <c r="K71" i="9"/>
  <c r="L71" i="9"/>
  <c r="K72" i="9"/>
  <c r="L72" i="9"/>
  <c r="K73" i="9"/>
  <c r="L73" i="9"/>
  <c r="K74" i="9"/>
  <c r="L74" i="9"/>
  <c r="K75" i="9"/>
  <c r="L75" i="9"/>
  <c r="K77" i="9"/>
  <c r="L77" i="9"/>
  <c r="K78" i="9"/>
  <c r="L78" i="9"/>
  <c r="K79" i="9"/>
  <c r="L79" i="9"/>
  <c r="K80" i="9"/>
  <c r="L80" i="9"/>
  <c r="K81" i="9"/>
  <c r="L81" i="9"/>
  <c r="K82" i="9"/>
  <c r="L82" i="9"/>
  <c r="K83" i="9"/>
  <c r="L83" i="9"/>
  <c r="L69" i="9"/>
  <c r="K69" i="9"/>
  <c r="K49" i="9"/>
  <c r="L49" i="9"/>
  <c r="K50" i="9"/>
  <c r="L50" i="9"/>
  <c r="K51" i="9"/>
  <c r="L51" i="9"/>
  <c r="K52" i="9"/>
  <c r="L52" i="9"/>
  <c r="K53" i="9"/>
  <c r="L53" i="9"/>
  <c r="K54" i="9"/>
  <c r="L54" i="9"/>
  <c r="K56" i="9"/>
  <c r="L56" i="9"/>
  <c r="K57" i="9"/>
  <c r="L57" i="9"/>
  <c r="K58" i="9"/>
  <c r="L58" i="9"/>
  <c r="K59" i="9"/>
  <c r="L59" i="9"/>
  <c r="K60" i="9"/>
  <c r="L60" i="9"/>
  <c r="K61" i="9"/>
  <c r="L61" i="9"/>
  <c r="K62" i="9"/>
  <c r="L62" i="9"/>
  <c r="L48" i="9"/>
  <c r="K48" i="9"/>
  <c r="K7" i="9"/>
  <c r="L7" i="9"/>
  <c r="K8" i="9"/>
  <c r="L8" i="9"/>
  <c r="K9" i="9"/>
  <c r="L9" i="9"/>
  <c r="K10" i="9"/>
  <c r="L10" i="9"/>
  <c r="K11" i="9"/>
  <c r="L11" i="9"/>
  <c r="K12" i="9"/>
  <c r="L12" i="9"/>
  <c r="K14" i="9"/>
  <c r="L14" i="9"/>
  <c r="K15" i="9"/>
  <c r="L15" i="9"/>
  <c r="K16" i="9"/>
  <c r="L16" i="9"/>
  <c r="K17" i="9"/>
  <c r="L17" i="9"/>
  <c r="K18" i="9"/>
  <c r="L18" i="9"/>
  <c r="K19" i="9"/>
  <c r="L19" i="9"/>
  <c r="K20" i="9"/>
  <c r="L20" i="9"/>
  <c r="L6" i="9"/>
  <c r="K28" i="9"/>
  <c r="L28" i="9"/>
  <c r="K29" i="9"/>
  <c r="L29" i="9"/>
  <c r="K30" i="9"/>
  <c r="L30" i="9"/>
  <c r="K31" i="9"/>
  <c r="L31" i="9"/>
  <c r="K32" i="9"/>
  <c r="L32" i="9"/>
  <c r="K33" i="9"/>
  <c r="L33" i="9"/>
  <c r="K36" i="9"/>
  <c r="L36" i="9"/>
  <c r="K37" i="9"/>
  <c r="L37" i="9"/>
  <c r="K38" i="9"/>
  <c r="L38" i="9"/>
  <c r="K39" i="9"/>
  <c r="L39" i="9"/>
  <c r="K40" i="9"/>
  <c r="L40" i="9"/>
  <c r="K41" i="9"/>
  <c r="L41" i="9"/>
  <c r="L27" i="9"/>
  <c r="K27" i="9"/>
  <c r="K6" i="9"/>
  <c r="A104" i="9"/>
  <c r="A103" i="9"/>
  <c r="A102" i="9"/>
  <c r="A101" i="9"/>
  <c r="A100" i="9"/>
  <c r="A99" i="9"/>
  <c r="A98" i="9"/>
  <c r="A62" i="9"/>
  <c r="A61" i="9"/>
  <c r="A60" i="9"/>
  <c r="A59" i="9"/>
  <c r="A58" i="9"/>
  <c r="A57" i="9"/>
  <c r="A56" i="9"/>
  <c r="A20" i="9"/>
  <c r="A19" i="9"/>
  <c r="A18" i="9"/>
  <c r="A17" i="9"/>
  <c r="A16" i="9"/>
  <c r="A15" i="9"/>
  <c r="A14" i="9"/>
  <c r="X14" i="9"/>
  <c r="X9" i="6"/>
  <c r="AL9" i="6"/>
  <c r="Y104" i="9"/>
  <c r="X104" i="9"/>
  <c r="Y103" i="9"/>
  <c r="X103" i="9"/>
  <c r="Y102" i="9"/>
  <c r="X102" i="9"/>
  <c r="Y101" i="9"/>
  <c r="X101" i="9"/>
  <c r="Y100" i="9"/>
  <c r="X100" i="9"/>
  <c r="Y99" i="9"/>
  <c r="X99" i="9"/>
  <c r="Y98" i="9"/>
  <c r="X98" i="9"/>
  <c r="Y96" i="9"/>
  <c r="X96" i="9"/>
  <c r="Y95" i="9"/>
  <c r="X95" i="9"/>
  <c r="Y94" i="9"/>
  <c r="X94" i="9"/>
  <c r="Y93" i="9"/>
  <c r="X93" i="9"/>
  <c r="Y92" i="9"/>
  <c r="X92" i="9"/>
  <c r="Y91" i="9"/>
  <c r="X91" i="9"/>
  <c r="Y90" i="9"/>
  <c r="X90" i="9"/>
  <c r="Y83" i="9"/>
  <c r="X83" i="9"/>
  <c r="Y82" i="9"/>
  <c r="X82" i="9"/>
  <c r="Y81" i="9"/>
  <c r="X81" i="9"/>
  <c r="Y80" i="9"/>
  <c r="X80" i="9"/>
  <c r="Y79" i="9"/>
  <c r="X79" i="9"/>
  <c r="Y78" i="9"/>
  <c r="X78" i="9"/>
  <c r="Y77" i="9"/>
  <c r="X77" i="9"/>
  <c r="Y75" i="9"/>
  <c r="X75" i="9"/>
  <c r="Y74" i="9"/>
  <c r="X74" i="9"/>
  <c r="Y73" i="9"/>
  <c r="X73" i="9"/>
  <c r="Y72" i="9"/>
  <c r="X72" i="9"/>
  <c r="Y71" i="9"/>
  <c r="X71" i="9"/>
  <c r="Y70" i="9"/>
  <c r="X70" i="9"/>
  <c r="Y69" i="9"/>
  <c r="X69" i="9"/>
  <c r="B260" i="2"/>
  <c r="D169" i="6"/>
  <c r="B169" i="6" s="1"/>
  <c r="I276" i="2"/>
  <c r="I275" i="2"/>
  <c r="I274" i="2"/>
  <c r="I273" i="2"/>
  <c r="I272" i="2"/>
  <c r="I271" i="2"/>
  <c r="I270" i="2"/>
  <c r="D179" i="6"/>
  <c r="W179" i="6"/>
  <c r="I268" i="2"/>
  <c r="I267" i="2"/>
  <c r="I266" i="2"/>
  <c r="I265" i="2"/>
  <c r="I264" i="2"/>
  <c r="I263" i="2"/>
  <c r="I262" i="2"/>
  <c r="D171" i="6"/>
  <c r="AK171" i="6"/>
  <c r="B242" i="2"/>
  <c r="D151" i="6"/>
  <c r="B151" i="6"/>
  <c r="I258" i="2"/>
  <c r="I257" i="2"/>
  <c r="I256" i="2"/>
  <c r="I255" i="2"/>
  <c r="I254" i="2"/>
  <c r="I253" i="2"/>
  <c r="I252" i="2"/>
  <c r="D161" i="6"/>
  <c r="W161" i="6" s="1"/>
  <c r="I250" i="2"/>
  <c r="D159" i="6"/>
  <c r="I249" i="2"/>
  <c r="I248" i="2"/>
  <c r="I247" i="2"/>
  <c r="I246" i="2"/>
  <c r="I245" i="2"/>
  <c r="I244" i="2"/>
  <c r="D153" i="6"/>
  <c r="AK153" i="6" s="1"/>
  <c r="B224" i="2"/>
  <c r="D133" i="6"/>
  <c r="B133" i="6" s="1"/>
  <c r="I240" i="2"/>
  <c r="D149" i="6"/>
  <c r="I239" i="2"/>
  <c r="I238" i="2"/>
  <c r="I237" i="2"/>
  <c r="I236" i="2"/>
  <c r="I235" i="2"/>
  <c r="I234" i="2"/>
  <c r="D143" i="6"/>
  <c r="W143" i="6"/>
  <c r="I232" i="2"/>
  <c r="I231" i="2"/>
  <c r="D140" i="6"/>
  <c r="I230" i="2"/>
  <c r="I229" i="2"/>
  <c r="I228" i="2"/>
  <c r="I227" i="2"/>
  <c r="I226" i="2"/>
  <c r="D135" i="6"/>
  <c r="W135" i="6" s="1"/>
  <c r="D115" i="6"/>
  <c r="B115" i="6" s="1"/>
  <c r="I222" i="2"/>
  <c r="I221" i="2"/>
  <c r="I220" i="2"/>
  <c r="I219" i="2"/>
  <c r="D128" i="6"/>
  <c r="I218" i="2"/>
  <c r="I217" i="2"/>
  <c r="I216" i="2"/>
  <c r="D125" i="6"/>
  <c r="AK125" i="6" s="1"/>
  <c r="D119" i="6"/>
  <c r="AK119" i="6"/>
  <c r="D118" i="6"/>
  <c r="AK118" i="6" s="1"/>
  <c r="D117" i="6"/>
  <c r="W117" i="6"/>
  <c r="D97" i="6"/>
  <c r="B97" i="6" s="1"/>
  <c r="D110" i="6"/>
  <c r="W110" i="6"/>
  <c r="D104" i="6"/>
  <c r="AK104" i="6" s="1"/>
  <c r="D103" i="6"/>
  <c r="AK103" i="6"/>
  <c r="D79" i="6"/>
  <c r="B79" i="6" s="1"/>
  <c r="B83" i="6" s="1"/>
  <c r="D90" i="6"/>
  <c r="D89" i="6"/>
  <c r="D83" i="6"/>
  <c r="D82" i="6"/>
  <c r="AK82" i="6"/>
  <c r="D61" i="6"/>
  <c r="B61" i="6" s="1"/>
  <c r="B68" i="6" s="1"/>
  <c r="D76" i="6"/>
  <c r="W76" i="6"/>
  <c r="D75" i="6"/>
  <c r="W75" i="6" s="1"/>
  <c r="D69" i="6"/>
  <c r="D68" i="6"/>
  <c r="D63" i="6"/>
  <c r="AK63" i="6" s="1"/>
  <c r="D43" i="6"/>
  <c r="B43" i="6"/>
  <c r="D55" i="6"/>
  <c r="W55" i="6" s="1"/>
  <c r="D54" i="6"/>
  <c r="D48" i="6"/>
  <c r="D47" i="6"/>
  <c r="AK47" i="6" s="1"/>
  <c r="D25" i="6"/>
  <c r="B25" i="6"/>
  <c r="B31" i="6" s="1"/>
  <c r="D41" i="6"/>
  <c r="D40" i="6"/>
  <c r="AK40" i="6"/>
  <c r="D35" i="6"/>
  <c r="D33" i="6"/>
  <c r="W33" i="6"/>
  <c r="D31" i="6"/>
  <c r="D28" i="6"/>
  <c r="W28" i="6" s="1"/>
  <c r="D27" i="6"/>
  <c r="W27" i="6"/>
  <c r="D4" i="6"/>
  <c r="B4" i="6" s="1"/>
  <c r="B15" i="6" s="1"/>
  <c r="D23" i="6"/>
  <c r="D21" i="6"/>
  <c r="W21" i="6" s="1"/>
  <c r="D20" i="6"/>
  <c r="W20" i="6"/>
  <c r="D19" i="6"/>
  <c r="D18" i="6"/>
  <c r="D14" i="6"/>
  <c r="W14" i="6"/>
  <c r="D13" i="6"/>
  <c r="W13" i="6" s="1"/>
  <c r="D12" i="6"/>
  <c r="W12" i="6"/>
  <c r="D11" i="6"/>
  <c r="D9" i="6"/>
  <c r="J77" i="6"/>
  <c r="C6" i="8"/>
  <c r="C9" i="8"/>
  <c r="J76" i="6"/>
  <c r="AM76" i="6"/>
  <c r="J75" i="6"/>
  <c r="J69" i="6"/>
  <c r="J68" i="6"/>
  <c r="J63" i="6"/>
  <c r="J55" i="6"/>
  <c r="J54" i="6"/>
  <c r="J48" i="6"/>
  <c r="AM48" i="6"/>
  <c r="J47" i="6"/>
  <c r="AM47" i="6" s="1"/>
  <c r="J45" i="6"/>
  <c r="AM45" i="6"/>
  <c r="J41" i="6"/>
  <c r="J40" i="6"/>
  <c r="AM40" i="6"/>
  <c r="J36" i="6"/>
  <c r="J35" i="6"/>
  <c r="AM35" i="6"/>
  <c r="J33" i="6"/>
  <c r="J30" i="6"/>
  <c r="J29" i="6"/>
  <c r="AM29" i="6"/>
  <c r="J28" i="6"/>
  <c r="AM28" i="6" s="1"/>
  <c r="J27" i="6"/>
  <c r="J23" i="6"/>
  <c r="AM23" i="6"/>
  <c r="J21" i="6"/>
  <c r="AM21" i="6" s="1"/>
  <c r="J20" i="6"/>
  <c r="AM20" i="6"/>
  <c r="J19" i="6"/>
  <c r="J18" i="6"/>
  <c r="AM18" i="6"/>
  <c r="J14" i="6"/>
  <c r="J13" i="6"/>
  <c r="J12" i="6"/>
  <c r="AM12" i="6"/>
  <c r="Q77" i="6"/>
  <c r="Q76" i="6"/>
  <c r="Q75" i="6"/>
  <c r="Q74" i="6"/>
  <c r="Q73" i="6"/>
  <c r="Q72" i="6"/>
  <c r="Q71" i="6"/>
  <c r="Q69" i="6"/>
  <c r="Q68" i="6"/>
  <c r="Q67" i="6"/>
  <c r="Q66" i="6"/>
  <c r="Q65" i="6"/>
  <c r="Q64" i="6"/>
  <c r="Q63" i="6"/>
  <c r="Q59" i="6"/>
  <c r="Q58" i="6"/>
  <c r="Q57" i="6"/>
  <c r="Q56" i="6"/>
  <c r="Q55" i="6"/>
  <c r="Q54" i="6"/>
  <c r="Q53" i="6"/>
  <c r="Q51" i="6"/>
  <c r="Q50" i="6"/>
  <c r="Q49" i="6"/>
  <c r="Q48" i="6"/>
  <c r="Q47" i="6"/>
  <c r="Q46" i="6"/>
  <c r="Q45" i="6"/>
  <c r="Q23" i="6"/>
  <c r="Q22" i="6"/>
  <c r="Q21" i="6"/>
  <c r="Q20" i="6"/>
  <c r="Q19" i="6"/>
  <c r="Q18" i="6"/>
  <c r="Q17" i="6"/>
  <c r="Q15" i="6"/>
  <c r="Q14" i="6"/>
  <c r="Q13" i="6"/>
  <c r="Q12" i="6"/>
  <c r="Q11" i="6"/>
  <c r="Q10" i="6"/>
  <c r="Q9" i="6"/>
  <c r="J94" i="2"/>
  <c r="J93" i="2"/>
  <c r="I76" i="6"/>
  <c r="I75" i="6"/>
  <c r="Y75" i="6"/>
  <c r="I69" i="6"/>
  <c r="J92" i="2"/>
  <c r="J91" i="2"/>
  <c r="I68" i="6"/>
  <c r="Y68" i="6"/>
  <c r="I55" i="6"/>
  <c r="I54" i="6"/>
  <c r="Y54" i="6"/>
  <c r="I48" i="6"/>
  <c r="I47" i="6"/>
  <c r="Y47" i="6"/>
  <c r="I41" i="6"/>
  <c r="Y41" i="6" s="1"/>
  <c r="I40" i="6"/>
  <c r="I35" i="6"/>
  <c r="I33" i="6"/>
  <c r="I32" i="6"/>
  <c r="I28" i="6"/>
  <c r="Y28" i="6"/>
  <c r="I27" i="6"/>
  <c r="I22" i="6"/>
  <c r="Y22" i="6" s="1"/>
  <c r="I21" i="6"/>
  <c r="I20" i="6"/>
  <c r="I19" i="6"/>
  <c r="Y19" i="6"/>
  <c r="I14" i="6"/>
  <c r="I13" i="6"/>
  <c r="Y13" i="6" s="1"/>
  <c r="I12" i="6"/>
  <c r="Y12" i="6"/>
  <c r="R3" i="6"/>
  <c r="F69" i="6"/>
  <c r="R2" i="6"/>
  <c r="E69" i="6"/>
  <c r="E77" i="6"/>
  <c r="E75" i="6"/>
  <c r="E73" i="6"/>
  <c r="F71" i="6"/>
  <c r="F68" i="6"/>
  <c r="E68" i="6"/>
  <c r="E67" i="6"/>
  <c r="E66" i="6"/>
  <c r="E65" i="6"/>
  <c r="F64" i="6"/>
  <c r="E63" i="6"/>
  <c r="K276" i="2"/>
  <c r="J276" i="2"/>
  <c r="K275" i="2"/>
  <c r="J184" i="6"/>
  <c r="AM184" i="6"/>
  <c r="J275" i="2"/>
  <c r="K274" i="2"/>
  <c r="J274" i="2"/>
  <c r="I183" i="6"/>
  <c r="K273" i="2"/>
  <c r="J273" i="2"/>
  <c r="K272" i="2"/>
  <c r="J272" i="2"/>
  <c r="K271" i="2"/>
  <c r="J271" i="2"/>
  <c r="K270" i="2"/>
  <c r="J180" i="6"/>
  <c r="J270" i="2"/>
  <c r="K268" i="2"/>
  <c r="J268" i="2"/>
  <c r="K267" i="2"/>
  <c r="J267" i="2"/>
  <c r="K266" i="2"/>
  <c r="J175" i="6"/>
  <c r="J266" i="2"/>
  <c r="K265" i="2"/>
  <c r="J265" i="2"/>
  <c r="K264" i="2"/>
  <c r="J264" i="2"/>
  <c r="K263" i="2"/>
  <c r="J263" i="2"/>
  <c r="K262" i="2"/>
  <c r="J262" i="2"/>
  <c r="I171" i="6"/>
  <c r="K258" i="2"/>
  <c r="J258" i="2"/>
  <c r="K257" i="2"/>
  <c r="J257" i="2"/>
  <c r="K256" i="2"/>
  <c r="J256" i="2"/>
  <c r="K255" i="2"/>
  <c r="J165" i="6"/>
  <c r="AM165" i="6" s="1"/>
  <c r="J255" i="2"/>
  <c r="K254" i="2"/>
  <c r="J254" i="2"/>
  <c r="I163" i="6"/>
  <c r="Y163" i="6"/>
  <c r="K253" i="2"/>
  <c r="J253" i="2"/>
  <c r="K252" i="2"/>
  <c r="J252" i="2"/>
  <c r="K250" i="2"/>
  <c r="J250" i="2"/>
  <c r="K249" i="2"/>
  <c r="J159" i="6"/>
  <c r="AF159" i="6"/>
  <c r="J249" i="2"/>
  <c r="K248" i="2"/>
  <c r="J248" i="2"/>
  <c r="K247" i="2"/>
  <c r="J247" i="2"/>
  <c r="K246" i="2"/>
  <c r="J246" i="2"/>
  <c r="K245" i="2"/>
  <c r="J245" i="2"/>
  <c r="I155" i="6"/>
  <c r="K244" i="2"/>
  <c r="J154" i="6"/>
  <c r="J244" i="2"/>
  <c r="K240" i="2"/>
  <c r="J240" i="2"/>
  <c r="K239" i="2"/>
  <c r="J149" i="6"/>
  <c r="AM149" i="6" s="1"/>
  <c r="J239" i="2"/>
  <c r="K238" i="2"/>
  <c r="J147" i="6"/>
  <c r="AM147" i="6" s="1"/>
  <c r="J238" i="2"/>
  <c r="K237" i="2"/>
  <c r="J237" i="2"/>
  <c r="K236" i="2"/>
  <c r="J236" i="2"/>
  <c r="I145" i="6"/>
  <c r="K235" i="2"/>
  <c r="J235" i="2"/>
  <c r="K234" i="2"/>
  <c r="J234" i="2"/>
  <c r="I143" i="6"/>
  <c r="Y143" i="6" s="1"/>
  <c r="K232" i="2"/>
  <c r="J232" i="2"/>
  <c r="I141" i="6"/>
  <c r="K231" i="2"/>
  <c r="J140" i="6"/>
  <c r="AM140" i="6"/>
  <c r="J231" i="2"/>
  <c r="K230" i="2"/>
  <c r="J230" i="2"/>
  <c r="K229" i="2"/>
  <c r="J138" i="6"/>
  <c r="J229" i="2"/>
  <c r="K228" i="2"/>
  <c r="J228" i="2"/>
  <c r="I138" i="6"/>
  <c r="K227" i="2"/>
  <c r="J137" i="6"/>
  <c r="AM137" i="6"/>
  <c r="J227" i="2"/>
  <c r="K226" i="2"/>
  <c r="J226" i="2"/>
  <c r="I136" i="6"/>
  <c r="Y136" i="6" s="1"/>
  <c r="K222" i="2"/>
  <c r="J222" i="2"/>
  <c r="K221" i="2"/>
  <c r="J221" i="2"/>
  <c r="I130" i="6"/>
  <c r="Y130" i="6"/>
  <c r="K220" i="2"/>
  <c r="J220" i="2"/>
  <c r="K219" i="2"/>
  <c r="J219" i="2"/>
  <c r="K218" i="2"/>
  <c r="J218" i="2"/>
  <c r="K217" i="2"/>
  <c r="J217" i="2"/>
  <c r="I126" i="6"/>
  <c r="K216" i="2"/>
  <c r="J216" i="2"/>
  <c r="I125" i="6"/>
  <c r="Y125" i="6"/>
  <c r="J119" i="6"/>
  <c r="I119" i="6"/>
  <c r="Y119" i="6"/>
  <c r="J118" i="6"/>
  <c r="I117" i="6"/>
  <c r="Y117" i="6" s="1"/>
  <c r="I110" i="6"/>
  <c r="I105" i="6"/>
  <c r="I82" i="6"/>
  <c r="K42" i="2"/>
  <c r="J42" i="2"/>
  <c r="I42" i="2"/>
  <c r="K41" i="2"/>
  <c r="J41" i="2"/>
  <c r="I41" i="2"/>
  <c r="B39" i="2"/>
  <c r="I43" i="2"/>
  <c r="J43" i="2"/>
  <c r="K43" i="2"/>
  <c r="K47" i="2"/>
  <c r="AB64" i="2"/>
  <c r="K88" i="2"/>
  <c r="K80" i="2"/>
  <c r="K72" i="2"/>
  <c r="Z64" i="2"/>
  <c r="K64" i="2"/>
  <c r="Y64" i="2"/>
  <c r="J47" i="2"/>
  <c r="J88" i="2"/>
  <c r="P64" i="2"/>
  <c r="J80" i="2"/>
  <c r="O64" i="2"/>
  <c r="J72" i="2"/>
  <c r="N64" i="2"/>
  <c r="J64" i="2"/>
  <c r="K87" i="2"/>
  <c r="AB63" i="2"/>
  <c r="K46" i="2"/>
  <c r="K79" i="2"/>
  <c r="K71" i="2"/>
  <c r="Z63" i="2"/>
  <c r="K63" i="2"/>
  <c r="Y63" i="2"/>
  <c r="J87" i="2"/>
  <c r="J46" i="2"/>
  <c r="P63" i="2"/>
  <c r="J79" i="2"/>
  <c r="J71" i="2"/>
  <c r="J63" i="2"/>
  <c r="K86" i="2"/>
  <c r="K45" i="2"/>
  <c r="AA62" i="2"/>
  <c r="K78" i="2"/>
  <c r="K70" i="2"/>
  <c r="K62" i="2"/>
  <c r="Y62" i="2"/>
  <c r="J86" i="2"/>
  <c r="P62" i="2"/>
  <c r="AD62" i="2"/>
  <c r="AG62" i="2"/>
  <c r="J45" i="2"/>
  <c r="J78" i="2"/>
  <c r="O62" i="2"/>
  <c r="J70" i="2"/>
  <c r="N62" i="2"/>
  <c r="J62" i="2"/>
  <c r="M62" i="2"/>
  <c r="K85" i="2"/>
  <c r="K44" i="2"/>
  <c r="K77" i="2"/>
  <c r="K69" i="2"/>
  <c r="K61" i="2"/>
  <c r="J85" i="2"/>
  <c r="P61" i="2"/>
  <c r="J44" i="2"/>
  <c r="J77" i="2"/>
  <c r="J69" i="2"/>
  <c r="J61" i="2"/>
  <c r="K84" i="2"/>
  <c r="AB60" i="2"/>
  <c r="K76" i="2"/>
  <c r="K68" i="2"/>
  <c r="Z60" i="2"/>
  <c r="K60" i="2"/>
  <c r="Y60" i="2"/>
  <c r="J84" i="2"/>
  <c r="J76" i="2"/>
  <c r="O60" i="2"/>
  <c r="J68" i="2"/>
  <c r="J60" i="2"/>
  <c r="M60" i="2"/>
  <c r="K83" i="2"/>
  <c r="K75" i="2"/>
  <c r="K67" i="2"/>
  <c r="Z59" i="2"/>
  <c r="K59" i="2"/>
  <c r="Y59" i="2"/>
  <c r="J83" i="2"/>
  <c r="P59" i="2"/>
  <c r="J75" i="2"/>
  <c r="O59" i="2"/>
  <c r="J67" i="2"/>
  <c r="J59" i="2"/>
  <c r="M59" i="2"/>
  <c r="K82" i="2"/>
  <c r="AB58" i="2"/>
  <c r="K74" i="2"/>
  <c r="AA58" i="2"/>
  <c r="K66" i="2"/>
  <c r="Z58" i="2"/>
  <c r="K58" i="2"/>
  <c r="Y58" i="2"/>
  <c r="J82" i="2"/>
  <c r="J74" i="2"/>
  <c r="O58" i="2"/>
  <c r="J66" i="2"/>
  <c r="J58" i="2"/>
  <c r="M58" i="2"/>
  <c r="K55" i="2"/>
  <c r="J55" i="2"/>
  <c r="I55" i="2"/>
  <c r="K54" i="2"/>
  <c r="J54" i="2"/>
  <c r="I54" i="2"/>
  <c r="K53" i="2"/>
  <c r="J53" i="2"/>
  <c r="I53" i="2"/>
  <c r="K52" i="2"/>
  <c r="J52" i="2"/>
  <c r="I52" i="2"/>
  <c r="K51" i="2"/>
  <c r="J51" i="2"/>
  <c r="I51" i="2"/>
  <c r="K50" i="2"/>
  <c r="J50" i="2"/>
  <c r="I50" i="2"/>
  <c r="K49" i="2"/>
  <c r="J49" i="2"/>
  <c r="I49" i="2"/>
  <c r="I47" i="2"/>
  <c r="I46" i="2"/>
  <c r="I45" i="2"/>
  <c r="I44" i="2"/>
  <c r="X23" i="2"/>
  <c r="Y23" i="2"/>
  <c r="K38" i="2"/>
  <c r="K22" i="2"/>
  <c r="J38" i="2"/>
  <c r="J22" i="2"/>
  <c r="K37" i="2"/>
  <c r="K21" i="2"/>
  <c r="J37" i="2"/>
  <c r="J21" i="2"/>
  <c r="K36" i="2"/>
  <c r="N20" i="2"/>
  <c r="Y20" i="2"/>
  <c r="K20" i="2"/>
  <c r="J36" i="2"/>
  <c r="J20" i="2"/>
  <c r="K35" i="2"/>
  <c r="K19" i="2"/>
  <c r="J35" i="2"/>
  <c r="M19" i="2"/>
  <c r="X19" i="2"/>
  <c r="J19" i="2"/>
  <c r="K34" i="2"/>
  <c r="K18" i="2"/>
  <c r="J34" i="2"/>
  <c r="J18" i="2"/>
  <c r="K33" i="2"/>
  <c r="K17" i="2"/>
  <c r="J33" i="2"/>
  <c r="J17" i="2"/>
  <c r="K32" i="2"/>
  <c r="N16" i="2"/>
  <c r="Y16" i="2"/>
  <c r="K16" i="2"/>
  <c r="J32" i="2"/>
  <c r="J16" i="2"/>
  <c r="I38" i="2"/>
  <c r="I37" i="2"/>
  <c r="I36" i="2"/>
  <c r="I35" i="2"/>
  <c r="I34" i="2"/>
  <c r="I33" i="2"/>
  <c r="I32" i="2"/>
  <c r="I22" i="2"/>
  <c r="I21" i="2"/>
  <c r="I20" i="2"/>
  <c r="I19" i="2"/>
  <c r="I18" i="2"/>
  <c r="I17" i="2"/>
  <c r="I16" i="2"/>
  <c r="K3" i="7"/>
  <c r="M3" i="7"/>
  <c r="C3" i="7" s="1"/>
  <c r="K147" i="7"/>
  <c r="M147" i="7"/>
  <c r="K129" i="7"/>
  <c r="M129" i="7"/>
  <c r="C129" i="7" s="1"/>
  <c r="K111" i="7"/>
  <c r="M111" i="7"/>
  <c r="K93" i="7"/>
  <c r="M93" i="7"/>
  <c r="C93" i="7" s="1"/>
  <c r="K75" i="7"/>
  <c r="M75" i="7"/>
  <c r="K57" i="7"/>
  <c r="M57" i="7"/>
  <c r="C57" i="7" s="1"/>
  <c r="K39" i="7"/>
  <c r="M39" i="7"/>
  <c r="K21" i="7"/>
  <c r="M21" i="7"/>
  <c r="C21" i="7" s="1"/>
  <c r="J164" i="7"/>
  <c r="H164" i="7" s="1"/>
  <c r="J163" i="7"/>
  <c r="H163" i="7" s="1"/>
  <c r="J162" i="7"/>
  <c r="H162" i="7" s="1"/>
  <c r="J161" i="7"/>
  <c r="H161" i="7" s="1"/>
  <c r="J160" i="7"/>
  <c r="H160" i="7" s="1"/>
  <c r="J159" i="7"/>
  <c r="H159" i="7" s="1"/>
  <c r="J158" i="7"/>
  <c r="H158" i="7" s="1"/>
  <c r="J156" i="7"/>
  <c r="H156" i="7" s="1"/>
  <c r="J155" i="7"/>
  <c r="H155" i="7" s="1"/>
  <c r="J154" i="7"/>
  <c r="H154" i="7" s="1"/>
  <c r="J153" i="7"/>
  <c r="H153" i="7" s="1"/>
  <c r="J152" i="7"/>
  <c r="H152" i="7" s="1"/>
  <c r="J151" i="7"/>
  <c r="H151" i="7" s="1"/>
  <c r="J150" i="7"/>
  <c r="H150" i="7" s="1"/>
  <c r="J144" i="7"/>
  <c r="H144" i="7" s="1"/>
  <c r="J143" i="7"/>
  <c r="H143" i="7" s="1"/>
  <c r="J142" i="7"/>
  <c r="H142" i="7" s="1"/>
  <c r="J141" i="7"/>
  <c r="H141" i="7" s="1"/>
  <c r="J140" i="7"/>
  <c r="H140" i="7" s="1"/>
  <c r="J139" i="7"/>
  <c r="H139" i="7" s="1"/>
  <c r="J137" i="7"/>
  <c r="H137" i="7" s="1"/>
  <c r="J136" i="7"/>
  <c r="H136" i="7" s="1"/>
  <c r="J135" i="7"/>
  <c r="H135" i="7" s="1"/>
  <c r="J134" i="7"/>
  <c r="H134" i="7" s="1"/>
  <c r="J133" i="7"/>
  <c r="H133" i="7" s="1"/>
  <c r="J132" i="7"/>
  <c r="H132" i="7" s="1"/>
  <c r="J126" i="7"/>
  <c r="H126" i="7" s="1"/>
  <c r="J125" i="7"/>
  <c r="H125" i="7" s="1"/>
  <c r="J124" i="7"/>
  <c r="H124" i="7" s="1"/>
  <c r="J123" i="7"/>
  <c r="H123" i="7" s="1"/>
  <c r="J122" i="7"/>
  <c r="H122" i="7" s="1"/>
  <c r="J121" i="7"/>
  <c r="H121" i="7" s="1"/>
  <c r="J119" i="7"/>
  <c r="H119" i="7" s="1"/>
  <c r="J118" i="7"/>
  <c r="H118" i="7" s="1"/>
  <c r="J117" i="7"/>
  <c r="H117" i="7" s="1"/>
  <c r="J116" i="7"/>
  <c r="H116" i="7" s="1"/>
  <c r="J115" i="7"/>
  <c r="H115" i="7" s="1"/>
  <c r="J114" i="7"/>
  <c r="H114" i="7" s="1"/>
  <c r="J108" i="7"/>
  <c r="H108" i="7" s="1"/>
  <c r="J107" i="7"/>
  <c r="H107" i="7" s="1"/>
  <c r="J106" i="7"/>
  <c r="H106" i="7" s="1"/>
  <c r="J105" i="7"/>
  <c r="H105" i="7" s="1"/>
  <c r="J104" i="7"/>
  <c r="H104" i="7" s="1"/>
  <c r="J103" i="7"/>
  <c r="H103" i="7" s="1"/>
  <c r="J101" i="7"/>
  <c r="H101" i="7" s="1"/>
  <c r="J100" i="7"/>
  <c r="H100" i="7" s="1"/>
  <c r="J99" i="7"/>
  <c r="H99" i="7" s="1"/>
  <c r="J98" i="7"/>
  <c r="H98" i="7" s="1"/>
  <c r="J97" i="7"/>
  <c r="H97" i="7" s="1"/>
  <c r="J96" i="7"/>
  <c r="H96" i="7" s="1"/>
  <c r="J90" i="7"/>
  <c r="H90" i="7" s="1"/>
  <c r="J89" i="7"/>
  <c r="H89" i="7" s="1"/>
  <c r="J88" i="7"/>
  <c r="H88" i="7" s="1"/>
  <c r="J87" i="7"/>
  <c r="H87" i="7" s="1"/>
  <c r="J86" i="7"/>
  <c r="H86" i="7" s="1"/>
  <c r="J85" i="7"/>
  <c r="H85" i="7" s="1"/>
  <c r="J83" i="7"/>
  <c r="H83" i="7" s="1"/>
  <c r="J82" i="7"/>
  <c r="H82" i="7" s="1"/>
  <c r="J81" i="7"/>
  <c r="H81" i="7" s="1"/>
  <c r="J80" i="7"/>
  <c r="H80" i="7" s="1"/>
  <c r="J79" i="7"/>
  <c r="H79" i="7" s="1"/>
  <c r="J78" i="7"/>
  <c r="H78" i="7" s="1"/>
  <c r="J72" i="7"/>
  <c r="H72" i="7" s="1"/>
  <c r="J71" i="7"/>
  <c r="H71" i="7" s="1"/>
  <c r="J70" i="7"/>
  <c r="H70" i="7" s="1"/>
  <c r="J69" i="7"/>
  <c r="H69" i="7" s="1"/>
  <c r="J68" i="7"/>
  <c r="H68" i="7" s="1"/>
  <c r="J67" i="7"/>
  <c r="H67" i="7" s="1"/>
  <c r="J65" i="7"/>
  <c r="H65" i="7" s="1"/>
  <c r="J64" i="7"/>
  <c r="H64" i="7" s="1"/>
  <c r="J63" i="7"/>
  <c r="H63" i="7" s="1"/>
  <c r="J62" i="7"/>
  <c r="H62" i="7" s="1"/>
  <c r="J61" i="7"/>
  <c r="H61" i="7" s="1"/>
  <c r="J60" i="7"/>
  <c r="H60" i="7" s="1"/>
  <c r="J54" i="7"/>
  <c r="H54" i="7" s="1"/>
  <c r="J53" i="7"/>
  <c r="H53" i="7" s="1"/>
  <c r="J52" i="7"/>
  <c r="H52" i="7" s="1"/>
  <c r="J51" i="7"/>
  <c r="H51" i="7" s="1"/>
  <c r="J50" i="7"/>
  <c r="H50" i="7" s="1"/>
  <c r="J49" i="7"/>
  <c r="H49" i="7" s="1"/>
  <c r="J47" i="7"/>
  <c r="H47" i="7" s="1"/>
  <c r="J46" i="7"/>
  <c r="H46" i="7" s="1"/>
  <c r="J45" i="7"/>
  <c r="H45" i="7" s="1"/>
  <c r="J44" i="7"/>
  <c r="H44" i="7" s="1"/>
  <c r="J43" i="7"/>
  <c r="H43" i="7" s="1"/>
  <c r="J42" i="7"/>
  <c r="H42" i="7" s="1"/>
  <c r="J36" i="7"/>
  <c r="H36" i="7" s="1"/>
  <c r="J35" i="7"/>
  <c r="H35" i="7" s="1"/>
  <c r="J34" i="7"/>
  <c r="H34" i="7" s="1"/>
  <c r="J33" i="7"/>
  <c r="H33" i="7" s="1"/>
  <c r="J32" i="7"/>
  <c r="H32" i="7" s="1"/>
  <c r="J31" i="7"/>
  <c r="H31" i="7" s="1"/>
  <c r="J29" i="7"/>
  <c r="H29" i="7" s="1"/>
  <c r="J28" i="7"/>
  <c r="H28" i="7" s="1"/>
  <c r="J27" i="7"/>
  <c r="H27" i="7" s="1"/>
  <c r="J26" i="7"/>
  <c r="H26" i="7" s="1"/>
  <c r="J25" i="7"/>
  <c r="H25" i="7" s="1"/>
  <c r="J24" i="7"/>
  <c r="H24" i="7" s="1"/>
  <c r="J18" i="7"/>
  <c r="H18" i="7" s="1"/>
  <c r="J17" i="7"/>
  <c r="H17" i="7" s="1"/>
  <c r="J16" i="7"/>
  <c r="H16" i="7" s="1"/>
  <c r="J15" i="7"/>
  <c r="H15" i="7" s="1"/>
  <c r="J14" i="7"/>
  <c r="H14" i="7" s="1"/>
  <c r="J13" i="7"/>
  <c r="H13" i="7" s="1"/>
  <c r="J11" i="7"/>
  <c r="H11" i="7" s="1"/>
  <c r="J10" i="7"/>
  <c r="H10" i="7" s="1"/>
  <c r="J9" i="7"/>
  <c r="H9" i="7" s="1"/>
  <c r="J8" i="7"/>
  <c r="H8" i="7" s="1"/>
  <c r="J7" i="7"/>
  <c r="H7" i="7" s="1"/>
  <c r="J6" i="7"/>
  <c r="H6" i="7" s="1"/>
  <c r="I164" i="7"/>
  <c r="G164" i="7" s="1"/>
  <c r="I163" i="7"/>
  <c r="G163" i="7" s="1"/>
  <c r="I162" i="7"/>
  <c r="G162" i="7" s="1"/>
  <c r="I161" i="7"/>
  <c r="G161" i="7" s="1"/>
  <c r="I160" i="7"/>
  <c r="G160" i="7" s="1"/>
  <c r="I159" i="7"/>
  <c r="G159" i="7" s="1"/>
  <c r="I158" i="7"/>
  <c r="G158" i="7" s="1"/>
  <c r="I156" i="7"/>
  <c r="G156" i="7" s="1"/>
  <c r="I155" i="7"/>
  <c r="G155" i="7" s="1"/>
  <c r="I154" i="7"/>
  <c r="G154" i="7" s="1"/>
  <c r="I153" i="7"/>
  <c r="G153" i="7" s="1"/>
  <c r="I152" i="7"/>
  <c r="G152" i="7" s="1"/>
  <c r="I151" i="7"/>
  <c r="G151" i="7" s="1"/>
  <c r="I150" i="7"/>
  <c r="G150" i="7" s="1"/>
  <c r="I144" i="7"/>
  <c r="G144" i="7" s="1"/>
  <c r="I143" i="7"/>
  <c r="G143" i="7" s="1"/>
  <c r="I142" i="7"/>
  <c r="G142" i="7" s="1"/>
  <c r="I141" i="7"/>
  <c r="G141" i="7" s="1"/>
  <c r="I140" i="7"/>
  <c r="G140" i="7" s="1"/>
  <c r="I139" i="7"/>
  <c r="G139" i="7" s="1"/>
  <c r="I137" i="7"/>
  <c r="G137" i="7" s="1"/>
  <c r="I136" i="7"/>
  <c r="G136" i="7" s="1"/>
  <c r="I135" i="7"/>
  <c r="G135" i="7" s="1"/>
  <c r="I134" i="7"/>
  <c r="G134" i="7" s="1"/>
  <c r="I133" i="7"/>
  <c r="G133" i="7" s="1"/>
  <c r="I132" i="7"/>
  <c r="G132" i="7" s="1"/>
  <c r="I126" i="7"/>
  <c r="G126" i="7" s="1"/>
  <c r="I125" i="7"/>
  <c r="G125" i="7" s="1"/>
  <c r="I124" i="7"/>
  <c r="G124" i="7" s="1"/>
  <c r="I123" i="7"/>
  <c r="G123" i="7" s="1"/>
  <c r="I122" i="7"/>
  <c r="G122" i="7" s="1"/>
  <c r="I121" i="7"/>
  <c r="G121" i="7" s="1"/>
  <c r="I119" i="7"/>
  <c r="G119" i="7" s="1"/>
  <c r="I118" i="7"/>
  <c r="G118" i="7" s="1"/>
  <c r="I117" i="7"/>
  <c r="G117" i="7" s="1"/>
  <c r="I116" i="7"/>
  <c r="G116" i="7" s="1"/>
  <c r="I115" i="7"/>
  <c r="G115" i="7" s="1"/>
  <c r="I114" i="7"/>
  <c r="G114" i="7" s="1"/>
  <c r="I108" i="7"/>
  <c r="G108" i="7" s="1"/>
  <c r="I107" i="7"/>
  <c r="G107" i="7" s="1"/>
  <c r="I106" i="7"/>
  <c r="G106" i="7" s="1"/>
  <c r="I105" i="7"/>
  <c r="G105" i="7" s="1"/>
  <c r="I104" i="7"/>
  <c r="G104" i="7" s="1"/>
  <c r="I103" i="7"/>
  <c r="G103" i="7" s="1"/>
  <c r="I101" i="7"/>
  <c r="G101" i="7" s="1"/>
  <c r="I100" i="7"/>
  <c r="G100" i="7" s="1"/>
  <c r="I99" i="7"/>
  <c r="G99" i="7" s="1"/>
  <c r="I98" i="7"/>
  <c r="G98" i="7" s="1"/>
  <c r="I97" i="7"/>
  <c r="G97" i="7" s="1"/>
  <c r="I96" i="7"/>
  <c r="G96" i="7" s="1"/>
  <c r="I90" i="7"/>
  <c r="G90" i="7" s="1"/>
  <c r="I89" i="7"/>
  <c r="G89" i="7" s="1"/>
  <c r="I88" i="7"/>
  <c r="G88" i="7" s="1"/>
  <c r="I87" i="7"/>
  <c r="G87" i="7" s="1"/>
  <c r="I86" i="7"/>
  <c r="G86" i="7" s="1"/>
  <c r="I85" i="7"/>
  <c r="G85" i="7" s="1"/>
  <c r="I83" i="7"/>
  <c r="G83" i="7" s="1"/>
  <c r="I82" i="7"/>
  <c r="G82" i="7" s="1"/>
  <c r="I81" i="7"/>
  <c r="G81" i="7" s="1"/>
  <c r="I80" i="7"/>
  <c r="G80" i="7"/>
  <c r="I79" i="7"/>
  <c r="G79" i="7" s="1"/>
  <c r="I78" i="7"/>
  <c r="G78" i="7"/>
  <c r="I72" i="7"/>
  <c r="G72" i="7" s="1"/>
  <c r="I71" i="7"/>
  <c r="G71" i="7"/>
  <c r="I70" i="7"/>
  <c r="G70" i="7" s="1"/>
  <c r="I69" i="7"/>
  <c r="G69" i="7"/>
  <c r="I68" i="7"/>
  <c r="G68" i="7" s="1"/>
  <c r="I67" i="7"/>
  <c r="G67" i="7"/>
  <c r="I65" i="7"/>
  <c r="G65" i="7" s="1"/>
  <c r="I64" i="7"/>
  <c r="G64" i="7"/>
  <c r="I63" i="7"/>
  <c r="G63" i="7" s="1"/>
  <c r="I62" i="7"/>
  <c r="G62" i="7"/>
  <c r="I61" i="7"/>
  <c r="G61" i="7" s="1"/>
  <c r="I60" i="7"/>
  <c r="G60" i="7"/>
  <c r="I54" i="7"/>
  <c r="G54" i="7" s="1"/>
  <c r="I53" i="7"/>
  <c r="G53" i="7"/>
  <c r="I52" i="7"/>
  <c r="G52" i="7" s="1"/>
  <c r="I51" i="7"/>
  <c r="G51" i="7"/>
  <c r="I50" i="7"/>
  <c r="G50" i="7" s="1"/>
  <c r="I49" i="7"/>
  <c r="G49" i="7"/>
  <c r="I47" i="7"/>
  <c r="G47" i="7" s="1"/>
  <c r="I46" i="7"/>
  <c r="G46" i="7"/>
  <c r="I45" i="7"/>
  <c r="G45" i="7" s="1"/>
  <c r="I44" i="7"/>
  <c r="G44" i="7"/>
  <c r="I43" i="7"/>
  <c r="G43" i="7" s="1"/>
  <c r="I42" i="7"/>
  <c r="G42" i="7"/>
  <c r="I36" i="7"/>
  <c r="G36" i="7" s="1"/>
  <c r="I35" i="7"/>
  <c r="G35" i="7"/>
  <c r="I34" i="7"/>
  <c r="G34" i="7" s="1"/>
  <c r="I33" i="7"/>
  <c r="G33" i="7"/>
  <c r="I32" i="7"/>
  <c r="G32" i="7" s="1"/>
  <c r="I31" i="7"/>
  <c r="G31" i="7"/>
  <c r="I29" i="7"/>
  <c r="G29" i="7" s="1"/>
  <c r="I28" i="7"/>
  <c r="G28" i="7"/>
  <c r="I27" i="7"/>
  <c r="G27" i="7" s="1"/>
  <c r="I26" i="7"/>
  <c r="G26" i="7"/>
  <c r="I25" i="7"/>
  <c r="G25" i="7" s="1"/>
  <c r="I24" i="7"/>
  <c r="G24" i="7"/>
  <c r="I18" i="7"/>
  <c r="G18" i="7" s="1"/>
  <c r="I17" i="7"/>
  <c r="G17" i="7"/>
  <c r="I16" i="7"/>
  <c r="G16" i="7" s="1"/>
  <c r="I15" i="7"/>
  <c r="G15" i="7"/>
  <c r="I14" i="7"/>
  <c r="G14" i="7" s="1"/>
  <c r="I13" i="7"/>
  <c r="G13" i="7"/>
  <c r="I11" i="7"/>
  <c r="G11" i="7" s="1"/>
  <c r="I10" i="7"/>
  <c r="G10" i="7"/>
  <c r="I9" i="7"/>
  <c r="G9" i="7" s="1"/>
  <c r="I8" i="7"/>
  <c r="G8" i="7"/>
  <c r="I7" i="7"/>
  <c r="G7" i="7" s="1"/>
  <c r="I6" i="7"/>
  <c r="G6" i="7"/>
  <c r="I94" i="2"/>
  <c r="I93" i="2"/>
  <c r="I92" i="2"/>
  <c r="I91" i="2"/>
  <c r="I88" i="2"/>
  <c r="I87" i="2"/>
  <c r="I86" i="2"/>
  <c r="I85" i="2"/>
  <c r="K94" i="2"/>
  <c r="O92" i="2"/>
  <c r="K93" i="2"/>
  <c r="F9" i="6"/>
  <c r="E9" i="6"/>
  <c r="E10" i="6"/>
  <c r="F6" i="7"/>
  <c r="F141" i="7"/>
  <c r="E141" i="7"/>
  <c r="D141" i="7"/>
  <c r="C141" i="7"/>
  <c r="F140" i="7"/>
  <c r="E140" i="7"/>
  <c r="D140" i="7"/>
  <c r="C140" i="7"/>
  <c r="F134" i="7"/>
  <c r="E134" i="7"/>
  <c r="D134" i="7"/>
  <c r="C134" i="7"/>
  <c r="F133" i="7"/>
  <c r="E133" i="7"/>
  <c r="D133" i="7"/>
  <c r="C133" i="7"/>
  <c r="F116" i="7"/>
  <c r="E116" i="7"/>
  <c r="D116" i="7"/>
  <c r="C116" i="7"/>
  <c r="F115" i="7"/>
  <c r="E115" i="7"/>
  <c r="D115" i="7"/>
  <c r="C115" i="7"/>
  <c r="F123" i="7"/>
  <c r="E123" i="7"/>
  <c r="D123" i="7"/>
  <c r="C123" i="7"/>
  <c r="F122" i="7"/>
  <c r="E122" i="7"/>
  <c r="D122" i="7"/>
  <c r="C122" i="7"/>
  <c r="F105" i="7"/>
  <c r="E105" i="7"/>
  <c r="D105" i="7"/>
  <c r="C105" i="7"/>
  <c r="F104" i="7"/>
  <c r="E104" i="7"/>
  <c r="D104" i="7"/>
  <c r="C104" i="7"/>
  <c r="F98" i="7"/>
  <c r="E98" i="7"/>
  <c r="D98" i="7"/>
  <c r="C98" i="7"/>
  <c r="F97" i="7"/>
  <c r="E97" i="7"/>
  <c r="D97" i="7"/>
  <c r="C97" i="7"/>
  <c r="F87" i="7"/>
  <c r="E87" i="7"/>
  <c r="D87" i="7"/>
  <c r="C87" i="7"/>
  <c r="F86" i="7"/>
  <c r="E86" i="7"/>
  <c r="D86" i="7"/>
  <c r="C86" i="7"/>
  <c r="F80" i="7"/>
  <c r="E80" i="7"/>
  <c r="D80" i="7"/>
  <c r="C80" i="7"/>
  <c r="F79" i="7"/>
  <c r="E79" i="7"/>
  <c r="D79" i="7"/>
  <c r="C79" i="7"/>
  <c r="F69" i="7"/>
  <c r="E69" i="7"/>
  <c r="D69" i="7"/>
  <c r="C69" i="7"/>
  <c r="F68" i="7"/>
  <c r="E68" i="7"/>
  <c r="D68" i="7"/>
  <c r="C68" i="7"/>
  <c r="F62" i="7"/>
  <c r="E62" i="7"/>
  <c r="D62" i="7"/>
  <c r="C62" i="7"/>
  <c r="F61" i="7"/>
  <c r="E61" i="7"/>
  <c r="D61" i="7"/>
  <c r="C61" i="7"/>
  <c r="F51" i="7"/>
  <c r="E51" i="7"/>
  <c r="D51" i="7"/>
  <c r="C51" i="7"/>
  <c r="F50" i="7"/>
  <c r="E50" i="7"/>
  <c r="D50" i="7"/>
  <c r="C50" i="7"/>
  <c r="F44" i="7"/>
  <c r="E44" i="7"/>
  <c r="D44" i="7"/>
  <c r="C44" i="7"/>
  <c r="F43" i="7"/>
  <c r="E43" i="7"/>
  <c r="D43" i="7"/>
  <c r="C43" i="7"/>
  <c r="F33" i="7"/>
  <c r="E33" i="7"/>
  <c r="D33" i="7"/>
  <c r="C33" i="7"/>
  <c r="F32" i="7"/>
  <c r="E32" i="7"/>
  <c r="D32" i="7"/>
  <c r="C32" i="7"/>
  <c r="F26" i="7"/>
  <c r="E26" i="7"/>
  <c r="D26" i="7"/>
  <c r="C26" i="7"/>
  <c r="F25" i="7"/>
  <c r="E25" i="7"/>
  <c r="D25" i="7"/>
  <c r="C25" i="7"/>
  <c r="F15" i="7"/>
  <c r="E15" i="7"/>
  <c r="D15" i="7"/>
  <c r="C15" i="7"/>
  <c r="F14" i="7"/>
  <c r="E14" i="7"/>
  <c r="D14" i="7"/>
  <c r="C14" i="7"/>
  <c r="F8" i="7"/>
  <c r="E8" i="7"/>
  <c r="D8" i="7"/>
  <c r="C8" i="7"/>
  <c r="F7" i="7"/>
  <c r="E7" i="7"/>
  <c r="D7" i="7"/>
  <c r="C7" i="7"/>
  <c r="J49" i="18"/>
  <c r="I49" i="18"/>
  <c r="H49" i="18"/>
  <c r="G49" i="18"/>
  <c r="F49" i="18"/>
  <c r="E49" i="18"/>
  <c r="D49" i="18"/>
  <c r="C49" i="18"/>
  <c r="J48" i="18"/>
  <c r="I48" i="18"/>
  <c r="H48" i="18"/>
  <c r="G48" i="18"/>
  <c r="F48" i="18"/>
  <c r="E48" i="18"/>
  <c r="D48" i="18"/>
  <c r="C48" i="18"/>
  <c r="J47" i="18"/>
  <c r="I47" i="18"/>
  <c r="H47" i="18"/>
  <c r="G47" i="18"/>
  <c r="F47" i="18"/>
  <c r="E47" i="18"/>
  <c r="D47" i="18"/>
  <c r="C47" i="18"/>
  <c r="J46" i="18"/>
  <c r="I46" i="18"/>
  <c r="H46" i="18"/>
  <c r="G46" i="18"/>
  <c r="F46" i="18"/>
  <c r="E46" i="18"/>
  <c r="D46" i="18"/>
  <c r="C46" i="18"/>
  <c r="J45" i="18"/>
  <c r="I45" i="18"/>
  <c r="H45" i="18"/>
  <c r="G45" i="18"/>
  <c r="F45" i="18"/>
  <c r="E45" i="18"/>
  <c r="D45" i="18"/>
  <c r="C45" i="18"/>
  <c r="J44" i="18"/>
  <c r="I44" i="18"/>
  <c r="H44" i="18"/>
  <c r="G44" i="18"/>
  <c r="F44" i="18"/>
  <c r="E44" i="18"/>
  <c r="D44" i="18"/>
  <c r="C44" i="18"/>
  <c r="J43" i="18"/>
  <c r="I43" i="18"/>
  <c r="H43" i="18"/>
  <c r="G43" i="18"/>
  <c r="F43" i="18"/>
  <c r="E43" i="18"/>
  <c r="D43" i="18"/>
  <c r="C43" i="18"/>
  <c r="J41" i="18"/>
  <c r="I41" i="18"/>
  <c r="H41" i="18"/>
  <c r="G41" i="18"/>
  <c r="F41" i="18"/>
  <c r="E41" i="18"/>
  <c r="D41" i="18"/>
  <c r="C41" i="18"/>
  <c r="J40" i="18"/>
  <c r="I40" i="18"/>
  <c r="H40" i="18"/>
  <c r="G40" i="18"/>
  <c r="F40" i="18"/>
  <c r="E40" i="18"/>
  <c r="D40" i="18"/>
  <c r="C40" i="18"/>
  <c r="J39" i="18"/>
  <c r="I39" i="18"/>
  <c r="H39" i="18"/>
  <c r="G39" i="18"/>
  <c r="F39" i="18"/>
  <c r="E39" i="18"/>
  <c r="D39" i="18"/>
  <c r="C39" i="18"/>
  <c r="J38" i="18"/>
  <c r="I38" i="18"/>
  <c r="H38" i="18"/>
  <c r="G38" i="18"/>
  <c r="F38" i="18"/>
  <c r="E38" i="18"/>
  <c r="D38" i="18"/>
  <c r="C38" i="18"/>
  <c r="J37" i="18"/>
  <c r="I37" i="18"/>
  <c r="H37" i="18"/>
  <c r="G37" i="18"/>
  <c r="F37" i="18"/>
  <c r="E37" i="18"/>
  <c r="D37" i="18"/>
  <c r="C37" i="18"/>
  <c r="J36" i="18"/>
  <c r="I36" i="18"/>
  <c r="H36" i="18"/>
  <c r="G36" i="18"/>
  <c r="F36" i="18"/>
  <c r="E36" i="18"/>
  <c r="D36" i="18"/>
  <c r="C36" i="18"/>
  <c r="J35" i="18"/>
  <c r="I35" i="18"/>
  <c r="H35" i="18"/>
  <c r="G35" i="18"/>
  <c r="F35" i="18"/>
  <c r="E35" i="18"/>
  <c r="D35" i="18"/>
  <c r="C35" i="18"/>
  <c r="I2" i="7"/>
  <c r="H2" i="7"/>
  <c r="G2" i="7"/>
  <c r="F2" i="7"/>
  <c r="C1" i="7"/>
  <c r="A1" i="7"/>
  <c r="E95" i="6"/>
  <c r="E94" i="6"/>
  <c r="E93" i="6"/>
  <c r="I84" i="6"/>
  <c r="Y84" i="6" s="1"/>
  <c r="E92" i="6"/>
  <c r="I83" i="6"/>
  <c r="E91" i="6"/>
  <c r="E59" i="6"/>
  <c r="I90" i="6"/>
  <c r="E90" i="6"/>
  <c r="E58" i="6"/>
  <c r="I89" i="6"/>
  <c r="Y89" i="6" s="1"/>
  <c r="E89" i="6"/>
  <c r="E57" i="6"/>
  <c r="E87" i="6"/>
  <c r="E55" i="6"/>
  <c r="E86" i="6"/>
  <c r="E54" i="6"/>
  <c r="E85" i="6"/>
  <c r="E53" i="6"/>
  <c r="E84" i="6"/>
  <c r="E83" i="6"/>
  <c r="E51" i="6"/>
  <c r="E82" i="6"/>
  <c r="E50" i="6"/>
  <c r="E81" i="6"/>
  <c r="E49" i="6"/>
  <c r="E131" i="6"/>
  <c r="E99" i="6"/>
  <c r="I122" i="6"/>
  <c r="R122" i="6" s="1"/>
  <c r="E130" i="6"/>
  <c r="E129" i="6"/>
  <c r="I128" i="6"/>
  <c r="Y128" i="6"/>
  <c r="E128" i="6"/>
  <c r="E127" i="6"/>
  <c r="I118" i="6"/>
  <c r="Y118" i="6"/>
  <c r="E126" i="6"/>
  <c r="E125" i="6"/>
  <c r="E123" i="6"/>
  <c r="E122" i="6"/>
  <c r="E121" i="6"/>
  <c r="E120" i="6"/>
  <c r="E119" i="6"/>
  <c r="E118" i="6"/>
  <c r="E117" i="6"/>
  <c r="I185" i="6"/>
  <c r="R185" i="6"/>
  <c r="I177" i="6"/>
  <c r="E185" i="6"/>
  <c r="I153" i="6"/>
  <c r="I161" i="6"/>
  <c r="Y161" i="6"/>
  <c r="E153" i="6"/>
  <c r="I184" i="6"/>
  <c r="I176" i="6"/>
  <c r="E184" i="6"/>
  <c r="E183" i="6"/>
  <c r="I182" i="6"/>
  <c r="Y182" i="6"/>
  <c r="I174" i="6"/>
  <c r="K174" i="6" s="1"/>
  <c r="T174" i="6" s="1"/>
  <c r="E182" i="6"/>
  <c r="I181" i="6"/>
  <c r="E181" i="6"/>
  <c r="I149" i="6"/>
  <c r="E149" i="6"/>
  <c r="I180" i="6"/>
  <c r="Y180" i="6"/>
  <c r="I172" i="6"/>
  <c r="E180" i="6"/>
  <c r="I140" i="6"/>
  <c r="Y140" i="6"/>
  <c r="E148" i="6"/>
  <c r="I179" i="6"/>
  <c r="Y179" i="6"/>
  <c r="E179" i="6"/>
  <c r="I139" i="6"/>
  <c r="Y139" i="6" s="1"/>
  <c r="E147" i="6"/>
  <c r="E177" i="6"/>
  <c r="I137" i="6"/>
  <c r="Y137" i="6" s="1"/>
  <c r="E145" i="6"/>
  <c r="E176" i="6"/>
  <c r="E144" i="6"/>
  <c r="E175" i="6"/>
  <c r="I135" i="6"/>
  <c r="E143" i="6"/>
  <c r="E174" i="6"/>
  <c r="E173" i="6"/>
  <c r="E141" i="6"/>
  <c r="E172" i="6"/>
  <c r="E140" i="6"/>
  <c r="E171" i="6"/>
  <c r="E139" i="6"/>
  <c r="E113" i="6"/>
  <c r="I112" i="6"/>
  <c r="I104" i="6"/>
  <c r="Y104" i="6"/>
  <c r="E112" i="6"/>
  <c r="I111" i="6"/>
  <c r="Y111" i="6" s="1"/>
  <c r="I103" i="6"/>
  <c r="E111" i="6"/>
  <c r="I102" i="6"/>
  <c r="Y102" i="6" s="1"/>
  <c r="E110" i="6"/>
  <c r="E109" i="6"/>
  <c r="E108" i="6"/>
  <c r="E107" i="6"/>
  <c r="E105" i="6"/>
  <c r="E104" i="6"/>
  <c r="E103" i="6"/>
  <c r="E102" i="6"/>
  <c r="E101" i="6"/>
  <c r="E100" i="6"/>
  <c r="E23" i="6"/>
  <c r="E22" i="6"/>
  <c r="E21" i="6"/>
  <c r="E20" i="6"/>
  <c r="E19" i="6"/>
  <c r="E18" i="6"/>
  <c r="E17" i="6"/>
  <c r="E15" i="6"/>
  <c r="E14" i="6"/>
  <c r="E13" i="6"/>
  <c r="E12" i="6"/>
  <c r="E11" i="6"/>
  <c r="E41" i="6"/>
  <c r="E40" i="6"/>
  <c r="E39" i="6"/>
  <c r="E38" i="6"/>
  <c r="E37" i="6"/>
  <c r="E36" i="6"/>
  <c r="E35" i="6"/>
  <c r="E33" i="6"/>
  <c r="E32" i="6"/>
  <c r="E31" i="6"/>
  <c r="E30" i="6"/>
  <c r="E29" i="6"/>
  <c r="E28" i="6"/>
  <c r="E27" i="6"/>
  <c r="E56" i="6"/>
  <c r="E48" i="6"/>
  <c r="E47" i="6"/>
  <c r="E46" i="6"/>
  <c r="E45" i="6"/>
  <c r="I167" i="6"/>
  <c r="K159" i="6" s="1"/>
  <c r="I159" i="6"/>
  <c r="E167" i="6"/>
  <c r="E135" i="6"/>
  <c r="I158" i="6"/>
  <c r="E166" i="6"/>
  <c r="I165" i="6"/>
  <c r="E165" i="6"/>
  <c r="I164" i="6"/>
  <c r="Y164" i="6" s="1"/>
  <c r="I156" i="6"/>
  <c r="E164" i="6"/>
  <c r="E163" i="6"/>
  <c r="I154" i="6"/>
  <c r="E162" i="6"/>
  <c r="E161" i="6"/>
  <c r="E159" i="6"/>
  <c r="E158" i="6"/>
  <c r="E157" i="6"/>
  <c r="E156" i="6"/>
  <c r="E155" i="6"/>
  <c r="E154" i="6"/>
  <c r="C13" i="17"/>
  <c r="B13" i="17"/>
  <c r="C12" i="17"/>
  <c r="B12" i="17"/>
  <c r="C18" i="17"/>
  <c r="B18" i="17"/>
  <c r="C16" i="17"/>
  <c r="B16" i="17"/>
  <c r="C24" i="7"/>
  <c r="D24" i="7"/>
  <c r="E24" i="7"/>
  <c r="F27" i="6"/>
  <c r="F24" i="7"/>
  <c r="K31" i="8"/>
  <c r="W7" i="6"/>
  <c r="J24" i="2"/>
  <c r="J25" i="2"/>
  <c r="J26" i="2"/>
  <c r="J30" i="2"/>
  <c r="J29" i="2"/>
  <c r="J28" i="2"/>
  <c r="J27" i="2"/>
  <c r="V27" i="6"/>
  <c r="Q27" i="6"/>
  <c r="AK7" i="6"/>
  <c r="K24" i="2"/>
  <c r="K25" i="2"/>
  <c r="K26" i="2"/>
  <c r="K30" i="2"/>
  <c r="K29" i="2"/>
  <c r="K28" i="2"/>
  <c r="K27" i="2"/>
  <c r="AJ27" i="6"/>
  <c r="AE27" i="6"/>
  <c r="C27" i="7"/>
  <c r="D27" i="7"/>
  <c r="E27" i="7"/>
  <c r="F29" i="6"/>
  <c r="F27" i="7"/>
  <c r="V29" i="6"/>
  <c r="Q29" i="6"/>
  <c r="AJ29" i="6"/>
  <c r="AE29" i="6"/>
  <c r="C28" i="7"/>
  <c r="D28" i="7"/>
  <c r="E28" i="7"/>
  <c r="K91" i="2"/>
  <c r="F32" i="6"/>
  <c r="F28" i="7"/>
  <c r="V32" i="6"/>
  <c r="Q32" i="6"/>
  <c r="AJ32" i="6"/>
  <c r="K92" i="2"/>
  <c r="AE32" i="6"/>
  <c r="C29" i="7"/>
  <c r="D29" i="7"/>
  <c r="E29" i="7"/>
  <c r="F33" i="6"/>
  <c r="F29" i="7"/>
  <c r="V33" i="6"/>
  <c r="Q33" i="6"/>
  <c r="AJ33" i="6"/>
  <c r="AE33" i="6"/>
  <c r="C31" i="7"/>
  <c r="D31" i="7"/>
  <c r="E31" i="7"/>
  <c r="F35" i="6"/>
  <c r="F31" i="7"/>
  <c r="V35" i="6"/>
  <c r="Q35" i="6"/>
  <c r="AJ35" i="6"/>
  <c r="AE35" i="6"/>
  <c r="C34" i="7"/>
  <c r="D34" i="7"/>
  <c r="E34" i="7"/>
  <c r="F37" i="6"/>
  <c r="F34" i="7"/>
  <c r="V37" i="6"/>
  <c r="Q37" i="6"/>
  <c r="AJ37" i="6"/>
  <c r="AE37" i="6"/>
  <c r="C35" i="7"/>
  <c r="D35" i="7"/>
  <c r="E35" i="7"/>
  <c r="F40" i="6"/>
  <c r="F35" i="7"/>
  <c r="V40" i="6"/>
  <c r="Q40" i="6"/>
  <c r="AJ40" i="6"/>
  <c r="AE40" i="6"/>
  <c r="C36" i="7"/>
  <c r="D36" i="7"/>
  <c r="E36" i="7"/>
  <c r="F41" i="6"/>
  <c r="F36" i="7"/>
  <c r="V41" i="6"/>
  <c r="Q41" i="6"/>
  <c r="AJ41" i="6"/>
  <c r="AE41" i="6"/>
  <c r="J185" i="6"/>
  <c r="AF185" i="6"/>
  <c r="AJ185" i="6"/>
  <c r="F185" i="6"/>
  <c r="J177" i="6"/>
  <c r="AF177" i="6"/>
  <c r="AE185" i="6"/>
  <c r="AJ184" i="6"/>
  <c r="F184" i="6"/>
  <c r="AE184" i="6"/>
  <c r="J183" i="6"/>
  <c r="AM183" i="6" s="1"/>
  <c r="AJ183" i="6"/>
  <c r="F183" i="6"/>
  <c r="AE183" i="6"/>
  <c r="J182" i="6"/>
  <c r="AM182" i="6" s="1"/>
  <c r="AJ182" i="6"/>
  <c r="F182" i="6"/>
  <c r="J174" i="6"/>
  <c r="AM174" i="6" s="1"/>
  <c r="AE182" i="6"/>
  <c r="AJ181" i="6"/>
  <c r="F181" i="6"/>
  <c r="J173" i="6"/>
  <c r="AE181" i="6"/>
  <c r="AJ180" i="6"/>
  <c r="F180" i="6"/>
  <c r="AE180" i="6"/>
  <c r="J179" i="6"/>
  <c r="AJ179" i="6"/>
  <c r="F179" i="6"/>
  <c r="J171" i="6"/>
  <c r="AM171" i="6"/>
  <c r="AE179" i="6"/>
  <c r="AJ177" i="6"/>
  <c r="F177" i="6"/>
  <c r="AE177" i="6"/>
  <c r="AJ176" i="6"/>
  <c r="F176" i="6"/>
  <c r="AE176" i="6"/>
  <c r="AJ175" i="6"/>
  <c r="F175" i="6"/>
  <c r="AE175" i="6"/>
  <c r="AJ174" i="6"/>
  <c r="F174" i="6"/>
  <c r="AE174" i="6"/>
  <c r="AJ173" i="6"/>
  <c r="F173" i="6"/>
  <c r="AE173" i="6"/>
  <c r="AJ172" i="6"/>
  <c r="F172" i="6"/>
  <c r="AE172" i="6"/>
  <c r="AJ171" i="6"/>
  <c r="F171" i="6"/>
  <c r="AE171" i="6"/>
  <c r="AJ167" i="6"/>
  <c r="F167" i="6"/>
  <c r="AE167" i="6"/>
  <c r="J166" i="6"/>
  <c r="AJ166" i="6"/>
  <c r="F166" i="6"/>
  <c r="J158" i="6"/>
  <c r="AE166" i="6"/>
  <c r="AJ165" i="6"/>
  <c r="F165" i="6"/>
  <c r="J157" i="6"/>
  <c r="AM157" i="6" s="1"/>
  <c r="AE165" i="6"/>
  <c r="AJ164" i="6"/>
  <c r="F164" i="6"/>
  <c r="J156" i="6"/>
  <c r="AM156" i="6" s="1"/>
  <c r="AE164" i="6"/>
  <c r="AJ163" i="6"/>
  <c r="F163" i="6"/>
  <c r="J155" i="6"/>
  <c r="AE163" i="6"/>
  <c r="J162" i="6"/>
  <c r="AF161" i="6" s="1"/>
  <c r="AJ162" i="6"/>
  <c r="F162" i="6"/>
  <c r="AE162" i="6"/>
  <c r="J161" i="6"/>
  <c r="AJ161" i="6"/>
  <c r="F161" i="6"/>
  <c r="J153" i="6"/>
  <c r="AE161" i="6"/>
  <c r="AJ159" i="6"/>
  <c r="F159" i="6"/>
  <c r="AE159" i="6"/>
  <c r="AJ158" i="6"/>
  <c r="F158" i="6"/>
  <c r="AE158" i="6"/>
  <c r="AJ157" i="6"/>
  <c r="F157" i="6"/>
  <c r="AE157" i="6"/>
  <c r="AJ156" i="6"/>
  <c r="F156" i="6"/>
  <c r="AE156" i="6"/>
  <c r="AJ155" i="6"/>
  <c r="F155" i="6"/>
  <c r="AE155" i="6"/>
  <c r="AJ154" i="6"/>
  <c r="F154" i="6"/>
  <c r="AE154" i="6"/>
  <c r="AJ153" i="6"/>
  <c r="F153" i="6"/>
  <c r="AE153" i="6"/>
  <c r="AJ149" i="6"/>
  <c r="F149" i="6"/>
  <c r="J141" i="6"/>
  <c r="AF141" i="6"/>
  <c r="AE149" i="6"/>
  <c r="J148" i="6"/>
  <c r="AJ148" i="6"/>
  <c r="F148" i="6"/>
  <c r="AE148" i="6"/>
  <c r="AJ147" i="6"/>
  <c r="F147" i="6"/>
  <c r="J139" i="6"/>
  <c r="AM139" i="6"/>
  <c r="AE147" i="6"/>
  <c r="J146" i="6"/>
  <c r="AJ146" i="6"/>
  <c r="F146" i="6"/>
  <c r="AE146" i="6"/>
  <c r="J145" i="6"/>
  <c r="AM145" i="6"/>
  <c r="AJ145" i="6"/>
  <c r="F145" i="6"/>
  <c r="AE145" i="6"/>
  <c r="J144" i="6"/>
  <c r="AM144" i="6"/>
  <c r="AJ144" i="6"/>
  <c r="F144" i="6"/>
  <c r="J136" i="6"/>
  <c r="AE144" i="6"/>
  <c r="J143" i="6"/>
  <c r="AM143" i="6" s="1"/>
  <c r="AJ143" i="6"/>
  <c r="F143" i="6"/>
  <c r="J135" i="6"/>
  <c r="AE143" i="6"/>
  <c r="AJ141" i="6"/>
  <c r="F141" i="6"/>
  <c r="AE141" i="6"/>
  <c r="AJ140" i="6"/>
  <c r="F140" i="6"/>
  <c r="AE140" i="6"/>
  <c r="AJ139" i="6"/>
  <c r="F139" i="6"/>
  <c r="AE139" i="6"/>
  <c r="AJ138" i="6"/>
  <c r="F138" i="6"/>
  <c r="AE138" i="6"/>
  <c r="AJ137" i="6"/>
  <c r="F137" i="6"/>
  <c r="AE137" i="6"/>
  <c r="AJ136" i="6"/>
  <c r="F136" i="6"/>
  <c r="AE136" i="6"/>
  <c r="AJ135" i="6"/>
  <c r="F135" i="6"/>
  <c r="AE135" i="6"/>
  <c r="J131" i="6"/>
  <c r="AF131" i="6"/>
  <c r="AJ131" i="6"/>
  <c r="F131" i="6"/>
  <c r="AE131" i="6"/>
  <c r="J130" i="6"/>
  <c r="AJ130" i="6"/>
  <c r="F130" i="6"/>
  <c r="AE130" i="6"/>
  <c r="J129" i="6"/>
  <c r="AM129" i="6" s="1"/>
  <c r="AJ129" i="6"/>
  <c r="F129" i="6"/>
  <c r="AE129" i="6"/>
  <c r="AJ128" i="6"/>
  <c r="F128" i="6"/>
  <c r="AE128" i="6"/>
  <c r="J127" i="6"/>
  <c r="AJ127" i="6"/>
  <c r="F127" i="6"/>
  <c r="AE127" i="6"/>
  <c r="J126" i="6"/>
  <c r="AF126" i="6" s="1"/>
  <c r="AJ126" i="6"/>
  <c r="F126" i="6"/>
  <c r="AE126" i="6"/>
  <c r="J125" i="6"/>
  <c r="AJ125" i="6"/>
  <c r="F125" i="6"/>
  <c r="J117" i="6"/>
  <c r="AE125" i="6"/>
  <c r="AJ123" i="6"/>
  <c r="F123" i="6"/>
  <c r="AE123" i="6"/>
  <c r="AJ122" i="6"/>
  <c r="F122" i="6"/>
  <c r="AE122" i="6"/>
  <c r="AJ121" i="6"/>
  <c r="F121" i="6"/>
  <c r="AE121" i="6"/>
  <c r="AJ120" i="6"/>
  <c r="F120" i="6"/>
  <c r="AE120" i="6"/>
  <c r="AJ119" i="6"/>
  <c r="F119" i="6"/>
  <c r="AE119" i="6"/>
  <c r="AJ118" i="6"/>
  <c r="F118" i="6"/>
  <c r="AE118" i="6"/>
  <c r="AJ117" i="6"/>
  <c r="F117" i="6"/>
  <c r="AE117" i="6"/>
  <c r="AJ113" i="6"/>
  <c r="F113" i="6"/>
  <c r="J105" i="6"/>
  <c r="AF105" i="6"/>
  <c r="AE113" i="6"/>
  <c r="J112" i="6"/>
  <c r="AJ112" i="6"/>
  <c r="F112" i="6"/>
  <c r="J104" i="6"/>
  <c r="AE112" i="6"/>
  <c r="AJ111" i="6"/>
  <c r="F111" i="6"/>
  <c r="J103" i="6"/>
  <c r="AE111" i="6"/>
  <c r="J110" i="6"/>
  <c r="AM110" i="6"/>
  <c r="AJ110" i="6"/>
  <c r="F110" i="6"/>
  <c r="AE110" i="6"/>
  <c r="AJ109" i="6"/>
  <c r="F109" i="6"/>
  <c r="AE109" i="6"/>
  <c r="AJ108" i="6"/>
  <c r="F108" i="6"/>
  <c r="AE108" i="6"/>
  <c r="AJ107" i="6"/>
  <c r="F107" i="6"/>
  <c r="AE107" i="6"/>
  <c r="AJ105" i="6"/>
  <c r="F105" i="6"/>
  <c r="AE105" i="6"/>
  <c r="AJ104" i="6"/>
  <c r="F104" i="6"/>
  <c r="AE104" i="6"/>
  <c r="AJ103" i="6"/>
  <c r="F103" i="6"/>
  <c r="AE103" i="6"/>
  <c r="AJ102" i="6"/>
  <c r="F102" i="6"/>
  <c r="AE102" i="6"/>
  <c r="AJ101" i="6"/>
  <c r="F101" i="6"/>
  <c r="AE101" i="6"/>
  <c r="AJ100" i="6"/>
  <c r="F100" i="6"/>
  <c r="AE100" i="6"/>
  <c r="AJ99" i="6"/>
  <c r="F99" i="6"/>
  <c r="AE99" i="6"/>
  <c r="AJ95" i="6"/>
  <c r="F95" i="6"/>
  <c r="AE95" i="6"/>
  <c r="AJ94" i="6"/>
  <c r="F94" i="6"/>
  <c r="AE94" i="6"/>
  <c r="AJ93" i="6"/>
  <c r="F93" i="6"/>
  <c r="AE93" i="6"/>
  <c r="AJ92" i="6"/>
  <c r="F92" i="6"/>
  <c r="AE92" i="6"/>
  <c r="AJ91" i="6"/>
  <c r="F91" i="6"/>
  <c r="J83" i="6"/>
  <c r="AE91" i="6"/>
  <c r="J90" i="6"/>
  <c r="AJ90" i="6"/>
  <c r="F90" i="6"/>
  <c r="J82" i="6"/>
  <c r="AM82" i="6"/>
  <c r="AE90" i="6"/>
  <c r="J89" i="6"/>
  <c r="AM89" i="6" s="1"/>
  <c r="AJ89" i="6"/>
  <c r="F89" i="6"/>
  <c r="AE89" i="6"/>
  <c r="AJ87" i="6"/>
  <c r="F87" i="6"/>
  <c r="AE87" i="6"/>
  <c r="AJ86" i="6"/>
  <c r="F86" i="6"/>
  <c r="AE86" i="6"/>
  <c r="AJ85" i="6"/>
  <c r="F85" i="6"/>
  <c r="AE85" i="6"/>
  <c r="AJ84" i="6"/>
  <c r="F84" i="6"/>
  <c r="AE84" i="6"/>
  <c r="AJ83" i="6"/>
  <c r="F83" i="6"/>
  <c r="AE83" i="6"/>
  <c r="AJ82" i="6"/>
  <c r="F82" i="6"/>
  <c r="AE82" i="6"/>
  <c r="AJ81" i="6"/>
  <c r="F81" i="6"/>
  <c r="AE81" i="6"/>
  <c r="AJ77" i="6"/>
  <c r="AE77" i="6"/>
  <c r="AJ76" i="6"/>
  <c r="AE76" i="6"/>
  <c r="AJ75" i="6"/>
  <c r="AE75" i="6"/>
  <c r="AJ74" i="6"/>
  <c r="AE74" i="6"/>
  <c r="AJ73" i="6"/>
  <c r="AE73" i="6"/>
  <c r="AJ72" i="6"/>
  <c r="AE72" i="6"/>
  <c r="AJ71" i="6"/>
  <c r="AE71" i="6"/>
  <c r="AJ69" i="6"/>
  <c r="AE69" i="6"/>
  <c r="AJ68" i="6"/>
  <c r="AE68" i="6"/>
  <c r="AJ67" i="6"/>
  <c r="AE67" i="6"/>
  <c r="AJ66" i="6"/>
  <c r="AE66" i="6"/>
  <c r="AJ65" i="6"/>
  <c r="AE65" i="6"/>
  <c r="AJ64" i="6"/>
  <c r="AE64" i="6"/>
  <c r="AJ63" i="6"/>
  <c r="AE63" i="6"/>
  <c r="AJ59" i="6"/>
  <c r="F59" i="6"/>
  <c r="AE59" i="6"/>
  <c r="AJ58" i="6"/>
  <c r="F58" i="6"/>
  <c r="AE58" i="6"/>
  <c r="AJ57" i="6"/>
  <c r="F57" i="6"/>
  <c r="AE57" i="6"/>
  <c r="AJ56" i="6"/>
  <c r="F56" i="6"/>
  <c r="AE56" i="6"/>
  <c r="AJ55" i="6"/>
  <c r="F55" i="6"/>
  <c r="AE55" i="6"/>
  <c r="AJ54" i="6"/>
  <c r="F54" i="6"/>
  <c r="AE54" i="6"/>
  <c r="AJ53" i="6"/>
  <c r="F53" i="6"/>
  <c r="AE53" i="6"/>
  <c r="AJ51" i="6"/>
  <c r="F51" i="6"/>
  <c r="AE51" i="6"/>
  <c r="AJ50" i="6"/>
  <c r="F50" i="6"/>
  <c r="AE50" i="6"/>
  <c r="AJ49" i="6"/>
  <c r="F49" i="6"/>
  <c r="AE49" i="6"/>
  <c r="AJ48" i="6"/>
  <c r="F48" i="6"/>
  <c r="AE48" i="6"/>
  <c r="AJ47" i="6"/>
  <c r="F47" i="6"/>
  <c r="AE47" i="6"/>
  <c r="AJ46" i="6"/>
  <c r="F46" i="6"/>
  <c r="AE46" i="6"/>
  <c r="AJ45" i="6"/>
  <c r="F45" i="6"/>
  <c r="AE45" i="6"/>
  <c r="AJ39" i="6"/>
  <c r="F39" i="6"/>
  <c r="AE39" i="6"/>
  <c r="AJ38" i="6"/>
  <c r="F38" i="6"/>
  <c r="AE38" i="6"/>
  <c r="AJ36" i="6"/>
  <c r="F36" i="6"/>
  <c r="AE36" i="6"/>
  <c r="AJ31" i="6"/>
  <c r="F31" i="6"/>
  <c r="AE31" i="6"/>
  <c r="AJ30" i="6"/>
  <c r="F30" i="6"/>
  <c r="AE30" i="6"/>
  <c r="AJ28" i="6"/>
  <c r="F28" i="6"/>
  <c r="AE28" i="6"/>
  <c r="AJ23" i="6"/>
  <c r="F23" i="6"/>
  <c r="AE23" i="6"/>
  <c r="I80" i="2"/>
  <c r="AJ22" i="6"/>
  <c r="F22" i="6"/>
  <c r="AE22" i="6"/>
  <c r="I79" i="2"/>
  <c r="AJ21" i="6"/>
  <c r="F21" i="6"/>
  <c r="AE21" i="6"/>
  <c r="I78" i="2"/>
  <c r="AJ20" i="6"/>
  <c r="F20" i="6"/>
  <c r="AE20" i="6"/>
  <c r="I77" i="2"/>
  <c r="AJ19" i="6"/>
  <c r="F19" i="6"/>
  <c r="AE19" i="6"/>
  <c r="I76" i="2"/>
  <c r="AJ18" i="6"/>
  <c r="F18" i="6"/>
  <c r="AE18" i="6"/>
  <c r="I75" i="2"/>
  <c r="AJ17" i="6"/>
  <c r="F17" i="6"/>
  <c r="AE17" i="6"/>
  <c r="AJ15" i="6"/>
  <c r="F15" i="6"/>
  <c r="AE15" i="6"/>
  <c r="I72" i="2"/>
  <c r="AJ14" i="6"/>
  <c r="F14" i="6"/>
  <c r="AE14" i="6"/>
  <c r="I71" i="2"/>
  <c r="AJ13" i="6"/>
  <c r="F13" i="6"/>
  <c r="AE13" i="6"/>
  <c r="I70" i="2"/>
  <c r="AJ12" i="6"/>
  <c r="F12" i="6"/>
  <c r="AE12" i="6"/>
  <c r="I69" i="2"/>
  <c r="AJ11" i="6"/>
  <c r="F11" i="6"/>
  <c r="AE11" i="6"/>
  <c r="I68" i="2"/>
  <c r="AJ10" i="6"/>
  <c r="F10" i="6"/>
  <c r="AE10" i="6"/>
  <c r="I67" i="2"/>
  <c r="AJ9" i="6"/>
  <c r="AE9" i="6"/>
  <c r="V185" i="6"/>
  <c r="Q185" i="6"/>
  <c r="V184" i="6"/>
  <c r="Q184" i="6"/>
  <c r="V183" i="6"/>
  <c r="Q183" i="6"/>
  <c r="V182" i="6"/>
  <c r="Q182" i="6"/>
  <c r="V181" i="6"/>
  <c r="Q181" i="6"/>
  <c r="V180" i="6"/>
  <c r="Q180" i="6"/>
  <c r="V179" i="6"/>
  <c r="Q179" i="6"/>
  <c r="V177" i="6"/>
  <c r="Q177" i="6"/>
  <c r="V176" i="6"/>
  <c r="Q176" i="6"/>
  <c r="V175" i="6"/>
  <c r="Q175" i="6"/>
  <c r="V174" i="6"/>
  <c r="Q174" i="6"/>
  <c r="V173" i="6"/>
  <c r="Q173" i="6"/>
  <c r="V172" i="6"/>
  <c r="Q172" i="6"/>
  <c r="V171" i="6"/>
  <c r="Q171" i="6"/>
  <c r="V167" i="6"/>
  <c r="Q167" i="6"/>
  <c r="V166" i="6"/>
  <c r="Q166" i="6"/>
  <c r="V165" i="6"/>
  <c r="Q165" i="6"/>
  <c r="V164" i="6"/>
  <c r="Q164" i="6"/>
  <c r="V163" i="6"/>
  <c r="Q163" i="6"/>
  <c r="V162" i="6"/>
  <c r="Q162" i="6"/>
  <c r="V161" i="6"/>
  <c r="Q161" i="6"/>
  <c r="V159" i="6"/>
  <c r="Q159" i="6"/>
  <c r="V158" i="6"/>
  <c r="Q158" i="6"/>
  <c r="V157" i="6"/>
  <c r="Q157" i="6"/>
  <c r="V156" i="6"/>
  <c r="Q156" i="6"/>
  <c r="V155" i="6"/>
  <c r="Q155" i="6"/>
  <c r="V154" i="6"/>
  <c r="Q154" i="6"/>
  <c r="V153" i="6"/>
  <c r="Q153" i="6"/>
  <c r="V149" i="6"/>
  <c r="Q149" i="6"/>
  <c r="V148" i="6"/>
  <c r="Q148" i="6"/>
  <c r="V147" i="6"/>
  <c r="Q147" i="6"/>
  <c r="I146" i="6"/>
  <c r="Y146" i="6"/>
  <c r="V146" i="6"/>
  <c r="E146" i="6"/>
  <c r="Q146" i="6"/>
  <c r="V145" i="6"/>
  <c r="Q145" i="6"/>
  <c r="V144" i="6"/>
  <c r="Q144" i="6"/>
  <c r="V143" i="6"/>
  <c r="Q143" i="6"/>
  <c r="V141" i="6"/>
  <c r="Q141" i="6"/>
  <c r="V140" i="6"/>
  <c r="Q140" i="6"/>
  <c r="V139" i="6"/>
  <c r="Q139" i="6"/>
  <c r="V138" i="6"/>
  <c r="E138" i="6"/>
  <c r="Q138" i="6"/>
  <c r="V137" i="6"/>
  <c r="E137" i="6"/>
  <c r="Q137" i="6"/>
  <c r="V136" i="6"/>
  <c r="E136" i="6"/>
  <c r="Q136" i="6"/>
  <c r="V135" i="6"/>
  <c r="Q135" i="6"/>
  <c r="V131" i="6"/>
  <c r="Q131" i="6"/>
  <c r="V130" i="6"/>
  <c r="Q130" i="6"/>
  <c r="V129" i="6"/>
  <c r="Q129" i="6"/>
  <c r="V128" i="6"/>
  <c r="Q128" i="6"/>
  <c r="V127" i="6"/>
  <c r="Q127" i="6"/>
  <c r="V126" i="6"/>
  <c r="Q126" i="6"/>
  <c r="V125" i="6"/>
  <c r="Q125" i="6"/>
  <c r="V123" i="6"/>
  <c r="Q123" i="6"/>
  <c r="V122" i="6"/>
  <c r="Q122" i="6"/>
  <c r="V121" i="6"/>
  <c r="Q121" i="6"/>
  <c r="V120" i="6"/>
  <c r="Q120" i="6"/>
  <c r="V119" i="6"/>
  <c r="Q119" i="6"/>
  <c r="V118" i="6"/>
  <c r="Q118" i="6"/>
  <c r="V117" i="6"/>
  <c r="Q117" i="6"/>
  <c r="V113" i="6"/>
  <c r="Q113" i="6"/>
  <c r="V112" i="6"/>
  <c r="Q112" i="6"/>
  <c r="V111" i="6"/>
  <c r="Q111" i="6"/>
  <c r="V110" i="6"/>
  <c r="Q110" i="6"/>
  <c r="V109" i="6"/>
  <c r="Q109" i="6"/>
  <c r="V108" i="6"/>
  <c r="Q108" i="6"/>
  <c r="V107" i="6"/>
  <c r="Q107" i="6"/>
  <c r="V105" i="6"/>
  <c r="Q105" i="6"/>
  <c r="V104" i="6"/>
  <c r="Q104" i="6"/>
  <c r="V103" i="6"/>
  <c r="Q103" i="6"/>
  <c r="V102" i="6"/>
  <c r="Q102" i="6"/>
  <c r="V101" i="6"/>
  <c r="Q101" i="6"/>
  <c r="V100" i="6"/>
  <c r="Q100" i="6"/>
  <c r="V99" i="6"/>
  <c r="Q99" i="6"/>
  <c r="V95" i="6"/>
  <c r="Q95" i="6"/>
  <c r="V94" i="6"/>
  <c r="Q94" i="6"/>
  <c r="V93" i="6"/>
  <c r="Q93" i="6"/>
  <c r="V92" i="6"/>
  <c r="Q92" i="6"/>
  <c r="V91" i="6"/>
  <c r="Q91" i="6"/>
  <c r="V90" i="6"/>
  <c r="Q90" i="6"/>
  <c r="V89" i="6"/>
  <c r="Q89" i="6"/>
  <c r="V87" i="6"/>
  <c r="Q87" i="6"/>
  <c r="V86" i="6"/>
  <c r="Q86" i="6"/>
  <c r="V85" i="6"/>
  <c r="Q85" i="6"/>
  <c r="V84" i="6"/>
  <c r="Q84" i="6"/>
  <c r="V83" i="6"/>
  <c r="Q83" i="6"/>
  <c r="V82" i="6"/>
  <c r="Q82" i="6"/>
  <c r="V81" i="6"/>
  <c r="Q81" i="6"/>
  <c r="V77" i="6"/>
  <c r="V76" i="6"/>
  <c r="V75" i="6"/>
  <c r="V74" i="6"/>
  <c r="V73" i="6"/>
  <c r="V72" i="6"/>
  <c r="V71" i="6"/>
  <c r="V69" i="6"/>
  <c r="V68" i="6"/>
  <c r="V67" i="6"/>
  <c r="V66" i="6"/>
  <c r="V65" i="6"/>
  <c r="V64" i="6"/>
  <c r="V63" i="6"/>
  <c r="V59" i="6"/>
  <c r="V58" i="6"/>
  <c r="V57" i="6"/>
  <c r="V56" i="6"/>
  <c r="V55" i="6"/>
  <c r="V54" i="6"/>
  <c r="V53" i="6"/>
  <c r="V51" i="6"/>
  <c r="V50" i="6"/>
  <c r="V49" i="6"/>
  <c r="V48" i="6"/>
  <c r="V47" i="6"/>
  <c r="V46" i="6"/>
  <c r="V45" i="6"/>
  <c r="V39" i="6"/>
  <c r="Q39" i="6"/>
  <c r="V38" i="6"/>
  <c r="Q38" i="6"/>
  <c r="V36" i="6"/>
  <c r="Q36" i="6"/>
  <c r="V31" i="6"/>
  <c r="Q31" i="6"/>
  <c r="V30" i="6"/>
  <c r="Q30" i="6"/>
  <c r="V28" i="6"/>
  <c r="Q28" i="6"/>
  <c r="V23" i="6"/>
  <c r="V22" i="6"/>
  <c r="V21" i="6"/>
  <c r="V20" i="6"/>
  <c r="V19" i="6"/>
  <c r="V18" i="6"/>
  <c r="V17" i="6"/>
  <c r="V15" i="6"/>
  <c r="V14" i="6"/>
  <c r="V13" i="6"/>
  <c r="V12" i="6"/>
  <c r="V11" i="6"/>
  <c r="V10" i="6"/>
  <c r="V9" i="6"/>
  <c r="Y36" i="9"/>
  <c r="Y37" i="9"/>
  <c r="Y38" i="9"/>
  <c r="Y39" i="9"/>
  <c r="Y40" i="9"/>
  <c r="Y41" i="9"/>
  <c r="Y42" i="9"/>
  <c r="X37" i="9"/>
  <c r="X38" i="9"/>
  <c r="X39" i="9"/>
  <c r="X40" i="9"/>
  <c r="X41" i="9"/>
  <c r="X42" i="9"/>
  <c r="X36" i="9"/>
  <c r="Y14" i="9"/>
  <c r="Y15" i="9"/>
  <c r="Y16" i="9"/>
  <c r="Y17" i="9"/>
  <c r="Y18" i="9"/>
  <c r="Y19" i="9"/>
  <c r="Y20" i="9"/>
  <c r="X15" i="9"/>
  <c r="X16" i="9"/>
  <c r="X17" i="9"/>
  <c r="X18" i="9"/>
  <c r="X19" i="9"/>
  <c r="X20" i="9"/>
  <c r="E144" i="7"/>
  <c r="F144" i="7"/>
  <c r="E143" i="7"/>
  <c r="F143" i="7"/>
  <c r="E142" i="7"/>
  <c r="F142" i="7"/>
  <c r="E139" i="7"/>
  <c r="F139" i="7"/>
  <c r="E137" i="7"/>
  <c r="F137" i="7"/>
  <c r="E136" i="7"/>
  <c r="F136" i="7"/>
  <c r="E135" i="7"/>
  <c r="F135" i="7"/>
  <c r="E132" i="7"/>
  <c r="F132" i="7"/>
  <c r="E126" i="7"/>
  <c r="F126" i="7"/>
  <c r="E125" i="7"/>
  <c r="F125" i="7"/>
  <c r="E124" i="7"/>
  <c r="F124" i="7"/>
  <c r="E121" i="7"/>
  <c r="F121" i="7"/>
  <c r="E119" i="7"/>
  <c r="F119" i="7"/>
  <c r="E118" i="7"/>
  <c r="F118" i="7"/>
  <c r="E117" i="7"/>
  <c r="F117" i="7"/>
  <c r="E114" i="7"/>
  <c r="F114" i="7"/>
  <c r="E108" i="7"/>
  <c r="F108" i="7"/>
  <c r="E107" i="7"/>
  <c r="F107" i="7"/>
  <c r="E106" i="7"/>
  <c r="F106" i="7"/>
  <c r="E103" i="7"/>
  <c r="F103" i="7"/>
  <c r="E101" i="7"/>
  <c r="F101" i="7"/>
  <c r="E100" i="7"/>
  <c r="F100" i="7"/>
  <c r="E99" i="7"/>
  <c r="F99" i="7"/>
  <c r="E96" i="7"/>
  <c r="F96" i="7"/>
  <c r="E90" i="7"/>
  <c r="F90" i="7"/>
  <c r="E89" i="7"/>
  <c r="F89" i="7"/>
  <c r="E88" i="7"/>
  <c r="F88" i="7"/>
  <c r="E85" i="7"/>
  <c r="F85" i="7"/>
  <c r="E83" i="7"/>
  <c r="F83" i="7"/>
  <c r="E82" i="7"/>
  <c r="F82" i="7"/>
  <c r="E81" i="7"/>
  <c r="F81" i="7"/>
  <c r="E78" i="7"/>
  <c r="F78" i="7"/>
  <c r="E72" i="7"/>
  <c r="F72" i="7"/>
  <c r="E71" i="7"/>
  <c r="F71" i="7"/>
  <c r="E70" i="7"/>
  <c r="F70" i="7"/>
  <c r="E67" i="7"/>
  <c r="F67" i="7"/>
  <c r="E65" i="7"/>
  <c r="F65" i="7"/>
  <c r="E64" i="7"/>
  <c r="F64" i="7"/>
  <c r="E63" i="7"/>
  <c r="F63" i="7"/>
  <c r="E60" i="7"/>
  <c r="F60" i="7"/>
  <c r="E54" i="7"/>
  <c r="F54" i="7"/>
  <c r="E53" i="7"/>
  <c r="F53" i="7"/>
  <c r="E52" i="7"/>
  <c r="F52" i="7"/>
  <c r="E49" i="7"/>
  <c r="F49" i="7"/>
  <c r="E47" i="7"/>
  <c r="F47" i="7"/>
  <c r="E46" i="7"/>
  <c r="F46" i="7"/>
  <c r="E45" i="7"/>
  <c r="F45" i="7"/>
  <c r="E42" i="7"/>
  <c r="F42" i="7"/>
  <c r="E9" i="7"/>
  <c r="F9" i="7"/>
  <c r="E10" i="7"/>
  <c r="F10" i="7"/>
  <c r="E11" i="7"/>
  <c r="F11" i="7"/>
  <c r="E13" i="7"/>
  <c r="F13" i="7"/>
  <c r="E16" i="7"/>
  <c r="F16" i="7"/>
  <c r="E17" i="7"/>
  <c r="F17" i="7"/>
  <c r="E18" i="7"/>
  <c r="F18" i="7"/>
  <c r="E6" i="7"/>
  <c r="E164" i="7"/>
  <c r="E163" i="7"/>
  <c r="E162" i="7"/>
  <c r="E161" i="7"/>
  <c r="E160" i="7"/>
  <c r="E159" i="7"/>
  <c r="E158" i="7"/>
  <c r="E152" i="7"/>
  <c r="E153" i="7"/>
  <c r="E154" i="7"/>
  <c r="E155" i="7"/>
  <c r="E156" i="7"/>
  <c r="E151" i="7"/>
  <c r="E150" i="7"/>
  <c r="F164" i="7"/>
  <c r="F163" i="7"/>
  <c r="F162" i="7"/>
  <c r="F161" i="7"/>
  <c r="F160" i="7"/>
  <c r="F159" i="7"/>
  <c r="F158" i="7"/>
  <c r="F156" i="7"/>
  <c r="F155" i="7"/>
  <c r="F154" i="7"/>
  <c r="F153" i="7"/>
  <c r="F152" i="7"/>
  <c r="F151" i="7"/>
  <c r="F150" i="7"/>
  <c r="J14" i="2"/>
  <c r="M14" i="2"/>
  <c r="X14" i="2"/>
  <c r="J9" i="2"/>
  <c r="M9" i="2"/>
  <c r="X9" i="2"/>
  <c r="K9" i="2"/>
  <c r="N9" i="2"/>
  <c r="Y9" i="2"/>
  <c r="J10" i="2"/>
  <c r="K10" i="2"/>
  <c r="N10" i="2"/>
  <c r="Y10" i="2"/>
  <c r="J11" i="2"/>
  <c r="M11" i="2"/>
  <c r="X11" i="2"/>
  <c r="K11" i="2"/>
  <c r="J12" i="2"/>
  <c r="K12" i="2"/>
  <c r="N12" i="2"/>
  <c r="Y12" i="2"/>
  <c r="J13" i="2"/>
  <c r="M13" i="2"/>
  <c r="X13" i="2"/>
  <c r="K13" i="2"/>
  <c r="K14" i="2"/>
  <c r="K8" i="2"/>
  <c r="N8" i="2"/>
  <c r="Y8" i="2"/>
  <c r="M8" i="2"/>
  <c r="X8" i="2"/>
  <c r="C135" i="7"/>
  <c r="D135" i="7"/>
  <c r="C136" i="7"/>
  <c r="D136" i="7"/>
  <c r="C137" i="7"/>
  <c r="D137" i="7"/>
  <c r="D132" i="7"/>
  <c r="C132" i="7"/>
  <c r="C117" i="7"/>
  <c r="D117" i="7"/>
  <c r="C118" i="7"/>
  <c r="D118" i="7"/>
  <c r="C119" i="7"/>
  <c r="D119" i="7"/>
  <c r="D114" i="7"/>
  <c r="C114" i="7"/>
  <c r="C99" i="7"/>
  <c r="D99" i="7"/>
  <c r="C100" i="7"/>
  <c r="D100" i="7"/>
  <c r="C101" i="7"/>
  <c r="D101" i="7"/>
  <c r="D96" i="7"/>
  <c r="C96" i="7"/>
  <c r="C81" i="7"/>
  <c r="D81" i="7"/>
  <c r="C82" i="7"/>
  <c r="D82" i="7"/>
  <c r="C83" i="7"/>
  <c r="D83" i="7"/>
  <c r="D78" i="7"/>
  <c r="C78" i="7"/>
  <c r="C63" i="7"/>
  <c r="D63" i="7"/>
  <c r="C64" i="7"/>
  <c r="D64" i="7"/>
  <c r="C65" i="7"/>
  <c r="D65" i="7"/>
  <c r="D60" i="7"/>
  <c r="C60" i="7"/>
  <c r="C45" i="7"/>
  <c r="D45" i="7"/>
  <c r="C46" i="7"/>
  <c r="D46" i="7"/>
  <c r="C47" i="7"/>
  <c r="D47" i="7"/>
  <c r="D42" i="7"/>
  <c r="C42" i="7"/>
  <c r="D6" i="7"/>
  <c r="D9" i="7"/>
  <c r="D10" i="7"/>
  <c r="D11" i="7"/>
  <c r="C9" i="7"/>
  <c r="C10" i="7"/>
  <c r="C11" i="7"/>
  <c r="C6" i="7"/>
  <c r="C153" i="7"/>
  <c r="D153" i="7"/>
  <c r="C161" i="7"/>
  <c r="D161" i="7"/>
  <c r="C164" i="7"/>
  <c r="C163" i="7"/>
  <c r="C162" i="7"/>
  <c r="C160" i="7"/>
  <c r="C159" i="7"/>
  <c r="C158" i="7"/>
  <c r="C144" i="7"/>
  <c r="C143" i="7"/>
  <c r="C142" i="7"/>
  <c r="C139" i="7"/>
  <c r="C126" i="7"/>
  <c r="C125" i="7"/>
  <c r="C124" i="7"/>
  <c r="C121" i="7"/>
  <c r="C108" i="7"/>
  <c r="C107" i="7"/>
  <c r="C106" i="7"/>
  <c r="C103" i="7"/>
  <c r="C90" i="7"/>
  <c r="C89" i="7"/>
  <c r="C88" i="7"/>
  <c r="C85" i="7"/>
  <c r="C72" i="7"/>
  <c r="C71" i="7"/>
  <c r="C70" i="7"/>
  <c r="C67" i="7"/>
  <c r="C54" i="7"/>
  <c r="C53" i="7"/>
  <c r="C52" i="7"/>
  <c r="C49" i="7"/>
  <c r="C156" i="7"/>
  <c r="C155" i="7"/>
  <c r="C154" i="7"/>
  <c r="C152" i="7"/>
  <c r="C151" i="7"/>
  <c r="C150" i="7"/>
  <c r="C18" i="7"/>
  <c r="C17" i="7"/>
  <c r="C16" i="7"/>
  <c r="C13" i="7"/>
  <c r="I8" i="2"/>
  <c r="I9" i="2"/>
  <c r="I10" i="2"/>
  <c r="I11" i="2"/>
  <c r="I12" i="2"/>
  <c r="I13" i="2"/>
  <c r="I14" i="2"/>
  <c r="I24" i="2"/>
  <c r="I25" i="2"/>
  <c r="I26" i="2"/>
  <c r="I27" i="2"/>
  <c r="I28" i="2"/>
  <c r="I29" i="2"/>
  <c r="I30" i="2"/>
  <c r="I58" i="2"/>
  <c r="I59" i="2"/>
  <c r="I60" i="2"/>
  <c r="I61" i="2"/>
  <c r="I62" i="2"/>
  <c r="I63" i="2"/>
  <c r="I64" i="2"/>
  <c r="I66" i="2"/>
  <c r="I74" i="2"/>
  <c r="I82" i="2"/>
  <c r="I83" i="2"/>
  <c r="I84" i="2"/>
  <c r="O91" i="2"/>
  <c r="D164" i="7"/>
  <c r="D163" i="7"/>
  <c r="D162" i="7"/>
  <c r="D160" i="7"/>
  <c r="D159" i="7"/>
  <c r="D158" i="7"/>
  <c r="D156" i="7"/>
  <c r="D155" i="7"/>
  <c r="D154" i="7"/>
  <c r="D152" i="7"/>
  <c r="D151" i="7"/>
  <c r="D150" i="7"/>
  <c r="D144" i="7"/>
  <c r="D143" i="7"/>
  <c r="D142" i="7"/>
  <c r="D139" i="7"/>
  <c r="D126" i="7"/>
  <c r="D125" i="7"/>
  <c r="D124" i="7"/>
  <c r="D121" i="7"/>
  <c r="D108" i="7"/>
  <c r="D107" i="7"/>
  <c r="D106" i="7"/>
  <c r="D103" i="7"/>
  <c r="D90" i="7"/>
  <c r="D89" i="7"/>
  <c r="D88" i="7"/>
  <c r="D85" i="7"/>
  <c r="D13" i="7"/>
  <c r="D16" i="7"/>
  <c r="D17" i="7"/>
  <c r="D18" i="7"/>
  <c r="D49" i="7"/>
  <c r="D52" i="7"/>
  <c r="D53" i="7"/>
  <c r="D54" i="7"/>
  <c r="D67" i="7"/>
  <c r="D70" i="7"/>
  <c r="D71" i="7"/>
  <c r="D72" i="7"/>
  <c r="H56" i="8"/>
  <c r="H63" i="8"/>
  <c r="I56" i="8"/>
  <c r="J56" i="8"/>
  <c r="H57" i="8"/>
  <c r="I57" i="8"/>
  <c r="J57" i="8"/>
  <c r="H58" i="8"/>
  <c r="I58" i="8"/>
  <c r="J58" i="8"/>
  <c r="H59" i="8"/>
  <c r="I59" i="8"/>
  <c r="J59" i="8"/>
  <c r="H60" i="8"/>
  <c r="I60" i="8"/>
  <c r="J60" i="8"/>
  <c r="H61" i="8"/>
  <c r="I61" i="8"/>
  <c r="J61" i="8"/>
  <c r="H62" i="8"/>
  <c r="I62" i="8"/>
  <c r="J62" i="8"/>
  <c r="C8" i="8"/>
  <c r="F76" i="6"/>
  <c r="F75" i="6"/>
  <c r="F74" i="6"/>
  <c r="F73" i="6"/>
  <c r="F72" i="6"/>
  <c r="E71" i="6"/>
  <c r="E72" i="6"/>
  <c r="E74" i="6"/>
  <c r="E76" i="6"/>
  <c r="F77" i="6"/>
  <c r="E64" i="6"/>
  <c r="F66" i="6"/>
  <c r="F63" i="6"/>
  <c r="F65" i="6"/>
  <c r="F67" i="6"/>
  <c r="O99" i="2"/>
  <c r="I23" i="6"/>
  <c r="Y23" i="6" s="1"/>
  <c r="I9" i="6"/>
  <c r="Y9" i="6" s="1"/>
  <c r="C100" i="6"/>
  <c r="C67" i="6"/>
  <c r="C51" i="6"/>
  <c r="C48" i="6"/>
  <c r="C32" i="6"/>
  <c r="C29" i="6"/>
  <c r="C13" i="6"/>
  <c r="C10" i="6"/>
  <c r="C45" i="6"/>
  <c r="C65" i="6"/>
  <c r="N73" i="6" s="1"/>
  <c r="AI73" i="6" s="1"/>
  <c r="C30" i="6"/>
  <c r="C27" i="6"/>
  <c r="C69" i="6"/>
  <c r="C64" i="6"/>
  <c r="C50" i="6"/>
  <c r="C31" i="6"/>
  <c r="C15" i="6"/>
  <c r="C12" i="6"/>
  <c r="N20" i="6" s="1"/>
  <c r="C68" i="6"/>
  <c r="C49" i="6"/>
  <c r="C46" i="6"/>
  <c r="C11" i="6"/>
  <c r="C85" i="6"/>
  <c r="C66" i="6"/>
  <c r="C63" i="6"/>
  <c r="C47" i="6"/>
  <c r="N55" i="6" s="1"/>
  <c r="C33" i="6"/>
  <c r="C28" i="6"/>
  <c r="C14" i="6"/>
  <c r="C9" i="6"/>
  <c r="M9" i="6" s="1"/>
  <c r="U9" i="6" s="1"/>
  <c r="C104" i="6"/>
  <c r="C81" i="6"/>
  <c r="C17" i="6"/>
  <c r="J63" i="8"/>
  <c r="AA61" i="2"/>
  <c r="Y61" i="2"/>
  <c r="C102" i="6"/>
  <c r="C87" i="6"/>
  <c r="C83" i="6"/>
  <c r="C103" i="6"/>
  <c r="C99" i="6"/>
  <c r="C84" i="6"/>
  <c r="C105" i="6"/>
  <c r="C101" i="6"/>
  <c r="C86" i="6"/>
  <c r="C82" i="6"/>
  <c r="AB61" i="2"/>
  <c r="Z61" i="2"/>
  <c r="C22" i="6"/>
  <c r="C110" i="6"/>
  <c r="M102" i="6" s="1"/>
  <c r="U102" i="6" s="1"/>
  <c r="C35" i="6"/>
  <c r="C55" i="6"/>
  <c r="C111" i="6"/>
  <c r="C18" i="6"/>
  <c r="C112" i="6"/>
  <c r="M112" i="6" s="1"/>
  <c r="U112" i="6" s="1"/>
  <c r="C72" i="6"/>
  <c r="C92" i="6"/>
  <c r="C54" i="6"/>
  <c r="C77" i="6"/>
  <c r="N77" i="6" s="1"/>
  <c r="AG77" i="6" s="1"/>
  <c r="C93" i="6"/>
  <c r="C36" i="6"/>
  <c r="C23" i="6"/>
  <c r="C94" i="6"/>
  <c r="C56" i="6"/>
  <c r="C107" i="6"/>
  <c r="C38" i="6"/>
  <c r="C91" i="6"/>
  <c r="C40" i="6"/>
  <c r="C74" i="6"/>
  <c r="C90" i="6"/>
  <c r="C58" i="6"/>
  <c r="M58" i="6" s="1"/>
  <c r="U58" i="6" s="1"/>
  <c r="C20" i="6"/>
  <c r="C75" i="6"/>
  <c r="C53" i="6"/>
  <c r="N45" i="6" s="1"/>
  <c r="AG45" i="6" s="1"/>
  <c r="C113" i="6"/>
  <c r="C71" i="6"/>
  <c r="C57" i="6"/>
  <c r="C109" i="6"/>
  <c r="C95" i="6"/>
  <c r="C59" i="6"/>
  <c r="C21" i="6"/>
  <c r="C108" i="6"/>
  <c r="C39" i="6"/>
  <c r="C73" i="6"/>
  <c r="C41" i="6"/>
  <c r="C76" i="6"/>
  <c r="N76" i="6" s="1"/>
  <c r="C37" i="6"/>
  <c r="C89" i="6"/>
  <c r="C19" i="6"/>
  <c r="I49" i="6"/>
  <c r="Y49" i="6"/>
  <c r="O127" i="2"/>
  <c r="I38" i="6"/>
  <c r="N119" i="2"/>
  <c r="O119" i="2"/>
  <c r="I15" i="6"/>
  <c r="O105" i="2"/>
  <c r="AF105" i="2"/>
  <c r="J15" i="6"/>
  <c r="AM15" i="6"/>
  <c r="D73" i="6"/>
  <c r="D87" i="6"/>
  <c r="D94" i="6"/>
  <c r="AK94" i="6"/>
  <c r="D108" i="6"/>
  <c r="W108" i="6" s="1"/>
  <c r="D59" i="6"/>
  <c r="O141" i="2"/>
  <c r="O148" i="2"/>
  <c r="J53" i="6"/>
  <c r="L45" i="6" s="1"/>
  <c r="AM53" i="6"/>
  <c r="N141" i="2"/>
  <c r="D99" i="6"/>
  <c r="W99" i="6"/>
  <c r="O155" i="2"/>
  <c r="AF148" i="2"/>
  <c r="AM112" i="2"/>
  <c r="D92" i="6"/>
  <c r="AK92" i="6" s="1"/>
  <c r="W92" i="6"/>
  <c r="AD60" i="2"/>
  <c r="D146" i="6"/>
  <c r="D147" i="6"/>
  <c r="D175" i="6"/>
  <c r="D176" i="6"/>
  <c r="AF99" i="2"/>
  <c r="AG98" i="2"/>
  <c r="D137" i="6"/>
  <c r="B137" i="6" s="1"/>
  <c r="D138" i="6"/>
  <c r="D156" i="6"/>
  <c r="AK156" i="6"/>
  <c r="D157" i="6"/>
  <c r="I46" i="6"/>
  <c r="N134" i="2"/>
  <c r="J176" i="6"/>
  <c r="I144" i="6"/>
  <c r="M63" i="2"/>
  <c r="J128" i="6"/>
  <c r="J163" i="6"/>
  <c r="J164" i="6"/>
  <c r="J167" i="6"/>
  <c r="AM167" i="6" s="1"/>
  <c r="J172" i="6"/>
  <c r="J181" i="6"/>
  <c r="D165" i="6"/>
  <c r="W165" i="6" s="1"/>
  <c r="D166" i="6"/>
  <c r="AE58" i="2"/>
  <c r="O63" i="2"/>
  <c r="I147" i="6"/>
  <c r="K139" i="6" s="1"/>
  <c r="I148" i="6"/>
  <c r="D184" i="6"/>
  <c r="D185" i="6"/>
  <c r="W185" i="6" s="1"/>
  <c r="N11" i="2"/>
  <c r="Y11" i="2"/>
  <c r="N18" i="2"/>
  <c r="Y18" i="2"/>
  <c r="M21" i="2"/>
  <c r="X21" i="2"/>
  <c r="N58" i="2"/>
  <c r="AD58" i="2"/>
  <c r="N60" i="2"/>
  <c r="Z62" i="2"/>
  <c r="AE62" i="2"/>
  <c r="AB62" i="2"/>
  <c r="AA64" i="2"/>
  <c r="AE64" i="2"/>
  <c r="D126" i="6"/>
  <c r="D129" i="6"/>
  <c r="D144" i="6"/>
  <c r="D154" i="6"/>
  <c r="D163" i="6"/>
  <c r="D173" i="6"/>
  <c r="D182" i="6"/>
  <c r="D127" i="6"/>
  <c r="D130" i="6"/>
  <c r="B130" i="6" s="1"/>
  <c r="AD130" i="6" s="1"/>
  <c r="D136" i="6"/>
  <c r="D141" i="6"/>
  <c r="D145" i="6"/>
  <c r="D155" i="6"/>
  <c r="D164" i="6"/>
  <c r="D174" i="6"/>
  <c r="B174" i="6" s="1"/>
  <c r="D180" i="6"/>
  <c r="D183" i="6"/>
  <c r="N13" i="2"/>
  <c r="Y13" i="2"/>
  <c r="I131" i="6"/>
  <c r="M17" i="2"/>
  <c r="X17" i="2"/>
  <c r="N22" i="2"/>
  <c r="Y22" i="2"/>
  <c r="P58" i="2"/>
  <c r="N59" i="2"/>
  <c r="AB59" i="2"/>
  <c r="P60" i="2"/>
  <c r="AA60" i="2"/>
  <c r="AE60" i="2"/>
  <c r="N61" i="2"/>
  <c r="N63" i="2"/>
  <c r="AD63" i="2"/>
  <c r="AA63" i="2"/>
  <c r="AE63" i="2"/>
  <c r="M64" i="2"/>
  <c r="AD64" i="2"/>
  <c r="I127" i="6"/>
  <c r="I129" i="6"/>
  <c r="I157" i="6"/>
  <c r="R157" i="6" s="1"/>
  <c r="I162" i="6"/>
  <c r="I166" i="6"/>
  <c r="Y166" i="6"/>
  <c r="I173" i="6"/>
  <c r="I175" i="6"/>
  <c r="Y175" i="6"/>
  <c r="D131" i="6"/>
  <c r="D139" i="6"/>
  <c r="D148" i="6"/>
  <c r="D158" i="6"/>
  <c r="D162" i="6"/>
  <c r="D167" i="6"/>
  <c r="W167" i="6" s="1"/>
  <c r="D172" i="6"/>
  <c r="AK172" i="6" s="1"/>
  <c r="D177" i="6"/>
  <c r="AK177" i="6" s="1"/>
  <c r="D181" i="6"/>
  <c r="N98" i="2"/>
  <c r="O112" i="2"/>
  <c r="AO109" i="2"/>
  <c r="D65" i="6"/>
  <c r="I64" i="6"/>
  <c r="N148" i="2"/>
  <c r="J65" i="6"/>
  <c r="L65" i="6" s="1"/>
  <c r="O154" i="2"/>
  <c r="AF133" i="2"/>
  <c r="AL113" i="2"/>
  <c r="D109" i="6"/>
  <c r="W109" i="6" s="1"/>
  <c r="N147" i="2"/>
  <c r="J59" i="6"/>
  <c r="I58" i="6"/>
  <c r="K50" i="6" s="1"/>
  <c r="J100" i="6"/>
  <c r="AM100" i="6" s="1"/>
  <c r="D85" i="6"/>
  <c r="D100" i="6"/>
  <c r="O183" i="2"/>
  <c r="J94" i="6"/>
  <c r="J67" i="6"/>
  <c r="AM67" i="6"/>
  <c r="O140" i="2"/>
  <c r="N154" i="2"/>
  <c r="N196" i="2"/>
  <c r="I65" i="6"/>
  <c r="J85" i="6"/>
  <c r="I51" i="6"/>
  <c r="I57" i="6"/>
  <c r="D74" i="6"/>
  <c r="AK74" i="6"/>
  <c r="D95" i="6"/>
  <c r="AK95" i="6" s="1"/>
  <c r="J58" i="6"/>
  <c r="D50" i="6"/>
  <c r="D64" i="6"/>
  <c r="D71" i="6"/>
  <c r="AK71" i="6"/>
  <c r="N175" i="2"/>
  <c r="AE175" i="2"/>
  <c r="AR101" i="2"/>
  <c r="O196" i="2"/>
  <c r="D107" i="6"/>
  <c r="N211" i="2"/>
  <c r="O210" i="2"/>
  <c r="N210" i="2"/>
  <c r="O211" i="2"/>
  <c r="O204" i="2"/>
  <c r="O203" i="2"/>
  <c r="I121" i="6"/>
  <c r="N204" i="2"/>
  <c r="N203" i="2"/>
  <c r="O197" i="2"/>
  <c r="O189" i="2"/>
  <c r="O176" i="2"/>
  <c r="AF176" i="2"/>
  <c r="AS109" i="2"/>
  <c r="AW109" i="2"/>
  <c r="J87" i="6"/>
  <c r="O175" i="2"/>
  <c r="AF175" i="2"/>
  <c r="AR109" i="2"/>
  <c r="AV109" i="2"/>
  <c r="O168" i="2"/>
  <c r="N161" i="2"/>
  <c r="AE160" i="2"/>
  <c r="AL120" i="2"/>
  <c r="AG63" i="2"/>
  <c r="C40" i="8"/>
  <c r="C39" i="8"/>
  <c r="AE61" i="2"/>
  <c r="N14" i="2"/>
  <c r="Y14" i="2"/>
  <c r="M12" i="2"/>
  <c r="X12" i="2"/>
  <c r="AD59" i="2"/>
  <c r="N127" i="2"/>
  <c r="N155" i="2"/>
  <c r="AE154" i="2"/>
  <c r="AM101" i="2"/>
  <c r="I66" i="6"/>
  <c r="K66" i="6" s="1"/>
  <c r="Y66" i="6"/>
  <c r="I36" i="6"/>
  <c r="N126" i="2"/>
  <c r="O162" i="2"/>
  <c r="AF161" i="2"/>
  <c r="AM124" i="2"/>
  <c r="J72" i="6"/>
  <c r="AM72" i="6"/>
  <c r="J71" i="6"/>
  <c r="AM71" i="6" s="1"/>
  <c r="O161" i="2"/>
  <c r="AF160" i="2"/>
  <c r="AL124" i="2"/>
  <c r="M10" i="2"/>
  <c r="X10" i="2"/>
  <c r="N106" i="2"/>
  <c r="I18" i="6"/>
  <c r="R18" i="6" s="1"/>
  <c r="O169" i="2"/>
  <c r="AF169" i="2"/>
  <c r="M16" i="2"/>
  <c r="X16" i="2"/>
  <c r="M18" i="2"/>
  <c r="X18" i="2"/>
  <c r="M20" i="2"/>
  <c r="X20" i="2"/>
  <c r="M22" i="2"/>
  <c r="X22" i="2"/>
  <c r="N91" i="2"/>
  <c r="N92" i="2"/>
  <c r="O120" i="2"/>
  <c r="O126" i="2"/>
  <c r="J37" i="6"/>
  <c r="N99" i="2"/>
  <c r="N17" i="2"/>
  <c r="Y17" i="2"/>
  <c r="N19" i="2"/>
  <c r="Y19" i="2"/>
  <c r="N21" i="2"/>
  <c r="Y21" i="2"/>
  <c r="AA59" i="2"/>
  <c r="AE59" i="2"/>
  <c r="O61" i="2"/>
  <c r="M61" i="2"/>
  <c r="O134" i="2"/>
  <c r="J46" i="6"/>
  <c r="L46" i="6" s="1"/>
  <c r="N183" i="2"/>
  <c r="N168" i="2"/>
  <c r="AE168" i="2"/>
  <c r="AL121" i="2"/>
  <c r="AN136" i="2"/>
  <c r="N182" i="2"/>
  <c r="I92" i="6"/>
  <c r="I100" i="6"/>
  <c r="R100" i="6" s="1"/>
  <c r="N190" i="2"/>
  <c r="O190" i="2"/>
  <c r="J101" i="6"/>
  <c r="I87" i="6"/>
  <c r="R87" i="6"/>
  <c r="N176" i="2"/>
  <c r="AE176" i="2"/>
  <c r="AS101" i="2"/>
  <c r="J92" i="6"/>
  <c r="AF92" i="6" s="1"/>
  <c r="O182" i="2"/>
  <c r="N189" i="2"/>
  <c r="I99" i="6"/>
  <c r="Y99" i="6"/>
  <c r="I108" i="6"/>
  <c r="N197" i="2"/>
  <c r="N169" i="2"/>
  <c r="I72" i="6"/>
  <c r="N162" i="2"/>
  <c r="AE161" i="2"/>
  <c r="AM120" i="2"/>
  <c r="AM125" i="2"/>
  <c r="AN142" i="2"/>
  <c r="AE169" i="2"/>
  <c r="AF168" i="2"/>
  <c r="AE153" i="2"/>
  <c r="AL101" i="2"/>
  <c r="AV101" i="2"/>
  <c r="AE112" i="2"/>
  <c r="AL102" i="2"/>
  <c r="AE182" i="2"/>
  <c r="AR102" i="2"/>
  <c r="AW101" i="2"/>
  <c r="AF141" i="2"/>
  <c r="AM114" i="2"/>
  <c r="AF113" i="2"/>
  <c r="AM110" i="2"/>
  <c r="AL142" i="2"/>
  <c r="AF140" i="2"/>
  <c r="AL114" i="2"/>
  <c r="AE126" i="2"/>
  <c r="AF134" i="2"/>
  <c r="AM113" i="2"/>
  <c r="AF120" i="2"/>
  <c r="AM111" i="2"/>
  <c r="AF127" i="2"/>
  <c r="AE140" i="2"/>
  <c r="AL106" i="2"/>
  <c r="AE197" i="2"/>
  <c r="AF147" i="2"/>
  <c r="AF126" i="2"/>
  <c r="AH60" i="2"/>
  <c r="D37" i="8"/>
  <c r="D39" i="8"/>
  <c r="AH62" i="2"/>
  <c r="D40" i="8"/>
  <c r="AH63" i="2"/>
  <c r="D41" i="8"/>
  <c r="AH64" i="2"/>
  <c r="AG58" i="2"/>
  <c r="C35" i="8"/>
  <c r="C41" i="8"/>
  <c r="AG64" i="2"/>
  <c r="AG60" i="2"/>
  <c r="C37" i="8"/>
  <c r="AE133" i="2"/>
  <c r="AL105" i="2"/>
  <c r="AH58" i="2"/>
  <c r="D35" i="8"/>
  <c r="AE99" i="2"/>
  <c r="AF112" i="2"/>
  <c r="AL110" i="2"/>
  <c r="AL141" i="2"/>
  <c r="AF190" i="2"/>
  <c r="AE119" i="2"/>
  <c r="AL103" i="2"/>
  <c r="AF119" i="2"/>
  <c r="AL111" i="2"/>
  <c r="AE141" i="2"/>
  <c r="AM106" i="2"/>
  <c r="AF197" i="2"/>
  <c r="AE189" i="2"/>
  <c r="AE120" i="2"/>
  <c r="AM103" i="2"/>
  <c r="AE190" i="2"/>
  <c r="AF189" i="2"/>
  <c r="AE210" i="2"/>
  <c r="AF196" i="2"/>
  <c r="AF182" i="2"/>
  <c r="AR110" i="2"/>
  <c r="AM141" i="2"/>
  <c r="AE203" i="2"/>
  <c r="AF204" i="2"/>
  <c r="AE211" i="2"/>
  <c r="AF183" i="2"/>
  <c r="AE147" i="2"/>
  <c r="AL104" i="2"/>
  <c r="AF203" i="2"/>
  <c r="AF210" i="2"/>
  <c r="AE196" i="2"/>
  <c r="AE183" i="2"/>
  <c r="AE204" i="2"/>
  <c r="AF211" i="2"/>
  <c r="AG175" i="2"/>
  <c r="D36" i="8"/>
  <c r="AH59" i="2"/>
  <c r="AD61" i="2"/>
  <c r="C235" i="2"/>
  <c r="C35" i="2"/>
  <c r="C237" i="2"/>
  <c r="C147" i="6"/>
  <c r="C271" i="2"/>
  <c r="C219" i="2"/>
  <c r="C129" i="6"/>
  <c r="C18" i="2"/>
  <c r="C222" i="2"/>
  <c r="C273" i="2"/>
  <c r="C183" i="6"/>
  <c r="C238" i="2"/>
  <c r="C49" i="2"/>
  <c r="C38" i="2"/>
  <c r="C275" i="2"/>
  <c r="C185" i="6"/>
  <c r="C54" i="2"/>
  <c r="C22" i="2"/>
  <c r="C16" i="2"/>
  <c r="C256" i="2"/>
  <c r="C166" i="6"/>
  <c r="C20" i="2"/>
  <c r="C272" i="2"/>
  <c r="C253" i="2"/>
  <c r="C163" i="6"/>
  <c r="C276" i="2"/>
  <c r="C258" i="2"/>
  <c r="C234" i="2"/>
  <c r="C144" i="6"/>
  <c r="C143" i="6"/>
  <c r="C257" i="2"/>
  <c r="C236" i="2"/>
  <c r="C239" i="2"/>
  <c r="C148" i="6"/>
  <c r="C34" i="2"/>
  <c r="C221" i="2"/>
  <c r="C270" i="2"/>
  <c r="C180" i="6"/>
  <c r="C179" i="6"/>
  <c r="M171" i="6" s="1"/>
  <c r="U171" i="6" s="1"/>
  <c r="C217" i="2"/>
  <c r="C32" i="2"/>
  <c r="C240" i="2"/>
  <c r="C255" i="2"/>
  <c r="C165" i="6"/>
  <c r="C220" i="2"/>
  <c r="C216" i="2"/>
  <c r="C126" i="6"/>
  <c r="C125" i="6"/>
  <c r="C19" i="2"/>
  <c r="C52" i="2"/>
  <c r="C51" i="2"/>
  <c r="C36" i="2"/>
  <c r="C252" i="2"/>
  <c r="C161" i="6"/>
  <c r="C33" i="2"/>
  <c r="C218" i="2"/>
  <c r="C127" i="6"/>
  <c r="C37" i="2"/>
  <c r="C50" i="2"/>
  <c r="C17" i="2"/>
  <c r="C254" i="2"/>
  <c r="C164" i="6"/>
  <c r="C274" i="2"/>
  <c r="C21" i="2"/>
  <c r="C55" i="2"/>
  <c r="C53" i="2"/>
  <c r="AE134" i="2"/>
  <c r="AM105" i="2"/>
  <c r="D38" i="8"/>
  <c r="AH61" i="2"/>
  <c r="C63" i="2"/>
  <c r="C11" i="2"/>
  <c r="C227" i="2"/>
  <c r="C137" i="6"/>
  <c r="C64" i="2"/>
  <c r="C12" i="2"/>
  <c r="C14" i="2"/>
  <c r="C120" i="6"/>
  <c r="C76" i="2"/>
  <c r="C66" i="2"/>
  <c r="C13" i="2"/>
  <c r="C267" i="2"/>
  <c r="C266" i="2"/>
  <c r="C264" i="2"/>
  <c r="C226" i="2"/>
  <c r="C135" i="6"/>
  <c r="C46" i="2"/>
  <c r="C88" i="2"/>
  <c r="C228" i="2"/>
  <c r="C138" i="6"/>
  <c r="C47" i="2"/>
  <c r="C70" i="2"/>
  <c r="C80" i="2"/>
  <c r="C250" i="2"/>
  <c r="C82" i="2"/>
  <c r="C25" i="2"/>
  <c r="C10" i="2"/>
  <c r="C84" i="2"/>
  <c r="C9" i="2"/>
  <c r="C262" i="2"/>
  <c r="C171" i="6"/>
  <c r="C245" i="2"/>
  <c r="C86" i="2"/>
  <c r="C230" i="2"/>
  <c r="C67" i="2"/>
  <c r="C248" i="2"/>
  <c r="C121" i="6"/>
  <c r="C72" i="2"/>
  <c r="C231" i="2"/>
  <c r="C141" i="6"/>
  <c r="C59" i="2"/>
  <c r="C83" i="2"/>
  <c r="C8" i="2"/>
  <c r="C74" i="2"/>
  <c r="C75" i="2"/>
  <c r="C61" i="2"/>
  <c r="C247" i="2"/>
  <c r="C42" i="2"/>
  <c r="C263" i="2"/>
  <c r="C173" i="6"/>
  <c r="C229" i="2"/>
  <c r="C85" i="2"/>
  <c r="C68" i="2"/>
  <c r="C28" i="2"/>
  <c r="C58" i="2"/>
  <c r="C41" i="2"/>
  <c r="C265" i="2"/>
  <c r="C175" i="6"/>
  <c r="C122" i="6"/>
  <c r="C246" i="2"/>
  <c r="C123" i="6"/>
  <c r="C78" i="2"/>
  <c r="C24" i="2"/>
  <c r="C62" i="2"/>
  <c r="C29" i="2"/>
  <c r="C27" i="2"/>
  <c r="C77" i="2"/>
  <c r="C26" i="2"/>
  <c r="C249" i="2"/>
  <c r="C159" i="6"/>
  <c r="C118" i="6"/>
  <c r="C43" i="2"/>
  <c r="C119" i="6"/>
  <c r="C44" i="2"/>
  <c r="C268" i="2"/>
  <c r="C177" i="6"/>
  <c r="C45" i="2"/>
  <c r="C244" i="2"/>
  <c r="C154" i="6"/>
  <c r="C153" i="6"/>
  <c r="C71" i="2"/>
  <c r="AE105" i="2"/>
  <c r="C60" i="2"/>
  <c r="C79" i="2"/>
  <c r="C30" i="2"/>
  <c r="C87" i="2"/>
  <c r="C232" i="2"/>
  <c r="C117" i="6"/>
  <c r="C69" i="2"/>
  <c r="C36" i="8"/>
  <c r="AG59" i="2"/>
  <c r="AE98" i="2"/>
  <c r="AE113" i="2"/>
  <c r="AM102" i="2"/>
  <c r="AL137" i="2"/>
  <c r="AE148" i="2"/>
  <c r="AM104" i="2"/>
  <c r="AE127" i="2"/>
  <c r="BD102" i="2"/>
  <c r="AM136" i="2"/>
  <c r="AL136" i="2"/>
  <c r="AG168" i="2"/>
  <c r="AL125" i="2"/>
  <c r="AN141" i="2"/>
  <c r="AM121" i="2"/>
  <c r="AN137" i="2"/>
  <c r="AO101" i="2"/>
  <c r="BA104" i="2"/>
  <c r="BB106" i="2"/>
  <c r="BA103" i="2"/>
  <c r="AV102" i="2"/>
  <c r="AO113" i="2"/>
  <c r="BB104" i="2"/>
  <c r="BA106" i="2"/>
  <c r="BB102" i="2"/>
  <c r="BB103" i="2"/>
  <c r="AO110" i="2"/>
  <c r="AV110" i="2"/>
  <c r="BA105" i="2"/>
  <c r="AO105" i="2"/>
  <c r="BB105" i="2"/>
  <c r="AS114" i="2"/>
  <c r="AW114" i="2"/>
  <c r="AR114" i="2"/>
  <c r="AV114" i="2"/>
  <c r="AS106" i="2"/>
  <c r="AR106" i="2"/>
  <c r="AO114" i="2"/>
  <c r="AG140" i="2"/>
  <c r="AO111" i="2"/>
  <c r="AR105" i="2"/>
  <c r="AS112" i="2"/>
  <c r="AW112" i="2"/>
  <c r="AS105" i="2"/>
  <c r="AR104" i="2"/>
  <c r="AS110" i="2"/>
  <c r="AR112" i="2"/>
  <c r="AG133" i="2"/>
  <c r="AS103" i="2"/>
  <c r="AR103" i="2"/>
  <c r="AS111" i="2"/>
  <c r="AW111" i="2"/>
  <c r="AS104" i="2"/>
  <c r="AS102" i="2"/>
  <c r="AM137" i="2"/>
  <c r="AG203" i="2"/>
  <c r="AR113" i="2"/>
  <c r="AV113" i="2"/>
  <c r="AS113" i="2"/>
  <c r="AW113" i="2"/>
  <c r="AR111" i="2"/>
  <c r="AV111" i="2"/>
  <c r="AG126" i="2"/>
  <c r="AO106" i="2"/>
  <c r="AG189" i="2"/>
  <c r="AO103" i="2"/>
  <c r="AG119" i="2"/>
  <c r="AG147" i="2"/>
  <c r="AL112" i="2"/>
  <c r="AO104" i="2"/>
  <c r="C145" i="6"/>
  <c r="AG196" i="2"/>
  <c r="AO102" i="2"/>
  <c r="C176" i="6"/>
  <c r="AG112" i="2"/>
  <c r="C184" i="6"/>
  <c r="C182" i="6"/>
  <c r="C155" i="6"/>
  <c r="C157" i="6"/>
  <c r="C140" i="6"/>
  <c r="C136" i="6"/>
  <c r="C149" i="6"/>
  <c r="C130" i="6"/>
  <c r="N130" i="6" s="1"/>
  <c r="C174" i="6"/>
  <c r="C181" i="6"/>
  <c r="C158" i="6"/>
  <c r="C156" i="6"/>
  <c r="C139" i="6"/>
  <c r="C167" i="6"/>
  <c r="C128" i="6"/>
  <c r="AG210" i="2"/>
  <c r="C172" i="6"/>
  <c r="C162" i="6"/>
  <c r="C131" i="6"/>
  <c r="C146" i="6"/>
  <c r="N146" i="6" s="1"/>
  <c r="AG146" i="6" s="1"/>
  <c r="AG182" i="2"/>
  <c r="C38" i="8"/>
  <c r="AG61" i="2"/>
  <c r="AW110" i="2"/>
  <c r="AM142" i="2"/>
  <c r="AW105" i="2"/>
  <c r="BE105" i="2"/>
  <c r="AV106" i="2"/>
  <c r="BD106" i="2"/>
  <c r="AV103" i="2"/>
  <c r="BD103" i="2"/>
  <c r="AW103" i="2"/>
  <c r="BE103" i="2"/>
  <c r="AV104" i="2"/>
  <c r="BD104" i="2"/>
  <c r="AV105" i="2"/>
  <c r="BD105" i="2"/>
  <c r="AW104" i="2"/>
  <c r="BE104" i="2"/>
  <c r="AW106" i="2"/>
  <c r="BE106" i="2"/>
  <c r="AW102" i="2"/>
  <c r="BE102" i="2"/>
  <c r="AO112" i="2"/>
  <c r="AV112" i="2"/>
  <c r="S210" i="2"/>
  <c r="T210" i="2"/>
  <c r="U210" i="2"/>
  <c r="T212" i="2"/>
  <c r="U212" i="2"/>
  <c r="S212" i="2"/>
  <c r="S203" i="2"/>
  <c r="T203" i="2"/>
  <c r="U203" i="2"/>
  <c r="S205" i="2"/>
  <c r="T205" i="2"/>
  <c r="U205" i="2"/>
  <c r="S196" i="2"/>
  <c r="T196" i="2"/>
  <c r="U196" i="2"/>
  <c r="S198" i="2"/>
  <c r="T198" i="2"/>
  <c r="U198" i="2"/>
  <c r="S191" i="2"/>
  <c r="T191" i="2"/>
  <c r="U191" i="2"/>
  <c r="S189" i="2"/>
  <c r="T189" i="2"/>
  <c r="U189" i="2"/>
  <c r="S182" i="2"/>
  <c r="T182" i="2"/>
  <c r="U182" i="2"/>
  <c r="S184" i="2"/>
  <c r="T184" i="2"/>
  <c r="U184" i="2"/>
  <c r="T177" i="2"/>
  <c r="U177" i="2"/>
  <c r="S177" i="2"/>
  <c r="S175" i="2"/>
  <c r="T175" i="2"/>
  <c r="U175" i="2"/>
  <c r="T170" i="2"/>
  <c r="U170" i="2"/>
  <c r="S168" i="2"/>
  <c r="T168" i="2"/>
  <c r="U168" i="2"/>
  <c r="S170" i="2"/>
  <c r="S161" i="2"/>
  <c r="T161" i="2"/>
  <c r="U161" i="2"/>
  <c r="S163" i="2"/>
  <c r="T163" i="2"/>
  <c r="U163" i="2"/>
  <c r="S154" i="2"/>
  <c r="T154" i="2"/>
  <c r="U154" i="2"/>
  <c r="S156" i="2"/>
  <c r="T156" i="2"/>
  <c r="U156" i="2"/>
  <c r="S147" i="2"/>
  <c r="T147" i="2"/>
  <c r="U147" i="2"/>
  <c r="S149" i="2"/>
  <c r="T149" i="2"/>
  <c r="U149" i="2"/>
  <c r="S140" i="2"/>
  <c r="T140" i="2"/>
  <c r="U140" i="2"/>
  <c r="S142" i="2"/>
  <c r="T142" i="2"/>
  <c r="U142" i="2"/>
  <c r="S133" i="2"/>
  <c r="T133" i="2"/>
  <c r="U133" i="2"/>
  <c r="S135" i="2"/>
  <c r="T135" i="2"/>
  <c r="U135" i="2"/>
  <c r="T128" i="2"/>
  <c r="U128" i="2"/>
  <c r="S126" i="2"/>
  <c r="T126" i="2"/>
  <c r="U126" i="2"/>
  <c r="S128" i="2"/>
  <c r="W119" i="2"/>
  <c r="V119" i="2"/>
  <c r="W121" i="2"/>
  <c r="V121" i="2"/>
  <c r="S112" i="2"/>
  <c r="T112" i="2"/>
  <c r="U112" i="2"/>
  <c r="S114" i="2"/>
  <c r="T114" i="2"/>
  <c r="U114" i="2"/>
  <c r="S105" i="2"/>
  <c r="T105" i="2"/>
  <c r="U105" i="2"/>
  <c r="S107" i="2"/>
  <c r="T107" i="2"/>
  <c r="U107" i="2"/>
  <c r="S98" i="2"/>
  <c r="T98" i="2"/>
  <c r="U98" i="2"/>
  <c r="S100" i="2"/>
  <c r="T100" i="2"/>
  <c r="U100" i="2"/>
  <c r="AK138" i="6"/>
  <c r="AK113" i="6"/>
  <c r="W121" i="6"/>
  <c r="W73" i="6"/>
  <c r="AK117" i="6"/>
  <c r="W172" i="6"/>
  <c r="AK126" i="6"/>
  <c r="L156" i="6"/>
  <c r="W11" i="6"/>
  <c r="W18" i="6"/>
  <c r="AK31" i="6"/>
  <c r="AK45" i="6"/>
  <c r="W66" i="6"/>
  <c r="W123" i="6"/>
  <c r="AK140" i="6"/>
  <c r="W159" i="6"/>
  <c r="W15" i="6"/>
  <c r="W39" i="6"/>
  <c r="W53" i="6"/>
  <c r="W81" i="6"/>
  <c r="AK176" i="6"/>
  <c r="W102" i="6"/>
  <c r="W122" i="6"/>
  <c r="W72" i="6"/>
  <c r="K63" i="6"/>
  <c r="T63" i="6"/>
  <c r="R74" i="6"/>
  <c r="K51" i="6"/>
  <c r="AF20" i="6"/>
  <c r="W51" i="6"/>
  <c r="L103" i="6"/>
  <c r="AH103" i="6" s="1"/>
  <c r="AF76" i="6"/>
  <c r="B122" i="6"/>
  <c r="K120" i="6"/>
  <c r="T120" i="6"/>
  <c r="W40" i="6"/>
  <c r="AK135" i="6"/>
  <c r="AM51" i="6"/>
  <c r="W148" i="6"/>
  <c r="AK76" i="6"/>
  <c r="AK37" i="6"/>
  <c r="B117" i="6"/>
  <c r="G117" i="6"/>
  <c r="M117" i="6" s="1"/>
  <c r="U117" i="6" s="1"/>
  <c r="AK27" i="6"/>
  <c r="AK39" i="6"/>
  <c r="W153" i="6"/>
  <c r="W104" i="6"/>
  <c r="Y63" i="6"/>
  <c r="R108" i="6"/>
  <c r="W63" i="6"/>
  <c r="AK14" i="6"/>
  <c r="AK77" i="6"/>
  <c r="L51" i="6"/>
  <c r="AH51" i="6"/>
  <c r="R63" i="6"/>
  <c r="K119" i="6"/>
  <c r="T127" i="6"/>
  <c r="Y85" i="6"/>
  <c r="R94" i="6"/>
  <c r="W29" i="6"/>
  <c r="AF50" i="6"/>
  <c r="AK28" i="6"/>
  <c r="R154" i="6"/>
  <c r="B171" i="6"/>
  <c r="P171" i="6"/>
  <c r="Z171" i="6" s="1"/>
  <c r="AF148" i="6"/>
  <c r="AF54" i="6"/>
  <c r="L69" i="6"/>
  <c r="AH69" i="6"/>
  <c r="H15" i="6"/>
  <c r="N15" i="6" s="1"/>
  <c r="AG15" i="6" s="1"/>
  <c r="AN15" i="6" s="1"/>
  <c r="B99" i="6"/>
  <c r="R29" i="6"/>
  <c r="AF121" i="6"/>
  <c r="L67" i="6"/>
  <c r="AK15" i="6"/>
  <c r="W86" i="6"/>
  <c r="AF28" i="6"/>
  <c r="H130" i="6"/>
  <c r="AK130" i="6"/>
  <c r="W111" i="6"/>
  <c r="AM161" i="6"/>
  <c r="AM75" i="6"/>
  <c r="AF139" i="6"/>
  <c r="Y185" i="6"/>
  <c r="AH45" i="6"/>
  <c r="W46" i="6"/>
  <c r="R139" i="6"/>
  <c r="AF69" i="6"/>
  <c r="AK33" i="6"/>
  <c r="W58" i="6"/>
  <c r="R148" i="6"/>
  <c r="L122" i="6"/>
  <c r="AH122" i="6"/>
  <c r="H68" i="6"/>
  <c r="L31" i="6"/>
  <c r="AH31" i="6" s="1"/>
  <c r="K101" i="6"/>
  <c r="T101" i="6"/>
  <c r="W119" i="6"/>
  <c r="B76" i="6"/>
  <c r="G76" i="6" s="1"/>
  <c r="B77" i="6"/>
  <c r="H77" i="6"/>
  <c r="AK18" i="6"/>
  <c r="AF140" i="6"/>
  <c r="AM141" i="6"/>
  <c r="AM159" i="6"/>
  <c r="B57" i="6"/>
  <c r="AD57" i="6" s="1"/>
  <c r="AN57" i="6"/>
  <c r="AK109" i="6"/>
  <c r="AK36" i="6"/>
  <c r="W125" i="6"/>
  <c r="L100" i="6"/>
  <c r="AH108" i="6"/>
  <c r="AM130" i="6"/>
  <c r="R137" i="6"/>
  <c r="K117" i="6"/>
  <c r="AK57" i="6"/>
  <c r="R119" i="6"/>
  <c r="AF100" i="6"/>
  <c r="W171" i="6"/>
  <c r="AK179" i="6"/>
  <c r="AF174" i="6"/>
  <c r="R41" i="6"/>
  <c r="AK56" i="6"/>
  <c r="AM154" i="6"/>
  <c r="AM121" i="6"/>
  <c r="W47" i="6"/>
  <c r="AM54" i="6"/>
  <c r="R30" i="6"/>
  <c r="R12" i="6"/>
  <c r="AK12" i="6"/>
  <c r="AF176" i="6"/>
  <c r="L121" i="6"/>
  <c r="AH121" i="6" s="1"/>
  <c r="AN130" i="6"/>
  <c r="K140" i="6"/>
  <c r="T140" i="6"/>
  <c r="W84" i="6"/>
  <c r="AF48" i="6"/>
  <c r="R28" i="6"/>
  <c r="R136" i="6"/>
  <c r="AK55" i="6"/>
  <c r="K31" i="6"/>
  <c r="T31" i="6"/>
  <c r="AK20" i="6"/>
  <c r="AF21" i="6"/>
  <c r="AM69" i="6"/>
  <c r="K102" i="6"/>
  <c r="T102" i="6" s="1"/>
  <c r="T110" i="6"/>
  <c r="AF31" i="6"/>
  <c r="R162" i="6"/>
  <c r="AF146" i="6"/>
  <c r="AF183" i="6"/>
  <c r="R163" i="6"/>
  <c r="K172" i="6"/>
  <c r="T180" i="6"/>
  <c r="R138" i="6"/>
  <c r="AF17" i="6"/>
  <c r="AF29" i="6"/>
  <c r="AF68" i="6"/>
  <c r="B72" i="6"/>
  <c r="AD72" i="6" s="1"/>
  <c r="AN72" i="6" s="1"/>
  <c r="AM31" i="6"/>
  <c r="Y113" i="6"/>
  <c r="R113" i="6"/>
  <c r="AM123" i="6"/>
  <c r="AF123" i="6"/>
  <c r="AF122" i="6"/>
  <c r="AK155" i="6"/>
  <c r="Y101" i="6"/>
  <c r="AF84" i="6"/>
  <c r="AK180" i="6"/>
  <c r="R175" i="6"/>
  <c r="K176" i="6"/>
  <c r="T184" i="6"/>
  <c r="Y176" i="6"/>
  <c r="R90" i="6"/>
  <c r="Y90" i="6"/>
  <c r="AM39" i="6"/>
  <c r="AF38" i="6"/>
  <c r="Y45" i="6"/>
  <c r="K45" i="6"/>
  <c r="W105" i="6"/>
  <c r="AK105" i="6"/>
  <c r="W120" i="6"/>
  <c r="AH73" i="6"/>
  <c r="AF49" i="6"/>
  <c r="AK139" i="6"/>
  <c r="W139" i="6"/>
  <c r="AM163" i="6"/>
  <c r="AF83" i="6"/>
  <c r="W164" i="6"/>
  <c r="AK158" i="6"/>
  <c r="AK148" i="6"/>
  <c r="AK17" i="6"/>
  <c r="AK166" i="6"/>
  <c r="AK93" i="6"/>
  <c r="Y110" i="6"/>
  <c r="R110" i="6"/>
  <c r="AF119" i="6"/>
  <c r="AM119" i="6"/>
  <c r="AF149" i="6"/>
  <c r="L141" i="6"/>
  <c r="AH141" i="6" s="1"/>
  <c r="K11" i="6"/>
  <c r="T19" i="6"/>
  <c r="Y27" i="6"/>
  <c r="R27" i="6"/>
  <c r="Y76" i="6"/>
  <c r="R75" i="6"/>
  <c r="K68" i="6"/>
  <c r="AK11" i="6"/>
  <c r="AK23" i="6"/>
  <c r="W23" i="6"/>
  <c r="AK41" i="6"/>
  <c r="W41" i="6"/>
  <c r="W54" i="6"/>
  <c r="AK54" i="6"/>
  <c r="W90" i="6"/>
  <c r="AK90" i="6"/>
  <c r="AK143" i="6"/>
  <c r="B143" i="6"/>
  <c r="AM11" i="6"/>
  <c r="AF10" i="6"/>
  <c r="L158" i="6"/>
  <c r="AK67" i="6"/>
  <c r="W158" i="6"/>
  <c r="AK99" i="6"/>
  <c r="W82" i="6"/>
  <c r="AF74" i="6"/>
  <c r="R11" i="6"/>
  <c r="AK164" i="6"/>
  <c r="W136" i="6"/>
  <c r="W173" i="6"/>
  <c r="AK129" i="6"/>
  <c r="W166" i="6"/>
  <c r="K46" i="6"/>
  <c r="T54" i="6" s="1"/>
  <c r="B73" i="6"/>
  <c r="AD73" i="6"/>
  <c r="AN73" i="6"/>
  <c r="W17" i="6"/>
  <c r="K154" i="6"/>
  <c r="T162" i="6"/>
  <c r="AF171" i="6"/>
  <c r="L101" i="6"/>
  <c r="AH101" i="6"/>
  <c r="AK165" i="6"/>
  <c r="AF163" i="6"/>
  <c r="W138" i="6"/>
  <c r="W129" i="6"/>
  <c r="W155" i="6"/>
  <c r="AK185" i="6"/>
  <c r="AM164" i="6"/>
  <c r="R146" i="6"/>
  <c r="Y127" i="6"/>
  <c r="R127" i="6"/>
  <c r="AF173" i="6"/>
  <c r="AF15" i="6"/>
  <c r="AM103" i="6"/>
  <c r="AM173" i="6"/>
  <c r="AF130" i="6"/>
  <c r="W141" i="6"/>
  <c r="AK182" i="6"/>
  <c r="AK144" i="6"/>
  <c r="Y147" i="6"/>
  <c r="AK147" i="6"/>
  <c r="L171" i="6"/>
  <c r="AH171" i="6" s="1"/>
  <c r="K158" i="6"/>
  <c r="K103" i="6"/>
  <c r="T103" i="6"/>
  <c r="W9" i="6"/>
  <c r="W45" i="6"/>
  <c r="R93" i="6"/>
  <c r="W31" i="6"/>
  <c r="W149" i="6"/>
  <c r="W10" i="6"/>
  <c r="L10" i="6"/>
  <c r="AH10" i="6"/>
  <c r="W32" i="6"/>
  <c r="W38" i="6"/>
  <c r="AK136" i="6"/>
  <c r="W180" i="6"/>
  <c r="AK173" i="6"/>
  <c r="W163" i="6"/>
  <c r="AK123" i="6"/>
  <c r="AK32" i="6"/>
  <c r="AK53" i="6"/>
  <c r="AK159" i="6"/>
  <c r="AK167" i="6"/>
  <c r="AF72" i="6"/>
  <c r="AF164" i="6"/>
  <c r="AF53" i="6"/>
  <c r="W95" i="6"/>
  <c r="AF129" i="6"/>
  <c r="AF102" i="6"/>
  <c r="AM131" i="6"/>
  <c r="W74" i="6"/>
  <c r="W183" i="6"/>
  <c r="W156" i="6"/>
  <c r="W176" i="6"/>
  <c r="W94" i="6"/>
  <c r="B159" i="6"/>
  <c r="AD159" i="6"/>
  <c r="AN159" i="6"/>
  <c r="R56" i="6"/>
  <c r="R101" i="6"/>
  <c r="AK163" i="6"/>
  <c r="AK108" i="6"/>
  <c r="AK66" i="6"/>
  <c r="AK81" i="6"/>
  <c r="AK102" i="6"/>
  <c r="AK101" i="6"/>
  <c r="L64" i="6"/>
  <c r="L15" i="6"/>
  <c r="AH15" i="6" s="1"/>
  <c r="AM177" i="6"/>
  <c r="W177" i="6"/>
  <c r="K32" i="6"/>
  <c r="T40" i="6" s="1"/>
  <c r="W103" i="6"/>
  <c r="B103" i="6"/>
  <c r="G103" i="6" s="1"/>
  <c r="W140" i="6"/>
  <c r="AK122" i="6"/>
  <c r="AM148" i="6"/>
  <c r="AF147" i="6"/>
  <c r="AM155" i="6"/>
  <c r="AF154" i="6"/>
  <c r="Y40" i="6"/>
  <c r="R40" i="6"/>
  <c r="AM27" i="6"/>
  <c r="AF27" i="6"/>
  <c r="AM63" i="6"/>
  <c r="AF63" i="6"/>
  <c r="R76" i="6"/>
  <c r="Y77" i="6"/>
  <c r="W144" i="6"/>
  <c r="AK73" i="6"/>
  <c r="AK9" i="6"/>
  <c r="B71" i="6"/>
  <c r="H71" i="6" s="1"/>
  <c r="L157" i="6"/>
  <c r="AF47" i="6"/>
  <c r="R117" i="6"/>
  <c r="K156" i="6"/>
  <c r="T164" i="6" s="1"/>
  <c r="AF75" i="6"/>
  <c r="R179" i="6"/>
  <c r="AF33" i="6"/>
  <c r="R53" i="6"/>
  <c r="L136" i="6"/>
  <c r="Y103" i="6"/>
  <c r="R102" i="6"/>
  <c r="L32" i="6"/>
  <c r="AH40" i="6"/>
  <c r="R39" i="6"/>
  <c r="B20" i="6"/>
  <c r="AF66" i="6"/>
  <c r="AF67" i="6"/>
  <c r="Y21" i="6"/>
  <c r="Y73" i="6"/>
  <c r="R73" i="6"/>
  <c r="AM81" i="6"/>
  <c r="AF81" i="6"/>
  <c r="W182" i="6"/>
  <c r="AK141" i="6"/>
  <c r="R46" i="6"/>
  <c r="W71" i="6"/>
  <c r="AF155" i="6"/>
  <c r="L81" i="6"/>
  <c r="AH89" i="6"/>
  <c r="L174" i="6"/>
  <c r="AH182" i="6"/>
  <c r="L66" i="6"/>
  <c r="AH66" i="6"/>
  <c r="AK91" i="6"/>
  <c r="AF40" i="6"/>
  <c r="R118" i="6"/>
  <c r="Y154" i="6"/>
  <c r="AF182" i="6"/>
  <c r="AF144" i="6"/>
  <c r="R158" i="6"/>
  <c r="R77" i="6"/>
  <c r="L123" i="6"/>
  <c r="AH123" i="6"/>
  <c r="AM33" i="6"/>
  <c r="L137" i="6"/>
  <c r="AK13" i="6"/>
  <c r="AM65" i="6"/>
  <c r="AF65" i="6"/>
  <c r="AF181" i="6"/>
  <c r="C39" i="7"/>
  <c r="C75" i="7"/>
  <c r="C111" i="7"/>
  <c r="C147" i="7"/>
  <c r="R141" i="6"/>
  <c r="R140" i="6"/>
  <c r="Y155" i="6"/>
  <c r="K155" i="6"/>
  <c r="T163" i="6" s="1"/>
  <c r="AM175" i="6"/>
  <c r="AF175" i="6"/>
  <c r="R33" i="6"/>
  <c r="Y33" i="6"/>
  <c r="W68" i="6"/>
  <c r="AK68" i="6"/>
  <c r="B66" i="6"/>
  <c r="H66" i="6"/>
  <c r="N66" i="6" s="1"/>
  <c r="AI66" i="6" s="1"/>
  <c r="B74" i="6"/>
  <c r="W118" i="6"/>
  <c r="B118" i="6"/>
  <c r="Y95" i="6"/>
  <c r="K87" i="6"/>
  <c r="Y109" i="6"/>
  <c r="R109" i="6"/>
  <c r="W147" i="6"/>
  <c r="W126" i="6"/>
  <c r="AK149" i="6"/>
  <c r="AK38" i="6"/>
  <c r="AK10" i="6"/>
  <c r="AM101" i="6"/>
  <c r="AF64" i="6"/>
  <c r="L155" i="6"/>
  <c r="AH155" i="6"/>
  <c r="Y172" i="6"/>
  <c r="AF156" i="6"/>
  <c r="AF82" i="6"/>
  <c r="B63" i="6"/>
  <c r="H63" i="6" s="1"/>
  <c r="R89" i="6"/>
  <c r="L175" i="6"/>
  <c r="AF113" i="6"/>
  <c r="AF90" i="6"/>
  <c r="AF145" i="6"/>
  <c r="K33" i="6"/>
  <c r="R85" i="6"/>
  <c r="Y93" i="6"/>
  <c r="Y158" i="6"/>
  <c r="L140" i="6"/>
  <c r="AH140" i="6"/>
  <c r="B149" i="6"/>
  <c r="AD149" i="6" s="1"/>
  <c r="AN149" i="6" s="1"/>
  <c r="Y141" i="6"/>
  <c r="K13" i="6"/>
  <c r="AF143" i="6"/>
  <c r="R84" i="6"/>
  <c r="AF73" i="6"/>
  <c r="AF111" i="6"/>
  <c r="AF86" i="6"/>
  <c r="T50" i="6"/>
  <c r="Y58" i="6"/>
  <c r="Y157" i="6"/>
  <c r="Y148" i="6"/>
  <c r="R147" i="6"/>
  <c r="AM83" i="6"/>
  <c r="L83" i="6"/>
  <c r="AF110" i="6"/>
  <c r="AF109" i="6"/>
  <c r="Y159" i="6"/>
  <c r="R159" i="6"/>
  <c r="R153" i="6"/>
  <c r="AF77" i="6"/>
  <c r="AM77" i="6"/>
  <c r="B10" i="6"/>
  <c r="W22" i="6"/>
  <c r="AK22" i="6"/>
  <c r="AF32" i="6"/>
  <c r="AF39" i="6"/>
  <c r="AF107" i="6"/>
  <c r="AM107" i="6"/>
  <c r="Y120" i="6"/>
  <c r="R123" i="6"/>
  <c r="Y123" i="6"/>
  <c r="Y64" i="6"/>
  <c r="B140" i="6"/>
  <c r="AD140" i="6" s="1"/>
  <c r="P140" i="6"/>
  <c r="Z140" i="6" s="1"/>
  <c r="AF9" i="6"/>
  <c r="K81" i="6"/>
  <c r="T89" i="6"/>
  <c r="B120" i="6"/>
  <c r="L86" i="6"/>
  <c r="AH86" i="6"/>
  <c r="AM94" i="6"/>
  <c r="AM19" i="6"/>
  <c r="L11" i="6"/>
  <c r="AH19" i="6" s="1"/>
  <c r="AH11" i="6"/>
  <c r="AM138" i="6"/>
  <c r="AF137" i="6"/>
  <c r="L138" i="6"/>
  <c r="Y10" i="6"/>
  <c r="R10" i="6"/>
  <c r="Y29" i="6"/>
  <c r="K29" i="6"/>
  <c r="T29" i="6"/>
  <c r="AM56" i="6"/>
  <c r="L48" i="6"/>
  <c r="AH56" i="6"/>
  <c r="AM95" i="6"/>
  <c r="L87" i="6"/>
  <c r="AM109" i="6"/>
  <c r="AF108" i="6"/>
  <c r="L27" i="6"/>
  <c r="AF19" i="6"/>
  <c r="R21" i="6"/>
  <c r="B138" i="6"/>
  <c r="W48" i="6"/>
  <c r="AM57" i="6"/>
  <c r="L49" i="6"/>
  <c r="K67" i="6"/>
  <c r="R67" i="6"/>
  <c r="Y86" i="6"/>
  <c r="K86" i="6"/>
  <c r="AM102" i="6"/>
  <c r="L102" i="6"/>
  <c r="AM120" i="6"/>
  <c r="AF120" i="6"/>
  <c r="B104" i="6"/>
  <c r="P104" i="6"/>
  <c r="Z104" i="6"/>
  <c r="B102" i="6"/>
  <c r="B105" i="6"/>
  <c r="P105" i="6"/>
  <c r="Z105" i="6" s="1"/>
  <c r="B113" i="6"/>
  <c r="B111" i="6"/>
  <c r="AD111" i="6"/>
  <c r="AN111" i="6" s="1"/>
  <c r="AF101" i="6"/>
  <c r="B109" i="6"/>
  <c r="R58" i="6"/>
  <c r="R51" i="6"/>
  <c r="AK75" i="6"/>
  <c r="AF18" i="6"/>
  <c r="Y59" i="6"/>
  <c r="L9" i="6"/>
  <c r="R9" i="6"/>
  <c r="AF56" i="6"/>
  <c r="Y46" i="6"/>
  <c r="R45" i="6"/>
  <c r="AM118" i="6"/>
  <c r="AF118" i="6"/>
  <c r="Y32" i="6"/>
  <c r="R31" i="6"/>
  <c r="R32" i="6"/>
  <c r="AF22" i="6"/>
  <c r="AF23" i="6"/>
  <c r="AM30" i="6"/>
  <c r="AF30" i="6"/>
  <c r="L30" i="6"/>
  <c r="AM55" i="6"/>
  <c r="L47" i="6"/>
  <c r="AF55" i="6"/>
  <c r="B148" i="6"/>
  <c r="P148" i="6" s="1"/>
  <c r="Z148" i="6"/>
  <c r="B108" i="6"/>
  <c r="AM136" i="6"/>
  <c r="AF136" i="6"/>
  <c r="Y112" i="6"/>
  <c r="R112" i="6"/>
  <c r="R111" i="6"/>
  <c r="Y174" i="6"/>
  <c r="Y153" i="6"/>
  <c r="K153" i="6"/>
  <c r="K138" i="6"/>
  <c r="T138" i="6" s="1"/>
  <c r="Y17" i="6"/>
  <c r="K9" i="6"/>
  <c r="R107" i="6"/>
  <c r="AM181" i="6"/>
  <c r="Y15" i="6"/>
  <c r="R15" i="6"/>
  <c r="AM135" i="6"/>
  <c r="L135" i="6"/>
  <c r="AH143" i="6" s="1"/>
  <c r="AF135" i="6"/>
  <c r="AM146" i="6"/>
  <c r="AM166" i="6"/>
  <c r="AF165" i="6"/>
  <c r="Y35" i="6"/>
  <c r="K27" i="6"/>
  <c r="T27" i="6"/>
  <c r="AM68" i="6"/>
  <c r="L68" i="6"/>
  <c r="B141" i="6"/>
  <c r="P141" i="6" s="1"/>
  <c r="G141" i="6"/>
  <c r="R161" i="6"/>
  <c r="Y162" i="6"/>
  <c r="AF128" i="6"/>
  <c r="L120" i="6"/>
  <c r="AH120" i="6" s="1"/>
  <c r="AF127" i="6"/>
  <c r="AM128" i="6"/>
  <c r="B146" i="6"/>
  <c r="H146" i="6" s="1"/>
  <c r="AD146" i="6"/>
  <c r="AN146" i="6" s="1"/>
  <c r="W146" i="6"/>
  <c r="R38" i="6"/>
  <c r="Y38" i="6"/>
  <c r="R37" i="6"/>
  <c r="K30" i="6"/>
  <c r="Y165" i="6"/>
  <c r="R164" i="6"/>
  <c r="K157" i="6"/>
  <c r="K135" i="6"/>
  <c r="Y135" i="6"/>
  <c r="R135" i="6"/>
  <c r="Y181" i="6"/>
  <c r="R180" i="6"/>
  <c r="K177" i="6"/>
  <c r="Y177" i="6"/>
  <c r="Y82" i="6"/>
  <c r="R82" i="6"/>
  <c r="K82" i="6"/>
  <c r="Y126" i="6"/>
  <c r="R126" i="6"/>
  <c r="K118" i="6"/>
  <c r="R125" i="6"/>
  <c r="Y171" i="6"/>
  <c r="K171" i="6"/>
  <c r="R171" i="6"/>
  <c r="AF12" i="6"/>
  <c r="L12" i="6"/>
  <c r="AF11" i="6"/>
  <c r="B21" i="6"/>
  <c r="B13" i="6"/>
  <c r="B12" i="6"/>
  <c r="B14" i="6"/>
  <c r="H14" i="6" s="1"/>
  <c r="B23" i="6"/>
  <c r="B18" i="6"/>
  <c r="B11" i="6"/>
  <c r="G11" i="6" s="1"/>
  <c r="M11" i="6" s="1"/>
  <c r="U11" i="6" s="1"/>
  <c r="Z11" i="6" s="1"/>
  <c r="B17" i="6"/>
  <c r="G17" i="6" s="1"/>
  <c r="B9" i="6"/>
  <c r="G9" i="6"/>
  <c r="B22" i="6"/>
  <c r="G22" i="6" s="1"/>
  <c r="B47" i="6"/>
  <c r="B56" i="6"/>
  <c r="B51" i="6"/>
  <c r="B46" i="6"/>
  <c r="H46" i="6" s="1"/>
  <c r="N46" i="6" s="1"/>
  <c r="B55" i="6"/>
  <c r="B53" i="6"/>
  <c r="G53" i="6" s="1"/>
  <c r="B58" i="6"/>
  <c r="AD58" i="6"/>
  <c r="AN58" i="6"/>
  <c r="B49" i="6"/>
  <c r="AD49" i="6" s="1"/>
  <c r="AN49" i="6"/>
  <c r="B45" i="6"/>
  <c r="H45" i="6"/>
  <c r="B54" i="6"/>
  <c r="B69" i="6"/>
  <c r="G69" i="6" s="1"/>
  <c r="AK69" i="6"/>
  <c r="W69" i="6"/>
  <c r="AK183" i="6"/>
  <c r="R181" i="6"/>
  <c r="AK146" i="6"/>
  <c r="R165" i="6"/>
  <c r="Y100" i="6"/>
  <c r="T85" i="6"/>
  <c r="T93" i="6"/>
  <c r="L172" i="6"/>
  <c r="AH172" i="6"/>
  <c r="Y183" i="6"/>
  <c r="R182" i="6"/>
  <c r="R183" i="6"/>
  <c r="Y55" i="6"/>
  <c r="R55" i="6"/>
  <c r="R54" i="6"/>
  <c r="K47" i="6"/>
  <c r="AM13" i="6"/>
  <c r="AF13" i="6"/>
  <c r="L13" i="6"/>
  <c r="AH13" i="6" s="1"/>
  <c r="W83" i="6"/>
  <c r="AK83" i="6"/>
  <c r="B110" i="6"/>
  <c r="AD110" i="6"/>
  <c r="AN110" i="6"/>
  <c r="AK110" i="6"/>
  <c r="B156" i="6"/>
  <c r="B165" i="6"/>
  <c r="B158" i="6"/>
  <c r="B167" i="6"/>
  <c r="B166" i="6"/>
  <c r="G166" i="6"/>
  <c r="B153" i="6"/>
  <c r="W30" i="6"/>
  <c r="AK30" i="6"/>
  <c r="AK49" i="6"/>
  <c r="W49" i="6"/>
  <c r="R81" i="6"/>
  <c r="W112" i="6"/>
  <c r="B112" i="6"/>
  <c r="AF99" i="6"/>
  <c r="AM180" i="6"/>
  <c r="L99" i="6"/>
  <c r="Y138" i="6"/>
  <c r="K104" i="6"/>
  <c r="R103" i="6"/>
  <c r="B184" i="6"/>
  <c r="H184" i="6"/>
  <c r="W184" i="6"/>
  <c r="L159" i="6"/>
  <c r="AF166" i="6"/>
  <c r="R155" i="6"/>
  <c r="Y156" i="6"/>
  <c r="R156" i="6"/>
  <c r="K122" i="6"/>
  <c r="Y122" i="6"/>
  <c r="Y83" i="6"/>
  <c r="R83" i="6"/>
  <c r="AK184" i="6"/>
  <c r="K175" i="6"/>
  <c r="Y67" i="6"/>
  <c r="B161" i="6"/>
  <c r="G161" i="6" s="1"/>
  <c r="M161" i="6" s="1"/>
  <c r="U161" i="6" s="1"/>
  <c r="AK21" i="6"/>
  <c r="K83" i="6"/>
  <c r="R66" i="6"/>
  <c r="AM176" i="6"/>
  <c r="L176" i="6"/>
  <c r="AF158" i="6"/>
  <c r="AF157" i="6"/>
  <c r="AM158" i="6"/>
  <c r="AM179" i="6"/>
  <c r="AF179" i="6"/>
  <c r="L177" i="6"/>
  <c r="AM185" i="6"/>
  <c r="AF184" i="6"/>
  <c r="AM105" i="6"/>
  <c r="AF104" i="6"/>
  <c r="L105" i="6"/>
  <c r="AM125" i="6"/>
  <c r="AF125" i="6"/>
  <c r="AM126" i="6"/>
  <c r="L118" i="6"/>
  <c r="AH118" i="6" s="1"/>
  <c r="AM127" i="6"/>
  <c r="L119" i="6"/>
  <c r="AH119" i="6" s="1"/>
  <c r="AM117" i="6"/>
  <c r="AF117" i="6"/>
  <c r="AF138" i="6"/>
  <c r="L139" i="6"/>
  <c r="B136" i="6"/>
  <c r="B135" i="6"/>
  <c r="H135" i="6"/>
  <c r="N135" i="6" s="1"/>
  <c r="AG135" i="6" s="1"/>
  <c r="B139" i="6"/>
  <c r="B101" i="6"/>
  <c r="W101" i="6"/>
  <c r="B155" i="6"/>
  <c r="G155" i="6" s="1"/>
  <c r="M155" i="6" s="1"/>
  <c r="U155" i="6" s="1"/>
  <c r="B163" i="6"/>
  <c r="Y184" i="6"/>
  <c r="R184" i="6"/>
  <c r="B119" i="6"/>
  <c r="B125" i="6"/>
  <c r="B123" i="6"/>
  <c r="B121" i="6"/>
  <c r="B164" i="6"/>
  <c r="B129" i="6"/>
  <c r="B147" i="6"/>
  <c r="G147" i="6" s="1"/>
  <c r="B144" i="6"/>
  <c r="H144" i="6" s="1"/>
  <c r="N144" i="6" s="1"/>
  <c r="AI144" i="6" s="1"/>
  <c r="Y92" i="6"/>
  <c r="R92" i="6"/>
  <c r="K84" i="6"/>
  <c r="R35" i="6"/>
  <c r="Y36" i="6"/>
  <c r="R36" i="6"/>
  <c r="K28" i="6"/>
  <c r="B87" i="6"/>
  <c r="AD87" i="6" s="1"/>
  <c r="B82" i="6"/>
  <c r="P82" i="6" s="1"/>
  <c r="R91" i="6"/>
  <c r="AM46" i="6"/>
  <c r="AF45" i="6"/>
  <c r="AF46" i="6"/>
  <c r="AF58" i="6"/>
  <c r="L50" i="6"/>
  <c r="AH50" i="6" s="1"/>
  <c r="AM58" i="6"/>
  <c r="AF57" i="6"/>
  <c r="Y108" i="6"/>
  <c r="K100" i="6"/>
  <c r="R17" i="6"/>
  <c r="K10" i="6"/>
  <c r="Y18" i="6"/>
  <c r="AK64" i="6"/>
  <c r="W64" i="6"/>
  <c r="B64" i="6"/>
  <c r="AD64" i="6" s="1"/>
  <c r="AN64" i="6" s="1"/>
  <c r="L29" i="6"/>
  <c r="AM37" i="6"/>
  <c r="AF37" i="6"/>
  <c r="W107" i="6"/>
  <c r="AK107" i="6"/>
  <c r="B107" i="6"/>
  <c r="L85" i="6"/>
  <c r="AH93" i="6" s="1"/>
  <c r="AF85" i="6"/>
  <c r="AM85" i="6"/>
  <c r="Y131" i="6"/>
  <c r="R130" i="6"/>
  <c r="K123" i="6"/>
  <c r="R131" i="6"/>
  <c r="K49" i="6"/>
  <c r="M57" i="6" s="1"/>
  <c r="U57" i="6" s="1"/>
  <c r="R57" i="6"/>
  <c r="Y57" i="6"/>
  <c r="B176" i="6"/>
  <c r="B185" i="6"/>
  <c r="B172" i="6"/>
  <c r="B173" i="6"/>
  <c r="P173" i="6" s="1"/>
  <c r="B182" i="6"/>
  <c r="B180" i="6"/>
  <c r="B183" i="6"/>
  <c r="B177" i="6"/>
  <c r="B179" i="6"/>
  <c r="AM59" i="6"/>
  <c r="AF59" i="6"/>
  <c r="B67" i="6"/>
  <c r="B75" i="6"/>
  <c r="W210" i="2"/>
  <c r="V210" i="2"/>
  <c r="W212" i="2"/>
  <c r="V212" i="2"/>
  <c r="W205" i="2"/>
  <c r="V205" i="2"/>
  <c r="W203" i="2"/>
  <c r="V203" i="2"/>
  <c r="W198" i="2"/>
  <c r="V198" i="2"/>
  <c r="V196" i="2"/>
  <c r="W196" i="2"/>
  <c r="V189" i="2"/>
  <c r="W189" i="2"/>
  <c r="W191" i="2"/>
  <c r="V191" i="2"/>
  <c r="W184" i="2"/>
  <c r="V184" i="2"/>
  <c r="W182" i="2"/>
  <c r="V182" i="2"/>
  <c r="W175" i="2"/>
  <c r="V175" i="2"/>
  <c r="W177" i="2"/>
  <c r="V177" i="2"/>
  <c r="W168" i="2"/>
  <c r="V168" i="2"/>
  <c r="W170" i="2"/>
  <c r="V170" i="2"/>
  <c r="W163" i="2"/>
  <c r="V163" i="2"/>
  <c r="W161" i="2"/>
  <c r="V161" i="2"/>
  <c r="W156" i="2"/>
  <c r="V156" i="2"/>
  <c r="W154" i="2"/>
  <c r="V154" i="2"/>
  <c r="W149" i="2"/>
  <c r="V149" i="2"/>
  <c r="W147" i="2"/>
  <c r="V147" i="2"/>
  <c r="W142" i="2"/>
  <c r="V142" i="2"/>
  <c r="W140" i="2"/>
  <c r="V140" i="2"/>
  <c r="W135" i="2"/>
  <c r="V135" i="2"/>
  <c r="W133" i="2"/>
  <c r="V133" i="2"/>
  <c r="AH39" i="6"/>
  <c r="W126" i="2"/>
  <c r="V126" i="2"/>
  <c r="W128" i="2"/>
  <c r="V128" i="2"/>
  <c r="W114" i="2"/>
  <c r="V114" i="2"/>
  <c r="V112" i="2"/>
  <c r="W112" i="2"/>
  <c r="V107" i="2"/>
  <c r="W107" i="2"/>
  <c r="W105" i="2"/>
  <c r="V105" i="2"/>
  <c r="V100" i="2"/>
  <c r="W100" i="2"/>
  <c r="V98" i="2"/>
  <c r="W98" i="2"/>
  <c r="T128" i="6"/>
  <c r="T119" i="6"/>
  <c r="G102" i="6"/>
  <c r="AH48" i="6"/>
  <c r="G68" i="6"/>
  <c r="T71" i="6"/>
  <c r="T154" i="6"/>
  <c r="G130" i="6"/>
  <c r="AH59" i="6"/>
  <c r="H117" i="6"/>
  <c r="P117" i="6"/>
  <c r="Z117" i="6"/>
  <c r="AD77" i="6"/>
  <c r="AN77" i="6" s="1"/>
  <c r="P77" i="6"/>
  <c r="Z77" i="6"/>
  <c r="AD117" i="6"/>
  <c r="AN117" i="6" s="1"/>
  <c r="AD122" i="6"/>
  <c r="AN122" i="6" s="1"/>
  <c r="T148" i="6"/>
  <c r="AH65" i="6"/>
  <c r="T81" i="6"/>
  <c r="G171" i="6"/>
  <c r="P110" i="6"/>
  <c r="Z110" i="6" s="1"/>
  <c r="H104" i="6"/>
  <c r="H171" i="6"/>
  <c r="AD171" i="6"/>
  <c r="AN171" i="6" s="1"/>
  <c r="AH111" i="6"/>
  <c r="P57" i="6"/>
  <c r="Z57" i="6" s="1"/>
  <c r="H73" i="6"/>
  <c r="G57" i="6"/>
  <c r="AD76" i="6"/>
  <c r="AN76" i="6" s="1"/>
  <c r="P68" i="6"/>
  <c r="Z68" i="6" s="1"/>
  <c r="H57" i="6"/>
  <c r="N57" i="6" s="1"/>
  <c r="P99" i="6"/>
  <c r="Z99" i="6" s="1"/>
  <c r="G99" i="6"/>
  <c r="AD68" i="6"/>
  <c r="AN68" i="6"/>
  <c r="P76" i="6"/>
  <c r="Z76" i="6"/>
  <c r="AH129" i="6"/>
  <c r="H76" i="6"/>
  <c r="P72" i="6"/>
  <c r="Z72" i="6" s="1"/>
  <c r="P111" i="6"/>
  <c r="Z111" i="6"/>
  <c r="T37" i="6"/>
  <c r="AH77" i="6"/>
  <c r="G15" i="6"/>
  <c r="AH53" i="6"/>
  <c r="AH130" i="6"/>
  <c r="P130" i="6"/>
  <c r="Z130" i="6"/>
  <c r="T11" i="6"/>
  <c r="AH158" i="6"/>
  <c r="AH74" i="6"/>
  <c r="AH100" i="6"/>
  <c r="P73" i="6"/>
  <c r="Z73" i="6"/>
  <c r="P147" i="6"/>
  <c r="Z147" i="6"/>
  <c r="Z141" i="6"/>
  <c r="P49" i="6"/>
  <c r="Z49" i="6"/>
  <c r="T32" i="6"/>
  <c r="T109" i="6"/>
  <c r="G73" i="6"/>
  <c r="T146" i="6"/>
  <c r="G143" i="6"/>
  <c r="M143" i="6" s="1"/>
  <c r="U143" i="6" s="1"/>
  <c r="G63" i="6"/>
  <c r="M63" i="6"/>
  <c r="U63" i="6" s="1"/>
  <c r="T35" i="6"/>
  <c r="AH174" i="6"/>
  <c r="T46" i="6"/>
  <c r="H140" i="6"/>
  <c r="N140" i="6" s="1"/>
  <c r="AI140" i="6"/>
  <c r="G104" i="6"/>
  <c r="M104" i="6" s="1"/>
  <c r="U104" i="6" s="1"/>
  <c r="G140" i="6"/>
  <c r="M140" i="6"/>
  <c r="U140" i="6"/>
  <c r="T182" i="6"/>
  <c r="T39" i="6"/>
  <c r="T172" i="6"/>
  <c r="AD104" i="6"/>
  <c r="AN104" i="6" s="1"/>
  <c r="P146" i="6"/>
  <c r="Z146" i="6" s="1"/>
  <c r="AD63" i="6"/>
  <c r="AN63" i="6" s="1"/>
  <c r="G14" i="6"/>
  <c r="G72" i="6"/>
  <c r="AH23" i="6"/>
  <c r="G77" i="6"/>
  <c r="G66" i="6"/>
  <c r="M66" i="6" s="1"/>
  <c r="U66" i="6" s="1"/>
  <c r="G146" i="6"/>
  <c r="M146" i="6" s="1"/>
  <c r="U146" i="6"/>
  <c r="H166" i="6"/>
  <c r="AH18" i="6"/>
  <c r="AH163" i="6"/>
  <c r="H103" i="6"/>
  <c r="N103" i="6" s="1"/>
  <c r="T111" i="6"/>
  <c r="AH81" i="6"/>
  <c r="M103" i="6"/>
  <c r="U103" i="6" s="1"/>
  <c r="H9" i="6"/>
  <c r="P184" i="6"/>
  <c r="Z184" i="6" s="1"/>
  <c r="P166" i="6"/>
  <c r="Z166" i="6" s="1"/>
  <c r="AH149" i="6"/>
  <c r="AH94" i="6"/>
  <c r="AD102" i="6"/>
  <c r="AN102" i="6" s="1"/>
  <c r="T156" i="6"/>
  <c r="H159" i="6"/>
  <c r="N159" i="6" s="1"/>
  <c r="P159" i="6"/>
  <c r="Z159" i="6" s="1"/>
  <c r="P71" i="6"/>
  <c r="Z71" i="6" s="1"/>
  <c r="AH109" i="6"/>
  <c r="T53" i="6"/>
  <c r="T45" i="6"/>
  <c r="AN140" i="6"/>
  <c r="AD135" i="6"/>
  <c r="AN135" i="6"/>
  <c r="AH131" i="6"/>
  <c r="P63" i="6"/>
  <c r="Z63" i="6" s="1"/>
  <c r="AD166" i="6"/>
  <c r="AN166" i="6"/>
  <c r="P149" i="6"/>
  <c r="Z149" i="6" s="1"/>
  <c r="T176" i="6"/>
  <c r="AD103" i="6"/>
  <c r="AN103" i="6"/>
  <c r="AH179" i="6"/>
  <c r="G159" i="6"/>
  <c r="G149" i="6"/>
  <c r="AD71" i="6"/>
  <c r="AN71" i="6" s="1"/>
  <c r="G49" i="6"/>
  <c r="G135" i="6"/>
  <c r="M135" i="6" s="1"/>
  <c r="U135" i="6" s="1"/>
  <c r="H49" i="6"/>
  <c r="N49" i="6"/>
  <c r="H149" i="6"/>
  <c r="N149" i="6"/>
  <c r="AG149" i="6"/>
  <c r="P103" i="6"/>
  <c r="Z103" i="6" s="1"/>
  <c r="T58" i="6"/>
  <c r="G71" i="6"/>
  <c r="M71" i="6" s="1"/>
  <c r="U71" i="6" s="1"/>
  <c r="P135" i="6"/>
  <c r="Z135" i="6" s="1"/>
  <c r="AH64" i="6"/>
  <c r="AH72" i="6"/>
  <c r="AH83" i="6"/>
  <c r="AH91" i="6"/>
  <c r="H74" i="6"/>
  <c r="N74" i="6" s="1"/>
  <c r="AI74" i="6" s="1"/>
  <c r="AD74" i="6"/>
  <c r="AN74" i="6"/>
  <c r="G74" i="6"/>
  <c r="M74" i="6"/>
  <c r="U74" i="6" s="1"/>
  <c r="P74" i="6"/>
  <c r="Z74" i="6" s="1"/>
  <c r="T155" i="6"/>
  <c r="AH145" i="6"/>
  <c r="AH137" i="6"/>
  <c r="AD184" i="6"/>
  <c r="AN184" i="6" s="1"/>
  <c r="AH148" i="6"/>
  <c r="T95" i="6"/>
  <c r="T87" i="6"/>
  <c r="AH144" i="6"/>
  <c r="AH136" i="6"/>
  <c r="T33" i="6"/>
  <c r="T41" i="6"/>
  <c r="G110" i="6"/>
  <c r="M110" i="6"/>
  <c r="U110" i="6" s="1"/>
  <c r="G184" i="6"/>
  <c r="M184" i="6" s="1"/>
  <c r="U184" i="6" s="1"/>
  <c r="T13" i="6"/>
  <c r="T21" i="6"/>
  <c r="AD66" i="6"/>
  <c r="AN66" i="6"/>
  <c r="P66" i="6"/>
  <c r="Z66" i="6" s="1"/>
  <c r="AH157" i="6"/>
  <c r="AH165" i="6"/>
  <c r="G148" i="6"/>
  <c r="M148" i="6"/>
  <c r="U148" i="6"/>
  <c r="AD148" i="6"/>
  <c r="AN148" i="6"/>
  <c r="AH32" i="6"/>
  <c r="G20" i="6"/>
  <c r="H20" i="6"/>
  <c r="H108" i="6"/>
  <c r="N108" i="6"/>
  <c r="AI108" i="6" s="1"/>
  <c r="G108" i="6"/>
  <c r="M108" i="6" s="1"/>
  <c r="U108" i="6" s="1"/>
  <c r="P108" i="6"/>
  <c r="Z108" i="6"/>
  <c r="AD108" i="6"/>
  <c r="AN108" i="6" s="1"/>
  <c r="AH21" i="6"/>
  <c r="H58" i="6"/>
  <c r="AH180" i="6"/>
  <c r="G58" i="6"/>
  <c r="H148" i="6"/>
  <c r="N148" i="6"/>
  <c r="AG148" i="6" s="1"/>
  <c r="T17" i="6"/>
  <c r="T9" i="6"/>
  <c r="H111" i="6"/>
  <c r="N111" i="6" s="1"/>
  <c r="G111" i="6"/>
  <c r="M111" i="6"/>
  <c r="U111" i="6"/>
  <c r="AH110" i="6"/>
  <c r="AH102" i="6"/>
  <c r="H105" i="6"/>
  <c r="AD105" i="6"/>
  <c r="AN105" i="6" s="1"/>
  <c r="T86" i="6"/>
  <c r="T94" i="6"/>
  <c r="AH57" i="6"/>
  <c r="AH49" i="6"/>
  <c r="P138" i="6"/>
  <c r="Z138" i="6" s="1"/>
  <c r="H138" i="6"/>
  <c r="AD138" i="6"/>
  <c r="AN138" i="6" s="1"/>
  <c r="G138" i="6"/>
  <c r="M138" i="6"/>
  <c r="U138" i="6" s="1"/>
  <c r="AH35" i="6"/>
  <c r="AH27" i="6"/>
  <c r="AH87" i="6"/>
  <c r="AH95" i="6"/>
  <c r="AH146" i="6"/>
  <c r="AH138" i="6"/>
  <c r="AH68" i="6"/>
  <c r="AH76" i="6"/>
  <c r="AH30" i="6"/>
  <c r="AH38" i="6"/>
  <c r="G105" i="6"/>
  <c r="P58" i="6"/>
  <c r="Z58" i="6"/>
  <c r="H141" i="6"/>
  <c r="N141" i="6" s="1"/>
  <c r="AD141" i="6"/>
  <c r="AN141" i="6"/>
  <c r="AH47" i="6"/>
  <c r="AH55" i="6"/>
  <c r="H109" i="6"/>
  <c r="N109" i="6" s="1"/>
  <c r="G113" i="6"/>
  <c r="H113" i="6"/>
  <c r="N113" i="6" s="1"/>
  <c r="AI113" i="6" s="1"/>
  <c r="AD113" i="6"/>
  <c r="AN113" i="6"/>
  <c r="P113" i="6"/>
  <c r="Z113" i="6" s="1"/>
  <c r="T75" i="6"/>
  <c r="T67" i="6"/>
  <c r="H54" i="6"/>
  <c r="N54" i="6" s="1"/>
  <c r="AG54" i="6" s="1"/>
  <c r="G54" i="6"/>
  <c r="AD54" i="6"/>
  <c r="AN54" i="6"/>
  <c r="P54" i="6"/>
  <c r="Z54" i="6" s="1"/>
  <c r="AD53" i="6"/>
  <c r="AN53" i="6" s="1"/>
  <c r="H53" i="6"/>
  <c r="P53" i="6"/>
  <c r="Z53" i="6" s="1"/>
  <c r="H51" i="6"/>
  <c r="N51" i="6" s="1"/>
  <c r="P51" i="6"/>
  <c r="Z51" i="6" s="1"/>
  <c r="G51" i="6"/>
  <c r="AD51" i="6"/>
  <c r="AN51" i="6"/>
  <c r="G23" i="6"/>
  <c r="H23" i="6"/>
  <c r="G13" i="6"/>
  <c r="M13" i="6"/>
  <c r="U13" i="6" s="1"/>
  <c r="H13" i="6"/>
  <c r="T90" i="6"/>
  <c r="T82" i="6"/>
  <c r="T157" i="6"/>
  <c r="T165" i="6"/>
  <c r="AD161" i="6"/>
  <c r="AN161" i="6" s="1"/>
  <c r="AD147" i="6"/>
  <c r="AN147" i="6" s="1"/>
  <c r="H147" i="6"/>
  <c r="N147" i="6" s="1"/>
  <c r="AI147" i="6" s="1"/>
  <c r="P119" i="6"/>
  <c r="Z119" i="6" s="1"/>
  <c r="G119" i="6"/>
  <c r="M119" i="6"/>
  <c r="U119" i="6" s="1"/>
  <c r="AD155" i="6"/>
  <c r="AN155" i="6" s="1"/>
  <c r="P155" i="6"/>
  <c r="Z155" i="6" s="1"/>
  <c r="H155" i="6"/>
  <c r="N155" i="6" s="1"/>
  <c r="AG155" i="6" s="1"/>
  <c r="AH126" i="6"/>
  <c r="AH113" i="6"/>
  <c r="AH105" i="6"/>
  <c r="AH184" i="6"/>
  <c r="AH176" i="6"/>
  <c r="T91" i="6"/>
  <c r="T83" i="6"/>
  <c r="T175" i="6"/>
  <c r="T183" i="6"/>
  <c r="AH99" i="6"/>
  <c r="AH107" i="6"/>
  <c r="P112" i="6"/>
  <c r="Z112" i="6"/>
  <c r="G112" i="6"/>
  <c r="AD112" i="6"/>
  <c r="AN112" i="6" s="1"/>
  <c r="H112" i="6"/>
  <c r="H165" i="6"/>
  <c r="G165" i="6"/>
  <c r="AD165" i="6"/>
  <c r="AN165" i="6"/>
  <c r="P165" i="6"/>
  <c r="Z165" i="6" s="1"/>
  <c r="G55" i="6"/>
  <c r="M55" i="6" s="1"/>
  <c r="U55" i="6" s="1"/>
  <c r="P55" i="6"/>
  <c r="Z55" i="6" s="1"/>
  <c r="AD55" i="6"/>
  <c r="AN55" i="6" s="1"/>
  <c r="H55" i="6"/>
  <c r="H47" i="6"/>
  <c r="N47" i="6"/>
  <c r="T171" i="6"/>
  <c r="T179" i="6"/>
  <c r="T177" i="6"/>
  <c r="T185" i="6"/>
  <c r="AH128" i="6"/>
  <c r="G129" i="6"/>
  <c r="AD129" i="6"/>
  <c r="AN129" i="6" s="1"/>
  <c r="P129" i="6"/>
  <c r="Z129" i="6" s="1"/>
  <c r="H129" i="6"/>
  <c r="N129" i="6" s="1"/>
  <c r="AI129" i="6" s="1"/>
  <c r="H123" i="6"/>
  <c r="N123" i="6" s="1"/>
  <c r="AG123" i="6" s="1"/>
  <c r="P123" i="6"/>
  <c r="Z123" i="6" s="1"/>
  <c r="AD123" i="6"/>
  <c r="AN123" i="6"/>
  <c r="G123" i="6"/>
  <c r="G139" i="6"/>
  <c r="M139" i="6" s="1"/>
  <c r="U139" i="6" s="1"/>
  <c r="AD139" i="6"/>
  <c r="AN139" i="6" s="1"/>
  <c r="P139" i="6"/>
  <c r="Z139" i="6" s="1"/>
  <c r="H139" i="6"/>
  <c r="N139" i="6"/>
  <c r="AI139" i="6" s="1"/>
  <c r="AH127" i="6"/>
  <c r="T122" i="6"/>
  <c r="T130" i="6"/>
  <c r="AD167" i="6"/>
  <c r="AN167" i="6" s="1"/>
  <c r="H167" i="6"/>
  <c r="N167" i="6"/>
  <c r="AI167" i="6" s="1"/>
  <c r="P167" i="6"/>
  <c r="Z167" i="6" s="1"/>
  <c r="G167" i="6"/>
  <c r="T55" i="6"/>
  <c r="T47" i="6"/>
  <c r="AD144" i="6"/>
  <c r="AN144" i="6" s="1"/>
  <c r="AD164" i="6"/>
  <c r="AN164" i="6" s="1"/>
  <c r="G164" i="6"/>
  <c r="M164" i="6"/>
  <c r="U164" i="6" s="1"/>
  <c r="P164" i="6"/>
  <c r="Z164" i="6"/>
  <c r="H164" i="6"/>
  <c r="N164" i="6" s="1"/>
  <c r="AG164" i="6" s="1"/>
  <c r="AD125" i="6"/>
  <c r="AN125" i="6"/>
  <c r="G125" i="6"/>
  <c r="H125" i="6"/>
  <c r="P125" i="6"/>
  <c r="Z125" i="6" s="1"/>
  <c r="H163" i="6"/>
  <c r="N163" i="6"/>
  <c r="P163" i="6"/>
  <c r="Z163" i="6" s="1"/>
  <c r="G163" i="6"/>
  <c r="M163" i="6" s="1"/>
  <c r="U163" i="6" s="1"/>
  <c r="AD163" i="6"/>
  <c r="AN163" i="6"/>
  <c r="T74" i="6"/>
  <c r="T66" i="6"/>
  <c r="AH159" i="6"/>
  <c r="AH167" i="6"/>
  <c r="AD153" i="6"/>
  <c r="AN153" i="6" s="1"/>
  <c r="P153" i="6"/>
  <c r="Z153" i="6"/>
  <c r="H153" i="6"/>
  <c r="G153" i="6"/>
  <c r="AD158" i="6"/>
  <c r="AN158" i="6" s="1"/>
  <c r="G45" i="6"/>
  <c r="AD45" i="6"/>
  <c r="AN45" i="6" s="1"/>
  <c r="AD56" i="6"/>
  <c r="AN56" i="6" s="1"/>
  <c r="G56" i="6"/>
  <c r="H56" i="6"/>
  <c r="N56" i="6" s="1"/>
  <c r="AI56" i="6" s="1"/>
  <c r="P56" i="6"/>
  <c r="Z56" i="6"/>
  <c r="H17" i="6"/>
  <c r="G158" i="6"/>
  <c r="M158" i="6" s="1"/>
  <c r="U158" i="6" s="1"/>
  <c r="P45" i="6"/>
  <c r="Z45" i="6"/>
  <c r="H110" i="6"/>
  <c r="N110" i="6" s="1"/>
  <c r="H137" i="6"/>
  <c r="N137" i="6" s="1"/>
  <c r="AG137" i="6" s="1"/>
  <c r="AD121" i="6"/>
  <c r="AN121" i="6"/>
  <c r="G101" i="6"/>
  <c r="M101" i="6" s="1"/>
  <c r="U101" i="6" s="1"/>
  <c r="AD101" i="6"/>
  <c r="AN101" i="6"/>
  <c r="H101" i="6"/>
  <c r="N101" i="6" s="1"/>
  <c r="AI101" i="6" s="1"/>
  <c r="P101" i="6"/>
  <c r="Z101" i="6"/>
  <c r="H136" i="6"/>
  <c r="N136" i="6" s="1"/>
  <c r="AG136" i="6" s="1"/>
  <c r="AD136" i="6"/>
  <c r="AN136" i="6" s="1"/>
  <c r="N184" i="6"/>
  <c r="AI184" i="6" s="1"/>
  <c r="T112" i="6"/>
  <c r="T104" i="6"/>
  <c r="G156" i="6"/>
  <c r="M156" i="6"/>
  <c r="U156" i="6" s="1"/>
  <c r="P156" i="6"/>
  <c r="Z156" i="6" s="1"/>
  <c r="H156" i="6"/>
  <c r="N156" i="6" s="1"/>
  <c r="AG156" i="6" s="1"/>
  <c r="AD156" i="6"/>
  <c r="AN156" i="6" s="1"/>
  <c r="AD69" i="6"/>
  <c r="AN69" i="6"/>
  <c r="H22" i="6"/>
  <c r="G18" i="6"/>
  <c r="M18" i="6"/>
  <c r="U18" i="6" s="1"/>
  <c r="H18" i="6"/>
  <c r="N18" i="6" s="1"/>
  <c r="AI18" i="6" s="1"/>
  <c r="G12" i="6"/>
  <c r="H12" i="6"/>
  <c r="N12" i="6"/>
  <c r="AH12" i="6"/>
  <c r="AH20" i="6"/>
  <c r="T135" i="6"/>
  <c r="T143" i="6"/>
  <c r="T38" i="6"/>
  <c r="T30" i="6"/>
  <c r="P174" i="6"/>
  <c r="Z174" i="6" s="1"/>
  <c r="G174" i="6"/>
  <c r="M174" i="6"/>
  <c r="U174" i="6" s="1"/>
  <c r="AH58" i="6"/>
  <c r="H183" i="6"/>
  <c r="N183" i="6" s="1"/>
  <c r="AG183" i="6" s="1"/>
  <c r="AD183" i="6"/>
  <c r="AN183" i="6"/>
  <c r="P183" i="6"/>
  <c r="Z183" i="6" s="1"/>
  <c r="G183" i="6"/>
  <c r="M183" i="6"/>
  <c r="U183" i="6" s="1"/>
  <c r="P176" i="6"/>
  <c r="Z176" i="6" s="1"/>
  <c r="H176" i="6"/>
  <c r="N176" i="6"/>
  <c r="AG176" i="6" s="1"/>
  <c r="G176" i="6"/>
  <c r="M176" i="6" s="1"/>
  <c r="U176" i="6"/>
  <c r="AD176" i="6"/>
  <c r="AN176" i="6" s="1"/>
  <c r="AH85" i="6"/>
  <c r="AN87" i="6"/>
  <c r="P87" i="6"/>
  <c r="Z87" i="6" s="1"/>
  <c r="G87" i="6"/>
  <c r="M87" i="6" s="1"/>
  <c r="U87" i="6" s="1"/>
  <c r="AD179" i="6"/>
  <c r="AN179" i="6" s="1"/>
  <c r="G179" i="6"/>
  <c r="M179" i="6" s="1"/>
  <c r="U179" i="6" s="1"/>
  <c r="H179" i="6"/>
  <c r="N179" i="6" s="1"/>
  <c r="P179" i="6"/>
  <c r="Z179" i="6"/>
  <c r="H107" i="6"/>
  <c r="N107" i="6" s="1"/>
  <c r="G107" i="6"/>
  <c r="AD107" i="6"/>
  <c r="AN107" i="6"/>
  <c r="P107" i="6"/>
  <c r="Z107" i="6" s="1"/>
  <c r="T100" i="6"/>
  <c r="T108" i="6"/>
  <c r="T92" i="6"/>
  <c r="T84" i="6"/>
  <c r="G173" i="6"/>
  <c r="Z173" i="6"/>
  <c r="AD173" i="6"/>
  <c r="AN173" i="6" s="1"/>
  <c r="G185" i="6"/>
  <c r="M185" i="6" s="1"/>
  <c r="U185" i="6" s="1"/>
  <c r="H185" i="6"/>
  <c r="N185" i="6"/>
  <c r="AI185" i="6" s="1"/>
  <c r="P185" i="6"/>
  <c r="Z185" i="6" s="1"/>
  <c r="AD185" i="6"/>
  <c r="AN185" i="6" s="1"/>
  <c r="T131" i="6"/>
  <c r="T123" i="6"/>
  <c r="T18" i="6"/>
  <c r="T10" i="6"/>
  <c r="G75" i="6"/>
  <c r="M75" i="6"/>
  <c r="U75" i="6" s="1"/>
  <c r="H75" i="6"/>
  <c r="N75" i="6" s="1"/>
  <c r="AI75" i="6" s="1"/>
  <c r="AD75" i="6"/>
  <c r="AN75" i="6"/>
  <c r="P75" i="6"/>
  <c r="Z75" i="6" s="1"/>
  <c r="AH29" i="6"/>
  <c r="AH37" i="6"/>
  <c r="P64" i="6"/>
  <c r="Z64" i="6" s="1"/>
  <c r="T28" i="6"/>
  <c r="T36" i="6"/>
  <c r="H67" i="6"/>
  <c r="N67" i="6"/>
  <c r="AG67" i="6" s="1"/>
  <c r="AD67" i="6"/>
  <c r="AN67" i="6" s="1"/>
  <c r="P67" i="6"/>
  <c r="Z67" i="6"/>
  <c r="G67" i="6"/>
  <c r="M67" i="6" s="1"/>
  <c r="U67" i="6" s="1"/>
  <c r="G180" i="6"/>
  <c r="M180" i="6" s="1"/>
  <c r="U180" i="6" s="1"/>
  <c r="P180" i="6"/>
  <c r="Z180" i="6"/>
  <c r="H180" i="6"/>
  <c r="N180" i="6" s="1"/>
  <c r="AG180" i="6" s="1"/>
  <c r="AD180" i="6"/>
  <c r="AN180" i="6"/>
  <c r="AD177" i="6"/>
  <c r="AN177" i="6" s="1"/>
  <c r="H177" i="6"/>
  <c r="N177" i="6"/>
  <c r="AG177" i="6" s="1"/>
  <c r="G177" i="6"/>
  <c r="M177" i="6" s="1"/>
  <c r="U177" i="6" s="1"/>
  <c r="P177" i="6"/>
  <c r="Z177" i="6"/>
  <c r="H182" i="6"/>
  <c r="N182" i="6" s="1"/>
  <c r="AI182" i="6" s="1"/>
  <c r="G182" i="6"/>
  <c r="M182" i="6" s="1"/>
  <c r="U182" i="6" s="1"/>
  <c r="AD182" i="6"/>
  <c r="AN182" i="6"/>
  <c r="P182" i="6"/>
  <c r="Z182" i="6" s="1"/>
  <c r="AD172" i="6"/>
  <c r="AN172" i="6"/>
  <c r="H172" i="6"/>
  <c r="N172" i="6" s="1"/>
  <c r="AG172" i="6" s="1"/>
  <c r="P172" i="6"/>
  <c r="Z172" i="6"/>
  <c r="G172" i="6"/>
  <c r="M172" i="6" s="1"/>
  <c r="U172" i="6" s="1"/>
  <c r="T57" i="6"/>
  <c r="T49" i="6"/>
  <c r="AH54" i="6"/>
  <c r="AH46" i="6"/>
  <c r="H82" i="6"/>
  <c r="G82" i="6"/>
  <c r="M82" i="6" s="1"/>
  <c r="U82" i="6"/>
  <c r="AD82" i="6"/>
  <c r="AN82" i="6" s="1"/>
  <c r="Z82" i="6"/>
  <c r="AI45" i="6"/>
  <c r="AG66" i="6"/>
  <c r="AG74" i="6"/>
  <c r="AI77" i="6"/>
  <c r="AI15" i="6"/>
  <c r="AG73" i="6"/>
  <c r="AG56" i="6"/>
  <c r="AI149" i="6"/>
  <c r="AG108" i="6"/>
  <c r="AG140" i="6"/>
  <c r="Z9" i="6"/>
  <c r="AG141" i="6"/>
  <c r="AI141" i="6"/>
  <c r="AG109" i="6"/>
  <c r="AI109" i="6"/>
  <c r="AI76" i="6"/>
  <c r="AG76" i="6"/>
  <c r="AG163" i="6"/>
  <c r="AI163" i="6"/>
  <c r="AG20" i="6"/>
  <c r="AN20" i="6" s="1"/>
  <c r="AI20" i="6"/>
  <c r="AI156" i="6"/>
  <c r="AI155" i="6"/>
  <c r="AG101" i="6"/>
  <c r="AG129" i="6"/>
  <c r="AI137" i="6"/>
  <c r="AI55" i="6"/>
  <c r="AG55" i="6"/>
  <c r="AG147" i="6"/>
  <c r="AI51" i="6"/>
  <c r="AG51" i="6"/>
  <c r="AI164" i="6"/>
  <c r="AG18" i="6"/>
  <c r="AN18" i="6" s="1"/>
  <c r="AG159" i="6"/>
  <c r="AI159" i="6"/>
  <c r="AI123" i="6"/>
  <c r="AI67" i="6"/>
  <c r="AI183" i="6"/>
  <c r="AI172" i="6"/>
  <c r="AI177" i="6"/>
  <c r="AG182" i="6"/>
  <c r="AG185" i="6"/>
  <c r="AA183" i="6"/>
  <c r="AA75" i="6"/>
  <c r="AO140" i="6"/>
  <c r="AO179" i="6"/>
  <c r="AB75" i="6"/>
  <c r="AA18" i="6"/>
  <c r="AO180" i="6"/>
  <c r="AA57" i="6"/>
  <c r="AA63" i="6"/>
  <c r="AO103" i="6"/>
  <c r="AO105" i="6"/>
  <c r="AA147" i="6"/>
  <c r="AA159" i="6"/>
  <c r="AO167" i="6"/>
  <c r="AO113" i="6"/>
  <c r="AA45" i="6"/>
  <c r="AA55" i="6"/>
  <c r="AA110" i="6"/>
  <c r="AA68" i="6"/>
  <c r="AO156" i="6"/>
  <c r="AO49" i="6"/>
  <c r="AP140" i="6"/>
  <c r="AO18" i="6"/>
  <c r="AA185" i="6"/>
  <c r="AA104" i="6"/>
  <c r="AO158" i="6"/>
  <c r="AA163" i="6"/>
  <c r="AA140" i="6"/>
  <c r="AB68" i="6"/>
  <c r="AO45" i="6"/>
  <c r="AA112" i="6"/>
  <c r="AP105" i="6"/>
  <c r="AA176" i="6"/>
  <c r="AO138" i="6"/>
  <c r="AO163" i="6"/>
  <c r="AA107" i="6"/>
  <c r="AO185" i="6"/>
  <c r="AA11" i="6"/>
  <c r="AA58" i="6"/>
  <c r="AO101" i="6"/>
  <c r="AA56" i="6"/>
  <c r="AO130" i="6"/>
  <c r="AA101" i="6"/>
  <c r="AO149" i="6"/>
  <c r="AP167" i="6"/>
  <c r="AO135" i="6"/>
  <c r="AO129" i="6"/>
  <c r="AO73" i="6"/>
  <c r="AA155" i="6"/>
  <c r="AP179" i="6"/>
  <c r="AA49" i="6"/>
  <c r="AO121" i="6"/>
  <c r="AO108" i="6"/>
  <c r="AP108" i="6" s="1"/>
  <c r="AA87" i="6"/>
  <c r="AO173" i="6"/>
  <c r="AP173" i="6" s="1"/>
  <c r="AO68" i="6"/>
  <c r="AP68" i="6"/>
  <c r="AA103" i="6"/>
  <c r="AB103" i="6" s="1"/>
  <c r="AO110" i="6"/>
  <c r="AA129" i="6"/>
  <c r="AA171" i="6"/>
  <c r="AB171" i="6" s="1"/>
  <c r="AB129" i="6"/>
  <c r="AO176" i="6"/>
  <c r="AA174" i="6"/>
  <c r="AA182" i="6"/>
  <c r="AO15" i="6"/>
  <c r="AA54" i="6"/>
  <c r="AB54" i="6" s="1"/>
  <c r="AA172" i="6"/>
  <c r="AA66" i="6"/>
  <c r="AB66" i="6" s="1"/>
  <c r="AA105" i="6"/>
  <c r="AO71" i="6"/>
  <c r="AP71" i="6" s="1"/>
  <c r="AO117" i="6"/>
  <c r="AA111" i="6"/>
  <c r="AO67" i="6"/>
  <c r="AP67" i="6" s="1"/>
  <c r="AA139" i="6"/>
  <c r="AO63" i="6"/>
  <c r="AA130" i="6"/>
  <c r="AA138" i="6"/>
  <c r="AP158" i="6"/>
  <c r="AO102" i="6"/>
  <c r="AB55" i="6"/>
  <c r="AB147" i="6"/>
  <c r="AO161" i="6"/>
  <c r="AA53" i="6"/>
  <c r="AO123" i="6"/>
  <c r="AP180" i="6"/>
  <c r="AA177" i="6"/>
  <c r="AB177" i="6" s="1"/>
  <c r="AA73" i="6"/>
  <c r="AB49" i="6"/>
  <c r="AO51" i="6"/>
  <c r="AA76" i="6"/>
  <c r="AA125" i="6"/>
  <c r="AB112" i="6"/>
  <c r="AB130" i="6"/>
  <c r="AO74" i="6"/>
  <c r="AO104" i="6"/>
  <c r="AO141" i="6"/>
  <c r="AA64" i="6"/>
  <c r="AA99" i="6"/>
  <c r="AB99" i="6" s="1"/>
  <c r="AO144" i="6"/>
  <c r="AP144" i="6" s="1"/>
  <c r="AO111" i="6"/>
  <c r="AP111" i="6" s="1"/>
  <c r="AO69" i="6"/>
  <c r="AA51" i="6"/>
  <c r="AO77" i="6"/>
  <c r="AP77" i="6" s="1"/>
  <c r="AO56" i="6"/>
  <c r="AB64" i="6"/>
  <c r="AO87" i="6"/>
  <c r="AO57" i="6"/>
  <c r="AP57" i="6" s="1"/>
  <c r="AO107" i="6"/>
  <c r="AO146" i="6"/>
  <c r="AP129" i="6"/>
  <c r="AO20" i="6"/>
  <c r="AP146" i="6"/>
  <c r="AP156" i="6"/>
  <c r="AP141" i="6"/>
  <c r="AO159" i="6"/>
  <c r="AO183" i="6"/>
  <c r="AA184" i="6"/>
  <c r="AO136" i="6"/>
  <c r="AO139" i="6"/>
  <c r="AP73" i="6"/>
  <c r="AA153" i="6"/>
  <c r="AA71" i="6"/>
  <c r="AB71" i="6" s="1"/>
  <c r="AO53" i="6"/>
  <c r="AA74" i="6"/>
  <c r="AO112" i="6"/>
  <c r="AB155" i="6"/>
  <c r="AB53" i="6"/>
  <c r="AA113" i="6"/>
  <c r="AA123" i="6"/>
  <c r="AA77" i="6"/>
  <c r="AB138" i="6"/>
  <c r="AB111" i="6"/>
  <c r="AP121" i="6"/>
  <c r="AA72" i="6"/>
  <c r="AB139" i="6"/>
  <c r="AP113" i="6"/>
  <c r="AO75" i="6"/>
  <c r="AB153" i="6"/>
  <c r="AO153" i="6"/>
  <c r="AP20" i="6"/>
  <c r="AB123" i="6"/>
  <c r="AO66" i="6"/>
  <c r="AP66" i="6" s="1"/>
  <c r="AO164" i="6"/>
  <c r="AO184" i="6"/>
  <c r="AO148" i="6"/>
  <c r="AO82" i="6"/>
  <c r="AA146" i="6"/>
  <c r="AA135" i="6"/>
  <c r="AB135" i="6" s="1"/>
  <c r="AA119" i="6"/>
  <c r="AB119" i="6" s="1"/>
  <c r="AA108" i="6"/>
  <c r="AB108" i="6" s="1"/>
  <c r="AP135" i="6"/>
  <c r="AP69" i="6"/>
  <c r="AP15" i="6"/>
  <c r="AO122" i="6"/>
  <c r="AA141" i="6"/>
  <c r="AB141" i="6" s="1"/>
  <c r="AB146" i="6"/>
  <c r="AB184" i="6"/>
  <c r="AA82" i="6"/>
  <c r="AP103" i="6"/>
  <c r="AO182" i="6"/>
  <c r="AA164" i="6"/>
  <c r="AB164" i="6" s="1"/>
  <c r="AP49" i="6"/>
  <c r="AO72" i="6"/>
  <c r="AA165" i="6"/>
  <c r="AO55" i="6"/>
  <c r="AO155" i="6"/>
  <c r="AO177" i="6"/>
  <c r="AP177" i="6" s="1"/>
  <c r="AO147" i="6"/>
  <c r="AP147" i="6" s="1"/>
  <c r="AO171" i="6"/>
  <c r="AP18" i="6"/>
  <c r="AB57" i="6"/>
  <c r="AO58" i="6"/>
  <c r="AP58" i="6" s="1"/>
  <c r="AB182" i="6"/>
  <c r="AO125" i="6"/>
  <c r="AP53" i="6"/>
  <c r="AO165" i="6"/>
  <c r="AO76" i="6"/>
  <c r="AP82" i="6"/>
  <c r="AA156" i="6"/>
  <c r="AO172" i="6"/>
  <c r="AA67" i="6"/>
  <c r="AB67" i="6" s="1"/>
  <c r="AP176" i="6"/>
  <c r="AA179" i="6"/>
  <c r="AP161" i="6"/>
  <c r="AA117" i="6"/>
  <c r="AB117" i="6" s="1"/>
  <c r="AB159" i="6"/>
  <c r="AA149" i="6"/>
  <c r="AO166" i="6"/>
  <c r="AP166" i="6" s="1"/>
  <c r="AP110" i="6"/>
  <c r="AA167" i="6"/>
  <c r="AB63" i="6"/>
  <c r="AB174" i="6"/>
  <c r="AB183" i="6"/>
  <c r="AA9" i="6"/>
  <c r="AP164" i="6"/>
  <c r="AO54" i="6"/>
  <c r="AA148" i="6"/>
  <c r="AB18" i="6"/>
  <c r="AB51" i="6"/>
  <c r="AP159" i="6"/>
  <c r="AP163" i="6"/>
  <c r="AA166" i="6"/>
  <c r="AA180" i="6"/>
  <c r="AB87" i="6"/>
  <c r="AO64" i="6"/>
  <c r="AP184" i="6"/>
  <c r="AA173" i="6"/>
  <c r="AB173" i="6" s="1"/>
  <c r="AP112" i="6"/>
  <c r="AB179" i="6"/>
  <c r="AG46" i="6" l="1"/>
  <c r="AI46" i="6"/>
  <c r="AI107" i="6"/>
  <c r="AG107" i="6"/>
  <c r="AG179" i="6"/>
  <c r="AI179" i="6"/>
  <c r="AI110" i="6"/>
  <c r="AG110" i="6"/>
  <c r="T159" i="6"/>
  <c r="M159" i="6"/>
  <c r="U159" i="6" s="1"/>
  <c r="T167" i="6"/>
  <c r="P31" i="6"/>
  <c r="Z31" i="6" s="1"/>
  <c r="G31" i="6"/>
  <c r="M31" i="6" s="1"/>
  <c r="U31" i="6" s="1"/>
  <c r="AD31" i="6"/>
  <c r="AN31" i="6" s="1"/>
  <c r="H31" i="6"/>
  <c r="N31" i="6" s="1"/>
  <c r="P83" i="6"/>
  <c r="Z83" i="6" s="1"/>
  <c r="G83" i="6"/>
  <c r="M83" i="6" s="1"/>
  <c r="U83" i="6" s="1"/>
  <c r="AD83" i="6"/>
  <c r="AN83" i="6" s="1"/>
  <c r="H83" i="6"/>
  <c r="N83" i="6" s="1"/>
  <c r="AI12" i="6"/>
  <c r="AG12" i="6"/>
  <c r="AN12" i="6" s="1"/>
  <c r="AG111" i="6"/>
  <c r="AI111" i="6"/>
  <c r="AI49" i="6"/>
  <c r="AG49" i="6"/>
  <c r="AG103" i="6"/>
  <c r="AI103" i="6"/>
  <c r="AI54" i="6"/>
  <c r="AG144" i="6"/>
  <c r="AG139" i="6"/>
  <c r="AI136" i="6"/>
  <c r="AG113" i="6"/>
  <c r="AI57" i="6"/>
  <c r="AG57" i="6"/>
  <c r="AI176" i="6"/>
  <c r="AI180" i="6"/>
  <c r="AG75" i="6"/>
  <c r="Z18" i="6"/>
  <c r="AG47" i="6"/>
  <c r="AI47" i="6"/>
  <c r="N112" i="6"/>
  <c r="AG130" i="6"/>
  <c r="AI130" i="6"/>
  <c r="H174" i="6"/>
  <c r="N174" i="6" s="1"/>
  <c r="AD174" i="6"/>
  <c r="AN174" i="6" s="1"/>
  <c r="AD137" i="6"/>
  <c r="P137" i="6"/>
  <c r="Z137" i="6" s="1"/>
  <c r="G137" i="6"/>
  <c r="AG167" i="6"/>
  <c r="AG184" i="6"/>
  <c r="H64" i="6"/>
  <c r="N64" i="6" s="1"/>
  <c r="P46" i="6"/>
  <c r="Z46" i="6" s="1"/>
  <c r="N17" i="6"/>
  <c r="M123" i="6"/>
  <c r="U123" i="6" s="1"/>
  <c r="N165" i="6"/>
  <c r="M51" i="6"/>
  <c r="U51" i="6" s="1"/>
  <c r="N53" i="6"/>
  <c r="M53" i="6"/>
  <c r="U53" i="6" s="1"/>
  <c r="M54" i="6"/>
  <c r="U54" i="6" s="1"/>
  <c r="N138" i="6"/>
  <c r="N58" i="6"/>
  <c r="N171" i="6"/>
  <c r="G121" i="6"/>
  <c r="H121" i="6"/>
  <c r="N121" i="6" s="1"/>
  <c r="P121" i="6"/>
  <c r="Z121" i="6" s="1"/>
  <c r="AD46" i="6"/>
  <c r="AN46" i="6" s="1"/>
  <c r="P47" i="6"/>
  <c r="Z47" i="6" s="1"/>
  <c r="G47" i="6"/>
  <c r="M47" i="6" s="1"/>
  <c r="U47" i="6" s="1"/>
  <c r="M17" i="6"/>
  <c r="U17" i="6" s="1"/>
  <c r="G21" i="6"/>
  <c r="M21" i="6" s="1"/>
  <c r="U21" i="6" s="1"/>
  <c r="H21" i="6"/>
  <c r="N21" i="6" s="1"/>
  <c r="T126" i="6"/>
  <c r="T118" i="6"/>
  <c r="AD109" i="6"/>
  <c r="P109" i="6"/>
  <c r="Z109" i="6" s="1"/>
  <c r="P120" i="6"/>
  <c r="Z120" i="6" s="1"/>
  <c r="G120" i="6"/>
  <c r="M120" i="6" s="1"/>
  <c r="U120" i="6" s="1"/>
  <c r="H120" i="6"/>
  <c r="N120" i="6" s="1"/>
  <c r="H10" i="6"/>
  <c r="N10" i="6" s="1"/>
  <c r="G10" i="6"/>
  <c r="M10" i="6" s="1"/>
  <c r="U10" i="6" s="1"/>
  <c r="P118" i="6"/>
  <c r="Z118" i="6" s="1"/>
  <c r="G118" i="6"/>
  <c r="M118" i="6" s="1"/>
  <c r="U118" i="6" s="1"/>
  <c r="H118" i="6"/>
  <c r="N118" i="6" s="1"/>
  <c r="AD118" i="6"/>
  <c r="AN118" i="6" s="1"/>
  <c r="AH166" i="6"/>
  <c r="N166" i="6"/>
  <c r="H143" i="6"/>
  <c r="N143" i="6" s="1"/>
  <c r="P143" i="6"/>
  <c r="Z143" i="6" s="1"/>
  <c r="AD143" i="6"/>
  <c r="AN143" i="6" s="1"/>
  <c r="T125" i="6"/>
  <c r="T117" i="6"/>
  <c r="G144" i="6"/>
  <c r="P144" i="6"/>
  <c r="Z144" i="6" s="1"/>
  <c r="H161" i="6"/>
  <c r="N161" i="6" s="1"/>
  <c r="P161" i="6"/>
  <c r="Z161" i="6" s="1"/>
  <c r="M141" i="6"/>
  <c r="U141" i="6" s="1"/>
  <c r="T153" i="6"/>
  <c r="T161" i="6"/>
  <c r="AH9" i="6"/>
  <c r="AH17" i="6"/>
  <c r="T166" i="6"/>
  <c r="M166" i="6"/>
  <c r="U166" i="6" s="1"/>
  <c r="T158" i="6"/>
  <c r="T59" i="6"/>
  <c r="T51" i="6"/>
  <c r="AH164" i="6"/>
  <c r="AH156" i="6"/>
  <c r="W50" i="6"/>
  <c r="B50" i="6"/>
  <c r="AK50" i="6"/>
  <c r="Y65" i="6"/>
  <c r="R65" i="6"/>
  <c r="R64" i="6"/>
  <c r="W100" i="6"/>
  <c r="B100" i="6"/>
  <c r="AK100" i="6"/>
  <c r="Y173" i="6"/>
  <c r="R172" i="6"/>
  <c r="R173" i="6"/>
  <c r="K173" i="6"/>
  <c r="W145" i="6"/>
  <c r="AK145" i="6"/>
  <c r="AK127" i="6"/>
  <c r="B127" i="6"/>
  <c r="W127" i="6"/>
  <c r="AK154" i="6"/>
  <c r="B154" i="6"/>
  <c r="W154" i="6"/>
  <c r="N68" i="6"/>
  <c r="G136" i="6"/>
  <c r="P136" i="6"/>
  <c r="Z136" i="6" s="1"/>
  <c r="AH177" i="6"/>
  <c r="AH185" i="6"/>
  <c r="Y72" i="6"/>
  <c r="R71" i="6"/>
  <c r="K64" i="6"/>
  <c r="R72" i="6"/>
  <c r="AF71" i="6"/>
  <c r="L63" i="6"/>
  <c r="Y121" i="6"/>
  <c r="R120" i="6"/>
  <c r="R121" i="6"/>
  <c r="AK65" i="6"/>
  <c r="W65" i="6"/>
  <c r="B65" i="6"/>
  <c r="AK181" i="6"/>
  <c r="W181" i="6"/>
  <c r="B181" i="6"/>
  <c r="W131" i="6"/>
  <c r="AK131" i="6"/>
  <c r="B131" i="6"/>
  <c r="W174" i="6"/>
  <c r="AK174" i="6"/>
  <c r="T139" i="6"/>
  <c r="T147" i="6"/>
  <c r="AK157" i="6"/>
  <c r="W157" i="6"/>
  <c r="B157" i="6"/>
  <c r="W175" i="6"/>
  <c r="AK175" i="6"/>
  <c r="B175" i="6"/>
  <c r="W87" i="6"/>
  <c r="AK87" i="6"/>
  <c r="AM104" i="6"/>
  <c r="AF103" i="6"/>
  <c r="L104" i="6"/>
  <c r="N104" i="6"/>
  <c r="R167" i="6"/>
  <c r="R166" i="6"/>
  <c r="Y167" i="6"/>
  <c r="Y48" i="6"/>
  <c r="K48" i="6"/>
  <c r="R47" i="6"/>
  <c r="R48" i="6"/>
  <c r="R68" i="6"/>
  <c r="R69" i="6"/>
  <c r="K69" i="6"/>
  <c r="Y69" i="6"/>
  <c r="AM36" i="6"/>
  <c r="AF35" i="6"/>
  <c r="L28" i="6"/>
  <c r="AF36" i="6"/>
  <c r="W19" i="6"/>
  <c r="AK19" i="6"/>
  <c r="B19" i="6"/>
  <c r="B29" i="6"/>
  <c r="B32" i="6"/>
  <c r="B36" i="6"/>
  <c r="B38" i="6"/>
  <c r="B41" i="6"/>
  <c r="B40" i="6"/>
  <c r="B30" i="6"/>
  <c r="B33" i="6"/>
  <c r="B27" i="6"/>
  <c r="B39" i="6"/>
  <c r="B28" i="6"/>
  <c r="B35" i="6"/>
  <c r="B37" i="6"/>
  <c r="B94" i="6"/>
  <c r="B86" i="6"/>
  <c r="B85" i="6"/>
  <c r="B90" i="6"/>
  <c r="B84" i="6"/>
  <c r="B95" i="6"/>
  <c r="B92" i="6"/>
  <c r="B91" i="6"/>
  <c r="B81" i="6"/>
  <c r="B89" i="6"/>
  <c r="W128" i="6"/>
  <c r="B128" i="6"/>
  <c r="AK128" i="6"/>
  <c r="M56" i="6"/>
  <c r="U56" i="6" s="1"/>
  <c r="H11" i="6"/>
  <c r="N11" i="6" s="1"/>
  <c r="G46" i="6"/>
  <c r="M46" i="6" s="1"/>
  <c r="U46" i="6" s="1"/>
  <c r="AH75" i="6"/>
  <c r="AH67" i="6"/>
  <c r="AM92" i="6"/>
  <c r="AF91" i="6"/>
  <c r="L84" i="6"/>
  <c r="W85" i="6"/>
  <c r="AK85" i="6"/>
  <c r="AK162" i="6"/>
  <c r="W162" i="6"/>
  <c r="B162" i="6"/>
  <c r="R129" i="6"/>
  <c r="Y129" i="6"/>
  <c r="R128" i="6"/>
  <c r="Y144" i="6"/>
  <c r="R144" i="6"/>
  <c r="R143" i="6"/>
  <c r="K136" i="6"/>
  <c r="AK137" i="6"/>
  <c r="W137" i="6"/>
  <c r="AK59" i="6"/>
  <c r="W59" i="6"/>
  <c r="B59" i="6"/>
  <c r="R49" i="6"/>
  <c r="M49" i="6"/>
  <c r="U49" i="6" s="1"/>
  <c r="K15" i="6"/>
  <c r="R23" i="6"/>
  <c r="M23" i="6"/>
  <c r="U23" i="6" s="1"/>
  <c r="R22" i="6"/>
  <c r="AM153" i="6"/>
  <c r="AF153" i="6"/>
  <c r="L153" i="6"/>
  <c r="N153" i="6"/>
  <c r="K137" i="6"/>
  <c r="Y145" i="6"/>
  <c r="R145" i="6"/>
  <c r="R14" i="6"/>
  <c r="Y14" i="6"/>
  <c r="R13" i="6"/>
  <c r="W35" i="6"/>
  <c r="AK35" i="6"/>
  <c r="AI148" i="6"/>
  <c r="AI146" i="6"/>
  <c r="AI135" i="6"/>
  <c r="G64" i="6"/>
  <c r="M64" i="6" s="1"/>
  <c r="U64" i="6" s="1"/>
  <c r="H173" i="6"/>
  <c r="H87" i="6"/>
  <c r="N87" i="6" s="1"/>
  <c r="H69" i="6"/>
  <c r="N69" i="6" s="1"/>
  <c r="P69" i="6"/>
  <c r="Z69" i="6" s="1"/>
  <c r="M45" i="6"/>
  <c r="U45" i="6" s="1"/>
  <c r="M153" i="6"/>
  <c r="U153" i="6" s="1"/>
  <c r="M125" i="6"/>
  <c r="U125" i="6" s="1"/>
  <c r="M144" i="6"/>
  <c r="U144" i="6" s="1"/>
  <c r="M167" i="6"/>
  <c r="U167" i="6" s="1"/>
  <c r="M129" i="6"/>
  <c r="U129" i="6" s="1"/>
  <c r="AD47" i="6"/>
  <c r="AN47" i="6" s="1"/>
  <c r="M165" i="6"/>
  <c r="U165" i="6" s="1"/>
  <c r="N23" i="6"/>
  <c r="G109" i="6"/>
  <c r="M109" i="6" s="1"/>
  <c r="U109" i="6" s="1"/>
  <c r="N105" i="6"/>
  <c r="AD120" i="6"/>
  <c r="AN120" i="6" s="1"/>
  <c r="AH135" i="6"/>
  <c r="N9" i="6"/>
  <c r="M72" i="6"/>
  <c r="U72" i="6" s="1"/>
  <c r="K121" i="6"/>
  <c r="B93" i="6"/>
  <c r="K65" i="6"/>
  <c r="H119" i="6"/>
  <c r="N119" i="6" s="1"/>
  <c r="AD119" i="6"/>
  <c r="AN119" i="6" s="1"/>
  <c r="B145" i="6"/>
  <c r="AH139" i="6"/>
  <c r="AH147" i="6"/>
  <c r="H158" i="6"/>
  <c r="N158" i="6" s="1"/>
  <c r="P158" i="6"/>
  <c r="Z158" i="6" s="1"/>
  <c r="K14" i="6"/>
  <c r="AK161" i="6"/>
  <c r="T76" i="6"/>
  <c r="M76" i="6"/>
  <c r="U76" i="6" s="1"/>
  <c r="T68" i="6"/>
  <c r="M68" i="6"/>
  <c r="U68" i="6" s="1"/>
  <c r="N13" i="6"/>
  <c r="M130" i="6"/>
  <c r="U130" i="6" s="1"/>
  <c r="M147" i="6"/>
  <c r="U147" i="6" s="1"/>
  <c r="P102" i="6"/>
  <c r="H102" i="6"/>
  <c r="N102" i="6" s="1"/>
  <c r="AD99" i="6"/>
  <c r="AN99" i="6" s="1"/>
  <c r="H99" i="6"/>
  <c r="N99" i="6" s="1"/>
  <c r="AF89" i="6"/>
  <c r="L82" i="6"/>
  <c r="AM90" i="6"/>
  <c r="H72" i="6"/>
  <c r="N72" i="6" s="1"/>
  <c r="R174" i="6"/>
  <c r="AM112" i="6"/>
  <c r="AF112" i="6"/>
  <c r="L117" i="6"/>
  <c r="N117" i="6"/>
  <c r="AM162" i="6"/>
  <c r="L154" i="6"/>
  <c r="AF162" i="6"/>
  <c r="R149" i="6"/>
  <c r="K141" i="6"/>
  <c r="Y149" i="6"/>
  <c r="R177" i="6"/>
  <c r="R176" i="6"/>
  <c r="R105" i="6"/>
  <c r="K105" i="6"/>
  <c r="R104" i="6"/>
  <c r="Y105" i="6"/>
  <c r="Y20" i="6"/>
  <c r="K12" i="6"/>
  <c r="R19" i="6"/>
  <c r="R20" i="6"/>
  <c r="AM14" i="6"/>
  <c r="L14" i="6"/>
  <c r="AF14" i="6"/>
  <c r="AM41" i="6"/>
  <c r="AF41" i="6"/>
  <c r="B48" i="6"/>
  <c r="AK48" i="6"/>
  <c r="AH175" i="6"/>
  <c r="AH183" i="6"/>
  <c r="P122" i="6"/>
  <c r="Z122" i="6" s="1"/>
  <c r="H122" i="6"/>
  <c r="N122" i="6" s="1"/>
  <c r="G122" i="6"/>
  <c r="M122" i="6" s="1"/>
  <c r="U122" i="6" s="1"/>
  <c r="K99" i="6"/>
  <c r="R99" i="6"/>
  <c r="R86" i="6"/>
  <c r="Y87" i="6"/>
  <c r="AM87" i="6"/>
  <c r="AF87" i="6"/>
  <c r="AM172" i="6"/>
  <c r="AF172" i="6"/>
  <c r="R50" i="6"/>
  <c r="Y51" i="6"/>
  <c r="AF94" i="6"/>
  <c r="AF93" i="6"/>
  <c r="L173" i="6"/>
  <c r="AF180" i="6"/>
  <c r="AK89" i="6"/>
  <c r="W89" i="6"/>
  <c r="W130" i="6"/>
  <c r="AF167" i="6"/>
  <c r="L33" i="6"/>
  <c r="B126" i="6"/>
  <c r="AP64" i="6"/>
  <c r="AP54" i="6"/>
  <c r="AP172" i="6"/>
  <c r="AP125" i="6"/>
  <c r="AB165" i="6"/>
  <c r="AP122" i="6"/>
  <c r="AB72" i="6"/>
  <c r="AP139" i="6"/>
  <c r="AP87" i="6"/>
  <c r="AB125" i="6"/>
  <c r="AP123" i="6"/>
  <c r="AB105" i="6"/>
  <c r="AP130" i="6"/>
  <c r="AB11" i="6"/>
  <c r="AB176" i="6"/>
  <c r="AB104" i="6"/>
  <c r="AO12" i="6"/>
  <c r="AP12" i="6" s="1"/>
  <c r="AO137" i="6"/>
  <c r="AP137" i="6" s="1"/>
  <c r="AA21" i="6"/>
  <c r="AB21" i="6" s="1"/>
  <c r="AO109" i="6"/>
  <c r="AP109" i="6" s="1"/>
  <c r="AA118" i="6"/>
  <c r="AB118" i="6" s="1"/>
  <c r="AA137" i="6"/>
  <c r="AB137" i="6" s="1"/>
  <c r="AA13" i="6"/>
  <c r="AB180" i="6"/>
  <c r="AB9" i="6"/>
  <c r="AB156" i="6"/>
  <c r="AP171" i="6"/>
  <c r="AP72" i="6"/>
  <c r="AP148" i="6"/>
  <c r="AB77" i="6"/>
  <c r="AP136" i="6"/>
  <c r="AP56" i="6"/>
  <c r="AB76" i="6"/>
  <c r="AP102" i="6"/>
  <c r="AB172" i="6"/>
  <c r="AB56" i="6"/>
  <c r="AP185" i="6"/>
  <c r="AP45" i="6"/>
  <c r="AB185" i="6"/>
  <c r="AO46" i="6"/>
  <c r="AP46" i="6" s="1"/>
  <c r="AA31" i="6"/>
  <c r="AB31" i="6" s="1"/>
  <c r="AA83" i="6"/>
  <c r="AB83" i="6" s="1"/>
  <c r="AA161" i="6"/>
  <c r="AO174" i="6"/>
  <c r="AP174" i="6" s="1"/>
  <c r="AA46" i="6"/>
  <c r="AB46" i="6" s="1"/>
  <c r="AA143" i="6"/>
  <c r="AA109" i="6"/>
  <c r="AB109" i="6" s="1"/>
  <c r="AB166" i="6"/>
  <c r="AB167" i="6"/>
  <c r="AP76" i="6"/>
  <c r="AP155" i="6"/>
  <c r="AP182" i="6"/>
  <c r="AP153" i="6"/>
  <c r="AB113" i="6"/>
  <c r="AP183" i="6"/>
  <c r="AP104" i="6"/>
  <c r="AP51" i="6"/>
  <c r="AP63" i="6"/>
  <c r="AP149" i="6"/>
  <c r="AP101" i="6"/>
  <c r="AB107" i="6"/>
  <c r="AB140" i="6"/>
  <c r="AB110" i="6"/>
  <c r="AO47" i="6"/>
  <c r="AA47" i="6"/>
  <c r="AA10" i="6"/>
  <c r="AB10" i="6" s="1"/>
  <c r="AA158" i="6"/>
  <c r="AB158" i="6" s="1"/>
  <c r="AB148" i="6"/>
  <c r="AB149" i="6"/>
  <c r="AP165" i="6"/>
  <c r="AP55" i="6"/>
  <c r="AB82" i="6"/>
  <c r="AP75" i="6"/>
  <c r="AB74" i="6"/>
  <c r="AP107" i="6"/>
  <c r="AP74" i="6"/>
  <c r="AB73" i="6"/>
  <c r="AP117" i="6"/>
  <c r="AB101" i="6"/>
  <c r="AB58" i="6"/>
  <c r="AP138" i="6"/>
  <c r="AB163" i="6"/>
  <c r="AB45" i="6"/>
  <c r="AA17" i="6"/>
  <c r="AB17" i="6" s="1"/>
  <c r="AA120" i="6"/>
  <c r="AB120" i="6" s="1"/>
  <c r="AA144" i="6"/>
  <c r="AB144" i="6" s="1"/>
  <c r="AA102" i="6"/>
  <c r="AB102" i="6" s="1"/>
  <c r="AA122" i="6"/>
  <c r="H48" i="6" l="1"/>
  <c r="N48" i="6" s="1"/>
  <c r="G48" i="6"/>
  <c r="M48" i="6" s="1"/>
  <c r="U48" i="6" s="1"/>
  <c r="P48" i="6"/>
  <c r="Z48" i="6" s="1"/>
  <c r="AD48" i="6"/>
  <c r="AN48" i="6" s="1"/>
  <c r="AH14" i="6"/>
  <c r="AH22" i="6"/>
  <c r="N14" i="6"/>
  <c r="T22" i="6"/>
  <c r="T14" i="6"/>
  <c r="T65" i="6"/>
  <c r="T73" i="6"/>
  <c r="AI9" i="6"/>
  <c r="AG9" i="6"/>
  <c r="AN9" i="6" s="1"/>
  <c r="AG87" i="6"/>
  <c r="AI87" i="6"/>
  <c r="M14" i="6"/>
  <c r="U14" i="6" s="1"/>
  <c r="AD126" i="6"/>
  <c r="AN126" i="6" s="1"/>
  <c r="H126" i="6"/>
  <c r="N126" i="6" s="1"/>
  <c r="G126" i="6"/>
  <c r="M126" i="6" s="1"/>
  <c r="U126" i="6" s="1"/>
  <c r="P126" i="6"/>
  <c r="Z126" i="6" s="1"/>
  <c r="AG117" i="6"/>
  <c r="AI117" i="6"/>
  <c r="Z102" i="6"/>
  <c r="AI13" i="6"/>
  <c r="AG13" i="6"/>
  <c r="AN13" i="6" s="1"/>
  <c r="AI158" i="6"/>
  <c r="AG158" i="6"/>
  <c r="T129" i="6"/>
  <c r="T121" i="6"/>
  <c r="Z23" i="6"/>
  <c r="P59" i="6"/>
  <c r="Z59" i="6" s="1"/>
  <c r="H59" i="6"/>
  <c r="N59" i="6" s="1"/>
  <c r="G59" i="6"/>
  <c r="M59" i="6" s="1"/>
  <c r="U59" i="6" s="1"/>
  <c r="AD59" i="6"/>
  <c r="AN59" i="6" s="1"/>
  <c r="G162" i="6"/>
  <c r="M162" i="6" s="1"/>
  <c r="U162" i="6" s="1"/>
  <c r="P162" i="6"/>
  <c r="Z162" i="6" s="1"/>
  <c r="H162" i="6"/>
  <c r="N162" i="6" s="1"/>
  <c r="AD162" i="6"/>
  <c r="AN162" i="6" s="1"/>
  <c r="P89" i="6"/>
  <c r="Z89" i="6" s="1"/>
  <c r="G89" i="6"/>
  <c r="M89" i="6" s="1"/>
  <c r="U89" i="6" s="1"/>
  <c r="H89" i="6"/>
  <c r="N89" i="6" s="1"/>
  <c r="AD89" i="6"/>
  <c r="AN89" i="6" s="1"/>
  <c r="P95" i="6"/>
  <c r="Z95" i="6" s="1"/>
  <c r="G95" i="6"/>
  <c r="M95" i="6" s="1"/>
  <c r="U95" i="6" s="1"/>
  <c r="H95" i="6"/>
  <c r="N95" i="6" s="1"/>
  <c r="AD95" i="6"/>
  <c r="AN95" i="6" s="1"/>
  <c r="G86" i="6"/>
  <c r="M86" i="6" s="1"/>
  <c r="U86" i="6" s="1"/>
  <c r="P86" i="6"/>
  <c r="Z86" i="6" s="1"/>
  <c r="H86" i="6"/>
  <c r="N86" i="6" s="1"/>
  <c r="AD86" i="6"/>
  <c r="AN86" i="6" s="1"/>
  <c r="AD28" i="6"/>
  <c r="AN28" i="6" s="1"/>
  <c r="P28" i="6"/>
  <c r="Z28" i="6" s="1"/>
  <c r="H28" i="6"/>
  <c r="N28" i="6" s="1"/>
  <c r="G28" i="6"/>
  <c r="M28" i="6" s="1"/>
  <c r="U28" i="6" s="1"/>
  <c r="P30" i="6"/>
  <c r="Z30" i="6" s="1"/>
  <c r="AD30" i="6"/>
  <c r="AN30" i="6" s="1"/>
  <c r="H30" i="6"/>
  <c r="N30" i="6" s="1"/>
  <c r="G30" i="6"/>
  <c r="M30" i="6" s="1"/>
  <c r="U30" i="6" s="1"/>
  <c r="AD36" i="6"/>
  <c r="AN36" i="6" s="1"/>
  <c r="G36" i="6"/>
  <c r="M36" i="6" s="1"/>
  <c r="U36" i="6" s="1"/>
  <c r="H36" i="6"/>
  <c r="N36" i="6" s="1"/>
  <c r="P36" i="6"/>
  <c r="Z36" i="6" s="1"/>
  <c r="AH28" i="6"/>
  <c r="AH36" i="6"/>
  <c r="AG104" i="6"/>
  <c r="AI104" i="6"/>
  <c r="P131" i="6"/>
  <c r="Z131" i="6" s="1"/>
  <c r="G131" i="6"/>
  <c r="M131" i="6" s="1"/>
  <c r="U131" i="6" s="1"/>
  <c r="H131" i="6"/>
  <c r="N131" i="6" s="1"/>
  <c r="AD131" i="6"/>
  <c r="AN131" i="6" s="1"/>
  <c r="AH63" i="6"/>
  <c r="N63" i="6"/>
  <c r="AH71" i="6"/>
  <c r="N71" i="6"/>
  <c r="P154" i="6"/>
  <c r="Z154" i="6" s="1"/>
  <c r="H154" i="6"/>
  <c r="N154" i="6" s="1"/>
  <c r="G154" i="6"/>
  <c r="M154" i="6" s="1"/>
  <c r="U154" i="6" s="1"/>
  <c r="AD154" i="6"/>
  <c r="AN154" i="6" s="1"/>
  <c r="G100" i="6"/>
  <c r="M100" i="6" s="1"/>
  <c r="U100" i="6" s="1"/>
  <c r="AD100" i="6"/>
  <c r="AN100" i="6" s="1"/>
  <c r="P100" i="6"/>
  <c r="Z100" i="6" s="1"/>
  <c r="H100" i="6"/>
  <c r="N100" i="6" s="1"/>
  <c r="Z17" i="6"/>
  <c r="AI58" i="6"/>
  <c r="AG58" i="6"/>
  <c r="AI53" i="6"/>
  <c r="AG53" i="6"/>
  <c r="AI17" i="6"/>
  <c r="AG17" i="6"/>
  <c r="AN17" i="6" s="1"/>
  <c r="AG112" i="6"/>
  <c r="AI112" i="6"/>
  <c r="AI83" i="6"/>
  <c r="AG83" i="6"/>
  <c r="AG31" i="6"/>
  <c r="AI31" i="6"/>
  <c r="AH33" i="6"/>
  <c r="AH41" i="6"/>
  <c r="AI122" i="6"/>
  <c r="AG122" i="6"/>
  <c r="AH117" i="6"/>
  <c r="AH125" i="6"/>
  <c r="N125" i="6"/>
  <c r="AI72" i="6"/>
  <c r="AG72" i="6"/>
  <c r="AG99" i="6"/>
  <c r="AI99" i="6"/>
  <c r="AI119" i="6"/>
  <c r="AG119" i="6"/>
  <c r="AI105" i="6"/>
  <c r="AG105" i="6"/>
  <c r="AI69" i="6"/>
  <c r="AG69" i="6"/>
  <c r="Z14" i="6"/>
  <c r="T137" i="6"/>
  <c r="T145" i="6"/>
  <c r="T15" i="6"/>
  <c r="Z15" i="6" s="1"/>
  <c r="T23" i="6"/>
  <c r="T144" i="6"/>
  <c r="T136" i="6"/>
  <c r="AH84" i="6"/>
  <c r="AH92" i="6"/>
  <c r="P81" i="6"/>
  <c r="Z81" i="6" s="1"/>
  <c r="G81" i="6"/>
  <c r="M81" i="6" s="1"/>
  <c r="U81" i="6" s="1"/>
  <c r="AD81" i="6"/>
  <c r="AN81" i="6" s="1"/>
  <c r="H81" i="6"/>
  <c r="N81" i="6" s="1"/>
  <c r="H84" i="6"/>
  <c r="N84" i="6" s="1"/>
  <c r="AD84" i="6"/>
  <c r="AN84" i="6" s="1"/>
  <c r="P84" i="6"/>
  <c r="Z84" i="6" s="1"/>
  <c r="G84" i="6"/>
  <c r="M84" i="6" s="1"/>
  <c r="U84" i="6" s="1"/>
  <c r="H94" i="6"/>
  <c r="N94" i="6" s="1"/>
  <c r="G94" i="6"/>
  <c r="M94" i="6" s="1"/>
  <c r="U94" i="6" s="1"/>
  <c r="P94" i="6"/>
  <c r="Z94" i="6" s="1"/>
  <c r="AD94" i="6"/>
  <c r="AN94" i="6" s="1"/>
  <c r="G39" i="6"/>
  <c r="M39" i="6" s="1"/>
  <c r="U39" i="6" s="1"/>
  <c r="H39" i="6"/>
  <c r="N39" i="6" s="1"/>
  <c r="P39" i="6"/>
  <c r="Z39" i="6" s="1"/>
  <c r="AD39" i="6"/>
  <c r="AN39" i="6" s="1"/>
  <c r="AD40" i="6"/>
  <c r="AN40" i="6" s="1"/>
  <c r="H40" i="6"/>
  <c r="N40" i="6" s="1"/>
  <c r="P40" i="6"/>
  <c r="Z40" i="6" s="1"/>
  <c r="G40" i="6"/>
  <c r="M40" i="6" s="1"/>
  <c r="U40" i="6" s="1"/>
  <c r="P32" i="6"/>
  <c r="Z32" i="6" s="1"/>
  <c r="H32" i="6"/>
  <c r="N32" i="6" s="1"/>
  <c r="G32" i="6"/>
  <c r="M32" i="6" s="1"/>
  <c r="U32" i="6" s="1"/>
  <c r="AD32" i="6"/>
  <c r="AN32" i="6" s="1"/>
  <c r="T77" i="6"/>
  <c r="T69" i="6"/>
  <c r="M77" i="6"/>
  <c r="U77" i="6" s="1"/>
  <c r="M69" i="6"/>
  <c r="U69" i="6" s="1"/>
  <c r="AH112" i="6"/>
  <c r="AH104" i="6"/>
  <c r="H157" i="6"/>
  <c r="N157" i="6" s="1"/>
  <c r="P157" i="6"/>
  <c r="Z157" i="6" s="1"/>
  <c r="AD157" i="6"/>
  <c r="AN157" i="6" s="1"/>
  <c r="G157" i="6"/>
  <c r="M157" i="6" s="1"/>
  <c r="U157" i="6" s="1"/>
  <c r="M136" i="6"/>
  <c r="U136" i="6" s="1"/>
  <c r="M15" i="6"/>
  <c r="U15" i="6" s="1"/>
  <c r="Z10" i="6"/>
  <c r="AI121" i="6"/>
  <c r="AG121" i="6"/>
  <c r="AG138" i="6"/>
  <c r="AI138" i="6"/>
  <c r="M137" i="6"/>
  <c r="U137" i="6" s="1"/>
  <c r="AG174" i="6"/>
  <c r="AI174" i="6"/>
  <c r="N22" i="6"/>
  <c r="T20" i="6"/>
  <c r="Z20" i="6" s="1"/>
  <c r="T12" i="6"/>
  <c r="M20" i="6"/>
  <c r="U20" i="6" s="1"/>
  <c r="T113" i="6"/>
  <c r="M105" i="6"/>
  <c r="U105" i="6" s="1"/>
  <c r="T105" i="6"/>
  <c r="M113" i="6"/>
  <c r="U113" i="6" s="1"/>
  <c r="AH154" i="6"/>
  <c r="AH162" i="6"/>
  <c r="AG153" i="6"/>
  <c r="AI153" i="6"/>
  <c r="H128" i="6"/>
  <c r="N128" i="6" s="1"/>
  <c r="G128" i="6"/>
  <c r="M128" i="6" s="1"/>
  <c r="U128" i="6" s="1"/>
  <c r="AD128" i="6"/>
  <c r="AN128" i="6" s="1"/>
  <c r="P128" i="6"/>
  <c r="Z128" i="6" s="1"/>
  <c r="P91" i="6"/>
  <c r="Z91" i="6" s="1"/>
  <c r="G91" i="6"/>
  <c r="M91" i="6" s="1"/>
  <c r="U91" i="6" s="1"/>
  <c r="H91" i="6"/>
  <c r="N91" i="6" s="1"/>
  <c r="AD91" i="6"/>
  <c r="AN91" i="6" s="1"/>
  <c r="H90" i="6"/>
  <c r="N90" i="6" s="1"/>
  <c r="G90" i="6"/>
  <c r="M90" i="6" s="1"/>
  <c r="U90" i="6" s="1"/>
  <c r="AD90" i="6"/>
  <c r="AN90" i="6" s="1"/>
  <c r="P90" i="6"/>
  <c r="Z90" i="6" s="1"/>
  <c r="H37" i="6"/>
  <c r="N37" i="6" s="1"/>
  <c r="P37" i="6"/>
  <c r="Z37" i="6" s="1"/>
  <c r="AD37" i="6"/>
  <c r="AN37" i="6" s="1"/>
  <c r="G37" i="6"/>
  <c r="M37" i="6" s="1"/>
  <c r="U37" i="6" s="1"/>
  <c r="G27" i="6"/>
  <c r="M27" i="6" s="1"/>
  <c r="U27" i="6" s="1"/>
  <c r="AD27" i="6"/>
  <c r="AN27" i="6" s="1"/>
  <c r="P27" i="6"/>
  <c r="Z27" i="6" s="1"/>
  <c r="H27" i="6"/>
  <c r="N27" i="6" s="1"/>
  <c r="H41" i="6"/>
  <c r="N41" i="6" s="1"/>
  <c r="P41" i="6"/>
  <c r="Z41" i="6" s="1"/>
  <c r="AD41" i="6"/>
  <c r="AN41" i="6" s="1"/>
  <c r="G41" i="6"/>
  <c r="M41" i="6" s="1"/>
  <c r="U41" i="6" s="1"/>
  <c r="P29" i="6"/>
  <c r="Z29" i="6" s="1"/>
  <c r="AD29" i="6"/>
  <c r="AN29" i="6" s="1"/>
  <c r="G29" i="6"/>
  <c r="M29" i="6" s="1"/>
  <c r="U29" i="6" s="1"/>
  <c r="H29" i="6"/>
  <c r="N29" i="6" s="1"/>
  <c r="P175" i="6"/>
  <c r="Z175" i="6" s="1"/>
  <c r="H175" i="6"/>
  <c r="N175" i="6" s="1"/>
  <c r="AD175" i="6"/>
  <c r="AN175" i="6" s="1"/>
  <c r="G175" i="6"/>
  <c r="M175" i="6" s="1"/>
  <c r="U175" i="6" s="1"/>
  <c r="AD65" i="6"/>
  <c r="AN65" i="6" s="1"/>
  <c r="P65" i="6"/>
  <c r="Z65" i="6" s="1"/>
  <c r="H65" i="6"/>
  <c r="N65" i="6" s="1"/>
  <c r="G65" i="6"/>
  <c r="M65" i="6" s="1"/>
  <c r="U65" i="6" s="1"/>
  <c r="AG68" i="6"/>
  <c r="AI68" i="6"/>
  <c r="AG161" i="6"/>
  <c r="AI161" i="6"/>
  <c r="AI143" i="6"/>
  <c r="AG143" i="6"/>
  <c r="AG118" i="6"/>
  <c r="AI118" i="6"/>
  <c r="AI10" i="6"/>
  <c r="AG10" i="6"/>
  <c r="AN10" i="6" s="1"/>
  <c r="AI21" i="6"/>
  <c r="AG21" i="6"/>
  <c r="AN21" i="6" s="1"/>
  <c r="M121" i="6"/>
  <c r="U121" i="6" s="1"/>
  <c r="AG165" i="6"/>
  <c r="AI165" i="6"/>
  <c r="AI64" i="6"/>
  <c r="AG64" i="6"/>
  <c r="AH181" i="6"/>
  <c r="AH173" i="6"/>
  <c r="T99" i="6"/>
  <c r="M99" i="6"/>
  <c r="U99" i="6" s="1"/>
  <c r="T107" i="6"/>
  <c r="M107" i="6"/>
  <c r="U107" i="6" s="1"/>
  <c r="M149" i="6"/>
  <c r="U149" i="6" s="1"/>
  <c r="T149" i="6"/>
  <c r="T141" i="6"/>
  <c r="AH90" i="6"/>
  <c r="AH82" i="6"/>
  <c r="N82" i="6"/>
  <c r="AI102" i="6"/>
  <c r="AG102" i="6"/>
  <c r="M73" i="6"/>
  <c r="U73" i="6" s="1"/>
  <c r="AD145" i="6"/>
  <c r="AN145" i="6" s="1"/>
  <c r="H145" i="6"/>
  <c r="N145" i="6" s="1"/>
  <c r="G145" i="6"/>
  <c r="M145" i="6" s="1"/>
  <c r="U145" i="6" s="1"/>
  <c r="P145" i="6"/>
  <c r="Z145" i="6" s="1"/>
  <c r="AD93" i="6"/>
  <c r="AN93" i="6" s="1"/>
  <c r="G93" i="6"/>
  <c r="M93" i="6" s="1"/>
  <c r="U93" i="6" s="1"/>
  <c r="H93" i="6"/>
  <c r="N93" i="6" s="1"/>
  <c r="P93" i="6"/>
  <c r="Z93" i="6" s="1"/>
  <c r="AG23" i="6"/>
  <c r="AN23" i="6" s="1"/>
  <c r="AI23" i="6"/>
  <c r="N173" i="6"/>
  <c r="Z13" i="6"/>
  <c r="AH153" i="6"/>
  <c r="AH161" i="6"/>
  <c r="AG11" i="6"/>
  <c r="AN11" i="6" s="1"/>
  <c r="AI11" i="6"/>
  <c r="AD92" i="6"/>
  <c r="AN92" i="6" s="1"/>
  <c r="G92" i="6"/>
  <c r="M92" i="6" s="1"/>
  <c r="U92" i="6" s="1"/>
  <c r="P92" i="6"/>
  <c r="Z92" i="6" s="1"/>
  <c r="H92" i="6"/>
  <c r="N92" i="6" s="1"/>
  <c r="AD85" i="6"/>
  <c r="AN85" i="6" s="1"/>
  <c r="P85" i="6"/>
  <c r="Z85" i="6" s="1"/>
  <c r="G85" i="6"/>
  <c r="M85" i="6" s="1"/>
  <c r="U85" i="6" s="1"/>
  <c r="H85" i="6"/>
  <c r="N85" i="6" s="1"/>
  <c r="P35" i="6"/>
  <c r="Z35" i="6" s="1"/>
  <c r="H35" i="6"/>
  <c r="N35" i="6" s="1"/>
  <c r="AD35" i="6"/>
  <c r="AN35" i="6" s="1"/>
  <c r="G35" i="6"/>
  <c r="M35" i="6" s="1"/>
  <c r="U35" i="6" s="1"/>
  <c r="P33" i="6"/>
  <c r="Z33" i="6" s="1"/>
  <c r="AD33" i="6"/>
  <c r="AN33" i="6" s="1"/>
  <c r="H33" i="6"/>
  <c r="N33" i="6" s="1"/>
  <c r="G33" i="6"/>
  <c r="M33" i="6" s="1"/>
  <c r="U33" i="6" s="1"/>
  <c r="P38" i="6"/>
  <c r="Z38" i="6" s="1"/>
  <c r="H38" i="6"/>
  <c r="N38" i="6" s="1"/>
  <c r="G38" i="6"/>
  <c r="M38" i="6" s="1"/>
  <c r="U38" i="6" s="1"/>
  <c r="AD38" i="6"/>
  <c r="AN38" i="6" s="1"/>
  <c r="G19" i="6"/>
  <c r="M19" i="6" s="1"/>
  <c r="U19" i="6" s="1"/>
  <c r="H19" i="6"/>
  <c r="N19" i="6" s="1"/>
  <c r="T48" i="6"/>
  <c r="T56" i="6"/>
  <c r="AD181" i="6"/>
  <c r="AN181" i="6" s="1"/>
  <c r="G181" i="6"/>
  <c r="M181" i="6" s="1"/>
  <c r="U181" i="6" s="1"/>
  <c r="H181" i="6"/>
  <c r="N181" i="6" s="1"/>
  <c r="P181" i="6"/>
  <c r="Z181" i="6" s="1"/>
  <c r="T72" i="6"/>
  <c r="T64" i="6"/>
  <c r="H127" i="6"/>
  <c r="N127" i="6" s="1"/>
  <c r="AD127" i="6"/>
  <c r="AN127" i="6" s="1"/>
  <c r="P127" i="6"/>
  <c r="Z127" i="6" s="1"/>
  <c r="G127" i="6"/>
  <c r="M127" i="6" s="1"/>
  <c r="U127" i="6" s="1"/>
  <c r="T173" i="6"/>
  <c r="T181" i="6"/>
  <c r="M173" i="6"/>
  <c r="U173" i="6" s="1"/>
  <c r="G50" i="6"/>
  <c r="M50" i="6" s="1"/>
  <c r="U50" i="6" s="1"/>
  <c r="AD50" i="6"/>
  <c r="AN50" i="6" s="1"/>
  <c r="H50" i="6"/>
  <c r="N50" i="6" s="1"/>
  <c r="P50" i="6"/>
  <c r="Z50" i="6" s="1"/>
  <c r="AI166" i="6"/>
  <c r="AG166" i="6"/>
  <c r="AG120" i="6"/>
  <c r="AI120" i="6"/>
  <c r="AN109" i="6"/>
  <c r="Z21" i="6"/>
  <c r="AI171" i="6"/>
  <c r="AG171" i="6"/>
  <c r="AN137" i="6"/>
  <c r="M12" i="6"/>
  <c r="U12" i="6" s="1"/>
  <c r="M22" i="6"/>
  <c r="U22" i="6" s="1"/>
  <c r="AB122" i="6"/>
  <c r="AB161" i="6"/>
  <c r="AA126" i="6"/>
  <c r="AB126" i="6" s="1"/>
  <c r="AA28" i="6"/>
  <c r="AB28" i="6" s="1"/>
  <c r="AA30" i="6"/>
  <c r="AA32" i="6"/>
  <c r="AA136" i="6"/>
  <c r="AB136" i="6" s="1"/>
  <c r="AA128" i="6"/>
  <c r="AA91" i="6"/>
  <c r="AB91" i="6" s="1"/>
  <c r="AA90" i="6"/>
  <c r="AB90" i="6" s="1"/>
  <c r="AA93" i="6"/>
  <c r="AB93" i="6" s="1"/>
  <c r="AA92" i="6"/>
  <c r="AB92" i="6" s="1"/>
  <c r="AA127" i="6"/>
  <c r="AB47" i="6"/>
  <c r="AB13" i="6"/>
  <c r="AO9" i="6"/>
  <c r="AA14" i="6"/>
  <c r="AA162" i="6"/>
  <c r="AB162" i="6" s="1"/>
  <c r="AA86" i="6"/>
  <c r="AB86" i="6" s="1"/>
  <c r="AA100" i="6"/>
  <c r="AO31" i="6"/>
  <c r="AP31" i="6" s="1"/>
  <c r="AA23" i="6"/>
  <c r="AB23" i="6" s="1"/>
  <c r="AA84" i="6"/>
  <c r="AB84" i="6" s="1"/>
  <c r="AA40" i="6"/>
  <c r="AB40" i="6" s="1"/>
  <c r="AA69" i="6"/>
  <c r="AB69" i="6" s="1"/>
  <c r="AA15" i="6"/>
  <c r="AB15" i="6" s="1"/>
  <c r="AA20" i="6"/>
  <c r="AA29" i="6"/>
  <c r="AO21" i="6"/>
  <c r="AA145" i="6"/>
  <c r="AA85" i="6"/>
  <c r="AB85" i="6" s="1"/>
  <c r="AA38" i="6"/>
  <c r="AB38" i="6" s="1"/>
  <c r="AA12" i="6"/>
  <c r="AB12" i="6" s="1"/>
  <c r="AA181" i="6"/>
  <c r="AB181" i="6" s="1"/>
  <c r="AP47" i="6"/>
  <c r="AO13" i="6"/>
  <c r="AP13" i="6" s="1"/>
  <c r="AA89" i="6"/>
  <c r="AB89" i="6" s="1"/>
  <c r="AA95" i="6"/>
  <c r="AB95" i="6" s="1"/>
  <c r="AA36" i="6"/>
  <c r="AB36" i="6" s="1"/>
  <c r="AA131" i="6"/>
  <c r="AO17" i="6"/>
  <c r="AO83" i="6"/>
  <c r="AP83" i="6" s="1"/>
  <c r="AO99" i="6"/>
  <c r="AP99" i="6" s="1"/>
  <c r="AA39" i="6"/>
  <c r="AB39" i="6" s="1"/>
  <c r="AA37" i="6"/>
  <c r="AB37" i="6" s="1"/>
  <c r="AA41" i="6"/>
  <c r="AB41" i="6" s="1"/>
  <c r="AA175" i="6"/>
  <c r="AA65" i="6"/>
  <c r="AB65" i="6" s="1"/>
  <c r="AO118" i="6"/>
  <c r="AP118" i="6" s="1"/>
  <c r="AO11" i="6"/>
  <c r="AP11" i="6" s="1"/>
  <c r="AA35" i="6"/>
  <c r="AB35" i="6" s="1"/>
  <c r="AA33" i="6"/>
  <c r="AB33" i="6" s="1"/>
  <c r="AA22" i="6"/>
  <c r="AA50" i="6"/>
  <c r="AB50" i="6" s="1"/>
  <c r="AB143" i="6"/>
  <c r="AA48" i="6"/>
  <c r="AA59" i="6"/>
  <c r="AB59" i="6" s="1"/>
  <c r="AA154" i="6"/>
  <c r="AB154" i="6" s="1"/>
  <c r="AO119" i="6"/>
  <c r="AP119" i="6" s="1"/>
  <c r="AA81" i="6"/>
  <c r="AB81" i="6" s="1"/>
  <c r="AA94" i="6"/>
  <c r="AB94" i="6" s="1"/>
  <c r="AA157" i="6"/>
  <c r="AB157" i="6" s="1"/>
  <c r="AA27" i="6"/>
  <c r="AB27" i="6" s="1"/>
  <c r="AO143" i="6"/>
  <c r="AP143" i="6" s="1"/>
  <c r="AO10" i="6"/>
  <c r="AA121" i="6"/>
  <c r="AB121" i="6" s="1"/>
  <c r="AA19" i="6"/>
  <c r="AO120" i="6"/>
  <c r="AP120" i="6" s="1"/>
  <c r="AO23" i="6"/>
  <c r="AP23" i="6" s="1"/>
  <c r="AG35" i="6" l="1"/>
  <c r="AI35" i="6"/>
  <c r="AG145" i="6"/>
  <c r="AI145" i="6"/>
  <c r="AG82" i="6"/>
  <c r="AI82" i="6"/>
  <c r="AG41" i="6"/>
  <c r="AI41" i="6"/>
  <c r="AI37" i="6"/>
  <c r="AG37" i="6"/>
  <c r="AI90" i="6"/>
  <c r="AG90" i="6"/>
  <c r="AG128" i="6"/>
  <c r="AI128" i="6"/>
  <c r="AI32" i="6"/>
  <c r="AG32" i="6"/>
  <c r="AG40" i="6"/>
  <c r="AI40" i="6"/>
  <c r="AI39" i="6"/>
  <c r="AG39" i="6"/>
  <c r="Z19" i="6"/>
  <c r="AG131" i="6"/>
  <c r="AI131" i="6"/>
  <c r="AG36" i="6"/>
  <c r="AI36" i="6"/>
  <c r="AG30" i="6"/>
  <c r="AI30" i="6"/>
  <c r="AG28" i="6"/>
  <c r="AI28" i="6"/>
  <c r="AG86" i="6"/>
  <c r="AI86" i="6"/>
  <c r="AI95" i="6"/>
  <c r="AG95" i="6"/>
  <c r="AI89" i="6"/>
  <c r="AG89" i="6"/>
  <c r="AI162" i="6"/>
  <c r="AG162" i="6"/>
  <c r="AG126" i="6"/>
  <c r="AI126" i="6"/>
  <c r="AG19" i="6"/>
  <c r="AN19" i="6" s="1"/>
  <c r="AI19" i="6"/>
  <c r="AG50" i="6"/>
  <c r="AI50" i="6"/>
  <c r="AI85" i="6"/>
  <c r="AG85" i="6"/>
  <c r="AG92" i="6"/>
  <c r="AI92" i="6"/>
  <c r="AG29" i="6"/>
  <c r="AI29" i="6"/>
  <c r="AI27" i="6"/>
  <c r="AG27" i="6"/>
  <c r="Z22" i="6"/>
  <c r="AG22" i="6"/>
  <c r="AN22" i="6" s="1"/>
  <c r="AI22" i="6"/>
  <c r="AG94" i="6"/>
  <c r="AI94" i="6"/>
  <c r="AG84" i="6"/>
  <c r="AI84" i="6"/>
  <c r="AI125" i="6"/>
  <c r="AG125" i="6"/>
  <c r="AG154" i="6"/>
  <c r="AI154" i="6"/>
  <c r="AG63" i="6"/>
  <c r="AI63" i="6"/>
  <c r="AI59" i="6"/>
  <c r="AG59" i="6"/>
  <c r="AI48" i="6"/>
  <c r="AG48" i="6"/>
  <c r="AI127" i="6"/>
  <c r="AG127" i="6"/>
  <c r="AG181" i="6"/>
  <c r="AI181" i="6"/>
  <c r="AI33" i="6"/>
  <c r="AG33" i="6"/>
  <c r="AI173" i="6"/>
  <c r="AG173" i="6"/>
  <c r="AG93" i="6"/>
  <c r="AI93" i="6"/>
  <c r="AG65" i="6"/>
  <c r="AI65" i="6"/>
  <c r="AI91" i="6"/>
  <c r="AG91" i="6"/>
  <c r="AI81" i="6"/>
  <c r="AG81" i="6"/>
  <c r="AI38" i="6"/>
  <c r="AG38" i="6"/>
  <c r="AI175" i="6"/>
  <c r="AG175" i="6"/>
  <c r="Z12" i="6"/>
  <c r="AI157" i="6"/>
  <c r="AG157" i="6"/>
  <c r="AI100" i="6"/>
  <c r="AG100" i="6"/>
  <c r="AI71" i="6"/>
  <c r="AG71" i="6"/>
  <c r="AI14" i="6"/>
  <c r="AG14" i="6"/>
  <c r="AN14" i="6" s="1"/>
  <c r="AB19" i="6"/>
  <c r="AB175" i="6"/>
  <c r="AP21" i="6"/>
  <c r="AB14" i="6"/>
  <c r="AB32" i="6"/>
  <c r="AO90" i="6"/>
  <c r="AO32" i="6"/>
  <c r="AP32" i="6" s="1"/>
  <c r="AO39" i="6"/>
  <c r="AP39" i="6" s="1"/>
  <c r="AO131" i="6"/>
  <c r="AO30" i="6"/>
  <c r="AO86" i="6"/>
  <c r="AO126" i="6"/>
  <c r="AO50" i="6"/>
  <c r="AP50" i="6" s="1"/>
  <c r="AO92" i="6"/>
  <c r="AP92" i="6" s="1"/>
  <c r="AO48" i="6"/>
  <c r="AP48" i="6" s="1"/>
  <c r="AO81" i="6"/>
  <c r="AP81" i="6" s="1"/>
  <c r="AO175" i="6"/>
  <c r="AB22" i="6"/>
  <c r="AB100" i="6"/>
  <c r="AO128" i="6"/>
  <c r="AP128" i="6" s="1"/>
  <c r="AO27" i="6"/>
  <c r="AP27" i="6" s="1"/>
  <c r="AO154" i="6"/>
  <c r="AP154" i="6" s="1"/>
  <c r="AO157" i="6"/>
  <c r="AP157" i="6" s="1"/>
  <c r="AP10" i="6"/>
  <c r="AP17" i="6"/>
  <c r="AB29" i="6"/>
  <c r="AP9" i="6"/>
  <c r="AB30" i="6"/>
  <c r="AO145" i="6"/>
  <c r="AP145" i="6" s="1"/>
  <c r="AO41" i="6"/>
  <c r="AO95" i="6"/>
  <c r="AP95" i="6" s="1"/>
  <c r="AO162" i="6"/>
  <c r="AO85" i="6"/>
  <c r="AO94" i="6"/>
  <c r="AP94" i="6" s="1"/>
  <c r="AO181" i="6"/>
  <c r="AO65" i="6"/>
  <c r="AO100" i="6"/>
  <c r="AP100" i="6" s="1"/>
  <c r="AO14" i="6"/>
  <c r="AP14" i="6" s="1"/>
  <c r="AB145" i="6"/>
  <c r="AB128" i="6"/>
  <c r="AO40" i="6"/>
  <c r="AP40" i="6" s="1"/>
  <c r="AO22" i="6"/>
  <c r="AP22" i="6" s="1"/>
  <c r="AO93" i="6"/>
  <c r="AB48" i="6"/>
  <c r="AB131" i="6"/>
  <c r="AB20" i="6"/>
  <c r="AB127" i="6"/>
  <c r="AO37" i="6"/>
  <c r="AO36" i="6"/>
  <c r="AP36" i="6" s="1"/>
  <c r="AO28" i="6"/>
  <c r="AP28" i="6" s="1"/>
  <c r="AO19" i="6"/>
  <c r="AP19" i="6" s="1"/>
  <c r="AO29" i="6"/>
  <c r="AO59" i="6"/>
  <c r="AO127" i="6"/>
  <c r="AO33" i="6"/>
  <c r="AP33" i="6" s="1"/>
  <c r="AO91" i="6"/>
  <c r="AP91" i="6" s="1"/>
  <c r="AO38" i="6"/>
  <c r="AP38" i="6" s="1"/>
  <c r="AO35" i="6"/>
  <c r="AP35" i="6" s="1"/>
  <c r="AO89" i="6"/>
  <c r="AP89" i="6" s="1"/>
  <c r="AO84" i="6"/>
  <c r="AP84" i="6"/>
  <c r="AP37" i="6"/>
  <c r="AP85" i="6"/>
  <c r="AP126" i="6"/>
  <c r="AP90" i="6"/>
  <c r="AP93" i="6"/>
  <c r="AP86" i="6"/>
  <c r="AP59" i="6"/>
  <c r="AP65" i="6"/>
  <c r="AP41" i="6"/>
  <c r="AP30" i="6"/>
  <c r="AP127" i="6"/>
  <c r="AP29" i="6"/>
  <c r="AP181" i="6"/>
  <c r="AP175" i="6"/>
  <c r="AP131" i="6"/>
  <c r="AP162" i="6"/>
</calcChain>
</file>

<file path=xl/comments1.xml><?xml version="1.0" encoding="utf-8"?>
<comments xmlns="http://schemas.openxmlformats.org/spreadsheetml/2006/main">
  <authors>
    <author>Industrial Research Limited</author>
  </authors>
  <commentList>
    <comment ref="A15" authorId="0" shapeId="0">
      <text>
        <r>
          <rPr>
            <b/>
            <sz val="8"/>
            <color indexed="81"/>
            <rFont val="Tahoma"/>
            <family val="2"/>
          </rPr>
          <t>Industrial Research Limited:</t>
        </r>
        <r>
          <rPr>
            <sz val="8"/>
            <color indexed="81"/>
            <rFont val="Tahoma"/>
            <family val="2"/>
          </rPr>
          <t xml:space="preserve">
Temp at Rotronics different to CT</t>
        </r>
      </text>
    </comment>
    <comment ref="B17" authorId="0" shapeId="0">
      <text>
        <r>
          <rPr>
            <b/>
            <sz val="8"/>
            <color indexed="81"/>
            <rFont val="Tahoma"/>
            <family val="2"/>
          </rPr>
          <t>Industrial Research Limited:</t>
        </r>
        <r>
          <rPr>
            <sz val="8"/>
            <color indexed="81"/>
            <rFont val="Tahoma"/>
            <family val="2"/>
          </rPr>
          <t xml:space="preserve">
Include uncert in temp gradient and in calibration of Rotronic</t>
        </r>
      </text>
    </comment>
    <comment ref="C17" authorId="0" shapeId="0">
      <text>
        <r>
          <rPr>
            <b/>
            <sz val="8"/>
            <color indexed="81"/>
            <rFont val="Tahoma"/>
            <family val="2"/>
          </rPr>
          <t>Industrial Research Limited:</t>
        </r>
        <r>
          <rPr>
            <sz val="8"/>
            <color indexed="81"/>
            <rFont val="Tahoma"/>
            <family val="2"/>
          </rPr>
          <t xml:space="preserve">
Include uncert in calibration of Rotronic</t>
        </r>
      </text>
    </comment>
  </commentList>
</comments>
</file>

<file path=xl/comments2.xml><?xml version="1.0" encoding="utf-8"?>
<comments xmlns="http://schemas.openxmlformats.org/spreadsheetml/2006/main">
  <authors>
    <author>Industrial Research Limited</author>
  </authors>
  <commentList>
    <comment ref="B5" authorId="0" shapeId="0">
      <text>
        <r>
          <rPr>
            <b/>
            <sz val="8"/>
            <color indexed="81"/>
            <rFont val="Tahoma"/>
            <family val="2"/>
          </rPr>
          <t>Industrial Research Limited:</t>
        </r>
        <r>
          <rPr>
            <sz val="8"/>
            <color indexed="81"/>
            <rFont val="Tahoma"/>
            <family val="2"/>
          </rPr>
          <t xml:space="preserve">
Description of test, eg, 2000/5A Range, 4 Turns, 500/5 AT range Two-stage, 500AT CT</t>
        </r>
      </text>
    </comment>
    <comment ref="B6" authorId="0" shapeId="0">
      <text>
        <r>
          <rPr>
            <b/>
            <sz val="8"/>
            <color indexed="81"/>
            <rFont val="Tahoma"/>
            <family val="2"/>
          </rPr>
          <t>Industrial Research Limited:</t>
        </r>
        <r>
          <rPr>
            <sz val="8"/>
            <color indexed="81"/>
            <rFont val="Tahoma"/>
            <family val="2"/>
          </rPr>
          <t xml:space="preserve">
Output terminals</t>
        </r>
      </text>
    </comment>
    <comment ref="B8" authorId="0" shapeId="0">
      <text>
        <r>
          <rPr>
            <b/>
            <sz val="8"/>
            <color indexed="81"/>
            <rFont val="Tahoma"/>
            <family val="2"/>
          </rPr>
          <t>Industrial Research Limited:</t>
        </r>
        <r>
          <rPr>
            <sz val="8"/>
            <color indexed="81"/>
            <rFont val="Tahoma"/>
            <family val="2"/>
          </rPr>
          <t xml:space="preserve">
Date</t>
        </r>
      </text>
    </comment>
    <comment ref="B40" authorId="0" shapeId="0">
      <text>
        <r>
          <rPr>
            <b/>
            <sz val="8"/>
            <color indexed="81"/>
            <rFont val="Tahoma"/>
            <family val="2"/>
          </rPr>
          <t>Industrial Research Limited:</t>
        </r>
        <r>
          <rPr>
            <sz val="8"/>
            <color indexed="81"/>
            <rFont val="Tahoma"/>
            <family val="2"/>
          </rPr>
          <t xml:space="preserve">
Output terminals</t>
        </r>
      </text>
    </comment>
    <comment ref="B41" authorId="0" shapeId="0">
      <text>
        <r>
          <rPr>
            <b/>
            <sz val="8"/>
            <color indexed="81"/>
            <rFont val="Tahoma"/>
            <family val="2"/>
          </rPr>
          <t>Industrial Research Limited:</t>
        </r>
        <r>
          <rPr>
            <sz val="8"/>
            <color indexed="81"/>
            <rFont val="Tahoma"/>
            <family val="2"/>
          </rPr>
          <t xml:space="preserve">
Date</t>
        </r>
      </text>
    </comment>
    <comment ref="B58" authorId="0" shapeId="0">
      <text>
        <r>
          <rPr>
            <b/>
            <sz val="8"/>
            <color indexed="81"/>
            <rFont val="Tahoma"/>
            <family val="2"/>
          </rPr>
          <t>Industrial Research Limited:</t>
        </r>
        <r>
          <rPr>
            <sz val="8"/>
            <color indexed="81"/>
            <rFont val="Tahoma"/>
            <family val="2"/>
          </rPr>
          <t xml:space="preserve">
Date</t>
        </r>
      </text>
    </comment>
    <comment ref="B90" authorId="0" shapeId="0">
      <text>
        <r>
          <rPr>
            <b/>
            <sz val="8"/>
            <color indexed="81"/>
            <rFont val="Tahoma"/>
            <family val="2"/>
          </rPr>
          <t>Industrial Research Limited:</t>
        </r>
        <r>
          <rPr>
            <sz val="8"/>
            <color indexed="81"/>
            <rFont val="Tahoma"/>
            <family val="2"/>
          </rPr>
          <t xml:space="preserve">
Date</t>
        </r>
      </text>
    </comment>
    <comment ref="B97" authorId="0" shapeId="0">
      <text>
        <r>
          <rPr>
            <b/>
            <sz val="8"/>
            <color indexed="81"/>
            <rFont val="Tahoma"/>
            <family val="2"/>
          </rPr>
          <t>Industrial Research Limited:</t>
        </r>
        <r>
          <rPr>
            <sz val="8"/>
            <color indexed="81"/>
            <rFont val="Tahoma"/>
            <family val="2"/>
          </rPr>
          <t xml:space="preserve">
Date</t>
        </r>
      </text>
    </comment>
    <comment ref="B104" authorId="0" shapeId="0">
      <text>
        <r>
          <rPr>
            <b/>
            <sz val="8"/>
            <color indexed="81"/>
            <rFont val="Tahoma"/>
            <family val="2"/>
          </rPr>
          <t>Industrial Research Limited:</t>
        </r>
        <r>
          <rPr>
            <sz val="8"/>
            <color indexed="81"/>
            <rFont val="Tahoma"/>
            <family val="2"/>
          </rPr>
          <t xml:space="preserve">
Date</t>
        </r>
      </text>
    </comment>
    <comment ref="B111" authorId="0" shapeId="0">
      <text>
        <r>
          <rPr>
            <b/>
            <sz val="8"/>
            <color indexed="81"/>
            <rFont val="Tahoma"/>
            <family val="2"/>
          </rPr>
          <t>Industrial Research Limited:</t>
        </r>
        <r>
          <rPr>
            <sz val="8"/>
            <color indexed="81"/>
            <rFont val="Tahoma"/>
            <family val="2"/>
          </rPr>
          <t xml:space="preserve">
Date</t>
        </r>
      </text>
    </comment>
    <comment ref="B118" authorId="0" shapeId="0">
      <text>
        <r>
          <rPr>
            <b/>
            <sz val="8"/>
            <color indexed="81"/>
            <rFont val="Tahoma"/>
            <family val="2"/>
          </rPr>
          <t>Industrial Research Limited:</t>
        </r>
        <r>
          <rPr>
            <sz val="8"/>
            <color indexed="81"/>
            <rFont val="Tahoma"/>
            <family val="2"/>
          </rPr>
          <t xml:space="preserve">
Date</t>
        </r>
      </text>
    </comment>
    <comment ref="B125" authorId="0" shapeId="0">
      <text>
        <r>
          <rPr>
            <b/>
            <sz val="8"/>
            <color indexed="81"/>
            <rFont val="Tahoma"/>
            <family val="2"/>
          </rPr>
          <t>Industrial Research Limited:</t>
        </r>
        <r>
          <rPr>
            <sz val="8"/>
            <color indexed="81"/>
            <rFont val="Tahoma"/>
            <family val="2"/>
          </rPr>
          <t xml:space="preserve">
Date</t>
        </r>
      </text>
    </comment>
    <comment ref="B132" authorId="0" shapeId="0">
      <text>
        <r>
          <rPr>
            <b/>
            <sz val="8"/>
            <color indexed="81"/>
            <rFont val="Tahoma"/>
            <family val="2"/>
          </rPr>
          <t>Industrial Research Limited:</t>
        </r>
        <r>
          <rPr>
            <sz val="8"/>
            <color indexed="81"/>
            <rFont val="Tahoma"/>
            <family val="2"/>
          </rPr>
          <t xml:space="preserve">
Date</t>
        </r>
      </text>
    </comment>
    <comment ref="B139" authorId="0" shapeId="0">
      <text>
        <r>
          <rPr>
            <b/>
            <sz val="8"/>
            <color indexed="81"/>
            <rFont val="Tahoma"/>
            <family val="2"/>
          </rPr>
          <t>Industrial Research Limited:</t>
        </r>
        <r>
          <rPr>
            <sz val="8"/>
            <color indexed="81"/>
            <rFont val="Tahoma"/>
            <family val="2"/>
          </rPr>
          <t xml:space="preserve">
Date</t>
        </r>
      </text>
    </comment>
    <comment ref="B146" authorId="0" shapeId="0">
      <text>
        <r>
          <rPr>
            <b/>
            <sz val="8"/>
            <color indexed="81"/>
            <rFont val="Tahoma"/>
            <family val="2"/>
          </rPr>
          <t>Industrial Research Limited:</t>
        </r>
        <r>
          <rPr>
            <sz val="8"/>
            <color indexed="81"/>
            <rFont val="Tahoma"/>
            <family val="2"/>
          </rPr>
          <t xml:space="preserve">
Date</t>
        </r>
      </text>
    </comment>
    <comment ref="B153" authorId="0" shapeId="0">
      <text>
        <r>
          <rPr>
            <b/>
            <sz val="8"/>
            <color indexed="81"/>
            <rFont val="Tahoma"/>
            <family val="2"/>
          </rPr>
          <t>Industrial Research Limited:</t>
        </r>
        <r>
          <rPr>
            <sz val="8"/>
            <color indexed="81"/>
            <rFont val="Tahoma"/>
            <family val="2"/>
          </rPr>
          <t xml:space="preserve">
Date</t>
        </r>
      </text>
    </comment>
    <comment ref="B160" authorId="0" shapeId="0">
      <text>
        <r>
          <rPr>
            <b/>
            <sz val="8"/>
            <color indexed="81"/>
            <rFont val="Tahoma"/>
            <family val="2"/>
          </rPr>
          <t>Industrial Research Limited:</t>
        </r>
        <r>
          <rPr>
            <sz val="8"/>
            <color indexed="81"/>
            <rFont val="Tahoma"/>
            <family val="2"/>
          </rPr>
          <t xml:space="preserve">
Date</t>
        </r>
      </text>
    </comment>
    <comment ref="B167" authorId="0" shapeId="0">
      <text>
        <r>
          <rPr>
            <b/>
            <sz val="8"/>
            <color indexed="81"/>
            <rFont val="Tahoma"/>
            <family val="2"/>
          </rPr>
          <t>Industrial Research Limited:</t>
        </r>
        <r>
          <rPr>
            <sz val="8"/>
            <color indexed="81"/>
            <rFont val="Tahoma"/>
            <family val="2"/>
          </rPr>
          <t xml:space="preserve">
Date</t>
        </r>
      </text>
    </comment>
    <comment ref="B174" authorId="0" shapeId="0">
      <text>
        <r>
          <rPr>
            <b/>
            <sz val="8"/>
            <color indexed="81"/>
            <rFont val="Tahoma"/>
            <family val="2"/>
          </rPr>
          <t>Industrial Research Limited:</t>
        </r>
        <r>
          <rPr>
            <sz val="8"/>
            <color indexed="81"/>
            <rFont val="Tahoma"/>
            <family val="2"/>
          </rPr>
          <t xml:space="preserve">
Date</t>
        </r>
      </text>
    </comment>
    <comment ref="B181" authorId="0" shapeId="0">
      <text>
        <r>
          <rPr>
            <b/>
            <sz val="8"/>
            <color indexed="81"/>
            <rFont val="Tahoma"/>
            <family val="2"/>
          </rPr>
          <t>Industrial Research Limited:</t>
        </r>
        <r>
          <rPr>
            <sz val="8"/>
            <color indexed="81"/>
            <rFont val="Tahoma"/>
            <family val="2"/>
          </rPr>
          <t xml:space="preserve">
Date</t>
        </r>
      </text>
    </comment>
    <comment ref="B188" authorId="0" shapeId="0">
      <text>
        <r>
          <rPr>
            <b/>
            <sz val="8"/>
            <color indexed="81"/>
            <rFont val="Tahoma"/>
            <family val="2"/>
          </rPr>
          <t>Industrial Research Limited:</t>
        </r>
        <r>
          <rPr>
            <sz val="8"/>
            <color indexed="81"/>
            <rFont val="Tahoma"/>
            <family val="2"/>
          </rPr>
          <t xml:space="preserve">
Date</t>
        </r>
      </text>
    </comment>
    <comment ref="B195" authorId="0" shapeId="0">
      <text>
        <r>
          <rPr>
            <b/>
            <sz val="8"/>
            <color indexed="81"/>
            <rFont val="Tahoma"/>
            <family val="2"/>
          </rPr>
          <t>Industrial Research Limited:</t>
        </r>
        <r>
          <rPr>
            <sz val="8"/>
            <color indexed="81"/>
            <rFont val="Tahoma"/>
            <family val="2"/>
          </rPr>
          <t xml:space="preserve">
Date</t>
        </r>
      </text>
    </comment>
    <comment ref="B202" authorId="0" shapeId="0">
      <text>
        <r>
          <rPr>
            <b/>
            <sz val="8"/>
            <color indexed="81"/>
            <rFont val="Tahoma"/>
            <family val="2"/>
          </rPr>
          <t>Industrial Research Limited:</t>
        </r>
        <r>
          <rPr>
            <sz val="8"/>
            <color indexed="81"/>
            <rFont val="Tahoma"/>
            <family val="2"/>
          </rPr>
          <t xml:space="preserve">
Date</t>
        </r>
      </text>
    </comment>
    <comment ref="B209" authorId="0" shapeId="0">
      <text>
        <r>
          <rPr>
            <b/>
            <sz val="8"/>
            <color indexed="81"/>
            <rFont val="Tahoma"/>
            <family val="2"/>
          </rPr>
          <t>Industrial Research Limited:</t>
        </r>
        <r>
          <rPr>
            <sz val="8"/>
            <color indexed="81"/>
            <rFont val="Tahoma"/>
            <family val="2"/>
          </rPr>
          <t xml:space="preserve">
Date</t>
        </r>
      </text>
    </comment>
    <comment ref="B225" authorId="0" shapeId="0">
      <text>
        <r>
          <rPr>
            <b/>
            <sz val="8"/>
            <color indexed="81"/>
            <rFont val="Tahoma"/>
            <family val="2"/>
          </rPr>
          <t>Industrial Research Limited:</t>
        </r>
        <r>
          <rPr>
            <sz val="8"/>
            <color indexed="81"/>
            <rFont val="Tahoma"/>
            <family val="2"/>
          </rPr>
          <t xml:space="preserve">
Output terminals</t>
        </r>
      </text>
    </comment>
    <comment ref="B226" authorId="0" shapeId="0">
      <text>
        <r>
          <rPr>
            <b/>
            <sz val="8"/>
            <color indexed="81"/>
            <rFont val="Tahoma"/>
            <family val="2"/>
          </rPr>
          <t>Industrial Research Limited:</t>
        </r>
        <r>
          <rPr>
            <sz val="8"/>
            <color indexed="81"/>
            <rFont val="Tahoma"/>
            <family val="2"/>
          </rPr>
          <t xml:space="preserve">
Date</t>
        </r>
      </text>
    </comment>
    <comment ref="B243" authorId="0" shapeId="0">
      <text>
        <r>
          <rPr>
            <b/>
            <sz val="8"/>
            <color indexed="81"/>
            <rFont val="Tahoma"/>
            <family val="2"/>
          </rPr>
          <t>Industrial Research Limited:</t>
        </r>
        <r>
          <rPr>
            <sz val="8"/>
            <color indexed="81"/>
            <rFont val="Tahoma"/>
            <family val="2"/>
          </rPr>
          <t xml:space="preserve">
Output terminals</t>
        </r>
      </text>
    </comment>
    <comment ref="B244" authorId="0" shapeId="0">
      <text>
        <r>
          <rPr>
            <b/>
            <sz val="8"/>
            <color indexed="81"/>
            <rFont val="Tahoma"/>
            <family val="2"/>
          </rPr>
          <t>Industrial Research Limited:</t>
        </r>
        <r>
          <rPr>
            <sz val="8"/>
            <color indexed="81"/>
            <rFont val="Tahoma"/>
            <family val="2"/>
          </rPr>
          <t xml:space="preserve">
Date</t>
        </r>
      </text>
    </comment>
    <comment ref="B261" authorId="0" shapeId="0">
      <text>
        <r>
          <rPr>
            <b/>
            <sz val="8"/>
            <color indexed="81"/>
            <rFont val="Tahoma"/>
            <family val="2"/>
          </rPr>
          <t>Industrial Research Limited:</t>
        </r>
        <r>
          <rPr>
            <sz val="8"/>
            <color indexed="81"/>
            <rFont val="Tahoma"/>
            <family val="2"/>
          </rPr>
          <t xml:space="preserve">
Output terminals</t>
        </r>
      </text>
    </comment>
    <comment ref="B262" authorId="0" shapeId="0">
      <text>
        <r>
          <rPr>
            <b/>
            <sz val="8"/>
            <color indexed="81"/>
            <rFont val="Tahoma"/>
            <family val="2"/>
          </rPr>
          <t>Industrial Research Limited:</t>
        </r>
        <r>
          <rPr>
            <sz val="8"/>
            <color indexed="81"/>
            <rFont val="Tahoma"/>
            <family val="2"/>
          </rPr>
          <t xml:space="preserve">
Date</t>
        </r>
      </text>
    </comment>
  </commentList>
</comments>
</file>

<file path=xl/comments3.xml><?xml version="1.0" encoding="utf-8"?>
<comments xmlns="http://schemas.openxmlformats.org/spreadsheetml/2006/main">
  <authors>
    <author>Industrial Research Limited</author>
    <author>Andrew Corney</author>
    <author>l.christian</author>
  </authors>
  <commentList>
    <comment ref="X6" authorId="0" shapeId="0">
      <text>
        <r>
          <rPr>
            <b/>
            <sz val="8"/>
            <color indexed="81"/>
            <rFont val="Tahoma"/>
            <family val="2"/>
          </rPr>
          <t>Industrial Research Limited:</t>
        </r>
        <r>
          <rPr>
            <sz val="8"/>
            <color indexed="81"/>
            <rFont val="Tahoma"/>
            <family val="2"/>
          </rPr>
          <t xml:space="preserve">
New to version 3 of the template</t>
        </r>
      </text>
    </comment>
    <comment ref="Y6" authorId="0" shapeId="0">
      <text>
        <r>
          <rPr>
            <b/>
            <sz val="8"/>
            <color indexed="81"/>
            <rFont val="Tahoma"/>
            <family val="2"/>
          </rPr>
          <t>Industrial Research Limited:</t>
        </r>
        <r>
          <rPr>
            <sz val="8"/>
            <color indexed="81"/>
            <rFont val="Tahoma"/>
            <family val="2"/>
          </rPr>
          <t xml:space="preserve">
New to version 2 of the template.</t>
        </r>
      </text>
    </comment>
    <comment ref="AE6" authorId="0" shapeId="0">
      <text>
        <r>
          <rPr>
            <b/>
            <sz val="8"/>
            <color indexed="81"/>
            <rFont val="Tahoma"/>
            <family val="2"/>
          </rPr>
          <t>Industrial Research Limited:</t>
        </r>
        <r>
          <rPr>
            <sz val="8"/>
            <color indexed="81"/>
            <rFont val="Tahoma"/>
            <family val="2"/>
          </rPr>
          <t xml:space="preserve">
New formula for template version 2 onwards</t>
        </r>
      </text>
    </comment>
    <comment ref="AL6" authorId="0" shapeId="0">
      <text>
        <r>
          <rPr>
            <b/>
            <sz val="8"/>
            <color indexed="81"/>
            <rFont val="Tahoma"/>
            <family val="2"/>
          </rPr>
          <t>Industrial Research Limited:</t>
        </r>
        <r>
          <rPr>
            <sz val="8"/>
            <color indexed="81"/>
            <rFont val="Tahoma"/>
            <family val="2"/>
          </rPr>
          <t xml:space="preserve">
New to version 3 of the template</t>
        </r>
      </text>
    </comment>
    <comment ref="AM6" authorId="0" shapeId="0">
      <text>
        <r>
          <rPr>
            <b/>
            <sz val="8"/>
            <color indexed="81"/>
            <rFont val="Tahoma"/>
            <family val="2"/>
          </rPr>
          <t>Industrial Research Limited:</t>
        </r>
        <r>
          <rPr>
            <sz val="8"/>
            <color indexed="81"/>
            <rFont val="Tahoma"/>
            <family val="2"/>
          </rPr>
          <t xml:space="preserve">
New to version 2 of the template.</t>
        </r>
      </text>
    </comment>
    <comment ref="P7" authorId="1" shapeId="0">
      <text>
        <r>
          <rPr>
            <b/>
            <sz val="8"/>
            <color indexed="81"/>
            <rFont val="Tahoma"/>
            <family val="2"/>
          </rPr>
          <t>Andrew Corney:</t>
        </r>
        <r>
          <rPr>
            <sz val="8"/>
            <color indexed="81"/>
            <rFont val="Tahoma"/>
            <family val="2"/>
          </rPr>
          <t xml:space="preserve">
cover factor varies from 2.8 to 2.6 as excitation increases.  This corresponds to dof going from 4 to 5.  Take as 4 for all, to keep things simple.</t>
        </r>
      </text>
    </comment>
    <comment ref="W7" authorId="1" shapeId="0">
      <text>
        <r>
          <rPr>
            <b/>
            <sz val="8"/>
            <color indexed="81"/>
            <rFont val="Tahoma"/>
            <family val="2"/>
          </rPr>
          <t>Andrew Corney:</t>
        </r>
        <r>
          <rPr>
            <sz val="8"/>
            <color indexed="81"/>
            <rFont val="Tahoma"/>
            <family val="2"/>
          </rPr>
          <t xml:space="preserve">
see Uncertainties worksheet</t>
        </r>
      </text>
    </comment>
    <comment ref="AD7" authorId="1" shapeId="0">
      <text>
        <r>
          <rPr>
            <b/>
            <sz val="8"/>
            <color indexed="81"/>
            <rFont val="Tahoma"/>
            <family val="2"/>
          </rPr>
          <t>Andrew Corney:</t>
        </r>
        <r>
          <rPr>
            <sz val="8"/>
            <color indexed="81"/>
            <rFont val="Tahoma"/>
            <family val="2"/>
          </rPr>
          <t xml:space="preserve">
cover factor is 2.4 which corresponds to dof of 6.5</t>
        </r>
      </text>
    </comment>
    <comment ref="AK7" authorId="1" shapeId="0">
      <text>
        <r>
          <rPr>
            <b/>
            <sz val="8"/>
            <color indexed="81"/>
            <rFont val="Tahoma"/>
            <family val="2"/>
          </rPr>
          <t>Andrew Corney:</t>
        </r>
        <r>
          <rPr>
            <sz val="8"/>
            <color indexed="81"/>
            <rFont val="Tahoma"/>
            <family val="2"/>
          </rPr>
          <t xml:space="preserve">
see Uncertainties worksheet</t>
        </r>
      </text>
    </comment>
    <comment ref="P9" authorId="2" shapeId="0">
      <text>
        <r>
          <rPr>
            <b/>
            <sz val="8"/>
            <color indexed="81"/>
            <rFont val="Tahoma"/>
            <family val="2"/>
          </rPr>
          <t>l.christian:</t>
        </r>
        <r>
          <rPr>
            <sz val="8"/>
            <color indexed="81"/>
            <rFont val="Tahoma"/>
            <family val="2"/>
          </rPr>
          <t xml:space="preserve">
Uncertainties to use for 2-stage transformers</t>
        </r>
      </text>
    </comment>
    <comment ref="X9" authorId="2" shapeId="0">
      <text>
        <r>
          <rPr>
            <b/>
            <sz val="8"/>
            <color indexed="81"/>
            <rFont val="Tahoma"/>
            <family val="2"/>
          </rPr>
          <t>l.christian:</t>
        </r>
        <r>
          <rPr>
            <sz val="8"/>
            <color indexed="81"/>
            <rFont val="Tahoma"/>
            <family val="2"/>
          </rPr>
          <t xml:space="preserve">
Uses repeat measurements: need to enter the correct calculations in cell O206 etc</t>
        </r>
      </text>
    </comment>
    <comment ref="AD9" authorId="2" shapeId="0">
      <text>
        <r>
          <rPr>
            <b/>
            <sz val="8"/>
            <color indexed="81"/>
            <rFont val="Tahoma"/>
            <family val="2"/>
          </rPr>
          <t>l.christian:</t>
        </r>
        <r>
          <rPr>
            <sz val="8"/>
            <color indexed="81"/>
            <rFont val="Tahoma"/>
            <family val="2"/>
          </rPr>
          <t xml:space="preserve">
Uncertainties to use for 2-stage transformers</t>
        </r>
      </text>
    </comment>
    <comment ref="AL9" authorId="2" shapeId="0">
      <text>
        <r>
          <rPr>
            <b/>
            <sz val="8"/>
            <color indexed="81"/>
            <rFont val="Tahoma"/>
            <family val="2"/>
          </rPr>
          <t>l.christian:</t>
        </r>
        <r>
          <rPr>
            <sz val="8"/>
            <color indexed="81"/>
            <rFont val="Tahoma"/>
            <family val="2"/>
          </rPr>
          <t xml:space="preserve">
Uses repeat measurements: need to enter the correct calculations in cell AC206 etc</t>
        </r>
      </text>
    </comment>
    <comment ref="D10" authorId="0" shapeId="0">
      <text>
        <r>
          <rPr>
            <b/>
            <sz val="8"/>
            <color indexed="81"/>
            <rFont val="Tahoma"/>
            <family val="2"/>
          </rPr>
          <t>Industrial Research Limited:</t>
        </r>
        <r>
          <rPr>
            <sz val="8"/>
            <color indexed="81"/>
            <rFont val="Tahoma"/>
            <family val="2"/>
          </rPr>
          <t xml:space="preserve">
Changed the formula to cope with non-nominal mV readings</t>
        </r>
      </text>
    </comment>
  </commentList>
</comments>
</file>

<file path=xl/comments4.xml><?xml version="1.0" encoding="utf-8"?>
<comments xmlns="http://schemas.openxmlformats.org/spreadsheetml/2006/main">
  <authors>
    <author>Industrial Research Limited</author>
    <author>Keith Jones</author>
  </authors>
  <commentList>
    <comment ref="G3" authorId="0" shapeId="0">
      <text>
        <r>
          <rPr>
            <b/>
            <sz val="8"/>
            <color indexed="81"/>
            <rFont val="Tahoma"/>
            <family val="2"/>
          </rPr>
          <t>Industrial Research Limited:</t>
        </r>
        <r>
          <rPr>
            <sz val="8"/>
            <color indexed="81"/>
            <rFont val="Tahoma"/>
            <family val="2"/>
          </rPr>
          <t xml:space="preserve">
See Burden Uncertainty note below</t>
        </r>
      </text>
    </comment>
    <comment ref="L4" authorId="0" shapeId="0">
      <text>
        <r>
          <rPr>
            <b/>
            <sz val="8"/>
            <color indexed="81"/>
            <rFont val="Tahoma"/>
            <family val="2"/>
          </rPr>
          <t>Industrial Research Limited:</t>
        </r>
        <r>
          <rPr>
            <sz val="8"/>
            <color indexed="81"/>
            <rFont val="Tahoma"/>
            <family val="2"/>
          </rPr>
          <t xml:space="preserve">
These entries are historic: Andy set the values to zero after 2002</t>
        </r>
      </text>
    </comment>
    <comment ref="B5" authorId="0" shapeId="0">
      <text>
        <r>
          <rPr>
            <b/>
            <sz val="8"/>
            <color indexed="81"/>
            <rFont val="Tahoma"/>
            <family val="2"/>
          </rPr>
          <t>Industrial Research Limited:</t>
        </r>
        <r>
          <rPr>
            <sz val="8"/>
            <color indexed="81"/>
            <rFont val="Tahoma"/>
            <family val="2"/>
          </rPr>
          <t xml:space="preserve">
Resolution uncertainty of slidewire</t>
        </r>
      </text>
    </comment>
    <comment ref="B6" authorId="0" shapeId="0">
      <text>
        <r>
          <rPr>
            <b/>
            <sz val="8"/>
            <color indexed="81"/>
            <rFont val="Tahoma"/>
            <family val="2"/>
          </rPr>
          <t>Industrial Research Limited:</t>
        </r>
        <r>
          <rPr>
            <sz val="8"/>
            <color indexed="81"/>
            <rFont val="Tahoma"/>
            <family val="2"/>
          </rPr>
          <t xml:space="preserve">
We don't apply a correction for the mutual inductance but instead an uncertainty which is the std devn of the errors (the mean error is very close to zero)</t>
        </r>
      </text>
    </comment>
    <comment ref="B7" authorId="0" shapeId="0">
      <text>
        <r>
          <rPr>
            <b/>
            <sz val="8"/>
            <color indexed="81"/>
            <rFont val="Tahoma"/>
            <family val="2"/>
          </rPr>
          <t>Industrial Research Limited:</t>
        </r>
        <r>
          <rPr>
            <sz val="8"/>
            <color indexed="81"/>
            <rFont val="Tahoma"/>
            <family val="2"/>
          </rPr>
          <t xml:space="preserve">
Not used at present</t>
        </r>
      </text>
    </comment>
    <comment ref="B8" authorId="0" shapeId="0">
      <text>
        <r>
          <rPr>
            <b/>
            <sz val="8"/>
            <color indexed="81"/>
            <rFont val="Tahoma"/>
            <family val="2"/>
          </rPr>
          <t>Industrial Research Limited:</t>
        </r>
        <r>
          <rPr>
            <sz val="8"/>
            <color indexed="81"/>
            <rFont val="Tahoma"/>
            <family val="2"/>
          </rPr>
          <t xml:space="preserve">
We take a mean correction for the Aux CT ratio and this is the std devn of these corrections and is applied as an uncertainty</t>
        </r>
      </text>
    </comment>
    <comment ref="B9" authorId="0" shapeId="0">
      <text>
        <r>
          <rPr>
            <b/>
            <sz val="8"/>
            <color indexed="81"/>
            <rFont val="Tahoma"/>
            <family val="2"/>
          </rPr>
          <t>Industrial Research Limited:</t>
        </r>
        <r>
          <rPr>
            <sz val="8"/>
            <color indexed="81"/>
            <rFont val="Tahoma"/>
            <family val="2"/>
          </rPr>
          <t xml:space="preserve">
We take a mean correction for the Aux CT phase and this is the std devn of these corrections and is applied as an uncertainty</t>
        </r>
      </text>
    </comment>
    <comment ref="K30" authorId="1" shapeId="0">
      <text>
        <r>
          <rPr>
            <b/>
            <sz val="8"/>
            <color indexed="81"/>
            <rFont val="Tahoma"/>
            <family val="2"/>
          </rPr>
          <t>Keith Jones:</t>
        </r>
        <r>
          <rPr>
            <sz val="8"/>
            <color indexed="81"/>
            <rFont val="Tahoma"/>
            <family val="2"/>
          </rPr>
          <t xml:space="preserve">
Divide change by this number.  Default is 2.</t>
        </r>
      </text>
    </comment>
    <comment ref="D35" authorId="1" shapeId="0">
      <text>
        <r>
          <rPr>
            <b/>
            <sz val="8"/>
            <color indexed="81"/>
            <rFont val="Tahoma"/>
            <family val="2"/>
          </rPr>
          <t>Keith Jones:</t>
        </r>
        <r>
          <rPr>
            <sz val="8"/>
            <color indexed="81"/>
            <rFont val="Tahoma"/>
            <family val="2"/>
          </rPr>
          <t xml:space="preserve">
Differences now divided by 2 (or whatever is chosen in K30).</t>
        </r>
      </text>
    </comment>
  </commentList>
</comments>
</file>

<file path=xl/comments5.xml><?xml version="1.0" encoding="utf-8"?>
<comments xmlns="http://schemas.openxmlformats.org/spreadsheetml/2006/main">
  <authors>
    <author>Industrial Research Limited</author>
  </authors>
  <commentList>
    <comment ref="I58" authorId="0" shapeId="0">
      <text>
        <r>
          <rPr>
            <b/>
            <sz val="8"/>
            <color indexed="81"/>
            <rFont val="Tahoma"/>
            <family val="2"/>
          </rPr>
          <t>Industrial Research Limited:</t>
        </r>
        <r>
          <rPr>
            <sz val="8"/>
            <color indexed="81"/>
            <rFont val="Tahoma"/>
            <family val="2"/>
          </rPr>
          <t xml:space="preserve">
Changed sign in July 2008 because an error in aux CT causes the opposite sign of error in the indicated error and therefore needs to be corrected by the application of a term of the same sign.</t>
        </r>
      </text>
    </comment>
  </commentList>
</comments>
</file>

<file path=xl/sharedStrings.xml><?xml version="1.0" encoding="utf-8"?>
<sst xmlns="http://schemas.openxmlformats.org/spreadsheetml/2006/main" count="1715" uniqueCount="498">
  <si>
    <t>Arnold Test Set Readings, manual entry</t>
  </si>
  <si>
    <t>Shunt
mV</t>
  </si>
  <si>
    <t>ratio error
%</t>
  </si>
  <si>
    <t>phase error
minutes</t>
  </si>
  <si>
    <t>multiply 
by</t>
  </si>
  <si>
    <t>% rated current</t>
  </si>
  <si>
    <t>ratio error
(%)</t>
  </si>
  <si>
    <t>phase error
crad</t>
  </si>
  <si>
    <t>Coverage Factor</t>
  </si>
  <si>
    <t>Burden (ohms)</t>
  </si>
  <si>
    <t>Effect of Bunching</t>
  </si>
  <si>
    <t>bunch right</t>
  </si>
  <si>
    <t>bunch bottom</t>
  </si>
  <si>
    <t>bunch left</t>
  </si>
  <si>
    <t>%</t>
  </si>
  <si>
    <t>Primary Current (% of rated)</t>
  </si>
  <si>
    <t>ohms</t>
  </si>
  <si>
    <t>right</t>
  </si>
  <si>
    <t>left</t>
  </si>
  <si>
    <t>Error</t>
  </si>
  <si>
    <t>Expanded Uncertainty</t>
  </si>
  <si>
    <t>Unexplained discrepancies</t>
  </si>
  <si>
    <t>slidewire_res</t>
  </si>
  <si>
    <t>ratio_factor</t>
  </si>
  <si>
    <t>phase_factor</t>
  </si>
  <si>
    <t>burden_res</t>
  </si>
  <si>
    <t>earthing_Re</t>
  </si>
  <si>
    <t>earthing_Im</t>
  </si>
  <si>
    <t>MSL
 standard</t>
  </si>
  <si>
    <t>Test set
slidewire</t>
  </si>
  <si>
    <t>Current 
coefficient</t>
  </si>
  <si>
    <t>Frequency
coefficient</t>
  </si>
  <si>
    <t>Burden
coefficient</t>
  </si>
  <si>
    <t>Temp
coefficient</t>
  </si>
  <si>
    <t>Conductor
config</t>
  </si>
  <si>
    <t>combined
standard
uncertainty</t>
  </si>
  <si>
    <t>DOF</t>
  </si>
  <si>
    <t>Cover</t>
  </si>
  <si>
    <t>Mutual
inductor</t>
  </si>
  <si>
    <t>DOF:</t>
  </si>
  <si>
    <t>Load
% of rated</t>
  </si>
  <si>
    <t>current 
error</t>
  </si>
  <si>
    <t>phase 
error</t>
  </si>
  <si>
    <t>burden</t>
  </si>
  <si>
    <t>B5A0VA</t>
  </si>
  <si>
    <t>crad</t>
  </si>
  <si>
    <t xml:space="preserve">Current 
error
</t>
  </si>
  <si>
    <t xml:space="preserve">Phase 
error
</t>
  </si>
  <si>
    <t>Named uncertainty constants</t>
  </si>
  <si>
    <t>There are thus 50 positive and 50 negative divisions.  A minor division can be reliably subdivided by eye to 0.2 of a division.</t>
  </si>
  <si>
    <t>The slide-wire is graduated +0.5% to -0.5%. Each major scale division (steps of 0.1%) is divided into 10 minor divisions (steps of 0.01%).</t>
  </si>
  <si>
    <t xml:space="preserve">The mutual inductor is graduated +23 minutes to -23 minutes.  The scale is non-linear, being expanded near zero.  </t>
  </si>
  <si>
    <t>Hence the 1 sigma resolution is 0.001%, multiplied by the scale multiplying factor determined by the common resistor chosen.</t>
  </si>
  <si>
    <t>Conductor configuration</t>
  </si>
  <si>
    <t>% rated load</t>
  </si>
  <si>
    <t>Look-up table for conductor configuration uncertainties</t>
  </si>
  <si>
    <t>Current coefficient</t>
  </si>
  <si>
    <t>Earthing
and coupling</t>
  </si>
  <si>
    <t>Earthing and coupling</t>
  </si>
  <si>
    <t>minutes</t>
  </si>
  <si>
    <t>forward</t>
  </si>
  <si>
    <t>reverse</t>
  </si>
  <si>
    <t>Reversal Error</t>
  </si>
  <si>
    <t>multiplier</t>
  </si>
  <si>
    <t>mean:</t>
  </si>
  <si>
    <t>The detector isolating transformer has effectively eliminated detector earthing and common mode problems.</t>
  </si>
  <si>
    <t>Conservatively allow 0.0005% and .0005 crad for earthing and coupling effects.</t>
  </si>
  <si>
    <t>Negligible at the ppm level!</t>
  </si>
  <si>
    <t>From measurements taken on Everett Edgcumbe 844400 on 11 July 2002 we have, for forward and reverse AC potentiometer current:</t>
  </si>
  <si>
    <t>current_coef</t>
  </si>
  <si>
    <t>Effect of burden</t>
  </si>
  <si>
    <t>BurdenUnc</t>
  </si>
  <si>
    <t>take the "current coefficient" to be 0.2 times the change in ratio or phase in going from one excitation to the next</t>
  </si>
  <si>
    <t>To acount for the inability to set the current to better than 10% at 5% ecitation, and for some instability of the transformer at low excitation,</t>
  </si>
  <si>
    <t>The current can be set more precisely at higher excitations, but the current dependence is much less, and the stability is much better.</t>
  </si>
  <si>
    <t>Burden Uncertainty</t>
  </si>
  <si>
    <t>Assume that the change in burden in going from 5 VA to O VA is known and stable to 5% (a fairly conservated estimate).</t>
  </si>
  <si>
    <t>The uncertainty due to burden is just the change in ratio and phase multiplied by 0.05.</t>
  </si>
  <si>
    <t>Test set transformer</t>
  </si>
  <si>
    <t>current 
correction</t>
  </si>
  <si>
    <t>phase 
correction</t>
  </si>
  <si>
    <t xml:space="preserve">current error
</t>
  </si>
  <si>
    <t xml:space="preserve">phase error
</t>
  </si>
  <si>
    <t>Before demagnetisation</t>
  </si>
  <si>
    <t>After demagnetisation</t>
  </si>
  <si>
    <t>bunch top</t>
  </si>
  <si>
    <t>Changes in ratio from unbunched</t>
  </si>
  <si>
    <t>bottom</t>
  </si>
  <si>
    <t>top</t>
  </si>
  <si>
    <t>Changes in phase from unbunched</t>
  </si>
  <si>
    <t>Largest change at each excitation in pale green.  Largest changes of all in bright green.</t>
  </si>
  <si>
    <t>TestSetRatioCor</t>
  </si>
  <si>
    <t>TestSetPhaseCor</t>
  </si>
  <si>
    <t>844400 CT errors</t>
  </si>
  <si>
    <t>0.5 VA Burden</t>
  </si>
  <si>
    <t>low_ burden</t>
  </si>
  <si>
    <t>high_burden</t>
  </si>
  <si>
    <t>TABLE 10.  Rated Transformation Ratio 2000:5, 4000 Ampere Turns</t>
  </si>
  <si>
    <t>TABLE 11.  Rated Transformation Ratio 2500:5, 5000 Ampere Turns</t>
  </si>
  <si>
    <t>TABLE 12.  Rated Transformation Ratio 3000:5, 6000 Ampere Turns</t>
  </si>
  <si>
    <t>Everett Edgcumbe 844400 errors</t>
  </si>
  <si>
    <t>Sensitivity to conductor configuration is also a measure of the general stability of the transformer.</t>
  </si>
  <si>
    <t xml:space="preserve">client CT uncorrected </t>
  </si>
  <si>
    <r>
      <t>current error
(</t>
    </r>
    <r>
      <rPr>
        <sz val="10"/>
        <rFont val="Symbol"/>
        <family val="1"/>
        <charset val="2"/>
      </rPr>
      <t>m</t>
    </r>
    <r>
      <rPr>
        <sz val="10"/>
        <rFont val="Arial"/>
      </rPr>
      <t>A/A)</t>
    </r>
  </si>
  <si>
    <r>
      <t>phase error
(</t>
    </r>
    <r>
      <rPr>
        <sz val="10"/>
        <rFont val="Symbol"/>
        <family val="1"/>
        <charset val="2"/>
      </rPr>
      <t>m</t>
    </r>
    <r>
      <rPr>
        <sz val="10"/>
        <rFont val="Arial"/>
      </rPr>
      <t>rad)</t>
    </r>
  </si>
  <si>
    <t xml:space="preserve"> Use the largest ratio and phase change from the results in blocks '5 A Data' M24, and take half these values.</t>
  </si>
  <si>
    <t>Taking half the worst case change as one sigma is conservative, so take confidence level as 20%</t>
  </si>
  <si>
    <t>Hence dof is</t>
  </si>
  <si>
    <t>Coverage factor</t>
  </si>
  <si>
    <t>From MSL report Electrical/2002/S21466, 28 July 2002</t>
  </si>
  <si>
    <t>UNCERTAINTIES IN CURRENT RATIO ERROR, %</t>
  </si>
  <si>
    <t>UNCERTAINTIES IN PHASE ERROR, crad</t>
  </si>
  <si>
    <t>Change after demagnetisation</t>
  </si>
  <si>
    <t xml:space="preserve">Largest change in green.  </t>
  </si>
  <si>
    <t>AT</t>
  </si>
  <si>
    <t>844400 range</t>
  </si>
  <si>
    <t>and lookup</t>
  </si>
  <si>
    <t>Maximum value</t>
  </si>
  <si>
    <t xml:space="preserve">for uncertainty </t>
  </si>
  <si>
    <t>worksheet</t>
  </si>
  <si>
    <t>Table number</t>
  </si>
  <si>
    <t>Data Label</t>
  </si>
  <si>
    <t>UUT Secondary terminals</t>
  </si>
  <si>
    <t>UUT Secondary</t>
  </si>
  <si>
    <t>Effect of bunching:</t>
  </si>
  <si>
    <t>To right of table [ M55 to U63 ] added a formula to get the maximum reading for  ratio and phase.</t>
  </si>
  <si>
    <t>This is easier to pick up in the Uncertainties page</t>
  </si>
  <si>
    <t>Uncertainties</t>
  </si>
  <si>
    <t>Conductor Configuration:</t>
  </si>
  <si>
    <t>5 A data</t>
  </si>
  <si>
    <t>Hand entered Data</t>
  </si>
  <si>
    <t>844400</t>
  </si>
  <si>
    <t>Column A:</t>
  </si>
  <si>
    <t>Added lookup formula for VLookup in 1 A calc.</t>
  </si>
  <si>
    <t>Lookup for ratio and phase errors and uncertainties:</t>
  </si>
  <si>
    <t>This affected columns: G, H, P &amp; AC</t>
  </si>
  <si>
    <t>Lookup now a formula in column B that is derived from the 844400 data</t>
  </si>
  <si>
    <t>that is hand entered on the 1A calc sheet and the % of rated current</t>
  </si>
  <si>
    <t>5 A calc</t>
  </si>
  <si>
    <t>Table Labels:</t>
  </si>
  <si>
    <t>Changed to a formula to pick up ratios, table number and the secondary connections.</t>
  </si>
  <si>
    <t xml:space="preserve">Column L:  Table number. Hand enter the appropriate number for the report </t>
  </si>
  <si>
    <t xml:space="preserve">Column M:  UUT Ratio from originally entered data </t>
  </si>
  <si>
    <t>Column K:  UUT secondary from 5 A data sheet</t>
  </si>
  <si>
    <t>5 A Tables</t>
  </si>
  <si>
    <t>For this report the 40% lines were removed from the tables.</t>
  </si>
  <si>
    <t>This Spreadsheet originated in S21554.xls in Reports2004\S21554</t>
  </si>
  <si>
    <t>Now pick up calculated values columns W and X instead of relying on hand entered cells.</t>
  </si>
  <si>
    <t>Highlight in light yellow:</t>
  </si>
  <si>
    <t>The hand entry of results from the lab book. Columns B, E and F.</t>
  </si>
  <si>
    <t>The hand entry of table numbers.</t>
  </si>
  <si>
    <t>Phase error</t>
  </si>
  <si>
    <t>5  A Ranges</t>
  </si>
  <si>
    <t>The Ampere turns of the 844400 CT in column B is derived from the description of the test.</t>
  </si>
  <si>
    <t>not used</t>
  </si>
  <si>
    <t>Change to make MSL std 1sd</t>
  </si>
  <si>
    <t>Measured Burden</t>
  </si>
  <si>
    <t>Nominal</t>
  </si>
  <si>
    <t>B5A5.0VA</t>
  </si>
  <si>
    <t xml:space="preserve">Current error
</t>
  </si>
  <si>
    <t xml:space="preserve">Phase error
</t>
  </si>
  <si>
    <t>5.0 VA Burden</t>
  </si>
  <si>
    <t>For the 5A tables using the 2 Stage CT removed the 844400 uncertainties and copied the 2 stage CT uncertainties (/10000) from CT844400_Oct05.xls</t>
  </si>
  <si>
    <t>For this report added 40% line back into report tables</t>
  </si>
  <si>
    <t>For this report changed the % ratio error to mA/A and the Centi radians phase error to m radians.</t>
  </si>
  <si>
    <t>in mA/A</t>
  </si>
  <si>
    <t>in m rad</t>
  </si>
  <si>
    <t>Checked LAC for S21577</t>
  </si>
  <si>
    <t>We enter the nominal burden because we apply a correction from the actual burden.</t>
  </si>
  <si>
    <t>Changed formula in % Loaded Current column of % A calc page to allow for small deviations from nominal current.  Lookups weren't working otherwise.</t>
  </si>
  <si>
    <r>
      <t>Burden (</t>
    </r>
    <r>
      <rPr>
        <sz val="10"/>
        <rFont val="Symbol"/>
        <family val="1"/>
        <charset val="2"/>
      </rPr>
      <t>W</t>
    </r>
    <r>
      <rPr>
        <sz val="10"/>
        <rFont val="Arial"/>
      </rPr>
      <t>)</t>
    </r>
  </si>
  <si>
    <t>Rated burden</t>
  </si>
  <si>
    <t>Client</t>
  </si>
  <si>
    <t>Magnetisation</t>
  </si>
  <si>
    <t>Change History</t>
  </si>
  <si>
    <t>This spreadsheet was created from the one used to calibrate the Vircom-EMS CT (Report S21613 dated 16 December 2005)</t>
  </si>
  <si>
    <t xml:space="preserve">To use enter the data on the 5 A data page in the cells highlighted in </t>
  </si>
  <si>
    <t>Edit the cells coloured this way as appropriate</t>
  </si>
  <si>
    <t>Cells B5, etc are used to create the Table headings on the 5A Tables page</t>
  </si>
  <si>
    <t>The measurements are done in the order:</t>
  </si>
  <si>
    <t>1/ Before and after magnetization</t>
  </si>
  <si>
    <t>3/ Calibration of specific ranges</t>
  </si>
  <si>
    <t>Cells L2, etc on the 5A Tables page are used to set the Table number.</t>
  </si>
  <si>
    <t>The page Cf Previous Results can be used to compare the results with earlier calibrations.</t>
  </si>
  <si>
    <t>Common Resistors  Feb 2000</t>
  </si>
  <si>
    <t xml:space="preserve">Nominal </t>
  </si>
  <si>
    <t xml:space="preserve">Actual </t>
  </si>
  <si>
    <t>NML</t>
  </si>
  <si>
    <t>Resistance</t>
  </si>
  <si>
    <t>at 50 Hz</t>
  </si>
  <si>
    <t>1973 report</t>
  </si>
  <si>
    <t>(ohms)]</t>
  </si>
  <si>
    <t>(ohms)</t>
  </si>
  <si>
    <t>(mrad)</t>
  </si>
  <si>
    <t xml:space="preserve">Scale </t>
  </si>
  <si>
    <t>Correction</t>
  </si>
  <si>
    <t>NML 1973</t>
  </si>
  <si>
    <t>Reading</t>
  </si>
  <si>
    <t>report correction</t>
  </si>
  <si>
    <t>(%)</t>
  </si>
  <si>
    <t>(minutes)</t>
  </si>
  <si>
    <t>B McLennan: 17 October 2007</t>
  </si>
  <si>
    <t xml:space="preserve">In Andy's notes he comments that the 1A ratio error barely </t>
  </si>
  <si>
    <t>affects the result.</t>
  </si>
  <si>
    <t>Hence the Mutual inductors error (and also the Slide wire error)</t>
  </si>
  <si>
    <t>is treated as a correction.</t>
  </si>
  <si>
    <t>Auxiliary Current Transformer Errors  Feb 2000</t>
  </si>
  <si>
    <t>Rated tranformation ratio 5:5</t>
  </si>
  <si>
    <t>Primary</t>
  </si>
  <si>
    <t>Current</t>
  </si>
  <si>
    <t>Phase</t>
  </si>
  <si>
    <t>current</t>
  </si>
  <si>
    <t>Current Error</t>
  </si>
  <si>
    <t>Phase Errror</t>
  </si>
  <si>
    <t>(% of rated)</t>
  </si>
  <si>
    <t>x 10-3</t>
  </si>
  <si>
    <t>(rad x 10-3)</t>
  </si>
  <si>
    <t>Number used in the 5A CT spreadsheet as a multiplying factor.</t>
  </si>
  <si>
    <t>-</t>
  </si>
  <si>
    <t>Auxiliary Current Transformer Errors  July 2002</t>
  </si>
  <si>
    <t>Rated tranformation ratio 1:5</t>
  </si>
  <si>
    <t>correction factor</t>
  </si>
  <si>
    <t>ratio</t>
  </si>
  <si>
    <t>phase</t>
  </si>
  <si>
    <t>This is low in comparison with the auxiliary transformer errors</t>
  </si>
  <si>
    <t xml:space="preserve">We believe that Andy repeated this test later (see below) and </t>
  </si>
  <si>
    <t xml:space="preserve">decided to treat the mutual inductor as a component of  </t>
  </si>
  <si>
    <t>uncertainty. Because of this he did not update this table which</t>
  </si>
  <si>
    <t>unfortunately appears in MSLT.E.056.002</t>
  </si>
  <si>
    <t>This Data is from:</t>
  </si>
  <si>
    <t>G:\estds\CALIBRAT\POWER&amp;ENERGY\CTS\ArnoldTestSet\Arnold.xls</t>
  </si>
  <si>
    <t>This is the Data set that we believe should have been in the Tech proc.</t>
  </si>
  <si>
    <t>These results are mirror imaged and inverted to a test done later and</t>
  </si>
  <si>
    <t>is multiplied by the range. Normally the multiplier is less than 1.</t>
  </si>
  <si>
    <t>reported below. The max offset here is 0.23 minutes = 67urad, this</t>
  </si>
  <si>
    <t>Number used in the 1A CT spreadsheet as a multiplying factor.</t>
  </si>
  <si>
    <t>Added the results page from Arnold.xls and called it "Arnold" in this workbook. So that we can see where the corrections and uncertainties come from.</t>
  </si>
  <si>
    <t>Slidewire Scale Corrections Feb 2000</t>
  </si>
  <si>
    <t>Variable Mutual Inductor
Corrections
Feb 2000</t>
  </si>
  <si>
    <t xml:space="preserve">This calibration </t>
  </si>
  <si>
    <t>Phase error
(centi-radians)</t>
  </si>
  <si>
    <t>xxx</t>
  </si>
  <si>
    <t>Primary current
(% of rated)</t>
  </si>
  <si>
    <t xml:space="preserve">For the Metrix report S21467 </t>
  </si>
  <si>
    <t xml:space="preserve">S no: </t>
  </si>
  <si>
    <t>Job Number:</t>
  </si>
  <si>
    <t>Table 1</t>
  </si>
  <si>
    <t>500 AT transformer, P1, rated transformation ratio 5:5</t>
  </si>
  <si>
    <t>Load</t>
  </si>
  <si>
    <t xml:space="preserve"> Ratio Error</t>
  </si>
  <si>
    <t>Phase Error</t>
  </si>
  <si>
    <t xml:space="preserve">Measured - Calculated </t>
  </si>
  <si>
    <t>% of 
rated</t>
  </si>
  <si>
    <t>Error
(uA/A)</t>
  </si>
  <si>
    <t xml:space="preserve">
Standard
uncertainty
(uA/A)</t>
  </si>
  <si>
    <t>Degrees
of
freedom</t>
  </si>
  <si>
    <t>Error
(urad)</t>
  </si>
  <si>
    <t xml:space="preserve">
Standard
uncertainty
(urad)</t>
  </si>
  <si>
    <t>Ratio Error
(uA/A)</t>
  </si>
  <si>
    <t>Phase Error
(urad)</t>
  </si>
  <si>
    <t>Table 2</t>
  </si>
  <si>
    <t>600 AT transformer, P1, rated transformation ratio 20:5</t>
  </si>
  <si>
    <t>Table 3</t>
  </si>
  <si>
    <t>500 AT transformer, P2, rated transformation ratio 100:5</t>
  </si>
  <si>
    <t>Table 4</t>
  </si>
  <si>
    <t>600 AT transformer, P2, rated transformation ratio 100:5</t>
  </si>
  <si>
    <t>Table 5</t>
  </si>
  <si>
    <t>500 AT transformer, P3, rated transformation ratio 100:5</t>
  </si>
  <si>
    <t>Copied from the "Tables" page of: G:\estds\CALIBRAT\POWER&amp;ENERGY\CTS\TwoStageCTs\Ctcal3.xls</t>
  </si>
  <si>
    <t>But in CT844400_Oct05.xls the uncertainties are changed to be more conservative, probably because the CT is being used at 500:5 and these tables calibrate tha 100:5 range.</t>
  </si>
  <si>
    <t>Common Resistors  October 2007</t>
  </si>
  <si>
    <t>Slidewire Scale Corrections
October 2007</t>
  </si>
  <si>
    <t>Variable Mutual Inductor Corrections
October 2007</t>
  </si>
  <si>
    <t>Auxiliary Current Transformer Errors October 2007</t>
  </si>
  <si>
    <t>53 Hz</t>
  </si>
  <si>
    <t>Average</t>
  </si>
  <si>
    <t>50 Hz</t>
  </si>
  <si>
    <t>Rob some current with 1k across 5A output of Aux transformer.</t>
  </si>
  <si>
    <t>Rob more current with 680ohm across 5A output of Aux transformer.</t>
  </si>
  <si>
    <t>G:\estds\CALIBRAT\POWER&amp;ENERGY\CTS\ArnoldTestSet\Arnold_2007.xls</t>
  </si>
  <si>
    <t>These tables are from:</t>
  </si>
  <si>
    <t xml:space="preserve">Current Error
</t>
  </si>
  <si>
    <t xml:space="preserve">Phase Error
</t>
  </si>
  <si>
    <t>G:\estds\CALIBRAT\POWER&amp;ENERGY\CTS\EE844400\CT844400_CheckNov07.xls</t>
  </si>
  <si>
    <t>Change from 2500:5 / 8VA done in 2002.</t>
  </si>
  <si>
    <t>Added the two stage CT calibration results In "TwoStageCT" worksheet</t>
  </si>
  <si>
    <t>Updated "Arnold" worksheet from "G:\estds\CALIBRAT\POWER&amp;ENERGY\CTS\ArnoldTestSet\Arnold_2007.xls"</t>
  </si>
  <si>
    <t>Pointed named variables "TestSetRatioCor" and "TestSetPhaseCor" on "5 A Calc" worksheet  to the new numbers</t>
  </si>
  <si>
    <t>Added "CF Previous Results" worksheet to compare the previous results and to start building a history.</t>
  </si>
  <si>
    <t>Added a results table of the November 2007 check calibration of the 844400 CT to the "844400" worksheet.</t>
  </si>
  <si>
    <t>These tables from:</t>
  </si>
  <si>
    <t xml:space="preserve">TABLE (2) 5000 AT.  10 TURNS, L2-M, VS TWO-STAGE CT 500:5  5VA burden  </t>
  </si>
  <si>
    <t xml:space="preserve">TABLE (1) 5000 AT.  10 TURNS, L2-M, VS TWO-STAGE CT 500:5  8VA burden  </t>
  </si>
  <si>
    <t>TABLE (4)   6000 AT.  12 TURNS, L1-M, VS TWO-STAGE CT 500:5  5VA burden</t>
  </si>
  <si>
    <t>TABLE (3)   6000 AT.  12 TURNS, L1-M, VS TWO-STAGE CT 500:5 8VA burden</t>
  </si>
  <si>
    <t>Current error
(%)</t>
  </si>
  <si>
    <t>Means</t>
  </si>
  <si>
    <t>Std Devn</t>
  </si>
  <si>
    <t>Expanded uncert</t>
  </si>
  <si>
    <t>Change from 2002</t>
  </si>
  <si>
    <t>of 700 to 1600 urad for 5A and 800 to 1800 urad for 1A.</t>
  </si>
  <si>
    <t>is treated as an uncertainty and the Auxiliary transformer error</t>
  </si>
  <si>
    <t>Mean correction=</t>
  </si>
  <si>
    <t>Std devn =</t>
  </si>
  <si>
    <t>Treat this factor as an uncertainty with a std devn=</t>
  </si>
  <si>
    <t>Correction/</t>
  </si>
  <si>
    <t>Resolution</t>
  </si>
  <si>
    <t>ie less than one sigma, hence don't include an additional uncertainty component</t>
  </si>
  <si>
    <t>at two sigma. Cf the scale resolution is 0.002% at two sigma so we can ignore this uncertainty.</t>
  </si>
  <si>
    <t>Std devn</t>
  </si>
  <si>
    <t>Corrn (%)</t>
  </si>
  <si>
    <t>Correction (% of F.S.)</t>
  </si>
  <si>
    <t>These are % of F.S. so for the x1 or 0.5 % error scale these are &lt; 0.12% of 0.5% or 0.0006%</t>
  </si>
  <si>
    <t>cf resolution uncertainty is 0.1 minutes (one sigma) at 25 minutes.</t>
  </si>
  <si>
    <t>crad (now is the std dev of corrns)</t>
  </si>
  <si>
    <t>mutual_ind</t>
  </si>
  <si>
    <t>Aux CT and mutual ind corrn (crad)</t>
  </si>
  <si>
    <t>aux_CT_ratio</t>
  </si>
  <si>
    <t>aux_CT_phase</t>
  </si>
  <si>
    <t>not %</t>
  </si>
  <si>
    <t>Aux CT error (%)</t>
  </si>
  <si>
    <t>S21686 for the Metrix Atco multi-range CT</t>
  </si>
  <si>
    <t>burden test, xx ohms, yy ohms off</t>
  </si>
  <si>
    <t>burden test, xx ohms, yy ohms on</t>
  </si>
  <si>
    <t>burden test, 0 ohms, yy ohms off</t>
  </si>
  <si>
    <t>burden test, 0 ohms,yy ohms on</t>
  </si>
  <si>
    <t>Shunt resistance</t>
  </si>
  <si>
    <t>Rotronics Temp</t>
  </si>
  <si>
    <t>Rotronics RH</t>
  </si>
  <si>
    <t>Additional 2-sigma uncert</t>
  </si>
  <si>
    <t>Quoted values</t>
  </si>
  <si>
    <t>Rotronics correction</t>
  </si>
  <si>
    <t>Temp gradient corrn</t>
  </si>
  <si>
    <t>Arnold Test Set Uncertainties</t>
  </si>
  <si>
    <t>Note by Laurie on 16 Dec 05: found that there is a direct interaction between mutual inductor and SR830- this may have caused some of the observed errors.</t>
  </si>
  <si>
    <t>1/ Resolution of slidewire</t>
  </si>
  <si>
    <t>2/ Resolution of mutual inductor</t>
  </si>
  <si>
    <t>The uncertainty (column AD) now reflects this non-linearity.</t>
  </si>
  <si>
    <t>3/ Mutual inductor errors</t>
  </si>
  <si>
    <t>Don't apply correction but treat std devn of corrections as an uncertainty</t>
  </si>
  <si>
    <t>4/ Aux CT ratio</t>
  </si>
  <si>
    <t>Apply a mean correction and use std devn of errors as an uncertainty in that correction.</t>
  </si>
  <si>
    <t>5/ Aux CT phase</t>
  </si>
  <si>
    <t>V2 template created at end of S21686: Changed the phase angle (mutual inductor) resolution uncertainty formula, making it reading dependent as it is in the CMC calculation.</t>
  </si>
  <si>
    <t xml:space="preserve">Added uncertainty components for these corrections (std devn of the values), the mutual inductor  std devn (no correction applied), </t>
  </si>
  <si>
    <t>Also TestSetRatioCorr and TestSetPhaseCorr now are (1+error) rather than (1-error) and use mean rather than single (originally 5% value).</t>
  </si>
  <si>
    <t>Arnold Xer</t>
  </si>
  <si>
    <t>in mrad</t>
  </si>
  <si>
    <t>Enter row number</t>
  </si>
  <si>
    <t>Model</t>
  </si>
  <si>
    <t>S/N</t>
  </si>
  <si>
    <t>Inserted data from 5 A Data page of checked S21686 spreadsheet into the data page of this template</t>
  </si>
  <si>
    <t>The results were</t>
  </si>
  <si>
    <t>Data copied from S21686 report into 5A template spreadsheet and then Pasted Special here</t>
  </si>
  <si>
    <t>S21686 report Table</t>
  </si>
  <si>
    <t>Table xxx. Ratio 1250:5.  Secondary: Secondary winding</t>
  </si>
  <si>
    <t>Burden (W)</t>
  </si>
  <si>
    <t>Differences</t>
  </si>
  <si>
    <t>2/ Effect of bunching: these measurements are necessary because they are used to derive an uncertainty component.  For non-window CTs you can test the effect of CT orientation and location, ie sensitivity to magnetic fields (see S21685 spreadsheets).</t>
  </si>
  <si>
    <t>For Transfield reports S21757 and S21758.</t>
  </si>
  <si>
    <t>Add two additional columns to the uncertainty calculations in the "5A calc" worksheet. One in the phase and one in the ratio uncertainty calculation.</t>
  </si>
  <si>
    <t>This is so an instability component can be added to the uncertainties in both phase and ratio where it can be observed in the measurements.</t>
  </si>
  <si>
    <t>Observed instability</t>
  </si>
  <si>
    <t>Date:</t>
  </si>
  <si>
    <t xml:space="preserve">Enter data for the reference for </t>
  </si>
  <si>
    <t>Bunching test into this block.</t>
  </si>
  <si>
    <t>Either the "After demagnetisation"</t>
  </si>
  <si>
    <t xml:space="preserve">data repeated or that of a more </t>
  </si>
  <si>
    <t>setup for a bunching test.</t>
  </si>
  <si>
    <t>UUT Range</t>
  </si>
  <si>
    <t>UUT Turns</t>
  </si>
  <si>
    <t xml:space="preserve">Standard Range </t>
  </si>
  <si>
    <t>Standard Turns</t>
  </si>
  <si>
    <t>TABLE (5)   4000 AT.  8 TURNS, L3-M, VS TWO-STAGE CT 500:5  8VA burden</t>
  </si>
  <si>
    <t>TABLE (6)   4000 AT.  8 TURNS, L3-M, VS TWO-STAGE CT 500:5  5VA burden</t>
  </si>
  <si>
    <t>Repeat 6000AT</t>
  </si>
  <si>
    <t>TABLE (7)   6000 AT.  12 TURNS, L1-M, VS TWO-STAGE CT 500:5 8VA burden</t>
  </si>
  <si>
    <t>TABLE (8)   6000 AT.  12 TURNS, L1-M, VS TWO-STAGE CT 500:5  5VA burden</t>
  </si>
  <si>
    <t>Check that the "844400" worksheet has the correct table referenced for the VA that you are working at.</t>
  </si>
  <si>
    <t>Enter resistor value</t>
  </si>
  <si>
    <t>Added Change from 2002 for 4000 AT range on 844400 page</t>
  </si>
  <si>
    <t>Fixed 6000 AT change formula on 844400 page</t>
  </si>
  <si>
    <t>Changed colour of column AD on 5A calc page to make it clearer that the formula is different to the ratio error one</t>
  </si>
  <si>
    <t>Average movement</t>
  </si>
  <si>
    <t>sd of movement</t>
  </si>
  <si>
    <t>Added suggested formula for stability of DUT in cells X9 and AL9 of 5 A calc page</t>
  </si>
  <si>
    <t>V4.0</t>
  </si>
  <si>
    <t>Update conductor configuration uncertainties on uncertainty worksheet. See cell K30</t>
  </si>
  <si>
    <t>For Metrix report S21857</t>
  </si>
  <si>
    <t>For Transfield Services report S21865</t>
  </si>
  <si>
    <t>5ACT Template V4.0.xls</t>
  </si>
  <si>
    <t>Created 11 Dec. 2012</t>
  </si>
  <si>
    <t>V3.0</t>
  </si>
  <si>
    <t>…Private\Electricity\Quality\TECHPROC\E056-CTscale\Supporting Information\ArnoldTestSet\Arnold_2012.xls</t>
  </si>
  <si>
    <t>Common Resistors  September 2012</t>
  </si>
  <si>
    <t>Slidewire Scale Corrections
September 2012</t>
  </si>
  <si>
    <t>Variable Mutual Inductor Corrections September 2012
October 2007</t>
  </si>
  <si>
    <t>Auxiliary Current Transformer Errors September 2012</t>
  </si>
  <si>
    <t>53 Hz  HEG source</t>
  </si>
  <si>
    <t>50 Hz  160VA CT source</t>
  </si>
  <si>
    <t>Auxiliary Current Transformer Errors October 2012</t>
  </si>
  <si>
    <t>50 Hz 160VA source, phase each step.</t>
  </si>
  <si>
    <t>Table 1. Ratio 4000:5.  Secondary: M-L3</t>
  </si>
  <si>
    <t>Current error
(uA/A)</t>
  </si>
  <si>
    <t>Phase error
(micro-radians)</t>
  </si>
  <si>
    <t>Table 2. Ratio 4000:5.  Secondary: M-L3</t>
  </si>
  <si>
    <t>Table 3. Ratio 5000:5.  Secondary: M-L2</t>
  </si>
  <si>
    <t>Table 4. Ratio 5000:5.  Secondary: M-L2</t>
  </si>
  <si>
    <t>Table 5. Ratio 6000:5.  Secondary: M-L1</t>
  </si>
  <si>
    <t>Table 6. Ratio 6000:5.  Secondary: M-L1</t>
  </si>
  <si>
    <t>Table . Self Cal Ratio 5/5  6000AT.  Secondary: M-L1</t>
  </si>
  <si>
    <t>Table . Self Cal Ratio 5/5  5000AT.  Secondary: M-L2</t>
  </si>
  <si>
    <t>Table . Self Cal Ratio 5/5  4000AT.  Secondary: M-L3</t>
  </si>
  <si>
    <t>4000/5 Range, 8 turns @ 5VA burden, vs 100 AT, 500 range, 2 Stage CT</t>
  </si>
  <si>
    <t>4000/5 Range, 8 turns @ 8VA burden, vs 100 AT, 500 range, 2 Stage CT</t>
  </si>
  <si>
    <t>I:\MSL\Private\Electricity\Commercial\Reports\2013\S21891\CT844400_Apr2013_ 5A_V4.0.xls</t>
  </si>
  <si>
    <t>5000/5 Range, 10 turns @ 5VA burden, vs 100 AT, 500 range, 2 Stage CT</t>
  </si>
  <si>
    <t>5000/5 Range, 10 turns @ 8VA burden, vs 100 AT, 500 range, 2 Stage CT</t>
  </si>
  <si>
    <t>6000/5 Range, 12 turns @ 5VA burden, vs 100 AT, 500 range, 2 Stage CT</t>
  </si>
  <si>
    <t>6000/5 Range, 12 turns @ 8VA burden, vs 100 AT, 500 range, 2 Stage CT</t>
  </si>
  <si>
    <t>6000/5 Range, 0 turns @ 8VA burden, vs 100 AT, 5 range, 2 Stage CT</t>
  </si>
  <si>
    <t>5000/5 Range, 0 turns @ 8VA burden, vs 100 AT, 5 range, 2 Stage CT</t>
  </si>
  <si>
    <t>4000/5 Range, 0 turns @ 8VA burden, vs 100 AT, 5 range, 2 Stage CT</t>
  </si>
  <si>
    <t>V5.0 draft</t>
  </si>
  <si>
    <t>Update calibration constants on the following worksheets:</t>
  </si>
  <si>
    <t>TwoStageCT:  Data from:  The "Tables" page in: ….\Private\Electricity\Quality\TECHPROC\E056-CTscale\Supporting Information\TwoStageCTs\Ctcal3_2012.xls</t>
  </si>
  <si>
    <t>8444400: Data from: The "5A Tables" page in I:\MSL\Private\Electricity\Commercial\Reports\2013\S21891\CT844400_Apr2013_ 5A_V4.0.xls</t>
  </si>
  <si>
    <t>Arnold: Data from:  The  "Summary" page in …Private\Electricity\Quality\TECHPROC\E056-CTscale\Supporting Information\ArnoldTestSet\Arnold_2012.xls</t>
  </si>
  <si>
    <t>MSL standard used:</t>
  </si>
  <si>
    <t>If  2 stage 100 turn enter 1</t>
  </si>
  <si>
    <t>If  2 stage 120 turn enter 2</t>
  </si>
  <si>
    <t>If  844400 enter 3</t>
  </si>
  <si>
    <t>This primary is "100/100" or "100/50" or "100/25"</t>
  </si>
  <si>
    <t>This primary is "120/200" or "120/100"</t>
  </si>
  <si>
    <t>This primary is "100/500" or "100/100"</t>
  </si>
  <si>
    <t>This primary is "120/100" or "120/20"</t>
  </si>
  <si>
    <t>This primary is "100/20"  or "100/10" or "100/5"</t>
  </si>
  <si>
    <t>Copied from the "Tables" page of:</t>
  </si>
  <si>
    <t xml:space="preserve"> ….MSL\Private\Electricity\Quality\TECHPROC\E056-CTscale\Supporting Information\TwoStageCTs\Ctcal3_2012.xls</t>
  </si>
  <si>
    <t>with 1000ohm Cropico and 100ohm Tinsley</t>
  </si>
  <si>
    <t>S1 - S4</t>
  </si>
  <si>
    <t>burden test, 0 ohms, 100ohms off</t>
  </si>
  <si>
    <t>burden test, 0 ohms,100ohms on</t>
  </si>
  <si>
    <t>burden test, 0 ohms, 1000ohms off</t>
  </si>
  <si>
    <t>burden test, 0 ohms,1000ohms on</t>
  </si>
  <si>
    <t>Standard CT and Arnold Rest Set setup but there is an additional 420mm of wire in the CT to Arnold lead.</t>
  </si>
  <si>
    <t>Burden:</t>
  </si>
  <si>
    <t>1.25VA unity</t>
  </si>
  <si>
    <t>with 100ohm Tinsley</t>
  </si>
  <si>
    <t>2.5VA unity</t>
  </si>
  <si>
    <t>3.75VA unity</t>
  </si>
  <si>
    <t>5.0VA 0.8 pf</t>
  </si>
  <si>
    <t>7.5VA 0.8 pf</t>
  </si>
  <si>
    <t>No External Burden.</t>
  </si>
  <si>
    <t>Using 100 ohm shunt</t>
  </si>
  <si>
    <t>Using 50 ohm shunt</t>
  </si>
  <si>
    <t>difference</t>
  </si>
  <si>
    <t>resistance</t>
  </si>
  <si>
    <t>with 10ohm Tinsley</t>
  </si>
  <si>
    <t>with 50ohm ESI LTC10  R1 to R5</t>
  </si>
  <si>
    <t>Using 10 ohm shunt</t>
  </si>
  <si>
    <t>1.25VA</t>
  </si>
  <si>
    <t>Shunt</t>
  </si>
  <si>
    <t>Unity pf</t>
  </si>
  <si>
    <t>complex</t>
  </si>
  <si>
    <t>Label</t>
  </si>
  <si>
    <t>uR</t>
  </si>
  <si>
    <t>df</t>
  </si>
  <si>
    <t>jR</t>
  </si>
  <si>
    <t>ujR</t>
  </si>
  <si>
    <t>['No External Burden.']</t>
  </si>
  <si>
    <t>['1.25VA unity']</t>
  </si>
  <si>
    <t>['2.5VA unity']</t>
  </si>
  <si>
    <t>['3.75VA unity']</t>
  </si>
  <si>
    <t>['5.0VA 0.8 pf']</t>
  </si>
  <si>
    <t>['7.5VA 0.8 pf']</t>
  </si>
  <si>
    <t>Average and zero correct the results above</t>
  </si>
  <si>
    <t>k</t>
  </si>
  <si>
    <t>VA</t>
  </si>
  <si>
    <t>uVA</t>
  </si>
  <si>
    <t>PF</t>
  </si>
  <si>
    <t>uPF</t>
  </si>
  <si>
    <t>from myBurdenResults.xlsx</t>
  </si>
  <si>
    <t>Resistance
(Ω)</t>
  </si>
  <si>
    <t>Expanded Uncertainty
(Ω)</t>
  </si>
  <si>
    <t>1.25 VA,  unity PF</t>
  </si>
  <si>
    <t>2.5 VA, unity PF</t>
  </si>
  <si>
    <t>3.75 VA, unity PF</t>
  </si>
  <si>
    <t>5 VA, 0.8 PF</t>
  </si>
  <si>
    <t>7.5VA, 0.8 PF</t>
  </si>
  <si>
    <t>Expanded Uncertainty
(VA)</t>
  </si>
  <si>
    <t>Power Factor</t>
  </si>
  <si>
    <t>Reactance
(Ω)</t>
  </si>
  <si>
    <t>Apparent Power
(VA)</t>
  </si>
  <si>
    <t>Burden
Label</t>
  </si>
  <si>
    <t>U %</t>
  </si>
  <si>
    <t>R</t>
  </si>
  <si>
    <t>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</si>
</sst>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3">
    <numFmt numFmtId="164" formatCode="0.000"/>
    <numFmt numFmtId="165" formatCode="0.0"/>
    <numFmt numFmtId="166" formatCode="0.00000"/>
    <numFmt numFmtId="167" formatCode="0.0000"/>
    <numFmt numFmtId="168" formatCode="0.000000"/>
    <numFmt numFmtId="169" formatCode="0.0E+00"/>
    <numFmt numFmtId="170" formatCode="#0.0\ \ \ \ "/>
    <numFmt numFmtId="171" formatCode="#0\ \ \ \ "/>
    <numFmt numFmtId="172" formatCode="#0.0\ \ \ \ \ "/>
    <numFmt numFmtId="173" formatCode="0.000000\ \ \ "/>
    <numFmt numFmtId="175" formatCode="#0.000\ \ \ \ "/>
    <numFmt numFmtId="182" formatCode="#0.000\ "/>
    <numFmt numFmtId="183" formatCode="0.0000\ \ "/>
  </numFmts>
  <fonts count="22" x14ac:knownFonts="1">
    <font>
      <sz val="10"/>
      <name val="Arial"/>
    </font>
    <font>
      <sz val="10"/>
      <name val="Arial"/>
    </font>
    <font>
      <b/>
      <sz val="10"/>
      <name val="Arial"/>
      <family val="2"/>
    </font>
    <font>
      <sz val="10"/>
      <name val="Arial"/>
      <family val="2"/>
    </font>
    <font>
      <sz val="10"/>
      <name val="Symbol"/>
      <family val="1"/>
      <charset val="2"/>
    </font>
    <font>
      <sz val="8"/>
      <color indexed="81"/>
      <name val="Tahoma"/>
      <family val="2"/>
    </font>
    <font>
      <b/>
      <sz val="8"/>
      <color indexed="81"/>
      <name val="Tahoma"/>
      <family val="2"/>
    </font>
    <font>
      <b/>
      <sz val="12"/>
      <name val="Arial"/>
      <family val="2"/>
    </font>
    <font>
      <sz val="10"/>
      <color indexed="12"/>
      <name val="Arial"/>
      <family val="2"/>
    </font>
    <font>
      <b/>
      <sz val="10"/>
      <color indexed="12"/>
      <name val="Arial"/>
      <family val="2"/>
    </font>
    <font>
      <i/>
      <sz val="10"/>
      <name val="Arial"/>
      <family val="2"/>
    </font>
    <font>
      <b/>
      <sz val="10"/>
      <name val="Arial"/>
      <family val="2"/>
    </font>
    <font>
      <sz val="10"/>
      <name val="Arial"/>
      <family val="2"/>
    </font>
    <font>
      <sz val="8"/>
      <name val="Arial"/>
      <family val="2"/>
    </font>
    <font>
      <b/>
      <u/>
      <sz val="12"/>
      <name val="Arial"/>
      <family val="2"/>
    </font>
    <font>
      <sz val="12"/>
      <name val="Book Antiqua"/>
      <family val="1"/>
    </font>
    <font>
      <u/>
      <sz val="10"/>
      <name val="Arial"/>
      <family val="2"/>
    </font>
    <font>
      <u/>
      <sz val="10"/>
      <name val="Arial"/>
      <family val="2"/>
    </font>
    <font>
      <sz val="10"/>
      <color indexed="10"/>
      <name val="Arial"/>
      <family val="2"/>
    </font>
    <font>
      <sz val="10"/>
      <color indexed="10"/>
      <name val="Arial"/>
      <family val="2"/>
    </font>
    <font>
      <sz val="10"/>
      <name val="Times New Roman"/>
      <family val="1"/>
    </font>
    <font>
      <i/>
      <sz val="10"/>
      <name val="Times New Roman"/>
      <family val="1"/>
    </font>
  </fonts>
  <fills count="11">
    <fill>
      <patternFill patternType="none"/>
    </fill>
    <fill>
      <patternFill patternType="gray125"/>
    </fill>
    <fill>
      <patternFill patternType="solid">
        <fgColor indexed="43"/>
        <bgColor indexed="64"/>
      </patternFill>
    </fill>
    <fill>
      <patternFill patternType="solid">
        <fgColor indexed="42"/>
        <bgColor indexed="64"/>
      </patternFill>
    </fill>
    <fill>
      <patternFill patternType="solid">
        <fgColor indexed="15"/>
        <bgColor indexed="64"/>
      </patternFill>
    </fill>
    <fill>
      <patternFill patternType="solid">
        <fgColor indexed="11"/>
        <bgColor indexed="64"/>
      </patternFill>
    </fill>
    <fill>
      <patternFill patternType="solid">
        <fgColor indexed="13"/>
        <bgColor indexed="64"/>
      </patternFill>
    </fill>
    <fill>
      <patternFill patternType="solid">
        <fgColor indexed="41"/>
        <bgColor indexed="64"/>
      </patternFill>
    </fill>
    <fill>
      <patternFill patternType="solid">
        <fgColor indexed="45"/>
        <bgColor indexed="64"/>
      </patternFill>
    </fill>
    <fill>
      <patternFill patternType="solid">
        <fgColor rgb="FFFFFF00"/>
        <bgColor indexed="64"/>
      </patternFill>
    </fill>
    <fill>
      <patternFill patternType="solid">
        <fgColor rgb="FFFFC000"/>
        <bgColor indexed="64"/>
      </patternFill>
    </fill>
  </fills>
  <borders count="38">
    <border>
      <left/>
      <right/>
      <top/>
      <bottom/>
      <diagonal/>
    </border>
    <border>
      <left style="thin">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right/>
      <top style="thin">
        <color indexed="64"/>
      </top>
      <bottom style="thin">
        <color indexed="64"/>
      </bottom>
      <diagonal/>
    </border>
    <border>
      <left style="thin">
        <color indexed="64"/>
      </left>
      <right/>
      <top/>
      <bottom style="medium">
        <color indexed="64"/>
      </bottom>
      <diagonal/>
    </border>
    <border>
      <left/>
      <right style="medium">
        <color indexed="64"/>
      </right>
      <top style="thin">
        <color indexed="64"/>
      </top>
      <bottom style="thin">
        <color indexed="64"/>
      </bottom>
      <diagonal/>
    </border>
  </borders>
  <cellStyleXfs count="1">
    <xf numFmtId="0" fontId="0" fillId="0" borderId="0"/>
  </cellStyleXfs>
  <cellXfs count="580">
    <xf numFmtId="0" fontId="0" fillId="0" borderId="0" xfId="0"/>
    <xf numFmtId="0" fontId="2" fillId="0" borderId="0" xfId="0" applyFont="1"/>
    <xf numFmtId="0" fontId="0" fillId="0" borderId="0" xfId="0" applyAlignment="1">
      <alignment wrapText="1"/>
    </xf>
    <xf numFmtId="0" fontId="0" fillId="0" borderId="0" xfId="0" applyAlignment="1">
      <alignment horizontal="center" vertical="center" wrapText="1"/>
    </xf>
    <xf numFmtId="164" fontId="0" fillId="0" borderId="0" xfId="0" applyNumberFormat="1"/>
    <xf numFmtId="0" fontId="0" fillId="0" borderId="0" xfId="0" applyAlignment="1">
      <alignment horizontal="center"/>
    </xf>
    <xf numFmtId="0" fontId="0" fillId="0" borderId="1" xfId="0" applyBorder="1"/>
    <xf numFmtId="0" fontId="0" fillId="0" borderId="0" xfId="0" applyBorder="1"/>
    <xf numFmtId="0" fontId="0" fillId="0" borderId="2" xfId="0" applyBorder="1" applyAlignment="1">
      <alignment horizontal="center" vertical="center" wrapText="1"/>
    </xf>
    <xf numFmtId="0" fontId="0" fillId="0" borderId="3" xfId="0" applyBorder="1" applyAlignment="1">
      <alignment horizontal="center" vertical="center" wrapText="1"/>
    </xf>
    <xf numFmtId="0" fontId="0" fillId="0" borderId="4" xfId="0" applyBorder="1"/>
    <xf numFmtId="0" fontId="0" fillId="0" borderId="3" xfId="0" applyBorder="1"/>
    <xf numFmtId="0" fontId="0" fillId="0" borderId="5" xfId="0" applyBorder="1" applyAlignment="1">
      <alignment horizontal="center" vertical="center" wrapText="1"/>
    </xf>
    <xf numFmtId="0" fontId="0" fillId="0" borderId="6" xfId="0" applyBorder="1" applyAlignment="1">
      <alignment horizontal="center" vertical="center" wrapText="1"/>
    </xf>
    <xf numFmtId="1" fontId="0" fillId="0" borderId="0" xfId="0" applyNumberFormat="1"/>
    <xf numFmtId="0" fontId="0" fillId="0" borderId="0" xfId="0" applyBorder="1" applyAlignment="1">
      <alignment horizontal="center" vertical="center" wrapText="1"/>
    </xf>
    <xf numFmtId="164" fontId="0" fillId="0" borderId="0" xfId="0" applyNumberFormat="1" applyBorder="1"/>
    <xf numFmtId="0" fontId="0" fillId="0" borderId="7" xfId="0" applyBorder="1" applyAlignment="1">
      <alignment horizontal="center" vertical="center" wrapText="1"/>
    </xf>
    <xf numFmtId="0" fontId="0" fillId="0" borderId="4" xfId="0" applyBorder="1" applyAlignment="1">
      <alignment horizontal="center" vertical="center"/>
    </xf>
    <xf numFmtId="0" fontId="0" fillId="0" borderId="0" xfId="0" applyAlignment="1">
      <alignment horizontal="center" wrapText="1"/>
    </xf>
    <xf numFmtId="2" fontId="0" fillId="0" borderId="0" xfId="0" applyNumberFormat="1" applyAlignment="1">
      <alignment horizontal="center" wrapText="1"/>
    </xf>
    <xf numFmtId="164" fontId="0" fillId="0" borderId="0" xfId="0" applyNumberFormat="1" applyFill="1"/>
    <xf numFmtId="167" fontId="0" fillId="0" borderId="0" xfId="0" applyNumberFormat="1" applyFill="1" applyAlignment="1">
      <alignment horizontal="center" wrapText="1"/>
    </xf>
    <xf numFmtId="167" fontId="0" fillId="0" borderId="0" xfId="0" applyNumberFormat="1" applyFill="1"/>
    <xf numFmtId="164" fontId="0" fillId="0" borderId="0" xfId="0" applyNumberFormat="1" applyFill="1" applyAlignment="1">
      <alignment horizontal="right" wrapText="1"/>
    </xf>
    <xf numFmtId="1" fontId="0" fillId="0" borderId="0" xfId="0" applyNumberFormat="1" applyFill="1"/>
    <xf numFmtId="165" fontId="0" fillId="0" borderId="0" xfId="0" applyNumberFormat="1" applyFill="1"/>
    <xf numFmtId="165" fontId="0" fillId="0" borderId="0" xfId="0" applyNumberFormat="1"/>
    <xf numFmtId="2" fontId="0" fillId="0" borderId="0" xfId="0" applyNumberFormat="1"/>
    <xf numFmtId="167" fontId="0" fillId="0" borderId="0" xfId="0" applyNumberFormat="1"/>
    <xf numFmtId="46" fontId="2" fillId="0" borderId="0" xfId="0" applyNumberFormat="1" applyFont="1"/>
    <xf numFmtId="164" fontId="0" fillId="0" borderId="0" xfId="0" applyNumberFormat="1" applyFill="1" applyAlignment="1">
      <alignment horizontal="center" wrapText="1"/>
    </xf>
    <xf numFmtId="164" fontId="0" fillId="0" borderId="0" xfId="0" applyNumberFormat="1" applyAlignment="1">
      <alignment horizontal="center" wrapText="1"/>
    </xf>
    <xf numFmtId="164" fontId="0" fillId="0" borderId="0" xfId="0" applyNumberFormat="1" applyBorder="1" applyAlignment="1">
      <alignment horizontal="center" vertical="center" wrapText="1"/>
    </xf>
    <xf numFmtId="167" fontId="0" fillId="0" borderId="0" xfId="0" applyNumberFormat="1" applyBorder="1"/>
    <xf numFmtId="167" fontId="0" fillId="0" borderId="0" xfId="0" applyNumberFormat="1" applyFill="1" applyBorder="1" applyAlignment="1">
      <alignment horizontal="center" wrapText="1"/>
    </xf>
    <xf numFmtId="0" fontId="0" fillId="0" borderId="8" xfId="0" applyBorder="1"/>
    <xf numFmtId="0" fontId="2" fillId="0" borderId="2" xfId="0" applyFont="1" applyBorder="1"/>
    <xf numFmtId="0" fontId="0" fillId="0" borderId="9" xfId="0" applyBorder="1"/>
    <xf numFmtId="0" fontId="0" fillId="0" borderId="10" xfId="0" applyBorder="1"/>
    <xf numFmtId="0" fontId="0" fillId="0" borderId="11" xfId="0" applyBorder="1"/>
    <xf numFmtId="9" fontId="0" fillId="0" borderId="0" xfId="0" applyNumberFormat="1"/>
    <xf numFmtId="166" fontId="0" fillId="0" borderId="0" xfId="0" applyNumberFormat="1"/>
    <xf numFmtId="0" fontId="0" fillId="0" borderId="2" xfId="0" applyBorder="1"/>
    <xf numFmtId="0" fontId="0" fillId="0" borderId="5" xfId="0" applyBorder="1"/>
    <xf numFmtId="0" fontId="0" fillId="0" borderId="6" xfId="0" applyBorder="1"/>
    <xf numFmtId="0" fontId="3" fillId="0" borderId="0" xfId="0" applyFont="1"/>
    <xf numFmtId="164" fontId="0" fillId="0" borderId="2" xfId="0" applyNumberFormat="1" applyBorder="1" applyAlignment="1">
      <alignment horizontal="center" vertical="center" wrapText="1"/>
    </xf>
    <xf numFmtId="164" fontId="0" fillId="0" borderId="1" xfId="0" applyNumberFormat="1" applyBorder="1" applyAlignment="1">
      <alignment horizontal="center" vertical="center" wrapText="1"/>
    </xf>
    <xf numFmtId="165" fontId="0" fillId="0" borderId="8" xfId="0" applyNumberFormat="1" applyBorder="1" applyAlignment="1">
      <alignment horizontal="center" vertical="center" wrapText="1"/>
    </xf>
    <xf numFmtId="2" fontId="0" fillId="0" borderId="1" xfId="0" applyNumberFormat="1" applyBorder="1" applyAlignment="1">
      <alignment horizontal="center" vertical="center" wrapText="1"/>
    </xf>
    <xf numFmtId="0" fontId="0" fillId="0" borderId="12" xfId="0" applyBorder="1" applyAlignment="1">
      <alignment horizontal="center" vertical="center" wrapText="1"/>
    </xf>
    <xf numFmtId="0" fontId="0" fillId="0" borderId="13" xfId="0" applyBorder="1"/>
    <xf numFmtId="164" fontId="0" fillId="0" borderId="12" xfId="0" applyNumberFormat="1" applyBorder="1" applyAlignment="1">
      <alignment horizontal="center" vertical="center" wrapText="1"/>
    </xf>
    <xf numFmtId="0" fontId="0" fillId="0" borderId="14" xfId="0" applyBorder="1" applyAlignment="1">
      <alignment horizontal="center" vertical="center" wrapText="1"/>
    </xf>
    <xf numFmtId="165" fontId="0" fillId="0" borderId="7" xfId="0" applyNumberFormat="1" applyBorder="1" applyAlignment="1">
      <alignment horizontal="center" vertical="center" wrapText="1"/>
    </xf>
    <xf numFmtId="165" fontId="0" fillId="0" borderId="12" xfId="0" applyNumberFormat="1" applyBorder="1" applyAlignment="1">
      <alignment horizontal="center" vertical="center" wrapText="1"/>
    </xf>
    <xf numFmtId="1" fontId="0" fillId="0" borderId="12" xfId="0" applyNumberFormat="1" applyBorder="1" applyAlignment="1">
      <alignment horizontal="center" vertical="center" wrapText="1"/>
    </xf>
    <xf numFmtId="167" fontId="0" fillId="0" borderId="11" xfId="0" applyNumberFormat="1" applyFill="1" applyBorder="1"/>
    <xf numFmtId="166" fontId="0" fillId="0" borderId="0" xfId="0" applyNumberFormat="1" applyFill="1" applyAlignment="1">
      <alignment horizontal="center" wrapText="1"/>
    </xf>
    <xf numFmtId="49" fontId="2" fillId="0" borderId="0" xfId="0" applyNumberFormat="1" applyFont="1" applyAlignment="1">
      <alignment horizontal="left"/>
    </xf>
    <xf numFmtId="46" fontId="2" fillId="0" borderId="2" xfId="0" applyNumberFormat="1" applyFont="1" applyBorder="1" applyAlignment="1">
      <alignment horizontal="left" vertical="center"/>
    </xf>
    <xf numFmtId="1" fontId="0" fillId="0" borderId="7" xfId="0" applyNumberFormat="1" applyBorder="1" applyAlignment="1">
      <alignment horizontal="center" vertical="center" wrapText="1"/>
    </xf>
    <xf numFmtId="1" fontId="0" fillId="0" borderId="4" xfId="0" applyNumberFormat="1" applyBorder="1" applyAlignment="1">
      <alignment horizontal="center" vertical="center" wrapText="1"/>
    </xf>
    <xf numFmtId="165" fontId="0" fillId="0" borderId="4" xfId="0" applyNumberFormat="1" applyBorder="1" applyAlignment="1">
      <alignment horizontal="center" vertical="center" wrapText="1"/>
    </xf>
    <xf numFmtId="1" fontId="0" fillId="0" borderId="0" xfId="0" applyNumberFormat="1" applyBorder="1" applyAlignment="1">
      <alignment horizontal="center" vertical="center" wrapText="1"/>
    </xf>
    <xf numFmtId="165" fontId="0" fillId="0" borderId="0" xfId="0" applyNumberFormat="1" applyBorder="1" applyAlignment="1">
      <alignment horizontal="center" vertical="center" wrapText="1"/>
    </xf>
    <xf numFmtId="167" fontId="0" fillId="0" borderId="9" xfId="0" applyNumberFormat="1" applyBorder="1"/>
    <xf numFmtId="1" fontId="2" fillId="0" borderId="0" xfId="0" applyNumberFormat="1" applyFont="1" applyBorder="1" applyAlignment="1">
      <alignment horizontal="left" vertical="center"/>
    </xf>
    <xf numFmtId="0" fontId="0" fillId="0" borderId="0" xfId="0" applyFill="1"/>
    <xf numFmtId="1" fontId="0" fillId="0" borderId="0" xfId="0" applyNumberFormat="1" applyFill="1" applyAlignment="1">
      <alignment horizontal="center"/>
    </xf>
    <xf numFmtId="164" fontId="0" fillId="0" borderId="0" xfId="0" applyNumberFormat="1" applyFill="1" applyAlignment="1">
      <alignment horizontal="center"/>
    </xf>
    <xf numFmtId="167" fontId="0" fillId="0" borderId="0" xfId="0" applyNumberFormat="1" applyFill="1" applyBorder="1"/>
    <xf numFmtId="167" fontId="0" fillId="0" borderId="9" xfId="0" applyNumberFormat="1" applyFill="1" applyBorder="1"/>
    <xf numFmtId="167" fontId="0" fillId="0" borderId="8" xfId="0" applyNumberFormat="1" applyFill="1" applyBorder="1"/>
    <xf numFmtId="167" fontId="0" fillId="0" borderId="0" xfId="0" applyNumberFormat="1" applyAlignment="1">
      <alignment horizontal="center" wrapText="1"/>
    </xf>
    <xf numFmtId="0" fontId="2" fillId="0" borderId="1" xfId="0" applyFont="1" applyBorder="1"/>
    <xf numFmtId="0" fontId="2" fillId="0" borderId="0" xfId="0" applyFont="1" applyBorder="1"/>
    <xf numFmtId="0" fontId="2" fillId="0" borderId="2" xfId="0" applyFont="1" applyFill="1" applyBorder="1"/>
    <xf numFmtId="0" fontId="0" fillId="0" borderId="4" xfId="0" applyFill="1" applyBorder="1"/>
    <xf numFmtId="0" fontId="0" fillId="0" borderId="3" xfId="0" applyFill="1" applyBorder="1"/>
    <xf numFmtId="0" fontId="0" fillId="0" borderId="1" xfId="0" applyBorder="1" applyAlignment="1">
      <alignment horizontal="center" vertical="center" wrapText="1"/>
    </xf>
    <xf numFmtId="164" fontId="0" fillId="0" borderId="8" xfId="0" applyNumberFormat="1" applyBorder="1"/>
    <xf numFmtId="0" fontId="0" fillId="0" borderId="0" xfId="0" applyFill="1" applyBorder="1"/>
    <xf numFmtId="167" fontId="0" fillId="0" borderId="1" xfId="0" applyNumberFormat="1" applyFill="1" applyBorder="1"/>
    <xf numFmtId="0" fontId="0" fillId="0" borderId="9" xfId="0" applyFill="1" applyBorder="1"/>
    <xf numFmtId="0" fontId="0" fillId="0" borderId="0" xfId="0" applyFill="1" applyAlignment="1">
      <alignment horizontal="center" wrapText="1"/>
    </xf>
    <xf numFmtId="164" fontId="0" fillId="0" borderId="0" xfId="0" applyNumberFormat="1" applyFill="1" applyBorder="1" applyAlignment="1">
      <alignment horizontal="center"/>
    </xf>
    <xf numFmtId="2" fontId="0" fillId="0" borderId="0" xfId="0" applyNumberFormat="1" applyFill="1"/>
    <xf numFmtId="0" fontId="0" fillId="2" borderId="4" xfId="0" applyFill="1" applyBorder="1"/>
    <xf numFmtId="0" fontId="0" fillId="2" borderId="0" xfId="0" applyFill="1" applyBorder="1"/>
    <xf numFmtId="2" fontId="0" fillId="0" borderId="0" xfId="0" applyNumberFormat="1" applyFill="1" applyBorder="1" applyAlignment="1">
      <alignment horizontal="center" vertical="center" wrapText="1"/>
    </xf>
    <xf numFmtId="1" fontId="0" fillId="0" borderId="0" xfId="0" applyNumberFormat="1" applyFill="1" applyBorder="1" applyAlignment="1">
      <alignment horizontal="center" vertical="center" wrapText="1"/>
    </xf>
    <xf numFmtId="0" fontId="0" fillId="0" borderId="2" xfId="0" applyFill="1" applyBorder="1"/>
    <xf numFmtId="0" fontId="0" fillId="0" borderId="1" xfId="0" applyFill="1" applyBorder="1"/>
    <xf numFmtId="0" fontId="0" fillId="0" borderId="10" xfId="0" applyFill="1" applyBorder="1"/>
    <xf numFmtId="0" fontId="2" fillId="0" borderId="0" xfId="0" applyFont="1" applyAlignment="1">
      <alignment wrapText="1"/>
    </xf>
    <xf numFmtId="0" fontId="2" fillId="0" borderId="0" xfId="0" applyFont="1" applyFill="1" applyBorder="1" applyAlignment="1">
      <alignment horizontal="center" vertical="center" wrapText="1"/>
    </xf>
    <xf numFmtId="165" fontId="0" fillId="0" borderId="0" xfId="0" applyNumberFormat="1" applyBorder="1" applyAlignment="1">
      <alignment horizontal="left" vertical="center"/>
    </xf>
    <xf numFmtId="0" fontId="2" fillId="2" borderId="0" xfId="0" applyFont="1" applyFill="1"/>
    <xf numFmtId="0" fontId="0" fillId="2" borderId="0" xfId="0" applyFill="1"/>
    <xf numFmtId="0" fontId="2" fillId="0" borderId="0" xfId="0" applyFont="1" applyFill="1"/>
    <xf numFmtId="0" fontId="0" fillId="0" borderId="0" xfId="0" applyFill="1" applyAlignment="1">
      <alignment wrapText="1"/>
    </xf>
    <xf numFmtId="0" fontId="0" fillId="0" borderId="0" xfId="0" applyFill="1" applyAlignment="1">
      <alignment horizontal="center" vertical="center" wrapText="1"/>
    </xf>
    <xf numFmtId="15" fontId="0" fillId="0" borderId="0" xfId="0" applyNumberFormat="1" applyFill="1"/>
    <xf numFmtId="2" fontId="8" fillId="0" borderId="0" xfId="0" applyNumberFormat="1" applyFont="1" applyFill="1"/>
    <xf numFmtId="0" fontId="8" fillId="0" borderId="0" xfId="0" applyFont="1" applyFill="1"/>
    <xf numFmtId="0" fontId="9" fillId="0" borderId="0" xfId="0" applyFont="1" applyFill="1"/>
    <xf numFmtId="1" fontId="0" fillId="0" borderId="4" xfId="0" applyNumberFormat="1" applyFill="1" applyBorder="1" applyAlignment="1">
      <alignment horizontal="center"/>
    </xf>
    <xf numFmtId="164" fontId="0" fillId="0" borderId="4" xfId="0" applyNumberFormat="1" applyFill="1" applyBorder="1" applyAlignment="1">
      <alignment horizontal="center"/>
    </xf>
    <xf numFmtId="1" fontId="0" fillId="0" borderId="0" xfId="0" applyNumberFormat="1" applyFill="1" applyBorder="1" applyAlignment="1">
      <alignment horizontal="center"/>
    </xf>
    <xf numFmtId="15" fontId="2" fillId="2" borderId="0" xfId="0" applyNumberFormat="1" applyFont="1" applyFill="1"/>
    <xf numFmtId="0" fontId="2" fillId="0" borderId="0" xfId="0" quotePrefix="1" applyFont="1"/>
    <xf numFmtId="0" fontId="10" fillId="0" borderId="0" xfId="0" applyFont="1"/>
    <xf numFmtId="0" fontId="10" fillId="0" borderId="0" xfId="0" applyFont="1" applyAlignment="1">
      <alignment horizontal="right"/>
    </xf>
    <xf numFmtId="0" fontId="10" fillId="0" borderId="0" xfId="0" applyFont="1" applyAlignment="1">
      <alignment horizontal="left"/>
    </xf>
    <xf numFmtId="0" fontId="0" fillId="0" borderId="13" xfId="0" applyBorder="1" applyAlignment="1">
      <alignment horizontal="center" vertical="center" wrapText="1"/>
    </xf>
    <xf numFmtId="164" fontId="0" fillId="0" borderId="9" xfId="0" applyNumberFormat="1" applyBorder="1" applyAlignment="1">
      <alignment horizontal="center" vertical="center" wrapText="1"/>
    </xf>
    <xf numFmtId="164" fontId="0" fillId="0" borderId="13" xfId="0" applyNumberFormat="1" applyBorder="1" applyAlignment="1">
      <alignment horizontal="center" vertical="center" wrapText="1"/>
    </xf>
    <xf numFmtId="165" fontId="0" fillId="0" borderId="13" xfId="0" applyNumberFormat="1" applyBorder="1" applyAlignment="1">
      <alignment horizontal="center" vertical="center" wrapText="1"/>
    </xf>
    <xf numFmtId="165" fontId="0" fillId="0" borderId="11" xfId="0" applyNumberFormat="1" applyBorder="1" applyAlignment="1">
      <alignment horizontal="center" vertical="center" wrapText="1"/>
    </xf>
    <xf numFmtId="164" fontId="0" fillId="0" borderId="0" xfId="0" applyNumberFormat="1" applyAlignment="1"/>
    <xf numFmtId="164" fontId="0" fillId="0" borderId="10" xfId="0" applyNumberFormat="1" applyBorder="1" applyAlignment="1">
      <alignment horizontal="center" vertical="center" wrapText="1"/>
    </xf>
    <xf numFmtId="164" fontId="0" fillId="0" borderId="10" xfId="0" applyNumberFormat="1" applyBorder="1"/>
    <xf numFmtId="0" fontId="0" fillId="3" borderId="0" xfId="0" applyFill="1"/>
    <xf numFmtId="0" fontId="0" fillId="0" borderId="0" xfId="0" applyAlignment="1">
      <alignment vertical="center" wrapText="1"/>
    </xf>
    <xf numFmtId="0" fontId="0" fillId="4" borderId="0" xfId="0" applyFill="1" applyBorder="1"/>
    <xf numFmtId="2" fontId="0" fillId="4" borderId="0" xfId="0" applyNumberFormat="1" applyFill="1" applyBorder="1"/>
    <xf numFmtId="0" fontId="1" fillId="0" borderId="0" xfId="0" applyFont="1" applyFill="1"/>
    <xf numFmtId="0" fontId="0" fillId="0" borderId="5" xfId="0" applyFill="1" applyBorder="1" applyAlignment="1">
      <alignment horizontal="center" vertical="center" wrapText="1"/>
    </xf>
    <xf numFmtId="0" fontId="0" fillId="0" borderId="6" xfId="0" applyFill="1" applyBorder="1" applyAlignment="1">
      <alignment horizontal="center" vertical="center" wrapText="1"/>
    </xf>
    <xf numFmtId="1" fontId="0" fillId="0" borderId="12" xfId="0" applyNumberFormat="1" applyFill="1" applyBorder="1" applyAlignment="1">
      <alignment horizontal="center" vertical="center" wrapText="1"/>
    </xf>
    <xf numFmtId="164" fontId="0" fillId="0" borderId="12" xfId="0" applyNumberFormat="1" applyFill="1" applyBorder="1" applyAlignment="1">
      <alignment horizontal="center" vertical="center" wrapText="1"/>
    </xf>
    <xf numFmtId="0" fontId="0" fillId="0" borderId="4" xfId="0" applyFill="1" applyBorder="1" applyAlignment="1">
      <alignment horizontal="center" vertical="center"/>
    </xf>
    <xf numFmtId="165" fontId="0" fillId="0" borderId="12" xfId="0" applyNumberFormat="1" applyFill="1" applyBorder="1" applyAlignment="1">
      <alignment horizontal="center" vertical="center" wrapText="1"/>
    </xf>
    <xf numFmtId="165" fontId="0" fillId="0" borderId="8" xfId="0" applyNumberFormat="1" applyFill="1" applyBorder="1" applyAlignment="1">
      <alignment horizontal="center" vertical="center" wrapText="1"/>
    </xf>
    <xf numFmtId="0" fontId="0" fillId="0" borderId="12" xfId="0" applyFill="1" applyBorder="1" applyAlignment="1">
      <alignment horizontal="center" vertical="center" wrapText="1"/>
    </xf>
    <xf numFmtId="2" fontId="0" fillId="0" borderId="10" xfId="0" applyNumberFormat="1" applyFill="1" applyBorder="1" applyAlignment="1">
      <alignment horizontal="center" vertical="center" wrapText="1"/>
    </xf>
    <xf numFmtId="0" fontId="0" fillId="0" borderId="13" xfId="0" applyFill="1" applyBorder="1" applyAlignment="1">
      <alignment horizontal="center" vertical="center" wrapText="1"/>
    </xf>
    <xf numFmtId="165" fontId="0" fillId="0" borderId="13" xfId="0" applyNumberFormat="1" applyFill="1" applyBorder="1" applyAlignment="1">
      <alignment horizontal="center" vertical="center" wrapText="1"/>
    </xf>
    <xf numFmtId="165" fontId="0" fillId="0" borderId="11" xfId="0" applyNumberFormat="1" applyFill="1" applyBorder="1" applyAlignment="1">
      <alignment horizontal="center" vertical="center" wrapText="1"/>
    </xf>
    <xf numFmtId="0" fontId="0" fillId="0" borderId="13" xfId="0" applyFill="1" applyBorder="1"/>
    <xf numFmtId="0" fontId="0" fillId="0" borderId="11" xfId="0" applyFill="1" applyBorder="1"/>
    <xf numFmtId="164" fontId="0" fillId="0" borderId="10" xfId="0" applyNumberFormat="1" applyFill="1" applyBorder="1" applyAlignment="1">
      <alignment horizontal="center" vertical="center" wrapText="1"/>
    </xf>
    <xf numFmtId="0" fontId="1" fillId="0" borderId="0" xfId="0" applyFont="1" applyAlignment="1">
      <alignment horizontal="center" wrapText="1"/>
    </xf>
    <xf numFmtId="167" fontId="1" fillId="0" borderId="0" xfId="0" applyNumberFormat="1" applyFont="1" applyFill="1"/>
    <xf numFmtId="164" fontId="1" fillId="0" borderId="0" xfId="0" applyNumberFormat="1" applyFont="1" applyAlignment="1">
      <alignment horizontal="center" wrapText="1"/>
    </xf>
    <xf numFmtId="167" fontId="1" fillId="0" borderId="0" xfId="0" applyNumberFormat="1" applyFont="1" applyFill="1" applyAlignment="1">
      <alignment horizontal="center" wrapText="1"/>
    </xf>
    <xf numFmtId="2" fontId="1" fillId="0" borderId="0" xfId="0" applyNumberFormat="1" applyFont="1" applyAlignment="1">
      <alignment horizontal="center" wrapText="1"/>
    </xf>
    <xf numFmtId="164" fontId="1" fillId="0" borderId="0" xfId="0" applyNumberFormat="1" applyFont="1" applyFill="1" applyAlignment="1">
      <alignment horizontal="center" wrapText="1"/>
    </xf>
    <xf numFmtId="2" fontId="12" fillId="0" borderId="0" xfId="0" applyNumberFormat="1" applyFont="1" applyAlignment="1">
      <alignment horizontal="center" wrapText="1"/>
    </xf>
    <xf numFmtId="0" fontId="12" fillId="0" borderId="0" xfId="0" applyFont="1" applyAlignment="1">
      <alignment horizontal="center" wrapText="1"/>
    </xf>
    <xf numFmtId="167" fontId="12" fillId="0" borderId="0" xfId="0" applyNumberFormat="1" applyFont="1" applyFill="1"/>
    <xf numFmtId="164" fontId="12" fillId="0" borderId="0" xfId="0" applyNumberFormat="1" applyFont="1" applyAlignment="1">
      <alignment horizontal="center" wrapText="1"/>
    </xf>
    <xf numFmtId="164" fontId="12" fillId="0" borderId="0" xfId="0" applyNumberFormat="1" applyFont="1" applyFill="1" applyAlignment="1">
      <alignment horizontal="center" wrapText="1"/>
    </xf>
    <xf numFmtId="167" fontId="12" fillId="0" borderId="0" xfId="0" applyNumberFormat="1" applyFont="1" applyFill="1" applyAlignment="1">
      <alignment horizontal="center" wrapText="1"/>
    </xf>
    <xf numFmtId="0" fontId="0" fillId="0" borderId="0" xfId="0" applyNumberFormat="1" applyFill="1" applyBorder="1" applyAlignment="1"/>
    <xf numFmtId="167" fontId="0" fillId="0" borderId="0" xfId="0" applyNumberFormat="1" applyFill="1" applyAlignment="1">
      <alignment horizontal="center"/>
    </xf>
    <xf numFmtId="0" fontId="0" fillId="0" borderId="0" xfId="0" applyFill="1" applyBorder="1" applyAlignment="1">
      <alignment horizontal="center" vertical="center" wrapText="1"/>
    </xf>
    <xf numFmtId="167" fontId="0" fillId="5" borderId="0" xfId="0" applyNumberFormat="1" applyFill="1" applyBorder="1"/>
    <xf numFmtId="0" fontId="0" fillId="5" borderId="0" xfId="0" applyFill="1"/>
    <xf numFmtId="0" fontId="2" fillId="5" borderId="0" xfId="0" applyFont="1" applyFill="1"/>
    <xf numFmtId="0" fontId="2" fillId="5" borderId="0" xfId="0" applyFont="1" applyFill="1" applyAlignment="1">
      <alignment horizontal="left"/>
    </xf>
    <xf numFmtId="49" fontId="2" fillId="5" borderId="0" xfId="0" applyNumberFormat="1" applyFont="1" applyFill="1" applyAlignment="1">
      <alignment horizontal="left"/>
    </xf>
    <xf numFmtId="0" fontId="0" fillId="5" borderId="0" xfId="0" applyFill="1" applyBorder="1"/>
    <xf numFmtId="1" fontId="0" fillId="5" borderId="0" xfId="0" applyNumberFormat="1" applyFill="1" applyAlignment="1">
      <alignment horizontal="center" wrapText="1"/>
    </xf>
    <xf numFmtId="0" fontId="0" fillId="5" borderId="0" xfId="0" applyFill="1" applyAlignment="1">
      <alignment horizontal="center" wrapText="1"/>
    </xf>
    <xf numFmtId="0" fontId="1" fillId="0" borderId="0" xfId="0" applyFont="1"/>
    <xf numFmtId="167" fontId="0" fillId="0" borderId="10" xfId="0" applyNumberFormat="1" applyFill="1" applyBorder="1"/>
    <xf numFmtId="164" fontId="0" fillId="2" borderId="6" xfId="0" applyNumberFormat="1" applyFill="1" applyBorder="1"/>
    <xf numFmtId="14" fontId="2" fillId="5" borderId="0" xfId="0" applyNumberFormat="1" applyFont="1" applyFill="1"/>
    <xf numFmtId="0" fontId="0" fillId="6" borderId="7" xfId="0" applyFill="1" applyBorder="1" applyAlignment="1">
      <alignment horizontal="center"/>
    </xf>
    <xf numFmtId="0" fontId="0" fillId="6" borderId="3" xfId="0" applyFill="1" applyBorder="1" applyAlignment="1">
      <alignment horizontal="center"/>
    </xf>
    <xf numFmtId="0" fontId="0" fillId="6" borderId="12" xfId="0" applyFill="1" applyBorder="1" applyAlignment="1">
      <alignment horizontal="center"/>
    </xf>
    <xf numFmtId="0" fontId="0" fillId="6" borderId="8" xfId="0" applyFill="1" applyBorder="1" applyAlignment="1">
      <alignment horizontal="center"/>
    </xf>
    <xf numFmtId="0" fontId="0" fillId="6" borderId="13" xfId="0" applyFill="1" applyBorder="1" applyAlignment="1">
      <alignment horizontal="center"/>
    </xf>
    <xf numFmtId="0" fontId="0" fillId="6" borderId="11" xfId="0" applyFill="1" applyBorder="1" applyAlignment="1">
      <alignment horizontal="center"/>
    </xf>
    <xf numFmtId="2" fontId="0" fillId="6" borderId="12" xfId="0" applyNumberFormat="1" applyFill="1" applyBorder="1" applyAlignment="1">
      <alignment horizontal="center"/>
    </xf>
    <xf numFmtId="2" fontId="0" fillId="6" borderId="8" xfId="0" applyNumberFormat="1" applyFill="1" applyBorder="1" applyAlignment="1">
      <alignment horizontal="center"/>
    </xf>
    <xf numFmtId="2" fontId="0" fillId="6" borderId="13" xfId="0" applyNumberFormat="1" applyFill="1" applyBorder="1" applyAlignment="1">
      <alignment horizontal="center"/>
    </xf>
    <xf numFmtId="2" fontId="0" fillId="6" borderId="11" xfId="0" applyNumberFormat="1" applyFill="1" applyBorder="1" applyAlignment="1">
      <alignment horizontal="center"/>
    </xf>
    <xf numFmtId="0" fontId="0" fillId="6" borderId="0" xfId="0" applyFill="1" applyBorder="1"/>
    <xf numFmtId="167" fontId="0" fillId="6" borderId="0" xfId="0" applyNumberFormat="1" applyFill="1" applyBorder="1"/>
    <xf numFmtId="0" fontId="0" fillId="3" borderId="15" xfId="0" applyFill="1" applyBorder="1"/>
    <xf numFmtId="0" fontId="0" fillId="3" borderId="16" xfId="0" applyFill="1" applyBorder="1"/>
    <xf numFmtId="0" fontId="0" fillId="3" borderId="17" xfId="0" applyFill="1" applyBorder="1"/>
    <xf numFmtId="0" fontId="0" fillId="3" borderId="0" xfId="0" applyFill="1" applyBorder="1"/>
    <xf numFmtId="0" fontId="14" fillId="3" borderId="0" xfId="0" applyFont="1" applyFill="1" applyBorder="1" applyAlignment="1">
      <alignment horizontal="right"/>
    </xf>
    <xf numFmtId="0" fontId="7" fillId="3" borderId="0" xfId="0" applyFont="1" applyFill="1"/>
    <xf numFmtId="0" fontId="0" fillId="3" borderId="18" xfId="0" applyFill="1" applyBorder="1"/>
    <xf numFmtId="0" fontId="0" fillId="3" borderId="7" xfId="0" applyFill="1" applyBorder="1" applyAlignment="1">
      <alignment horizontal="center"/>
    </xf>
    <xf numFmtId="0" fontId="0" fillId="3" borderId="3" xfId="0" applyFill="1" applyBorder="1" applyAlignment="1">
      <alignment horizontal="center"/>
    </xf>
    <xf numFmtId="0" fontId="0" fillId="3" borderId="1" xfId="0" applyFill="1" applyBorder="1" applyAlignment="1">
      <alignment horizontal="center"/>
    </xf>
    <xf numFmtId="0" fontId="0" fillId="3" borderId="12" xfId="0" applyFill="1" applyBorder="1" applyAlignment="1">
      <alignment horizontal="center"/>
    </xf>
    <xf numFmtId="0" fontId="0" fillId="3" borderId="8" xfId="0" applyFill="1" applyBorder="1" applyAlignment="1">
      <alignment horizontal="center"/>
    </xf>
    <xf numFmtId="0" fontId="0" fillId="3" borderId="13" xfId="0" applyFill="1" applyBorder="1" applyAlignment="1">
      <alignment horizontal="center"/>
    </xf>
    <xf numFmtId="0" fontId="0" fillId="3" borderId="11" xfId="0" applyFill="1" applyBorder="1" applyAlignment="1">
      <alignment horizontal="center"/>
    </xf>
    <xf numFmtId="165" fontId="0" fillId="3" borderId="7" xfId="0" applyNumberFormat="1" applyFill="1" applyBorder="1" applyAlignment="1">
      <alignment horizontal="center"/>
    </xf>
    <xf numFmtId="166" fontId="0" fillId="3" borderId="3" xfId="0" applyNumberFormat="1" applyFill="1" applyBorder="1" applyAlignment="1">
      <alignment horizontal="center"/>
    </xf>
    <xf numFmtId="165" fontId="0" fillId="3" borderId="12" xfId="0" applyNumberFormat="1" applyFill="1" applyBorder="1" applyAlignment="1">
      <alignment horizontal="center"/>
    </xf>
    <xf numFmtId="166" fontId="0" fillId="3" borderId="8" xfId="0" applyNumberFormat="1" applyFill="1" applyBorder="1" applyAlignment="1">
      <alignment horizontal="center"/>
    </xf>
    <xf numFmtId="167" fontId="0" fillId="3" borderId="12" xfId="0" applyNumberFormat="1" applyFill="1" applyBorder="1" applyAlignment="1">
      <alignment horizontal="center"/>
    </xf>
    <xf numFmtId="167" fontId="0" fillId="3" borderId="8" xfId="0" applyNumberFormat="1" applyFill="1" applyBorder="1" applyAlignment="1">
      <alignment horizontal="center"/>
    </xf>
    <xf numFmtId="164" fontId="0" fillId="3" borderId="12" xfId="0" applyNumberFormat="1" applyFill="1" applyBorder="1" applyAlignment="1">
      <alignment horizontal="center"/>
    </xf>
    <xf numFmtId="164" fontId="0" fillId="3" borderId="8" xfId="0" applyNumberFormat="1" applyFill="1" applyBorder="1" applyAlignment="1">
      <alignment horizontal="center"/>
    </xf>
    <xf numFmtId="165" fontId="0" fillId="3" borderId="1" xfId="0" applyNumberFormat="1" applyFill="1" applyBorder="1" applyAlignment="1">
      <alignment horizontal="center"/>
    </xf>
    <xf numFmtId="167" fontId="0" fillId="3" borderId="10" xfId="0" applyNumberFormat="1" applyFill="1" applyBorder="1" applyAlignment="1">
      <alignment horizontal="center"/>
    </xf>
    <xf numFmtId="165" fontId="0" fillId="3" borderId="10" xfId="0" applyNumberFormat="1" applyFill="1" applyBorder="1" applyAlignment="1">
      <alignment horizontal="center"/>
    </xf>
    <xf numFmtId="165" fontId="0" fillId="3" borderId="13" xfId="0" applyNumberFormat="1" applyFill="1" applyBorder="1"/>
    <xf numFmtId="164" fontId="0" fillId="3" borderId="7" xfId="0" applyNumberFormat="1" applyFill="1" applyBorder="1" applyAlignment="1">
      <alignment horizontal="center"/>
    </xf>
    <xf numFmtId="0" fontId="0" fillId="3" borderId="13" xfId="0" applyFill="1" applyBorder="1"/>
    <xf numFmtId="0" fontId="0" fillId="3" borderId="11" xfId="0" applyFill="1" applyBorder="1"/>
    <xf numFmtId="2" fontId="0" fillId="3" borderId="12" xfId="0" applyNumberFormat="1" applyFill="1" applyBorder="1" applyAlignment="1">
      <alignment horizontal="center"/>
    </xf>
    <xf numFmtId="2" fontId="0" fillId="3" borderId="8" xfId="0" applyNumberFormat="1" applyFill="1" applyBorder="1" applyAlignment="1">
      <alignment horizontal="center"/>
    </xf>
    <xf numFmtId="2" fontId="0" fillId="3" borderId="13" xfId="0" applyNumberFormat="1" applyFill="1" applyBorder="1" applyAlignment="1">
      <alignment horizontal="center"/>
    </xf>
    <xf numFmtId="2" fontId="0" fillId="3" borderId="11" xfId="0" applyNumberFormat="1" applyFill="1" applyBorder="1" applyAlignment="1">
      <alignment horizontal="center"/>
    </xf>
    <xf numFmtId="0" fontId="0" fillId="3" borderId="0" xfId="0" applyFill="1" applyBorder="1" applyAlignment="1">
      <alignment horizontal="center"/>
    </xf>
    <xf numFmtId="2" fontId="0" fillId="3" borderId="0" xfId="0" applyNumberFormat="1" applyFill="1" applyBorder="1" applyAlignment="1">
      <alignment horizontal="center"/>
    </xf>
    <xf numFmtId="0" fontId="0" fillId="3" borderId="4" xfId="0" applyFill="1" applyBorder="1"/>
    <xf numFmtId="0" fontId="0" fillId="3" borderId="4" xfId="0" applyFill="1" applyBorder="1" applyAlignment="1">
      <alignment horizontal="center"/>
    </xf>
    <xf numFmtId="0" fontId="0" fillId="3" borderId="9" xfId="0" applyFill="1" applyBorder="1" applyAlignment="1">
      <alignment horizontal="center"/>
    </xf>
    <xf numFmtId="165" fontId="0" fillId="3" borderId="0" xfId="0" applyNumberFormat="1" applyFill="1" applyBorder="1" applyAlignment="1">
      <alignment horizontal="center"/>
    </xf>
    <xf numFmtId="0" fontId="0" fillId="3" borderId="9" xfId="0" applyFill="1" applyBorder="1"/>
    <xf numFmtId="165" fontId="0" fillId="3" borderId="2" xfId="0" applyNumberFormat="1" applyFill="1" applyBorder="1" applyAlignment="1">
      <alignment horizontal="center"/>
    </xf>
    <xf numFmtId="0" fontId="0" fillId="3" borderId="10" xfId="0" applyFill="1" applyBorder="1"/>
    <xf numFmtId="0" fontId="0" fillId="3" borderId="19" xfId="0" applyFill="1" applyBorder="1"/>
    <xf numFmtId="0" fontId="0" fillId="3" borderId="20" xfId="0" applyFill="1" applyBorder="1"/>
    <xf numFmtId="0" fontId="0" fillId="3" borderId="21" xfId="0" applyFill="1" applyBorder="1"/>
    <xf numFmtId="0" fontId="0" fillId="3" borderId="3" xfId="0" applyFill="1" applyBorder="1"/>
    <xf numFmtId="0" fontId="0" fillId="3" borderId="8" xfId="0" applyFill="1" applyBorder="1"/>
    <xf numFmtId="165" fontId="0" fillId="3" borderId="8" xfId="0" applyNumberFormat="1" applyFill="1" applyBorder="1" applyAlignment="1">
      <alignment horizontal="center"/>
    </xf>
    <xf numFmtId="167" fontId="0" fillId="3" borderId="0" xfId="0" applyNumberFormat="1" applyFill="1" applyBorder="1"/>
    <xf numFmtId="14" fontId="2" fillId="0" borderId="0" xfId="0" applyNumberFormat="1" applyFont="1"/>
    <xf numFmtId="0" fontId="0" fillId="3" borderId="22" xfId="0" applyFill="1" applyBorder="1" applyAlignment="1">
      <alignment horizontal="center"/>
    </xf>
    <xf numFmtId="0" fontId="0" fillId="3" borderId="17" xfId="0" applyFill="1" applyBorder="1" applyAlignment="1">
      <alignment horizontal="center"/>
    </xf>
    <xf numFmtId="0" fontId="0" fillId="3" borderId="23" xfId="0" applyFill="1" applyBorder="1" applyAlignment="1">
      <alignment horizontal="center"/>
    </xf>
    <xf numFmtId="0" fontId="2" fillId="3" borderId="22" xfId="0" applyFont="1" applyFill="1" applyBorder="1"/>
    <xf numFmtId="0" fontId="0" fillId="3" borderId="24" xfId="0" applyFill="1" applyBorder="1"/>
    <xf numFmtId="0" fontId="2" fillId="6" borderId="0" xfId="0" applyFont="1" applyFill="1" applyBorder="1"/>
    <xf numFmtId="0" fontId="0" fillId="3" borderId="25" xfId="0" applyFill="1" applyBorder="1" applyAlignment="1">
      <alignment horizontal="center"/>
    </xf>
    <xf numFmtId="0" fontId="0" fillId="3" borderId="26" xfId="0" applyFill="1" applyBorder="1" applyAlignment="1">
      <alignment horizontal="center"/>
    </xf>
    <xf numFmtId="0" fontId="0" fillId="3" borderId="24" xfId="0" applyFill="1" applyBorder="1" applyAlignment="1">
      <alignment horizontal="center"/>
    </xf>
    <xf numFmtId="1" fontId="0" fillId="3" borderId="26" xfId="0" applyNumberFormat="1" applyFill="1" applyBorder="1" applyAlignment="1">
      <alignment horizontal="center"/>
    </xf>
    <xf numFmtId="1" fontId="0" fillId="3" borderId="25" xfId="0" applyNumberFormat="1" applyFill="1" applyBorder="1" applyAlignment="1">
      <alignment horizontal="center"/>
    </xf>
    <xf numFmtId="165" fontId="0" fillId="6" borderId="0" xfId="0" applyNumberFormat="1" applyFill="1" applyBorder="1"/>
    <xf numFmtId="0" fontId="0" fillId="6" borderId="22" xfId="0" applyFill="1" applyBorder="1" applyAlignment="1">
      <alignment horizontal="center"/>
    </xf>
    <xf numFmtId="0" fontId="0" fillId="6" borderId="17" xfId="0" applyFill="1" applyBorder="1" applyAlignment="1">
      <alignment horizontal="center"/>
    </xf>
    <xf numFmtId="0" fontId="0" fillId="6" borderId="23" xfId="0" applyFill="1" applyBorder="1" applyAlignment="1">
      <alignment horizontal="center"/>
    </xf>
    <xf numFmtId="0" fontId="2" fillId="3" borderId="27" xfId="0" applyFont="1" applyFill="1" applyBorder="1"/>
    <xf numFmtId="0" fontId="0" fillId="3" borderId="28" xfId="0" applyFill="1" applyBorder="1"/>
    <xf numFmtId="0" fontId="0" fillId="3" borderId="29" xfId="0" applyFill="1" applyBorder="1"/>
    <xf numFmtId="15" fontId="3" fillId="2" borderId="0" xfId="0" applyNumberFormat="1" applyFont="1" applyFill="1"/>
    <xf numFmtId="0" fontId="0" fillId="7" borderId="0" xfId="0" applyFill="1"/>
    <xf numFmtId="167" fontId="0" fillId="7" borderId="0" xfId="0" applyNumberFormat="1" applyFill="1"/>
    <xf numFmtId="0" fontId="0" fillId="0" borderId="0" xfId="0" applyNumberFormat="1"/>
    <xf numFmtId="1" fontId="12" fillId="0" borderId="0" xfId="0" applyNumberFormat="1" applyFont="1" applyAlignment="1">
      <alignment horizontal="center" wrapText="1"/>
    </xf>
    <xf numFmtId="14" fontId="0" fillId="0" borderId="0" xfId="0" applyNumberFormat="1"/>
    <xf numFmtId="0" fontId="0" fillId="0" borderId="23" xfId="0" applyBorder="1"/>
    <xf numFmtId="0" fontId="0" fillId="0" borderId="30" xfId="0" applyBorder="1"/>
    <xf numFmtId="0" fontId="0" fillId="0" borderId="31" xfId="0" applyBorder="1" applyAlignment="1">
      <alignment horizontal="center" vertical="center" wrapText="1"/>
    </xf>
    <xf numFmtId="0" fontId="0" fillId="0" borderId="23" xfId="0" applyBorder="1" applyAlignment="1">
      <alignment horizontal="center" vertical="center" wrapText="1"/>
    </xf>
    <xf numFmtId="0" fontId="0" fillId="0" borderId="8" xfId="0" applyBorder="1" applyAlignment="1">
      <alignment horizontal="center" vertical="center" wrapText="1"/>
    </xf>
    <xf numFmtId="0" fontId="7" fillId="0" borderId="0" xfId="0" applyFont="1" applyAlignment="1">
      <alignment horizontal="right"/>
    </xf>
    <xf numFmtId="0" fontId="2" fillId="0" borderId="0" xfId="0" applyFont="1" applyAlignment="1">
      <alignment horizontal="right"/>
    </xf>
    <xf numFmtId="0" fontId="2" fillId="0" borderId="32" xfId="0" applyFont="1" applyBorder="1"/>
    <xf numFmtId="0" fontId="0" fillId="0" borderId="15" xfId="0" applyBorder="1"/>
    <xf numFmtId="0" fontId="0" fillId="0" borderId="16" xfId="0" applyBorder="1"/>
    <xf numFmtId="0" fontId="2" fillId="0" borderId="17" xfId="0" applyFont="1" applyBorder="1"/>
    <xf numFmtId="0" fontId="0" fillId="0" borderId="18" xfId="0" applyBorder="1"/>
    <xf numFmtId="0" fontId="0" fillId="0" borderId="10" xfId="0" applyBorder="1" applyAlignment="1">
      <alignment horizontal="center" vertical="center" wrapText="1"/>
    </xf>
    <xf numFmtId="0" fontId="0" fillId="0" borderId="9" xfId="0" applyBorder="1" applyAlignment="1">
      <alignment horizontal="center" vertical="center" wrapText="1"/>
    </xf>
    <xf numFmtId="0" fontId="0" fillId="0" borderId="11" xfId="0" applyBorder="1" applyAlignment="1">
      <alignment horizontal="center" vertical="center" wrapText="1"/>
    </xf>
    <xf numFmtId="0" fontId="0" fillId="0" borderId="30" xfId="0" applyBorder="1" applyAlignment="1">
      <alignment horizontal="center" vertical="center" wrapText="1"/>
    </xf>
    <xf numFmtId="1" fontId="0" fillId="0" borderId="25" xfId="0" applyNumberFormat="1" applyBorder="1" applyAlignment="1">
      <alignment horizontal="center"/>
    </xf>
    <xf numFmtId="2" fontId="0" fillId="0" borderId="2" xfId="0" applyNumberFormat="1" applyBorder="1" applyAlignment="1">
      <alignment horizontal="center"/>
    </xf>
    <xf numFmtId="164" fontId="0" fillId="0" borderId="4" xfId="0" applyNumberFormat="1" applyBorder="1" applyAlignment="1">
      <alignment horizontal="center"/>
    </xf>
    <xf numFmtId="1" fontId="0" fillId="0" borderId="3" xfId="0" applyNumberFormat="1" applyBorder="1" applyAlignment="1">
      <alignment horizontal="center"/>
    </xf>
    <xf numFmtId="2" fontId="0" fillId="0" borderId="0" xfId="0" applyNumberFormat="1" applyBorder="1" applyAlignment="1">
      <alignment horizontal="center"/>
    </xf>
    <xf numFmtId="164" fontId="0" fillId="0" borderId="0" xfId="0" applyNumberFormat="1" applyBorder="1" applyAlignment="1">
      <alignment horizontal="center"/>
    </xf>
    <xf numFmtId="2" fontId="0" fillId="0" borderId="18" xfId="0" applyNumberFormat="1" applyBorder="1" applyAlignment="1">
      <alignment horizontal="center"/>
    </xf>
    <xf numFmtId="1" fontId="0" fillId="0" borderId="26" xfId="0" applyNumberFormat="1" applyBorder="1" applyAlignment="1">
      <alignment horizontal="center"/>
    </xf>
    <xf numFmtId="167" fontId="0" fillId="0" borderId="0" xfId="0" applyNumberFormat="1" applyBorder="1" applyAlignment="1">
      <alignment horizontal="center" vertical="center" wrapText="1"/>
    </xf>
    <xf numFmtId="167" fontId="0" fillId="0" borderId="12" xfId="0" applyNumberFormat="1" applyBorder="1" applyAlignment="1">
      <alignment horizontal="center" vertical="center" wrapText="1"/>
    </xf>
    <xf numFmtId="167" fontId="0" fillId="0" borderId="13" xfId="0" applyNumberFormat="1" applyBorder="1"/>
    <xf numFmtId="2" fontId="0" fillId="0" borderId="1" xfId="0" applyNumberFormat="1" applyBorder="1" applyAlignment="1">
      <alignment horizontal="center"/>
    </xf>
    <xf numFmtId="1" fontId="0" fillId="0" borderId="8" xfId="0" applyNumberFormat="1" applyBorder="1" applyAlignment="1">
      <alignment horizontal="center"/>
    </xf>
    <xf numFmtId="0" fontId="0" fillId="0" borderId="33" xfId="0" applyBorder="1" applyAlignment="1">
      <alignment horizontal="center"/>
    </xf>
    <xf numFmtId="0" fontId="0" fillId="0" borderId="20" xfId="0" applyBorder="1" applyAlignment="1">
      <alignment horizontal="center"/>
    </xf>
    <xf numFmtId="0" fontId="0" fillId="0" borderId="34" xfId="0" applyBorder="1" applyAlignment="1">
      <alignment horizontal="center"/>
    </xf>
    <xf numFmtId="0" fontId="0" fillId="0" borderId="21" xfId="0" applyBorder="1" applyAlignment="1">
      <alignment horizontal="center"/>
    </xf>
    <xf numFmtId="0" fontId="0" fillId="0" borderId="0" xfId="0" applyBorder="1" applyAlignment="1">
      <alignment horizontal="center"/>
    </xf>
    <xf numFmtId="15" fontId="2" fillId="0" borderId="0" xfId="0" applyNumberFormat="1" applyFont="1"/>
    <xf numFmtId="0" fontId="0" fillId="0" borderId="2" xfId="0" applyFill="1" applyBorder="1" applyAlignment="1">
      <alignment horizontal="center" vertical="center" wrapText="1"/>
    </xf>
    <xf numFmtId="0" fontId="2" fillId="7" borderId="5" xfId="0" applyFont="1" applyFill="1" applyBorder="1"/>
    <xf numFmtId="0" fontId="0" fillId="7" borderId="35" xfId="0" applyFill="1" applyBorder="1"/>
    <xf numFmtId="0" fontId="0" fillId="7" borderId="6" xfId="0" applyFill="1" applyBorder="1"/>
    <xf numFmtId="0" fontId="0" fillId="7" borderId="2" xfId="0" applyFill="1" applyBorder="1" applyAlignment="1">
      <alignment horizontal="center"/>
    </xf>
    <xf numFmtId="0" fontId="0" fillId="7" borderId="7" xfId="0" applyFill="1" applyBorder="1" applyAlignment="1">
      <alignment horizontal="center"/>
    </xf>
    <xf numFmtId="0" fontId="0" fillId="7" borderId="3" xfId="0" applyFill="1" applyBorder="1" applyAlignment="1">
      <alignment horizontal="center"/>
    </xf>
    <xf numFmtId="0" fontId="0" fillId="7" borderId="1" xfId="0" applyFill="1" applyBorder="1" applyAlignment="1">
      <alignment horizontal="center"/>
    </xf>
    <xf numFmtId="0" fontId="0" fillId="7" borderId="12" xfId="0" applyFill="1" applyBorder="1" applyAlignment="1">
      <alignment horizontal="center"/>
    </xf>
    <xf numFmtId="0" fontId="0" fillId="7" borderId="8" xfId="0" applyFill="1" applyBorder="1" applyAlignment="1">
      <alignment horizontal="center"/>
    </xf>
    <xf numFmtId="0" fontId="0" fillId="7" borderId="0" xfId="0" applyFill="1" applyBorder="1" applyAlignment="1">
      <alignment horizontal="center"/>
    </xf>
    <xf numFmtId="0" fontId="0" fillId="7" borderId="10" xfId="0" applyFill="1" applyBorder="1" applyAlignment="1">
      <alignment horizontal="center"/>
    </xf>
    <xf numFmtId="0" fontId="0" fillId="7" borderId="13" xfId="0" applyFill="1" applyBorder="1" applyAlignment="1">
      <alignment horizontal="center"/>
    </xf>
    <xf numFmtId="0" fontId="0" fillId="7" borderId="11" xfId="0" applyFill="1" applyBorder="1" applyAlignment="1">
      <alignment horizontal="center"/>
    </xf>
    <xf numFmtId="2" fontId="0" fillId="7" borderId="7" xfId="0" applyNumberFormat="1" applyFill="1" applyBorder="1" applyAlignment="1">
      <alignment horizontal="center"/>
    </xf>
    <xf numFmtId="166" fontId="0" fillId="7" borderId="3" xfId="0" applyNumberFormat="1" applyFill="1" applyBorder="1" applyAlignment="1">
      <alignment horizontal="center"/>
    </xf>
    <xf numFmtId="2" fontId="0" fillId="7" borderId="12" xfId="0" applyNumberFormat="1" applyFill="1" applyBorder="1" applyAlignment="1">
      <alignment horizontal="center"/>
    </xf>
    <xf numFmtId="166" fontId="0" fillId="7" borderId="8" xfId="0" applyNumberFormat="1" applyFill="1" applyBorder="1" applyAlignment="1">
      <alignment horizontal="center"/>
    </xf>
    <xf numFmtId="167" fontId="0" fillId="7" borderId="12" xfId="0" applyNumberFormat="1" applyFill="1" applyBorder="1" applyAlignment="1">
      <alignment horizontal="center"/>
    </xf>
    <xf numFmtId="167" fontId="0" fillId="7" borderId="8" xfId="0" applyNumberFormat="1" applyFill="1" applyBorder="1" applyAlignment="1">
      <alignment horizontal="center"/>
    </xf>
    <xf numFmtId="164" fontId="0" fillId="7" borderId="12" xfId="0" applyNumberFormat="1" applyFill="1" applyBorder="1" applyAlignment="1">
      <alignment horizontal="center"/>
    </xf>
    <xf numFmtId="164" fontId="0" fillId="7" borderId="8" xfId="0" applyNumberFormat="1" applyFill="1" applyBorder="1" applyAlignment="1">
      <alignment horizontal="center"/>
    </xf>
    <xf numFmtId="2" fontId="0" fillId="7" borderId="1" xfId="0" applyNumberFormat="1" applyFill="1" applyBorder="1" applyAlignment="1">
      <alignment horizontal="center"/>
    </xf>
    <xf numFmtId="167" fontId="0" fillId="7" borderId="10" xfId="0" applyNumberFormat="1" applyFill="1" applyBorder="1" applyAlignment="1">
      <alignment horizontal="center"/>
    </xf>
    <xf numFmtId="2" fontId="0" fillId="7" borderId="10" xfId="0" applyNumberFormat="1" applyFill="1" applyBorder="1" applyAlignment="1">
      <alignment horizontal="center"/>
    </xf>
    <xf numFmtId="165" fontId="0" fillId="7" borderId="13" xfId="0" applyNumberFormat="1" applyFill="1" applyBorder="1"/>
    <xf numFmtId="167" fontId="0" fillId="7" borderId="7" xfId="0" applyNumberFormat="1" applyFill="1" applyBorder="1" applyAlignment="1">
      <alignment horizontal="center"/>
    </xf>
    <xf numFmtId="0" fontId="0" fillId="7" borderId="13" xfId="0" applyFill="1" applyBorder="1"/>
    <xf numFmtId="0" fontId="0" fillId="7" borderId="11" xfId="0" applyFill="1" applyBorder="1"/>
    <xf numFmtId="0" fontId="0" fillId="7" borderId="0" xfId="0" applyFill="1" applyAlignment="1">
      <alignment horizontal="center"/>
    </xf>
    <xf numFmtId="2" fontId="0" fillId="7" borderId="8" xfId="0" applyNumberFormat="1" applyFill="1" applyBorder="1" applyAlignment="1">
      <alignment horizontal="center"/>
    </xf>
    <xf numFmtId="2" fontId="0" fillId="7" borderId="0" xfId="0" applyNumberFormat="1" applyFill="1"/>
    <xf numFmtId="2" fontId="0" fillId="7" borderId="13" xfId="0" applyNumberFormat="1" applyFill="1" applyBorder="1" applyAlignment="1">
      <alignment horizontal="center"/>
    </xf>
    <xf numFmtId="2" fontId="0" fillId="7" borderId="11" xfId="0" applyNumberFormat="1" applyFill="1" applyBorder="1" applyAlignment="1">
      <alignment horizontal="center"/>
    </xf>
    <xf numFmtId="2" fontId="0" fillId="7" borderId="0" xfId="0" applyNumberFormat="1" applyFill="1" applyBorder="1" applyAlignment="1">
      <alignment horizontal="center"/>
    </xf>
    <xf numFmtId="0" fontId="2" fillId="7" borderId="2" xfId="0" applyFont="1" applyFill="1" applyBorder="1"/>
    <xf numFmtId="0" fontId="0" fillId="7" borderId="4" xfId="0" applyFill="1" applyBorder="1"/>
    <xf numFmtId="0" fontId="0" fillId="7" borderId="3" xfId="0" applyFill="1" applyBorder="1"/>
    <xf numFmtId="15" fontId="0" fillId="7" borderId="0" xfId="0" applyNumberFormat="1" applyFill="1" applyBorder="1" applyAlignment="1">
      <alignment horizontal="center"/>
    </xf>
    <xf numFmtId="0" fontId="0" fillId="7" borderId="1" xfId="0" applyFill="1" applyBorder="1"/>
    <xf numFmtId="0" fontId="0" fillId="7" borderId="0" xfId="0" applyFill="1" applyBorder="1"/>
    <xf numFmtId="0" fontId="0" fillId="7" borderId="8" xfId="0" applyFill="1" applyBorder="1"/>
    <xf numFmtId="1" fontId="0" fillId="7" borderId="0" xfId="0" applyNumberFormat="1" applyFill="1" applyBorder="1" applyAlignment="1">
      <alignment horizontal="center"/>
    </xf>
    <xf numFmtId="0" fontId="0" fillId="7" borderId="4" xfId="0" applyFill="1" applyBorder="1" applyAlignment="1">
      <alignment horizontal="center"/>
    </xf>
    <xf numFmtId="0" fontId="0" fillId="7" borderId="9" xfId="0" applyFill="1" applyBorder="1" applyAlignment="1">
      <alignment horizontal="center"/>
    </xf>
    <xf numFmtId="1" fontId="0" fillId="7" borderId="12" xfId="0" applyNumberFormat="1" applyFill="1" applyBorder="1" applyAlignment="1">
      <alignment horizontal="center"/>
    </xf>
    <xf numFmtId="165" fontId="0" fillId="7" borderId="8" xfId="0" applyNumberFormat="1" applyFill="1" applyBorder="1" applyAlignment="1">
      <alignment horizontal="center"/>
    </xf>
    <xf numFmtId="167" fontId="0" fillId="7" borderId="0" xfId="0" applyNumberFormat="1" applyFill="1" applyBorder="1"/>
    <xf numFmtId="0" fontId="0" fillId="7" borderId="9" xfId="0" applyFill="1" applyBorder="1"/>
    <xf numFmtId="165" fontId="0" fillId="7" borderId="12" xfId="0" applyNumberFormat="1" applyFill="1" applyBorder="1" applyAlignment="1">
      <alignment horizontal="center"/>
    </xf>
    <xf numFmtId="0" fontId="0" fillId="7" borderId="10" xfId="0" applyFill="1" applyBorder="1"/>
    <xf numFmtId="1" fontId="0" fillId="7" borderId="0" xfId="0" applyNumberFormat="1" applyFill="1" applyBorder="1" applyAlignment="1">
      <alignment horizontal="left"/>
    </xf>
    <xf numFmtId="0" fontId="2" fillId="7" borderId="0" xfId="0" applyFont="1" applyFill="1"/>
    <xf numFmtId="0" fontId="2" fillId="7" borderId="0" xfId="0" applyFont="1" applyFill="1" applyAlignment="1">
      <alignment horizontal="right"/>
    </xf>
    <xf numFmtId="0" fontId="0" fillId="7" borderId="4" xfId="0" applyFill="1" applyBorder="1" applyAlignment="1">
      <alignment horizontal="right"/>
    </xf>
    <xf numFmtId="0" fontId="0" fillId="7" borderId="9" xfId="0" applyFill="1" applyBorder="1" applyAlignment="1">
      <alignment horizontal="right"/>
    </xf>
    <xf numFmtId="0" fontId="0" fillId="7" borderId="2" xfId="0" applyFill="1" applyBorder="1"/>
    <xf numFmtId="166" fontId="0" fillId="0" borderId="0" xfId="0" applyNumberFormat="1" applyFill="1"/>
    <xf numFmtId="46" fontId="2" fillId="0" borderId="2" xfId="0" applyNumberFormat="1" applyFont="1" applyFill="1" applyBorder="1" applyAlignment="1">
      <alignment horizontal="left" vertical="center"/>
    </xf>
    <xf numFmtId="0" fontId="0" fillId="0" borderId="7" xfId="0" applyFill="1" applyBorder="1" applyAlignment="1">
      <alignment horizontal="center" vertical="center" wrapText="1"/>
    </xf>
    <xf numFmtId="0" fontId="0" fillId="0" borderId="14" xfId="0" applyFill="1" applyBorder="1" applyAlignment="1">
      <alignment horizontal="center" vertical="center" wrapText="1"/>
    </xf>
    <xf numFmtId="164" fontId="0" fillId="0" borderId="2" xfId="0" applyNumberFormat="1" applyFill="1" applyBorder="1" applyAlignment="1">
      <alignment horizontal="center" vertical="center" wrapText="1"/>
    </xf>
    <xf numFmtId="1" fontId="0" fillId="0" borderId="7" xfId="0" applyNumberFormat="1" applyFill="1" applyBorder="1" applyAlignment="1">
      <alignment horizontal="center" vertical="center" wrapText="1"/>
    </xf>
    <xf numFmtId="1" fontId="0" fillId="0" borderId="4" xfId="0" applyNumberFormat="1" applyFill="1" applyBorder="1" applyAlignment="1">
      <alignment horizontal="center" vertical="center" wrapText="1"/>
    </xf>
    <xf numFmtId="165" fontId="0" fillId="0" borderId="4" xfId="0" applyNumberFormat="1" applyFill="1" applyBorder="1" applyAlignment="1">
      <alignment horizontal="center" vertical="center" wrapText="1"/>
    </xf>
    <xf numFmtId="165" fontId="0" fillId="0" borderId="7" xfId="0" applyNumberFormat="1" applyFill="1" applyBorder="1" applyAlignment="1">
      <alignment horizontal="center" vertical="center" wrapText="1"/>
    </xf>
    <xf numFmtId="164" fontId="0" fillId="0" borderId="1" xfId="0" applyNumberFormat="1" applyFill="1" applyBorder="1" applyAlignment="1">
      <alignment horizontal="center" vertical="center" wrapText="1"/>
    </xf>
    <xf numFmtId="165" fontId="0" fillId="0" borderId="0" xfId="0" applyNumberFormat="1" applyFill="1" applyBorder="1" applyAlignment="1">
      <alignment horizontal="center" vertical="center" wrapText="1"/>
    </xf>
    <xf numFmtId="164" fontId="0" fillId="0" borderId="0" xfId="0" applyNumberFormat="1" applyFill="1" applyBorder="1" applyAlignment="1">
      <alignment horizontal="center" vertical="center" wrapText="1"/>
    </xf>
    <xf numFmtId="2" fontId="0" fillId="0" borderId="1" xfId="0" applyNumberFormat="1" applyFill="1" applyBorder="1" applyAlignment="1">
      <alignment horizontal="center" vertical="center" wrapText="1"/>
    </xf>
    <xf numFmtId="0" fontId="3" fillId="0" borderId="0" xfId="0" applyFont="1" applyFill="1"/>
    <xf numFmtId="167" fontId="0" fillId="6" borderId="3" xfId="0" applyNumberFormat="1" applyFill="1" applyBorder="1"/>
    <xf numFmtId="167" fontId="0" fillId="6" borderId="11" xfId="0" applyNumberFormat="1" applyFill="1" applyBorder="1"/>
    <xf numFmtId="0" fontId="2" fillId="6" borderId="0" xfId="0" applyFont="1" applyFill="1"/>
    <xf numFmtId="168" fontId="0" fillId="0" borderId="0" xfId="0" applyNumberFormat="1" applyFill="1" applyAlignment="1">
      <alignment horizontal="center" wrapText="1"/>
    </xf>
    <xf numFmtId="0" fontId="15" fillId="0" borderId="0" xfId="0" applyFont="1"/>
    <xf numFmtId="166" fontId="0" fillId="0" borderId="0" xfId="0" applyNumberFormat="1" applyFill="1" applyBorder="1" applyAlignment="1">
      <alignment horizontal="center" wrapText="1"/>
    </xf>
    <xf numFmtId="0" fontId="0" fillId="8" borderId="0" xfId="0" applyFill="1" applyAlignment="1">
      <alignment horizontal="center" vertical="center" wrapText="1"/>
    </xf>
    <xf numFmtId="166" fontId="0" fillId="0" borderId="0" xfId="0" applyNumberFormat="1" applyBorder="1"/>
    <xf numFmtId="166" fontId="0" fillId="0" borderId="0" xfId="0" applyNumberFormat="1" applyFill="1" applyAlignment="1">
      <alignment horizontal="right" wrapText="1"/>
    </xf>
    <xf numFmtId="165" fontId="0" fillId="2" borderId="0" xfId="0" applyNumberFormat="1" applyFill="1"/>
    <xf numFmtId="0" fontId="0" fillId="2" borderId="5" xfId="0" applyFill="1" applyBorder="1"/>
    <xf numFmtId="0" fontId="0" fillId="2" borderId="35" xfId="0" applyFill="1" applyBorder="1"/>
    <xf numFmtId="0" fontId="0" fillId="2" borderId="6" xfId="0" applyFill="1" applyBorder="1"/>
    <xf numFmtId="167" fontId="0" fillId="2" borderId="0" xfId="0" applyNumberFormat="1" applyFill="1"/>
    <xf numFmtId="166" fontId="0" fillId="0" borderId="9" xfId="0" applyNumberFormat="1" applyBorder="1"/>
    <xf numFmtId="0" fontId="16" fillId="0" borderId="0" xfId="0" applyFont="1"/>
    <xf numFmtId="0" fontId="17" fillId="0" borderId="0" xfId="0" applyFont="1"/>
    <xf numFmtId="0" fontId="2" fillId="7" borderId="0" xfId="0" applyFont="1" applyFill="1" applyBorder="1" applyAlignment="1">
      <alignment horizontal="center"/>
    </xf>
    <xf numFmtId="164" fontId="0" fillId="7" borderId="0" xfId="0" applyNumberFormat="1" applyFill="1"/>
    <xf numFmtId="165" fontId="0" fillId="7" borderId="0" xfId="0" applyNumberFormat="1" applyFill="1"/>
    <xf numFmtId="2" fontId="0" fillId="7" borderId="0" xfId="0" applyNumberFormat="1" applyFill="1" applyBorder="1"/>
    <xf numFmtId="166" fontId="0" fillId="7" borderId="0" xfId="0" applyNumberFormat="1" applyFill="1" applyBorder="1"/>
    <xf numFmtId="0" fontId="0" fillId="5" borderId="1" xfId="0" applyFill="1" applyBorder="1"/>
    <xf numFmtId="166" fontId="0" fillId="5" borderId="0" xfId="0" applyNumberFormat="1" applyFill="1" applyBorder="1"/>
    <xf numFmtId="17" fontId="0" fillId="0" borderId="0" xfId="0" applyNumberFormat="1"/>
    <xf numFmtId="0" fontId="3" fillId="0" borderId="0" xfId="0" applyFont="1" applyFill="1" applyAlignment="1">
      <alignment horizontal="right"/>
    </xf>
    <xf numFmtId="15" fontId="0" fillId="0" borderId="0" xfId="0" applyNumberFormat="1"/>
    <xf numFmtId="169" fontId="0" fillId="0" borderId="12" xfId="0" applyNumberFormat="1" applyBorder="1" applyAlignment="1">
      <alignment horizontal="center" vertical="center" wrapText="1"/>
    </xf>
    <xf numFmtId="169" fontId="0" fillId="0" borderId="0" xfId="0" applyNumberFormat="1" applyBorder="1" applyAlignment="1">
      <alignment horizontal="center" vertical="center" wrapText="1"/>
    </xf>
    <xf numFmtId="169" fontId="0" fillId="0" borderId="8" xfId="0" applyNumberFormat="1" applyBorder="1" applyAlignment="1">
      <alignment horizontal="center" vertical="center" wrapText="1"/>
    </xf>
    <xf numFmtId="166" fontId="0" fillId="0" borderId="0" xfId="0" applyNumberFormat="1" applyBorder="1" applyAlignment="1">
      <alignment horizontal="center" vertical="center" wrapText="1"/>
    </xf>
    <xf numFmtId="166" fontId="0" fillId="0" borderId="12" xfId="0" applyNumberFormat="1" applyBorder="1" applyAlignment="1">
      <alignment horizontal="center" vertical="center" wrapText="1"/>
    </xf>
    <xf numFmtId="166" fontId="0" fillId="0" borderId="9" xfId="0" applyNumberFormat="1" applyBorder="1" applyAlignment="1">
      <alignment horizontal="center" vertical="center" wrapText="1"/>
    </xf>
    <xf numFmtId="166" fontId="0" fillId="0" borderId="13" xfId="0" applyNumberFormat="1" applyBorder="1" applyAlignment="1">
      <alignment horizontal="center" vertical="center" wrapText="1"/>
    </xf>
    <xf numFmtId="14" fontId="18" fillId="0" borderId="0" xfId="0" applyNumberFormat="1" applyFont="1"/>
    <xf numFmtId="0" fontId="18" fillId="0" borderId="0" xfId="0" applyFont="1"/>
    <xf numFmtId="0" fontId="2" fillId="0" borderId="0" xfId="0" applyFont="1" applyAlignment="1">
      <alignment horizontal="center"/>
    </xf>
    <xf numFmtId="0" fontId="10" fillId="0" borderId="0" xfId="0" applyFont="1" applyFill="1"/>
    <xf numFmtId="0" fontId="0" fillId="0" borderId="1" xfId="0" applyFill="1" applyBorder="1" applyAlignment="1">
      <alignment horizontal="center"/>
    </xf>
    <xf numFmtId="0" fontId="0" fillId="0" borderId="8" xfId="0" applyBorder="1" applyAlignment="1">
      <alignment horizontal="center"/>
    </xf>
    <xf numFmtId="0" fontId="3" fillId="0" borderId="0" xfId="0" applyFont="1" applyAlignment="1">
      <alignment horizontal="center"/>
    </xf>
    <xf numFmtId="1" fontId="0" fillId="0" borderId="0" xfId="0" applyNumberFormat="1" applyFill="1" applyAlignment="1">
      <alignment horizontal="center" wrapText="1"/>
    </xf>
    <xf numFmtId="0" fontId="19" fillId="0" borderId="0" xfId="0" applyFont="1"/>
    <xf numFmtId="167" fontId="0" fillId="8" borderId="0" xfId="0" applyNumberFormat="1" applyFill="1"/>
    <xf numFmtId="0" fontId="0" fillId="9" borderId="0" xfId="0" applyFill="1"/>
    <xf numFmtId="167" fontId="0" fillId="9" borderId="4" xfId="0" applyNumberFormat="1" applyFill="1" applyBorder="1"/>
    <xf numFmtId="167" fontId="0" fillId="9" borderId="3" xfId="0" applyNumberFormat="1" applyFill="1" applyBorder="1"/>
    <xf numFmtId="167" fontId="0" fillId="9" borderId="0" xfId="0" applyNumberFormat="1" applyFill="1" applyBorder="1"/>
    <xf numFmtId="167" fontId="0" fillId="9" borderId="8" xfId="0" applyNumberFormat="1" applyFill="1" applyBorder="1"/>
    <xf numFmtId="167" fontId="0" fillId="9" borderId="9" xfId="0" applyNumberFormat="1" applyFill="1" applyBorder="1"/>
    <xf numFmtId="167" fontId="0" fillId="9" borderId="11" xfId="0" applyNumberFormat="1" applyFill="1" applyBorder="1"/>
    <xf numFmtId="15" fontId="2" fillId="10" borderId="0" xfId="0" applyNumberFormat="1" applyFont="1" applyFill="1"/>
    <xf numFmtId="0" fontId="0" fillId="10" borderId="0" xfId="0" applyFill="1"/>
    <xf numFmtId="0" fontId="2" fillId="10" borderId="0" xfId="0" applyFont="1" applyFill="1"/>
    <xf numFmtId="0" fontId="2" fillId="10" borderId="32" xfId="0" applyFont="1" applyFill="1" applyBorder="1"/>
    <xf numFmtId="0" fontId="0" fillId="10" borderId="15" xfId="0" applyFill="1" applyBorder="1"/>
    <xf numFmtId="0" fontId="0" fillId="10" borderId="16" xfId="0" applyFill="1" applyBorder="1"/>
    <xf numFmtId="0" fontId="2" fillId="10" borderId="17" xfId="0" applyFont="1" applyFill="1" applyBorder="1"/>
    <xf numFmtId="0" fontId="0" fillId="10" borderId="0" xfId="0" applyFill="1" applyBorder="1"/>
    <xf numFmtId="0" fontId="0" fillId="10" borderId="18" xfId="0" applyFill="1" applyBorder="1"/>
    <xf numFmtId="0" fontId="0" fillId="10" borderId="23" xfId="0" applyFill="1" applyBorder="1"/>
    <xf numFmtId="0" fontId="0" fillId="10" borderId="9" xfId="0" applyFill="1" applyBorder="1"/>
    <xf numFmtId="0" fontId="0" fillId="10" borderId="30" xfId="0" applyFill="1" applyBorder="1"/>
    <xf numFmtId="0" fontId="0" fillId="10" borderId="31" xfId="0" applyFill="1" applyBorder="1" applyAlignment="1">
      <alignment horizontal="center" vertical="center" wrapText="1"/>
    </xf>
    <xf numFmtId="0" fontId="0" fillId="10" borderId="23" xfId="0" applyFill="1" applyBorder="1" applyAlignment="1">
      <alignment horizontal="center" vertical="center" wrapText="1"/>
    </xf>
    <xf numFmtId="0" fontId="0" fillId="10" borderId="1"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8" xfId="0" applyFill="1" applyBorder="1" applyAlignment="1">
      <alignment horizontal="center" vertical="center" wrapText="1"/>
    </xf>
    <xf numFmtId="0" fontId="0" fillId="10" borderId="10" xfId="0" applyFill="1" applyBorder="1" applyAlignment="1">
      <alignment horizontal="center" vertical="center" wrapText="1"/>
    </xf>
    <xf numFmtId="0" fontId="0" fillId="10" borderId="9" xfId="0" applyFill="1" applyBorder="1" applyAlignment="1">
      <alignment horizontal="center" vertical="center" wrapText="1"/>
    </xf>
    <xf numFmtId="0" fontId="0" fillId="10" borderId="11" xfId="0" applyFill="1" applyBorder="1" applyAlignment="1">
      <alignment horizontal="center" vertical="center" wrapText="1"/>
    </xf>
    <xf numFmtId="0" fontId="0" fillId="10" borderId="30" xfId="0" applyFill="1" applyBorder="1" applyAlignment="1">
      <alignment horizontal="center" vertical="center" wrapText="1"/>
    </xf>
    <xf numFmtId="1" fontId="0" fillId="10" borderId="25" xfId="0" applyNumberFormat="1" applyFill="1" applyBorder="1" applyAlignment="1">
      <alignment horizontal="center"/>
    </xf>
    <xf numFmtId="164" fontId="0" fillId="10" borderId="2" xfId="0" applyNumberFormat="1" applyFill="1" applyBorder="1" applyAlignment="1">
      <alignment horizontal="center"/>
    </xf>
    <xf numFmtId="164" fontId="0" fillId="10" borderId="4" xfId="0" applyNumberFormat="1" applyFill="1" applyBorder="1" applyAlignment="1">
      <alignment horizontal="center"/>
    </xf>
    <xf numFmtId="1" fontId="0" fillId="10" borderId="3" xfId="0" applyNumberFormat="1" applyFill="1" applyBorder="1" applyAlignment="1">
      <alignment horizontal="center"/>
    </xf>
    <xf numFmtId="164" fontId="0" fillId="10" borderId="0" xfId="0" applyNumberFormat="1" applyFill="1" applyBorder="1" applyAlignment="1">
      <alignment horizontal="center"/>
    </xf>
    <xf numFmtId="164" fontId="0" fillId="10" borderId="18" xfId="0" applyNumberFormat="1" applyFill="1" applyBorder="1" applyAlignment="1">
      <alignment horizontal="center"/>
    </xf>
    <xf numFmtId="1" fontId="0" fillId="10" borderId="26" xfId="0" applyNumberFormat="1" applyFill="1" applyBorder="1" applyAlignment="1">
      <alignment horizontal="center"/>
    </xf>
    <xf numFmtId="164" fontId="0" fillId="10" borderId="1" xfId="0" applyNumberFormat="1" applyFill="1" applyBorder="1" applyAlignment="1">
      <alignment horizontal="center"/>
    </xf>
    <xf numFmtId="1" fontId="0" fillId="10" borderId="8" xfId="0" applyNumberFormat="1" applyFill="1" applyBorder="1" applyAlignment="1">
      <alignment horizontal="center"/>
    </xf>
    <xf numFmtId="0" fontId="0" fillId="0" borderId="36" xfId="0" applyBorder="1" applyAlignment="1">
      <alignment horizontal="center"/>
    </xf>
    <xf numFmtId="0" fontId="0" fillId="10" borderId="33" xfId="0" applyFill="1" applyBorder="1" applyAlignment="1">
      <alignment horizontal="center"/>
    </xf>
    <xf numFmtId="0" fontId="0" fillId="10" borderId="36" xfId="0" applyFill="1" applyBorder="1" applyAlignment="1">
      <alignment horizontal="center"/>
    </xf>
    <xf numFmtId="0" fontId="0" fillId="10" borderId="20" xfId="0" applyFill="1" applyBorder="1" applyAlignment="1">
      <alignment horizontal="center"/>
    </xf>
    <xf numFmtId="0" fontId="0" fillId="10" borderId="34" xfId="0" applyFill="1" applyBorder="1" applyAlignment="1">
      <alignment horizontal="center"/>
    </xf>
    <xf numFmtId="0" fontId="0" fillId="10" borderId="21" xfId="0" applyFill="1" applyBorder="1" applyAlignment="1">
      <alignment horizontal="center"/>
    </xf>
    <xf numFmtId="2" fontId="0" fillId="10" borderId="0" xfId="0" applyNumberFormat="1" applyFill="1" applyBorder="1" applyAlignment="1">
      <alignment horizontal="center"/>
    </xf>
    <xf numFmtId="2" fontId="0" fillId="10" borderId="18" xfId="0" applyNumberFormat="1" applyFill="1" applyBorder="1" applyAlignment="1">
      <alignment horizontal="center"/>
    </xf>
    <xf numFmtId="0" fontId="0" fillId="10" borderId="0" xfId="0" applyFill="1" applyBorder="1" applyAlignment="1">
      <alignment horizontal="center"/>
    </xf>
    <xf numFmtId="0" fontId="2" fillId="10" borderId="0" xfId="0" applyFont="1" applyFill="1" applyAlignment="1">
      <alignment horizontal="right"/>
    </xf>
    <xf numFmtId="0" fontId="2" fillId="10" borderId="5" xfId="0" applyFont="1" applyFill="1" applyBorder="1"/>
    <xf numFmtId="0" fontId="0" fillId="10" borderId="35" xfId="0" applyFill="1" applyBorder="1"/>
    <xf numFmtId="0" fontId="0" fillId="10" borderId="6" xfId="0" applyFill="1" applyBorder="1"/>
    <xf numFmtId="0" fontId="0" fillId="10" borderId="2" xfId="0" applyFill="1" applyBorder="1" applyAlignment="1">
      <alignment horizontal="center"/>
    </xf>
    <xf numFmtId="0" fontId="0" fillId="10" borderId="7" xfId="0" applyFill="1" applyBorder="1" applyAlignment="1">
      <alignment horizontal="center"/>
    </xf>
    <xf numFmtId="0" fontId="0" fillId="10" borderId="3" xfId="0" applyFill="1" applyBorder="1" applyAlignment="1">
      <alignment horizontal="center"/>
    </xf>
    <xf numFmtId="0" fontId="0" fillId="10" borderId="1" xfId="0" applyFill="1" applyBorder="1" applyAlignment="1">
      <alignment horizontal="center"/>
    </xf>
    <xf numFmtId="0" fontId="0" fillId="10" borderId="12" xfId="0" applyFill="1" applyBorder="1" applyAlignment="1">
      <alignment horizontal="center"/>
    </xf>
    <xf numFmtId="0" fontId="0" fillId="10" borderId="8" xfId="0" applyFill="1" applyBorder="1" applyAlignment="1">
      <alignment horizontal="center"/>
    </xf>
    <xf numFmtId="0" fontId="0" fillId="10" borderId="10" xfId="0" applyFill="1" applyBorder="1" applyAlignment="1">
      <alignment horizontal="center"/>
    </xf>
    <xf numFmtId="0" fontId="0" fillId="10" borderId="13" xfId="0" applyFill="1" applyBorder="1" applyAlignment="1">
      <alignment horizontal="center"/>
    </xf>
    <xf numFmtId="0" fontId="0" fillId="10" borderId="11" xfId="0" applyFill="1" applyBorder="1" applyAlignment="1">
      <alignment horizontal="center"/>
    </xf>
    <xf numFmtId="0" fontId="2" fillId="10" borderId="0" xfId="0" applyFont="1" applyFill="1" applyBorder="1" applyAlignment="1">
      <alignment horizontal="center"/>
    </xf>
    <xf numFmtId="2" fontId="0" fillId="10" borderId="7" xfId="0" applyNumberFormat="1" applyFill="1" applyBorder="1" applyAlignment="1">
      <alignment horizontal="center"/>
    </xf>
    <xf numFmtId="166" fontId="0" fillId="10" borderId="3" xfId="0" applyNumberFormat="1" applyFill="1" applyBorder="1" applyAlignment="1">
      <alignment horizontal="center"/>
    </xf>
    <xf numFmtId="2" fontId="0" fillId="10" borderId="0" xfId="0" applyNumberFormat="1" applyFill="1"/>
    <xf numFmtId="164" fontId="0" fillId="10" borderId="0" xfId="0" applyNumberFormat="1" applyFill="1"/>
    <xf numFmtId="2" fontId="0" fillId="10" borderId="12" xfId="0" applyNumberFormat="1" applyFill="1" applyBorder="1" applyAlignment="1">
      <alignment horizontal="center"/>
    </xf>
    <xf numFmtId="166" fontId="0" fillId="10" borderId="8" xfId="0" applyNumberFormat="1" applyFill="1" applyBorder="1" applyAlignment="1">
      <alignment horizontal="center"/>
    </xf>
    <xf numFmtId="167" fontId="0" fillId="10" borderId="12" xfId="0" applyNumberFormat="1" applyFill="1" applyBorder="1" applyAlignment="1">
      <alignment horizontal="center"/>
    </xf>
    <xf numFmtId="167" fontId="0" fillId="10" borderId="8" xfId="0" applyNumberFormat="1" applyFill="1" applyBorder="1" applyAlignment="1">
      <alignment horizontal="center"/>
    </xf>
    <xf numFmtId="164" fontId="0" fillId="10" borderId="12" xfId="0" applyNumberFormat="1" applyFill="1" applyBorder="1" applyAlignment="1">
      <alignment horizontal="center"/>
    </xf>
    <xf numFmtId="164" fontId="0" fillId="10" borderId="8" xfId="0" applyNumberFormat="1" applyFill="1" applyBorder="1" applyAlignment="1">
      <alignment horizontal="center"/>
    </xf>
    <xf numFmtId="2" fontId="0" fillId="10" borderId="1" xfId="0" applyNumberFormat="1" applyFill="1" applyBorder="1" applyAlignment="1">
      <alignment horizontal="center"/>
    </xf>
    <xf numFmtId="167" fontId="0" fillId="10" borderId="10" xfId="0" applyNumberFormat="1" applyFill="1" applyBorder="1" applyAlignment="1">
      <alignment horizontal="center"/>
    </xf>
    <xf numFmtId="2" fontId="0" fillId="10" borderId="10" xfId="0" applyNumberFormat="1" applyFill="1" applyBorder="1" applyAlignment="1">
      <alignment horizontal="center"/>
    </xf>
    <xf numFmtId="165" fontId="0" fillId="10" borderId="13" xfId="0" applyNumberFormat="1" applyFill="1" applyBorder="1"/>
    <xf numFmtId="167" fontId="0" fillId="10" borderId="7" xfId="0" applyNumberFormat="1" applyFill="1" applyBorder="1" applyAlignment="1">
      <alignment horizontal="center"/>
    </xf>
    <xf numFmtId="165" fontId="0" fillId="10" borderId="0" xfId="0" applyNumberFormat="1" applyFill="1"/>
    <xf numFmtId="167" fontId="0" fillId="10" borderId="0" xfId="0" applyNumberFormat="1" applyFill="1"/>
    <xf numFmtId="0" fontId="0" fillId="10" borderId="13" xfId="0" applyFill="1" applyBorder="1"/>
    <xf numFmtId="0" fontId="0" fillId="10" borderId="11" xfId="0" applyFill="1" applyBorder="1"/>
    <xf numFmtId="0" fontId="0" fillId="10" borderId="0" xfId="0" applyFill="1" applyAlignment="1">
      <alignment horizontal="center"/>
    </xf>
    <xf numFmtId="2" fontId="0" fillId="10" borderId="8" xfId="0" applyNumberFormat="1" applyFill="1" applyBorder="1" applyAlignment="1">
      <alignment horizontal="center"/>
    </xf>
    <xf numFmtId="2" fontId="0" fillId="10" borderId="13" xfId="0" applyNumberFormat="1" applyFill="1" applyBorder="1" applyAlignment="1">
      <alignment horizontal="center"/>
    </xf>
    <xf numFmtId="2" fontId="0" fillId="10" borderId="11" xfId="0" applyNumberFormat="1" applyFill="1" applyBorder="1" applyAlignment="1">
      <alignment horizontal="center"/>
    </xf>
    <xf numFmtId="0" fontId="2" fillId="10" borderId="2" xfId="0" applyFont="1" applyFill="1" applyBorder="1"/>
    <xf numFmtId="0" fontId="0" fillId="10" borderId="4" xfId="0" applyFill="1" applyBorder="1"/>
    <xf numFmtId="0" fontId="0" fillId="10" borderId="3" xfId="0" applyFill="1" applyBorder="1"/>
    <xf numFmtId="15" fontId="0" fillId="10" borderId="0" xfId="0" applyNumberFormat="1" applyFill="1" applyBorder="1" applyAlignment="1">
      <alignment horizontal="center"/>
    </xf>
    <xf numFmtId="0" fontId="0" fillId="10" borderId="1" xfId="0" applyFill="1" applyBorder="1"/>
    <xf numFmtId="0" fontId="0" fillId="10" borderId="8" xfId="0" applyFill="1" applyBorder="1"/>
    <xf numFmtId="1" fontId="0" fillId="10" borderId="0" xfId="0" applyNumberFormat="1" applyFill="1" applyBorder="1" applyAlignment="1">
      <alignment horizontal="left"/>
    </xf>
    <xf numFmtId="0" fontId="0" fillId="10" borderId="4" xfId="0" applyFill="1" applyBorder="1" applyAlignment="1">
      <alignment horizontal="center"/>
    </xf>
    <xf numFmtId="0" fontId="0" fillId="10" borderId="9" xfId="0" applyFill="1" applyBorder="1" applyAlignment="1">
      <alignment horizontal="center"/>
    </xf>
    <xf numFmtId="1" fontId="0" fillId="10" borderId="12" xfId="0" applyNumberFormat="1" applyFill="1" applyBorder="1" applyAlignment="1">
      <alignment horizontal="center"/>
    </xf>
    <xf numFmtId="165" fontId="0" fillId="10" borderId="8" xfId="0" applyNumberFormat="1" applyFill="1" applyBorder="1" applyAlignment="1">
      <alignment horizontal="center"/>
    </xf>
    <xf numFmtId="167" fontId="0" fillId="10" borderId="0" xfId="0" applyNumberFormat="1" applyFill="1" applyBorder="1"/>
    <xf numFmtId="2" fontId="0" fillId="10" borderId="0" xfId="0" applyNumberFormat="1" applyFill="1" applyBorder="1"/>
    <xf numFmtId="166" fontId="0" fillId="10" borderId="0" xfId="0" applyNumberFormat="1" applyFill="1" applyBorder="1"/>
    <xf numFmtId="1" fontId="0" fillId="10" borderId="0" xfId="0" applyNumberFormat="1" applyFill="1" applyBorder="1" applyAlignment="1">
      <alignment horizontal="center"/>
    </xf>
    <xf numFmtId="165" fontId="0" fillId="10" borderId="12" xfId="0" applyNumberFormat="1" applyFill="1" applyBorder="1" applyAlignment="1">
      <alignment horizontal="center"/>
    </xf>
    <xf numFmtId="0" fontId="0" fillId="10" borderId="10" xfId="0" applyFill="1" applyBorder="1"/>
    <xf numFmtId="165" fontId="0" fillId="0" borderId="9" xfId="0" applyNumberFormat="1" applyBorder="1" applyAlignment="1">
      <alignment horizontal="center" vertical="center" wrapText="1"/>
    </xf>
    <xf numFmtId="165" fontId="0" fillId="0" borderId="9" xfId="0" applyNumberFormat="1" applyBorder="1"/>
    <xf numFmtId="165" fontId="0" fillId="0" borderId="13" xfId="0" applyNumberFormat="1" applyBorder="1"/>
    <xf numFmtId="165" fontId="0" fillId="0" borderId="4" xfId="0" applyNumberFormat="1" applyFill="1" applyBorder="1" applyAlignment="1">
      <alignment horizontal="center" vertical="center"/>
    </xf>
    <xf numFmtId="165" fontId="0" fillId="0" borderId="4" xfId="0" applyNumberFormat="1" applyFill="1" applyBorder="1"/>
    <xf numFmtId="165" fontId="0" fillId="0" borderId="14" xfId="0" applyNumberFormat="1" applyBorder="1" applyAlignment="1">
      <alignment horizontal="center" vertical="center" wrapText="1"/>
    </xf>
    <xf numFmtId="165" fontId="0" fillId="0" borderId="6" xfId="0" applyNumberFormat="1" applyBorder="1" applyAlignment="1">
      <alignment horizontal="center" vertical="center" wrapText="1"/>
    </xf>
    <xf numFmtId="165" fontId="0" fillId="0" borderId="9" xfId="0" applyNumberFormat="1" applyFill="1" applyBorder="1"/>
    <xf numFmtId="165" fontId="0" fillId="0" borderId="13" xfId="0" applyNumberFormat="1" applyFill="1" applyBorder="1"/>
    <xf numFmtId="165" fontId="0" fillId="0" borderId="4" xfId="0" applyNumberFormat="1" applyBorder="1" applyAlignment="1">
      <alignment horizontal="center" vertical="center"/>
    </xf>
    <xf numFmtId="165" fontId="0" fillId="0" borderId="4" xfId="0" applyNumberFormat="1" applyBorder="1"/>
    <xf numFmtId="165" fontId="0" fillId="0" borderId="10" xfId="0" applyNumberFormat="1" applyBorder="1" applyAlignment="1">
      <alignment horizontal="center" vertical="center" wrapText="1"/>
    </xf>
    <xf numFmtId="164" fontId="0" fillId="0" borderId="35" xfId="0" applyNumberFormat="1" applyFill="1" applyBorder="1" applyAlignment="1">
      <alignment horizontal="center" vertical="center" wrapText="1"/>
    </xf>
    <xf numFmtId="165" fontId="0" fillId="0" borderId="0" xfId="0" applyNumberFormat="1" applyBorder="1"/>
    <xf numFmtId="1" fontId="0" fillId="0" borderId="9" xfId="0" applyNumberFormat="1" applyFill="1" applyBorder="1" applyAlignment="1">
      <alignment horizontal="center" vertical="center" wrapText="1"/>
    </xf>
    <xf numFmtId="165" fontId="0" fillId="0" borderId="0" xfId="0" applyNumberFormat="1" applyFill="1" applyBorder="1"/>
    <xf numFmtId="14" fontId="3" fillId="0" borderId="0" xfId="0" applyNumberFormat="1" applyFont="1"/>
    <xf numFmtId="0" fontId="0" fillId="0" borderId="0" xfId="0" applyAlignment="1">
      <alignment horizontal="center" vertical="center"/>
    </xf>
    <xf numFmtId="0" fontId="2" fillId="2" borderId="0" xfId="0" applyFont="1" applyFill="1" applyBorder="1" applyAlignment="1">
      <alignment horizontal="right"/>
    </xf>
    <xf numFmtId="2" fontId="3" fillId="0" borderId="0" xfId="0" applyNumberFormat="1" applyFont="1" applyFill="1"/>
    <xf numFmtId="2" fontId="0" fillId="0" borderId="4" xfId="0" applyNumberFormat="1" applyFill="1" applyBorder="1"/>
    <xf numFmtId="15" fontId="2" fillId="2" borderId="9" xfId="0" applyNumberFormat="1" applyFont="1" applyFill="1" applyBorder="1"/>
    <xf numFmtId="2" fontId="3" fillId="0" borderId="9" xfId="0" applyNumberFormat="1" applyFont="1" applyFill="1" applyBorder="1"/>
    <xf numFmtId="0" fontId="3" fillId="2" borderId="0" xfId="0" applyFont="1" applyFill="1"/>
    <xf numFmtId="167" fontId="3" fillId="0" borderId="0" xfId="0" applyNumberFormat="1" applyFont="1"/>
    <xf numFmtId="2" fontId="2" fillId="0" borderId="0" xfId="0" applyNumberFormat="1" applyFont="1"/>
    <xf numFmtId="0" fontId="2" fillId="0" borderId="0" xfId="0" applyFont="1" applyAlignment="1">
      <alignment horizontal="center"/>
    </xf>
    <xf numFmtId="0" fontId="0" fillId="0" borderId="0" xfId="0" applyAlignment="1">
      <alignment horizontal="center" wrapText="1"/>
    </xf>
    <xf numFmtId="0" fontId="11" fillId="0" borderId="0" xfId="0" applyFont="1" applyAlignment="1">
      <alignment horizontal="center"/>
    </xf>
    <xf numFmtId="0" fontId="0" fillId="0" borderId="0" xfId="0" applyAlignment="1">
      <alignment horizontal="center"/>
    </xf>
    <xf numFmtId="0" fontId="0" fillId="0" borderId="2" xfId="0" applyFill="1" applyBorder="1" applyAlignment="1">
      <alignment horizontal="center" vertical="center" wrapText="1"/>
    </xf>
    <xf numFmtId="0" fontId="0" fillId="0" borderId="3" xfId="0" applyFill="1" applyBorder="1" applyAlignment="1">
      <alignment horizontal="center" vertical="center" wrapText="1"/>
    </xf>
    <xf numFmtId="0" fontId="0" fillId="0" borderId="5" xfId="0" applyFill="1" applyBorder="1" applyAlignment="1">
      <alignment horizontal="center" vertical="center" wrapText="1"/>
    </xf>
    <xf numFmtId="0" fontId="0" fillId="0" borderId="6" xfId="0" applyFill="1"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0" fillId="0" borderId="5" xfId="0" applyBorder="1" applyAlignment="1">
      <alignment horizontal="center" vertical="center" wrapText="1"/>
    </xf>
    <xf numFmtId="0" fontId="0" fillId="0" borderId="6" xfId="0" applyBorder="1" applyAlignment="1">
      <alignment horizontal="center" vertical="center" wrapText="1"/>
    </xf>
    <xf numFmtId="0" fontId="0" fillId="0" borderId="35" xfId="0" applyBorder="1" applyAlignment="1">
      <alignment horizontal="center" vertical="center" wrapText="1"/>
    </xf>
    <xf numFmtId="0" fontId="0" fillId="0" borderId="37" xfId="0" applyBorder="1" applyAlignment="1">
      <alignment horizontal="center" vertical="center" wrapText="1"/>
    </xf>
    <xf numFmtId="0" fontId="0" fillId="10" borderId="5" xfId="0" applyFill="1" applyBorder="1" applyAlignment="1">
      <alignment horizontal="center" vertical="center" wrapText="1"/>
    </xf>
    <xf numFmtId="0" fontId="0" fillId="10" borderId="35" xfId="0" applyFill="1" applyBorder="1" applyAlignment="1">
      <alignment horizontal="center" vertical="center" wrapText="1"/>
    </xf>
    <xf numFmtId="0" fontId="0" fillId="10" borderId="6" xfId="0" applyFill="1" applyBorder="1" applyAlignment="1">
      <alignment horizontal="center" vertical="center" wrapText="1"/>
    </xf>
    <xf numFmtId="0" fontId="0" fillId="10" borderId="37" xfId="0" applyFill="1" applyBorder="1" applyAlignment="1">
      <alignment horizontal="center" vertical="center" wrapText="1"/>
    </xf>
    <xf numFmtId="165" fontId="0" fillId="0" borderId="2" xfId="0" applyNumberFormat="1" applyBorder="1" applyAlignment="1">
      <alignment horizontal="center" vertical="center" wrapText="1"/>
    </xf>
    <xf numFmtId="165" fontId="0" fillId="0" borderId="3" xfId="0" applyNumberFormat="1" applyBorder="1" applyAlignment="1">
      <alignment horizontal="center" vertical="center" wrapText="1"/>
    </xf>
    <xf numFmtId="165" fontId="0" fillId="0" borderId="2" xfId="0" applyNumberFormat="1" applyFill="1" applyBorder="1" applyAlignment="1">
      <alignment horizontal="center" vertical="center" wrapText="1"/>
    </xf>
    <xf numFmtId="165" fontId="0" fillId="0" borderId="3" xfId="0" applyNumberFormat="1" applyFill="1" applyBorder="1" applyAlignment="1">
      <alignment horizontal="center" vertical="center" wrapText="1"/>
    </xf>
    <xf numFmtId="0" fontId="2" fillId="6" borderId="31" xfId="0" applyFont="1" applyFill="1" applyBorder="1" applyAlignment="1">
      <alignment horizontal="center" vertical="center" wrapText="1"/>
    </xf>
    <xf numFmtId="0" fontId="2" fillId="6" borderId="35" xfId="0" applyFont="1" applyFill="1" applyBorder="1" applyAlignment="1">
      <alignment horizontal="center" vertical="center" wrapText="1"/>
    </xf>
    <xf numFmtId="0" fontId="2" fillId="6" borderId="6" xfId="0" applyFont="1" applyFill="1" applyBorder="1" applyAlignment="1">
      <alignment horizontal="center" vertical="center" wrapText="1"/>
    </xf>
    <xf numFmtId="0" fontId="2" fillId="10" borderId="5" xfId="0" applyFont="1" applyFill="1" applyBorder="1" applyAlignment="1">
      <alignment horizontal="center" wrapText="1"/>
    </xf>
    <xf numFmtId="0" fontId="2" fillId="10" borderId="35" xfId="0" applyFont="1" applyFill="1" applyBorder="1" applyAlignment="1">
      <alignment horizontal="center" wrapText="1"/>
    </xf>
    <xf numFmtId="0" fontId="2" fillId="10" borderId="6" xfId="0" applyFont="1" applyFill="1" applyBorder="1" applyAlignment="1">
      <alignment horizontal="center" wrapText="1"/>
    </xf>
    <xf numFmtId="0" fontId="2" fillId="7" borderId="5" xfId="0" applyFont="1" applyFill="1" applyBorder="1" applyAlignment="1">
      <alignment horizontal="center" wrapText="1"/>
    </xf>
    <xf numFmtId="0" fontId="2" fillId="7" borderId="35" xfId="0" applyFont="1" applyFill="1" applyBorder="1" applyAlignment="1">
      <alignment horizontal="center" wrapText="1"/>
    </xf>
    <xf numFmtId="0" fontId="2" fillId="7" borderId="6" xfId="0" applyFont="1" applyFill="1" applyBorder="1" applyAlignment="1">
      <alignment horizontal="center" wrapText="1"/>
    </xf>
    <xf numFmtId="0" fontId="2" fillId="3" borderId="31" xfId="0" applyFont="1" applyFill="1" applyBorder="1" applyAlignment="1">
      <alignment horizontal="center" wrapText="1"/>
    </xf>
    <xf numFmtId="0" fontId="2" fillId="3" borderId="35" xfId="0" applyFont="1" applyFill="1" applyBorder="1" applyAlignment="1">
      <alignment horizontal="center" wrapText="1"/>
    </xf>
    <xf numFmtId="0" fontId="2" fillId="3" borderId="6" xfId="0" applyFont="1" applyFill="1" applyBorder="1" applyAlignment="1">
      <alignment horizontal="center" wrapText="1"/>
    </xf>
    <xf numFmtId="0" fontId="20" fillId="0" borderId="35" xfId="0" applyFont="1" applyFill="1" applyBorder="1" applyAlignment="1">
      <alignment horizontal="center" vertical="top" wrapText="1"/>
    </xf>
    <xf numFmtId="0" fontId="21" fillId="0" borderId="35" xfId="0" applyFont="1" applyFill="1" applyBorder="1" applyAlignment="1">
      <alignment horizontal="center" vertical="top" wrapText="1"/>
    </xf>
    <xf numFmtId="170" fontId="20" fillId="0" borderId="0" xfId="0" applyNumberFormat="1" applyFont="1" applyBorder="1" applyAlignment="1">
      <alignment horizontal="right" indent="1"/>
    </xf>
    <xf numFmtId="171" fontId="20" fillId="0" borderId="0" xfId="0" applyNumberFormat="1" applyFont="1" applyAlignment="1">
      <alignment horizontal="right" indent="1"/>
    </xf>
    <xf numFmtId="172" fontId="20" fillId="0" borderId="0" xfId="0" applyNumberFormat="1" applyFont="1" applyBorder="1" applyAlignment="1">
      <alignment horizontal="right" indent="1"/>
    </xf>
    <xf numFmtId="165" fontId="20" fillId="0" borderId="0" xfId="0" applyNumberFormat="1" applyFont="1" applyAlignment="1">
      <alignment horizontal="center"/>
    </xf>
    <xf numFmtId="173" fontId="20" fillId="0" borderId="0" xfId="0" applyNumberFormat="1" applyFont="1" applyAlignment="1">
      <alignment horizontal="right" indent="1"/>
    </xf>
    <xf numFmtId="170" fontId="20" fillId="0" borderId="0" xfId="0" applyNumberFormat="1" applyFont="1" applyBorder="1" applyAlignment="1">
      <alignment horizontal="center"/>
    </xf>
    <xf numFmtId="175" fontId="20" fillId="0" borderId="0" xfId="0" applyNumberFormat="1" applyFont="1" applyBorder="1" applyAlignment="1">
      <alignment horizontal="right" indent="1"/>
    </xf>
    <xf numFmtId="167" fontId="20" fillId="0" borderId="0" xfId="0" applyNumberFormat="1" applyFont="1" applyAlignment="1">
      <alignment horizontal="center"/>
    </xf>
    <xf numFmtId="166" fontId="20" fillId="0" borderId="0" xfId="0" applyNumberFormat="1" applyFont="1" applyAlignment="1">
      <alignment horizontal="center"/>
    </xf>
    <xf numFmtId="182" fontId="20" fillId="0" borderId="0" xfId="0" applyNumberFormat="1" applyFont="1" applyAlignment="1">
      <alignment horizontal="right" indent="1"/>
    </xf>
    <xf numFmtId="183" fontId="20" fillId="0" borderId="0" xfId="0" applyNumberFormat="1"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w="25400">
          <a:noFill/>
        </a:ln>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'5 A data'!$AL$100</c:f>
              <c:strCache>
                <c:ptCount val="1"/>
                <c:pt idx="0">
                  <c:v>70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'5 A data'!$AK$101:$AK$106</c:f>
              <c:numCache>
                <c:formatCode>General</c:formatCode>
                <c:ptCount val="6"/>
                <c:pt idx="0">
                  <c:v>0</c:v>
                </c:pt>
                <c:pt idx="1">
                  <c:v>1.25</c:v>
                </c:pt>
                <c:pt idx="2">
                  <c:v>2.5</c:v>
                </c:pt>
                <c:pt idx="3">
                  <c:v>3.75</c:v>
                </c:pt>
                <c:pt idx="4">
                  <c:v>5</c:v>
                </c:pt>
                <c:pt idx="5">
                  <c:v>7.5</c:v>
                </c:pt>
              </c:numCache>
            </c:numRef>
          </c:xVal>
          <c:yVal>
            <c:numRef>
              <c:f>'5 A data'!$AL$101:$AL$106</c:f>
              <c:numCache>
                <c:formatCode>0.0000</c:formatCode>
                <c:ptCount val="6"/>
                <c:pt idx="0">
                  <c:v>0</c:v>
                </c:pt>
                <c:pt idx="1">
                  <c:v>4.9600000000000005E-2</c:v>
                </c:pt>
                <c:pt idx="2">
                  <c:v>9.9400000000000016E-2</c:v>
                </c:pt>
                <c:pt idx="3">
                  <c:v>0.14879999999999999</c:v>
                </c:pt>
                <c:pt idx="4">
                  <c:v>0.16539999999999999</c:v>
                </c:pt>
                <c:pt idx="5">
                  <c:v>0.25159999999999999</c:v>
                </c:pt>
              </c:numCache>
            </c:numRef>
          </c:yVal>
          <c:smooth val="0"/>
          <c:extLst>
            <c:ext xmlns:c16="http://schemas.microsoft.com/office/drawing/2014/chart" uri="{C3380CC4-5D6E-409C-BE32-E72D297353CC}">
              <c16:uniqueId val="{00000000-76F6-4868-937C-FCFE4FE85B8A}"/>
            </c:ext>
          </c:extLst>
        </c:ser>
        <c:ser>
          <c:idx val="1"/>
          <c:order val="1"/>
          <c:tx>
            <c:strRef>
              <c:f>'5 A data'!$AM$100</c:f>
              <c:strCache>
                <c:ptCount val="1"/>
                <c:pt idx="0">
                  <c:v>100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'5 A data'!$AK$101:$AK$106</c:f>
              <c:numCache>
                <c:formatCode>General</c:formatCode>
                <c:ptCount val="6"/>
                <c:pt idx="0">
                  <c:v>0</c:v>
                </c:pt>
                <c:pt idx="1">
                  <c:v>1.25</c:v>
                </c:pt>
                <c:pt idx="2">
                  <c:v>2.5</c:v>
                </c:pt>
                <c:pt idx="3">
                  <c:v>3.75</c:v>
                </c:pt>
                <c:pt idx="4">
                  <c:v>5</c:v>
                </c:pt>
                <c:pt idx="5">
                  <c:v>7.5</c:v>
                </c:pt>
              </c:numCache>
            </c:numRef>
          </c:xVal>
          <c:yVal>
            <c:numRef>
              <c:f>'5 A data'!$AM$101:$AM$106</c:f>
              <c:numCache>
                <c:formatCode>0.0000</c:formatCode>
                <c:ptCount val="6"/>
                <c:pt idx="0">
                  <c:v>0</c:v>
                </c:pt>
                <c:pt idx="1">
                  <c:v>5.0200000000000009E-2</c:v>
                </c:pt>
                <c:pt idx="2">
                  <c:v>0.10080000000000001</c:v>
                </c:pt>
                <c:pt idx="3">
                  <c:v>0.15040000000000001</c:v>
                </c:pt>
                <c:pt idx="4">
                  <c:v>0.16420000000000001</c:v>
                </c:pt>
                <c:pt idx="5">
                  <c:v>0.25080000000000002</c:v>
                </c:pt>
              </c:numCache>
            </c:numRef>
          </c:yVal>
          <c:smooth val="0"/>
          <c:extLst>
            <c:ext xmlns:c16="http://schemas.microsoft.com/office/drawing/2014/chart" uri="{C3380CC4-5D6E-409C-BE32-E72D297353CC}">
              <c16:uniqueId val="{00000001-76F6-4868-937C-FCFE4FE85B8A}"/>
            </c:ext>
          </c:extLst>
        </c:ser>
        <c:ser>
          <c:idx val="2"/>
          <c:order val="2"/>
          <c:tx>
            <c:strRef>
              <c:f>'5 A data'!$AR$100</c:f>
              <c:strCache>
                <c:ptCount val="1"/>
                <c:pt idx="0">
                  <c:v>70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'5 A data'!$AK$101:$AK$106</c:f>
              <c:numCache>
                <c:formatCode>General</c:formatCode>
                <c:ptCount val="6"/>
                <c:pt idx="0">
                  <c:v>0</c:v>
                </c:pt>
                <c:pt idx="1">
                  <c:v>1.25</c:v>
                </c:pt>
                <c:pt idx="2">
                  <c:v>2.5</c:v>
                </c:pt>
                <c:pt idx="3">
                  <c:v>3.75</c:v>
                </c:pt>
                <c:pt idx="4">
                  <c:v>5</c:v>
                </c:pt>
                <c:pt idx="5">
                  <c:v>7.5</c:v>
                </c:pt>
              </c:numCache>
            </c:numRef>
          </c:xVal>
          <c:yVal>
            <c:numRef>
              <c:f>'5 A data'!$AR$101:$AR$106</c:f>
              <c:numCache>
                <c:formatCode>0.0000</c:formatCode>
                <c:ptCount val="6"/>
                <c:pt idx="0">
                  <c:v>0</c:v>
                </c:pt>
                <c:pt idx="1">
                  <c:v>4.9349999999999991E-2</c:v>
                </c:pt>
                <c:pt idx="2">
                  <c:v>9.8750000000000004E-2</c:v>
                </c:pt>
                <c:pt idx="3">
                  <c:v>0.14915</c:v>
                </c:pt>
                <c:pt idx="4">
                  <c:v>0.16500000000000004</c:v>
                </c:pt>
                <c:pt idx="5">
                  <c:v>0.25229999999999997</c:v>
                </c:pt>
              </c:numCache>
            </c:numRef>
          </c:yVal>
          <c:smooth val="0"/>
          <c:extLst>
            <c:ext xmlns:c16="http://schemas.microsoft.com/office/drawing/2014/chart" uri="{C3380CC4-5D6E-409C-BE32-E72D297353CC}">
              <c16:uniqueId val="{00000002-76F6-4868-937C-FCFE4FE85B8A}"/>
            </c:ext>
          </c:extLst>
        </c:ser>
        <c:ser>
          <c:idx val="3"/>
          <c:order val="3"/>
          <c:tx>
            <c:strRef>
              <c:f>'5 A data'!$AS$100</c:f>
              <c:strCache>
                <c:ptCount val="1"/>
                <c:pt idx="0">
                  <c:v>100</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'5 A data'!$AK$101:$AK$106</c:f>
              <c:numCache>
                <c:formatCode>General</c:formatCode>
                <c:ptCount val="6"/>
                <c:pt idx="0">
                  <c:v>0</c:v>
                </c:pt>
                <c:pt idx="1">
                  <c:v>1.25</c:v>
                </c:pt>
                <c:pt idx="2">
                  <c:v>2.5</c:v>
                </c:pt>
                <c:pt idx="3">
                  <c:v>3.75</c:v>
                </c:pt>
                <c:pt idx="4">
                  <c:v>5</c:v>
                </c:pt>
                <c:pt idx="5">
                  <c:v>7.5</c:v>
                </c:pt>
              </c:numCache>
            </c:numRef>
          </c:xVal>
          <c:yVal>
            <c:numRef>
              <c:f>'5 A data'!$AS$101:$AS$106</c:f>
              <c:numCache>
                <c:formatCode>0.0000</c:formatCode>
                <c:ptCount val="6"/>
                <c:pt idx="0">
                  <c:v>0</c:v>
                </c:pt>
                <c:pt idx="1">
                  <c:v>4.9750000000000003E-2</c:v>
                </c:pt>
                <c:pt idx="2">
                  <c:v>0.10015</c:v>
                </c:pt>
                <c:pt idx="3">
                  <c:v>0.15005000000000002</c:v>
                </c:pt>
                <c:pt idx="4">
                  <c:v>0.16485</c:v>
                </c:pt>
                <c:pt idx="5">
                  <c:v>0.25185000000000002</c:v>
                </c:pt>
              </c:numCache>
            </c:numRef>
          </c:yVal>
          <c:smooth val="0"/>
          <c:extLst>
            <c:ext xmlns:c16="http://schemas.microsoft.com/office/drawing/2014/chart" uri="{C3380CC4-5D6E-409C-BE32-E72D297353CC}">
              <c16:uniqueId val="{00000003-76F6-4868-937C-FCFE4FE85B8A}"/>
            </c:ext>
          </c:extLst>
        </c:ser>
        <c:dLbls>
          <c:showLegendKey val="0"/>
          <c:showVal val="0"/>
          <c:showCatName val="0"/>
          <c:showSerName val="0"/>
          <c:showPercent val="0"/>
          <c:showBubbleSize val="0"/>
        </c:dLbls>
        <c:axId val="248791360"/>
        <c:axId val="1"/>
      </c:scatterChart>
      <c:valAx>
        <c:axId val="24879136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1"/>
        <c:crosses val="autoZero"/>
        <c:crossBetween val="midCat"/>
      </c:valAx>
      <c:valAx>
        <c:axId val="1"/>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8791360"/>
        <c:crosses val="autoZero"/>
        <c:crossBetween val="midCat"/>
      </c:valAx>
      <c:spPr>
        <a:noFill/>
        <a:ln w="25400">
          <a:noFill/>
        </a:ln>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w="25400">
          <a:noFill/>
        </a:ln>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'5 A data'!$AK$136</c:f>
              <c:strCache>
                <c:ptCount val="1"/>
                <c:pt idx="0">
                  <c:v>70%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'5 A data'!$AL$135:$AN$135</c:f>
              <c:numCache>
                <c:formatCode>General</c:formatCode>
                <c:ptCount val="3"/>
                <c:pt idx="0">
                  <c:v>100</c:v>
                </c:pt>
                <c:pt idx="1">
                  <c:v>50</c:v>
                </c:pt>
                <c:pt idx="2">
                  <c:v>10</c:v>
                </c:pt>
              </c:numCache>
            </c:numRef>
          </c:xVal>
          <c:yVal>
            <c:numRef>
              <c:f>'5 A data'!$AL$136:$AN$136</c:f>
              <c:numCache>
                <c:formatCode>0.0000</c:formatCode>
                <c:ptCount val="3"/>
                <c:pt idx="0">
                  <c:v>4.9600000000000005E-2</c:v>
                </c:pt>
                <c:pt idx="1">
                  <c:v>4.9349999999999991E-2</c:v>
                </c:pt>
                <c:pt idx="2">
                  <c:v>4.936999999999999E-2</c:v>
                </c:pt>
              </c:numCache>
            </c:numRef>
          </c:yVal>
          <c:smooth val="0"/>
          <c:extLst>
            <c:ext xmlns:c16="http://schemas.microsoft.com/office/drawing/2014/chart" uri="{C3380CC4-5D6E-409C-BE32-E72D297353CC}">
              <c16:uniqueId val="{00000000-DDD9-47E8-8D68-F13D40F9838C}"/>
            </c:ext>
          </c:extLst>
        </c:ser>
        <c:ser>
          <c:idx val="1"/>
          <c:order val="1"/>
          <c:tx>
            <c:strRef>
              <c:f>'5 A data'!$AK$137</c:f>
              <c:strCache>
                <c:ptCount val="1"/>
                <c:pt idx="0">
                  <c:v>100%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'5 A data'!$AL$135:$AN$135</c:f>
              <c:numCache>
                <c:formatCode>General</c:formatCode>
                <c:ptCount val="3"/>
                <c:pt idx="0">
                  <c:v>100</c:v>
                </c:pt>
                <c:pt idx="1">
                  <c:v>50</c:v>
                </c:pt>
                <c:pt idx="2">
                  <c:v>10</c:v>
                </c:pt>
              </c:numCache>
            </c:numRef>
          </c:xVal>
          <c:yVal>
            <c:numRef>
              <c:f>'5 A data'!$AL$137:$AN$137</c:f>
              <c:numCache>
                <c:formatCode>0.0000</c:formatCode>
                <c:ptCount val="3"/>
                <c:pt idx="0">
                  <c:v>5.0200000000000009E-2</c:v>
                </c:pt>
                <c:pt idx="1">
                  <c:v>4.9750000000000003E-2</c:v>
                </c:pt>
                <c:pt idx="2">
                  <c:v>4.9669999999999992E-2</c:v>
                </c:pt>
              </c:numCache>
            </c:numRef>
          </c:yVal>
          <c:smooth val="0"/>
          <c:extLst>
            <c:ext xmlns:c16="http://schemas.microsoft.com/office/drawing/2014/chart" uri="{C3380CC4-5D6E-409C-BE32-E72D297353CC}">
              <c16:uniqueId val="{00000001-DDD9-47E8-8D68-F13D40F9838C}"/>
            </c:ext>
          </c:extLst>
        </c:ser>
        <c:dLbls>
          <c:showLegendKey val="0"/>
          <c:showVal val="0"/>
          <c:showCatName val="0"/>
          <c:showSerName val="0"/>
          <c:showPercent val="0"/>
          <c:showBubbleSize val="0"/>
        </c:dLbls>
        <c:axId val="416634776"/>
        <c:axId val="1"/>
      </c:scatterChart>
      <c:valAx>
        <c:axId val="4166347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1"/>
        <c:crosses val="autoZero"/>
        <c:crossBetween val="midCat"/>
      </c:valAx>
      <c:valAx>
        <c:axId val="1"/>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634776"/>
        <c:crosses val="autoZero"/>
        <c:crossBetween val="midCat"/>
      </c:valAx>
      <c:spPr>
        <a:noFill/>
        <a:ln w="25400">
          <a:noFill/>
        </a:ln>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w="25400">
          <a:noFill/>
        </a:ln>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percentStacke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val>
            <c:numRef>
              <c:f>'5 A data'!$BK$102:$BL$102</c:f>
              <c:numCache>
                <c:formatCode>0.00</c:formatCode>
                <c:ptCount val="2"/>
                <c:pt idx="0">
                  <c:v>-1.0500000000000091</c:v>
                </c:pt>
                <c:pt idx="1">
                  <c:v>-4.9999999999994493E-2</c:v>
                </c:pt>
              </c:numCache>
            </c:numRef>
          </c:val>
          <c:smooth val="0"/>
          <c:extLst>
            <c:ext xmlns:c16="http://schemas.microsoft.com/office/drawing/2014/chart" uri="{C3380CC4-5D6E-409C-BE32-E72D297353CC}">
              <c16:uniqueId val="{00000000-9ACE-4791-B6F9-96FD3A2357FE}"/>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'5 A data'!$BK$103:$BL$103</c:f>
              <c:numCache>
                <c:formatCode>0.00</c:formatCode>
                <c:ptCount val="2"/>
                <c:pt idx="0">
                  <c:v>-0.92499999999999527</c:v>
                </c:pt>
                <c:pt idx="1">
                  <c:v>0.4750000000000032</c:v>
                </c:pt>
              </c:numCache>
            </c:numRef>
          </c:val>
          <c:smooth val="0"/>
          <c:extLst>
            <c:ext xmlns:c16="http://schemas.microsoft.com/office/drawing/2014/chart" uri="{C3380CC4-5D6E-409C-BE32-E72D297353CC}">
              <c16:uniqueId val="{00000001-9ACE-4791-B6F9-96FD3A2357FE}"/>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'5 A data'!$BK$104:$BL$104</c:f>
              <c:numCache>
                <c:formatCode>0.00</c:formatCode>
                <c:ptCount val="2"/>
                <c:pt idx="0">
                  <c:v>-0.68333333333333213</c:v>
                </c:pt>
                <c:pt idx="1">
                  <c:v>0.15000000000000199</c:v>
                </c:pt>
              </c:numCache>
            </c:numRef>
          </c:val>
          <c:smooth val="0"/>
          <c:extLst>
            <c:ext xmlns:c16="http://schemas.microsoft.com/office/drawing/2014/chart" uri="{C3380CC4-5D6E-409C-BE32-E72D297353CC}">
              <c16:uniqueId val="{00000002-9ACE-4791-B6F9-96FD3A2357FE}"/>
            </c:ext>
          </c:extLst>
        </c:ser>
        <c:dLbls>
          <c:showLegendKey val="0"/>
          <c:showVal val="0"/>
          <c:showCatName val="0"/>
          <c:showSerName val="0"/>
          <c:showPercent val="0"/>
          <c:showBubbleSize val="0"/>
        </c:dLbls>
        <c:marker val="1"/>
        <c:smooth val="0"/>
        <c:axId val="416637072"/>
        <c:axId val="1"/>
      </c:lineChart>
      <c:catAx>
        <c:axId val="4166370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
        <c:crosses val="autoZero"/>
        <c:auto val="1"/>
        <c:lblAlgn val="ctr"/>
        <c:lblOffset val="100"/>
        <c:noMultiLvlLbl val="0"/>
      </c:catAx>
      <c:valAx>
        <c:axId val="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ln w="9525">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637072"/>
        <c:crosses val="autoZero"/>
        <c:crossBetween val="between"/>
      </c:valAx>
      <c:spPr>
        <a:noFill/>
        <a:ln w="25400">
          <a:noFill/>
        </a:ln>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724815724815724"/>
          <c:y val="0.1059322033898305"/>
          <c:w val="0.7960687960687961"/>
          <c:h val="0.72033898305084743"/>
        </c:manualLayout>
      </c:layout>
      <c:scatterChart>
        <c:scatterStyle val="smoothMarker"/>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xVal>
            <c:numRef>
              <c:f>'5 A Tables'!$D$6:$D$11</c:f>
              <c:numCache>
                <c:formatCode>0</c:formatCode>
                <c:ptCount val="6"/>
                <c:pt idx="0">
                  <c:v>#N/A</c:v>
                </c:pt>
                <c:pt idx="1">
                  <c:v>#N/A</c:v>
                </c:pt>
                <c:pt idx="2">
                  <c:v>#N/A</c:v>
                </c:pt>
                <c:pt idx="3">
                  <c:v>#N/A</c:v>
                </c:pt>
                <c:pt idx="4" formatCode="General">
                  <c:v>#N/A</c:v>
                </c:pt>
                <c:pt idx="5" formatCode="General">
                  <c:v>#N/A</c:v>
                </c:pt>
              </c:numCache>
            </c:numRef>
          </c:xVal>
          <c:yVal>
            <c:numRef>
              <c:f>'5 A Tables'!$E$6:$E$11</c:f>
              <c:numCache>
                <c:formatCode>0.00000</c:formatCode>
                <c:ptCount val="6"/>
                <c:pt idx="0">
                  <c:v>#N/A</c:v>
                </c:pt>
                <c:pt idx="1">
                  <c:v>#N/A</c:v>
                </c:pt>
                <c:pt idx="2">
                  <c:v>#N/A</c:v>
                </c:pt>
                <c:pt idx="3">
                  <c:v>#N/A</c:v>
                </c:pt>
                <c:pt idx="4">
                  <c:v>#N/A</c:v>
                </c:pt>
                <c:pt idx="5">
                  <c:v>#N/A</c:v>
                </c:pt>
              </c:numCache>
            </c:numRef>
          </c:yVal>
          <c:smooth val="1"/>
          <c:extLst>
            <c:ext xmlns:c16="http://schemas.microsoft.com/office/drawing/2014/chart" uri="{C3380CC4-5D6E-409C-BE32-E72D297353CC}">
              <c16:uniqueId val="{00000000-7A41-498F-B8D4-9A8A8B956DD4}"/>
            </c:ext>
          </c:extLst>
        </c:ser>
        <c:ser>
          <c:idx val="1"/>
          <c:order val="1"/>
          <c:spPr>
            <a:ln w="12700">
              <a:solidFill>
                <a:srgbClr val="FF00FF"/>
              </a:solidFill>
              <a:prstDash val="solid"/>
            </a:ln>
          </c:spPr>
          <c:marker>
            <c:symbol val="square"/>
            <c:size val="5"/>
            <c:spPr>
              <a:solidFill>
                <a:srgbClr val="FF00FF"/>
              </a:solidFill>
              <a:ln>
                <a:solidFill>
                  <a:srgbClr val="FF00FF"/>
                </a:solidFill>
                <a:prstDash val="solid"/>
              </a:ln>
            </c:spPr>
          </c:marker>
          <c:xVal>
            <c:numRef>
              <c:f>'5 A Tables'!$D$6:$D$11</c:f>
              <c:numCache>
                <c:formatCode>0</c:formatCode>
                <c:ptCount val="6"/>
                <c:pt idx="0">
                  <c:v>#N/A</c:v>
                </c:pt>
                <c:pt idx="1">
                  <c:v>#N/A</c:v>
                </c:pt>
                <c:pt idx="2">
                  <c:v>#N/A</c:v>
                </c:pt>
                <c:pt idx="3">
                  <c:v>#N/A</c:v>
                </c:pt>
                <c:pt idx="4" formatCode="General">
                  <c:v>#N/A</c:v>
                </c:pt>
                <c:pt idx="5" formatCode="General">
                  <c:v>#N/A</c:v>
                </c:pt>
              </c:numCache>
            </c:numRef>
          </c:xVal>
          <c:yVal>
            <c:numRef>
              <c:f>'5 A Tables'!$F$6:$F$11</c:f>
              <c:numCache>
                <c:formatCode>0.00000</c:formatCode>
                <c:ptCount val="6"/>
                <c:pt idx="0">
                  <c:v>#N/A</c:v>
                </c:pt>
                <c:pt idx="1">
                  <c:v>#N/A</c:v>
                </c:pt>
                <c:pt idx="2">
                  <c:v>#N/A</c:v>
                </c:pt>
                <c:pt idx="3">
                  <c:v>#N/A</c:v>
                </c:pt>
                <c:pt idx="4">
                  <c:v>#N/A</c:v>
                </c:pt>
                <c:pt idx="5">
                  <c:v>#N/A</c:v>
                </c:pt>
              </c:numCache>
            </c:numRef>
          </c:yVal>
          <c:smooth val="1"/>
          <c:extLst>
            <c:ext xmlns:c16="http://schemas.microsoft.com/office/drawing/2014/chart" uri="{C3380CC4-5D6E-409C-BE32-E72D297353CC}">
              <c16:uniqueId val="{00000001-7A41-498F-B8D4-9A8A8B956DD4}"/>
            </c:ext>
          </c:extLst>
        </c:ser>
        <c:dLbls>
          <c:showLegendKey val="0"/>
          <c:showVal val="0"/>
          <c:showCatName val="0"/>
          <c:showSerName val="0"/>
          <c:showPercent val="0"/>
          <c:showBubbleSize val="0"/>
        </c:dLbls>
        <c:axId val="416764664"/>
        <c:axId val="1"/>
      </c:scatterChart>
      <c:valAx>
        <c:axId val="416764664"/>
        <c:scaling>
          <c:orientation val="minMax"/>
        </c:scaling>
        <c:delete val="0"/>
        <c:axPos val="b"/>
        <c:numFmt formatCode="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
        <c:crosses val="autoZero"/>
        <c:crossBetween val="midCat"/>
      </c:valAx>
      <c:valAx>
        <c:axId val="1"/>
        <c:scaling>
          <c:orientation val="minMax"/>
        </c:scaling>
        <c:delete val="0"/>
        <c:axPos val="l"/>
        <c:majorGridlines>
          <c:spPr>
            <a:ln w="3175">
              <a:solidFill>
                <a:srgbClr val="000000"/>
              </a:solidFill>
              <a:prstDash val="solid"/>
            </a:ln>
          </c:spPr>
        </c:majorGridlines>
        <c:numFmt formatCode="0.00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416764664"/>
        <c:crosses val="autoZero"/>
        <c:crossBetween val="midCat"/>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763565756289635"/>
          <c:y val="9.6525278499936848E-2"/>
          <c:w val="0.78571523066506155"/>
          <c:h val="0.7451751500195124"/>
        </c:manualLayout>
      </c:layout>
      <c:scatterChart>
        <c:scatterStyle val="smoothMarker"/>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xVal>
            <c:numRef>
              <c:f>'5 A Tables'!$D$13:$D$18</c:f>
              <c:numCache>
                <c:formatCode>General</c:formatCode>
                <c:ptCount val="6"/>
                <c:pt idx="0">
                  <c:v>#N/A</c:v>
                </c:pt>
                <c:pt idx="1">
                  <c:v>#N/A</c:v>
                </c:pt>
                <c:pt idx="2">
                  <c:v>#N/A</c:v>
                </c:pt>
                <c:pt idx="3">
                  <c:v>#N/A</c:v>
                </c:pt>
                <c:pt idx="4">
                  <c:v>#N/A</c:v>
                </c:pt>
                <c:pt idx="5">
                  <c:v>#N/A</c:v>
                </c:pt>
              </c:numCache>
            </c:numRef>
          </c:xVal>
          <c:yVal>
            <c:numRef>
              <c:f>'5 A Tables'!$E$13:$E$18</c:f>
              <c:numCache>
                <c:formatCode>0.00000</c:formatCode>
                <c:ptCount val="6"/>
                <c:pt idx="0">
                  <c:v>#N/A</c:v>
                </c:pt>
                <c:pt idx="1">
                  <c:v>#N/A</c:v>
                </c:pt>
                <c:pt idx="2">
                  <c:v>#N/A</c:v>
                </c:pt>
                <c:pt idx="3">
                  <c:v>#N/A</c:v>
                </c:pt>
                <c:pt idx="4">
                  <c:v>#N/A</c:v>
                </c:pt>
                <c:pt idx="5">
                  <c:v>#N/A</c:v>
                </c:pt>
              </c:numCache>
            </c:numRef>
          </c:yVal>
          <c:smooth val="1"/>
          <c:extLst>
            <c:ext xmlns:c16="http://schemas.microsoft.com/office/drawing/2014/chart" uri="{C3380CC4-5D6E-409C-BE32-E72D297353CC}">
              <c16:uniqueId val="{00000000-2CE5-4A8A-99AE-82ED700F4A65}"/>
            </c:ext>
          </c:extLst>
        </c:ser>
        <c:ser>
          <c:idx val="1"/>
          <c:order val="1"/>
          <c:spPr>
            <a:ln w="12700">
              <a:solidFill>
                <a:srgbClr val="FF00FF"/>
              </a:solidFill>
              <a:prstDash val="solid"/>
            </a:ln>
          </c:spPr>
          <c:marker>
            <c:symbol val="square"/>
            <c:size val="5"/>
            <c:spPr>
              <a:solidFill>
                <a:srgbClr val="FF00FF"/>
              </a:solidFill>
              <a:ln>
                <a:solidFill>
                  <a:srgbClr val="FF00FF"/>
                </a:solidFill>
                <a:prstDash val="solid"/>
              </a:ln>
            </c:spPr>
          </c:marker>
          <c:xVal>
            <c:numRef>
              <c:f>'5 A Tables'!$D$13:$D$18</c:f>
              <c:numCache>
                <c:formatCode>General</c:formatCode>
                <c:ptCount val="6"/>
                <c:pt idx="0">
                  <c:v>#N/A</c:v>
                </c:pt>
                <c:pt idx="1">
                  <c:v>#N/A</c:v>
                </c:pt>
                <c:pt idx="2">
                  <c:v>#N/A</c:v>
                </c:pt>
                <c:pt idx="3">
                  <c:v>#N/A</c:v>
                </c:pt>
                <c:pt idx="4">
                  <c:v>#N/A</c:v>
                </c:pt>
                <c:pt idx="5">
                  <c:v>#N/A</c:v>
                </c:pt>
              </c:numCache>
            </c:numRef>
          </c:xVal>
          <c:yVal>
            <c:numRef>
              <c:f>'5 A Tables'!$F$13:$F$18</c:f>
              <c:numCache>
                <c:formatCode>0.00000</c:formatCode>
                <c:ptCount val="6"/>
                <c:pt idx="0">
                  <c:v>#N/A</c:v>
                </c:pt>
                <c:pt idx="1">
                  <c:v>#N/A</c:v>
                </c:pt>
                <c:pt idx="2">
                  <c:v>#N/A</c:v>
                </c:pt>
                <c:pt idx="3">
                  <c:v>#N/A</c:v>
                </c:pt>
                <c:pt idx="4">
                  <c:v>#N/A</c:v>
                </c:pt>
                <c:pt idx="5">
                  <c:v>#N/A</c:v>
                </c:pt>
              </c:numCache>
            </c:numRef>
          </c:yVal>
          <c:smooth val="1"/>
          <c:extLst>
            <c:ext xmlns:c16="http://schemas.microsoft.com/office/drawing/2014/chart" uri="{C3380CC4-5D6E-409C-BE32-E72D297353CC}">
              <c16:uniqueId val="{00000001-2CE5-4A8A-99AE-82ED700F4A65}"/>
            </c:ext>
          </c:extLst>
        </c:ser>
        <c:dLbls>
          <c:showLegendKey val="0"/>
          <c:showVal val="0"/>
          <c:showCatName val="0"/>
          <c:showSerName val="0"/>
          <c:showPercent val="0"/>
          <c:showBubbleSize val="0"/>
        </c:dLbls>
        <c:axId val="416766960"/>
        <c:axId val="1"/>
      </c:scatterChart>
      <c:valAx>
        <c:axId val="4167669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
        <c:crosses val="autoZero"/>
        <c:crossBetween val="midCat"/>
      </c:valAx>
      <c:valAx>
        <c:axId val="1"/>
        <c:scaling>
          <c:orientation val="minMax"/>
        </c:scaling>
        <c:delete val="0"/>
        <c:axPos val="l"/>
        <c:majorGridlines>
          <c:spPr>
            <a:ln w="3175">
              <a:solidFill>
                <a:srgbClr val="000000"/>
              </a:solidFill>
              <a:prstDash val="solid"/>
            </a:ln>
          </c:spPr>
        </c:majorGridlines>
        <c:numFmt formatCode="0.00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416766960"/>
        <c:crosses val="autoZero"/>
        <c:crossBetween val="midCat"/>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880912541815947"/>
          <c:y val="0.10822556575337254"/>
          <c:w val="0.7940456270907974"/>
          <c:h val="0.71428873397225878"/>
        </c:manualLayout>
      </c:layout>
      <c:scatterChart>
        <c:scatterStyle val="smoothMarker"/>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xVal>
            <c:numRef>
              <c:f>'5 A Tables'!$D$24:$D$29</c:f>
              <c:numCache>
                <c:formatCode>0</c:formatCode>
                <c:ptCount val="6"/>
                <c:pt idx="0">
                  <c:v>#N/A</c:v>
                </c:pt>
                <c:pt idx="1">
                  <c:v>#N/A</c:v>
                </c:pt>
                <c:pt idx="2">
                  <c:v>#N/A</c:v>
                </c:pt>
                <c:pt idx="3">
                  <c:v>#N/A</c:v>
                </c:pt>
                <c:pt idx="4" formatCode="General">
                  <c:v>#N/A</c:v>
                </c:pt>
                <c:pt idx="5" formatCode="General">
                  <c:v>#N/A</c:v>
                </c:pt>
              </c:numCache>
            </c:numRef>
          </c:xVal>
          <c:yVal>
            <c:numRef>
              <c:f>'5 A Tables'!$E$24:$E$29</c:f>
              <c:numCache>
                <c:formatCode>0.00000</c:formatCode>
                <c:ptCount val="6"/>
                <c:pt idx="0">
                  <c:v>#N/A</c:v>
                </c:pt>
                <c:pt idx="1">
                  <c:v>#N/A</c:v>
                </c:pt>
                <c:pt idx="2">
                  <c:v>#N/A</c:v>
                </c:pt>
                <c:pt idx="3">
                  <c:v>#N/A</c:v>
                </c:pt>
                <c:pt idx="4">
                  <c:v>#N/A</c:v>
                </c:pt>
                <c:pt idx="5">
                  <c:v>#N/A</c:v>
                </c:pt>
              </c:numCache>
            </c:numRef>
          </c:yVal>
          <c:smooth val="1"/>
          <c:extLst>
            <c:ext xmlns:c16="http://schemas.microsoft.com/office/drawing/2014/chart" uri="{C3380CC4-5D6E-409C-BE32-E72D297353CC}">
              <c16:uniqueId val="{00000000-D8EE-4E39-812F-E227DF492C42}"/>
            </c:ext>
          </c:extLst>
        </c:ser>
        <c:ser>
          <c:idx val="1"/>
          <c:order val="1"/>
          <c:spPr>
            <a:ln w="12700">
              <a:solidFill>
                <a:srgbClr val="FF00FF"/>
              </a:solidFill>
              <a:prstDash val="solid"/>
            </a:ln>
          </c:spPr>
          <c:marker>
            <c:symbol val="square"/>
            <c:size val="5"/>
            <c:spPr>
              <a:solidFill>
                <a:srgbClr val="FF00FF"/>
              </a:solidFill>
              <a:ln>
                <a:solidFill>
                  <a:srgbClr val="FF00FF"/>
                </a:solidFill>
                <a:prstDash val="solid"/>
              </a:ln>
            </c:spPr>
          </c:marker>
          <c:xVal>
            <c:numRef>
              <c:f>'5 A Tables'!$D$24:$D$29</c:f>
              <c:numCache>
                <c:formatCode>0</c:formatCode>
                <c:ptCount val="6"/>
                <c:pt idx="0">
                  <c:v>#N/A</c:v>
                </c:pt>
                <c:pt idx="1">
                  <c:v>#N/A</c:v>
                </c:pt>
                <c:pt idx="2">
                  <c:v>#N/A</c:v>
                </c:pt>
                <c:pt idx="3">
                  <c:v>#N/A</c:v>
                </c:pt>
                <c:pt idx="4" formatCode="General">
                  <c:v>#N/A</c:v>
                </c:pt>
                <c:pt idx="5" formatCode="General">
                  <c:v>#N/A</c:v>
                </c:pt>
              </c:numCache>
            </c:numRef>
          </c:xVal>
          <c:yVal>
            <c:numRef>
              <c:f>'5 A Tables'!$F$24:$F$29</c:f>
              <c:numCache>
                <c:formatCode>0.00000</c:formatCode>
                <c:ptCount val="6"/>
                <c:pt idx="0">
                  <c:v>#N/A</c:v>
                </c:pt>
                <c:pt idx="1">
                  <c:v>#N/A</c:v>
                </c:pt>
                <c:pt idx="2">
                  <c:v>#N/A</c:v>
                </c:pt>
                <c:pt idx="3">
                  <c:v>#N/A</c:v>
                </c:pt>
                <c:pt idx="4">
                  <c:v>#N/A</c:v>
                </c:pt>
                <c:pt idx="5">
                  <c:v>#N/A</c:v>
                </c:pt>
              </c:numCache>
            </c:numRef>
          </c:yVal>
          <c:smooth val="1"/>
          <c:extLst>
            <c:ext xmlns:c16="http://schemas.microsoft.com/office/drawing/2014/chart" uri="{C3380CC4-5D6E-409C-BE32-E72D297353CC}">
              <c16:uniqueId val="{00000001-D8EE-4E39-812F-E227DF492C42}"/>
            </c:ext>
          </c:extLst>
        </c:ser>
        <c:dLbls>
          <c:showLegendKey val="0"/>
          <c:showVal val="0"/>
          <c:showCatName val="0"/>
          <c:showSerName val="0"/>
          <c:showPercent val="0"/>
          <c:showBubbleSize val="0"/>
        </c:dLbls>
        <c:axId val="416647040"/>
        <c:axId val="1"/>
      </c:scatterChart>
      <c:valAx>
        <c:axId val="416647040"/>
        <c:scaling>
          <c:orientation val="minMax"/>
        </c:scaling>
        <c:delete val="0"/>
        <c:axPos val="b"/>
        <c:numFmt formatCode="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
        <c:crosses val="autoZero"/>
        <c:crossBetween val="midCat"/>
      </c:valAx>
      <c:valAx>
        <c:axId val="1"/>
        <c:scaling>
          <c:orientation val="minMax"/>
        </c:scaling>
        <c:delete val="0"/>
        <c:axPos val="l"/>
        <c:majorGridlines>
          <c:spPr>
            <a:ln w="3175">
              <a:solidFill>
                <a:srgbClr val="000000"/>
              </a:solidFill>
              <a:prstDash val="solid"/>
            </a:ln>
          </c:spPr>
        </c:majorGridlines>
        <c:numFmt formatCode="0.00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416647040"/>
        <c:crosses val="autoZero"/>
        <c:crossBetween val="midCat"/>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613861386138615"/>
          <c:y val="0.1122451775878348"/>
          <c:w val="0.80940594059405946"/>
          <c:h val="0.71938954726748661"/>
        </c:manualLayout>
      </c:layout>
      <c:scatterChart>
        <c:scatterStyle val="smoothMarker"/>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xVal>
            <c:numRef>
              <c:f>'5 A Tables'!$D$31:$D$36</c:f>
              <c:numCache>
                <c:formatCode>General</c:formatCode>
                <c:ptCount val="6"/>
                <c:pt idx="0">
                  <c:v>#N/A</c:v>
                </c:pt>
                <c:pt idx="1">
                  <c:v>#N/A</c:v>
                </c:pt>
                <c:pt idx="2">
                  <c:v>#N/A</c:v>
                </c:pt>
                <c:pt idx="3">
                  <c:v>#N/A</c:v>
                </c:pt>
                <c:pt idx="4">
                  <c:v>#N/A</c:v>
                </c:pt>
                <c:pt idx="5">
                  <c:v>#N/A</c:v>
                </c:pt>
              </c:numCache>
            </c:numRef>
          </c:xVal>
          <c:yVal>
            <c:numRef>
              <c:f>'5 A Tables'!$E$31:$E$36</c:f>
              <c:numCache>
                <c:formatCode>0.00000</c:formatCode>
                <c:ptCount val="6"/>
                <c:pt idx="0">
                  <c:v>#N/A</c:v>
                </c:pt>
                <c:pt idx="1">
                  <c:v>#N/A</c:v>
                </c:pt>
                <c:pt idx="2">
                  <c:v>#N/A</c:v>
                </c:pt>
                <c:pt idx="3">
                  <c:v>#N/A</c:v>
                </c:pt>
                <c:pt idx="4">
                  <c:v>#N/A</c:v>
                </c:pt>
                <c:pt idx="5">
                  <c:v>#N/A</c:v>
                </c:pt>
              </c:numCache>
            </c:numRef>
          </c:yVal>
          <c:smooth val="1"/>
          <c:extLst>
            <c:ext xmlns:c16="http://schemas.microsoft.com/office/drawing/2014/chart" uri="{C3380CC4-5D6E-409C-BE32-E72D297353CC}">
              <c16:uniqueId val="{00000000-872C-4EC3-B689-6610EC972E59}"/>
            </c:ext>
          </c:extLst>
        </c:ser>
        <c:ser>
          <c:idx val="1"/>
          <c:order val="1"/>
          <c:spPr>
            <a:ln w="12700">
              <a:solidFill>
                <a:srgbClr val="FF00FF"/>
              </a:solidFill>
              <a:prstDash val="solid"/>
            </a:ln>
          </c:spPr>
          <c:marker>
            <c:symbol val="square"/>
            <c:size val="5"/>
            <c:spPr>
              <a:solidFill>
                <a:srgbClr val="FF00FF"/>
              </a:solidFill>
              <a:ln>
                <a:solidFill>
                  <a:srgbClr val="FF00FF"/>
                </a:solidFill>
                <a:prstDash val="solid"/>
              </a:ln>
            </c:spPr>
          </c:marker>
          <c:xVal>
            <c:numRef>
              <c:f>'5 A Tables'!$D$31:$D$36</c:f>
              <c:numCache>
                <c:formatCode>General</c:formatCode>
                <c:ptCount val="6"/>
                <c:pt idx="0">
                  <c:v>#N/A</c:v>
                </c:pt>
                <c:pt idx="1">
                  <c:v>#N/A</c:v>
                </c:pt>
                <c:pt idx="2">
                  <c:v>#N/A</c:v>
                </c:pt>
                <c:pt idx="3">
                  <c:v>#N/A</c:v>
                </c:pt>
                <c:pt idx="4">
                  <c:v>#N/A</c:v>
                </c:pt>
                <c:pt idx="5">
                  <c:v>#N/A</c:v>
                </c:pt>
              </c:numCache>
            </c:numRef>
          </c:xVal>
          <c:yVal>
            <c:numRef>
              <c:f>'5 A Tables'!$F$31:$F$36</c:f>
              <c:numCache>
                <c:formatCode>0.00000</c:formatCode>
                <c:ptCount val="6"/>
                <c:pt idx="0">
                  <c:v>#N/A</c:v>
                </c:pt>
                <c:pt idx="1">
                  <c:v>#N/A</c:v>
                </c:pt>
                <c:pt idx="2">
                  <c:v>#N/A</c:v>
                </c:pt>
                <c:pt idx="3">
                  <c:v>#N/A</c:v>
                </c:pt>
                <c:pt idx="4">
                  <c:v>#N/A</c:v>
                </c:pt>
                <c:pt idx="5">
                  <c:v>#N/A</c:v>
                </c:pt>
              </c:numCache>
            </c:numRef>
          </c:yVal>
          <c:smooth val="1"/>
          <c:extLst>
            <c:ext xmlns:c16="http://schemas.microsoft.com/office/drawing/2014/chart" uri="{C3380CC4-5D6E-409C-BE32-E72D297353CC}">
              <c16:uniqueId val="{00000001-872C-4EC3-B689-6610EC972E59}"/>
            </c:ext>
          </c:extLst>
        </c:ser>
        <c:dLbls>
          <c:showLegendKey val="0"/>
          <c:showVal val="0"/>
          <c:showCatName val="0"/>
          <c:showSerName val="0"/>
          <c:showPercent val="0"/>
          <c:showBubbleSize val="0"/>
        </c:dLbls>
        <c:axId val="416649336"/>
        <c:axId val="1"/>
      </c:scatterChart>
      <c:valAx>
        <c:axId val="416649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
        <c:crosses val="autoZero"/>
        <c:crossBetween val="midCat"/>
      </c:valAx>
      <c:valAx>
        <c:axId val="1"/>
        <c:scaling>
          <c:orientation val="minMax"/>
        </c:scaling>
        <c:delete val="0"/>
        <c:axPos val="l"/>
        <c:majorGridlines>
          <c:spPr>
            <a:ln w="3175">
              <a:solidFill>
                <a:srgbClr val="000000"/>
              </a:solidFill>
              <a:prstDash val="solid"/>
            </a:ln>
          </c:spPr>
        </c:majorGridlines>
        <c:numFmt formatCode="0.0000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16649336"/>
        <c:crosses val="autoZero"/>
        <c:crossBetween val="midCat"/>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7021298699949483"/>
          <c:y val="0.11961722488038277"/>
          <c:w val="0.77925633110706227"/>
          <c:h val="0.68421052631578949"/>
        </c:manualLayout>
      </c:layout>
      <c:scatterChart>
        <c:scatterStyle val="smoothMarker"/>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xVal>
            <c:numRef>
              <c:f>'5 A Tables'!$D$42:$D$47</c:f>
              <c:numCache>
                <c:formatCode>0</c:formatCode>
                <c:ptCount val="6"/>
                <c:pt idx="0">
                  <c:v>#N/A</c:v>
                </c:pt>
                <c:pt idx="1">
                  <c:v>#N/A</c:v>
                </c:pt>
                <c:pt idx="2">
                  <c:v>#N/A</c:v>
                </c:pt>
                <c:pt idx="3">
                  <c:v>#N/A</c:v>
                </c:pt>
                <c:pt idx="4" formatCode="General">
                  <c:v>#N/A</c:v>
                </c:pt>
                <c:pt idx="5" formatCode="General">
                  <c:v>#N/A</c:v>
                </c:pt>
              </c:numCache>
            </c:numRef>
          </c:xVal>
          <c:yVal>
            <c:numRef>
              <c:f>'5 A Tables'!$E$42:$E$47</c:f>
              <c:numCache>
                <c:formatCode>0.00000</c:formatCode>
                <c:ptCount val="6"/>
                <c:pt idx="0">
                  <c:v>#N/A</c:v>
                </c:pt>
                <c:pt idx="1">
                  <c:v>#N/A</c:v>
                </c:pt>
                <c:pt idx="2">
                  <c:v>#N/A</c:v>
                </c:pt>
                <c:pt idx="3">
                  <c:v>#N/A</c:v>
                </c:pt>
                <c:pt idx="4">
                  <c:v>#N/A</c:v>
                </c:pt>
                <c:pt idx="5">
                  <c:v>#N/A</c:v>
                </c:pt>
              </c:numCache>
            </c:numRef>
          </c:yVal>
          <c:smooth val="1"/>
          <c:extLst>
            <c:ext xmlns:c16="http://schemas.microsoft.com/office/drawing/2014/chart" uri="{C3380CC4-5D6E-409C-BE32-E72D297353CC}">
              <c16:uniqueId val="{00000000-2162-41ED-9F1A-B2013D491E9F}"/>
            </c:ext>
          </c:extLst>
        </c:ser>
        <c:ser>
          <c:idx val="1"/>
          <c:order val="1"/>
          <c:spPr>
            <a:ln w="12700">
              <a:solidFill>
                <a:srgbClr val="FF00FF"/>
              </a:solidFill>
              <a:prstDash val="solid"/>
            </a:ln>
          </c:spPr>
          <c:marker>
            <c:symbol val="square"/>
            <c:size val="5"/>
            <c:spPr>
              <a:solidFill>
                <a:srgbClr val="FF00FF"/>
              </a:solidFill>
              <a:ln>
                <a:solidFill>
                  <a:srgbClr val="FF00FF"/>
                </a:solidFill>
                <a:prstDash val="solid"/>
              </a:ln>
            </c:spPr>
          </c:marker>
          <c:xVal>
            <c:numRef>
              <c:f>'5 A Tables'!$D$42:$D$47</c:f>
              <c:numCache>
                <c:formatCode>0</c:formatCode>
                <c:ptCount val="6"/>
                <c:pt idx="0">
                  <c:v>#N/A</c:v>
                </c:pt>
                <c:pt idx="1">
                  <c:v>#N/A</c:v>
                </c:pt>
                <c:pt idx="2">
                  <c:v>#N/A</c:v>
                </c:pt>
                <c:pt idx="3">
                  <c:v>#N/A</c:v>
                </c:pt>
                <c:pt idx="4" formatCode="General">
                  <c:v>#N/A</c:v>
                </c:pt>
                <c:pt idx="5" formatCode="General">
                  <c:v>#N/A</c:v>
                </c:pt>
              </c:numCache>
            </c:numRef>
          </c:xVal>
          <c:yVal>
            <c:numRef>
              <c:f>'5 A Tables'!$F$42:$F$47</c:f>
              <c:numCache>
                <c:formatCode>0.00000</c:formatCode>
                <c:ptCount val="6"/>
                <c:pt idx="0">
                  <c:v>#N/A</c:v>
                </c:pt>
                <c:pt idx="1">
                  <c:v>#N/A</c:v>
                </c:pt>
                <c:pt idx="2">
                  <c:v>#N/A</c:v>
                </c:pt>
                <c:pt idx="3">
                  <c:v>#N/A</c:v>
                </c:pt>
                <c:pt idx="4">
                  <c:v>#N/A</c:v>
                </c:pt>
                <c:pt idx="5">
                  <c:v>#N/A</c:v>
                </c:pt>
              </c:numCache>
            </c:numRef>
          </c:yVal>
          <c:smooth val="1"/>
          <c:extLst>
            <c:ext xmlns:c16="http://schemas.microsoft.com/office/drawing/2014/chart" uri="{C3380CC4-5D6E-409C-BE32-E72D297353CC}">
              <c16:uniqueId val="{00000001-2162-41ED-9F1A-B2013D491E9F}"/>
            </c:ext>
          </c:extLst>
        </c:ser>
        <c:dLbls>
          <c:showLegendKey val="0"/>
          <c:showVal val="0"/>
          <c:showCatName val="0"/>
          <c:showSerName val="0"/>
          <c:showPercent val="0"/>
          <c:showBubbleSize val="0"/>
        </c:dLbls>
        <c:axId val="416895304"/>
        <c:axId val="1"/>
      </c:scatterChart>
      <c:valAx>
        <c:axId val="416895304"/>
        <c:scaling>
          <c:orientation val="minMax"/>
        </c:scaling>
        <c:delete val="0"/>
        <c:axPos val="b"/>
        <c:numFmt formatCode="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
        <c:crosses val="autoZero"/>
        <c:crossBetween val="midCat"/>
      </c:valAx>
      <c:valAx>
        <c:axId val="1"/>
        <c:scaling>
          <c:orientation val="minMax"/>
        </c:scaling>
        <c:delete val="0"/>
        <c:axPos val="l"/>
        <c:majorGridlines>
          <c:spPr>
            <a:ln w="3175">
              <a:solidFill>
                <a:srgbClr val="000000"/>
              </a:solidFill>
              <a:prstDash val="solid"/>
            </a:ln>
          </c:spPr>
        </c:majorGridlines>
        <c:numFmt formatCode="0.00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416895304"/>
        <c:crosses val="autoZero"/>
        <c:crossBetween val="midCat"/>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7927219907705016"/>
          <c:y val="0.11574126402119513"/>
          <c:w val="0.75630458985630544"/>
          <c:h val="0.69444758412717067"/>
        </c:manualLayout>
      </c:layout>
      <c:scatterChart>
        <c:scatterStyle val="smoothMarker"/>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xVal>
            <c:numRef>
              <c:f>'5 A Tables'!$D$49:$D$54</c:f>
              <c:numCache>
                <c:formatCode>General</c:formatCode>
                <c:ptCount val="6"/>
                <c:pt idx="0">
                  <c:v>#N/A</c:v>
                </c:pt>
                <c:pt idx="1">
                  <c:v>#N/A</c:v>
                </c:pt>
                <c:pt idx="2">
                  <c:v>#N/A</c:v>
                </c:pt>
                <c:pt idx="3">
                  <c:v>#N/A</c:v>
                </c:pt>
                <c:pt idx="4">
                  <c:v>#N/A</c:v>
                </c:pt>
                <c:pt idx="5">
                  <c:v>#N/A</c:v>
                </c:pt>
              </c:numCache>
            </c:numRef>
          </c:xVal>
          <c:yVal>
            <c:numRef>
              <c:f>'5 A Tables'!$E$49:$E$54</c:f>
              <c:numCache>
                <c:formatCode>0.00000</c:formatCode>
                <c:ptCount val="6"/>
                <c:pt idx="0">
                  <c:v>#N/A</c:v>
                </c:pt>
                <c:pt idx="1">
                  <c:v>#N/A</c:v>
                </c:pt>
                <c:pt idx="2">
                  <c:v>#N/A</c:v>
                </c:pt>
                <c:pt idx="3">
                  <c:v>#N/A</c:v>
                </c:pt>
                <c:pt idx="4">
                  <c:v>#N/A</c:v>
                </c:pt>
                <c:pt idx="5">
                  <c:v>#N/A</c:v>
                </c:pt>
              </c:numCache>
            </c:numRef>
          </c:yVal>
          <c:smooth val="1"/>
          <c:extLst>
            <c:ext xmlns:c16="http://schemas.microsoft.com/office/drawing/2014/chart" uri="{C3380CC4-5D6E-409C-BE32-E72D297353CC}">
              <c16:uniqueId val="{00000000-ACA2-4DF5-BF3B-C9514743A938}"/>
            </c:ext>
          </c:extLst>
        </c:ser>
        <c:ser>
          <c:idx val="1"/>
          <c:order val="1"/>
          <c:spPr>
            <a:ln w="12700">
              <a:solidFill>
                <a:srgbClr val="FF00FF"/>
              </a:solidFill>
              <a:prstDash val="solid"/>
            </a:ln>
          </c:spPr>
          <c:marker>
            <c:symbol val="square"/>
            <c:size val="5"/>
            <c:spPr>
              <a:solidFill>
                <a:srgbClr val="FF00FF"/>
              </a:solidFill>
              <a:ln>
                <a:solidFill>
                  <a:srgbClr val="FF00FF"/>
                </a:solidFill>
                <a:prstDash val="solid"/>
              </a:ln>
            </c:spPr>
          </c:marker>
          <c:xVal>
            <c:numRef>
              <c:f>'5 A Tables'!$D$49:$D$54</c:f>
              <c:numCache>
                <c:formatCode>General</c:formatCode>
                <c:ptCount val="6"/>
                <c:pt idx="0">
                  <c:v>#N/A</c:v>
                </c:pt>
                <c:pt idx="1">
                  <c:v>#N/A</c:v>
                </c:pt>
                <c:pt idx="2">
                  <c:v>#N/A</c:v>
                </c:pt>
                <c:pt idx="3">
                  <c:v>#N/A</c:v>
                </c:pt>
                <c:pt idx="4">
                  <c:v>#N/A</c:v>
                </c:pt>
                <c:pt idx="5">
                  <c:v>#N/A</c:v>
                </c:pt>
              </c:numCache>
            </c:numRef>
          </c:xVal>
          <c:yVal>
            <c:numRef>
              <c:f>'5 A Tables'!$F$49:$F$54</c:f>
              <c:numCache>
                <c:formatCode>0.00000</c:formatCode>
                <c:ptCount val="6"/>
                <c:pt idx="0">
                  <c:v>#N/A</c:v>
                </c:pt>
                <c:pt idx="1">
                  <c:v>#N/A</c:v>
                </c:pt>
                <c:pt idx="2">
                  <c:v>#N/A</c:v>
                </c:pt>
                <c:pt idx="3">
                  <c:v>#N/A</c:v>
                </c:pt>
                <c:pt idx="4">
                  <c:v>#N/A</c:v>
                </c:pt>
                <c:pt idx="5">
                  <c:v>#N/A</c:v>
                </c:pt>
              </c:numCache>
            </c:numRef>
          </c:yVal>
          <c:smooth val="1"/>
          <c:extLst>
            <c:ext xmlns:c16="http://schemas.microsoft.com/office/drawing/2014/chart" uri="{C3380CC4-5D6E-409C-BE32-E72D297353CC}">
              <c16:uniqueId val="{00000001-ACA2-4DF5-BF3B-C9514743A938}"/>
            </c:ext>
          </c:extLst>
        </c:ser>
        <c:dLbls>
          <c:showLegendKey val="0"/>
          <c:showVal val="0"/>
          <c:showCatName val="0"/>
          <c:showSerName val="0"/>
          <c:showPercent val="0"/>
          <c:showBubbleSize val="0"/>
        </c:dLbls>
        <c:axId val="416897600"/>
        <c:axId val="1"/>
      </c:scatterChart>
      <c:valAx>
        <c:axId val="4168976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
        <c:crosses val="autoZero"/>
        <c:crossBetween val="midCat"/>
      </c:valAx>
      <c:valAx>
        <c:axId val="1"/>
        <c:scaling>
          <c:orientation val="minMax"/>
        </c:scaling>
        <c:delete val="0"/>
        <c:axPos val="l"/>
        <c:majorGridlines>
          <c:spPr>
            <a:ln w="3175">
              <a:solidFill>
                <a:srgbClr val="000000"/>
              </a:solidFill>
              <a:prstDash val="solid"/>
            </a:ln>
          </c:spPr>
        </c:majorGridlines>
        <c:numFmt formatCode="0.00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416897600"/>
        <c:crosses val="autoZero"/>
        <c:crossBetween val="midCat"/>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322953091819995"/>
          <c:y val="0.11282107782991702"/>
          <c:w val="0.80989789301018522"/>
          <c:h val="0.71795231346310828"/>
        </c:manualLayout>
      </c:layout>
      <c:scatterChart>
        <c:scatterStyle val="smoothMarker"/>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xVal>
            <c:numRef>
              <c:f>'5 A Tables'!$D$60:$D$65</c:f>
              <c:numCache>
                <c:formatCode>0</c:formatCode>
                <c:ptCount val="6"/>
                <c:pt idx="0">
                  <c:v>#N/A</c:v>
                </c:pt>
                <c:pt idx="1">
                  <c:v>#N/A</c:v>
                </c:pt>
                <c:pt idx="2">
                  <c:v>#N/A</c:v>
                </c:pt>
                <c:pt idx="3">
                  <c:v>#N/A</c:v>
                </c:pt>
                <c:pt idx="4" formatCode="General">
                  <c:v>#N/A</c:v>
                </c:pt>
                <c:pt idx="5" formatCode="General">
                  <c:v>#N/A</c:v>
                </c:pt>
              </c:numCache>
            </c:numRef>
          </c:xVal>
          <c:yVal>
            <c:numRef>
              <c:f>'5 A Tables'!$E$60:$E$65</c:f>
              <c:numCache>
                <c:formatCode>0.00000</c:formatCode>
                <c:ptCount val="6"/>
                <c:pt idx="0">
                  <c:v>#N/A</c:v>
                </c:pt>
                <c:pt idx="1">
                  <c:v>#N/A</c:v>
                </c:pt>
                <c:pt idx="2">
                  <c:v>#N/A</c:v>
                </c:pt>
                <c:pt idx="3">
                  <c:v>#N/A</c:v>
                </c:pt>
                <c:pt idx="4">
                  <c:v>#N/A</c:v>
                </c:pt>
                <c:pt idx="5">
                  <c:v>#N/A</c:v>
                </c:pt>
              </c:numCache>
            </c:numRef>
          </c:yVal>
          <c:smooth val="1"/>
          <c:extLst>
            <c:ext xmlns:c16="http://schemas.microsoft.com/office/drawing/2014/chart" uri="{C3380CC4-5D6E-409C-BE32-E72D297353CC}">
              <c16:uniqueId val="{00000000-278E-4F62-946A-CA56F328906A}"/>
            </c:ext>
          </c:extLst>
        </c:ser>
        <c:ser>
          <c:idx val="1"/>
          <c:order val="1"/>
          <c:spPr>
            <a:ln w="12700">
              <a:solidFill>
                <a:srgbClr val="FF00FF"/>
              </a:solidFill>
              <a:prstDash val="solid"/>
            </a:ln>
          </c:spPr>
          <c:marker>
            <c:symbol val="square"/>
            <c:size val="5"/>
            <c:spPr>
              <a:solidFill>
                <a:srgbClr val="FF00FF"/>
              </a:solidFill>
              <a:ln>
                <a:solidFill>
                  <a:srgbClr val="FF00FF"/>
                </a:solidFill>
                <a:prstDash val="solid"/>
              </a:ln>
            </c:spPr>
          </c:marker>
          <c:xVal>
            <c:numRef>
              <c:f>'5 A Tables'!$D$60:$D$65</c:f>
              <c:numCache>
                <c:formatCode>0</c:formatCode>
                <c:ptCount val="6"/>
                <c:pt idx="0">
                  <c:v>#N/A</c:v>
                </c:pt>
                <c:pt idx="1">
                  <c:v>#N/A</c:v>
                </c:pt>
                <c:pt idx="2">
                  <c:v>#N/A</c:v>
                </c:pt>
                <c:pt idx="3">
                  <c:v>#N/A</c:v>
                </c:pt>
                <c:pt idx="4" formatCode="General">
                  <c:v>#N/A</c:v>
                </c:pt>
                <c:pt idx="5" formatCode="General">
                  <c:v>#N/A</c:v>
                </c:pt>
              </c:numCache>
            </c:numRef>
          </c:xVal>
          <c:yVal>
            <c:numRef>
              <c:f>'5 A Tables'!$F$60:$F$65</c:f>
              <c:numCache>
                <c:formatCode>0.00000</c:formatCode>
                <c:ptCount val="6"/>
                <c:pt idx="0">
                  <c:v>#N/A</c:v>
                </c:pt>
                <c:pt idx="1">
                  <c:v>#N/A</c:v>
                </c:pt>
                <c:pt idx="2">
                  <c:v>#N/A</c:v>
                </c:pt>
                <c:pt idx="3">
                  <c:v>#N/A</c:v>
                </c:pt>
                <c:pt idx="4">
                  <c:v>#N/A</c:v>
                </c:pt>
                <c:pt idx="5">
                  <c:v>#N/A</c:v>
                </c:pt>
              </c:numCache>
            </c:numRef>
          </c:yVal>
          <c:smooth val="1"/>
          <c:extLst>
            <c:ext xmlns:c16="http://schemas.microsoft.com/office/drawing/2014/chart" uri="{C3380CC4-5D6E-409C-BE32-E72D297353CC}">
              <c16:uniqueId val="{00000001-278E-4F62-946A-CA56F328906A}"/>
            </c:ext>
          </c:extLst>
        </c:ser>
        <c:dLbls>
          <c:showLegendKey val="0"/>
          <c:showVal val="0"/>
          <c:showCatName val="0"/>
          <c:showSerName val="0"/>
          <c:showPercent val="0"/>
          <c:showBubbleSize val="0"/>
        </c:dLbls>
        <c:axId val="416957400"/>
        <c:axId val="1"/>
      </c:scatterChart>
      <c:valAx>
        <c:axId val="416957400"/>
        <c:scaling>
          <c:orientation val="minMax"/>
        </c:scaling>
        <c:delete val="0"/>
        <c:axPos val="b"/>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
        <c:crosses val="autoZero"/>
        <c:crossBetween val="midCat"/>
      </c:valAx>
      <c:valAx>
        <c:axId val="1"/>
        <c:scaling>
          <c:orientation val="minMax"/>
        </c:scaling>
        <c:delete val="0"/>
        <c:axPos val="l"/>
        <c:majorGridlines>
          <c:spPr>
            <a:ln w="3175">
              <a:solidFill>
                <a:srgbClr val="000000"/>
              </a:solidFill>
              <a:prstDash val="solid"/>
            </a:ln>
          </c:spPr>
        </c:majorGridlines>
        <c:numFmt formatCode="0.0000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16957400"/>
        <c:crosses val="autoZero"/>
        <c:crossBetween val="midCat"/>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666709052299633"/>
          <c:y val="0.11061970802446597"/>
          <c:w val="0.77343946695827981"/>
          <c:h val="0.70796613135658215"/>
        </c:manualLayout>
      </c:layout>
      <c:scatterChart>
        <c:scatterStyle val="smoothMarker"/>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xVal>
            <c:numRef>
              <c:f>'5 A Tables'!$D$67:$D$72</c:f>
              <c:numCache>
                <c:formatCode>General</c:formatCode>
                <c:ptCount val="6"/>
                <c:pt idx="0">
                  <c:v>#N/A</c:v>
                </c:pt>
                <c:pt idx="1">
                  <c:v>#N/A</c:v>
                </c:pt>
                <c:pt idx="2">
                  <c:v>#N/A</c:v>
                </c:pt>
                <c:pt idx="3">
                  <c:v>#N/A</c:v>
                </c:pt>
                <c:pt idx="4">
                  <c:v>#N/A</c:v>
                </c:pt>
                <c:pt idx="5">
                  <c:v>#N/A</c:v>
                </c:pt>
              </c:numCache>
            </c:numRef>
          </c:xVal>
          <c:yVal>
            <c:numRef>
              <c:f>'5 A Tables'!$E$67:$E$72</c:f>
              <c:numCache>
                <c:formatCode>0.00000</c:formatCode>
                <c:ptCount val="6"/>
                <c:pt idx="0">
                  <c:v>#N/A</c:v>
                </c:pt>
                <c:pt idx="1">
                  <c:v>#N/A</c:v>
                </c:pt>
                <c:pt idx="2">
                  <c:v>#N/A</c:v>
                </c:pt>
                <c:pt idx="3">
                  <c:v>#N/A</c:v>
                </c:pt>
                <c:pt idx="4">
                  <c:v>#N/A</c:v>
                </c:pt>
                <c:pt idx="5">
                  <c:v>#N/A</c:v>
                </c:pt>
              </c:numCache>
            </c:numRef>
          </c:yVal>
          <c:smooth val="1"/>
          <c:extLst>
            <c:ext xmlns:c16="http://schemas.microsoft.com/office/drawing/2014/chart" uri="{C3380CC4-5D6E-409C-BE32-E72D297353CC}">
              <c16:uniqueId val="{00000000-84EF-4F63-9116-0E3ACAD74222}"/>
            </c:ext>
          </c:extLst>
        </c:ser>
        <c:ser>
          <c:idx val="1"/>
          <c:order val="1"/>
          <c:spPr>
            <a:ln w="12700">
              <a:solidFill>
                <a:srgbClr val="FF00FF"/>
              </a:solidFill>
              <a:prstDash val="solid"/>
            </a:ln>
          </c:spPr>
          <c:marker>
            <c:symbol val="square"/>
            <c:size val="5"/>
            <c:spPr>
              <a:solidFill>
                <a:srgbClr val="FF00FF"/>
              </a:solidFill>
              <a:ln>
                <a:solidFill>
                  <a:srgbClr val="FF00FF"/>
                </a:solidFill>
                <a:prstDash val="solid"/>
              </a:ln>
            </c:spPr>
          </c:marker>
          <c:xVal>
            <c:numRef>
              <c:f>'5 A Tables'!$D$67:$D$72</c:f>
              <c:numCache>
                <c:formatCode>General</c:formatCode>
                <c:ptCount val="6"/>
                <c:pt idx="0">
                  <c:v>#N/A</c:v>
                </c:pt>
                <c:pt idx="1">
                  <c:v>#N/A</c:v>
                </c:pt>
                <c:pt idx="2">
                  <c:v>#N/A</c:v>
                </c:pt>
                <c:pt idx="3">
                  <c:v>#N/A</c:v>
                </c:pt>
                <c:pt idx="4">
                  <c:v>#N/A</c:v>
                </c:pt>
                <c:pt idx="5">
                  <c:v>#N/A</c:v>
                </c:pt>
              </c:numCache>
            </c:numRef>
          </c:xVal>
          <c:yVal>
            <c:numRef>
              <c:f>'5 A Tables'!$F$67:$F$72</c:f>
              <c:numCache>
                <c:formatCode>0.00000</c:formatCode>
                <c:ptCount val="6"/>
                <c:pt idx="0">
                  <c:v>#N/A</c:v>
                </c:pt>
                <c:pt idx="1">
                  <c:v>#N/A</c:v>
                </c:pt>
                <c:pt idx="2">
                  <c:v>#N/A</c:v>
                </c:pt>
                <c:pt idx="3">
                  <c:v>#N/A</c:v>
                </c:pt>
                <c:pt idx="4">
                  <c:v>#N/A</c:v>
                </c:pt>
                <c:pt idx="5">
                  <c:v>#N/A</c:v>
                </c:pt>
              </c:numCache>
            </c:numRef>
          </c:yVal>
          <c:smooth val="1"/>
          <c:extLst>
            <c:ext xmlns:c16="http://schemas.microsoft.com/office/drawing/2014/chart" uri="{C3380CC4-5D6E-409C-BE32-E72D297353CC}">
              <c16:uniqueId val="{00000001-84EF-4F63-9116-0E3ACAD74222}"/>
            </c:ext>
          </c:extLst>
        </c:ser>
        <c:dLbls>
          <c:showLegendKey val="0"/>
          <c:showVal val="0"/>
          <c:showCatName val="0"/>
          <c:showSerName val="0"/>
          <c:showPercent val="0"/>
          <c:showBubbleSize val="0"/>
        </c:dLbls>
        <c:axId val="417006800"/>
        <c:axId val="1"/>
      </c:scatterChart>
      <c:valAx>
        <c:axId val="4170068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
        <c:crosses val="autoZero"/>
        <c:crossBetween val="midCat"/>
      </c:valAx>
      <c:valAx>
        <c:axId val="1"/>
        <c:scaling>
          <c:orientation val="minMax"/>
        </c:scaling>
        <c:delete val="0"/>
        <c:axPos val="l"/>
        <c:majorGridlines>
          <c:spPr>
            <a:ln w="3175">
              <a:solidFill>
                <a:srgbClr val="000000"/>
              </a:solidFill>
              <a:prstDash val="solid"/>
            </a:ln>
          </c:spPr>
        </c:majorGridlines>
        <c:numFmt formatCode="0.00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417006800"/>
        <c:crosses val="autoZero"/>
        <c:crossBetween val="midCat"/>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61809341872962"/>
          <c:y val="0.10091743119266056"/>
          <c:w val="0.85618071473480817"/>
          <c:h val="0.74770642201834858"/>
        </c:manualLayout>
      </c:layout>
      <c:scatterChart>
        <c:scatterStyle val="lineMarker"/>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xVal>
            <c:numRef>
              <c:f>'5 A Tables'!$D$78:$D$83</c:f>
              <c:numCache>
                <c:formatCode>0</c:formatCode>
                <c:ptCount val="6"/>
                <c:pt idx="0">
                  <c:v>#N/A</c:v>
                </c:pt>
                <c:pt idx="1">
                  <c:v>#N/A</c:v>
                </c:pt>
                <c:pt idx="2">
                  <c:v>#N/A</c:v>
                </c:pt>
                <c:pt idx="3">
                  <c:v>#N/A</c:v>
                </c:pt>
                <c:pt idx="4" formatCode="General">
                  <c:v>#N/A</c:v>
                </c:pt>
                <c:pt idx="5" formatCode="General">
                  <c:v>#N/A</c:v>
                </c:pt>
              </c:numCache>
            </c:numRef>
          </c:xVal>
          <c:yVal>
            <c:numRef>
              <c:f>'5 A Tables'!$E$78:$E$83</c:f>
              <c:numCache>
                <c:formatCode>0.00000</c:formatCode>
                <c:ptCount val="6"/>
                <c:pt idx="0">
                  <c:v>#N/A</c:v>
                </c:pt>
                <c:pt idx="1">
                  <c:v>#N/A</c:v>
                </c:pt>
                <c:pt idx="2">
                  <c:v>#N/A</c:v>
                </c:pt>
                <c:pt idx="3">
                  <c:v>#N/A</c:v>
                </c:pt>
                <c:pt idx="4">
                  <c:v>#N/A</c:v>
                </c:pt>
                <c:pt idx="5">
                  <c:v>#N/A</c:v>
                </c:pt>
              </c:numCache>
            </c:numRef>
          </c:yVal>
          <c:smooth val="0"/>
          <c:extLst>
            <c:ext xmlns:c16="http://schemas.microsoft.com/office/drawing/2014/chart" uri="{C3380CC4-5D6E-409C-BE32-E72D297353CC}">
              <c16:uniqueId val="{00000000-BABB-4876-8F3F-DC88D13B8D8D}"/>
            </c:ext>
          </c:extLst>
        </c:ser>
        <c:ser>
          <c:idx val="1"/>
          <c:order val="1"/>
          <c:spPr>
            <a:ln w="12700">
              <a:solidFill>
                <a:srgbClr val="FF00FF"/>
              </a:solidFill>
              <a:prstDash val="solid"/>
            </a:ln>
          </c:spPr>
          <c:marker>
            <c:symbol val="square"/>
            <c:size val="5"/>
            <c:spPr>
              <a:solidFill>
                <a:srgbClr val="FF00FF"/>
              </a:solidFill>
              <a:ln>
                <a:solidFill>
                  <a:srgbClr val="FF00FF"/>
                </a:solidFill>
                <a:prstDash val="solid"/>
              </a:ln>
            </c:spPr>
          </c:marker>
          <c:xVal>
            <c:numRef>
              <c:f>'5 A Tables'!$D$78:$D$83</c:f>
              <c:numCache>
                <c:formatCode>0</c:formatCode>
                <c:ptCount val="6"/>
                <c:pt idx="0">
                  <c:v>#N/A</c:v>
                </c:pt>
                <c:pt idx="1">
                  <c:v>#N/A</c:v>
                </c:pt>
                <c:pt idx="2">
                  <c:v>#N/A</c:v>
                </c:pt>
                <c:pt idx="3">
                  <c:v>#N/A</c:v>
                </c:pt>
                <c:pt idx="4" formatCode="General">
                  <c:v>#N/A</c:v>
                </c:pt>
                <c:pt idx="5" formatCode="General">
                  <c:v>#N/A</c:v>
                </c:pt>
              </c:numCache>
            </c:numRef>
          </c:xVal>
          <c:yVal>
            <c:numRef>
              <c:f>'5 A Tables'!$F$78:$F$83</c:f>
              <c:numCache>
                <c:formatCode>0.00000</c:formatCode>
                <c:ptCount val="6"/>
                <c:pt idx="0">
                  <c:v>#N/A</c:v>
                </c:pt>
                <c:pt idx="1">
                  <c:v>#N/A</c:v>
                </c:pt>
                <c:pt idx="2">
                  <c:v>#N/A</c:v>
                </c:pt>
                <c:pt idx="3">
                  <c:v>#N/A</c:v>
                </c:pt>
                <c:pt idx="4">
                  <c:v>#N/A</c:v>
                </c:pt>
                <c:pt idx="5">
                  <c:v>#N/A</c:v>
                </c:pt>
              </c:numCache>
            </c:numRef>
          </c:yVal>
          <c:smooth val="0"/>
          <c:extLst>
            <c:ext xmlns:c16="http://schemas.microsoft.com/office/drawing/2014/chart" uri="{C3380CC4-5D6E-409C-BE32-E72D297353CC}">
              <c16:uniqueId val="{00000001-BABB-4876-8F3F-DC88D13B8D8D}"/>
            </c:ext>
          </c:extLst>
        </c:ser>
        <c:dLbls>
          <c:showLegendKey val="0"/>
          <c:showVal val="0"/>
          <c:showCatName val="0"/>
          <c:showSerName val="0"/>
          <c:showPercent val="0"/>
          <c:showBubbleSize val="0"/>
        </c:dLbls>
        <c:axId val="417164808"/>
        <c:axId val="1"/>
      </c:scatterChart>
      <c:valAx>
        <c:axId val="417164808"/>
        <c:scaling>
          <c:orientation val="minMax"/>
        </c:scaling>
        <c:delete val="0"/>
        <c:axPos val="b"/>
        <c:numFmt formatCode="0" sourceLinked="1"/>
        <c:majorTickMark val="out"/>
        <c:minorTickMark val="none"/>
        <c:tickLblPos val="nextTo"/>
        <c:spPr>
          <a:ln w="3175">
            <a:solidFill>
              <a:srgbClr val="000000"/>
            </a:solidFill>
            <a:prstDash val="solid"/>
          </a:ln>
        </c:spPr>
        <c:txPr>
          <a:bodyPr rot="0" vert="horz"/>
          <a:lstStyle/>
          <a:p>
            <a:pPr>
              <a:defRPr sz="525" b="0" i="0" u="none" strike="noStrike" baseline="0">
                <a:solidFill>
                  <a:srgbClr val="000000"/>
                </a:solidFill>
                <a:latin typeface="Arial"/>
                <a:ea typeface="Arial"/>
                <a:cs typeface="Arial"/>
              </a:defRPr>
            </a:pPr>
            <a:endParaRPr lang="en-US"/>
          </a:p>
        </c:txPr>
        <c:crossAx val="1"/>
        <c:crosses val="autoZero"/>
        <c:crossBetween val="midCat"/>
      </c:valAx>
      <c:valAx>
        <c:axId val="1"/>
        <c:scaling>
          <c:orientation val="minMax"/>
        </c:scaling>
        <c:delete val="0"/>
        <c:axPos val="l"/>
        <c:majorGridlines>
          <c:spPr>
            <a:ln w="3175">
              <a:solidFill>
                <a:srgbClr val="000000"/>
              </a:solidFill>
              <a:prstDash val="solid"/>
            </a:ln>
          </c:spPr>
        </c:majorGridlines>
        <c:numFmt formatCode="0.00000" sourceLinked="1"/>
        <c:majorTickMark val="out"/>
        <c:minorTickMark val="none"/>
        <c:tickLblPos val="nextTo"/>
        <c:spPr>
          <a:ln w="3175">
            <a:solidFill>
              <a:srgbClr val="000000"/>
            </a:solidFill>
            <a:prstDash val="solid"/>
          </a:ln>
        </c:spPr>
        <c:txPr>
          <a:bodyPr rot="0" vert="horz"/>
          <a:lstStyle/>
          <a:p>
            <a:pPr>
              <a:defRPr sz="525" b="0" i="0" u="none" strike="noStrike" baseline="0">
                <a:solidFill>
                  <a:srgbClr val="000000"/>
                </a:solidFill>
                <a:latin typeface="Arial"/>
                <a:ea typeface="Arial"/>
                <a:cs typeface="Arial"/>
              </a:defRPr>
            </a:pPr>
            <a:endParaRPr lang="en-US"/>
          </a:p>
        </c:txPr>
        <c:crossAx val="417164808"/>
        <c:crosses val="autoZero"/>
        <c:crossBetween val="midCat"/>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904787068763251"/>
          <c:y val="9.1667039660805916E-2"/>
          <c:w val="0.8333350948134276"/>
          <c:h val="0.7708364698749588"/>
        </c:manualLayout>
      </c:layout>
      <c:scatterChart>
        <c:scatterStyle val="lineMarker"/>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xVal>
            <c:numRef>
              <c:f>'5 A Tables'!$D$85:$D$90</c:f>
              <c:numCache>
                <c:formatCode>General</c:formatCode>
                <c:ptCount val="6"/>
                <c:pt idx="0">
                  <c:v>#N/A</c:v>
                </c:pt>
                <c:pt idx="1">
                  <c:v>#N/A</c:v>
                </c:pt>
                <c:pt idx="2">
                  <c:v>#N/A</c:v>
                </c:pt>
                <c:pt idx="3">
                  <c:v>#N/A</c:v>
                </c:pt>
                <c:pt idx="4">
                  <c:v>#N/A</c:v>
                </c:pt>
                <c:pt idx="5">
                  <c:v>#N/A</c:v>
                </c:pt>
              </c:numCache>
            </c:numRef>
          </c:xVal>
          <c:yVal>
            <c:numRef>
              <c:f>'5 A Tables'!$E$85:$E$90</c:f>
              <c:numCache>
                <c:formatCode>0.00000</c:formatCode>
                <c:ptCount val="6"/>
                <c:pt idx="0">
                  <c:v>#N/A</c:v>
                </c:pt>
                <c:pt idx="1">
                  <c:v>#N/A</c:v>
                </c:pt>
                <c:pt idx="2">
                  <c:v>#N/A</c:v>
                </c:pt>
                <c:pt idx="3">
                  <c:v>#N/A</c:v>
                </c:pt>
                <c:pt idx="4">
                  <c:v>#N/A</c:v>
                </c:pt>
                <c:pt idx="5">
                  <c:v>#N/A</c:v>
                </c:pt>
              </c:numCache>
            </c:numRef>
          </c:yVal>
          <c:smooth val="0"/>
          <c:extLst>
            <c:ext xmlns:c16="http://schemas.microsoft.com/office/drawing/2014/chart" uri="{C3380CC4-5D6E-409C-BE32-E72D297353CC}">
              <c16:uniqueId val="{00000000-91BC-4525-9B63-662FAE12351A}"/>
            </c:ext>
          </c:extLst>
        </c:ser>
        <c:ser>
          <c:idx val="1"/>
          <c:order val="1"/>
          <c:spPr>
            <a:ln w="12700">
              <a:solidFill>
                <a:srgbClr val="FF00FF"/>
              </a:solidFill>
              <a:prstDash val="solid"/>
            </a:ln>
          </c:spPr>
          <c:marker>
            <c:symbol val="square"/>
            <c:size val="5"/>
            <c:spPr>
              <a:solidFill>
                <a:srgbClr val="FF00FF"/>
              </a:solidFill>
              <a:ln>
                <a:solidFill>
                  <a:srgbClr val="FF00FF"/>
                </a:solidFill>
                <a:prstDash val="solid"/>
              </a:ln>
            </c:spPr>
          </c:marker>
          <c:xVal>
            <c:numRef>
              <c:f>'5 A Tables'!$D$85:$D$90</c:f>
              <c:numCache>
                <c:formatCode>General</c:formatCode>
                <c:ptCount val="6"/>
                <c:pt idx="0">
                  <c:v>#N/A</c:v>
                </c:pt>
                <c:pt idx="1">
                  <c:v>#N/A</c:v>
                </c:pt>
                <c:pt idx="2">
                  <c:v>#N/A</c:v>
                </c:pt>
                <c:pt idx="3">
                  <c:v>#N/A</c:v>
                </c:pt>
                <c:pt idx="4">
                  <c:v>#N/A</c:v>
                </c:pt>
                <c:pt idx="5">
                  <c:v>#N/A</c:v>
                </c:pt>
              </c:numCache>
            </c:numRef>
          </c:xVal>
          <c:yVal>
            <c:numRef>
              <c:f>'5 A Tables'!$F$85:$F$90</c:f>
              <c:numCache>
                <c:formatCode>0.00000</c:formatCode>
                <c:ptCount val="6"/>
                <c:pt idx="0">
                  <c:v>#N/A</c:v>
                </c:pt>
                <c:pt idx="1">
                  <c:v>#N/A</c:v>
                </c:pt>
                <c:pt idx="2">
                  <c:v>#N/A</c:v>
                </c:pt>
                <c:pt idx="3">
                  <c:v>#N/A</c:v>
                </c:pt>
                <c:pt idx="4">
                  <c:v>#N/A</c:v>
                </c:pt>
                <c:pt idx="5">
                  <c:v>#N/A</c:v>
                </c:pt>
              </c:numCache>
            </c:numRef>
          </c:yVal>
          <c:smooth val="0"/>
          <c:extLst>
            <c:ext xmlns:c16="http://schemas.microsoft.com/office/drawing/2014/chart" uri="{C3380CC4-5D6E-409C-BE32-E72D297353CC}">
              <c16:uniqueId val="{00000001-91BC-4525-9B63-662FAE12351A}"/>
            </c:ext>
          </c:extLst>
        </c:ser>
        <c:dLbls>
          <c:showLegendKey val="0"/>
          <c:showVal val="0"/>
          <c:showCatName val="0"/>
          <c:showSerName val="0"/>
          <c:showPercent val="0"/>
          <c:showBubbleSize val="0"/>
        </c:dLbls>
        <c:axId val="417166120"/>
        <c:axId val="1"/>
      </c:scatterChart>
      <c:valAx>
        <c:axId val="4171661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
        <c:crosses val="autoZero"/>
        <c:crossBetween val="midCat"/>
      </c:valAx>
      <c:valAx>
        <c:axId val="1"/>
        <c:scaling>
          <c:orientation val="minMax"/>
        </c:scaling>
        <c:delete val="0"/>
        <c:axPos val="l"/>
        <c:majorGridlines>
          <c:spPr>
            <a:ln w="3175">
              <a:solidFill>
                <a:srgbClr val="000000"/>
              </a:solidFill>
              <a:prstDash val="solid"/>
            </a:ln>
          </c:spPr>
        </c:majorGridlines>
        <c:numFmt formatCode="0.0000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17166120"/>
        <c:crosses val="autoZero"/>
        <c:crossBetween val="midCat"/>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066790352504632E-2"/>
          <c:y val="0.105"/>
          <c:w val="0.89424860853432286"/>
          <c:h val="0.74"/>
        </c:manualLayout>
      </c:layout>
      <c:scatterChart>
        <c:scatterStyle val="lineMarker"/>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xVal>
            <c:numRef>
              <c:f>'5 A Tables'!$D$96:$D$101</c:f>
              <c:numCache>
                <c:formatCode>0</c:formatCode>
                <c:ptCount val="6"/>
                <c:pt idx="0">
                  <c:v>#N/A</c:v>
                </c:pt>
                <c:pt idx="1">
                  <c:v>#N/A</c:v>
                </c:pt>
                <c:pt idx="2">
                  <c:v>#N/A</c:v>
                </c:pt>
                <c:pt idx="3">
                  <c:v>#N/A</c:v>
                </c:pt>
                <c:pt idx="4" formatCode="General">
                  <c:v>#N/A</c:v>
                </c:pt>
                <c:pt idx="5" formatCode="General">
                  <c:v>#N/A</c:v>
                </c:pt>
              </c:numCache>
            </c:numRef>
          </c:xVal>
          <c:yVal>
            <c:numRef>
              <c:f>'5 A Tables'!$E$96:$E$101</c:f>
              <c:numCache>
                <c:formatCode>0.00000</c:formatCode>
                <c:ptCount val="6"/>
                <c:pt idx="0">
                  <c:v>#N/A</c:v>
                </c:pt>
                <c:pt idx="1">
                  <c:v>#N/A</c:v>
                </c:pt>
                <c:pt idx="2">
                  <c:v>#N/A</c:v>
                </c:pt>
                <c:pt idx="3">
                  <c:v>#N/A</c:v>
                </c:pt>
                <c:pt idx="4">
                  <c:v>#N/A</c:v>
                </c:pt>
                <c:pt idx="5">
                  <c:v>#N/A</c:v>
                </c:pt>
              </c:numCache>
            </c:numRef>
          </c:yVal>
          <c:smooth val="0"/>
          <c:extLst>
            <c:ext xmlns:c16="http://schemas.microsoft.com/office/drawing/2014/chart" uri="{C3380CC4-5D6E-409C-BE32-E72D297353CC}">
              <c16:uniqueId val="{00000000-3F38-43F9-9202-76B620F7B550}"/>
            </c:ext>
          </c:extLst>
        </c:ser>
        <c:ser>
          <c:idx val="1"/>
          <c:order val="1"/>
          <c:spPr>
            <a:ln w="12700">
              <a:solidFill>
                <a:srgbClr val="FF00FF"/>
              </a:solidFill>
              <a:prstDash val="solid"/>
            </a:ln>
          </c:spPr>
          <c:marker>
            <c:symbol val="square"/>
            <c:size val="5"/>
            <c:spPr>
              <a:solidFill>
                <a:srgbClr val="FF00FF"/>
              </a:solidFill>
              <a:ln>
                <a:solidFill>
                  <a:srgbClr val="FF00FF"/>
                </a:solidFill>
                <a:prstDash val="solid"/>
              </a:ln>
            </c:spPr>
          </c:marker>
          <c:xVal>
            <c:numRef>
              <c:f>'5 A Tables'!$D$96:$D$101</c:f>
              <c:numCache>
                <c:formatCode>0</c:formatCode>
                <c:ptCount val="6"/>
                <c:pt idx="0">
                  <c:v>#N/A</c:v>
                </c:pt>
                <c:pt idx="1">
                  <c:v>#N/A</c:v>
                </c:pt>
                <c:pt idx="2">
                  <c:v>#N/A</c:v>
                </c:pt>
                <c:pt idx="3">
                  <c:v>#N/A</c:v>
                </c:pt>
                <c:pt idx="4" formatCode="General">
                  <c:v>#N/A</c:v>
                </c:pt>
                <c:pt idx="5" formatCode="General">
                  <c:v>#N/A</c:v>
                </c:pt>
              </c:numCache>
            </c:numRef>
          </c:xVal>
          <c:yVal>
            <c:numRef>
              <c:f>'5 A Tables'!$F$96:$F$101</c:f>
              <c:numCache>
                <c:formatCode>0.00000</c:formatCode>
                <c:ptCount val="6"/>
                <c:pt idx="0">
                  <c:v>#N/A</c:v>
                </c:pt>
                <c:pt idx="1">
                  <c:v>#N/A</c:v>
                </c:pt>
                <c:pt idx="2">
                  <c:v>#N/A</c:v>
                </c:pt>
                <c:pt idx="3">
                  <c:v>#N/A</c:v>
                </c:pt>
                <c:pt idx="4">
                  <c:v>#N/A</c:v>
                </c:pt>
                <c:pt idx="5">
                  <c:v>#N/A</c:v>
                </c:pt>
              </c:numCache>
            </c:numRef>
          </c:yVal>
          <c:smooth val="0"/>
          <c:extLst>
            <c:ext xmlns:c16="http://schemas.microsoft.com/office/drawing/2014/chart" uri="{C3380CC4-5D6E-409C-BE32-E72D297353CC}">
              <c16:uniqueId val="{00000001-3F38-43F9-9202-76B620F7B550}"/>
            </c:ext>
          </c:extLst>
        </c:ser>
        <c:dLbls>
          <c:showLegendKey val="0"/>
          <c:showVal val="0"/>
          <c:showCatName val="0"/>
          <c:showSerName val="0"/>
          <c:showPercent val="0"/>
          <c:showBubbleSize val="0"/>
        </c:dLbls>
        <c:axId val="417245416"/>
        <c:axId val="1"/>
      </c:scatterChart>
      <c:valAx>
        <c:axId val="417245416"/>
        <c:scaling>
          <c:orientation val="minMax"/>
        </c:scaling>
        <c:delete val="0"/>
        <c:axPos val="b"/>
        <c:numFmt formatCode="0" sourceLinked="1"/>
        <c:majorTickMark val="out"/>
        <c:minorTickMark val="none"/>
        <c:tickLblPos val="nextTo"/>
        <c:spPr>
          <a:ln w="3175">
            <a:solidFill>
              <a:srgbClr val="000000"/>
            </a:solidFill>
            <a:prstDash val="solid"/>
          </a:ln>
        </c:spPr>
        <c:txPr>
          <a:bodyPr rot="0" vert="horz"/>
          <a:lstStyle/>
          <a:p>
            <a:pPr>
              <a:defRPr sz="475" b="0" i="0" u="none" strike="noStrike" baseline="0">
                <a:solidFill>
                  <a:srgbClr val="000000"/>
                </a:solidFill>
                <a:latin typeface="Arial"/>
                <a:ea typeface="Arial"/>
                <a:cs typeface="Arial"/>
              </a:defRPr>
            </a:pPr>
            <a:endParaRPr lang="en-US"/>
          </a:p>
        </c:txPr>
        <c:crossAx val="1"/>
        <c:crosses val="autoZero"/>
        <c:crossBetween val="midCat"/>
      </c:valAx>
      <c:valAx>
        <c:axId val="1"/>
        <c:scaling>
          <c:orientation val="minMax"/>
        </c:scaling>
        <c:delete val="0"/>
        <c:axPos val="l"/>
        <c:majorGridlines>
          <c:spPr>
            <a:ln w="3175">
              <a:solidFill>
                <a:srgbClr val="000000"/>
              </a:solidFill>
              <a:prstDash val="solid"/>
            </a:ln>
          </c:spPr>
        </c:majorGridlines>
        <c:numFmt formatCode="0.00000" sourceLinked="1"/>
        <c:majorTickMark val="out"/>
        <c:minorTickMark val="none"/>
        <c:tickLblPos val="nextTo"/>
        <c:spPr>
          <a:ln w="3175">
            <a:solidFill>
              <a:srgbClr val="000000"/>
            </a:solidFill>
            <a:prstDash val="solid"/>
          </a:ln>
        </c:spPr>
        <c:txPr>
          <a:bodyPr rot="0" vert="horz"/>
          <a:lstStyle/>
          <a:p>
            <a:pPr>
              <a:defRPr sz="475" b="0" i="0" u="none" strike="noStrike" baseline="0">
                <a:solidFill>
                  <a:srgbClr val="000000"/>
                </a:solidFill>
                <a:latin typeface="Arial"/>
                <a:ea typeface="Arial"/>
                <a:cs typeface="Arial"/>
              </a:defRPr>
            </a:pPr>
            <a:endParaRPr lang="en-US"/>
          </a:p>
        </c:txPr>
        <c:crossAx val="417245416"/>
        <c:crosses val="autoZero"/>
        <c:crossBetween val="midCat"/>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4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876233678439885E-2"/>
          <c:y val="0.10091743119266056"/>
          <c:w val="0.87615605879958514"/>
          <c:h val="0.74770642201834858"/>
        </c:manualLayout>
      </c:layout>
      <c:scatterChart>
        <c:scatterStyle val="lineMarker"/>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xVal>
            <c:numRef>
              <c:f>'5 A Tables'!$D$103:$D$108</c:f>
              <c:numCache>
                <c:formatCode>General</c:formatCode>
                <c:ptCount val="6"/>
                <c:pt idx="0">
                  <c:v>#N/A</c:v>
                </c:pt>
                <c:pt idx="1">
                  <c:v>#N/A</c:v>
                </c:pt>
                <c:pt idx="2">
                  <c:v>#N/A</c:v>
                </c:pt>
                <c:pt idx="3">
                  <c:v>#N/A</c:v>
                </c:pt>
                <c:pt idx="4">
                  <c:v>#N/A</c:v>
                </c:pt>
                <c:pt idx="5">
                  <c:v>#N/A</c:v>
                </c:pt>
              </c:numCache>
            </c:numRef>
          </c:xVal>
          <c:yVal>
            <c:numRef>
              <c:f>'5 A Tables'!$E$103:$E$108</c:f>
              <c:numCache>
                <c:formatCode>0.00000</c:formatCode>
                <c:ptCount val="6"/>
                <c:pt idx="0">
                  <c:v>#N/A</c:v>
                </c:pt>
                <c:pt idx="1">
                  <c:v>#N/A</c:v>
                </c:pt>
                <c:pt idx="2">
                  <c:v>#N/A</c:v>
                </c:pt>
                <c:pt idx="3">
                  <c:v>#N/A</c:v>
                </c:pt>
                <c:pt idx="4">
                  <c:v>#N/A</c:v>
                </c:pt>
                <c:pt idx="5">
                  <c:v>#N/A</c:v>
                </c:pt>
              </c:numCache>
            </c:numRef>
          </c:yVal>
          <c:smooth val="0"/>
          <c:extLst>
            <c:ext xmlns:c16="http://schemas.microsoft.com/office/drawing/2014/chart" uri="{C3380CC4-5D6E-409C-BE32-E72D297353CC}">
              <c16:uniqueId val="{00000000-1619-4806-B02E-931A71231735}"/>
            </c:ext>
          </c:extLst>
        </c:ser>
        <c:ser>
          <c:idx val="1"/>
          <c:order val="1"/>
          <c:spPr>
            <a:ln w="12700">
              <a:solidFill>
                <a:srgbClr val="FF00FF"/>
              </a:solidFill>
              <a:prstDash val="solid"/>
            </a:ln>
          </c:spPr>
          <c:marker>
            <c:symbol val="square"/>
            <c:size val="5"/>
            <c:spPr>
              <a:solidFill>
                <a:srgbClr val="FF00FF"/>
              </a:solidFill>
              <a:ln>
                <a:solidFill>
                  <a:srgbClr val="FF00FF"/>
                </a:solidFill>
                <a:prstDash val="solid"/>
              </a:ln>
            </c:spPr>
          </c:marker>
          <c:xVal>
            <c:numRef>
              <c:f>'5 A Tables'!$D$103:$D$108</c:f>
              <c:numCache>
                <c:formatCode>General</c:formatCode>
                <c:ptCount val="6"/>
                <c:pt idx="0">
                  <c:v>#N/A</c:v>
                </c:pt>
                <c:pt idx="1">
                  <c:v>#N/A</c:v>
                </c:pt>
                <c:pt idx="2">
                  <c:v>#N/A</c:v>
                </c:pt>
                <c:pt idx="3">
                  <c:v>#N/A</c:v>
                </c:pt>
                <c:pt idx="4">
                  <c:v>#N/A</c:v>
                </c:pt>
                <c:pt idx="5">
                  <c:v>#N/A</c:v>
                </c:pt>
              </c:numCache>
            </c:numRef>
          </c:xVal>
          <c:yVal>
            <c:numRef>
              <c:f>'5 A Tables'!$F$103:$F$108</c:f>
              <c:numCache>
                <c:formatCode>0.00000</c:formatCode>
                <c:ptCount val="6"/>
                <c:pt idx="0">
                  <c:v>#N/A</c:v>
                </c:pt>
                <c:pt idx="1">
                  <c:v>#N/A</c:v>
                </c:pt>
                <c:pt idx="2">
                  <c:v>#N/A</c:v>
                </c:pt>
                <c:pt idx="3">
                  <c:v>#N/A</c:v>
                </c:pt>
                <c:pt idx="4">
                  <c:v>#N/A</c:v>
                </c:pt>
                <c:pt idx="5">
                  <c:v>#N/A</c:v>
                </c:pt>
              </c:numCache>
            </c:numRef>
          </c:yVal>
          <c:smooth val="0"/>
          <c:extLst>
            <c:ext xmlns:c16="http://schemas.microsoft.com/office/drawing/2014/chart" uri="{C3380CC4-5D6E-409C-BE32-E72D297353CC}">
              <c16:uniqueId val="{00000001-1619-4806-B02E-931A71231735}"/>
            </c:ext>
          </c:extLst>
        </c:ser>
        <c:dLbls>
          <c:showLegendKey val="0"/>
          <c:showVal val="0"/>
          <c:showCatName val="0"/>
          <c:showSerName val="0"/>
          <c:showPercent val="0"/>
          <c:showBubbleSize val="0"/>
        </c:dLbls>
        <c:axId val="417305216"/>
        <c:axId val="1"/>
      </c:scatterChart>
      <c:valAx>
        <c:axId val="4173052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25" b="0" i="0" u="none" strike="noStrike" baseline="0">
                <a:solidFill>
                  <a:srgbClr val="000000"/>
                </a:solidFill>
                <a:latin typeface="Arial"/>
                <a:ea typeface="Arial"/>
                <a:cs typeface="Arial"/>
              </a:defRPr>
            </a:pPr>
            <a:endParaRPr lang="en-US"/>
          </a:p>
        </c:txPr>
        <c:crossAx val="1"/>
        <c:crosses val="autoZero"/>
        <c:crossBetween val="midCat"/>
      </c:valAx>
      <c:valAx>
        <c:axId val="1"/>
        <c:scaling>
          <c:orientation val="minMax"/>
        </c:scaling>
        <c:delete val="0"/>
        <c:axPos val="l"/>
        <c:majorGridlines>
          <c:spPr>
            <a:ln w="3175">
              <a:solidFill>
                <a:srgbClr val="000000"/>
              </a:solidFill>
              <a:prstDash val="solid"/>
            </a:ln>
          </c:spPr>
        </c:majorGridlines>
        <c:numFmt formatCode="0.00000" sourceLinked="1"/>
        <c:majorTickMark val="out"/>
        <c:minorTickMark val="none"/>
        <c:tickLblPos val="nextTo"/>
        <c:spPr>
          <a:ln w="3175">
            <a:solidFill>
              <a:srgbClr val="000000"/>
            </a:solidFill>
            <a:prstDash val="solid"/>
          </a:ln>
        </c:spPr>
        <c:txPr>
          <a:bodyPr rot="0" vert="horz"/>
          <a:lstStyle/>
          <a:p>
            <a:pPr>
              <a:defRPr sz="525" b="0" i="0" u="none" strike="noStrike" baseline="0">
                <a:solidFill>
                  <a:srgbClr val="000000"/>
                </a:solidFill>
                <a:latin typeface="Arial"/>
                <a:ea typeface="Arial"/>
                <a:cs typeface="Arial"/>
              </a:defRPr>
            </a:pPr>
            <a:endParaRPr lang="en-US"/>
          </a:p>
        </c:txPr>
        <c:crossAx val="417305216"/>
        <c:crosses val="autoZero"/>
        <c:crossBetween val="midCat"/>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223057605441165"/>
          <c:y val="9.1286492006151146E-2"/>
          <c:w val="0.86431305209638931"/>
          <c:h val="0.77178579605200515"/>
        </c:manualLayout>
      </c:layout>
      <c:scatterChart>
        <c:scatterStyle val="lineMarker"/>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xVal>
            <c:numRef>
              <c:f>'5 A Tables'!$D$114:$D$119</c:f>
              <c:numCache>
                <c:formatCode>0</c:formatCode>
                <c:ptCount val="6"/>
                <c:pt idx="0">
                  <c:v>#N/A</c:v>
                </c:pt>
                <c:pt idx="1">
                  <c:v>#N/A</c:v>
                </c:pt>
                <c:pt idx="2">
                  <c:v>#N/A</c:v>
                </c:pt>
                <c:pt idx="3">
                  <c:v>#N/A</c:v>
                </c:pt>
                <c:pt idx="4" formatCode="General">
                  <c:v>#N/A</c:v>
                </c:pt>
                <c:pt idx="5" formatCode="General">
                  <c:v>#N/A</c:v>
                </c:pt>
              </c:numCache>
            </c:numRef>
          </c:xVal>
          <c:yVal>
            <c:numRef>
              <c:f>'5 A Tables'!$E$114:$E$119</c:f>
              <c:numCache>
                <c:formatCode>0.00000</c:formatCode>
                <c:ptCount val="6"/>
                <c:pt idx="0">
                  <c:v>#N/A</c:v>
                </c:pt>
                <c:pt idx="1">
                  <c:v>#N/A</c:v>
                </c:pt>
                <c:pt idx="2">
                  <c:v>#N/A</c:v>
                </c:pt>
                <c:pt idx="3">
                  <c:v>#N/A</c:v>
                </c:pt>
                <c:pt idx="4">
                  <c:v>#N/A</c:v>
                </c:pt>
                <c:pt idx="5">
                  <c:v>#N/A</c:v>
                </c:pt>
              </c:numCache>
            </c:numRef>
          </c:yVal>
          <c:smooth val="0"/>
          <c:extLst>
            <c:ext xmlns:c16="http://schemas.microsoft.com/office/drawing/2014/chart" uri="{C3380CC4-5D6E-409C-BE32-E72D297353CC}">
              <c16:uniqueId val="{00000000-B4E0-4AFE-A569-F9147B6AE28E}"/>
            </c:ext>
          </c:extLst>
        </c:ser>
        <c:ser>
          <c:idx val="1"/>
          <c:order val="1"/>
          <c:spPr>
            <a:ln w="12700">
              <a:solidFill>
                <a:srgbClr val="FF00FF"/>
              </a:solidFill>
              <a:prstDash val="solid"/>
            </a:ln>
          </c:spPr>
          <c:marker>
            <c:symbol val="square"/>
            <c:size val="5"/>
            <c:spPr>
              <a:solidFill>
                <a:srgbClr val="FF00FF"/>
              </a:solidFill>
              <a:ln>
                <a:solidFill>
                  <a:srgbClr val="FF00FF"/>
                </a:solidFill>
                <a:prstDash val="solid"/>
              </a:ln>
            </c:spPr>
          </c:marker>
          <c:xVal>
            <c:numRef>
              <c:f>'5 A Tables'!$D$114:$D$119</c:f>
              <c:numCache>
                <c:formatCode>0</c:formatCode>
                <c:ptCount val="6"/>
                <c:pt idx="0">
                  <c:v>#N/A</c:v>
                </c:pt>
                <c:pt idx="1">
                  <c:v>#N/A</c:v>
                </c:pt>
                <c:pt idx="2">
                  <c:v>#N/A</c:v>
                </c:pt>
                <c:pt idx="3">
                  <c:v>#N/A</c:v>
                </c:pt>
                <c:pt idx="4" formatCode="General">
                  <c:v>#N/A</c:v>
                </c:pt>
                <c:pt idx="5" formatCode="General">
                  <c:v>#N/A</c:v>
                </c:pt>
              </c:numCache>
            </c:numRef>
          </c:xVal>
          <c:yVal>
            <c:numRef>
              <c:f>'5 A Tables'!$F$114:$F$119</c:f>
              <c:numCache>
                <c:formatCode>0.00000</c:formatCode>
                <c:ptCount val="6"/>
                <c:pt idx="0">
                  <c:v>#N/A</c:v>
                </c:pt>
                <c:pt idx="1">
                  <c:v>#N/A</c:v>
                </c:pt>
                <c:pt idx="2">
                  <c:v>#N/A</c:v>
                </c:pt>
                <c:pt idx="3">
                  <c:v>#N/A</c:v>
                </c:pt>
                <c:pt idx="4">
                  <c:v>#N/A</c:v>
                </c:pt>
                <c:pt idx="5">
                  <c:v>#N/A</c:v>
                </c:pt>
              </c:numCache>
            </c:numRef>
          </c:yVal>
          <c:smooth val="0"/>
          <c:extLst>
            <c:ext xmlns:c16="http://schemas.microsoft.com/office/drawing/2014/chart" uri="{C3380CC4-5D6E-409C-BE32-E72D297353CC}">
              <c16:uniqueId val="{00000001-B4E0-4AFE-A569-F9147B6AE28E}"/>
            </c:ext>
          </c:extLst>
        </c:ser>
        <c:dLbls>
          <c:showLegendKey val="0"/>
          <c:showVal val="0"/>
          <c:showCatName val="0"/>
          <c:showSerName val="0"/>
          <c:showPercent val="0"/>
          <c:showBubbleSize val="0"/>
        </c:dLbls>
        <c:axId val="417307512"/>
        <c:axId val="1"/>
      </c:scatterChart>
      <c:valAx>
        <c:axId val="417307512"/>
        <c:scaling>
          <c:orientation val="minMax"/>
        </c:scaling>
        <c:delete val="0"/>
        <c:axPos val="b"/>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
        <c:crosses val="autoZero"/>
        <c:crossBetween val="midCat"/>
      </c:valAx>
      <c:valAx>
        <c:axId val="1"/>
        <c:scaling>
          <c:orientation val="minMax"/>
        </c:scaling>
        <c:delete val="0"/>
        <c:axPos val="l"/>
        <c:majorGridlines>
          <c:spPr>
            <a:ln w="3175">
              <a:solidFill>
                <a:srgbClr val="000000"/>
              </a:solidFill>
              <a:prstDash val="solid"/>
            </a:ln>
          </c:spPr>
        </c:majorGridlines>
        <c:numFmt formatCode="0.0000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17307512"/>
        <c:crosses val="autoZero"/>
        <c:crossBetween val="midCat"/>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037194439370733E-2"/>
          <c:y val="0.10280397288435694"/>
          <c:w val="0.87592750999622038"/>
          <c:h val="0.7429923494823979"/>
        </c:manualLayout>
      </c:layout>
      <c:scatterChart>
        <c:scatterStyle val="lineMarker"/>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xVal>
            <c:numRef>
              <c:f>'5 A Tables'!$D$121:$D$126</c:f>
              <c:numCache>
                <c:formatCode>General</c:formatCode>
                <c:ptCount val="6"/>
                <c:pt idx="0">
                  <c:v>#N/A</c:v>
                </c:pt>
                <c:pt idx="1">
                  <c:v>#N/A</c:v>
                </c:pt>
                <c:pt idx="2">
                  <c:v>#N/A</c:v>
                </c:pt>
                <c:pt idx="3">
                  <c:v>#N/A</c:v>
                </c:pt>
                <c:pt idx="4">
                  <c:v>#N/A</c:v>
                </c:pt>
                <c:pt idx="5">
                  <c:v>#N/A</c:v>
                </c:pt>
              </c:numCache>
            </c:numRef>
          </c:xVal>
          <c:yVal>
            <c:numRef>
              <c:f>'5 A Tables'!$E$121:$E$126</c:f>
              <c:numCache>
                <c:formatCode>0.00000</c:formatCode>
                <c:ptCount val="6"/>
                <c:pt idx="0">
                  <c:v>#N/A</c:v>
                </c:pt>
                <c:pt idx="1">
                  <c:v>#N/A</c:v>
                </c:pt>
                <c:pt idx="2">
                  <c:v>#N/A</c:v>
                </c:pt>
                <c:pt idx="3">
                  <c:v>#N/A</c:v>
                </c:pt>
                <c:pt idx="4">
                  <c:v>#N/A</c:v>
                </c:pt>
                <c:pt idx="5">
                  <c:v>#N/A</c:v>
                </c:pt>
              </c:numCache>
            </c:numRef>
          </c:yVal>
          <c:smooth val="0"/>
          <c:extLst>
            <c:ext xmlns:c16="http://schemas.microsoft.com/office/drawing/2014/chart" uri="{C3380CC4-5D6E-409C-BE32-E72D297353CC}">
              <c16:uniqueId val="{00000000-DFE6-4AB2-8052-46928B086068}"/>
            </c:ext>
          </c:extLst>
        </c:ser>
        <c:ser>
          <c:idx val="1"/>
          <c:order val="1"/>
          <c:spPr>
            <a:ln w="12700">
              <a:solidFill>
                <a:srgbClr val="FF00FF"/>
              </a:solidFill>
              <a:prstDash val="solid"/>
            </a:ln>
          </c:spPr>
          <c:marker>
            <c:symbol val="square"/>
            <c:size val="5"/>
            <c:spPr>
              <a:solidFill>
                <a:srgbClr val="FF00FF"/>
              </a:solidFill>
              <a:ln>
                <a:solidFill>
                  <a:srgbClr val="FF00FF"/>
                </a:solidFill>
                <a:prstDash val="solid"/>
              </a:ln>
            </c:spPr>
          </c:marker>
          <c:xVal>
            <c:numRef>
              <c:f>'5 A Tables'!$D$121:$D$126</c:f>
              <c:numCache>
                <c:formatCode>General</c:formatCode>
                <c:ptCount val="6"/>
                <c:pt idx="0">
                  <c:v>#N/A</c:v>
                </c:pt>
                <c:pt idx="1">
                  <c:v>#N/A</c:v>
                </c:pt>
                <c:pt idx="2">
                  <c:v>#N/A</c:v>
                </c:pt>
                <c:pt idx="3">
                  <c:v>#N/A</c:v>
                </c:pt>
                <c:pt idx="4">
                  <c:v>#N/A</c:v>
                </c:pt>
                <c:pt idx="5">
                  <c:v>#N/A</c:v>
                </c:pt>
              </c:numCache>
            </c:numRef>
          </c:xVal>
          <c:yVal>
            <c:numRef>
              <c:f>'5 A Tables'!$F$121:$F$126</c:f>
              <c:numCache>
                <c:formatCode>0.00000</c:formatCode>
                <c:ptCount val="6"/>
                <c:pt idx="0">
                  <c:v>#N/A</c:v>
                </c:pt>
                <c:pt idx="1">
                  <c:v>#N/A</c:v>
                </c:pt>
                <c:pt idx="2">
                  <c:v>#N/A</c:v>
                </c:pt>
                <c:pt idx="3">
                  <c:v>#N/A</c:v>
                </c:pt>
                <c:pt idx="4">
                  <c:v>#N/A</c:v>
                </c:pt>
                <c:pt idx="5">
                  <c:v>#N/A</c:v>
                </c:pt>
              </c:numCache>
            </c:numRef>
          </c:yVal>
          <c:smooth val="0"/>
          <c:extLst>
            <c:ext xmlns:c16="http://schemas.microsoft.com/office/drawing/2014/chart" uri="{C3380CC4-5D6E-409C-BE32-E72D297353CC}">
              <c16:uniqueId val="{00000001-DFE6-4AB2-8052-46928B086068}"/>
            </c:ext>
          </c:extLst>
        </c:ser>
        <c:dLbls>
          <c:showLegendKey val="0"/>
          <c:showVal val="0"/>
          <c:showCatName val="0"/>
          <c:showSerName val="0"/>
          <c:showPercent val="0"/>
          <c:showBubbleSize val="0"/>
        </c:dLbls>
        <c:axId val="417309808"/>
        <c:axId val="1"/>
      </c:scatterChart>
      <c:valAx>
        <c:axId val="4173098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25" b="0" i="0" u="none" strike="noStrike" baseline="0">
                <a:solidFill>
                  <a:srgbClr val="000000"/>
                </a:solidFill>
                <a:latin typeface="Arial"/>
                <a:ea typeface="Arial"/>
                <a:cs typeface="Arial"/>
              </a:defRPr>
            </a:pPr>
            <a:endParaRPr lang="en-US"/>
          </a:p>
        </c:txPr>
        <c:crossAx val="1"/>
        <c:crosses val="autoZero"/>
        <c:crossBetween val="midCat"/>
      </c:valAx>
      <c:valAx>
        <c:axId val="1"/>
        <c:scaling>
          <c:orientation val="minMax"/>
        </c:scaling>
        <c:delete val="0"/>
        <c:axPos val="l"/>
        <c:majorGridlines>
          <c:spPr>
            <a:ln w="3175">
              <a:solidFill>
                <a:srgbClr val="000000"/>
              </a:solidFill>
              <a:prstDash val="solid"/>
            </a:ln>
          </c:spPr>
        </c:majorGridlines>
        <c:numFmt formatCode="0.00000" sourceLinked="1"/>
        <c:majorTickMark val="out"/>
        <c:minorTickMark val="none"/>
        <c:tickLblPos val="nextTo"/>
        <c:spPr>
          <a:ln w="3175">
            <a:solidFill>
              <a:srgbClr val="000000"/>
            </a:solidFill>
            <a:prstDash val="solid"/>
          </a:ln>
        </c:spPr>
        <c:txPr>
          <a:bodyPr rot="0" vert="horz"/>
          <a:lstStyle/>
          <a:p>
            <a:pPr>
              <a:defRPr sz="525" b="0" i="0" u="none" strike="noStrike" baseline="0">
                <a:solidFill>
                  <a:srgbClr val="000000"/>
                </a:solidFill>
                <a:latin typeface="Arial"/>
                <a:ea typeface="Arial"/>
                <a:cs typeface="Arial"/>
              </a:defRPr>
            </a:pPr>
            <a:endParaRPr lang="en-US"/>
          </a:p>
        </c:txPr>
        <c:crossAx val="417309808"/>
        <c:crosses val="autoZero"/>
        <c:crossBetween val="midCat"/>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873840445269017"/>
          <c:y val="8.5910941228190874E-2"/>
          <c:w val="0.84601113172541742"/>
          <c:h val="0.77319847105371786"/>
        </c:manualLayout>
      </c:layout>
      <c:scatterChart>
        <c:scatterStyle val="lineMarker"/>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xVal>
            <c:numRef>
              <c:f>'5 A Tables'!$D$132:$D$137</c:f>
              <c:numCache>
                <c:formatCode>0</c:formatCode>
                <c:ptCount val="6"/>
                <c:pt idx="0">
                  <c:v>#N/A</c:v>
                </c:pt>
                <c:pt idx="1">
                  <c:v>#N/A</c:v>
                </c:pt>
                <c:pt idx="2">
                  <c:v>#N/A</c:v>
                </c:pt>
                <c:pt idx="3">
                  <c:v>#N/A</c:v>
                </c:pt>
                <c:pt idx="4" formatCode="General">
                  <c:v>#N/A</c:v>
                </c:pt>
                <c:pt idx="5" formatCode="General">
                  <c:v>#N/A</c:v>
                </c:pt>
              </c:numCache>
            </c:numRef>
          </c:xVal>
          <c:yVal>
            <c:numRef>
              <c:f>'5 A Tables'!$E$132:$E$137</c:f>
              <c:numCache>
                <c:formatCode>0.00000</c:formatCode>
                <c:ptCount val="6"/>
                <c:pt idx="0">
                  <c:v>#N/A</c:v>
                </c:pt>
                <c:pt idx="1">
                  <c:v>#N/A</c:v>
                </c:pt>
                <c:pt idx="2">
                  <c:v>#N/A</c:v>
                </c:pt>
                <c:pt idx="3">
                  <c:v>#N/A</c:v>
                </c:pt>
                <c:pt idx="4">
                  <c:v>#N/A</c:v>
                </c:pt>
                <c:pt idx="5">
                  <c:v>#N/A</c:v>
                </c:pt>
              </c:numCache>
            </c:numRef>
          </c:yVal>
          <c:smooth val="0"/>
          <c:extLst>
            <c:ext xmlns:c16="http://schemas.microsoft.com/office/drawing/2014/chart" uri="{C3380CC4-5D6E-409C-BE32-E72D297353CC}">
              <c16:uniqueId val="{00000000-47D5-484C-9486-9D44C862057E}"/>
            </c:ext>
          </c:extLst>
        </c:ser>
        <c:ser>
          <c:idx val="1"/>
          <c:order val="1"/>
          <c:spPr>
            <a:ln w="12700">
              <a:solidFill>
                <a:srgbClr val="FF00FF"/>
              </a:solidFill>
              <a:prstDash val="solid"/>
            </a:ln>
          </c:spPr>
          <c:marker>
            <c:symbol val="square"/>
            <c:size val="5"/>
            <c:spPr>
              <a:solidFill>
                <a:srgbClr val="FF00FF"/>
              </a:solidFill>
              <a:ln>
                <a:solidFill>
                  <a:srgbClr val="FF00FF"/>
                </a:solidFill>
                <a:prstDash val="solid"/>
              </a:ln>
            </c:spPr>
          </c:marker>
          <c:xVal>
            <c:numRef>
              <c:f>'5 A Tables'!$D$132:$D$137</c:f>
              <c:numCache>
                <c:formatCode>0</c:formatCode>
                <c:ptCount val="6"/>
                <c:pt idx="0">
                  <c:v>#N/A</c:v>
                </c:pt>
                <c:pt idx="1">
                  <c:v>#N/A</c:v>
                </c:pt>
                <c:pt idx="2">
                  <c:v>#N/A</c:v>
                </c:pt>
                <c:pt idx="3">
                  <c:v>#N/A</c:v>
                </c:pt>
                <c:pt idx="4" formatCode="General">
                  <c:v>#N/A</c:v>
                </c:pt>
                <c:pt idx="5" formatCode="General">
                  <c:v>#N/A</c:v>
                </c:pt>
              </c:numCache>
            </c:numRef>
          </c:xVal>
          <c:yVal>
            <c:numRef>
              <c:f>'5 A Tables'!$F$132:$F$137</c:f>
              <c:numCache>
                <c:formatCode>0.00000</c:formatCode>
                <c:ptCount val="6"/>
                <c:pt idx="0">
                  <c:v>#N/A</c:v>
                </c:pt>
                <c:pt idx="1">
                  <c:v>#N/A</c:v>
                </c:pt>
                <c:pt idx="2">
                  <c:v>#N/A</c:v>
                </c:pt>
                <c:pt idx="3">
                  <c:v>#N/A</c:v>
                </c:pt>
                <c:pt idx="4">
                  <c:v>#N/A</c:v>
                </c:pt>
                <c:pt idx="5">
                  <c:v>#N/A</c:v>
                </c:pt>
              </c:numCache>
            </c:numRef>
          </c:yVal>
          <c:smooth val="0"/>
          <c:extLst>
            <c:ext xmlns:c16="http://schemas.microsoft.com/office/drawing/2014/chart" uri="{C3380CC4-5D6E-409C-BE32-E72D297353CC}">
              <c16:uniqueId val="{00000001-47D5-484C-9486-9D44C862057E}"/>
            </c:ext>
          </c:extLst>
        </c:ser>
        <c:dLbls>
          <c:showLegendKey val="0"/>
          <c:showVal val="0"/>
          <c:showCatName val="0"/>
          <c:showSerName val="0"/>
          <c:showPercent val="0"/>
          <c:showBubbleSize val="0"/>
        </c:dLbls>
        <c:axId val="417504760"/>
        <c:axId val="1"/>
      </c:scatterChart>
      <c:valAx>
        <c:axId val="417504760"/>
        <c:scaling>
          <c:orientation val="minMax"/>
        </c:scaling>
        <c:delete val="0"/>
        <c:axPos val="b"/>
        <c:numFmt formatCode="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
        <c:crosses val="autoZero"/>
        <c:crossBetween val="midCat"/>
      </c:valAx>
      <c:valAx>
        <c:axId val="1"/>
        <c:scaling>
          <c:orientation val="minMax"/>
        </c:scaling>
        <c:delete val="0"/>
        <c:axPos val="l"/>
        <c:majorGridlines>
          <c:spPr>
            <a:ln w="3175">
              <a:solidFill>
                <a:srgbClr val="000000"/>
              </a:solidFill>
              <a:prstDash val="solid"/>
            </a:ln>
          </c:spPr>
        </c:majorGridlines>
        <c:numFmt formatCode="0.00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417504760"/>
        <c:crosses val="autoZero"/>
        <c:crossBetween val="midCat"/>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8015142232747826E-2"/>
          <c:y val="9.6070073839370052E-2"/>
          <c:w val="0.8745334345253879"/>
          <c:h val="0.75982694763865399"/>
        </c:manualLayout>
      </c:layout>
      <c:scatterChart>
        <c:scatterStyle val="lineMarker"/>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xVal>
            <c:numRef>
              <c:f>'5 A Tables'!$D$139:$D$144</c:f>
              <c:numCache>
                <c:formatCode>General</c:formatCode>
                <c:ptCount val="6"/>
                <c:pt idx="0">
                  <c:v>#N/A</c:v>
                </c:pt>
                <c:pt idx="1">
                  <c:v>#N/A</c:v>
                </c:pt>
                <c:pt idx="2">
                  <c:v>#N/A</c:v>
                </c:pt>
                <c:pt idx="3">
                  <c:v>#N/A</c:v>
                </c:pt>
                <c:pt idx="4">
                  <c:v>#N/A</c:v>
                </c:pt>
                <c:pt idx="5">
                  <c:v>#N/A</c:v>
                </c:pt>
              </c:numCache>
            </c:numRef>
          </c:xVal>
          <c:yVal>
            <c:numRef>
              <c:f>'5 A Tables'!$E$139:$E$144</c:f>
              <c:numCache>
                <c:formatCode>0.00000</c:formatCode>
                <c:ptCount val="6"/>
                <c:pt idx="0">
                  <c:v>#N/A</c:v>
                </c:pt>
                <c:pt idx="1">
                  <c:v>#N/A</c:v>
                </c:pt>
                <c:pt idx="2">
                  <c:v>#N/A</c:v>
                </c:pt>
                <c:pt idx="3">
                  <c:v>#N/A</c:v>
                </c:pt>
                <c:pt idx="4">
                  <c:v>#N/A</c:v>
                </c:pt>
                <c:pt idx="5">
                  <c:v>#N/A</c:v>
                </c:pt>
              </c:numCache>
            </c:numRef>
          </c:yVal>
          <c:smooth val="0"/>
          <c:extLst>
            <c:ext xmlns:c16="http://schemas.microsoft.com/office/drawing/2014/chart" uri="{C3380CC4-5D6E-409C-BE32-E72D297353CC}">
              <c16:uniqueId val="{00000000-5556-416E-93E3-E031379A1706}"/>
            </c:ext>
          </c:extLst>
        </c:ser>
        <c:ser>
          <c:idx val="1"/>
          <c:order val="1"/>
          <c:spPr>
            <a:ln w="12700">
              <a:solidFill>
                <a:srgbClr val="FF00FF"/>
              </a:solidFill>
              <a:prstDash val="solid"/>
            </a:ln>
          </c:spPr>
          <c:marker>
            <c:symbol val="square"/>
            <c:size val="5"/>
            <c:spPr>
              <a:solidFill>
                <a:srgbClr val="FF00FF"/>
              </a:solidFill>
              <a:ln>
                <a:solidFill>
                  <a:srgbClr val="FF00FF"/>
                </a:solidFill>
                <a:prstDash val="solid"/>
              </a:ln>
            </c:spPr>
          </c:marker>
          <c:xVal>
            <c:numRef>
              <c:f>'5 A Tables'!$D$139:$D$144</c:f>
              <c:numCache>
                <c:formatCode>General</c:formatCode>
                <c:ptCount val="6"/>
                <c:pt idx="0">
                  <c:v>#N/A</c:v>
                </c:pt>
                <c:pt idx="1">
                  <c:v>#N/A</c:v>
                </c:pt>
                <c:pt idx="2">
                  <c:v>#N/A</c:v>
                </c:pt>
                <c:pt idx="3">
                  <c:v>#N/A</c:v>
                </c:pt>
                <c:pt idx="4">
                  <c:v>#N/A</c:v>
                </c:pt>
                <c:pt idx="5">
                  <c:v>#N/A</c:v>
                </c:pt>
              </c:numCache>
            </c:numRef>
          </c:xVal>
          <c:yVal>
            <c:numRef>
              <c:f>'5 A Tables'!$F$139:$F$144</c:f>
              <c:numCache>
                <c:formatCode>0.00000</c:formatCode>
                <c:ptCount val="6"/>
                <c:pt idx="0">
                  <c:v>#N/A</c:v>
                </c:pt>
                <c:pt idx="1">
                  <c:v>#N/A</c:v>
                </c:pt>
                <c:pt idx="2">
                  <c:v>#N/A</c:v>
                </c:pt>
                <c:pt idx="3">
                  <c:v>#N/A</c:v>
                </c:pt>
                <c:pt idx="4">
                  <c:v>#N/A</c:v>
                </c:pt>
                <c:pt idx="5">
                  <c:v>#N/A</c:v>
                </c:pt>
              </c:numCache>
            </c:numRef>
          </c:yVal>
          <c:smooth val="0"/>
          <c:extLst>
            <c:ext xmlns:c16="http://schemas.microsoft.com/office/drawing/2014/chart" uri="{C3380CC4-5D6E-409C-BE32-E72D297353CC}">
              <c16:uniqueId val="{00000001-5556-416E-93E3-E031379A1706}"/>
            </c:ext>
          </c:extLst>
        </c:ser>
        <c:dLbls>
          <c:showLegendKey val="0"/>
          <c:showVal val="0"/>
          <c:showCatName val="0"/>
          <c:showSerName val="0"/>
          <c:showPercent val="0"/>
          <c:showBubbleSize val="0"/>
        </c:dLbls>
        <c:axId val="417507056"/>
        <c:axId val="1"/>
      </c:scatterChart>
      <c:valAx>
        <c:axId val="4175070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50" b="0" i="0" u="none" strike="noStrike" baseline="0">
                <a:solidFill>
                  <a:srgbClr val="000000"/>
                </a:solidFill>
                <a:latin typeface="Arial"/>
                <a:ea typeface="Arial"/>
                <a:cs typeface="Arial"/>
              </a:defRPr>
            </a:pPr>
            <a:endParaRPr lang="en-US"/>
          </a:p>
        </c:txPr>
        <c:crossAx val="1"/>
        <c:crosses val="autoZero"/>
        <c:crossBetween val="midCat"/>
      </c:valAx>
      <c:valAx>
        <c:axId val="1"/>
        <c:scaling>
          <c:orientation val="minMax"/>
        </c:scaling>
        <c:delete val="0"/>
        <c:axPos val="l"/>
        <c:majorGridlines>
          <c:spPr>
            <a:ln w="3175">
              <a:solidFill>
                <a:srgbClr val="000000"/>
              </a:solidFill>
              <a:prstDash val="solid"/>
            </a:ln>
          </c:spPr>
        </c:majorGridlines>
        <c:numFmt formatCode="0.00000" sourceLinked="1"/>
        <c:majorTickMark val="out"/>
        <c:minorTickMark val="none"/>
        <c:tickLblPos val="nextTo"/>
        <c:spPr>
          <a:ln w="3175">
            <a:solidFill>
              <a:srgbClr val="000000"/>
            </a:solidFill>
            <a:prstDash val="solid"/>
          </a:ln>
        </c:spPr>
        <c:txPr>
          <a:bodyPr rot="0" vert="horz"/>
          <a:lstStyle/>
          <a:p>
            <a:pPr>
              <a:defRPr sz="550" b="0" i="0" u="none" strike="noStrike" baseline="0">
                <a:solidFill>
                  <a:srgbClr val="000000"/>
                </a:solidFill>
                <a:latin typeface="Arial"/>
                <a:ea typeface="Arial"/>
                <a:cs typeface="Arial"/>
              </a:defRPr>
            </a:pPr>
            <a:endParaRPr lang="en-US"/>
          </a:p>
        </c:txPr>
        <c:crossAx val="417507056"/>
        <c:crosses val="autoZero"/>
        <c:crossBetween val="midCat"/>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052752863025364"/>
          <c:y val="9.6525278499936848E-2"/>
          <c:w val="0.84369270041177546"/>
          <c:h val="0.7451751500195124"/>
        </c:manualLayout>
      </c:layout>
      <c:scatterChart>
        <c:scatterStyle val="lineMarker"/>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xVal>
            <c:numRef>
              <c:f>'5 A Tables'!$D$150:$D$156</c:f>
              <c:numCache>
                <c:formatCode>0</c:formatCode>
                <c:ptCount val="7"/>
                <c:pt idx="0">
                  <c:v>#N/A</c:v>
                </c:pt>
                <c:pt idx="1">
                  <c:v>#N/A</c:v>
                </c:pt>
                <c:pt idx="2">
                  <c:v>#N/A</c:v>
                </c:pt>
                <c:pt idx="3">
                  <c:v>#N/A</c:v>
                </c:pt>
                <c:pt idx="4" formatCode="General">
                  <c:v>#N/A</c:v>
                </c:pt>
                <c:pt idx="5" formatCode="General">
                  <c:v>#N/A</c:v>
                </c:pt>
                <c:pt idx="6" formatCode="General">
                  <c:v>#N/A</c:v>
                </c:pt>
              </c:numCache>
            </c:numRef>
          </c:xVal>
          <c:yVal>
            <c:numRef>
              <c:f>'5 A Tables'!$E$150:$E$156</c:f>
              <c:numCache>
                <c:formatCode>0.00000</c:formatCode>
                <c:ptCount val="7"/>
                <c:pt idx="0">
                  <c:v>#N/A</c:v>
                </c:pt>
                <c:pt idx="1">
                  <c:v>#N/A</c:v>
                </c:pt>
                <c:pt idx="2">
                  <c:v>#N/A</c:v>
                </c:pt>
                <c:pt idx="3">
                  <c:v>#N/A</c:v>
                </c:pt>
                <c:pt idx="4">
                  <c:v>#N/A</c:v>
                </c:pt>
                <c:pt idx="5">
                  <c:v>#N/A</c:v>
                </c:pt>
                <c:pt idx="6">
                  <c:v>#N/A</c:v>
                </c:pt>
              </c:numCache>
            </c:numRef>
          </c:yVal>
          <c:smooth val="0"/>
          <c:extLst>
            <c:ext xmlns:c16="http://schemas.microsoft.com/office/drawing/2014/chart" uri="{C3380CC4-5D6E-409C-BE32-E72D297353CC}">
              <c16:uniqueId val="{00000000-C1E8-415C-AE56-284D5B429CF8}"/>
            </c:ext>
          </c:extLst>
        </c:ser>
        <c:ser>
          <c:idx val="1"/>
          <c:order val="1"/>
          <c:spPr>
            <a:ln w="12700">
              <a:solidFill>
                <a:srgbClr val="FF00FF"/>
              </a:solidFill>
              <a:prstDash val="solid"/>
            </a:ln>
          </c:spPr>
          <c:marker>
            <c:symbol val="square"/>
            <c:size val="5"/>
            <c:spPr>
              <a:solidFill>
                <a:srgbClr val="FF00FF"/>
              </a:solidFill>
              <a:ln>
                <a:solidFill>
                  <a:srgbClr val="FF00FF"/>
                </a:solidFill>
                <a:prstDash val="solid"/>
              </a:ln>
            </c:spPr>
          </c:marker>
          <c:xVal>
            <c:numRef>
              <c:f>'5 A Tables'!$D$150:$D$156</c:f>
              <c:numCache>
                <c:formatCode>0</c:formatCode>
                <c:ptCount val="7"/>
                <c:pt idx="0">
                  <c:v>#N/A</c:v>
                </c:pt>
                <c:pt idx="1">
                  <c:v>#N/A</c:v>
                </c:pt>
                <c:pt idx="2">
                  <c:v>#N/A</c:v>
                </c:pt>
                <c:pt idx="3">
                  <c:v>#N/A</c:v>
                </c:pt>
                <c:pt idx="4" formatCode="General">
                  <c:v>#N/A</c:v>
                </c:pt>
                <c:pt idx="5" formatCode="General">
                  <c:v>#N/A</c:v>
                </c:pt>
                <c:pt idx="6" formatCode="General">
                  <c:v>#N/A</c:v>
                </c:pt>
              </c:numCache>
            </c:numRef>
          </c:xVal>
          <c:yVal>
            <c:numRef>
              <c:f>'5 A Tables'!$F$150:$F$156</c:f>
              <c:numCache>
                <c:formatCode>0.00000</c:formatCode>
                <c:ptCount val="7"/>
                <c:pt idx="0">
                  <c:v>#N/A</c:v>
                </c:pt>
                <c:pt idx="1">
                  <c:v>#N/A</c:v>
                </c:pt>
                <c:pt idx="2">
                  <c:v>#N/A</c:v>
                </c:pt>
                <c:pt idx="3">
                  <c:v>#N/A</c:v>
                </c:pt>
                <c:pt idx="4">
                  <c:v>#N/A</c:v>
                </c:pt>
                <c:pt idx="5">
                  <c:v>#N/A</c:v>
                </c:pt>
                <c:pt idx="6">
                  <c:v>#N/A</c:v>
                </c:pt>
              </c:numCache>
            </c:numRef>
          </c:yVal>
          <c:smooth val="0"/>
          <c:extLst>
            <c:ext xmlns:c16="http://schemas.microsoft.com/office/drawing/2014/chart" uri="{C3380CC4-5D6E-409C-BE32-E72D297353CC}">
              <c16:uniqueId val="{00000001-C1E8-415C-AE56-284D5B429CF8}"/>
            </c:ext>
          </c:extLst>
        </c:ser>
        <c:dLbls>
          <c:showLegendKey val="0"/>
          <c:showVal val="0"/>
          <c:showCatName val="0"/>
          <c:showSerName val="0"/>
          <c:showPercent val="0"/>
          <c:showBubbleSize val="0"/>
        </c:dLbls>
        <c:axId val="417685592"/>
        <c:axId val="1"/>
      </c:scatterChart>
      <c:valAx>
        <c:axId val="417685592"/>
        <c:scaling>
          <c:orientation val="minMax"/>
        </c:scaling>
        <c:delete val="0"/>
        <c:axPos val="b"/>
        <c:numFmt formatCode="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
        <c:crosses val="autoZero"/>
        <c:crossBetween val="midCat"/>
      </c:valAx>
      <c:valAx>
        <c:axId val="1"/>
        <c:scaling>
          <c:orientation val="minMax"/>
        </c:scaling>
        <c:delete val="0"/>
        <c:axPos val="l"/>
        <c:majorGridlines>
          <c:spPr>
            <a:ln w="3175">
              <a:solidFill>
                <a:srgbClr val="000000"/>
              </a:solidFill>
              <a:prstDash val="solid"/>
            </a:ln>
          </c:spPr>
        </c:majorGridlines>
        <c:numFmt formatCode="0.00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417685592"/>
        <c:crosses val="autoZero"/>
        <c:crossBetween val="midCat"/>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416685932850106"/>
          <c:y val="9.1286492006151146E-2"/>
          <c:w val="0.8541682464937087"/>
          <c:h val="0.77178579605200515"/>
        </c:manualLayout>
      </c:layout>
      <c:scatterChart>
        <c:scatterStyle val="lineMarker"/>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xVal>
            <c:numRef>
              <c:f>'5 A Tables'!$D$158:$D$164</c:f>
              <c:numCache>
                <c:formatCode>General</c:formatCode>
                <c:ptCount val="7"/>
                <c:pt idx="0">
                  <c:v>#N/A</c:v>
                </c:pt>
                <c:pt idx="1">
                  <c:v>#N/A</c:v>
                </c:pt>
                <c:pt idx="2">
                  <c:v>#N/A</c:v>
                </c:pt>
                <c:pt idx="3">
                  <c:v>#N/A</c:v>
                </c:pt>
                <c:pt idx="4">
                  <c:v>#N/A</c:v>
                </c:pt>
                <c:pt idx="5">
                  <c:v>#N/A</c:v>
                </c:pt>
                <c:pt idx="6">
                  <c:v>#N/A</c:v>
                </c:pt>
              </c:numCache>
            </c:numRef>
          </c:xVal>
          <c:yVal>
            <c:numRef>
              <c:f>'5 A Tables'!$E$158:$E$164</c:f>
              <c:numCache>
                <c:formatCode>0.00000</c:formatCode>
                <c:ptCount val="7"/>
                <c:pt idx="0">
                  <c:v>#N/A</c:v>
                </c:pt>
                <c:pt idx="1">
                  <c:v>#N/A</c:v>
                </c:pt>
                <c:pt idx="2">
                  <c:v>#N/A</c:v>
                </c:pt>
                <c:pt idx="3">
                  <c:v>#N/A</c:v>
                </c:pt>
                <c:pt idx="4">
                  <c:v>#N/A</c:v>
                </c:pt>
                <c:pt idx="5">
                  <c:v>#N/A</c:v>
                </c:pt>
                <c:pt idx="6">
                  <c:v>#N/A</c:v>
                </c:pt>
              </c:numCache>
            </c:numRef>
          </c:yVal>
          <c:smooth val="0"/>
          <c:extLst>
            <c:ext xmlns:c16="http://schemas.microsoft.com/office/drawing/2014/chart" uri="{C3380CC4-5D6E-409C-BE32-E72D297353CC}">
              <c16:uniqueId val="{00000000-D73B-4F63-A3DC-83578BA5E754}"/>
            </c:ext>
          </c:extLst>
        </c:ser>
        <c:ser>
          <c:idx val="1"/>
          <c:order val="1"/>
          <c:spPr>
            <a:ln w="12700">
              <a:solidFill>
                <a:srgbClr val="FF00FF"/>
              </a:solidFill>
              <a:prstDash val="solid"/>
            </a:ln>
          </c:spPr>
          <c:marker>
            <c:symbol val="square"/>
            <c:size val="5"/>
            <c:spPr>
              <a:solidFill>
                <a:srgbClr val="FF00FF"/>
              </a:solidFill>
              <a:ln>
                <a:solidFill>
                  <a:srgbClr val="FF00FF"/>
                </a:solidFill>
                <a:prstDash val="solid"/>
              </a:ln>
            </c:spPr>
          </c:marker>
          <c:xVal>
            <c:numRef>
              <c:f>'5 A Tables'!$D$158:$D$164</c:f>
              <c:numCache>
                <c:formatCode>General</c:formatCode>
                <c:ptCount val="7"/>
                <c:pt idx="0">
                  <c:v>#N/A</c:v>
                </c:pt>
                <c:pt idx="1">
                  <c:v>#N/A</c:v>
                </c:pt>
                <c:pt idx="2">
                  <c:v>#N/A</c:v>
                </c:pt>
                <c:pt idx="3">
                  <c:v>#N/A</c:v>
                </c:pt>
                <c:pt idx="4">
                  <c:v>#N/A</c:v>
                </c:pt>
                <c:pt idx="5">
                  <c:v>#N/A</c:v>
                </c:pt>
                <c:pt idx="6">
                  <c:v>#N/A</c:v>
                </c:pt>
              </c:numCache>
            </c:numRef>
          </c:xVal>
          <c:yVal>
            <c:numRef>
              <c:f>'5 A Tables'!$F$158:$F$164</c:f>
              <c:numCache>
                <c:formatCode>0.00000</c:formatCode>
                <c:ptCount val="7"/>
                <c:pt idx="0">
                  <c:v>#N/A</c:v>
                </c:pt>
                <c:pt idx="1">
                  <c:v>#N/A</c:v>
                </c:pt>
                <c:pt idx="2">
                  <c:v>#N/A</c:v>
                </c:pt>
                <c:pt idx="3">
                  <c:v>#N/A</c:v>
                </c:pt>
                <c:pt idx="4">
                  <c:v>#N/A</c:v>
                </c:pt>
                <c:pt idx="5">
                  <c:v>#N/A</c:v>
                </c:pt>
                <c:pt idx="6">
                  <c:v>#N/A</c:v>
                </c:pt>
              </c:numCache>
            </c:numRef>
          </c:yVal>
          <c:smooth val="0"/>
          <c:extLst>
            <c:ext xmlns:c16="http://schemas.microsoft.com/office/drawing/2014/chart" uri="{C3380CC4-5D6E-409C-BE32-E72D297353CC}">
              <c16:uniqueId val="{00000001-D73B-4F63-A3DC-83578BA5E754}"/>
            </c:ext>
          </c:extLst>
        </c:ser>
        <c:dLbls>
          <c:showLegendKey val="0"/>
          <c:showVal val="0"/>
          <c:showCatName val="0"/>
          <c:showSerName val="0"/>
          <c:showPercent val="0"/>
          <c:showBubbleSize val="0"/>
        </c:dLbls>
        <c:axId val="417687888"/>
        <c:axId val="1"/>
      </c:scatterChart>
      <c:valAx>
        <c:axId val="4176878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
        <c:crosses val="autoZero"/>
        <c:crossBetween val="midCat"/>
      </c:valAx>
      <c:valAx>
        <c:axId val="1"/>
        <c:scaling>
          <c:orientation val="minMax"/>
        </c:scaling>
        <c:delete val="0"/>
        <c:axPos val="l"/>
        <c:majorGridlines>
          <c:spPr>
            <a:ln w="3175">
              <a:solidFill>
                <a:srgbClr val="000000"/>
              </a:solidFill>
              <a:prstDash val="solid"/>
            </a:ln>
          </c:spPr>
        </c:majorGridlines>
        <c:numFmt formatCode="0.0000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17687888"/>
        <c:crosses val="autoZero"/>
        <c:crossBetween val="midCat"/>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1.xml"/><Relationship Id="rId13" Type="http://schemas.openxmlformats.org/officeDocument/2006/relationships/chart" Target="../charts/chart16.xml"/><Relationship Id="rId18" Type="http://schemas.openxmlformats.org/officeDocument/2006/relationships/chart" Target="../charts/chart21.xml"/><Relationship Id="rId3" Type="http://schemas.openxmlformats.org/officeDocument/2006/relationships/chart" Target="../charts/chart6.xml"/><Relationship Id="rId7" Type="http://schemas.openxmlformats.org/officeDocument/2006/relationships/chart" Target="../charts/chart10.xml"/><Relationship Id="rId12" Type="http://schemas.openxmlformats.org/officeDocument/2006/relationships/chart" Target="../charts/chart15.xml"/><Relationship Id="rId17" Type="http://schemas.openxmlformats.org/officeDocument/2006/relationships/chart" Target="../charts/chart20.xml"/><Relationship Id="rId2" Type="http://schemas.openxmlformats.org/officeDocument/2006/relationships/chart" Target="../charts/chart5.xml"/><Relationship Id="rId16" Type="http://schemas.openxmlformats.org/officeDocument/2006/relationships/chart" Target="../charts/chart19.xml"/><Relationship Id="rId1" Type="http://schemas.openxmlformats.org/officeDocument/2006/relationships/chart" Target="../charts/chart4.xml"/><Relationship Id="rId6" Type="http://schemas.openxmlformats.org/officeDocument/2006/relationships/chart" Target="../charts/chart9.xml"/><Relationship Id="rId11" Type="http://schemas.openxmlformats.org/officeDocument/2006/relationships/chart" Target="../charts/chart14.xml"/><Relationship Id="rId5" Type="http://schemas.openxmlformats.org/officeDocument/2006/relationships/chart" Target="../charts/chart8.xml"/><Relationship Id="rId15" Type="http://schemas.openxmlformats.org/officeDocument/2006/relationships/chart" Target="../charts/chart18.xml"/><Relationship Id="rId10" Type="http://schemas.openxmlformats.org/officeDocument/2006/relationships/chart" Target="../charts/chart13.xml"/><Relationship Id="rId4" Type="http://schemas.openxmlformats.org/officeDocument/2006/relationships/chart" Target="../charts/chart7.xml"/><Relationship Id="rId9" Type="http://schemas.openxmlformats.org/officeDocument/2006/relationships/chart" Target="../charts/chart12.xml"/><Relationship Id="rId14" Type="http://schemas.openxmlformats.org/officeDocument/2006/relationships/chart" Target="../charts/chart17.xml"/></Relationships>
</file>

<file path=xl/drawings/drawing1.xml><?xml version="1.0" encoding="utf-8"?>
<xdr:wsDr xmlns:xdr="http://schemas.openxmlformats.org/drawingml/2006/spreadsheetDrawing" xmlns:a="http://schemas.openxmlformats.org/drawingml/2006/main">
  <xdr:twoCellAnchor>
    <xdr:from>
      <xdr:col>45</xdr:col>
      <xdr:colOff>333375</xdr:colOff>
      <xdr:row>116</xdr:row>
      <xdr:rowOff>114300</xdr:rowOff>
    </xdr:from>
    <xdr:to>
      <xdr:col>53</xdr:col>
      <xdr:colOff>28575</xdr:colOff>
      <xdr:row>133</xdr:row>
      <xdr:rowOff>47625</xdr:rowOff>
    </xdr:to>
    <xdr:graphicFrame macro="">
      <xdr:nvGraphicFramePr>
        <xdr:cNvPr id="1423" name="Chart 1">
          <a:extLst>
            <a:ext uri="{FF2B5EF4-FFF2-40B4-BE49-F238E27FC236}">
              <a16:creationId xmlns:a16="http://schemas.microsoft.com/office/drawing/2014/main" id="{D2431E1A-A85C-4287-A1E7-14C62C67A9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44</xdr:col>
      <xdr:colOff>333375</xdr:colOff>
      <xdr:row>137</xdr:row>
      <xdr:rowOff>142875</xdr:rowOff>
    </xdr:from>
    <xdr:to>
      <xdr:col>52</xdr:col>
      <xdr:colOff>28575</xdr:colOff>
      <xdr:row>154</xdr:row>
      <xdr:rowOff>76200</xdr:rowOff>
    </xdr:to>
    <xdr:graphicFrame macro="">
      <xdr:nvGraphicFramePr>
        <xdr:cNvPr id="1424" name="Chart 2">
          <a:extLst>
            <a:ext uri="{FF2B5EF4-FFF2-40B4-BE49-F238E27FC236}">
              <a16:creationId xmlns:a16="http://schemas.microsoft.com/office/drawing/2014/main" id="{2FB6DA39-6D41-4EF2-86C7-84C44A1243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57</xdr:col>
      <xdr:colOff>76200</xdr:colOff>
      <xdr:row>110</xdr:row>
      <xdr:rowOff>104775</xdr:rowOff>
    </xdr:from>
    <xdr:to>
      <xdr:col>64</xdr:col>
      <xdr:colOff>381000</xdr:colOff>
      <xdr:row>127</xdr:row>
      <xdr:rowOff>38100</xdr:rowOff>
    </xdr:to>
    <xdr:graphicFrame macro="">
      <xdr:nvGraphicFramePr>
        <xdr:cNvPr id="1425" name="Chart 3">
          <a:extLst>
            <a:ext uri="{FF2B5EF4-FFF2-40B4-BE49-F238E27FC236}">
              <a16:creationId xmlns:a16="http://schemas.microsoft.com/office/drawing/2014/main" id="{1F2CD41B-77A1-449E-90D1-3D2A76C07E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16</xdr:col>
      <xdr:colOff>342900</xdr:colOff>
      <xdr:row>1</xdr:row>
      <xdr:rowOff>66675</xdr:rowOff>
    </xdr:from>
    <xdr:to>
      <xdr:col>22</xdr:col>
      <xdr:colOff>561975</xdr:colOff>
      <xdr:row>9</xdr:row>
      <xdr:rowOff>0</xdr:rowOff>
    </xdr:to>
    <xdr:graphicFrame macro="">
      <xdr:nvGraphicFramePr>
        <xdr:cNvPr id="1038462" name="Chart 1">
          <a:extLst>
            <a:ext uri="{FF2B5EF4-FFF2-40B4-BE49-F238E27FC236}">
              <a16:creationId xmlns:a16="http://schemas.microsoft.com/office/drawing/2014/main" id="{F3586BB7-DFB3-4E15-A932-B69E21B129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352425</xdr:colOff>
      <xdr:row>4</xdr:row>
      <xdr:rowOff>542925</xdr:rowOff>
    </xdr:from>
    <xdr:to>
      <xdr:col>22</xdr:col>
      <xdr:colOff>561975</xdr:colOff>
      <xdr:row>18</xdr:row>
      <xdr:rowOff>95250</xdr:rowOff>
    </xdr:to>
    <xdr:graphicFrame macro="">
      <xdr:nvGraphicFramePr>
        <xdr:cNvPr id="1038463" name="Chart 2">
          <a:extLst>
            <a:ext uri="{FF2B5EF4-FFF2-40B4-BE49-F238E27FC236}">
              <a16:creationId xmlns:a16="http://schemas.microsoft.com/office/drawing/2014/main" id="{3AF2310E-542F-4AB9-93FD-6B79B65675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352425</xdr:colOff>
      <xdr:row>18</xdr:row>
      <xdr:rowOff>142875</xdr:rowOff>
    </xdr:from>
    <xdr:to>
      <xdr:col>22</xdr:col>
      <xdr:colOff>533400</xdr:colOff>
      <xdr:row>27</xdr:row>
      <xdr:rowOff>0</xdr:rowOff>
    </xdr:to>
    <xdr:graphicFrame macro="">
      <xdr:nvGraphicFramePr>
        <xdr:cNvPr id="1038464" name="Chart 3">
          <a:extLst>
            <a:ext uri="{FF2B5EF4-FFF2-40B4-BE49-F238E27FC236}">
              <a16:creationId xmlns:a16="http://schemas.microsoft.com/office/drawing/2014/main" id="{8E13F132-D7FB-4133-A1EE-7024E7AB10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342900</xdr:colOff>
      <xdr:row>27</xdr:row>
      <xdr:rowOff>0</xdr:rowOff>
    </xdr:from>
    <xdr:to>
      <xdr:col>22</xdr:col>
      <xdr:colOff>533400</xdr:colOff>
      <xdr:row>37</xdr:row>
      <xdr:rowOff>152400</xdr:rowOff>
    </xdr:to>
    <xdr:graphicFrame macro="">
      <xdr:nvGraphicFramePr>
        <xdr:cNvPr id="1038465" name="Chart 4">
          <a:extLst>
            <a:ext uri="{FF2B5EF4-FFF2-40B4-BE49-F238E27FC236}">
              <a16:creationId xmlns:a16="http://schemas.microsoft.com/office/drawing/2014/main" id="{C279FD3B-A376-4C38-92D1-8C7D1988F7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16</xdr:col>
      <xdr:colOff>342900</xdr:colOff>
      <xdr:row>37</xdr:row>
      <xdr:rowOff>152400</xdr:rowOff>
    </xdr:from>
    <xdr:to>
      <xdr:col>22</xdr:col>
      <xdr:colOff>266700</xdr:colOff>
      <xdr:row>45</xdr:row>
      <xdr:rowOff>0</xdr:rowOff>
    </xdr:to>
    <xdr:graphicFrame macro="">
      <xdr:nvGraphicFramePr>
        <xdr:cNvPr id="1038466" name="Chart 5">
          <a:extLst>
            <a:ext uri="{FF2B5EF4-FFF2-40B4-BE49-F238E27FC236}">
              <a16:creationId xmlns:a16="http://schemas.microsoft.com/office/drawing/2014/main" id="{8BA7D7AA-16C9-4318-8F0A-B73363F2CF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352425</xdr:colOff>
      <xdr:row>45</xdr:row>
      <xdr:rowOff>9525</xdr:rowOff>
    </xdr:from>
    <xdr:to>
      <xdr:col>22</xdr:col>
      <xdr:colOff>95250</xdr:colOff>
      <xdr:row>57</xdr:row>
      <xdr:rowOff>19050</xdr:rowOff>
    </xdr:to>
    <xdr:graphicFrame macro="">
      <xdr:nvGraphicFramePr>
        <xdr:cNvPr id="1038467" name="Chart 6">
          <a:extLst>
            <a:ext uri="{FF2B5EF4-FFF2-40B4-BE49-F238E27FC236}">
              <a16:creationId xmlns:a16="http://schemas.microsoft.com/office/drawing/2014/main" id="{35FB24F8-9F28-4894-84C6-FBA21E0BD8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16</xdr:col>
      <xdr:colOff>333375</xdr:colOff>
      <xdr:row>57</xdr:row>
      <xdr:rowOff>114300</xdr:rowOff>
    </xdr:from>
    <xdr:to>
      <xdr:col>22</xdr:col>
      <xdr:colOff>333375</xdr:colOff>
      <xdr:row>64</xdr:row>
      <xdr:rowOff>47625</xdr:rowOff>
    </xdr:to>
    <xdr:graphicFrame macro="">
      <xdr:nvGraphicFramePr>
        <xdr:cNvPr id="1038468" name="Chart 7">
          <a:extLst>
            <a:ext uri="{FF2B5EF4-FFF2-40B4-BE49-F238E27FC236}">
              <a16:creationId xmlns:a16="http://schemas.microsoft.com/office/drawing/2014/main" id="{1F13D1F3-756E-4086-A266-AB43A70E3C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352425</xdr:colOff>
      <xdr:row>63</xdr:row>
      <xdr:rowOff>104775</xdr:rowOff>
    </xdr:from>
    <xdr:to>
      <xdr:col>22</xdr:col>
      <xdr:colOff>352425</xdr:colOff>
      <xdr:row>75</xdr:row>
      <xdr:rowOff>114300</xdr:rowOff>
    </xdr:to>
    <xdr:graphicFrame macro="">
      <xdr:nvGraphicFramePr>
        <xdr:cNvPr id="1038469" name="Chart 8">
          <a:extLst>
            <a:ext uri="{FF2B5EF4-FFF2-40B4-BE49-F238E27FC236}">
              <a16:creationId xmlns:a16="http://schemas.microsoft.com/office/drawing/2014/main" id="{59C4516A-20B0-4FE4-9390-390748DF3B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16</xdr:col>
      <xdr:colOff>342900</xdr:colOff>
      <xdr:row>76</xdr:row>
      <xdr:rowOff>9525</xdr:rowOff>
    </xdr:from>
    <xdr:to>
      <xdr:col>23</xdr:col>
      <xdr:colOff>314325</xdr:colOff>
      <xdr:row>84</xdr:row>
      <xdr:rowOff>152400</xdr:rowOff>
    </xdr:to>
    <xdr:graphicFrame macro="">
      <xdr:nvGraphicFramePr>
        <xdr:cNvPr id="1038470" name="Chart 11">
          <a:extLst>
            <a:ext uri="{FF2B5EF4-FFF2-40B4-BE49-F238E27FC236}">
              <a16:creationId xmlns:a16="http://schemas.microsoft.com/office/drawing/2014/main" id="{F03EE91B-C791-4625-9E72-D638E0C490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16</xdr:col>
      <xdr:colOff>371475</xdr:colOff>
      <xdr:row>81</xdr:row>
      <xdr:rowOff>0</xdr:rowOff>
    </xdr:from>
    <xdr:to>
      <xdr:col>23</xdr:col>
      <xdr:colOff>504825</xdr:colOff>
      <xdr:row>93</xdr:row>
      <xdr:rowOff>247650</xdr:rowOff>
    </xdr:to>
    <xdr:graphicFrame macro="">
      <xdr:nvGraphicFramePr>
        <xdr:cNvPr id="1038471" name="Chart 12">
          <a:extLst>
            <a:ext uri="{FF2B5EF4-FFF2-40B4-BE49-F238E27FC236}">
              <a16:creationId xmlns:a16="http://schemas.microsoft.com/office/drawing/2014/main" id="{8D0620F2-600E-453F-B719-EF4868801CB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16</xdr:col>
      <xdr:colOff>428625</xdr:colOff>
      <xdr:row>93</xdr:row>
      <xdr:rowOff>142875</xdr:rowOff>
    </xdr:from>
    <xdr:to>
      <xdr:col>25</xdr:col>
      <xdr:colOff>76200</xdr:colOff>
      <xdr:row>102</xdr:row>
      <xdr:rowOff>9525</xdr:rowOff>
    </xdr:to>
    <xdr:graphicFrame macro="">
      <xdr:nvGraphicFramePr>
        <xdr:cNvPr id="1038472" name="Chart 13">
          <a:extLst>
            <a:ext uri="{FF2B5EF4-FFF2-40B4-BE49-F238E27FC236}">
              <a16:creationId xmlns:a16="http://schemas.microsoft.com/office/drawing/2014/main" id="{E332019F-FDF7-4CAA-9E22-6EBF4432BB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16</xdr:col>
      <xdr:colOff>409575</xdr:colOff>
      <xdr:row>98</xdr:row>
      <xdr:rowOff>9525</xdr:rowOff>
    </xdr:from>
    <xdr:to>
      <xdr:col>25</xdr:col>
      <xdr:colOff>76200</xdr:colOff>
      <xdr:row>110</xdr:row>
      <xdr:rowOff>142875</xdr:rowOff>
    </xdr:to>
    <xdr:graphicFrame macro="">
      <xdr:nvGraphicFramePr>
        <xdr:cNvPr id="1038473" name="Chart 14">
          <a:extLst>
            <a:ext uri="{FF2B5EF4-FFF2-40B4-BE49-F238E27FC236}">
              <a16:creationId xmlns:a16="http://schemas.microsoft.com/office/drawing/2014/main" id="{5BB41315-8C63-4788-9EF0-22E37EB86BE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16</xdr:col>
      <xdr:colOff>371475</xdr:colOff>
      <xdr:row>110</xdr:row>
      <xdr:rowOff>180975</xdr:rowOff>
    </xdr:from>
    <xdr:to>
      <xdr:col>25</xdr:col>
      <xdr:colOff>9525</xdr:colOff>
      <xdr:row>121</xdr:row>
      <xdr:rowOff>0</xdr:rowOff>
    </xdr:to>
    <xdr:graphicFrame macro="">
      <xdr:nvGraphicFramePr>
        <xdr:cNvPr id="1038474" name="Chart 15">
          <a:extLst>
            <a:ext uri="{FF2B5EF4-FFF2-40B4-BE49-F238E27FC236}">
              <a16:creationId xmlns:a16="http://schemas.microsoft.com/office/drawing/2014/main" id="{08934805-BFF1-4124-8FD4-3969996892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16</xdr:col>
      <xdr:colOff>409575</xdr:colOff>
      <xdr:row>116</xdr:row>
      <xdr:rowOff>142875</xdr:rowOff>
    </xdr:from>
    <xdr:to>
      <xdr:col>25</xdr:col>
      <xdr:colOff>66675</xdr:colOff>
      <xdr:row>128</xdr:row>
      <xdr:rowOff>238125</xdr:rowOff>
    </xdr:to>
    <xdr:graphicFrame macro="">
      <xdr:nvGraphicFramePr>
        <xdr:cNvPr id="1038475" name="Chart 17">
          <a:extLst>
            <a:ext uri="{FF2B5EF4-FFF2-40B4-BE49-F238E27FC236}">
              <a16:creationId xmlns:a16="http://schemas.microsoft.com/office/drawing/2014/main" id="{63A8A6B6-D01A-4421-98E2-CD09478D45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16</xdr:col>
      <xdr:colOff>381000</xdr:colOff>
      <xdr:row>128</xdr:row>
      <xdr:rowOff>104775</xdr:rowOff>
    </xdr:from>
    <xdr:to>
      <xdr:col>25</xdr:col>
      <xdr:colOff>28575</xdr:colOff>
      <xdr:row>141</xdr:row>
      <xdr:rowOff>76200</xdr:rowOff>
    </xdr:to>
    <xdr:graphicFrame macro="">
      <xdr:nvGraphicFramePr>
        <xdr:cNvPr id="1038476" name="Chart 18">
          <a:extLst>
            <a:ext uri="{FF2B5EF4-FFF2-40B4-BE49-F238E27FC236}">
              <a16:creationId xmlns:a16="http://schemas.microsoft.com/office/drawing/2014/main" id="{64999D22-B291-41AE-960A-82A643DE37C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16</xdr:col>
      <xdr:colOff>409575</xdr:colOff>
      <xdr:row>131</xdr:row>
      <xdr:rowOff>114300</xdr:rowOff>
    </xdr:from>
    <xdr:to>
      <xdr:col>25</xdr:col>
      <xdr:colOff>9525</xdr:colOff>
      <xdr:row>145</xdr:row>
      <xdr:rowOff>28575</xdr:rowOff>
    </xdr:to>
    <xdr:graphicFrame macro="">
      <xdr:nvGraphicFramePr>
        <xdr:cNvPr id="1038477" name="Chart 19">
          <a:extLst>
            <a:ext uri="{FF2B5EF4-FFF2-40B4-BE49-F238E27FC236}">
              <a16:creationId xmlns:a16="http://schemas.microsoft.com/office/drawing/2014/main" id="{1979673F-A690-4797-8CBD-89E7EE2C53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xdr:col>
      <xdr:colOff>314325</xdr:colOff>
      <xdr:row>145</xdr:row>
      <xdr:rowOff>142875</xdr:rowOff>
    </xdr:from>
    <xdr:to>
      <xdr:col>24</xdr:col>
      <xdr:colOff>495300</xdr:colOff>
      <xdr:row>156</xdr:row>
      <xdr:rowOff>133350</xdr:rowOff>
    </xdr:to>
    <xdr:graphicFrame macro="">
      <xdr:nvGraphicFramePr>
        <xdr:cNvPr id="1038478" name="Chart 20">
          <a:extLst>
            <a:ext uri="{FF2B5EF4-FFF2-40B4-BE49-F238E27FC236}">
              <a16:creationId xmlns:a16="http://schemas.microsoft.com/office/drawing/2014/main" id="{4D37DFA4-7976-444D-AAA9-A8392252C7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xdr:col>
      <xdr:colOff>266700</xdr:colOff>
      <xdr:row>151</xdr:row>
      <xdr:rowOff>152400</xdr:rowOff>
    </xdr:from>
    <xdr:to>
      <xdr:col>24</xdr:col>
      <xdr:colOff>419100</xdr:colOff>
      <xdr:row>166</xdr:row>
      <xdr:rowOff>19050</xdr:rowOff>
    </xdr:to>
    <xdr:graphicFrame macro="">
      <xdr:nvGraphicFramePr>
        <xdr:cNvPr id="1038479" name="Chart 21">
          <a:extLst>
            <a:ext uri="{FF2B5EF4-FFF2-40B4-BE49-F238E27FC236}">
              <a16:creationId xmlns:a16="http://schemas.microsoft.com/office/drawing/2014/main" id="{D87B343C-8161-467E-926F-3C948B9CA37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k.jones\Desktop\PythonCalculations\S2199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mmentary"/>
      <sheetName val="pyUBreadings"/>
      <sheetName val="pyUBresults"/>
      <sheetName val="py4284readings"/>
      <sheetName val="pyReport"/>
      <sheetName val="excelResults"/>
      <sheetName val="Universal Bridge"/>
      <sheetName val="Uncertainty"/>
      <sheetName val="LReport"/>
      <sheetName val="LHistory"/>
      <sheetName val="RoomLogger"/>
      <sheetName val="Report"/>
      <sheetName val="AH2700Results"/>
      <sheetName val="Range7"/>
      <sheetName val="GRhistory"/>
    </sheetNames>
    <sheetDataSet>
      <sheetData sheetId="0" refreshError="1"/>
      <sheetData sheetId="1" refreshError="1"/>
      <sheetData sheetId="2">
        <row r="2">
          <cell r="Z2" t="str">
            <v>coax zero1.6k</v>
          </cell>
        </row>
        <row r="3">
          <cell r="Z3" t="str">
            <v>CPSZ1341.6k</v>
          </cell>
          <cell r="AA3">
            <v>13.202608428597999</v>
          </cell>
          <cell r="AB3">
            <v>0.443125583174106</v>
          </cell>
          <cell r="AC3">
            <v>2.0219284120228029</v>
          </cell>
          <cell r="AD3">
            <v>1.022072051926076E-2</v>
          </cell>
          <cell r="AE3">
            <v>2.976593857684162E-5</v>
          </cell>
          <cell r="AF3">
            <v>2.0798264351794238</v>
          </cell>
        </row>
        <row r="4">
          <cell r="Z4" t="str">
            <v>CPSZ1331.6k</v>
          </cell>
          <cell r="AA4">
            <v>20.504050968655989</v>
          </cell>
          <cell r="AB4">
            <v>0.55925242119367924</v>
          </cell>
          <cell r="AC4">
            <v>2.019073590432034</v>
          </cell>
          <cell r="AD4">
            <v>0.1006792974813232</v>
          </cell>
          <cell r="AE4">
            <v>2.990232381415207E-5</v>
          </cell>
          <cell r="AF4">
            <v>2.0768432987971921</v>
          </cell>
        </row>
        <row r="5">
          <cell r="Z5" t="str">
            <v>JV10A1.6k</v>
          </cell>
          <cell r="AA5">
            <v>0.50009880411356089</v>
          </cell>
          <cell r="AB5">
            <v>0.53869469549327442</v>
          </cell>
          <cell r="AC5">
            <v>2.0147452677973359</v>
          </cell>
          <cell r="AD5">
            <v>9.1143525248133059E-2</v>
          </cell>
          <cell r="AE5">
            <v>2.987751734380681E-5</v>
          </cell>
          <cell r="AF5">
            <v>2.077372503077036</v>
          </cell>
        </row>
        <row r="6">
          <cell r="Z6" t="str">
            <v>CPSZ1321.6k</v>
          </cell>
          <cell r="AA6">
            <v>19.20379407796074</v>
          </cell>
          <cell r="AB6">
            <v>3.7761306843142051</v>
          </cell>
          <cell r="AC6">
            <v>2.2183290866054688</v>
          </cell>
          <cell r="AD6">
            <v>0.99830847669059453</v>
          </cell>
          <cell r="AE6">
            <v>6.7608666997201673E-5</v>
          </cell>
          <cell r="AF6">
            <v>2.0128732330292909</v>
          </cell>
        </row>
        <row r="7">
          <cell r="Z7" t="str">
            <v>JV1A1.6k</v>
          </cell>
          <cell r="AA7">
            <v>-1.7003359339861071</v>
          </cell>
          <cell r="AB7">
            <v>3.6285175791346811</v>
          </cell>
          <cell r="AC7">
            <v>2.2175343811378041</v>
          </cell>
          <cell r="AD7">
            <v>0.9589656031778967</v>
          </cell>
          <cell r="AE7">
            <v>4.2173756886669467E-5</v>
          </cell>
          <cell r="AF7">
            <v>2.02952495274848</v>
          </cell>
        </row>
        <row r="8">
          <cell r="Z8" t="str">
            <v>coax zero65</v>
          </cell>
          <cell r="AF8">
            <v>0</v>
          </cell>
        </row>
        <row r="9">
          <cell r="Z9" t="str">
            <v>CPSZ13465</v>
          </cell>
          <cell r="AA9">
            <v>13.002568906952579</v>
          </cell>
          <cell r="AB9">
            <v>3.4166498763381439</v>
          </cell>
          <cell r="AC9">
            <v>2.0839596546254939</v>
          </cell>
          <cell r="AD9">
            <v>1.022272066026257E-2</v>
          </cell>
          <cell r="AE9">
            <v>4.3773500924189372E-5</v>
          </cell>
          <cell r="AF9">
            <v>2.0218083696514539</v>
          </cell>
        </row>
        <row r="10">
          <cell r="Z10" t="str">
            <v>CPSZ13365</v>
          </cell>
          <cell r="AA10">
            <v>23.004544989223799</v>
          </cell>
          <cell r="AB10">
            <v>3.43033210608677</v>
          </cell>
          <cell r="AC10">
            <v>2.0812320973267409</v>
          </cell>
          <cell r="AD10">
            <v>0.1006620962687076</v>
          </cell>
          <cell r="AE10">
            <v>4.3874409432029323E-5</v>
          </cell>
          <cell r="AF10">
            <v>2.0211460740050939</v>
          </cell>
        </row>
        <row r="11">
          <cell r="Z11" t="str">
            <v>JV10A65</v>
          </cell>
          <cell r="AA11">
            <v>3.0005928246813642</v>
          </cell>
          <cell r="AB11">
            <v>3.4278330585527041</v>
          </cell>
          <cell r="AC11">
            <v>2.0817173494262171</v>
          </cell>
          <cell r="AD11">
            <v>9.114642545258568E-2</v>
          </cell>
          <cell r="AE11">
            <v>4.3856029959656163E-5</v>
          </cell>
          <cell r="AF11">
            <v>2.0212652148097021</v>
          </cell>
        </row>
        <row r="12">
          <cell r="Z12" t="str">
            <v>CPSZ13265</v>
          </cell>
          <cell r="AA12">
            <v>17.003359339861071</v>
          </cell>
          <cell r="AB12">
            <v>4.8347011585141644</v>
          </cell>
          <cell r="AC12">
            <v>2.0545621008484751</v>
          </cell>
          <cell r="AD12">
            <v>0.99827137407501076</v>
          </cell>
          <cell r="AE12">
            <v>7.4473920548910581E-5</v>
          </cell>
          <cell r="AF12">
            <v>1.9987819099883439</v>
          </cell>
        </row>
        <row r="13">
          <cell r="Z13" t="str">
            <v>JV1A65</v>
          </cell>
          <cell r="AA13">
            <v>0</v>
          </cell>
          <cell r="AB13">
            <v>4.7315189619648628</v>
          </cell>
          <cell r="AC13">
            <v>2.0518485995365818</v>
          </cell>
          <cell r="AD13">
            <v>0.95900060564542855</v>
          </cell>
          <cell r="AE13">
            <v>5.2855130741027218E-5</v>
          </cell>
          <cell r="AF13">
            <v>2.004285974880911</v>
          </cell>
        </row>
        <row r="14">
          <cell r="Z14" t="str">
            <v>coax zero400</v>
          </cell>
          <cell r="AF14">
            <v>0</v>
          </cell>
        </row>
        <row r="15">
          <cell r="Z15" t="str">
            <v>CPSZ134400</v>
          </cell>
          <cell r="AA15">
            <v>13.20260842859801</v>
          </cell>
          <cell r="AB15">
            <v>0.96710750271540358</v>
          </cell>
          <cell r="AC15">
            <v>2.0637132686287578</v>
          </cell>
          <cell r="AD15">
            <v>1.021372002575442E-2</v>
          </cell>
          <cell r="AE15">
            <v>3.0724233890178112E-5</v>
          </cell>
          <cell r="AF15">
            <v>2.0621706569544802</v>
          </cell>
        </row>
        <row r="16">
          <cell r="Z16" t="str">
            <v>CPSZ133400</v>
          </cell>
          <cell r="AA16">
            <v>20.504050968656003</v>
          </cell>
          <cell r="AB16">
            <v>1.0184102024674899</v>
          </cell>
          <cell r="AC16">
            <v>2.043741268368628</v>
          </cell>
          <cell r="AD16">
            <v>0.1006640964097094</v>
          </cell>
          <cell r="AE16">
            <v>3.0860436393089023E-5</v>
          </cell>
          <cell r="AF16">
            <v>2.0598351591454498</v>
          </cell>
        </row>
        <row r="17">
          <cell r="Z17" t="str">
            <v>JV10A400</v>
          </cell>
          <cell r="AA17">
            <v>0.50009880411356078</v>
          </cell>
          <cell r="AB17">
            <v>1.0088722645613919</v>
          </cell>
          <cell r="AC17">
            <v>2.0463323295579272</v>
          </cell>
          <cell r="AD17">
            <v>9.1140425029580266E-2</v>
          </cell>
          <cell r="AE17">
            <v>3.0835491959400489E-5</v>
          </cell>
          <cell r="AF17">
            <v>2.0602528632886292</v>
          </cell>
        </row>
        <row r="18">
          <cell r="Z18" t="str">
            <v>CPSZ132400</v>
          </cell>
          <cell r="AA18">
            <v>18.603675513024463</v>
          </cell>
          <cell r="AB18">
            <v>3.8326950286325605</v>
          </cell>
          <cell r="AC18">
            <v>2.1878289627338798</v>
          </cell>
          <cell r="AD18">
            <v>0.99825437287649532</v>
          </cell>
          <cell r="AE18">
            <v>6.9059314602457899E-5</v>
          </cell>
          <cell r="AF18">
            <v>2.0128610456166252</v>
          </cell>
        </row>
        <row r="19">
          <cell r="Z19" t="str">
            <v>JV1A400</v>
          </cell>
          <cell r="AA19">
            <v>-2.500494020567805</v>
          </cell>
          <cell r="AB19">
            <v>3.6880994185606251</v>
          </cell>
          <cell r="AC19">
            <v>2.1849499110589359</v>
          </cell>
          <cell r="AD19">
            <v>0.95899960557492747</v>
          </cell>
          <cell r="AE19">
            <v>4.2928279959108921E-5</v>
          </cell>
          <cell r="AF19">
            <v>2.0241874313875261</v>
          </cell>
        </row>
        <row r="20">
          <cell r="Z20" t="str">
            <v>coax zero1k</v>
          </cell>
          <cell r="AF20">
            <v>0</v>
          </cell>
        </row>
        <row r="21">
          <cell r="Z21" t="str">
            <v>CPSZ1341k</v>
          </cell>
          <cell r="AA21">
            <v>13.402647950243431</v>
          </cell>
          <cell r="AB21">
            <v>0.55378239384773198</v>
          </cell>
          <cell r="AC21">
            <v>2.033755600029413</v>
          </cell>
          <cell r="AD21">
            <v>1.021472009625532E-2</v>
          </cell>
          <cell r="AE21">
            <v>2.9910354182495581E-5</v>
          </cell>
          <cell r="AF21">
            <v>2.0767231535328752</v>
          </cell>
        </row>
        <row r="22">
          <cell r="Z22" t="str">
            <v>CPSZ1331k</v>
          </cell>
          <cell r="AA22">
            <v>20.60407072947871</v>
          </cell>
          <cell r="AB22">
            <v>0.64690407425722463</v>
          </cell>
          <cell r="AC22">
            <v>2.017410873335832</v>
          </cell>
          <cell r="AD22">
            <v>0.1006630963392085</v>
          </cell>
          <cell r="AE22">
            <v>3.004737664002127E-5</v>
          </cell>
          <cell r="AF22">
            <v>2.0738448446455311</v>
          </cell>
        </row>
        <row r="23">
          <cell r="Z23" t="str">
            <v>JV10A1k</v>
          </cell>
          <cell r="AA23">
            <v>0.20003952164542421</v>
          </cell>
          <cell r="AB23">
            <v>0.63002185602121274</v>
          </cell>
          <cell r="AC23">
            <v>2.0166497125372209</v>
          </cell>
          <cell r="AD23">
            <v>9.1142425170582061E-2</v>
          </cell>
          <cell r="AE23">
            <v>3.002261042101338E-5</v>
          </cell>
          <cell r="AF23">
            <v>2.0743523229562029</v>
          </cell>
        </row>
        <row r="24">
          <cell r="Z24" t="str">
            <v>CPSZ1321k</v>
          </cell>
          <cell r="AA24">
            <v>19.303813838783451</v>
          </cell>
          <cell r="AB24">
            <v>3.7841538665224648</v>
          </cell>
          <cell r="AC24">
            <v>2.213223869815931</v>
          </cell>
          <cell r="AD24">
            <v>0.99825037259449168</v>
          </cell>
          <cell r="AE24">
            <v>6.8184661928246247E-5</v>
          </cell>
          <cell r="AF24">
            <v>2.0134052044616322</v>
          </cell>
        </row>
        <row r="25">
          <cell r="Z25" t="str">
            <v>JV1A1k</v>
          </cell>
          <cell r="AA25">
            <v>-1.8003556948088191</v>
          </cell>
          <cell r="AB25">
            <v>3.637153504419862</v>
          </cell>
          <cell r="AC25">
            <v>2.2120403182624222</v>
          </cell>
          <cell r="AD25">
            <v>0.95897310370665345</v>
          </cell>
          <cell r="AE25">
            <v>4.2294483371006448E-5</v>
          </cell>
          <cell r="AF25">
            <v>2.0286035200353658</v>
          </cell>
        </row>
        <row r="26">
          <cell r="Z26" t="str">
            <v>JV1A2k</v>
          </cell>
          <cell r="AA26">
            <v>-1.7003359339861071</v>
          </cell>
          <cell r="AB26">
            <v>3.6259858592912284</v>
          </cell>
          <cell r="AC26">
            <v>2.2192020557846481</v>
          </cell>
          <cell r="AD26">
            <v>0.95896090284654234</v>
          </cell>
          <cell r="AE26">
            <v>4.2158891233372467E-5</v>
          </cell>
          <cell r="AF26">
            <v>2.0296575976407061</v>
          </cell>
        </row>
        <row r="27">
          <cell r="Z27" t="str">
            <v>CPSZ1322k</v>
          </cell>
          <cell r="AA27">
            <v>19.20379407796074</v>
          </cell>
          <cell r="AB27">
            <v>3.7735507477897712</v>
          </cell>
          <cell r="AC27">
            <v>2.2198738815976919</v>
          </cell>
          <cell r="AD27">
            <v>0.99826267346165298</v>
          </cell>
          <cell r="AE27">
            <v>6.8408601982435552E-5</v>
          </cell>
          <cell r="AF27">
            <v>2.0142259889495762</v>
          </cell>
        </row>
        <row r="28">
          <cell r="Z28" t="str">
            <v>coax zero2k</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5"/>
  <sheetViews>
    <sheetView workbookViewId="0">
      <selection activeCell="A26" sqref="A26"/>
    </sheetView>
  </sheetViews>
  <sheetFormatPr defaultRowHeight="12.75" x14ac:dyDescent="0.2"/>
  <cols>
    <col min="1" max="1" width="10.5703125" customWidth="1"/>
  </cols>
  <sheetData>
    <row r="1" spans="1:7" x14ac:dyDescent="0.2">
      <c r="A1" t="s">
        <v>175</v>
      </c>
    </row>
    <row r="3" spans="1:7" x14ac:dyDescent="0.2">
      <c r="A3" t="s">
        <v>176</v>
      </c>
      <c r="G3" s="100"/>
    </row>
    <row r="4" spans="1:7" x14ac:dyDescent="0.2">
      <c r="A4" t="s">
        <v>178</v>
      </c>
    </row>
    <row r="6" spans="1:7" x14ac:dyDescent="0.2">
      <c r="A6" t="s">
        <v>179</v>
      </c>
    </row>
    <row r="7" spans="1:7" x14ac:dyDescent="0.2">
      <c r="A7" t="s">
        <v>180</v>
      </c>
    </row>
    <row r="8" spans="1:7" x14ac:dyDescent="0.2">
      <c r="A8" t="s">
        <v>358</v>
      </c>
    </row>
    <row r="9" spans="1:7" x14ac:dyDescent="0.2">
      <c r="A9" t="s">
        <v>181</v>
      </c>
    </row>
    <row r="11" spans="1:7" x14ac:dyDescent="0.2">
      <c r="A11" t="s">
        <v>182</v>
      </c>
    </row>
    <row r="13" spans="1:7" x14ac:dyDescent="0.2">
      <c r="A13" t="s">
        <v>183</v>
      </c>
    </row>
    <row r="15" spans="1:7" x14ac:dyDescent="0.2">
      <c r="A15" s="405" t="s">
        <v>378</v>
      </c>
    </row>
    <row r="17" spans="1:2" x14ac:dyDescent="0.2">
      <c r="A17" s="387"/>
    </row>
    <row r="18" spans="1:2" x14ac:dyDescent="0.2">
      <c r="A18" s="256">
        <v>39392</v>
      </c>
      <c r="B18" t="s">
        <v>243</v>
      </c>
    </row>
    <row r="19" spans="1:2" x14ac:dyDescent="0.2">
      <c r="A19" s="387">
        <v>39630</v>
      </c>
      <c r="B19" t="s">
        <v>321</v>
      </c>
    </row>
    <row r="20" spans="1:2" x14ac:dyDescent="0.2">
      <c r="A20" s="397">
        <v>40246</v>
      </c>
      <c r="B20" s="398" t="s">
        <v>359</v>
      </c>
    </row>
    <row r="21" spans="1:2" x14ac:dyDescent="0.2">
      <c r="A21" s="256">
        <v>41253</v>
      </c>
      <c r="B21" s="46" t="s">
        <v>388</v>
      </c>
    </row>
    <row r="23" spans="1:2" x14ac:dyDescent="0.2">
      <c r="A23" s="256">
        <v>41254</v>
      </c>
      <c r="B23" s="46" t="s">
        <v>387</v>
      </c>
    </row>
    <row r="25" spans="1:2" x14ac:dyDescent="0.2">
      <c r="A25" s="256">
        <v>41333</v>
      </c>
      <c r="B25" s="46" t="s">
        <v>389</v>
      </c>
    </row>
  </sheetData>
  <phoneticPr fontId="13" type="noConversion"/>
  <pageMargins left="0.75" right="0.75" top="1" bottom="1" header="0.5" footer="0.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18"/>
  <sheetViews>
    <sheetView workbookViewId="0">
      <selection activeCell="C40" sqref="C40"/>
    </sheetView>
  </sheetViews>
  <sheetFormatPr defaultRowHeight="12.75" x14ac:dyDescent="0.2"/>
  <cols>
    <col min="1" max="1" width="22.7109375" customWidth="1"/>
    <col min="2" max="2" width="13.5703125" customWidth="1"/>
  </cols>
  <sheetData>
    <row r="1" spans="1:3" x14ac:dyDescent="0.2">
      <c r="B1" t="s">
        <v>327</v>
      </c>
      <c r="C1" t="s">
        <v>328</v>
      </c>
    </row>
    <row r="2" spans="1:3" x14ac:dyDescent="0.2">
      <c r="B2" s="100"/>
      <c r="C2" s="100"/>
    </row>
    <row r="3" spans="1:3" x14ac:dyDescent="0.2">
      <c r="A3" s="69"/>
      <c r="B3" s="100"/>
      <c r="C3" s="100"/>
    </row>
    <row r="4" spans="1:3" x14ac:dyDescent="0.2">
      <c r="B4" s="100"/>
      <c r="C4" s="100"/>
    </row>
    <row r="5" spans="1:3" x14ac:dyDescent="0.2">
      <c r="A5" s="69"/>
      <c r="B5" s="100"/>
      <c r="C5" s="100"/>
    </row>
    <row r="6" spans="1:3" x14ac:dyDescent="0.2">
      <c r="B6" s="100"/>
      <c r="C6" s="100"/>
    </row>
    <row r="7" spans="1:3" x14ac:dyDescent="0.2">
      <c r="B7" s="100"/>
      <c r="C7" s="100"/>
    </row>
    <row r="8" spans="1:3" x14ac:dyDescent="0.2">
      <c r="B8" s="100"/>
      <c r="C8" s="100"/>
    </row>
    <row r="9" spans="1:3" x14ac:dyDescent="0.2">
      <c r="B9" s="100"/>
      <c r="C9" s="100"/>
    </row>
    <row r="10" spans="1:3" x14ac:dyDescent="0.2">
      <c r="B10" s="100"/>
      <c r="C10" s="100"/>
    </row>
    <row r="11" spans="1:3" x14ac:dyDescent="0.2">
      <c r="B11" s="100"/>
      <c r="C11" s="100"/>
    </row>
    <row r="12" spans="1:3" x14ac:dyDescent="0.2">
      <c r="A12" s="69" t="s">
        <v>296</v>
      </c>
      <c r="B12" s="27" t="e">
        <f>AVERAGE(B2:B11)</f>
        <v>#DIV/0!</v>
      </c>
      <c r="C12" s="27" t="e">
        <f>AVERAGE(C2:C11)</f>
        <v>#DIV/0!</v>
      </c>
    </row>
    <row r="13" spans="1:3" x14ac:dyDescent="0.2">
      <c r="A13" t="s">
        <v>297</v>
      </c>
      <c r="B13" s="28" t="e">
        <f>STDEV(B2:B11)</f>
        <v>#DIV/0!</v>
      </c>
      <c r="C13" s="27" t="e">
        <f>STDEV(C2:C11)</f>
        <v>#DIV/0!</v>
      </c>
    </row>
    <row r="14" spans="1:3" x14ac:dyDescent="0.2">
      <c r="A14" s="69" t="s">
        <v>331</v>
      </c>
      <c r="B14" s="372"/>
      <c r="C14" s="100"/>
    </row>
    <row r="15" spans="1:3" x14ac:dyDescent="0.2">
      <c r="A15" s="69" t="s">
        <v>332</v>
      </c>
      <c r="B15" s="372"/>
      <c r="C15" s="100"/>
    </row>
    <row r="16" spans="1:3" x14ac:dyDescent="0.2">
      <c r="A16" s="69" t="s">
        <v>330</v>
      </c>
      <c r="B16" s="27" t="e">
        <f>B12+B14+B15</f>
        <v>#DIV/0!</v>
      </c>
      <c r="C16" s="27" t="e">
        <f>C12+C14+C15</f>
        <v>#DIV/0!</v>
      </c>
    </row>
    <row r="17" spans="1:3" x14ac:dyDescent="0.2">
      <c r="A17" s="69" t="s">
        <v>329</v>
      </c>
    </row>
    <row r="18" spans="1:3" x14ac:dyDescent="0.2">
      <c r="A18" s="69" t="s">
        <v>298</v>
      </c>
      <c r="B18" s="27" t="e">
        <f>SQRT((2*B13)^2+B17^2)</f>
        <v>#DIV/0!</v>
      </c>
      <c r="C18" s="27" t="e">
        <f>SQRT((2*C13)^2+C17^2)</f>
        <v>#DIV/0!</v>
      </c>
    </row>
  </sheetData>
  <phoneticPr fontId="13" type="noConversion"/>
  <pageMargins left="0.75" right="0.75" top="1" bottom="1" header="0.5" footer="0.5"/>
  <headerFooter alignWithMargins="0"/>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BL291"/>
  <sheetViews>
    <sheetView topLeftCell="A81" zoomScale="130" zoomScaleNormal="130" workbookViewId="0">
      <selection activeCell="C90" sqref="C90"/>
    </sheetView>
  </sheetViews>
  <sheetFormatPr defaultRowHeight="12.75" x14ac:dyDescent="0.2"/>
  <cols>
    <col min="1" max="1" width="23.7109375" customWidth="1"/>
    <col min="2" max="2" width="29" customWidth="1"/>
    <col min="3" max="3" width="15.28515625" customWidth="1"/>
    <col min="4" max="4" width="14.7109375" customWidth="1"/>
    <col min="5" max="5" width="11.7109375" customWidth="1"/>
    <col min="6" max="6" width="19.140625" customWidth="1"/>
    <col min="7" max="7" width="10.28515625" customWidth="1"/>
    <col min="8" max="8" width="10.140625" bestFit="1" customWidth="1"/>
    <col min="15" max="15" width="12" bestFit="1" customWidth="1"/>
    <col min="32" max="32" width="9.7109375" customWidth="1"/>
  </cols>
  <sheetData>
    <row r="1" spans="1:26" ht="21.4" customHeight="1" x14ac:dyDescent="0.25">
      <c r="A1" s="365" t="s">
        <v>390</v>
      </c>
      <c r="B1" s="262" t="s">
        <v>349</v>
      </c>
      <c r="C1" s="99"/>
      <c r="D1" s="99"/>
      <c r="E1" s="263" t="s">
        <v>152</v>
      </c>
      <c r="F1" s="100"/>
      <c r="G1" s="263" t="s">
        <v>363</v>
      </c>
      <c r="H1" s="251"/>
      <c r="K1" s="99" t="s">
        <v>130</v>
      </c>
      <c r="L1" s="100"/>
      <c r="M1" s="100"/>
      <c r="N1" s="100"/>
      <c r="O1" s="100"/>
    </row>
    <row r="2" spans="1:26" x14ac:dyDescent="0.2">
      <c r="A2" s="365" t="s">
        <v>391</v>
      </c>
      <c r="B2" s="263" t="s">
        <v>350</v>
      </c>
      <c r="C2" s="100"/>
      <c r="E2" s="263" t="s">
        <v>171</v>
      </c>
      <c r="F2" s="100"/>
      <c r="G2" s="263" t="s">
        <v>172</v>
      </c>
      <c r="H2" s="100"/>
      <c r="X2" s="263" t="s">
        <v>428</v>
      </c>
      <c r="Y2" s="5">
        <v>3</v>
      </c>
      <c r="Z2" s="46" t="s">
        <v>429</v>
      </c>
    </row>
    <row r="3" spans="1:26" x14ac:dyDescent="0.2">
      <c r="A3" s="69"/>
      <c r="B3" s="263" t="s">
        <v>245</v>
      </c>
      <c r="C3" s="99"/>
      <c r="Z3" s="46" t="s">
        <v>430</v>
      </c>
    </row>
    <row r="4" spans="1:26" x14ac:dyDescent="0.2">
      <c r="A4" s="69"/>
      <c r="B4" s="263" t="s">
        <v>244</v>
      </c>
      <c r="C4" s="99"/>
      <c r="D4" s="69"/>
      <c r="E4" s="1"/>
      <c r="F4" s="69"/>
      <c r="G4" s="69"/>
      <c r="H4" s="69"/>
      <c r="I4" s="69"/>
      <c r="J4" s="69"/>
      <c r="K4" s="69"/>
      <c r="L4" s="69"/>
      <c r="M4" s="78" t="s">
        <v>112</v>
      </c>
      <c r="N4" s="79"/>
      <c r="O4" s="80"/>
      <c r="P4" s="83"/>
      <c r="Q4" s="83"/>
      <c r="R4" s="83"/>
      <c r="S4" s="83"/>
      <c r="T4" s="83"/>
      <c r="U4" s="83"/>
      <c r="V4" s="83"/>
      <c r="W4" s="83"/>
      <c r="Z4" s="46" t="s">
        <v>431</v>
      </c>
    </row>
    <row r="5" spans="1:26" x14ac:dyDescent="0.2">
      <c r="A5" s="69">
        <v>5</v>
      </c>
      <c r="B5" s="99"/>
      <c r="C5" s="101" t="s">
        <v>122</v>
      </c>
      <c r="E5" s="100" t="s">
        <v>0</v>
      </c>
      <c r="F5" s="100"/>
      <c r="G5" s="100"/>
      <c r="H5" s="69"/>
      <c r="I5" s="69"/>
      <c r="J5" s="69"/>
      <c r="K5" s="69"/>
      <c r="L5" s="69"/>
      <c r="M5" s="6" t="s">
        <v>113</v>
      </c>
      <c r="N5" s="7"/>
      <c r="O5" s="36"/>
      <c r="P5" s="7"/>
      <c r="Q5" s="7"/>
      <c r="R5" s="7"/>
      <c r="S5" s="7"/>
      <c r="T5" s="7"/>
      <c r="U5" s="7"/>
      <c r="V5" s="7"/>
      <c r="W5" s="7"/>
    </row>
    <row r="6" spans="1:26" ht="38.25" x14ac:dyDescent="0.2">
      <c r="A6" s="69">
        <v>6</v>
      </c>
      <c r="B6" s="99"/>
      <c r="C6" s="104" t="s">
        <v>43</v>
      </c>
      <c r="D6" s="102" t="s">
        <v>1</v>
      </c>
      <c r="E6" s="102" t="s">
        <v>2</v>
      </c>
      <c r="F6" s="102" t="s">
        <v>3</v>
      </c>
      <c r="G6" s="102" t="s">
        <v>4</v>
      </c>
      <c r="H6" s="102"/>
      <c r="I6" s="103" t="s">
        <v>5</v>
      </c>
      <c r="J6" s="103" t="s">
        <v>6</v>
      </c>
      <c r="K6" s="103" t="s">
        <v>7</v>
      </c>
      <c r="L6" s="69"/>
      <c r="M6" s="81" t="s">
        <v>6</v>
      </c>
      <c r="N6" s="15" t="s">
        <v>7</v>
      </c>
      <c r="O6" s="36"/>
      <c r="P6" s="7"/>
      <c r="Q6" s="7"/>
      <c r="R6" s="7"/>
      <c r="S6" s="7"/>
      <c r="T6" s="7"/>
      <c r="U6" s="7"/>
      <c r="V6" s="7"/>
      <c r="W6" s="7"/>
      <c r="X6" t="s">
        <v>165</v>
      </c>
      <c r="Y6" t="s">
        <v>347</v>
      </c>
    </row>
    <row r="7" spans="1:26" ht="12.75" customHeight="1" x14ac:dyDescent="0.2">
      <c r="A7" s="69">
        <v>7</v>
      </c>
      <c r="B7" s="161" t="s">
        <v>173</v>
      </c>
      <c r="D7" s="69"/>
      <c r="E7" s="69"/>
      <c r="F7" s="69"/>
      <c r="G7" s="69"/>
      <c r="H7" s="69"/>
      <c r="I7" s="69"/>
      <c r="J7" s="21"/>
      <c r="K7" s="21"/>
      <c r="L7" s="69"/>
      <c r="M7" s="94"/>
      <c r="N7" s="83"/>
      <c r="O7" s="36"/>
      <c r="P7" s="7"/>
      <c r="Q7" s="7"/>
      <c r="R7" s="7"/>
      <c r="S7" s="7"/>
      <c r="T7" s="7"/>
      <c r="U7" s="7"/>
      <c r="V7" s="7"/>
      <c r="W7" s="7"/>
    </row>
    <row r="8" spans="1:26" x14ac:dyDescent="0.2">
      <c r="A8" s="388">
        <v>8</v>
      </c>
      <c r="B8" s="111"/>
      <c r="C8" s="88">
        <f t="shared" ref="C8:C14" si="0">B5A5.0VA</f>
        <v>2.2000000000000006E-2</v>
      </c>
      <c r="D8" s="69">
        <v>5</v>
      </c>
      <c r="E8" s="100"/>
      <c r="F8" s="100"/>
      <c r="G8" s="100"/>
      <c r="H8" s="21"/>
      <c r="I8" s="70">
        <f t="shared" ref="I8:I13" si="1">0.1*D8/(5*0.02)</f>
        <v>5</v>
      </c>
      <c r="J8" s="71">
        <f t="shared" ref="J8:J14" si="2">E8*G8</f>
        <v>0</v>
      </c>
      <c r="K8" s="71">
        <f t="shared" ref="K8:K13" si="3">100*RADIANS(G8*F8/60)</f>
        <v>0</v>
      </c>
      <c r="L8" s="21"/>
      <c r="M8" s="84">
        <f t="shared" ref="M8:N14" si="4">J24-J8</f>
        <v>0</v>
      </c>
      <c r="N8" s="72">
        <f t="shared" si="4"/>
        <v>0</v>
      </c>
      <c r="O8" s="82"/>
      <c r="P8" s="16"/>
      <c r="Q8" s="16"/>
      <c r="R8" s="16"/>
      <c r="S8" s="16"/>
      <c r="T8" s="16"/>
      <c r="U8" s="16"/>
      <c r="V8" s="16"/>
      <c r="W8" s="16"/>
      <c r="X8" s="4">
        <f>M8*10</f>
        <v>0</v>
      </c>
      <c r="Y8" s="4">
        <f>N8*10</f>
        <v>0</v>
      </c>
    </row>
    <row r="9" spans="1:26" x14ac:dyDescent="0.2">
      <c r="A9" s="69">
        <v>9</v>
      </c>
      <c r="B9" s="104" t="s">
        <v>83</v>
      </c>
      <c r="C9" s="88">
        <f t="shared" si="0"/>
        <v>2.2000000000000006E-2</v>
      </c>
      <c r="D9" s="69">
        <v>10</v>
      </c>
      <c r="E9" s="100"/>
      <c r="F9" s="100"/>
      <c r="G9" s="100"/>
      <c r="H9" s="21"/>
      <c r="I9" s="70">
        <f t="shared" si="1"/>
        <v>10</v>
      </c>
      <c r="J9" s="71">
        <f t="shared" si="2"/>
        <v>0</v>
      </c>
      <c r="K9" s="71">
        <f t="shared" si="3"/>
        <v>0</v>
      </c>
      <c r="L9" s="21"/>
      <c r="M9" s="84">
        <f t="shared" si="4"/>
        <v>0</v>
      </c>
      <c r="N9" s="72">
        <f t="shared" si="4"/>
        <v>0</v>
      </c>
      <c r="O9" s="82"/>
      <c r="P9" s="16"/>
      <c r="Q9" s="16"/>
      <c r="R9" s="16"/>
      <c r="S9" s="16"/>
      <c r="T9" s="16"/>
      <c r="U9" s="16"/>
      <c r="V9" s="16"/>
      <c r="W9" s="16"/>
      <c r="X9" s="4">
        <f t="shared" ref="X9:X14" si="5">M9*10</f>
        <v>0</v>
      </c>
      <c r="Y9" s="4">
        <f t="shared" ref="Y9:Y14" si="6">N9*10</f>
        <v>0</v>
      </c>
    </row>
    <row r="10" spans="1:26" x14ac:dyDescent="0.2">
      <c r="A10" s="69">
        <v>10</v>
      </c>
      <c r="B10" s="69"/>
      <c r="C10" s="88">
        <f t="shared" si="0"/>
        <v>2.2000000000000006E-2</v>
      </c>
      <c r="D10" s="69">
        <v>20</v>
      </c>
      <c r="E10" s="100"/>
      <c r="F10" s="100"/>
      <c r="G10" s="100"/>
      <c r="H10" s="21"/>
      <c r="I10" s="70">
        <f t="shared" si="1"/>
        <v>20</v>
      </c>
      <c r="J10" s="71">
        <f t="shared" si="2"/>
        <v>0</v>
      </c>
      <c r="K10" s="71">
        <f t="shared" si="3"/>
        <v>0</v>
      </c>
      <c r="L10" s="21"/>
      <c r="M10" s="84">
        <f t="shared" si="4"/>
        <v>0</v>
      </c>
      <c r="N10" s="72">
        <f t="shared" si="4"/>
        <v>0</v>
      </c>
      <c r="O10" s="82"/>
      <c r="P10" s="16"/>
      <c r="Q10" s="16"/>
      <c r="R10" s="16"/>
      <c r="S10" s="16"/>
      <c r="T10" s="16"/>
      <c r="U10" s="16"/>
      <c r="V10" s="16"/>
      <c r="W10" s="16"/>
      <c r="X10" s="4">
        <f t="shared" si="5"/>
        <v>0</v>
      </c>
      <c r="Y10" s="4">
        <f t="shared" si="6"/>
        <v>0</v>
      </c>
    </row>
    <row r="11" spans="1:26" x14ac:dyDescent="0.2">
      <c r="A11" s="69">
        <v>11</v>
      </c>
      <c r="B11" s="69"/>
      <c r="C11" s="88">
        <f t="shared" si="0"/>
        <v>2.2000000000000006E-2</v>
      </c>
      <c r="D11" s="69">
        <v>40</v>
      </c>
      <c r="E11" s="100"/>
      <c r="F11" s="100"/>
      <c r="G11" s="100"/>
      <c r="H11" s="21"/>
      <c r="I11" s="70">
        <f t="shared" si="1"/>
        <v>40</v>
      </c>
      <c r="J11" s="71">
        <f t="shared" si="2"/>
        <v>0</v>
      </c>
      <c r="K11" s="71">
        <f t="shared" si="3"/>
        <v>0</v>
      </c>
      <c r="L11" s="21"/>
      <c r="M11" s="84">
        <f t="shared" si="4"/>
        <v>0</v>
      </c>
      <c r="N11" s="72">
        <f t="shared" si="4"/>
        <v>0</v>
      </c>
      <c r="O11" s="82"/>
      <c r="P11" s="16"/>
      <c r="Q11" s="16"/>
      <c r="R11" s="16"/>
      <c r="S11" s="16"/>
      <c r="T11" s="16"/>
      <c r="U11" s="16"/>
      <c r="V11" s="16"/>
      <c r="W11" s="16"/>
      <c r="X11" s="4">
        <f t="shared" si="5"/>
        <v>0</v>
      </c>
      <c r="Y11" s="21">
        <f t="shared" si="6"/>
        <v>0</v>
      </c>
    </row>
    <row r="12" spans="1:26" x14ac:dyDescent="0.2">
      <c r="A12" s="69">
        <v>12</v>
      </c>
      <c r="B12" s="69"/>
      <c r="C12" s="88">
        <f t="shared" si="0"/>
        <v>2.2000000000000006E-2</v>
      </c>
      <c r="D12" s="69">
        <v>60</v>
      </c>
      <c r="E12" s="100"/>
      <c r="F12" s="100"/>
      <c r="G12" s="100"/>
      <c r="H12" s="21"/>
      <c r="I12" s="70">
        <f t="shared" si="1"/>
        <v>60</v>
      </c>
      <c r="J12" s="71">
        <f t="shared" si="2"/>
        <v>0</v>
      </c>
      <c r="K12" s="71">
        <f t="shared" si="3"/>
        <v>0</v>
      </c>
      <c r="L12" s="21"/>
      <c r="M12" s="84">
        <f t="shared" si="4"/>
        <v>0</v>
      </c>
      <c r="N12" s="72">
        <f t="shared" si="4"/>
        <v>0</v>
      </c>
      <c r="O12" s="82"/>
      <c r="P12" s="16"/>
      <c r="Q12" s="16"/>
      <c r="R12" s="16"/>
      <c r="S12" s="16"/>
      <c r="T12" s="16"/>
      <c r="U12" s="16"/>
      <c r="V12" s="16"/>
      <c r="W12" s="16"/>
      <c r="X12" s="4">
        <f t="shared" si="5"/>
        <v>0</v>
      </c>
      <c r="Y12" s="21">
        <f t="shared" si="6"/>
        <v>0</v>
      </c>
    </row>
    <row r="13" spans="1:26" x14ac:dyDescent="0.2">
      <c r="A13" s="69">
        <v>13</v>
      </c>
      <c r="B13" s="69"/>
      <c r="C13" s="88">
        <f t="shared" si="0"/>
        <v>2.2000000000000006E-2</v>
      </c>
      <c r="D13" s="69">
        <v>100</v>
      </c>
      <c r="E13" s="100"/>
      <c r="F13" s="100"/>
      <c r="G13" s="100"/>
      <c r="H13" s="21"/>
      <c r="I13" s="70">
        <f t="shared" si="1"/>
        <v>100</v>
      </c>
      <c r="J13" s="71">
        <f t="shared" si="2"/>
        <v>0</v>
      </c>
      <c r="K13" s="71">
        <f t="shared" si="3"/>
        <v>0</v>
      </c>
      <c r="L13" s="21"/>
      <c r="M13" s="84">
        <f t="shared" si="4"/>
        <v>0</v>
      </c>
      <c r="N13" s="72">
        <f t="shared" si="4"/>
        <v>0</v>
      </c>
      <c r="O13" s="82"/>
      <c r="P13" s="16"/>
      <c r="Q13" s="16"/>
      <c r="R13" s="16"/>
      <c r="S13" s="16"/>
      <c r="T13" s="16"/>
      <c r="U13" s="16"/>
      <c r="V13" s="16"/>
      <c r="W13" s="16"/>
      <c r="X13" s="4">
        <f t="shared" si="5"/>
        <v>0</v>
      </c>
      <c r="Y13" s="4">
        <f t="shared" si="6"/>
        <v>0</v>
      </c>
    </row>
    <row r="14" spans="1:26" x14ac:dyDescent="0.2">
      <c r="A14" s="69">
        <v>14</v>
      </c>
      <c r="B14" s="69"/>
      <c r="C14" s="88">
        <f t="shared" si="0"/>
        <v>2.2000000000000006E-2</v>
      </c>
      <c r="D14" s="69">
        <v>120</v>
      </c>
      <c r="E14" s="100"/>
      <c r="F14" s="100"/>
      <c r="G14" s="100"/>
      <c r="H14" s="21"/>
      <c r="I14" s="70">
        <f>0.1*D14/(5*0.02)</f>
        <v>120</v>
      </c>
      <c r="J14" s="71">
        <f t="shared" si="2"/>
        <v>0</v>
      </c>
      <c r="K14" s="71">
        <f>100*RADIANS(G14*F14/60)</f>
        <v>0</v>
      </c>
      <c r="L14" s="21"/>
      <c r="M14" s="84">
        <f t="shared" si="4"/>
        <v>0</v>
      </c>
      <c r="N14" s="34">
        <f t="shared" si="4"/>
        <v>0</v>
      </c>
      <c r="O14" s="36"/>
      <c r="P14" s="7"/>
      <c r="Q14" s="7"/>
      <c r="R14" s="7"/>
      <c r="S14" s="7"/>
      <c r="T14" s="7"/>
      <c r="U14" s="7"/>
      <c r="V14" s="7"/>
      <c r="W14" s="7"/>
      <c r="X14" s="21">
        <f t="shared" si="5"/>
        <v>0</v>
      </c>
      <c r="Y14" s="4">
        <f t="shared" si="6"/>
        <v>0</v>
      </c>
    </row>
    <row r="15" spans="1:26" x14ac:dyDescent="0.2">
      <c r="A15" s="69">
        <v>15</v>
      </c>
      <c r="B15" s="69"/>
      <c r="C15" s="88"/>
      <c r="D15" s="69"/>
      <c r="E15" s="69"/>
      <c r="F15" s="69"/>
      <c r="G15" s="69"/>
      <c r="H15" s="21"/>
      <c r="I15" s="70"/>
      <c r="J15" s="71"/>
      <c r="K15" s="71"/>
      <c r="L15" s="21"/>
      <c r="M15" s="94"/>
      <c r="N15" s="83"/>
      <c r="O15" s="36"/>
    </row>
    <row r="16" spans="1:26" x14ac:dyDescent="0.2">
      <c r="A16" s="69">
        <v>16</v>
      </c>
      <c r="B16" s="69"/>
      <c r="C16" s="21">
        <f t="shared" ref="C16:C22" si="7">B5A0VA</f>
        <v>2.1700000000000001E-2</v>
      </c>
      <c r="D16" s="69">
        <v>5</v>
      </c>
      <c r="E16" s="100"/>
      <c r="F16" s="100"/>
      <c r="G16" s="100"/>
      <c r="H16" s="21"/>
      <c r="I16" s="70">
        <f t="shared" ref="I16:I21" si="8">0.1*D16/(5*0.02)</f>
        <v>5</v>
      </c>
      <c r="J16" s="71">
        <f t="shared" ref="J16:J21" si="9">E16*G16</f>
        <v>0</v>
      </c>
      <c r="K16" s="71">
        <f t="shared" ref="K16:K21" si="10">100*RADIANS(G16*F16/60)</f>
        <v>0</v>
      </c>
      <c r="L16" s="21"/>
      <c r="M16" s="84">
        <f t="shared" ref="M16:N22" si="11">J32-J16</f>
        <v>0</v>
      </c>
      <c r="N16" s="72">
        <f t="shared" si="11"/>
        <v>0</v>
      </c>
      <c r="O16" s="82"/>
      <c r="X16" s="4">
        <f>M16*10</f>
        <v>0</v>
      </c>
      <c r="Y16" s="4">
        <f>N16*10</f>
        <v>0</v>
      </c>
    </row>
    <row r="17" spans="1:25" x14ac:dyDescent="0.2">
      <c r="A17" s="69">
        <v>17</v>
      </c>
      <c r="B17" s="69"/>
      <c r="C17" s="21">
        <f t="shared" si="7"/>
        <v>2.1700000000000001E-2</v>
      </c>
      <c r="D17" s="69">
        <v>10</v>
      </c>
      <c r="E17" s="100"/>
      <c r="F17" s="100"/>
      <c r="G17" s="100"/>
      <c r="H17" s="21"/>
      <c r="I17" s="70">
        <f t="shared" si="8"/>
        <v>10</v>
      </c>
      <c r="J17" s="71">
        <f t="shared" si="9"/>
        <v>0</v>
      </c>
      <c r="K17" s="71">
        <f t="shared" si="10"/>
        <v>0</v>
      </c>
      <c r="L17" s="21"/>
      <c r="M17" s="84">
        <f t="shared" si="11"/>
        <v>0</v>
      </c>
      <c r="N17" s="72">
        <f t="shared" si="11"/>
        <v>0</v>
      </c>
      <c r="O17" s="82"/>
      <c r="X17" s="4">
        <f t="shared" ref="X17:X22" si="12">M17*10</f>
        <v>0</v>
      </c>
      <c r="Y17" s="4">
        <f t="shared" ref="Y17:Y22" si="13">N17*10</f>
        <v>0</v>
      </c>
    </row>
    <row r="18" spans="1:25" x14ac:dyDescent="0.2">
      <c r="A18" s="69">
        <v>18</v>
      </c>
      <c r="B18" s="69"/>
      <c r="C18" s="21">
        <f t="shared" si="7"/>
        <v>2.1700000000000001E-2</v>
      </c>
      <c r="D18" s="69">
        <v>20</v>
      </c>
      <c r="E18" s="100"/>
      <c r="F18" s="100"/>
      <c r="G18" s="100"/>
      <c r="H18" s="21"/>
      <c r="I18" s="70">
        <f t="shared" si="8"/>
        <v>20</v>
      </c>
      <c r="J18" s="71">
        <f t="shared" si="9"/>
        <v>0</v>
      </c>
      <c r="K18" s="71">
        <f t="shared" si="10"/>
        <v>0</v>
      </c>
      <c r="L18" s="21"/>
      <c r="M18" s="84">
        <f t="shared" si="11"/>
        <v>0</v>
      </c>
      <c r="N18" s="72">
        <f t="shared" si="11"/>
        <v>0</v>
      </c>
      <c r="O18" s="82"/>
      <c r="X18" s="4">
        <f t="shared" si="12"/>
        <v>0</v>
      </c>
      <c r="Y18" s="4">
        <f t="shared" si="13"/>
        <v>0</v>
      </c>
    </row>
    <row r="19" spans="1:25" x14ac:dyDescent="0.2">
      <c r="A19" s="69">
        <v>19</v>
      </c>
      <c r="B19" s="69"/>
      <c r="C19" s="21">
        <f t="shared" si="7"/>
        <v>2.1700000000000001E-2</v>
      </c>
      <c r="D19" s="69">
        <v>40</v>
      </c>
      <c r="E19" s="100"/>
      <c r="F19" s="100"/>
      <c r="G19" s="100"/>
      <c r="H19" s="21"/>
      <c r="I19" s="70">
        <f t="shared" si="8"/>
        <v>40</v>
      </c>
      <c r="J19" s="71">
        <f t="shared" si="9"/>
        <v>0</v>
      </c>
      <c r="K19" s="71">
        <f t="shared" si="10"/>
        <v>0</v>
      </c>
      <c r="L19" s="21"/>
      <c r="M19" s="84">
        <f t="shared" si="11"/>
        <v>0</v>
      </c>
      <c r="N19" s="72">
        <f t="shared" si="11"/>
        <v>0</v>
      </c>
      <c r="O19" s="82"/>
      <c r="X19" s="4">
        <f t="shared" si="12"/>
        <v>0</v>
      </c>
      <c r="Y19" s="21">
        <f t="shared" si="13"/>
        <v>0</v>
      </c>
    </row>
    <row r="20" spans="1:25" x14ac:dyDescent="0.2">
      <c r="A20" s="69">
        <v>20</v>
      </c>
      <c r="B20" s="69"/>
      <c r="C20" s="21">
        <f t="shared" si="7"/>
        <v>2.1700000000000001E-2</v>
      </c>
      <c r="D20" s="69">
        <v>60</v>
      </c>
      <c r="E20" s="100"/>
      <c r="F20" s="100"/>
      <c r="G20" s="100"/>
      <c r="H20" s="21"/>
      <c r="I20" s="70">
        <f t="shared" si="8"/>
        <v>60</v>
      </c>
      <c r="J20" s="71">
        <f t="shared" si="9"/>
        <v>0</v>
      </c>
      <c r="K20" s="71">
        <f t="shared" si="10"/>
        <v>0</v>
      </c>
      <c r="L20" s="21"/>
      <c r="M20" s="84">
        <f t="shared" si="11"/>
        <v>0</v>
      </c>
      <c r="N20" s="72">
        <f t="shared" si="11"/>
        <v>0</v>
      </c>
      <c r="O20" s="82"/>
      <c r="X20" s="4">
        <f t="shared" si="12"/>
        <v>0</v>
      </c>
      <c r="Y20" s="21">
        <f t="shared" si="13"/>
        <v>0</v>
      </c>
    </row>
    <row r="21" spans="1:25" x14ac:dyDescent="0.2">
      <c r="A21" s="69">
        <v>21</v>
      </c>
      <c r="B21" s="69"/>
      <c r="C21" s="21">
        <f t="shared" si="7"/>
        <v>2.1700000000000001E-2</v>
      </c>
      <c r="D21" s="69">
        <v>100</v>
      </c>
      <c r="E21" s="100"/>
      <c r="F21" s="100"/>
      <c r="G21" s="100"/>
      <c r="H21" s="21"/>
      <c r="I21" s="70">
        <f t="shared" si="8"/>
        <v>100</v>
      </c>
      <c r="J21" s="71">
        <f t="shared" si="9"/>
        <v>0</v>
      </c>
      <c r="K21" s="71">
        <f t="shared" si="10"/>
        <v>0</v>
      </c>
      <c r="L21" s="21"/>
      <c r="M21" s="84">
        <f t="shared" si="11"/>
        <v>0</v>
      </c>
      <c r="N21" s="72">
        <f t="shared" si="11"/>
        <v>0</v>
      </c>
      <c r="O21" s="82"/>
      <c r="X21" s="4">
        <f t="shared" si="12"/>
        <v>0</v>
      </c>
      <c r="Y21" s="4">
        <f t="shared" si="13"/>
        <v>0</v>
      </c>
    </row>
    <row r="22" spans="1:25" x14ac:dyDescent="0.2">
      <c r="A22" s="69">
        <v>22</v>
      </c>
      <c r="B22" s="69"/>
      <c r="C22" s="21">
        <f t="shared" si="7"/>
        <v>2.1700000000000001E-2</v>
      </c>
      <c r="D22" s="69">
        <v>120</v>
      </c>
      <c r="E22" s="100"/>
      <c r="F22" s="100"/>
      <c r="G22" s="100"/>
      <c r="H22" s="21"/>
      <c r="I22" s="70">
        <f>0.1*D22/(5*0.02)</f>
        <v>120</v>
      </c>
      <c r="J22" s="71">
        <f>E22*G22</f>
        <v>0</v>
      </c>
      <c r="K22" s="71">
        <f>100*RADIANS(G22*F22/60)</f>
        <v>0</v>
      </c>
      <c r="L22" s="21"/>
      <c r="M22" s="84">
        <f t="shared" si="11"/>
        <v>0</v>
      </c>
      <c r="N22" s="34">
        <f t="shared" si="11"/>
        <v>0</v>
      </c>
      <c r="O22" s="36"/>
      <c r="X22" s="21">
        <f t="shared" si="12"/>
        <v>0</v>
      </c>
      <c r="Y22" s="4">
        <f t="shared" si="13"/>
        <v>0</v>
      </c>
    </row>
    <row r="23" spans="1:25" x14ac:dyDescent="0.2">
      <c r="A23" s="69">
        <v>23</v>
      </c>
      <c r="B23" s="69"/>
      <c r="C23" s="105"/>
      <c r="D23" s="69"/>
      <c r="E23" s="69"/>
      <c r="F23" s="69"/>
      <c r="G23" s="69"/>
      <c r="H23" s="69"/>
      <c r="I23" s="70"/>
      <c r="J23" s="71"/>
      <c r="K23" s="71"/>
      <c r="L23" s="21"/>
      <c r="M23" s="168"/>
      <c r="N23" s="67"/>
      <c r="O23" s="40"/>
      <c r="X23" s="21">
        <f>M23*10</f>
        <v>0</v>
      </c>
      <c r="Y23" s="4">
        <f>N23*10</f>
        <v>0</v>
      </c>
    </row>
    <row r="24" spans="1:25" x14ac:dyDescent="0.2">
      <c r="A24" s="69">
        <v>24</v>
      </c>
      <c r="B24" s="69" t="s">
        <v>84</v>
      </c>
      <c r="C24" s="88">
        <f t="shared" ref="C24:C30" si="14">B5A5.0VA</f>
        <v>2.2000000000000006E-2</v>
      </c>
      <c r="D24" s="69">
        <v>5</v>
      </c>
      <c r="E24" s="100"/>
      <c r="F24" s="100"/>
      <c r="G24" s="100"/>
      <c r="H24" s="69"/>
      <c r="I24" s="70">
        <f t="shared" ref="I24:I29" si="15">0.1*D24/(5*0.02)</f>
        <v>5</v>
      </c>
      <c r="J24" s="71">
        <f t="shared" ref="J24:J29" si="16">E24*G24</f>
        <v>0</v>
      </c>
      <c r="K24" s="71">
        <f t="shared" ref="K24:K29" si="17">100*RADIANS(G24*F24/60)</f>
        <v>0</v>
      </c>
      <c r="L24" s="69"/>
    </row>
    <row r="25" spans="1:25" x14ac:dyDescent="0.2">
      <c r="A25" s="69">
        <v>25</v>
      </c>
      <c r="C25" s="88">
        <f t="shared" si="14"/>
        <v>2.2000000000000006E-2</v>
      </c>
      <c r="D25" s="69">
        <v>10</v>
      </c>
      <c r="E25" s="100"/>
      <c r="F25" s="100"/>
      <c r="G25" s="100"/>
      <c r="H25" s="69"/>
      <c r="I25" s="70">
        <f t="shared" si="15"/>
        <v>10</v>
      </c>
      <c r="J25" s="71">
        <f t="shared" si="16"/>
        <v>0</v>
      </c>
      <c r="K25" s="71">
        <f t="shared" si="17"/>
        <v>0</v>
      </c>
      <c r="L25" s="21"/>
    </row>
    <row r="26" spans="1:25" x14ac:dyDescent="0.2">
      <c r="A26" s="69">
        <v>26</v>
      </c>
      <c r="B26" s="69"/>
      <c r="C26" s="88">
        <f t="shared" si="14"/>
        <v>2.2000000000000006E-2</v>
      </c>
      <c r="D26" s="69">
        <v>20</v>
      </c>
      <c r="E26" s="100"/>
      <c r="F26" s="100"/>
      <c r="G26" s="100"/>
      <c r="H26" s="69"/>
      <c r="I26" s="70">
        <f t="shared" si="15"/>
        <v>20</v>
      </c>
      <c r="J26" s="71">
        <f t="shared" si="16"/>
        <v>0</v>
      </c>
      <c r="K26" s="71">
        <f t="shared" si="17"/>
        <v>0</v>
      </c>
      <c r="L26" s="21"/>
    </row>
    <row r="27" spans="1:25" x14ac:dyDescent="0.2">
      <c r="A27" s="69">
        <v>27</v>
      </c>
      <c r="B27" s="69"/>
      <c r="C27" s="88">
        <f t="shared" si="14"/>
        <v>2.2000000000000006E-2</v>
      </c>
      <c r="D27" s="69">
        <v>40</v>
      </c>
      <c r="E27" s="100"/>
      <c r="F27" s="100"/>
      <c r="G27" s="100"/>
      <c r="H27" s="69"/>
      <c r="I27" s="70">
        <f t="shared" si="15"/>
        <v>40</v>
      </c>
      <c r="J27" s="71">
        <f t="shared" si="16"/>
        <v>0</v>
      </c>
      <c r="K27" s="71">
        <f t="shared" si="17"/>
        <v>0</v>
      </c>
      <c r="L27" s="21"/>
    </row>
    <row r="28" spans="1:25" x14ac:dyDescent="0.2">
      <c r="A28" s="69">
        <v>28</v>
      </c>
      <c r="B28" s="69"/>
      <c r="C28" s="88">
        <f t="shared" si="14"/>
        <v>2.2000000000000006E-2</v>
      </c>
      <c r="D28" s="69">
        <v>60</v>
      </c>
      <c r="E28" s="100"/>
      <c r="F28" s="100"/>
      <c r="G28" s="100"/>
      <c r="H28" s="69"/>
      <c r="I28" s="70">
        <f t="shared" si="15"/>
        <v>60</v>
      </c>
      <c r="J28" s="71">
        <f t="shared" si="16"/>
        <v>0</v>
      </c>
      <c r="K28" s="71">
        <f t="shared" si="17"/>
        <v>0</v>
      </c>
      <c r="L28" s="21"/>
    </row>
    <row r="29" spans="1:25" x14ac:dyDescent="0.2">
      <c r="A29" s="69">
        <v>29</v>
      </c>
      <c r="B29" s="69"/>
      <c r="C29" s="88">
        <f t="shared" si="14"/>
        <v>2.2000000000000006E-2</v>
      </c>
      <c r="D29" s="69">
        <v>100</v>
      </c>
      <c r="E29" s="100"/>
      <c r="F29" s="100"/>
      <c r="G29" s="100"/>
      <c r="H29" s="69"/>
      <c r="I29" s="70">
        <f t="shared" si="15"/>
        <v>100</v>
      </c>
      <c r="J29" s="71">
        <f t="shared" si="16"/>
        <v>0</v>
      </c>
      <c r="K29" s="71">
        <f t="shared" si="17"/>
        <v>0</v>
      </c>
      <c r="L29" s="21"/>
    </row>
    <row r="30" spans="1:25" x14ac:dyDescent="0.2">
      <c r="A30" s="69">
        <v>30</v>
      </c>
      <c r="B30" s="69"/>
      <c r="C30" s="88">
        <f t="shared" si="14"/>
        <v>2.2000000000000006E-2</v>
      </c>
      <c r="D30" s="69">
        <v>120</v>
      </c>
      <c r="E30" s="100"/>
      <c r="F30" s="100"/>
      <c r="G30" s="100"/>
      <c r="H30" s="69"/>
      <c r="I30" s="70">
        <f>0.1*D30/(5*0.02)</f>
        <v>120</v>
      </c>
      <c r="J30" s="71">
        <f>E30*G30</f>
        <v>0</v>
      </c>
      <c r="K30" s="71">
        <f>100*RADIANS(G30*F30/60)</f>
        <v>0</v>
      </c>
      <c r="L30" s="21"/>
    </row>
    <row r="31" spans="1:25" x14ac:dyDescent="0.2">
      <c r="A31" s="69">
        <v>31</v>
      </c>
      <c r="B31" s="69"/>
      <c r="C31" s="88"/>
      <c r="D31" s="69"/>
      <c r="E31" s="69"/>
      <c r="F31" s="69"/>
      <c r="G31" s="69"/>
      <c r="H31" s="69"/>
      <c r="I31" s="70"/>
      <c r="J31" s="71"/>
      <c r="K31" s="71"/>
      <c r="L31" s="21"/>
    </row>
    <row r="32" spans="1:25" x14ac:dyDescent="0.2">
      <c r="A32" s="69">
        <v>32</v>
      </c>
      <c r="B32" s="69"/>
      <c r="C32" s="21">
        <f t="shared" ref="C32:C38" si="18">B5A0VA</f>
        <v>2.1700000000000001E-2</v>
      </c>
      <c r="D32" s="69">
        <v>5</v>
      </c>
      <c r="E32" s="100"/>
      <c r="F32" s="100"/>
      <c r="G32" s="100"/>
      <c r="H32" s="69"/>
      <c r="I32" s="70">
        <f t="shared" ref="I32:I37" si="19">0.1*D32/(5*0.02)</f>
        <v>5</v>
      </c>
      <c r="J32" s="71">
        <f t="shared" ref="J32:J37" si="20">E32*G32</f>
        <v>0</v>
      </c>
      <c r="K32" s="71">
        <f t="shared" ref="K32:K37" si="21">100*RADIANS(G32*F32/60)</f>
        <v>0</v>
      </c>
      <c r="L32" s="69"/>
    </row>
    <row r="33" spans="1:31" x14ac:dyDescent="0.2">
      <c r="A33" s="69">
        <v>33</v>
      </c>
      <c r="B33" s="69"/>
      <c r="C33" s="21">
        <f t="shared" si="18"/>
        <v>2.1700000000000001E-2</v>
      </c>
      <c r="D33" s="69">
        <v>10</v>
      </c>
      <c r="E33" s="100"/>
      <c r="F33" s="100"/>
      <c r="G33" s="100"/>
      <c r="H33" s="69"/>
      <c r="I33" s="70">
        <f t="shared" si="19"/>
        <v>10</v>
      </c>
      <c r="J33" s="71">
        <f t="shared" si="20"/>
        <v>0</v>
      </c>
      <c r="K33" s="71">
        <f t="shared" si="21"/>
        <v>0</v>
      </c>
      <c r="L33" s="69"/>
    </row>
    <row r="34" spans="1:31" x14ac:dyDescent="0.2">
      <c r="A34" s="69">
        <v>34</v>
      </c>
      <c r="B34" s="69"/>
      <c r="C34" s="21">
        <f t="shared" si="18"/>
        <v>2.1700000000000001E-2</v>
      </c>
      <c r="D34" s="69">
        <v>20</v>
      </c>
      <c r="E34" s="100"/>
      <c r="F34" s="100"/>
      <c r="G34" s="100"/>
      <c r="H34" s="69"/>
      <c r="I34" s="70">
        <f t="shared" si="19"/>
        <v>20</v>
      </c>
      <c r="J34" s="71">
        <f t="shared" si="20"/>
        <v>0</v>
      </c>
      <c r="K34" s="71">
        <f t="shared" si="21"/>
        <v>0</v>
      </c>
      <c r="L34" s="69"/>
      <c r="AE34" s="29"/>
    </row>
    <row r="35" spans="1:31" x14ac:dyDescent="0.2">
      <c r="A35" s="69">
        <v>35</v>
      </c>
      <c r="B35" s="69"/>
      <c r="C35" s="21">
        <f t="shared" si="18"/>
        <v>2.1700000000000001E-2</v>
      </c>
      <c r="D35" s="69">
        <v>40</v>
      </c>
      <c r="E35" s="100"/>
      <c r="F35" s="100"/>
      <c r="G35" s="100"/>
      <c r="H35" s="69"/>
      <c r="I35" s="70">
        <f t="shared" si="19"/>
        <v>40</v>
      </c>
      <c r="J35" s="71">
        <f t="shared" si="20"/>
        <v>0</v>
      </c>
      <c r="K35" s="71">
        <f t="shared" si="21"/>
        <v>0</v>
      </c>
      <c r="L35" s="69"/>
    </row>
    <row r="36" spans="1:31" x14ac:dyDescent="0.2">
      <c r="A36" s="69">
        <v>36</v>
      </c>
      <c r="B36" s="69"/>
      <c r="C36" s="21">
        <f t="shared" si="18"/>
        <v>2.1700000000000001E-2</v>
      </c>
      <c r="D36" s="69">
        <v>60</v>
      </c>
      <c r="E36" s="100"/>
      <c r="F36" s="100"/>
      <c r="G36" s="100"/>
      <c r="H36" s="69"/>
      <c r="I36" s="70">
        <f t="shared" si="19"/>
        <v>60</v>
      </c>
      <c r="J36" s="71">
        <f t="shared" si="20"/>
        <v>0</v>
      </c>
      <c r="K36" s="71">
        <f t="shared" si="21"/>
        <v>0</v>
      </c>
      <c r="L36" s="69"/>
    </row>
    <row r="37" spans="1:31" x14ac:dyDescent="0.2">
      <c r="A37" s="69">
        <v>37</v>
      </c>
      <c r="B37" s="69"/>
      <c r="C37" s="21">
        <f t="shared" si="18"/>
        <v>2.1700000000000001E-2</v>
      </c>
      <c r="D37" s="69">
        <v>100</v>
      </c>
      <c r="E37" s="100"/>
      <c r="F37" s="100"/>
      <c r="G37" s="100"/>
      <c r="H37" s="69"/>
      <c r="I37" s="70">
        <f t="shared" si="19"/>
        <v>100</v>
      </c>
      <c r="J37" s="71">
        <f t="shared" si="20"/>
        <v>0</v>
      </c>
      <c r="K37" s="71">
        <f t="shared" si="21"/>
        <v>0</v>
      </c>
      <c r="L37" s="69"/>
    </row>
    <row r="38" spans="1:31" x14ac:dyDescent="0.2">
      <c r="A38" s="69">
        <v>38</v>
      </c>
      <c r="B38" s="69"/>
      <c r="C38" s="21">
        <f t="shared" si="18"/>
        <v>2.1700000000000001E-2</v>
      </c>
      <c r="D38" s="69">
        <v>120</v>
      </c>
      <c r="E38" s="100"/>
      <c r="F38" s="100"/>
      <c r="G38" s="100"/>
      <c r="H38" s="69"/>
      <c r="I38" s="70">
        <f>0.1*D38/(5*0.02)</f>
        <v>120</v>
      </c>
      <c r="J38" s="71">
        <f>E38*G38</f>
        <v>0</v>
      </c>
      <c r="K38" s="71">
        <f>100*RADIANS(G38*F38/60)</f>
        <v>0</v>
      </c>
      <c r="L38" s="69"/>
    </row>
    <row r="39" spans="1:31" x14ac:dyDescent="0.2">
      <c r="A39" s="69">
        <v>39</v>
      </c>
      <c r="B39" s="99" t="str">
        <f>O39&amp;"/5 Range, "&amp;O40&amp;" turns, vs "&amp;O42&amp;" turns, "&amp;O41&amp;" AT range, Everett Edgcumbe 844400"</f>
        <v>/5 Range,  turns, vs  turns,  AT range, Everett Edgcumbe 844400</v>
      </c>
      <c r="C39" s="69"/>
      <c r="D39" s="69"/>
      <c r="E39" s="69"/>
      <c r="F39" s="69"/>
      <c r="G39" s="69"/>
      <c r="H39" s="69"/>
      <c r="I39" s="101"/>
      <c r="N39" s="263" t="s">
        <v>369</v>
      </c>
      <c r="O39" s="100"/>
    </row>
    <row r="40" spans="1:31" x14ac:dyDescent="0.2">
      <c r="A40" s="69">
        <v>40</v>
      </c>
      <c r="B40" s="99" t="s">
        <v>440</v>
      </c>
      <c r="C40" s="101" t="s">
        <v>122</v>
      </c>
      <c r="D40" s="69"/>
      <c r="E40" s="69"/>
      <c r="F40" s="69"/>
      <c r="G40" s="69"/>
      <c r="H40" s="69"/>
      <c r="I40" s="69"/>
      <c r="N40" s="263" t="s">
        <v>370</v>
      </c>
      <c r="O40" s="100"/>
      <c r="P40" s="254"/>
      <c r="Q40" s="254"/>
      <c r="R40" s="254"/>
      <c r="S40" s="254"/>
      <c r="T40" s="254"/>
      <c r="U40" s="254"/>
      <c r="V40" s="254"/>
      <c r="W40" s="254"/>
    </row>
    <row r="41" spans="1:31" x14ac:dyDescent="0.2">
      <c r="A41" s="69">
        <v>41</v>
      </c>
      <c r="B41" s="111">
        <v>42978</v>
      </c>
      <c r="C41" s="88">
        <f t="shared" ref="C41:C47" si="22">B5A5.0VA</f>
        <v>2.2000000000000006E-2</v>
      </c>
      <c r="D41" s="69">
        <v>5</v>
      </c>
      <c r="E41" s="100"/>
      <c r="F41" s="100"/>
      <c r="G41" s="100"/>
      <c r="H41" s="69"/>
      <c r="I41" s="70">
        <f t="shared" ref="I41:I47" si="23">0.1*D41/(5*0.02)</f>
        <v>5</v>
      </c>
      <c r="J41" s="157">
        <f t="shared" ref="J41:J47" si="24">E41*G41</f>
        <v>0</v>
      </c>
      <c r="K41" s="71">
        <f t="shared" ref="K41:K47" si="25">100*RADIANS(G41*F41/60)</f>
        <v>0</v>
      </c>
      <c r="N41" s="263" t="s">
        <v>371</v>
      </c>
      <c r="O41" s="100"/>
      <c r="P41" s="254"/>
      <c r="Q41" s="254"/>
      <c r="R41" s="254"/>
      <c r="S41" s="254"/>
      <c r="T41" s="254"/>
      <c r="U41" s="254"/>
      <c r="V41" s="254"/>
      <c r="W41" s="254"/>
    </row>
    <row r="42" spans="1:31" x14ac:dyDescent="0.2">
      <c r="A42" s="69">
        <v>42</v>
      </c>
      <c r="B42" s="400" t="s">
        <v>364</v>
      </c>
      <c r="C42" s="88">
        <f t="shared" si="22"/>
        <v>2.2000000000000006E-2</v>
      </c>
      <c r="D42" s="69">
        <v>10</v>
      </c>
      <c r="E42" s="100"/>
      <c r="F42" s="100"/>
      <c r="G42" s="100"/>
      <c r="H42" s="69"/>
      <c r="I42" s="70">
        <f t="shared" si="23"/>
        <v>10</v>
      </c>
      <c r="J42" s="157">
        <f t="shared" si="24"/>
        <v>0</v>
      </c>
      <c r="K42" s="71">
        <f t="shared" si="25"/>
        <v>0</v>
      </c>
      <c r="N42" s="263" t="s">
        <v>372</v>
      </c>
      <c r="O42" s="100"/>
      <c r="P42" s="254"/>
      <c r="Q42" s="254"/>
      <c r="R42" s="254"/>
      <c r="S42" s="254"/>
      <c r="T42" s="254"/>
      <c r="U42" s="254"/>
      <c r="V42" s="254"/>
      <c r="W42" s="254"/>
    </row>
    <row r="43" spans="1:31" x14ac:dyDescent="0.2">
      <c r="A43" s="69">
        <v>43</v>
      </c>
      <c r="B43" s="400" t="s">
        <v>365</v>
      </c>
      <c r="C43" s="88">
        <f t="shared" si="22"/>
        <v>2.2000000000000006E-2</v>
      </c>
      <c r="D43" s="69">
        <v>20</v>
      </c>
      <c r="E43" s="100"/>
      <c r="F43" s="100"/>
      <c r="G43" s="100"/>
      <c r="H43" s="69"/>
      <c r="I43" s="70">
        <f t="shared" si="23"/>
        <v>20</v>
      </c>
      <c r="J43" s="71">
        <f t="shared" si="24"/>
        <v>0</v>
      </c>
      <c r="K43" s="71">
        <f t="shared" si="25"/>
        <v>0</v>
      </c>
      <c r="L43" s="69"/>
    </row>
    <row r="44" spans="1:31" x14ac:dyDescent="0.2">
      <c r="A44" s="69">
        <v>44</v>
      </c>
      <c r="B44" s="400" t="s">
        <v>366</v>
      </c>
      <c r="C44" s="88">
        <f t="shared" si="22"/>
        <v>2.2000000000000006E-2</v>
      </c>
      <c r="D44" s="69">
        <v>40</v>
      </c>
      <c r="E44" s="100"/>
      <c r="F44" s="100"/>
      <c r="G44" s="100"/>
      <c r="H44" s="69"/>
      <c r="I44" s="70">
        <f t="shared" si="23"/>
        <v>40</v>
      </c>
      <c r="J44" s="71">
        <f t="shared" si="24"/>
        <v>0</v>
      </c>
      <c r="K44" s="71">
        <f t="shared" si="25"/>
        <v>0</v>
      </c>
      <c r="L44" s="69"/>
    </row>
    <row r="45" spans="1:31" x14ac:dyDescent="0.2">
      <c r="A45" s="69">
        <v>45</v>
      </c>
      <c r="B45" s="400" t="s">
        <v>367</v>
      </c>
      <c r="C45" s="88">
        <f t="shared" si="22"/>
        <v>2.2000000000000006E-2</v>
      </c>
      <c r="D45" s="69">
        <v>60</v>
      </c>
      <c r="E45" s="100"/>
      <c r="F45" s="100"/>
      <c r="G45" s="100"/>
      <c r="H45" s="69"/>
      <c r="I45" s="70">
        <f t="shared" si="23"/>
        <v>60</v>
      </c>
      <c r="J45" s="71">
        <f t="shared" si="24"/>
        <v>0</v>
      </c>
      <c r="K45" s="71">
        <f t="shared" si="25"/>
        <v>0</v>
      </c>
      <c r="L45" s="69"/>
    </row>
    <row r="46" spans="1:31" x14ac:dyDescent="0.2">
      <c r="A46" s="69">
        <v>46</v>
      </c>
      <c r="B46" s="400" t="s">
        <v>368</v>
      </c>
      <c r="C46" s="88">
        <f t="shared" si="22"/>
        <v>2.2000000000000006E-2</v>
      </c>
      <c r="D46" s="69">
        <v>100</v>
      </c>
      <c r="E46" s="100"/>
      <c r="F46" s="100"/>
      <c r="G46" s="100"/>
      <c r="H46" s="69"/>
      <c r="I46" s="70">
        <f t="shared" si="23"/>
        <v>100</v>
      </c>
      <c r="J46" s="71">
        <f t="shared" si="24"/>
        <v>0</v>
      </c>
      <c r="K46" s="71">
        <f t="shared" si="25"/>
        <v>0</v>
      </c>
      <c r="L46" s="69"/>
    </row>
    <row r="47" spans="1:31" x14ac:dyDescent="0.2">
      <c r="A47" s="69">
        <v>47</v>
      </c>
      <c r="C47" s="88">
        <f t="shared" si="22"/>
        <v>2.2000000000000006E-2</v>
      </c>
      <c r="D47" s="69">
        <v>120</v>
      </c>
      <c r="E47" s="100"/>
      <c r="F47" s="100"/>
      <c r="G47" s="100"/>
      <c r="H47" s="69"/>
      <c r="I47" s="70">
        <f t="shared" si="23"/>
        <v>120</v>
      </c>
      <c r="J47" s="71">
        <f t="shared" si="24"/>
        <v>0</v>
      </c>
      <c r="K47" s="71">
        <f t="shared" si="25"/>
        <v>0</v>
      </c>
      <c r="L47" s="69"/>
    </row>
    <row r="48" spans="1:31" x14ac:dyDescent="0.2">
      <c r="A48" s="69">
        <v>48</v>
      </c>
      <c r="C48" s="88"/>
      <c r="D48" s="69"/>
      <c r="E48" s="69"/>
      <c r="F48" s="69"/>
      <c r="G48" s="69"/>
      <c r="H48" s="69"/>
      <c r="I48" s="70"/>
      <c r="J48" s="71"/>
      <c r="K48" s="71"/>
      <c r="L48" s="69"/>
    </row>
    <row r="49" spans="1:34" x14ac:dyDescent="0.2">
      <c r="A49" s="69">
        <v>49</v>
      </c>
      <c r="B49" s="69"/>
      <c r="C49" s="21">
        <f t="shared" ref="C49:C55" si="26">B5A0VA</f>
        <v>2.1700000000000001E-2</v>
      </c>
      <c r="D49" s="69">
        <v>5</v>
      </c>
      <c r="E49" s="100">
        <v>-6.3E-2</v>
      </c>
      <c r="F49" s="100">
        <v>7.3</v>
      </c>
      <c r="G49" s="100">
        <v>0.1</v>
      </c>
      <c r="H49" s="69"/>
      <c r="I49" s="70">
        <f t="shared" ref="I49:I54" si="27">0.1*D49/(5*0.02)</f>
        <v>5</v>
      </c>
      <c r="J49" s="71">
        <f t="shared" ref="J49:J54" si="28">E49*G49</f>
        <v>-6.3E-3</v>
      </c>
      <c r="K49" s="71">
        <f t="shared" ref="K49:K54" si="29">100*RADIANS(G49*F49/60)</f>
        <v>2.1234839232597676E-2</v>
      </c>
      <c r="L49" s="69"/>
    </row>
    <row r="50" spans="1:34" x14ac:dyDescent="0.2">
      <c r="A50" s="69">
        <v>50</v>
      </c>
      <c r="B50" s="69"/>
      <c r="C50" s="21">
        <f t="shared" si="26"/>
        <v>2.1700000000000001E-2</v>
      </c>
      <c r="D50" s="69">
        <v>10</v>
      </c>
      <c r="E50" s="100">
        <v>-6.7000000000000004E-2</v>
      </c>
      <c r="F50" s="100">
        <v>7.1</v>
      </c>
      <c r="G50" s="100">
        <v>0.1</v>
      </c>
      <c r="H50" s="69"/>
      <c r="I50" s="70">
        <f t="shared" si="27"/>
        <v>10</v>
      </c>
      <c r="J50" s="71">
        <f t="shared" si="28"/>
        <v>-6.7000000000000011E-3</v>
      </c>
      <c r="K50" s="71">
        <f t="shared" si="29"/>
        <v>2.0653062815266233E-2</v>
      </c>
      <c r="L50" s="69"/>
    </row>
    <row r="51" spans="1:34" x14ac:dyDescent="0.2">
      <c r="A51" s="69">
        <v>51</v>
      </c>
      <c r="B51" s="69"/>
      <c r="C51" s="21">
        <f t="shared" si="26"/>
        <v>2.1700000000000001E-2</v>
      </c>
      <c r="D51" s="69">
        <v>20</v>
      </c>
      <c r="E51" s="100">
        <v>-7.0000000000000007E-2</v>
      </c>
      <c r="F51" s="100">
        <v>6.75</v>
      </c>
      <c r="G51" s="100">
        <v>0.1</v>
      </c>
      <c r="H51" s="69"/>
      <c r="I51" s="70">
        <f t="shared" si="27"/>
        <v>20</v>
      </c>
      <c r="J51" s="71">
        <f t="shared" si="28"/>
        <v>-7.000000000000001E-3</v>
      </c>
      <c r="K51" s="71">
        <f t="shared" si="29"/>
        <v>1.963495408493621E-2</v>
      </c>
      <c r="L51" s="69"/>
    </row>
    <row r="52" spans="1:34" x14ac:dyDescent="0.2">
      <c r="A52" s="69">
        <v>52</v>
      </c>
      <c r="B52" s="69"/>
      <c r="C52" s="21">
        <f t="shared" si="26"/>
        <v>2.1700000000000001E-2</v>
      </c>
      <c r="D52" s="69">
        <v>40</v>
      </c>
      <c r="E52" s="100">
        <v>-7.2999999999999995E-2</v>
      </c>
      <c r="F52" s="100">
        <v>6.25</v>
      </c>
      <c r="G52" s="100">
        <v>0.1</v>
      </c>
      <c r="H52" s="69"/>
      <c r="I52" s="70">
        <f t="shared" si="27"/>
        <v>40</v>
      </c>
      <c r="J52" s="71">
        <f t="shared" si="28"/>
        <v>-7.3000000000000001E-3</v>
      </c>
      <c r="K52" s="71">
        <f t="shared" si="29"/>
        <v>1.8180513041607598E-2</v>
      </c>
      <c r="L52" s="69"/>
    </row>
    <row r="53" spans="1:34" x14ac:dyDescent="0.2">
      <c r="A53" s="69">
        <v>53</v>
      </c>
      <c r="B53" s="69"/>
      <c r="C53" s="21">
        <f t="shared" si="26"/>
        <v>2.1700000000000001E-2</v>
      </c>
      <c r="D53" s="69">
        <v>60</v>
      </c>
      <c r="E53" s="100">
        <v>-7.3999999999999996E-2</v>
      </c>
      <c r="F53" s="100">
        <v>5.95</v>
      </c>
      <c r="G53" s="100">
        <v>0.1</v>
      </c>
      <c r="H53" s="69"/>
      <c r="I53" s="70">
        <f t="shared" si="27"/>
        <v>60</v>
      </c>
      <c r="J53" s="71">
        <f t="shared" si="28"/>
        <v>-7.4000000000000003E-3</v>
      </c>
      <c r="K53" s="71">
        <f t="shared" si="29"/>
        <v>1.7307848415610436E-2</v>
      </c>
      <c r="L53" s="69"/>
    </row>
    <row r="54" spans="1:34" x14ac:dyDescent="0.2">
      <c r="A54" s="69">
        <v>54</v>
      </c>
      <c r="B54" s="69"/>
      <c r="C54" s="21">
        <f t="shared" si="26"/>
        <v>2.1700000000000001E-2</v>
      </c>
      <c r="D54" s="69">
        <v>100</v>
      </c>
      <c r="E54" s="100">
        <v>-7.6999999999999999E-2</v>
      </c>
      <c r="F54" s="100">
        <v>9.4</v>
      </c>
      <c r="G54" s="100">
        <v>0.1</v>
      </c>
      <c r="H54" s="69"/>
      <c r="I54" s="70">
        <f t="shared" si="27"/>
        <v>100</v>
      </c>
      <c r="J54" s="71">
        <f t="shared" si="28"/>
        <v>-7.7000000000000002E-3</v>
      </c>
      <c r="K54" s="71">
        <f t="shared" si="29"/>
        <v>2.7343491614577834E-2</v>
      </c>
      <c r="L54" s="69"/>
      <c r="AD54" s="1" t="s">
        <v>117</v>
      </c>
    </row>
    <row r="55" spans="1:34" x14ac:dyDescent="0.2">
      <c r="A55" s="69">
        <v>55</v>
      </c>
      <c r="B55" s="69"/>
      <c r="C55" s="21">
        <f t="shared" si="26"/>
        <v>2.1700000000000001E-2</v>
      </c>
      <c r="D55" s="69">
        <v>120</v>
      </c>
      <c r="E55" s="100">
        <v>-7.8E-2</v>
      </c>
      <c r="F55" s="100">
        <v>9.1999999999999993</v>
      </c>
      <c r="G55" s="100">
        <v>0.1</v>
      </c>
      <c r="H55" s="69"/>
      <c r="I55" s="70">
        <f>0.1*D55/(5*0.02)</f>
        <v>120</v>
      </c>
      <c r="J55" s="71">
        <f>E55*G55</f>
        <v>-7.8000000000000005E-3</v>
      </c>
      <c r="K55" s="71">
        <f>100*RADIANS(G55*F55/60)</f>
        <v>2.6761715197246384E-2</v>
      </c>
      <c r="L55" s="69"/>
      <c r="M55" s="43" t="s">
        <v>90</v>
      </c>
      <c r="N55" s="10"/>
      <c r="O55" s="10"/>
      <c r="P55" s="10"/>
      <c r="Q55" s="10"/>
      <c r="R55" s="10"/>
      <c r="S55" s="10"/>
      <c r="T55" s="10"/>
      <c r="U55" s="10"/>
      <c r="V55" s="10"/>
      <c r="W55" s="10"/>
      <c r="X55" s="10"/>
      <c r="Y55" s="10"/>
      <c r="Z55" s="10"/>
      <c r="AA55" s="10"/>
      <c r="AB55" s="11"/>
      <c r="AD55" s="1" t="s">
        <v>118</v>
      </c>
    </row>
    <row r="56" spans="1:34" x14ac:dyDescent="0.2">
      <c r="A56" s="69">
        <v>56</v>
      </c>
      <c r="B56" s="69"/>
      <c r="C56" s="107"/>
      <c r="D56" s="69"/>
      <c r="E56" s="69"/>
      <c r="F56" s="69"/>
      <c r="G56" s="69"/>
      <c r="H56" s="69"/>
      <c r="I56" s="69"/>
      <c r="J56" s="69"/>
      <c r="K56" s="69"/>
      <c r="L56" s="69"/>
      <c r="M56" s="76" t="s">
        <v>86</v>
      </c>
      <c r="N56" s="7"/>
      <c r="O56" s="7"/>
      <c r="P56" s="7"/>
      <c r="Q56" s="7"/>
      <c r="R56" s="7"/>
      <c r="S56" s="7"/>
      <c r="T56" s="7"/>
      <c r="U56" s="7"/>
      <c r="V56" s="7"/>
      <c r="W56" s="7"/>
      <c r="X56" s="7"/>
      <c r="Y56" s="77" t="s">
        <v>89</v>
      </c>
      <c r="Z56" s="7"/>
      <c r="AA56" s="7"/>
      <c r="AB56" s="36"/>
      <c r="AD56" s="1" t="s">
        <v>119</v>
      </c>
    </row>
    <row r="57" spans="1:34" x14ac:dyDescent="0.2">
      <c r="A57" s="69">
        <v>57</v>
      </c>
      <c r="B57" s="161" t="s">
        <v>10</v>
      </c>
      <c r="C57" s="106"/>
      <c r="D57" s="69"/>
      <c r="E57" s="69"/>
      <c r="F57" s="69"/>
      <c r="G57" s="69"/>
      <c r="H57" s="69"/>
      <c r="I57" s="69"/>
      <c r="J57" s="69"/>
      <c r="K57" s="69"/>
      <c r="L57" s="69"/>
      <c r="M57" s="401" t="s">
        <v>17</v>
      </c>
      <c r="N57" s="290" t="s">
        <v>87</v>
      </c>
      <c r="O57" s="290" t="s">
        <v>18</v>
      </c>
      <c r="P57" s="290" t="s">
        <v>88</v>
      </c>
      <c r="Q57" s="290"/>
      <c r="R57" s="290"/>
      <c r="S57" s="290"/>
      <c r="T57" s="290"/>
      <c r="U57" s="290"/>
      <c r="V57" s="290"/>
      <c r="W57" s="290"/>
      <c r="X57" s="290"/>
      <c r="Y57" s="290" t="s">
        <v>17</v>
      </c>
      <c r="Z57" s="290" t="s">
        <v>87</v>
      </c>
      <c r="AA57" s="290" t="s">
        <v>18</v>
      </c>
      <c r="AB57" s="402" t="s">
        <v>88</v>
      </c>
      <c r="AC57" s="5"/>
      <c r="AD57" s="403" t="s">
        <v>222</v>
      </c>
      <c r="AE57" s="5" t="s">
        <v>223</v>
      </c>
      <c r="AF57" s="5"/>
      <c r="AG57" s="399" t="s">
        <v>165</v>
      </c>
      <c r="AH57" s="399" t="s">
        <v>166</v>
      </c>
    </row>
    <row r="58" spans="1:34" x14ac:dyDescent="0.2">
      <c r="A58" s="69">
        <v>58</v>
      </c>
      <c r="B58" s="111"/>
      <c r="C58" s="88">
        <f t="shared" ref="C58:C64" si="30">B5A5.0VA</f>
        <v>2.2000000000000006E-2</v>
      </c>
      <c r="D58" s="69">
        <v>5</v>
      </c>
      <c r="E58" s="100"/>
      <c r="F58" s="100"/>
      <c r="G58" s="100"/>
      <c r="H58" s="69"/>
      <c r="I58" s="70">
        <f t="shared" ref="I58:I63" si="31">0.1*D58/(5*0.02)</f>
        <v>5</v>
      </c>
      <c r="J58" s="71">
        <f t="shared" ref="J58:J63" si="32">E58*G58</f>
        <v>0</v>
      </c>
      <c r="K58" s="71">
        <f t="shared" ref="K58:K63" si="33">100*RADIANS(G58*F58/60)</f>
        <v>0</v>
      </c>
      <c r="L58" s="69"/>
      <c r="M58" s="84">
        <f t="shared" ref="M58:M64" si="34">$J58-$J41</f>
        <v>0</v>
      </c>
      <c r="N58" s="72">
        <f t="shared" ref="N58:N64" si="35">$J66-$J41</f>
        <v>0</v>
      </c>
      <c r="O58" s="72">
        <f t="shared" ref="O58:O64" si="36">$J74-$J41</f>
        <v>0</v>
      </c>
      <c r="P58" s="72">
        <f t="shared" ref="P58:P64" si="37">$J82-$J41</f>
        <v>0</v>
      </c>
      <c r="Q58" s="72"/>
      <c r="R58" s="72"/>
      <c r="S58" s="72"/>
      <c r="T58" s="72"/>
      <c r="U58" s="72"/>
      <c r="V58" s="72"/>
      <c r="W58" s="72"/>
      <c r="X58" s="72"/>
      <c r="Y58" s="72">
        <f t="shared" ref="Y58:Y64" si="38">$K58-$K41</f>
        <v>0</v>
      </c>
      <c r="Z58" s="72">
        <f t="shared" ref="Z58:Z64" si="39">$K66-$K41</f>
        <v>0</v>
      </c>
      <c r="AA58" s="72">
        <f t="shared" ref="AA58:AA64" si="40">$K74-$K41</f>
        <v>0</v>
      </c>
      <c r="AB58" s="74">
        <f t="shared" ref="AB58:AB64" si="41">$K82-$K41</f>
        <v>0</v>
      </c>
      <c r="AD58" s="23">
        <f t="shared" ref="AD58:AD64" si="42">IF(MAX(M58:P58)&gt;ABS(MIN(M58:P58)),MAX(M58:P58),MIN(M58:P58))</f>
        <v>0</v>
      </c>
      <c r="AE58" s="23">
        <f t="shared" ref="AE58:AE64" si="43">IF(MAX(Y58:AB58)&gt;ABS(MIN(Y58:AB58)),MAX(Y58:AB58),MIN(Y58:AB58))</f>
        <v>0</v>
      </c>
      <c r="AG58" s="4">
        <f>AD58*10</f>
        <v>0</v>
      </c>
      <c r="AH58" s="4">
        <f>AE58*10</f>
        <v>0</v>
      </c>
    </row>
    <row r="59" spans="1:34" x14ac:dyDescent="0.2">
      <c r="A59" s="69">
        <v>59</v>
      </c>
      <c r="B59" s="160" t="s">
        <v>11</v>
      </c>
      <c r="C59" s="88">
        <f t="shared" si="30"/>
        <v>2.2000000000000006E-2</v>
      </c>
      <c r="D59" s="69">
        <v>10</v>
      </c>
      <c r="E59" s="100"/>
      <c r="F59" s="100"/>
      <c r="G59" s="100"/>
      <c r="H59" s="69"/>
      <c r="I59" s="70">
        <f t="shared" si="31"/>
        <v>10</v>
      </c>
      <c r="J59" s="71">
        <f t="shared" si="32"/>
        <v>0</v>
      </c>
      <c r="K59" s="71">
        <f t="shared" si="33"/>
        <v>0</v>
      </c>
      <c r="L59" s="69"/>
      <c r="M59" s="84">
        <f t="shared" si="34"/>
        <v>0</v>
      </c>
      <c r="N59" s="72">
        <f t="shared" si="35"/>
        <v>0</v>
      </c>
      <c r="O59" s="72">
        <f t="shared" si="36"/>
        <v>0</v>
      </c>
      <c r="P59" s="72">
        <f t="shared" si="37"/>
        <v>0</v>
      </c>
      <c r="Q59" s="72"/>
      <c r="R59" s="72"/>
      <c r="S59" s="72"/>
      <c r="T59" s="72"/>
      <c r="U59" s="72"/>
      <c r="V59" s="72"/>
      <c r="W59" s="72"/>
      <c r="X59" s="72"/>
      <c r="Y59" s="72">
        <f t="shared" si="38"/>
        <v>0</v>
      </c>
      <c r="Z59" s="72">
        <f t="shared" si="39"/>
        <v>0</v>
      </c>
      <c r="AA59" s="72">
        <f t="shared" si="40"/>
        <v>0</v>
      </c>
      <c r="AB59" s="74">
        <f t="shared" si="41"/>
        <v>0</v>
      </c>
      <c r="AD59" s="29">
        <f t="shared" si="42"/>
        <v>0</v>
      </c>
      <c r="AE59" s="23">
        <f t="shared" si="43"/>
        <v>0</v>
      </c>
      <c r="AG59" s="4">
        <f t="shared" ref="AG59:AG64" si="44">AD59*10</f>
        <v>0</v>
      </c>
      <c r="AH59" s="4">
        <f t="shared" ref="AH59:AH64" si="45">AE59*10</f>
        <v>0</v>
      </c>
    </row>
    <row r="60" spans="1:34" x14ac:dyDescent="0.2">
      <c r="A60" s="69">
        <v>60</v>
      </c>
      <c r="B60" s="69"/>
      <c r="C60" s="88">
        <f t="shared" si="30"/>
        <v>2.2000000000000006E-2</v>
      </c>
      <c r="D60" s="69">
        <v>20</v>
      </c>
      <c r="E60" s="100"/>
      <c r="F60" s="100"/>
      <c r="G60" s="100"/>
      <c r="H60" s="69"/>
      <c r="I60" s="70">
        <f t="shared" si="31"/>
        <v>20</v>
      </c>
      <c r="J60" s="71">
        <f t="shared" si="32"/>
        <v>0</v>
      </c>
      <c r="K60" s="71">
        <f t="shared" si="33"/>
        <v>0</v>
      </c>
      <c r="L60" s="69"/>
      <c r="M60" s="84">
        <f t="shared" si="34"/>
        <v>0</v>
      </c>
      <c r="N60" s="72">
        <f t="shared" si="35"/>
        <v>0</v>
      </c>
      <c r="O60" s="72">
        <f t="shared" si="36"/>
        <v>0</v>
      </c>
      <c r="P60" s="72">
        <f t="shared" si="37"/>
        <v>0</v>
      </c>
      <c r="Q60" s="72"/>
      <c r="R60" s="72"/>
      <c r="S60" s="72"/>
      <c r="T60" s="72"/>
      <c r="U60" s="72"/>
      <c r="V60" s="72"/>
      <c r="W60" s="72"/>
      <c r="X60" s="72"/>
      <c r="Y60" s="72">
        <f t="shared" si="38"/>
        <v>0</v>
      </c>
      <c r="Z60" s="72">
        <f t="shared" si="39"/>
        <v>0</v>
      </c>
      <c r="AA60" s="72">
        <f t="shared" si="40"/>
        <v>0</v>
      </c>
      <c r="AB60" s="74">
        <f t="shared" si="41"/>
        <v>0</v>
      </c>
      <c r="AD60" s="29">
        <f t="shared" si="42"/>
        <v>0</v>
      </c>
      <c r="AE60" s="29">
        <f t="shared" si="43"/>
        <v>0</v>
      </c>
      <c r="AG60" s="4">
        <f t="shared" si="44"/>
        <v>0</v>
      </c>
      <c r="AH60" s="4">
        <f t="shared" si="45"/>
        <v>0</v>
      </c>
    </row>
    <row r="61" spans="1:34" x14ac:dyDescent="0.2">
      <c r="A61" s="69">
        <v>61</v>
      </c>
      <c r="B61" s="69"/>
      <c r="C61" s="88">
        <f t="shared" si="30"/>
        <v>2.2000000000000006E-2</v>
      </c>
      <c r="D61" s="69">
        <v>40</v>
      </c>
      <c r="E61" s="100"/>
      <c r="F61" s="100"/>
      <c r="G61" s="100"/>
      <c r="H61" s="69"/>
      <c r="I61" s="70">
        <f t="shared" si="31"/>
        <v>40</v>
      </c>
      <c r="J61" s="71">
        <f t="shared" si="32"/>
        <v>0</v>
      </c>
      <c r="K61" s="71">
        <f t="shared" si="33"/>
        <v>0</v>
      </c>
      <c r="L61" s="69"/>
      <c r="M61" s="84">
        <f t="shared" si="34"/>
        <v>0</v>
      </c>
      <c r="N61" s="72">
        <f t="shared" si="35"/>
        <v>0</v>
      </c>
      <c r="O61" s="72">
        <f t="shared" si="36"/>
        <v>0</v>
      </c>
      <c r="P61" s="72">
        <f t="shared" si="37"/>
        <v>0</v>
      </c>
      <c r="Q61" s="72"/>
      <c r="R61" s="72"/>
      <c r="S61" s="72"/>
      <c r="T61" s="72"/>
      <c r="U61" s="72"/>
      <c r="V61" s="72"/>
      <c r="W61" s="72"/>
      <c r="X61" s="72"/>
      <c r="Y61" s="72">
        <f t="shared" si="38"/>
        <v>0</v>
      </c>
      <c r="Z61" s="72">
        <f t="shared" si="39"/>
        <v>0</v>
      </c>
      <c r="AA61" s="72">
        <f t="shared" si="40"/>
        <v>0</v>
      </c>
      <c r="AB61" s="74">
        <f t="shared" si="41"/>
        <v>0</v>
      </c>
      <c r="AD61" s="29">
        <f t="shared" si="42"/>
        <v>0</v>
      </c>
      <c r="AE61" s="29">
        <f t="shared" si="43"/>
        <v>0</v>
      </c>
      <c r="AG61" s="4">
        <f t="shared" si="44"/>
        <v>0</v>
      </c>
      <c r="AH61" s="4">
        <f t="shared" si="45"/>
        <v>0</v>
      </c>
    </row>
    <row r="62" spans="1:34" x14ac:dyDescent="0.2">
      <c r="A62" s="69">
        <v>62</v>
      </c>
      <c r="B62" s="69"/>
      <c r="C62" s="88">
        <f t="shared" si="30"/>
        <v>2.2000000000000006E-2</v>
      </c>
      <c r="D62" s="69">
        <v>60</v>
      </c>
      <c r="E62" s="100"/>
      <c r="F62" s="100"/>
      <c r="G62" s="100"/>
      <c r="H62" s="69"/>
      <c r="I62" s="70">
        <f t="shared" si="31"/>
        <v>60</v>
      </c>
      <c r="J62" s="71">
        <f t="shared" si="32"/>
        <v>0</v>
      </c>
      <c r="K62" s="71">
        <f t="shared" si="33"/>
        <v>0</v>
      </c>
      <c r="L62" s="69"/>
      <c r="M62" s="84">
        <f t="shared" si="34"/>
        <v>0</v>
      </c>
      <c r="N62" s="72">
        <f t="shared" si="35"/>
        <v>0</v>
      </c>
      <c r="O62" s="72">
        <f t="shared" si="36"/>
        <v>0</v>
      </c>
      <c r="P62" s="72">
        <f t="shared" si="37"/>
        <v>0</v>
      </c>
      <c r="Q62" s="72"/>
      <c r="R62" s="72"/>
      <c r="S62" s="72"/>
      <c r="T62" s="72"/>
      <c r="U62" s="72"/>
      <c r="V62" s="72"/>
      <c r="W62" s="72"/>
      <c r="X62" s="72"/>
      <c r="Y62" s="72">
        <f t="shared" si="38"/>
        <v>0</v>
      </c>
      <c r="Z62" s="72">
        <f t="shared" si="39"/>
        <v>0</v>
      </c>
      <c r="AA62" s="72">
        <f t="shared" si="40"/>
        <v>0</v>
      </c>
      <c r="AB62" s="74">
        <f t="shared" si="41"/>
        <v>0</v>
      </c>
      <c r="AD62" s="29">
        <f t="shared" si="42"/>
        <v>0</v>
      </c>
      <c r="AE62" s="29">
        <f t="shared" si="43"/>
        <v>0</v>
      </c>
      <c r="AG62" s="4">
        <f t="shared" si="44"/>
        <v>0</v>
      </c>
      <c r="AH62" s="4">
        <f t="shared" si="45"/>
        <v>0</v>
      </c>
    </row>
    <row r="63" spans="1:34" x14ac:dyDescent="0.2">
      <c r="A63" s="69">
        <v>63</v>
      </c>
      <c r="B63" s="69"/>
      <c r="C63" s="88">
        <f t="shared" si="30"/>
        <v>2.2000000000000006E-2</v>
      </c>
      <c r="D63" s="69">
        <v>100</v>
      </c>
      <c r="E63" s="100"/>
      <c r="F63" s="100"/>
      <c r="G63" s="100"/>
      <c r="H63" s="69"/>
      <c r="I63" s="70">
        <f t="shared" si="31"/>
        <v>100</v>
      </c>
      <c r="J63" s="71">
        <f t="shared" si="32"/>
        <v>0</v>
      </c>
      <c r="K63" s="71">
        <f t="shared" si="33"/>
        <v>0</v>
      </c>
      <c r="L63" s="69"/>
      <c r="M63" s="84">
        <f t="shared" si="34"/>
        <v>0</v>
      </c>
      <c r="N63" s="72">
        <f t="shared" si="35"/>
        <v>0</v>
      </c>
      <c r="O63" s="72">
        <f t="shared" si="36"/>
        <v>0</v>
      </c>
      <c r="P63" s="72">
        <f t="shared" si="37"/>
        <v>0</v>
      </c>
      <c r="Q63" s="72"/>
      <c r="R63" s="72"/>
      <c r="S63" s="72"/>
      <c r="T63" s="72"/>
      <c r="U63" s="72"/>
      <c r="V63" s="72"/>
      <c r="W63" s="72"/>
      <c r="X63" s="72"/>
      <c r="Y63" s="72">
        <f t="shared" si="38"/>
        <v>0</v>
      </c>
      <c r="Z63" s="72">
        <f t="shared" si="39"/>
        <v>0</v>
      </c>
      <c r="AA63" s="72">
        <f t="shared" si="40"/>
        <v>0</v>
      </c>
      <c r="AB63" s="74">
        <f t="shared" si="41"/>
        <v>0</v>
      </c>
      <c r="AD63" s="29">
        <f t="shared" si="42"/>
        <v>0</v>
      </c>
      <c r="AE63" s="29">
        <f t="shared" si="43"/>
        <v>0</v>
      </c>
      <c r="AG63" s="4">
        <f t="shared" si="44"/>
        <v>0</v>
      </c>
      <c r="AH63" s="4">
        <f t="shared" si="45"/>
        <v>0</v>
      </c>
    </row>
    <row r="64" spans="1:34" x14ac:dyDescent="0.2">
      <c r="A64" s="69">
        <v>64</v>
      </c>
      <c r="B64" s="69"/>
      <c r="C64" s="88">
        <f t="shared" si="30"/>
        <v>2.2000000000000006E-2</v>
      </c>
      <c r="D64" s="69">
        <v>120</v>
      </c>
      <c r="E64" s="100"/>
      <c r="F64" s="100"/>
      <c r="G64" s="100"/>
      <c r="H64" s="69"/>
      <c r="I64" s="70">
        <f>0.1*D64/(5*0.02)</f>
        <v>120</v>
      </c>
      <c r="J64" s="71">
        <f>E64*G64</f>
        <v>0</v>
      </c>
      <c r="K64" s="71">
        <f>100*RADIANS(G64*F64/60)</f>
        <v>0</v>
      </c>
      <c r="L64" s="69"/>
      <c r="M64" s="168">
        <f t="shared" si="34"/>
        <v>0</v>
      </c>
      <c r="N64" s="73">
        <f t="shared" si="35"/>
        <v>0</v>
      </c>
      <c r="O64" s="73">
        <f t="shared" si="36"/>
        <v>0</v>
      </c>
      <c r="P64" s="73">
        <f t="shared" si="37"/>
        <v>0</v>
      </c>
      <c r="Q64" s="73"/>
      <c r="R64" s="73"/>
      <c r="S64" s="73"/>
      <c r="T64" s="73"/>
      <c r="U64" s="73"/>
      <c r="V64" s="73"/>
      <c r="W64" s="73"/>
      <c r="X64" s="73"/>
      <c r="Y64" s="73">
        <f t="shared" si="38"/>
        <v>0</v>
      </c>
      <c r="Z64" s="73">
        <f t="shared" si="39"/>
        <v>0</v>
      </c>
      <c r="AA64" s="73">
        <f t="shared" si="40"/>
        <v>0</v>
      </c>
      <c r="AB64" s="58">
        <f t="shared" si="41"/>
        <v>0</v>
      </c>
      <c r="AD64" s="23">
        <f t="shared" si="42"/>
        <v>0</v>
      </c>
      <c r="AE64" s="29">
        <f t="shared" si="43"/>
        <v>0</v>
      </c>
      <c r="AG64" s="4">
        <f t="shared" si="44"/>
        <v>0</v>
      </c>
      <c r="AH64" s="4">
        <f t="shared" si="45"/>
        <v>0</v>
      </c>
    </row>
    <row r="65" spans="1:32" x14ac:dyDescent="0.2">
      <c r="A65" s="69">
        <v>65</v>
      </c>
      <c r="B65" s="69"/>
      <c r="C65" s="106"/>
      <c r="D65" s="69"/>
      <c r="E65" s="69"/>
      <c r="F65" s="69"/>
      <c r="G65" s="69"/>
      <c r="H65" s="69"/>
      <c r="I65" s="70"/>
      <c r="J65" s="71"/>
      <c r="K65" s="71"/>
      <c r="L65" s="69"/>
    </row>
    <row r="66" spans="1:32" x14ac:dyDescent="0.2">
      <c r="A66" s="69">
        <v>66</v>
      </c>
      <c r="B66" s="69"/>
      <c r="C66" s="88">
        <f t="shared" ref="C66:C72" si="46">B5A5.0VA</f>
        <v>2.2000000000000006E-2</v>
      </c>
      <c r="D66" s="69">
        <v>5</v>
      </c>
      <c r="E66" s="100"/>
      <c r="F66" s="100"/>
      <c r="G66" s="100"/>
      <c r="H66" s="69"/>
      <c r="I66" s="70">
        <f t="shared" ref="I66:I71" si="47">0.1*D66/(5*0.02)</f>
        <v>5</v>
      </c>
      <c r="J66" s="71">
        <f t="shared" ref="J66:J71" si="48">E66*G66</f>
        <v>0</v>
      </c>
      <c r="K66" s="71">
        <f t="shared" ref="K66:K71" si="49">100*RADIANS(G66*F66/60)</f>
        <v>0</v>
      </c>
      <c r="L66" s="69"/>
    </row>
    <row r="67" spans="1:32" x14ac:dyDescent="0.2">
      <c r="A67" s="69">
        <v>67</v>
      </c>
      <c r="B67" s="160" t="s">
        <v>12</v>
      </c>
      <c r="C67" s="88">
        <f t="shared" si="46"/>
        <v>2.2000000000000006E-2</v>
      </c>
      <c r="D67" s="69">
        <v>10</v>
      </c>
      <c r="E67" s="100"/>
      <c r="F67" s="100"/>
      <c r="G67" s="100"/>
      <c r="H67" s="69"/>
      <c r="I67" s="70">
        <f t="shared" si="47"/>
        <v>10</v>
      </c>
      <c r="J67" s="71">
        <f t="shared" si="48"/>
        <v>0</v>
      </c>
      <c r="K67" s="71">
        <f t="shared" si="49"/>
        <v>0</v>
      </c>
      <c r="L67" s="69"/>
    </row>
    <row r="68" spans="1:32" x14ac:dyDescent="0.2">
      <c r="A68" s="69">
        <v>68</v>
      </c>
      <c r="B68" s="69"/>
      <c r="C68" s="88">
        <f t="shared" si="46"/>
        <v>2.2000000000000006E-2</v>
      </c>
      <c r="D68" s="69">
        <v>20</v>
      </c>
      <c r="E68" s="100"/>
      <c r="F68" s="100"/>
      <c r="G68" s="100"/>
      <c r="H68" s="69"/>
      <c r="I68" s="70">
        <f t="shared" si="47"/>
        <v>20</v>
      </c>
      <c r="J68" s="71">
        <f t="shared" si="48"/>
        <v>0</v>
      </c>
      <c r="K68" s="71">
        <f t="shared" si="49"/>
        <v>0</v>
      </c>
      <c r="L68" s="69"/>
    </row>
    <row r="69" spans="1:32" x14ac:dyDescent="0.2">
      <c r="A69" s="69">
        <v>69</v>
      </c>
      <c r="B69" s="69"/>
      <c r="C69" s="88">
        <f t="shared" si="46"/>
        <v>2.2000000000000006E-2</v>
      </c>
      <c r="D69" s="69">
        <v>40</v>
      </c>
      <c r="E69" s="100"/>
      <c r="F69" s="100"/>
      <c r="G69" s="100"/>
      <c r="H69" s="69"/>
      <c r="I69" s="70">
        <f t="shared" si="47"/>
        <v>40</v>
      </c>
      <c r="J69" s="71">
        <f t="shared" si="48"/>
        <v>0</v>
      </c>
      <c r="K69" s="71">
        <f t="shared" si="49"/>
        <v>0</v>
      </c>
      <c r="L69" s="69"/>
    </row>
    <row r="70" spans="1:32" x14ac:dyDescent="0.2">
      <c r="A70" s="69">
        <v>70</v>
      </c>
      <c r="B70" s="69"/>
      <c r="C70" s="88">
        <f t="shared" si="46"/>
        <v>2.2000000000000006E-2</v>
      </c>
      <c r="D70" s="69">
        <v>60</v>
      </c>
      <c r="E70" s="100"/>
      <c r="F70" s="100"/>
      <c r="G70" s="100"/>
      <c r="H70" s="69"/>
      <c r="I70" s="70">
        <f t="shared" si="47"/>
        <v>60</v>
      </c>
      <c r="J70" s="71">
        <f t="shared" si="48"/>
        <v>0</v>
      </c>
      <c r="K70" s="71">
        <f t="shared" si="49"/>
        <v>0</v>
      </c>
      <c r="L70" s="69"/>
    </row>
    <row r="71" spans="1:32" x14ac:dyDescent="0.2">
      <c r="A71" s="69">
        <v>71</v>
      </c>
      <c r="B71" s="69"/>
      <c r="C71" s="88">
        <f t="shared" si="46"/>
        <v>2.2000000000000006E-2</v>
      </c>
      <c r="D71" s="69">
        <v>100</v>
      </c>
      <c r="E71" s="100"/>
      <c r="F71" s="100"/>
      <c r="G71" s="100"/>
      <c r="H71" s="69"/>
      <c r="I71" s="70">
        <f t="shared" si="47"/>
        <v>100</v>
      </c>
      <c r="J71" s="71">
        <f t="shared" si="48"/>
        <v>0</v>
      </c>
      <c r="K71" s="71">
        <f t="shared" si="49"/>
        <v>0</v>
      </c>
      <c r="L71" s="69"/>
    </row>
    <row r="72" spans="1:32" x14ac:dyDescent="0.2">
      <c r="A72" s="69">
        <v>72</v>
      </c>
      <c r="B72" s="69"/>
      <c r="C72" s="88">
        <f t="shared" si="46"/>
        <v>2.2000000000000006E-2</v>
      </c>
      <c r="D72" s="69">
        <v>120</v>
      </c>
      <c r="E72" s="100"/>
      <c r="F72" s="100"/>
      <c r="G72" s="100"/>
      <c r="H72" s="69"/>
      <c r="I72" s="70">
        <f>0.1*D72/(5*0.02)</f>
        <v>120</v>
      </c>
      <c r="J72" s="71">
        <f>E72*G72</f>
        <v>0</v>
      </c>
      <c r="K72" s="71">
        <f>100*RADIANS(G72*F72/60)</f>
        <v>0</v>
      </c>
      <c r="L72" s="69"/>
    </row>
    <row r="73" spans="1:32" x14ac:dyDescent="0.2">
      <c r="A73" s="69">
        <v>73</v>
      </c>
      <c r="B73" s="69"/>
      <c r="C73" s="105"/>
      <c r="D73" s="69"/>
      <c r="E73" s="69"/>
      <c r="F73" s="69"/>
      <c r="G73" s="69"/>
      <c r="H73" s="69"/>
      <c r="I73" s="69"/>
      <c r="J73" s="69"/>
      <c r="K73" s="69"/>
      <c r="L73" s="69"/>
    </row>
    <row r="74" spans="1:32" x14ac:dyDescent="0.2">
      <c r="A74" s="69">
        <v>74</v>
      </c>
      <c r="B74" s="69"/>
      <c r="C74" s="88">
        <f t="shared" ref="C74:C80" si="50">B5A5.0VA</f>
        <v>2.2000000000000006E-2</v>
      </c>
      <c r="D74" s="69">
        <v>5</v>
      </c>
      <c r="E74" s="100"/>
      <c r="F74" s="100"/>
      <c r="G74" s="100"/>
      <c r="H74" s="69"/>
      <c r="I74" s="70">
        <f t="shared" ref="I74:I80" si="51">0.1*D74/(5*0.02)</f>
        <v>5</v>
      </c>
      <c r="J74" s="71">
        <f t="shared" ref="J74:J80" si="52">E74*G74</f>
        <v>0</v>
      </c>
      <c r="K74" s="71">
        <f t="shared" ref="K74:K80" si="53">100*RADIANS(G74*F74/60)</f>
        <v>0</v>
      </c>
      <c r="L74" s="69"/>
    </row>
    <row r="75" spans="1:32" x14ac:dyDescent="0.2">
      <c r="A75" s="69">
        <v>75</v>
      </c>
      <c r="B75" s="160" t="s">
        <v>13</v>
      </c>
      <c r="C75" s="88">
        <f t="shared" si="50"/>
        <v>2.2000000000000006E-2</v>
      </c>
      <c r="D75" s="69">
        <v>10</v>
      </c>
      <c r="E75" s="100"/>
      <c r="F75" s="100"/>
      <c r="G75" s="100"/>
      <c r="H75" s="69"/>
      <c r="I75" s="70">
        <f t="shared" si="51"/>
        <v>10</v>
      </c>
      <c r="J75" s="71">
        <f t="shared" si="52"/>
        <v>0</v>
      </c>
      <c r="K75" s="71">
        <f t="shared" si="53"/>
        <v>0</v>
      </c>
      <c r="L75" s="69"/>
    </row>
    <row r="76" spans="1:32" x14ac:dyDescent="0.2">
      <c r="A76" s="69">
        <v>76</v>
      </c>
      <c r="B76" s="69"/>
      <c r="C76" s="88">
        <f t="shared" si="50"/>
        <v>2.2000000000000006E-2</v>
      </c>
      <c r="D76" s="69">
        <v>20</v>
      </c>
      <c r="E76" s="100"/>
      <c r="F76" s="100"/>
      <c r="G76" s="100"/>
      <c r="H76" s="69"/>
      <c r="I76" s="70">
        <f t="shared" si="51"/>
        <v>20</v>
      </c>
      <c r="J76" s="71">
        <f t="shared" si="52"/>
        <v>0</v>
      </c>
      <c r="K76" s="71">
        <f t="shared" si="53"/>
        <v>0</v>
      </c>
      <c r="L76" s="69"/>
    </row>
    <row r="77" spans="1:32" x14ac:dyDescent="0.2">
      <c r="A77" s="69">
        <v>77</v>
      </c>
      <c r="B77" s="69"/>
      <c r="C77" s="88">
        <f t="shared" si="50"/>
        <v>2.2000000000000006E-2</v>
      </c>
      <c r="D77" s="69">
        <v>40</v>
      </c>
      <c r="E77" s="100"/>
      <c r="F77" s="100"/>
      <c r="G77" s="100"/>
      <c r="H77" s="69"/>
      <c r="I77" s="70">
        <f t="shared" si="51"/>
        <v>40</v>
      </c>
      <c r="J77" s="71">
        <f t="shared" si="52"/>
        <v>0</v>
      </c>
      <c r="K77" s="71">
        <f t="shared" si="53"/>
        <v>0</v>
      </c>
      <c r="L77" s="69"/>
      <c r="AC77" s="29"/>
      <c r="AF77" s="29"/>
    </row>
    <row r="78" spans="1:32" x14ac:dyDescent="0.2">
      <c r="A78" s="69">
        <v>78</v>
      </c>
      <c r="B78" s="69"/>
      <c r="C78" s="88">
        <f t="shared" si="50"/>
        <v>2.2000000000000006E-2</v>
      </c>
      <c r="D78" s="69">
        <v>60</v>
      </c>
      <c r="E78" s="100"/>
      <c r="F78" s="100"/>
      <c r="G78" s="100"/>
      <c r="H78" s="69"/>
      <c r="I78" s="70">
        <f t="shared" si="51"/>
        <v>60</v>
      </c>
      <c r="J78" s="71">
        <f t="shared" si="52"/>
        <v>0</v>
      </c>
      <c r="K78" s="71">
        <f t="shared" si="53"/>
        <v>0</v>
      </c>
      <c r="L78" s="69"/>
      <c r="AC78" s="29"/>
      <c r="AE78" s="29"/>
      <c r="AF78" s="29"/>
    </row>
    <row r="79" spans="1:32" x14ac:dyDescent="0.2">
      <c r="A79" s="69">
        <v>79</v>
      </c>
      <c r="B79" s="69"/>
      <c r="C79" s="88">
        <f t="shared" si="50"/>
        <v>2.2000000000000006E-2</v>
      </c>
      <c r="D79" s="69">
        <v>100</v>
      </c>
      <c r="E79" s="100"/>
      <c r="F79" s="100"/>
      <c r="G79" s="100"/>
      <c r="H79" s="69"/>
      <c r="I79" s="70">
        <f t="shared" si="51"/>
        <v>100</v>
      </c>
      <c r="J79" s="71">
        <f t="shared" si="52"/>
        <v>0</v>
      </c>
      <c r="K79" s="71">
        <f t="shared" si="53"/>
        <v>0</v>
      </c>
      <c r="L79" s="69"/>
    </row>
    <row r="80" spans="1:32" x14ac:dyDescent="0.2">
      <c r="A80" s="69">
        <v>80</v>
      </c>
      <c r="B80" s="69"/>
      <c r="C80" s="88">
        <f t="shared" si="50"/>
        <v>2.2000000000000006E-2</v>
      </c>
      <c r="D80" s="69">
        <v>120</v>
      </c>
      <c r="E80" s="100"/>
      <c r="F80" s="100"/>
      <c r="G80" s="100"/>
      <c r="H80" s="69"/>
      <c r="I80" s="70">
        <f t="shared" si="51"/>
        <v>120</v>
      </c>
      <c r="J80" s="71">
        <f t="shared" si="52"/>
        <v>0</v>
      </c>
      <c r="K80" s="71">
        <f t="shared" si="53"/>
        <v>0</v>
      </c>
      <c r="L80" s="69"/>
    </row>
    <row r="81" spans="1:38" x14ac:dyDescent="0.2">
      <c r="A81" s="69">
        <v>81</v>
      </c>
      <c r="B81" s="69"/>
      <c r="C81" s="106"/>
      <c r="D81" s="69"/>
      <c r="E81" s="69"/>
      <c r="F81" s="69"/>
      <c r="G81" s="69"/>
      <c r="H81" s="69"/>
      <c r="I81" s="69"/>
      <c r="J81" s="69"/>
      <c r="K81" s="69"/>
      <c r="L81" s="69"/>
    </row>
    <row r="82" spans="1:38" x14ac:dyDescent="0.2">
      <c r="A82" s="69">
        <v>82</v>
      </c>
      <c r="B82" s="69"/>
      <c r="C82" s="88">
        <f t="shared" ref="C82:C88" si="54">B5A5.0VA</f>
        <v>2.2000000000000006E-2</v>
      </c>
      <c r="D82" s="69">
        <v>5</v>
      </c>
      <c r="E82" s="100"/>
      <c r="F82" s="100"/>
      <c r="G82" s="100"/>
      <c r="H82" s="69"/>
      <c r="I82" s="70">
        <f t="shared" ref="I82:I88" si="55">0.1*D82/(5*0.02)</f>
        <v>5</v>
      </c>
      <c r="J82" s="157">
        <f t="shared" ref="J82:J88" si="56">E82*G82</f>
        <v>0</v>
      </c>
      <c r="K82" s="71">
        <f t="shared" ref="K82:K88" si="57">100*RADIANS(G82*F82/60)</f>
        <v>0</v>
      </c>
      <c r="L82" s="69"/>
    </row>
    <row r="83" spans="1:38" x14ac:dyDescent="0.2">
      <c r="A83" s="69">
        <v>83</v>
      </c>
      <c r="B83" s="160" t="s">
        <v>85</v>
      </c>
      <c r="C83" s="88">
        <f t="shared" si="54"/>
        <v>2.2000000000000006E-2</v>
      </c>
      <c r="D83" s="69">
        <v>10</v>
      </c>
      <c r="E83" s="100"/>
      <c r="F83" s="100"/>
      <c r="G83" s="100"/>
      <c r="H83" s="69"/>
      <c r="I83" s="70">
        <f t="shared" si="55"/>
        <v>10</v>
      </c>
      <c r="J83" s="71">
        <f t="shared" si="56"/>
        <v>0</v>
      </c>
      <c r="K83" s="71">
        <f t="shared" si="57"/>
        <v>0</v>
      </c>
      <c r="X83" s="42"/>
    </row>
    <row r="84" spans="1:38" x14ac:dyDescent="0.2">
      <c r="A84" s="69">
        <v>84</v>
      </c>
      <c r="B84" s="69"/>
      <c r="C84" s="88">
        <f t="shared" si="54"/>
        <v>2.2000000000000006E-2</v>
      </c>
      <c r="D84" s="69">
        <v>20</v>
      </c>
      <c r="E84" s="100"/>
      <c r="F84" s="100"/>
      <c r="G84" s="100"/>
      <c r="H84" s="69"/>
      <c r="I84" s="70">
        <f t="shared" si="55"/>
        <v>20</v>
      </c>
      <c r="J84" s="71">
        <f t="shared" si="56"/>
        <v>0</v>
      </c>
      <c r="K84" s="71">
        <f t="shared" si="57"/>
        <v>0</v>
      </c>
      <c r="X84" s="42"/>
    </row>
    <row r="85" spans="1:38" x14ac:dyDescent="0.2">
      <c r="A85" s="69">
        <v>85</v>
      </c>
      <c r="B85" s="69"/>
      <c r="C85" s="88">
        <f t="shared" si="54"/>
        <v>2.2000000000000006E-2</v>
      </c>
      <c r="D85" s="69">
        <v>40</v>
      </c>
      <c r="E85" s="100"/>
      <c r="F85" s="100"/>
      <c r="G85" s="100"/>
      <c r="H85" s="69"/>
      <c r="I85" s="70">
        <f t="shared" si="55"/>
        <v>40</v>
      </c>
      <c r="J85" s="71">
        <f t="shared" si="56"/>
        <v>0</v>
      </c>
      <c r="K85" s="71">
        <f t="shared" si="57"/>
        <v>0</v>
      </c>
      <c r="X85" s="42"/>
    </row>
    <row r="86" spans="1:38" x14ac:dyDescent="0.2">
      <c r="A86" s="69">
        <v>86</v>
      </c>
      <c r="B86" s="69"/>
      <c r="C86" s="88">
        <f t="shared" si="54"/>
        <v>2.2000000000000006E-2</v>
      </c>
      <c r="D86" s="69">
        <v>60</v>
      </c>
      <c r="E86" s="100"/>
      <c r="F86" s="100"/>
      <c r="G86" s="100"/>
      <c r="H86" s="69"/>
      <c r="I86" s="70">
        <f t="shared" si="55"/>
        <v>60</v>
      </c>
      <c r="J86" s="71">
        <f t="shared" si="56"/>
        <v>0</v>
      </c>
      <c r="K86" s="71">
        <f t="shared" si="57"/>
        <v>0</v>
      </c>
      <c r="X86" s="42"/>
    </row>
    <row r="87" spans="1:38" x14ac:dyDescent="0.2">
      <c r="A87" s="69">
        <v>87</v>
      </c>
      <c r="B87" s="69"/>
      <c r="C87" s="88">
        <f t="shared" si="54"/>
        <v>2.2000000000000006E-2</v>
      </c>
      <c r="D87" s="69">
        <v>100</v>
      </c>
      <c r="E87" s="100"/>
      <c r="F87" s="100"/>
      <c r="G87" s="100"/>
      <c r="H87" s="69"/>
      <c r="I87" s="70">
        <f t="shared" si="55"/>
        <v>100</v>
      </c>
      <c r="J87" s="157">
        <f t="shared" si="56"/>
        <v>0</v>
      </c>
      <c r="K87" s="71">
        <f t="shared" si="57"/>
        <v>0</v>
      </c>
      <c r="X87" s="42"/>
    </row>
    <row r="88" spans="1:38" x14ac:dyDescent="0.2">
      <c r="A88" s="69">
        <v>88</v>
      </c>
      <c r="B88" s="69"/>
      <c r="C88" s="88">
        <f t="shared" si="54"/>
        <v>2.2000000000000006E-2</v>
      </c>
      <c r="D88" s="69">
        <v>120</v>
      </c>
      <c r="E88" s="100"/>
      <c r="F88" s="100"/>
      <c r="G88" s="100"/>
      <c r="H88" s="69"/>
      <c r="I88" s="70">
        <f t="shared" si="55"/>
        <v>120</v>
      </c>
      <c r="J88" s="71">
        <f t="shared" si="56"/>
        <v>0</v>
      </c>
      <c r="K88" s="71">
        <f t="shared" si="57"/>
        <v>0</v>
      </c>
      <c r="X88" s="42"/>
    </row>
    <row r="89" spans="1:38" x14ac:dyDescent="0.2">
      <c r="A89" s="69">
        <v>89</v>
      </c>
      <c r="B89" s="69"/>
      <c r="C89" s="88"/>
      <c r="D89" s="69"/>
      <c r="E89" s="100"/>
      <c r="F89" s="100"/>
      <c r="G89" s="100"/>
      <c r="H89" s="69"/>
      <c r="I89" s="70"/>
      <c r="J89" s="71"/>
      <c r="K89" s="71"/>
      <c r="M89" s="373" t="s">
        <v>379</v>
      </c>
      <c r="N89" s="374"/>
      <c r="O89" s="375">
        <v>1000</v>
      </c>
      <c r="X89" s="42"/>
    </row>
    <row r="90" spans="1:38" x14ac:dyDescent="0.2">
      <c r="A90" s="69">
        <v>90</v>
      </c>
      <c r="B90" s="111">
        <v>42978</v>
      </c>
      <c r="C90" s="526" t="s">
        <v>453</v>
      </c>
      <c r="D90" s="160" t="s">
        <v>326</v>
      </c>
      <c r="E90" s="69"/>
      <c r="F90" s="69"/>
      <c r="G90" s="160" t="s">
        <v>346</v>
      </c>
      <c r="H90" s="69"/>
      <c r="I90" s="69"/>
      <c r="J90" s="69"/>
      <c r="K90" s="69"/>
      <c r="M90" s="373" t="s">
        <v>379</v>
      </c>
      <c r="N90" s="374"/>
      <c r="O90" s="375">
        <v>100</v>
      </c>
      <c r="Q90" t="s">
        <v>464</v>
      </c>
      <c r="X90" s="42"/>
    </row>
    <row r="91" spans="1:38" x14ac:dyDescent="0.2">
      <c r="A91" s="69">
        <v>91</v>
      </c>
      <c r="B91" s="90" t="s">
        <v>443</v>
      </c>
      <c r="C91" s="79"/>
      <c r="D91" s="79">
        <v>60</v>
      </c>
      <c r="E91" s="90">
        <v>-7.3999999999999996E-2</v>
      </c>
      <c r="F91" s="90">
        <v>5.95</v>
      </c>
      <c r="G91" s="90">
        <v>0.1</v>
      </c>
      <c r="H91" s="79"/>
      <c r="I91" s="108">
        <f>0.1*D91/(5*0.02)</f>
        <v>60</v>
      </c>
      <c r="J91" s="109">
        <f>E91*G91</f>
        <v>-7.4000000000000003E-3</v>
      </c>
      <c r="K91" s="109">
        <f>100*RADIANS(G91*F91/60)</f>
        <v>1.7307848415610436E-2</v>
      </c>
      <c r="L91" s="109"/>
      <c r="M91" s="7" t="s">
        <v>158</v>
      </c>
      <c r="N91" s="159">
        <f>-O89*(J92-J91)/100</f>
        <v>2.2000000000000006E-2</v>
      </c>
      <c r="O91" s="159">
        <f>-O89*(K92-K91)/100</f>
        <v>1.4544410433285984E-3</v>
      </c>
      <c r="P91" s="11"/>
      <c r="Q91" t="str">
        <f>COMPLEX(J91/100,K91/100)</f>
        <v>-0.000074+0.000173078484156104i</v>
      </c>
      <c r="R91" s="7" t="str">
        <f>IMSUB(Q91,Q92)</f>
        <v>0.000022+1.45444104332799E-06i</v>
      </c>
      <c r="S91" s="7" t="str">
        <f>IMSUB(1,R91)</f>
        <v>0.999978-1.45444104332799E-06i</v>
      </c>
      <c r="T91" s="7" t="str">
        <f>IMDIV(R91,S91)</f>
        <v>0.0000220004818951099+1.45450504084273E-06i</v>
      </c>
      <c r="U91" s="7" t="str">
        <f>IMPRODUCT(T91,O89)</f>
        <v>0.0220004818951099+0.00145450504084273i</v>
      </c>
      <c r="V91" s="7">
        <f>IMREAL(U91)</f>
        <v>2.2000481895109902E-2</v>
      </c>
      <c r="W91" s="7">
        <f>IMAGINARY(U91)</f>
        <v>1.4545050408427301E-3</v>
      </c>
      <c r="X91" s="42"/>
      <c r="Y91" s="252" t="s">
        <v>239</v>
      </c>
      <c r="Z91" s="252"/>
      <c r="AE91" t="s">
        <v>445</v>
      </c>
    </row>
    <row r="92" spans="1:38" x14ac:dyDescent="0.2">
      <c r="A92" s="69">
        <v>92</v>
      </c>
      <c r="B92" s="90" t="s">
        <v>444</v>
      </c>
      <c r="C92" s="83"/>
      <c r="D92" s="83">
        <v>60</v>
      </c>
      <c r="E92" s="90">
        <v>-9.6000000000000002E-2</v>
      </c>
      <c r="F92" s="90">
        <v>5.9</v>
      </c>
      <c r="G92" s="90">
        <v>0.1</v>
      </c>
      <c r="H92" s="83"/>
      <c r="I92" s="110">
        <f>0.1*D92/(5*0.02)</f>
        <v>60</v>
      </c>
      <c r="J92" s="87">
        <f>E92*G92</f>
        <v>-9.6000000000000009E-3</v>
      </c>
      <c r="K92" s="87">
        <f>100*RADIANS(G92*F92/60)</f>
        <v>1.7162404311277576E-2</v>
      </c>
      <c r="M92" s="7" t="s">
        <v>44</v>
      </c>
      <c r="N92" s="159">
        <f>-O90*(J94-J93)/100</f>
        <v>2.1700000000000001E-2</v>
      </c>
      <c r="O92" s="159">
        <f>-O90*(K94-K93)/100</f>
        <v>1.1635528346628857E-3</v>
      </c>
      <c r="P92" s="36"/>
      <c r="Q92" t="str">
        <f>COMPLEX(J92/100,K92/100)</f>
        <v>-0.000096+0.000171624043112776i</v>
      </c>
      <c r="R92" s="7"/>
      <c r="S92" s="7"/>
      <c r="T92" s="7"/>
      <c r="U92" s="7"/>
      <c r="V92" s="7"/>
      <c r="W92" s="7"/>
      <c r="X92" s="42"/>
      <c r="Y92" s="100" t="s">
        <v>439</v>
      </c>
      <c r="Z92" s="100"/>
      <c r="AA92" s="100"/>
      <c r="AB92" s="100"/>
      <c r="AC92" s="100"/>
      <c r="AF92" s="254"/>
      <c r="AG92" s="254"/>
      <c r="AH92" s="254"/>
      <c r="AI92" s="254"/>
    </row>
    <row r="93" spans="1:38" x14ac:dyDescent="0.2">
      <c r="A93" s="69">
        <v>93</v>
      </c>
      <c r="B93" s="90" t="s">
        <v>441</v>
      </c>
      <c r="C93" s="83"/>
      <c r="D93" s="83">
        <v>60</v>
      </c>
      <c r="E93" s="90">
        <v>-7.3999999999999996E-2</v>
      </c>
      <c r="F93" s="90">
        <v>5.95</v>
      </c>
      <c r="G93" s="90">
        <v>0.1</v>
      </c>
      <c r="H93" s="83"/>
      <c r="I93" s="110">
        <f>0.1*D93/(5*0.02)</f>
        <v>60</v>
      </c>
      <c r="J93" s="87">
        <f>E93*G93</f>
        <v>-7.4000000000000003E-3</v>
      </c>
      <c r="K93" s="87">
        <f>100*RADIANS(G93*F93/60)</f>
        <v>1.7307848415610436E-2</v>
      </c>
      <c r="P93" s="36"/>
      <c r="Q93" t="str">
        <f>COMPLEX(J93/100,K93/100)</f>
        <v>-0.000074+0.000173078484156104i</v>
      </c>
      <c r="R93" s="7" t="str">
        <f>IMSUB(Q93,Q94)</f>
        <v>0.000217+0.000011635528346629i</v>
      </c>
      <c r="S93" s="7" t="str">
        <f>IMSUB(1,R93)</f>
        <v>0.999783-0.000011635528346629i</v>
      </c>
      <c r="T93" s="7" t="str">
        <f>IMDIV(R93,S93)</f>
        <v>0.000217046963746837+0.0000116405798085467i</v>
      </c>
      <c r="U93" s="7" t="str">
        <f>IMPRODUCT(T93,O90)</f>
        <v>0.0217046963746837+0.00116405798085467i</v>
      </c>
      <c r="V93" s="7">
        <f>IMREAL(U93)</f>
        <v>2.17046963746837E-2</v>
      </c>
      <c r="W93" s="7">
        <f>IMAGINARY(U93)</f>
        <v>1.1640579808546701E-3</v>
      </c>
      <c r="X93" s="254"/>
      <c r="Y93" s="253"/>
      <c r="Z93" s="253"/>
      <c r="AB93" s="29"/>
      <c r="AC93" s="254"/>
      <c r="AD93" s="254"/>
      <c r="AE93" s="254"/>
      <c r="AF93" s="254"/>
      <c r="AG93" s="254"/>
      <c r="AH93" s="254"/>
      <c r="AI93" s="254"/>
      <c r="AJ93" s="254"/>
      <c r="AK93" s="254"/>
      <c r="AL93" s="254"/>
    </row>
    <row r="94" spans="1:38" x14ac:dyDescent="0.2">
      <c r="A94" s="69">
        <v>94</v>
      </c>
      <c r="B94" s="90" t="s">
        <v>442</v>
      </c>
      <c r="C94" s="83"/>
      <c r="D94" s="83">
        <v>60</v>
      </c>
      <c r="E94" s="90">
        <v>-0.29099999999999998</v>
      </c>
      <c r="F94" s="90">
        <v>5.55</v>
      </c>
      <c r="G94" s="90">
        <v>0.1</v>
      </c>
      <c r="H94" s="83"/>
      <c r="I94" s="110">
        <f>0.1*D94/(5*0.02)</f>
        <v>60</v>
      </c>
      <c r="J94" s="87">
        <f>E94*G94</f>
        <v>-2.9100000000000001E-2</v>
      </c>
      <c r="K94" s="87">
        <f>100*RADIANS(G94*F94/60)</f>
        <v>1.614429558094755E-2</v>
      </c>
      <c r="P94" s="36"/>
      <c r="Q94" t="str">
        <f>COMPLEX(J94/100,K94/100)</f>
        <v>-0.000291+0.000161442955809475i</v>
      </c>
      <c r="R94" s="7"/>
      <c r="S94" s="7"/>
      <c r="T94" s="7"/>
      <c r="U94" s="7"/>
      <c r="V94" s="7"/>
      <c r="W94" s="7"/>
      <c r="X94" s="29"/>
      <c r="Y94" s="253"/>
      <c r="Z94" s="253"/>
      <c r="AB94" s="29"/>
      <c r="AC94" s="254"/>
      <c r="AD94" s="254"/>
      <c r="AE94" s="254"/>
      <c r="AF94" s="254"/>
      <c r="AG94" s="254"/>
      <c r="AH94" s="254"/>
      <c r="AI94" s="254"/>
      <c r="AJ94" s="254"/>
      <c r="AK94" s="254"/>
      <c r="AL94" s="254"/>
    </row>
    <row r="95" spans="1:38" x14ac:dyDescent="0.2">
      <c r="A95" s="69">
        <v>95</v>
      </c>
      <c r="B95" s="85"/>
      <c r="C95" s="85"/>
      <c r="D95" s="85"/>
      <c r="E95" s="69"/>
      <c r="F95" s="69"/>
      <c r="G95" s="83"/>
      <c r="H95" s="85"/>
      <c r="I95" s="85"/>
      <c r="J95" s="85"/>
      <c r="K95" s="85"/>
      <c r="L95" s="85"/>
      <c r="M95" s="38"/>
      <c r="N95" s="38"/>
      <c r="O95" s="38"/>
      <c r="P95" s="40"/>
      <c r="Q95" s="7"/>
      <c r="R95" s="7"/>
      <c r="S95" s="7"/>
      <c r="T95" s="7"/>
      <c r="U95" s="7"/>
      <c r="V95" s="7"/>
      <c r="W95" s="7"/>
      <c r="X95" s="29"/>
      <c r="Y95" s="29"/>
      <c r="Z95" s="29"/>
      <c r="AA95" s="29"/>
      <c r="AB95" s="29"/>
      <c r="AC95" s="254"/>
      <c r="AD95" s="254"/>
      <c r="AE95" s="254"/>
      <c r="AF95" s="254"/>
      <c r="AG95" s="254"/>
      <c r="AH95" s="254"/>
      <c r="AI95" s="254"/>
      <c r="AJ95" s="254"/>
      <c r="AK95" s="254"/>
      <c r="AL95" s="254"/>
    </row>
    <row r="96" spans="1:38" x14ac:dyDescent="0.2">
      <c r="A96" s="69">
        <v>96</v>
      </c>
      <c r="B96" s="525" t="s">
        <v>446</v>
      </c>
      <c r="C96" s="526" t="s">
        <v>447</v>
      </c>
      <c r="D96" s="69"/>
      <c r="E96" s="79"/>
      <c r="F96" s="79"/>
      <c r="G96" s="79"/>
      <c r="H96" s="69"/>
      <c r="I96" s="70"/>
      <c r="J96" s="71"/>
      <c r="K96" s="71"/>
      <c r="M96" s="373" t="s">
        <v>379</v>
      </c>
      <c r="N96" s="374"/>
      <c r="O96" s="375">
        <v>1000</v>
      </c>
      <c r="X96" s="42"/>
      <c r="AA96" s="29"/>
      <c r="AB96" s="29"/>
      <c r="AC96" s="29"/>
      <c r="AD96" s="254"/>
      <c r="AE96" s="254"/>
      <c r="AF96" s="254"/>
      <c r="AG96" s="254"/>
      <c r="AH96" s="254"/>
      <c r="AI96" s="254"/>
      <c r="AJ96" s="254"/>
      <c r="AK96" s="254"/>
      <c r="AL96" s="254"/>
    </row>
    <row r="97" spans="1:64" x14ac:dyDescent="0.2">
      <c r="A97" s="69">
        <v>97</v>
      </c>
      <c r="B97" s="111">
        <v>42978</v>
      </c>
      <c r="C97" s="69"/>
      <c r="D97" s="69"/>
      <c r="E97" s="85"/>
      <c r="F97" s="85"/>
      <c r="G97" s="85"/>
      <c r="H97" s="69"/>
      <c r="I97" s="69"/>
      <c r="J97" s="69"/>
      <c r="K97" s="69"/>
      <c r="M97" s="373" t="s">
        <v>379</v>
      </c>
      <c r="N97" s="374"/>
      <c r="O97" s="375">
        <v>100</v>
      </c>
      <c r="X97" s="42"/>
      <c r="AA97" s="29"/>
      <c r="AB97" s="29"/>
      <c r="AC97" s="254"/>
      <c r="AD97" s="254"/>
      <c r="AE97" s="254"/>
      <c r="AF97" s="254"/>
      <c r="AG97" s="254"/>
      <c r="AH97" s="254"/>
      <c r="AI97" s="254"/>
      <c r="AJ97" s="254"/>
      <c r="AK97" s="254"/>
      <c r="AL97" s="254"/>
    </row>
    <row r="98" spans="1:64" x14ac:dyDescent="0.2">
      <c r="A98" s="69">
        <v>98</v>
      </c>
      <c r="B98" s="90" t="s">
        <v>443</v>
      </c>
      <c r="C98" s="79"/>
      <c r="D98" s="79">
        <v>60</v>
      </c>
      <c r="E98" s="90">
        <v>-0.1</v>
      </c>
      <c r="F98" s="90">
        <v>8</v>
      </c>
      <c r="G98" s="90">
        <v>0.1</v>
      </c>
      <c r="H98" s="79"/>
      <c r="I98" s="108">
        <f>0.1*D98/(5*0.02)</f>
        <v>60</v>
      </c>
      <c r="J98" s="109">
        <f>E98*G98</f>
        <v>-1.0000000000000002E-2</v>
      </c>
      <c r="K98" s="109">
        <f>100*RADIANS(G98*F98/60)</f>
        <v>2.3271056693257727E-2</v>
      </c>
      <c r="L98" s="79"/>
      <c r="M98" s="7" t="s">
        <v>158</v>
      </c>
      <c r="N98" s="159">
        <f>-O96*(J99-J98)/100</f>
        <v>7.0999999999999994E-2</v>
      </c>
      <c r="O98" s="159">
        <f>-O96*(K99-K98)/100</f>
        <v>5.8177641733143937E-3</v>
      </c>
      <c r="P98" s="11"/>
      <c r="Q98" t="str">
        <f>COMPLEX(J98/100,K98/100)</f>
        <v>-0.0001+0.000232710566932577i</v>
      </c>
      <c r="R98" s="7" t="str">
        <f>IMSUB(Q98,Q99)</f>
        <v>0.000071+5.81776417331398E-06i</v>
      </c>
      <c r="S98" s="7" t="str">
        <f>IMSUB(1,R98)</f>
        <v>0.999929-5.81776417331398E-06i</v>
      </c>
      <c r="T98" s="7" t="str">
        <f>IMDIV(R98,S98)</f>
        <v>0.0000710050075043461+0.00000581859038362i</v>
      </c>
      <c r="U98" s="7" t="str">
        <f>IMPRODUCT(T98,O96)</f>
        <v>0.0710050075043461+0.00581859038362i</v>
      </c>
      <c r="V98" s="7">
        <f>IMREAL(U98)</f>
        <v>7.1005007504346102E-2</v>
      </c>
      <c r="W98" s="7">
        <f>IMAGINARY(U98)</f>
        <v>5.8185903836199997E-3</v>
      </c>
      <c r="X98" s="42"/>
      <c r="Y98" s="252" t="s">
        <v>239</v>
      </c>
      <c r="Z98" s="252"/>
      <c r="AA98" s="254"/>
      <c r="AB98" s="254"/>
      <c r="AC98" s="254"/>
      <c r="AD98" s="254"/>
      <c r="AE98" s="29">
        <f>N98-B5A5.0VA</f>
        <v>4.8999999999999988E-2</v>
      </c>
      <c r="AF98" s="29">
        <f>O98-$O$91</f>
        <v>4.3633231299857952E-3</v>
      </c>
      <c r="AG98" s="29">
        <f>AF98-AF99</f>
        <v>1.3089969389957143E-3</v>
      </c>
      <c r="AH98" s="254"/>
      <c r="AI98" s="254"/>
      <c r="AJ98" s="254"/>
      <c r="AK98" s="254"/>
      <c r="AL98" s="254"/>
    </row>
    <row r="99" spans="1:64" x14ac:dyDescent="0.2">
      <c r="A99" s="69">
        <v>99</v>
      </c>
      <c r="B99" s="90" t="s">
        <v>444</v>
      </c>
      <c r="C99" s="83"/>
      <c r="D99" s="83">
        <v>60</v>
      </c>
      <c r="E99" s="90">
        <v>-0.17100000000000001</v>
      </c>
      <c r="F99" s="90">
        <v>7.8</v>
      </c>
      <c r="G99" s="90">
        <v>0.1</v>
      </c>
      <c r="H99" s="83"/>
      <c r="I99" s="110">
        <f>0.1*D99/(5*0.02)</f>
        <v>60</v>
      </c>
      <c r="J99" s="87">
        <f>E99*G99</f>
        <v>-1.7100000000000001E-2</v>
      </c>
      <c r="K99" s="87">
        <f>100*RADIANS(G99*F99/60)</f>
        <v>2.2689280275926288E-2</v>
      </c>
      <c r="L99" s="83"/>
      <c r="M99" s="7" t="s">
        <v>44</v>
      </c>
      <c r="N99" s="159">
        <f>-O97*(J101-J100)/100</f>
        <v>7.1800000000000003E-2</v>
      </c>
      <c r="O99" s="159">
        <f>-O97*(K101-K100)/100</f>
        <v>4.2178790256529666E-3</v>
      </c>
      <c r="P99" s="36"/>
      <c r="Q99" t="str">
        <f>COMPLEX(J99/100,K99/100)</f>
        <v>-0.000171+0.000226892802759263i</v>
      </c>
      <c r="R99" s="7"/>
      <c r="S99" s="7"/>
      <c r="T99" s="7"/>
      <c r="U99" s="7"/>
      <c r="V99" s="7"/>
      <c r="W99" s="7"/>
      <c r="X99" s="42"/>
      <c r="Y99" s="100" t="s">
        <v>439</v>
      </c>
      <c r="Z99" s="100"/>
      <c r="AA99" s="100"/>
      <c r="AB99" s="100"/>
      <c r="AC99" s="100"/>
      <c r="AD99" s="254"/>
      <c r="AE99" s="29">
        <f>N99-B5A0VA</f>
        <v>5.0100000000000006E-2</v>
      </c>
      <c r="AF99" s="29">
        <f>O99-$O$92</f>
        <v>3.054326190990081E-3</v>
      </c>
      <c r="AG99" s="254"/>
      <c r="AH99" s="254"/>
      <c r="AI99" s="254"/>
      <c r="AJ99" s="254"/>
      <c r="AK99" s="254"/>
      <c r="AL99" s="46" t="s">
        <v>454</v>
      </c>
      <c r="AR99" s="46" t="s">
        <v>455</v>
      </c>
      <c r="AV99" s="46" t="s">
        <v>456</v>
      </c>
      <c r="AZ99" s="1" t="s">
        <v>463</v>
      </c>
    </row>
    <row r="100" spans="1:64" x14ac:dyDescent="0.2">
      <c r="A100" s="69">
        <v>100</v>
      </c>
      <c r="B100" s="90" t="s">
        <v>441</v>
      </c>
      <c r="C100" s="83"/>
      <c r="D100" s="83">
        <v>60</v>
      </c>
      <c r="E100" s="90">
        <v>-0.1</v>
      </c>
      <c r="F100" s="90">
        <v>7.95</v>
      </c>
      <c r="G100" s="90">
        <v>0.1</v>
      </c>
      <c r="H100" s="83"/>
      <c r="I100" s="110">
        <f>0.1*D100/(5*0.02)</f>
        <v>60</v>
      </c>
      <c r="J100" s="87">
        <f>E100*G100</f>
        <v>-1.0000000000000002E-2</v>
      </c>
      <c r="K100" s="87">
        <f>100*RADIANS(G100*F100/60)</f>
        <v>2.3125612588924871E-2</v>
      </c>
      <c r="L100" s="83"/>
      <c r="P100" s="36"/>
      <c r="Q100" t="str">
        <f>COMPLEX(J100/100,K100/100)</f>
        <v>-0.0001+0.000231256125889249i</v>
      </c>
      <c r="R100" s="7" t="str">
        <f>IMSUB(Q100,Q101)</f>
        <v>0.000718+0.00004217879025653i</v>
      </c>
      <c r="S100" s="7" t="str">
        <f>IMSUB(1,R100)</f>
        <v>0.999282-0.00004217879025653i</v>
      </c>
      <c r="T100" s="7" t="str">
        <f>IMDIV(R100,S100)</f>
        <v>0.00071851411152426+0.0000422394242191257i</v>
      </c>
      <c r="U100" s="7" t="str">
        <f>IMPRODUCT(T100,O97)</f>
        <v>0.071851411152426+0.00422394242191257i</v>
      </c>
      <c r="V100" s="7">
        <f>IMREAL(U100)</f>
        <v>7.1851411152426006E-2</v>
      </c>
      <c r="W100" s="7">
        <f>IMAGINARY(U100)</f>
        <v>4.2239424219125696E-3</v>
      </c>
      <c r="X100" s="254"/>
      <c r="Y100" s="253"/>
      <c r="Z100" s="253"/>
      <c r="AB100" s="29"/>
      <c r="AC100" s="254"/>
      <c r="AD100" s="254"/>
      <c r="AE100" s="254"/>
      <c r="AL100" s="254">
        <v>70</v>
      </c>
      <c r="AM100">
        <v>100</v>
      </c>
      <c r="AR100" s="254">
        <v>70</v>
      </c>
      <c r="AS100">
        <v>100</v>
      </c>
      <c r="AZ100" s="1" t="s">
        <v>157</v>
      </c>
    </row>
    <row r="101" spans="1:64" x14ac:dyDescent="0.2">
      <c r="A101" s="69">
        <v>101</v>
      </c>
      <c r="B101" s="90" t="s">
        <v>442</v>
      </c>
      <c r="C101" s="83"/>
      <c r="D101" s="83">
        <v>60</v>
      </c>
      <c r="E101" s="90">
        <v>-0.40899999999999997</v>
      </c>
      <c r="F101" s="90">
        <v>3.25</v>
      </c>
      <c r="G101" s="90">
        <v>0.2</v>
      </c>
      <c r="H101" s="83"/>
      <c r="I101" s="110">
        <f>0.1*D101/(5*0.02)</f>
        <v>60</v>
      </c>
      <c r="J101" s="87">
        <f>E101*G101</f>
        <v>-8.1799999999999998E-2</v>
      </c>
      <c r="K101" s="87">
        <f>100*RADIANS(G101*F101/60)</f>
        <v>1.8907733563271904E-2</v>
      </c>
      <c r="L101" s="83"/>
      <c r="P101" s="36"/>
      <c r="Q101" t="str">
        <f>COMPLEX(J101/100,K101/100)</f>
        <v>-0.000818+0.000189077335632719i</v>
      </c>
      <c r="R101" s="7"/>
      <c r="S101" s="7"/>
      <c r="T101" s="7"/>
      <c r="U101" s="7"/>
      <c r="V101" s="7"/>
      <c r="W101" s="7"/>
      <c r="X101" s="29"/>
      <c r="Y101" s="253"/>
      <c r="Z101" s="253"/>
      <c r="AK101">
        <v>0</v>
      </c>
      <c r="AL101" s="29">
        <f>AE153</f>
        <v>0</v>
      </c>
      <c r="AM101" s="29">
        <f>AE154</f>
        <v>0</v>
      </c>
      <c r="AO101" s="29">
        <f>AL101-AM101</f>
        <v>0</v>
      </c>
      <c r="AQ101">
        <v>0</v>
      </c>
      <c r="AR101" s="29">
        <f>AE175</f>
        <v>0</v>
      </c>
      <c r="AS101" s="29">
        <f>AE176</f>
        <v>0</v>
      </c>
      <c r="AV101" s="29">
        <f>AL101-AR101</f>
        <v>0</v>
      </c>
      <c r="AW101" s="29">
        <f>AM101-AS101</f>
        <v>0</v>
      </c>
      <c r="AZ101" s="1" t="s">
        <v>457</v>
      </c>
    </row>
    <row r="102" spans="1:64" x14ac:dyDescent="0.2">
      <c r="A102" s="69">
        <v>102</v>
      </c>
      <c r="B102" s="85"/>
      <c r="C102" s="85"/>
      <c r="D102" s="85"/>
      <c r="E102" s="69"/>
      <c r="F102" s="69"/>
      <c r="G102" s="83"/>
      <c r="H102" s="85"/>
      <c r="I102" s="85"/>
      <c r="J102" s="85"/>
      <c r="K102" s="85"/>
      <c r="L102" s="85"/>
      <c r="M102" s="38"/>
      <c r="N102" s="38"/>
      <c r="O102" s="38"/>
      <c r="P102" s="40"/>
      <c r="Q102" s="7"/>
      <c r="R102" s="7"/>
      <c r="S102" s="7"/>
      <c r="T102" s="7"/>
      <c r="U102" s="7"/>
      <c r="V102" s="7"/>
      <c r="W102" s="7"/>
      <c r="X102" s="29"/>
      <c r="Y102" s="29"/>
      <c r="Z102" s="29"/>
      <c r="AK102">
        <v>1.25</v>
      </c>
      <c r="AL102" s="29">
        <f>AE112</f>
        <v>4.9600000000000005E-2</v>
      </c>
      <c r="AM102" s="29">
        <f>AE113</f>
        <v>5.0200000000000009E-2</v>
      </c>
      <c r="AO102" s="29">
        <f t="shared" ref="AO102:AO114" si="58">AL102-AM102</f>
        <v>-6.0000000000000331E-4</v>
      </c>
      <c r="AQ102">
        <v>1.25</v>
      </c>
      <c r="AR102" s="29">
        <f>AE182</f>
        <v>4.9349999999999991E-2</v>
      </c>
      <c r="AS102" s="29">
        <f>AE183</f>
        <v>4.9750000000000003E-2</v>
      </c>
      <c r="AV102" s="29">
        <f t="shared" ref="AV102:AV114" si="59">AL102-AR102</f>
        <v>2.500000000000141E-4</v>
      </c>
      <c r="AW102" s="29">
        <f t="shared" ref="AW102:AW114" si="60">AM102-AS102</f>
        <v>4.5000000000000595E-4</v>
      </c>
      <c r="AZ102" s="532">
        <f>AK102/(5^2)</f>
        <v>0.05</v>
      </c>
      <c r="BA102" s="29">
        <f>AZ102-AL102</f>
        <v>3.9999999999999758E-4</v>
      </c>
      <c r="BB102" s="29">
        <f>AZ102-AM102</f>
        <v>-2.0000000000000573E-4</v>
      </c>
      <c r="BC102" s="29"/>
      <c r="BD102" s="29">
        <f>AZ102-AR102</f>
        <v>6.5000000000001168E-4</v>
      </c>
      <c r="BE102" s="29">
        <f>AZ102-AS102</f>
        <v>2.5000000000000022E-4</v>
      </c>
      <c r="BH102">
        <f>(AL102+AR102)/2</f>
        <v>4.9474999999999998E-2</v>
      </c>
      <c r="BI102">
        <f>(AM102+AS102)/2</f>
        <v>4.9975000000000006E-2</v>
      </c>
      <c r="BK102" s="28">
        <f>(BH102-$AZ102)/$AZ102*100</f>
        <v>-1.0500000000000091</v>
      </c>
      <c r="BL102" s="28">
        <f>(BI102-$AZ102)/$AZ102*100</f>
        <v>-4.9999999999994493E-2</v>
      </c>
    </row>
    <row r="103" spans="1:64" x14ac:dyDescent="0.2">
      <c r="A103" s="69">
        <v>103</v>
      </c>
      <c r="B103" s="69"/>
      <c r="C103" s="88"/>
      <c r="D103" s="69"/>
      <c r="E103" s="79"/>
      <c r="F103" s="79"/>
      <c r="G103" s="79"/>
      <c r="H103" s="69"/>
      <c r="I103" s="70"/>
      <c r="J103" s="71"/>
      <c r="K103" s="71"/>
      <c r="M103" s="373" t="s">
        <v>379</v>
      </c>
      <c r="N103" s="374"/>
      <c r="O103" s="375">
        <v>100</v>
      </c>
      <c r="X103" s="42"/>
      <c r="AK103">
        <v>2.5</v>
      </c>
      <c r="AL103" s="29">
        <f>AE119</f>
        <v>9.9400000000000016E-2</v>
      </c>
      <c r="AM103" s="29">
        <f>AE120</f>
        <v>0.10080000000000001</v>
      </c>
      <c r="AO103" s="29">
        <f t="shared" si="58"/>
        <v>-1.3999999999999985E-3</v>
      </c>
      <c r="AQ103">
        <v>2.5</v>
      </c>
      <c r="AR103" s="29">
        <f>AE189</f>
        <v>9.8750000000000004E-2</v>
      </c>
      <c r="AS103" s="29">
        <f>AE190</f>
        <v>0.10015</v>
      </c>
      <c r="AV103" s="29">
        <f t="shared" si="59"/>
        <v>6.5000000000001168E-4</v>
      </c>
      <c r="AW103" s="29">
        <f t="shared" si="60"/>
        <v>6.5000000000001168E-4</v>
      </c>
      <c r="AZ103" s="532">
        <f>AK103/(5^2)</f>
        <v>0.1</v>
      </c>
      <c r="BA103" s="29">
        <f>AZ103-AL103</f>
        <v>5.9999999999998943E-4</v>
      </c>
      <c r="BB103" s="29">
        <f>AZ103-AM103</f>
        <v>-8.0000000000000904E-4</v>
      </c>
      <c r="BC103" s="29"/>
      <c r="BD103" s="29">
        <f>AZ103-AR103</f>
        <v>1.2500000000000011E-3</v>
      </c>
      <c r="BE103" s="29">
        <f>AZ103-AS103</f>
        <v>-1.4999999999999736E-4</v>
      </c>
      <c r="BH103">
        <f t="shared" ref="BH103:BI106" si="61">(AL103+AR103)/2</f>
        <v>9.907500000000001E-2</v>
      </c>
      <c r="BI103">
        <f t="shared" si="61"/>
        <v>0.10047500000000001</v>
      </c>
      <c r="BK103" s="28">
        <f t="shared" ref="BK103:BL106" si="62">(BH103-$AZ103)/$AZ103*100</f>
        <v>-0.92499999999999527</v>
      </c>
      <c r="BL103" s="28">
        <f t="shared" si="62"/>
        <v>0.4750000000000032</v>
      </c>
    </row>
    <row r="104" spans="1:64" x14ac:dyDescent="0.2">
      <c r="A104" s="69">
        <v>104</v>
      </c>
      <c r="B104" s="111">
        <v>42982</v>
      </c>
      <c r="C104" s="526" t="s">
        <v>447</v>
      </c>
      <c r="D104" s="69"/>
      <c r="E104" s="85"/>
      <c r="F104" s="85"/>
      <c r="G104" s="85"/>
      <c r="H104" s="69"/>
      <c r="I104" s="69"/>
      <c r="J104" s="69"/>
      <c r="K104" s="69"/>
      <c r="M104" s="373" t="s">
        <v>379</v>
      </c>
      <c r="N104" s="374"/>
      <c r="O104" s="375">
        <v>100</v>
      </c>
      <c r="X104" s="42"/>
      <c r="AK104">
        <v>3.75</v>
      </c>
      <c r="AL104" s="29">
        <f>AE147</f>
        <v>0.14879999999999999</v>
      </c>
      <c r="AM104" s="29">
        <f>AE148</f>
        <v>0.15040000000000001</v>
      </c>
      <c r="AO104" s="29">
        <f t="shared" si="58"/>
        <v>-1.6000000000000181E-3</v>
      </c>
      <c r="AQ104">
        <v>3.75</v>
      </c>
      <c r="AR104" s="29">
        <f>AE196</f>
        <v>0.14915</v>
      </c>
      <c r="AS104" s="29">
        <f>AE197</f>
        <v>0.15005000000000002</v>
      </c>
      <c r="AV104" s="29">
        <f t="shared" si="59"/>
        <v>-3.5000000000001696E-4</v>
      </c>
      <c r="AW104" s="29">
        <f t="shared" si="60"/>
        <v>3.4999999999998921E-4</v>
      </c>
      <c r="AZ104" s="532">
        <f>AK104/(5^2)</f>
        <v>0.15</v>
      </c>
      <c r="BA104" s="29">
        <f>AZ104-AL104</f>
        <v>1.2000000000000066E-3</v>
      </c>
      <c r="BB104" s="29">
        <f>AZ104-AM104</f>
        <v>-4.0000000000001146E-4</v>
      </c>
      <c r="BC104" s="29"/>
      <c r="BD104" s="29">
        <f>AZ104-AR104</f>
        <v>8.4999999999998965E-4</v>
      </c>
      <c r="BE104" s="29">
        <f>AZ104-AS104</f>
        <v>-5.0000000000022249E-5</v>
      </c>
      <c r="BH104">
        <f t="shared" si="61"/>
        <v>0.148975</v>
      </c>
      <c r="BI104">
        <f t="shared" si="61"/>
        <v>0.150225</v>
      </c>
      <c r="BK104" s="28">
        <f t="shared" si="62"/>
        <v>-0.68333333333333213</v>
      </c>
      <c r="BL104" s="28">
        <f t="shared" si="62"/>
        <v>0.15000000000000199</v>
      </c>
    </row>
    <row r="105" spans="1:64" x14ac:dyDescent="0.2">
      <c r="A105" s="69">
        <v>105</v>
      </c>
      <c r="B105" s="89" t="s">
        <v>322</v>
      </c>
      <c r="C105" s="79"/>
      <c r="D105" s="79">
        <v>60</v>
      </c>
      <c r="E105" s="90">
        <v>-0.05</v>
      </c>
      <c r="F105" s="90">
        <v>4</v>
      </c>
      <c r="G105" s="90">
        <v>0.2</v>
      </c>
      <c r="H105" s="79"/>
      <c r="I105" s="108">
        <f>0.1*D105/(5*0.02)</f>
        <v>60</v>
      </c>
      <c r="J105" s="109">
        <f>E105*G105</f>
        <v>-1.0000000000000002E-2</v>
      </c>
      <c r="K105" s="109">
        <f>100*RADIANS(G105*F105/60)</f>
        <v>2.3271056693257727E-2</v>
      </c>
      <c r="L105" s="79"/>
      <c r="M105" s="7" t="s">
        <v>158</v>
      </c>
      <c r="N105" s="159">
        <f>-O103*(J106-J105)/100</f>
        <v>7.1399999999999991E-2</v>
      </c>
      <c r="O105" s="159">
        <f>-O103*(K106-K105)/100</f>
        <v>4.363323129985823E-3</v>
      </c>
      <c r="P105" s="11"/>
      <c r="Q105" t="str">
        <f>COMPLEX(J105/100,K105/100)</f>
        <v>-0.0001+0.000232710566932577i</v>
      </c>
      <c r="R105" s="7" t="str">
        <f>IMSUB(Q105,Q106)</f>
        <v>0.000714+0.000043633231299858i</v>
      </c>
      <c r="S105" s="7" t="str">
        <f>IMSUB(1,R105)</f>
        <v>0.999286-0.000043633231299858i</v>
      </c>
      <c r="T105" s="7" t="str">
        <f>IMDIV(R105,S105)</f>
        <v>0.000714508252311655+0.0000436956062665711i</v>
      </c>
      <c r="U105" s="7" t="str">
        <f>IMPRODUCT(T105,O103)</f>
        <v>0.0714508252311655+0.00436956062665711i</v>
      </c>
      <c r="V105" s="7">
        <f>IMREAL(U105)</f>
        <v>7.1450825231165499E-2</v>
      </c>
      <c r="W105" s="7">
        <f>IMAGINARY(U105)</f>
        <v>4.3695606266571096E-3</v>
      </c>
      <c r="X105" s="42"/>
      <c r="Y105" s="252" t="s">
        <v>239</v>
      </c>
      <c r="Z105" s="252"/>
      <c r="AE105" s="29">
        <f>N105-B5A5.0VA</f>
        <v>4.9399999999999986E-2</v>
      </c>
      <c r="AF105" s="29">
        <f>O105-$O$91</f>
        <v>2.9088820866572246E-3</v>
      </c>
      <c r="AK105">
        <v>5</v>
      </c>
      <c r="AL105" s="29">
        <f>AE133</f>
        <v>0.16539999999999999</v>
      </c>
      <c r="AM105" s="29">
        <f>AE134</f>
        <v>0.16420000000000001</v>
      </c>
      <c r="AO105" s="29">
        <f t="shared" si="58"/>
        <v>1.1999999999999789E-3</v>
      </c>
      <c r="AQ105">
        <v>5</v>
      </c>
      <c r="AR105" s="29">
        <f>AE203</f>
        <v>0.16500000000000004</v>
      </c>
      <c r="AS105" s="29">
        <f>AE204</f>
        <v>0.16485</v>
      </c>
      <c r="AV105" s="29">
        <f t="shared" si="59"/>
        <v>3.9999999999995595E-4</v>
      </c>
      <c r="AW105" s="29">
        <f t="shared" si="60"/>
        <v>-6.4999999999998392E-4</v>
      </c>
      <c r="AZ105" s="532">
        <f>AK105/(5^2)</f>
        <v>0.2</v>
      </c>
      <c r="BA105" s="29">
        <f>AZ105-AL105</f>
        <v>3.460000000000002E-2</v>
      </c>
      <c r="BB105" s="29">
        <f>AZ105-AM105</f>
        <v>3.5799999999999998E-2</v>
      </c>
      <c r="BC105" s="29"/>
      <c r="BD105" s="29">
        <f>AZ105-AR105</f>
        <v>3.4999999999999976E-2</v>
      </c>
      <c r="BE105" s="29">
        <f>AZ105-AS105</f>
        <v>3.5150000000000015E-2</v>
      </c>
      <c r="BH105">
        <f t="shared" si="61"/>
        <v>0.16520000000000001</v>
      </c>
      <c r="BI105">
        <f t="shared" si="61"/>
        <v>0.164525</v>
      </c>
      <c r="BK105" s="28">
        <f t="shared" si="62"/>
        <v>-17.399999999999999</v>
      </c>
      <c r="BL105" s="28">
        <f t="shared" si="62"/>
        <v>-17.737500000000004</v>
      </c>
    </row>
    <row r="106" spans="1:64" x14ac:dyDescent="0.2">
      <c r="A106" s="69">
        <v>106</v>
      </c>
      <c r="B106" s="90" t="s">
        <v>323</v>
      </c>
      <c r="C106" s="83"/>
      <c r="D106" s="83">
        <v>60</v>
      </c>
      <c r="E106" s="90">
        <v>-0.40699999999999997</v>
      </c>
      <c r="F106" s="90">
        <v>3.25</v>
      </c>
      <c r="G106" s="90">
        <v>0.2</v>
      </c>
      <c r="H106" s="83"/>
      <c r="I106" s="110">
        <f>0.1*D106/(5*0.02)</f>
        <v>60</v>
      </c>
      <c r="J106" s="87">
        <f>E106*G106</f>
        <v>-8.14E-2</v>
      </c>
      <c r="K106" s="87">
        <f>100*RADIANS(G106*F106/60)</f>
        <v>1.8907733563271904E-2</v>
      </c>
      <c r="L106" s="83"/>
      <c r="M106" s="7" t="s">
        <v>44</v>
      </c>
      <c r="N106" s="159">
        <f>-O104*(J108-J107)/100</f>
        <v>0</v>
      </c>
      <c r="O106" s="159">
        <f>-O104*(K108-K107)/100</f>
        <v>0</v>
      </c>
      <c r="P106" s="36"/>
      <c r="Q106" t="str">
        <f>COMPLEX(J106/100,K106/100)</f>
        <v>-0.000814+0.000189077335632719i</v>
      </c>
      <c r="R106" s="7"/>
      <c r="S106" s="7"/>
      <c r="T106" s="7"/>
      <c r="U106" s="7"/>
      <c r="V106" s="7"/>
      <c r="W106" s="7"/>
      <c r="X106" s="42"/>
      <c r="Y106" s="100" t="s">
        <v>448</v>
      </c>
      <c r="Z106" s="100"/>
      <c r="AA106" s="100"/>
      <c r="AB106" s="100"/>
      <c r="AC106" s="100"/>
      <c r="AK106">
        <v>7.5</v>
      </c>
      <c r="AL106" s="29">
        <f>AE140</f>
        <v>0.25159999999999999</v>
      </c>
      <c r="AM106" s="29">
        <f>AE141</f>
        <v>0.25080000000000002</v>
      </c>
      <c r="AO106" s="29">
        <f t="shared" si="58"/>
        <v>7.999999999999674E-4</v>
      </c>
      <c r="AQ106">
        <v>7.5</v>
      </c>
      <c r="AR106" s="29">
        <f>AE210</f>
        <v>0.25229999999999997</v>
      </c>
      <c r="AS106" s="29">
        <f>AE211</f>
        <v>0.25185000000000002</v>
      </c>
      <c r="AV106" s="29">
        <f t="shared" si="59"/>
        <v>-6.9999999999997842E-4</v>
      </c>
      <c r="AW106" s="29">
        <f t="shared" si="60"/>
        <v>-1.0499999999999954E-3</v>
      </c>
      <c r="AZ106" s="532">
        <f>AK106/(5^2)</f>
        <v>0.3</v>
      </c>
      <c r="BA106" s="29">
        <f>AZ106-AL106</f>
        <v>4.8399999999999999E-2</v>
      </c>
      <c r="BB106" s="29">
        <f>AZ106-AM106</f>
        <v>4.9199999999999966E-2</v>
      </c>
      <c r="BC106" s="29"/>
      <c r="BD106" s="29">
        <f>AZ106-AR106</f>
        <v>4.770000000000002E-2</v>
      </c>
      <c r="BE106" s="29">
        <f>AZ106-AS106</f>
        <v>4.8149999999999971E-2</v>
      </c>
      <c r="BH106">
        <f t="shared" si="61"/>
        <v>0.25195000000000001</v>
      </c>
      <c r="BI106">
        <f t="shared" si="61"/>
        <v>0.25132500000000002</v>
      </c>
      <c r="BK106" s="28">
        <f t="shared" si="62"/>
        <v>-16.016666666666662</v>
      </c>
      <c r="BL106" s="28">
        <f t="shared" si="62"/>
        <v>-16.224999999999991</v>
      </c>
    </row>
    <row r="107" spans="1:64" x14ac:dyDescent="0.2">
      <c r="A107" s="69">
        <v>107</v>
      </c>
      <c r="B107" s="90" t="s">
        <v>324</v>
      </c>
      <c r="C107" s="83"/>
      <c r="D107" s="83">
        <v>60</v>
      </c>
      <c r="E107" s="90"/>
      <c r="F107" s="90"/>
      <c r="G107" s="90"/>
      <c r="H107" s="83"/>
      <c r="I107" s="110">
        <f>0.1*D107/(5*0.02)</f>
        <v>60</v>
      </c>
      <c r="J107" s="87">
        <f>E107*G107</f>
        <v>0</v>
      </c>
      <c r="K107" s="87">
        <f>100*RADIANS(G107*F107/60)</f>
        <v>0</v>
      </c>
      <c r="L107" s="83"/>
      <c r="P107" s="36"/>
      <c r="Q107" t="str">
        <f>COMPLEX(J107/100,K107/100)</f>
        <v>0</v>
      </c>
      <c r="R107" s="7" t="str">
        <f>IMSUB(Q107,Q108)</f>
        <v>0</v>
      </c>
      <c r="S107" s="7" t="str">
        <f>IMSUB(1,R107)</f>
        <v>1</v>
      </c>
      <c r="T107" s="7" t="str">
        <f>IMDIV(R107,S107)</f>
        <v>0</v>
      </c>
      <c r="U107" s="7" t="str">
        <f>IMPRODUCT(T107,O104)</f>
        <v>0</v>
      </c>
      <c r="V107" s="7">
        <f>IMREAL(U107)</f>
        <v>0</v>
      </c>
      <c r="W107" s="7">
        <f>IMAGINARY(U107)</f>
        <v>0</v>
      </c>
      <c r="X107" s="254"/>
      <c r="Y107" s="253"/>
      <c r="Z107" s="253"/>
      <c r="AB107" s="29"/>
      <c r="AC107" s="254"/>
      <c r="AR107" s="29"/>
      <c r="AS107" s="29"/>
      <c r="AU107" s="29"/>
      <c r="AV107" s="29"/>
      <c r="AW107" s="29"/>
      <c r="AZ107" s="1"/>
    </row>
    <row r="108" spans="1:64" x14ac:dyDescent="0.2">
      <c r="A108" s="69">
        <v>108</v>
      </c>
      <c r="B108" s="90" t="s">
        <v>325</v>
      </c>
      <c r="C108" s="83"/>
      <c r="D108" s="83">
        <v>60</v>
      </c>
      <c r="E108" s="90"/>
      <c r="F108" s="90"/>
      <c r="G108" s="90"/>
      <c r="H108" s="83"/>
      <c r="I108" s="110">
        <f>0.1*D108/(5*0.02)</f>
        <v>60</v>
      </c>
      <c r="J108" s="87">
        <f>E108*G108</f>
        <v>0</v>
      </c>
      <c r="K108" s="87">
        <f>100*RADIANS(G108*F108/60)</f>
        <v>0</v>
      </c>
      <c r="L108" s="83"/>
      <c r="P108" s="36"/>
      <c r="Q108" t="str">
        <f>COMPLEX(J108/100,K108/100)</f>
        <v>0</v>
      </c>
      <c r="R108" s="7"/>
      <c r="S108" s="7"/>
      <c r="T108" s="7"/>
      <c r="U108" s="7"/>
      <c r="V108" s="7"/>
      <c r="W108" s="7"/>
      <c r="X108" s="29"/>
      <c r="Y108" s="253"/>
      <c r="Z108" s="253"/>
      <c r="AV108" s="29"/>
      <c r="AW108" s="29"/>
      <c r="AZ108" s="1"/>
    </row>
    <row r="109" spans="1:64" x14ac:dyDescent="0.2">
      <c r="A109" s="69">
        <v>109</v>
      </c>
      <c r="B109" s="85"/>
      <c r="C109" s="85"/>
      <c r="D109" s="85"/>
      <c r="E109" s="69"/>
      <c r="F109" s="69"/>
      <c r="G109" s="83"/>
      <c r="H109" s="85"/>
      <c r="I109" s="85"/>
      <c r="J109" s="85"/>
      <c r="K109" s="85"/>
      <c r="L109" s="85"/>
      <c r="M109" s="38"/>
      <c r="N109" s="38"/>
      <c r="O109" s="38"/>
      <c r="P109" s="40"/>
      <c r="Q109" s="7"/>
      <c r="R109" s="7"/>
      <c r="S109" s="7"/>
      <c r="T109" s="7"/>
      <c r="U109" s="7"/>
      <c r="V109" s="7"/>
      <c r="W109" s="7"/>
      <c r="X109" s="29"/>
      <c r="Y109" s="29"/>
      <c r="Z109" s="29"/>
      <c r="AK109">
        <v>0</v>
      </c>
      <c r="AL109" s="29">
        <f>AF153</f>
        <v>0</v>
      </c>
      <c r="AM109" s="29">
        <f>AF154</f>
        <v>0</v>
      </c>
      <c r="AO109" s="29">
        <f t="shared" si="58"/>
        <v>0</v>
      </c>
      <c r="AQ109">
        <v>0</v>
      </c>
      <c r="AR109" s="29">
        <f>AF175</f>
        <v>0</v>
      </c>
      <c r="AS109" s="29">
        <f>AF176</f>
        <v>0</v>
      </c>
      <c r="AU109" s="29"/>
      <c r="AV109" s="29">
        <f t="shared" si="59"/>
        <v>0</v>
      </c>
      <c r="AW109" s="29">
        <f t="shared" si="60"/>
        <v>0</v>
      </c>
    </row>
    <row r="110" spans="1:64" x14ac:dyDescent="0.2">
      <c r="A110" s="69">
        <v>110</v>
      </c>
      <c r="B110" s="69"/>
      <c r="C110" s="88"/>
      <c r="D110" s="69"/>
      <c r="E110" s="79"/>
      <c r="F110" s="79"/>
      <c r="G110" s="79"/>
      <c r="H110" s="69"/>
      <c r="I110" s="70"/>
      <c r="J110" s="71"/>
      <c r="K110" s="71"/>
      <c r="M110" s="373" t="s">
        <v>379</v>
      </c>
      <c r="N110" s="374"/>
      <c r="O110" s="375">
        <v>100</v>
      </c>
      <c r="X110" s="42"/>
      <c r="AK110">
        <v>1.25</v>
      </c>
      <c r="AL110" s="29">
        <f>AF112</f>
        <v>2.9088820866572194E-3</v>
      </c>
      <c r="AM110" s="29">
        <f>AF113</f>
        <v>2.3271056693257783E-3</v>
      </c>
      <c r="AO110" s="29">
        <f t="shared" si="58"/>
        <v>5.817764173314411E-4</v>
      </c>
      <c r="AQ110">
        <v>1.25</v>
      </c>
      <c r="AR110" s="29">
        <f>AF182</f>
        <v>3.4906585039886605E-3</v>
      </c>
      <c r="AS110" s="29">
        <f>AF183</f>
        <v>3.5633805561550895E-3</v>
      </c>
      <c r="AU110" s="29"/>
      <c r="AV110" s="29">
        <f t="shared" si="59"/>
        <v>-5.817764173314411E-4</v>
      </c>
      <c r="AW110" s="29">
        <f t="shared" si="60"/>
        <v>-1.2362748868293113E-3</v>
      </c>
    </row>
    <row r="111" spans="1:64" x14ac:dyDescent="0.2">
      <c r="A111" s="69">
        <v>111</v>
      </c>
      <c r="B111" s="111">
        <v>42982</v>
      </c>
      <c r="C111" s="526" t="s">
        <v>447</v>
      </c>
      <c r="D111" s="69"/>
      <c r="E111" s="85"/>
      <c r="F111" s="85"/>
      <c r="G111" s="85"/>
      <c r="H111" s="69"/>
      <c r="I111" s="69"/>
      <c r="J111" s="69"/>
      <c r="K111" s="69"/>
      <c r="M111" s="373" t="s">
        <v>379</v>
      </c>
      <c r="N111" s="374"/>
      <c r="O111" s="375">
        <v>100</v>
      </c>
      <c r="X111" s="42"/>
      <c r="AK111">
        <v>2.5</v>
      </c>
      <c r="AL111" s="29">
        <f>AF119</f>
        <v>5.5268759646487165E-3</v>
      </c>
      <c r="AM111" s="29">
        <f>AF120</f>
        <v>4.0724349213201025E-3</v>
      </c>
      <c r="AO111" s="29">
        <f t="shared" si="58"/>
        <v>1.454441043328614E-3</v>
      </c>
      <c r="AQ111">
        <v>2.5</v>
      </c>
      <c r="AR111" s="29">
        <f>AF189</f>
        <v>5.5268759646487087E-3</v>
      </c>
      <c r="AS111" s="29">
        <f>AF190</f>
        <v>6.1086523819801515E-3</v>
      </c>
      <c r="AU111" s="29"/>
      <c r="AV111" s="29">
        <f t="shared" si="59"/>
        <v>7.8062556418956319E-18</v>
      </c>
      <c r="AW111" s="29">
        <f t="shared" si="60"/>
        <v>-2.0362174606600491E-3</v>
      </c>
    </row>
    <row r="112" spans="1:64" x14ac:dyDescent="0.2">
      <c r="A112" s="69">
        <v>112</v>
      </c>
      <c r="B112" s="89" t="s">
        <v>322</v>
      </c>
      <c r="C112" s="79"/>
      <c r="D112" s="79">
        <v>70</v>
      </c>
      <c r="E112" s="90">
        <v>-0.05</v>
      </c>
      <c r="F112" s="90">
        <v>3.85</v>
      </c>
      <c r="G112" s="90">
        <v>0.2</v>
      </c>
      <c r="H112" s="79"/>
      <c r="I112" s="108">
        <f>0.1*D112/(5*0.02)</f>
        <v>70</v>
      </c>
      <c r="J112" s="109">
        <f>E112*G112</f>
        <v>-1.0000000000000002E-2</v>
      </c>
      <c r="K112" s="109">
        <f>100*RADIANS(G112*F112/60)</f>
        <v>2.2398392067260565E-2</v>
      </c>
      <c r="L112" s="79"/>
      <c r="M112" s="7" t="s">
        <v>158</v>
      </c>
      <c r="N112" s="159">
        <f>-O110*(J113-J112)/100</f>
        <v>7.1800000000000003E-2</v>
      </c>
      <c r="O112" s="159">
        <f>-O110*(K113-K112)/100</f>
        <v>4.0724349213201033E-3</v>
      </c>
      <c r="P112" s="11"/>
      <c r="Q112" t="str">
        <f>COMPLEX(J112/100,K112/100)</f>
        <v>-0.0001+0.000223983920672606i</v>
      </c>
      <c r="R112" s="7" t="str">
        <f>IMSUB(Q112,Q113)</f>
        <v>0.000718+0.000040724349213201i</v>
      </c>
      <c r="S112" s="7" t="str">
        <f>IMSUB(1,R112)</f>
        <v>0.999282-0.000040724349213201i</v>
      </c>
      <c r="T112" s="7" t="str">
        <f>IMDIV(R112,S112)</f>
        <v>0.000718514232362086+0.0000407828923544248i</v>
      </c>
      <c r="U112" s="7" t="str">
        <f>IMPRODUCT(T112,O110)</f>
        <v>0.0718514232362086+0.00407828923544248i</v>
      </c>
      <c r="V112" s="7">
        <f>IMREAL(U112)</f>
        <v>7.1851423236208606E-2</v>
      </c>
      <c r="W112" s="7">
        <f>IMAGINARY(U112)</f>
        <v>4.0782892354424803E-3</v>
      </c>
      <c r="X112" s="42"/>
      <c r="Y112" s="252" t="s">
        <v>239</v>
      </c>
      <c r="Z112" s="252"/>
      <c r="AE112" s="29">
        <f>N112-$N$154</f>
        <v>4.9600000000000005E-2</v>
      </c>
      <c r="AF112" s="29">
        <f>O112-$O$154</f>
        <v>2.9088820866572194E-3</v>
      </c>
      <c r="AG112" s="29">
        <f>AF112-AF113</f>
        <v>5.817764173314411E-4</v>
      </c>
      <c r="AK112">
        <v>3.75</v>
      </c>
      <c r="AL112" s="29">
        <f>AF147</f>
        <v>7.5630934253087655E-3</v>
      </c>
      <c r="AM112" s="29">
        <f>AF148</f>
        <v>6.6904287993115891E-3</v>
      </c>
      <c r="AO112" s="29">
        <f t="shared" si="58"/>
        <v>8.726646259971764E-4</v>
      </c>
      <c r="AQ112">
        <v>3.75</v>
      </c>
      <c r="AR112" s="29">
        <f>AF196</f>
        <v>7.4176493209759031E-3</v>
      </c>
      <c r="AS112" s="29">
        <f>AF197</f>
        <v>6.9085949558108902E-3</v>
      </c>
      <c r="AU112" s="29"/>
      <c r="AV112" s="29">
        <f t="shared" si="59"/>
        <v>1.4544410433286244E-4</v>
      </c>
      <c r="AW112" s="29">
        <f t="shared" si="60"/>
        <v>-2.1816615649930104E-4</v>
      </c>
    </row>
    <row r="113" spans="1:49" x14ac:dyDescent="0.2">
      <c r="A113" s="69">
        <v>113</v>
      </c>
      <c r="B113" s="90" t="s">
        <v>323</v>
      </c>
      <c r="C113" s="83"/>
      <c r="D113" s="83">
        <v>70</v>
      </c>
      <c r="E113" s="90">
        <v>-0.40899999999999997</v>
      </c>
      <c r="F113" s="90">
        <v>3.15</v>
      </c>
      <c r="G113" s="90">
        <v>0.2</v>
      </c>
      <c r="H113" s="83"/>
      <c r="I113" s="110">
        <f>0.1*D113/(5*0.02)</f>
        <v>70</v>
      </c>
      <c r="J113" s="87">
        <f>E113*G113</f>
        <v>-8.1799999999999998E-2</v>
      </c>
      <c r="K113" s="87">
        <f>100*RADIANS(G113*F113/60)</f>
        <v>1.8325957145940461E-2</v>
      </c>
      <c r="L113" s="83"/>
      <c r="M113" s="7" t="s">
        <v>44</v>
      </c>
      <c r="N113" s="159">
        <f>-O111*(J115-J114)/100</f>
        <v>7.2400000000000006E-2</v>
      </c>
      <c r="O113" s="159">
        <f>-O111*(K115-K114)/100</f>
        <v>4.0724349213201103E-3</v>
      </c>
      <c r="P113" s="36"/>
      <c r="Q113" t="str">
        <f>COMPLEX(J113/100,K113/100)</f>
        <v>-0.000818+0.000183259571459405i</v>
      </c>
      <c r="R113" s="7"/>
      <c r="S113" s="7"/>
      <c r="T113" s="7"/>
      <c r="U113" s="7"/>
      <c r="V113" s="7"/>
      <c r="W113" s="7"/>
      <c r="X113" s="42"/>
      <c r="Y113" s="100" t="s">
        <v>448</v>
      </c>
      <c r="Z113" s="100"/>
      <c r="AA113" s="100"/>
      <c r="AB113" s="100"/>
      <c r="AC113" s="100"/>
      <c r="AE113" s="29">
        <f>N113-$N$155</f>
        <v>5.0200000000000009E-2</v>
      </c>
      <c r="AF113" s="29">
        <f>O113-$O$155</f>
        <v>2.3271056693257783E-3</v>
      </c>
      <c r="AK113">
        <v>5</v>
      </c>
      <c r="AL113" s="29">
        <f>AF133</f>
        <v>0.118100612718283</v>
      </c>
      <c r="AM113" s="29">
        <f>AF134</f>
        <v>0.11751883630095154</v>
      </c>
      <c r="AO113" s="29">
        <f t="shared" si="58"/>
        <v>5.8177641733145324E-4</v>
      </c>
      <c r="AQ113">
        <v>5</v>
      </c>
      <c r="AR113" s="29">
        <f>AF203</f>
        <v>0.11606439525762291</v>
      </c>
      <c r="AS113" s="29">
        <f>AF204</f>
        <v>0.11620983936195577</v>
      </c>
      <c r="AU113" s="29"/>
      <c r="AV113" s="29">
        <f t="shared" si="59"/>
        <v>2.0362174606600864E-3</v>
      </c>
      <c r="AW113" s="29">
        <f t="shared" si="60"/>
        <v>1.3089969389957767E-3</v>
      </c>
    </row>
    <row r="114" spans="1:49" x14ac:dyDescent="0.2">
      <c r="A114" s="69">
        <v>114</v>
      </c>
      <c r="B114" s="90" t="s">
        <v>324</v>
      </c>
      <c r="C114" s="83"/>
      <c r="D114" s="83">
        <v>100</v>
      </c>
      <c r="E114" s="90">
        <v>-5.0999999999999997E-2</v>
      </c>
      <c r="F114" s="90">
        <v>3.6</v>
      </c>
      <c r="G114" s="90">
        <v>0.2</v>
      </c>
      <c r="H114" s="83"/>
      <c r="I114" s="110">
        <f>0.1*D114/(5*0.02)</f>
        <v>100</v>
      </c>
      <c r="J114" s="87">
        <f>E114*G114</f>
        <v>-1.0200000000000001E-2</v>
      </c>
      <c r="K114" s="87">
        <f>100*RADIANS(G114*F114/60)</f>
        <v>2.0943951023931959E-2</v>
      </c>
      <c r="L114" s="83"/>
      <c r="P114" s="36"/>
      <c r="Q114" t="str">
        <f>COMPLEX(J114/100,K114/100)</f>
        <v>-0.000102+0.00020943951023932i</v>
      </c>
      <c r="R114" s="7" t="str">
        <f>IMSUB(Q114,Q115)</f>
        <v>0.000724+0.000040724349213202i</v>
      </c>
      <c r="S114" s="7" t="str">
        <f>IMSUB(1,R114)</f>
        <v>0.999276-0.000040724349213202i</v>
      </c>
      <c r="T114" s="7" t="str">
        <f>IMDIV(R114,S114)</f>
        <v>0.000724522893698343+0.0000407833821051821i</v>
      </c>
      <c r="U114" s="7" t="str">
        <f>IMPRODUCT(T114,O111)</f>
        <v>0.0724522893698343+0.00407833821051821i</v>
      </c>
      <c r="V114" s="7">
        <f>IMREAL(U114)</f>
        <v>7.2452289369834305E-2</v>
      </c>
      <c r="W114" s="7">
        <f>IMAGINARY(U114)</f>
        <v>4.0783382105182104E-3</v>
      </c>
      <c r="X114" s="254"/>
      <c r="Y114" s="253"/>
      <c r="Z114" s="253"/>
      <c r="AB114" s="29"/>
      <c r="AC114" s="254"/>
      <c r="AK114">
        <v>7.5</v>
      </c>
      <c r="AL114" s="29">
        <f>AF140</f>
        <v>0.17511470161676443</v>
      </c>
      <c r="AM114" s="29">
        <f>AF141</f>
        <v>0.17453292519943298</v>
      </c>
      <c r="AO114" s="29">
        <f t="shared" si="58"/>
        <v>5.8177641733145324E-4</v>
      </c>
      <c r="AQ114">
        <v>7.5</v>
      </c>
      <c r="AR114" s="29">
        <f>AF210</f>
        <v>0.17162404311277574</v>
      </c>
      <c r="AS114" s="29">
        <f>AF211</f>
        <v>0.17133315490411002</v>
      </c>
      <c r="AU114" s="29"/>
      <c r="AV114" s="29">
        <f t="shared" si="59"/>
        <v>3.4906585039886917E-3</v>
      </c>
      <c r="AW114" s="29">
        <f t="shared" si="60"/>
        <v>3.1997702953229512E-3</v>
      </c>
    </row>
    <row r="115" spans="1:49" x14ac:dyDescent="0.2">
      <c r="A115" s="69">
        <v>115</v>
      </c>
      <c r="B115" s="90" t="s">
        <v>325</v>
      </c>
      <c r="C115" s="83"/>
      <c r="D115" s="83">
        <v>100</v>
      </c>
      <c r="E115" s="90">
        <v>-0.41299999999999998</v>
      </c>
      <c r="F115" s="90">
        <v>2.9</v>
      </c>
      <c r="G115" s="90">
        <v>0.2</v>
      </c>
      <c r="H115" s="83"/>
      <c r="I115" s="110">
        <f>0.1*D115/(5*0.02)</f>
        <v>100</v>
      </c>
      <c r="J115" s="87">
        <f>E115*G115</f>
        <v>-8.2600000000000007E-2</v>
      </c>
      <c r="K115" s="87">
        <f>100*RADIANS(G115*F115/60)</f>
        <v>1.6871516102611849E-2</v>
      </c>
      <c r="L115" s="83"/>
      <c r="P115" s="36"/>
      <c r="Q115" t="str">
        <f>COMPLEX(J115/100,K115/100)</f>
        <v>-0.000826+0.000168715161026118i</v>
      </c>
      <c r="R115" s="7"/>
      <c r="S115" s="7"/>
      <c r="T115" s="7"/>
      <c r="U115" s="7"/>
      <c r="V115" s="7"/>
      <c r="W115" s="7"/>
      <c r="X115" s="29"/>
      <c r="Y115" s="253"/>
      <c r="Z115" s="253"/>
    </row>
    <row r="116" spans="1:49" x14ac:dyDescent="0.2">
      <c r="A116" s="69">
        <v>116</v>
      </c>
      <c r="B116" s="85"/>
      <c r="C116" s="85"/>
      <c r="D116" s="85"/>
      <c r="E116" s="69"/>
      <c r="F116" s="69"/>
      <c r="G116" s="83"/>
      <c r="H116" s="85"/>
      <c r="I116" s="85"/>
      <c r="J116" s="85"/>
      <c r="K116" s="85"/>
      <c r="L116" s="85"/>
      <c r="M116" s="38"/>
      <c r="N116" s="38"/>
      <c r="O116" s="38"/>
      <c r="P116" s="40"/>
      <c r="Q116" s="7"/>
      <c r="R116" s="7"/>
      <c r="S116" s="7"/>
      <c r="T116" s="7"/>
      <c r="U116" s="7"/>
      <c r="V116" s="7"/>
      <c r="W116" s="7"/>
      <c r="X116" s="29"/>
      <c r="Y116" s="29"/>
      <c r="Z116" s="29"/>
      <c r="AM116" s="29"/>
      <c r="AR116" s="29"/>
      <c r="AS116" s="29"/>
      <c r="AU116" s="29"/>
      <c r="AV116" s="29"/>
    </row>
    <row r="117" spans="1:49" x14ac:dyDescent="0.2">
      <c r="A117" s="69">
        <v>117</v>
      </c>
      <c r="B117" s="69"/>
      <c r="C117" s="88"/>
      <c r="D117" s="69"/>
      <c r="E117" s="79"/>
      <c r="F117" s="79"/>
      <c r="G117" s="79"/>
      <c r="H117" s="69"/>
      <c r="I117" s="70"/>
      <c r="J117" s="71"/>
      <c r="K117" s="71"/>
      <c r="M117" s="373" t="s">
        <v>379</v>
      </c>
      <c r="N117" s="374"/>
      <c r="O117" s="375">
        <v>100</v>
      </c>
      <c r="X117" s="42"/>
      <c r="AM117" s="29"/>
      <c r="AR117" s="29"/>
      <c r="AS117" s="29"/>
      <c r="AU117" s="29"/>
      <c r="AV117" s="29"/>
    </row>
    <row r="118" spans="1:49" x14ac:dyDescent="0.2">
      <c r="A118" s="69">
        <v>118</v>
      </c>
      <c r="B118" s="111">
        <v>42982</v>
      </c>
      <c r="C118" s="526" t="s">
        <v>449</v>
      </c>
      <c r="D118" s="69"/>
      <c r="E118" s="85"/>
      <c r="F118" s="85"/>
      <c r="G118" s="85"/>
      <c r="H118" s="69"/>
      <c r="I118" s="69"/>
      <c r="J118" s="69"/>
      <c r="K118" s="69"/>
      <c r="M118" s="373" t="s">
        <v>379</v>
      </c>
      <c r="N118" s="374"/>
      <c r="O118" s="375">
        <v>100</v>
      </c>
      <c r="X118" s="42"/>
      <c r="AK118" s="254"/>
      <c r="AL118" s="46" t="s">
        <v>460</v>
      </c>
      <c r="AR118" s="29"/>
      <c r="AS118" s="29"/>
      <c r="AU118" s="29"/>
      <c r="AV118" s="29"/>
    </row>
    <row r="119" spans="1:49" x14ac:dyDescent="0.2">
      <c r="A119" s="69">
        <v>119</v>
      </c>
      <c r="B119" s="89" t="s">
        <v>322</v>
      </c>
      <c r="C119" s="79"/>
      <c r="D119" s="79">
        <v>70</v>
      </c>
      <c r="E119" s="90">
        <v>-6.2E-2</v>
      </c>
      <c r="F119" s="90">
        <v>4.9000000000000004</v>
      </c>
      <c r="G119" s="90">
        <v>0.2</v>
      </c>
      <c r="H119" s="79"/>
      <c r="I119" s="108">
        <f>0.1*D119/(5*0.02)</f>
        <v>70</v>
      </c>
      <c r="J119" s="109">
        <f>E119*G119</f>
        <v>-1.2400000000000001E-2</v>
      </c>
      <c r="K119" s="109">
        <f>100*RADIANS(G119*F119/60)</f>
        <v>2.850704444924072E-2</v>
      </c>
      <c r="L119" s="79"/>
      <c r="M119" s="7" t="s">
        <v>158</v>
      </c>
      <c r="N119" s="159">
        <f>-O117*(J120-J119)/100</f>
        <v>0.12160000000000001</v>
      </c>
      <c r="O119" s="159">
        <f>-O117*(K120-K119)/100</f>
        <v>6.6904287993116004E-3</v>
      </c>
      <c r="P119" s="11"/>
      <c r="Q119" t="str">
        <f>COMPLEX(J119/100,K119/100)</f>
        <v>-0.000124+0.000285070444492407i</v>
      </c>
      <c r="R119" s="7" t="str">
        <f>IMSUB(Q119,Q120)</f>
        <v>0.001216+0.000066904287993116i</v>
      </c>
      <c r="S119" s="7" t="str">
        <f>IMSUB(1,R119)</f>
        <v>0.998784-0.000066904287993116i</v>
      </c>
      <c r="T119" s="7" t="str">
        <f>IMDIV(R119,S119)</f>
        <v>0.00121747596368214+0.0000670672961877792i</v>
      </c>
      <c r="U119" s="7" t="str">
        <f>IMPRODUCT(T119,O117)</f>
        <v>0.121747596368214+0.00670672961877792i</v>
      </c>
      <c r="V119" s="7">
        <f>IMREAL(U119)</f>
        <v>0.121747596368214</v>
      </c>
      <c r="W119" s="7">
        <f>IMAGINARY(U119)</f>
        <v>6.7067296187779202E-3</v>
      </c>
      <c r="X119" s="42"/>
      <c r="Y119" s="252" t="s">
        <v>239</v>
      </c>
      <c r="Z119" s="252"/>
      <c r="AE119" s="29">
        <f>N119-$N$154</f>
        <v>9.9400000000000016E-2</v>
      </c>
      <c r="AF119" s="29">
        <f>O119-$O$154</f>
        <v>5.5268759646487165E-3</v>
      </c>
      <c r="AG119" s="29">
        <f>AF119-AF120</f>
        <v>1.454441043328614E-3</v>
      </c>
      <c r="AL119" s="254">
        <v>70</v>
      </c>
      <c r="AM119">
        <v>100</v>
      </c>
      <c r="AR119" s="29"/>
      <c r="AS119" s="29"/>
      <c r="AU119" s="29"/>
      <c r="AV119" s="29"/>
    </row>
    <row r="120" spans="1:49" x14ac:dyDescent="0.2">
      <c r="A120" s="69">
        <v>120</v>
      </c>
      <c r="B120" s="90" t="s">
        <v>323</v>
      </c>
      <c r="C120" s="83"/>
      <c r="D120" s="83">
        <v>70</v>
      </c>
      <c r="E120" s="90">
        <v>-0.13400000000000001</v>
      </c>
      <c r="F120" s="90">
        <v>0.75</v>
      </c>
      <c r="G120" s="90">
        <v>1</v>
      </c>
      <c r="H120" s="83"/>
      <c r="I120" s="110">
        <f>0.1*D120/(5*0.02)</f>
        <v>70</v>
      </c>
      <c r="J120" s="87">
        <f>E120*G120</f>
        <v>-0.13400000000000001</v>
      </c>
      <c r="K120" s="87">
        <f>100*RADIANS(G120*F120/60)</f>
        <v>2.1816615649929118E-2</v>
      </c>
      <c r="L120" s="83"/>
      <c r="M120" s="7" t="s">
        <v>44</v>
      </c>
      <c r="N120" s="159">
        <f>-O118*(J122-J121)/100</f>
        <v>0.12300000000000001</v>
      </c>
      <c r="O120" s="159">
        <f>-O118*(K122-K121)/100</f>
        <v>5.8177641733144344E-3</v>
      </c>
      <c r="P120" s="36"/>
      <c r="Q120" t="str">
        <f>COMPLEX(J120/100,K120/100)</f>
        <v>-0.00134+0.000218166156499291i</v>
      </c>
      <c r="R120" s="7"/>
      <c r="S120" s="7"/>
      <c r="T120" s="7"/>
      <c r="U120" s="7"/>
      <c r="V120" s="7"/>
      <c r="W120" s="7"/>
      <c r="X120" s="42"/>
      <c r="Y120" s="100" t="s">
        <v>448</v>
      </c>
      <c r="Z120" s="100"/>
      <c r="AA120" s="100"/>
      <c r="AB120" s="100"/>
      <c r="AC120" s="100"/>
      <c r="AE120" s="29">
        <f>N120-$N$155</f>
        <v>0.10080000000000001</v>
      </c>
      <c r="AF120" s="29">
        <f>O120-$O$155</f>
        <v>4.0724349213201025E-3</v>
      </c>
      <c r="AK120">
        <v>0</v>
      </c>
      <c r="AL120" s="29">
        <f>AE160</f>
        <v>0</v>
      </c>
      <c r="AM120" s="29">
        <f>AE161</f>
        <v>0</v>
      </c>
      <c r="AR120" s="29"/>
      <c r="AS120" s="29"/>
      <c r="AU120" s="29"/>
      <c r="AV120" s="29"/>
    </row>
    <row r="121" spans="1:49" x14ac:dyDescent="0.2">
      <c r="A121" s="69">
        <v>121</v>
      </c>
      <c r="B121" s="90" t="s">
        <v>324</v>
      </c>
      <c r="C121" s="83"/>
      <c r="D121" s="83">
        <v>100</v>
      </c>
      <c r="E121" s="90">
        <v>-6.5000000000000002E-2</v>
      </c>
      <c r="F121" s="90">
        <v>4.5</v>
      </c>
      <c r="G121" s="90">
        <v>0.2</v>
      </c>
      <c r="H121" s="83"/>
      <c r="I121" s="110">
        <f>0.1*D121/(5*0.02)</f>
        <v>100</v>
      </c>
      <c r="J121" s="87">
        <f>E121*G121</f>
        <v>-1.3000000000000001E-2</v>
      </c>
      <c r="K121" s="87">
        <f>100*RADIANS(G121*F121/60)</f>
        <v>2.6179938779914945E-2</v>
      </c>
      <c r="L121" s="83"/>
      <c r="P121" s="36"/>
      <c r="Q121" t="str">
        <f>COMPLEX(J121/100,K121/100)</f>
        <v>-0.00013+0.000261799387799149i</v>
      </c>
      <c r="R121" s="7" t="str">
        <f>IMSUB(Q121,Q122)</f>
        <v>0.00123+0.000058177641733144i</v>
      </c>
      <c r="S121" s="7" t="str">
        <f>IMSUB(1,R121)</f>
        <v>0.99877-0.000058177641733144i</v>
      </c>
      <c r="T121" s="7" t="str">
        <f>IMDIV(R121,S121)</f>
        <v>0.0012315113660006+0.0000583210230184982i</v>
      </c>
      <c r="U121" s="7" t="str">
        <f>IMPRODUCT(T121,O118)</f>
        <v>0.12315113660006+0.00583210230184982i</v>
      </c>
      <c r="V121" s="7">
        <f>IMREAL(U121)</f>
        <v>0.12315113660006</v>
      </c>
      <c r="W121" s="7">
        <f>IMAGINARY(U121)</f>
        <v>5.8321023018498199E-3</v>
      </c>
      <c r="X121" s="254"/>
      <c r="Y121" s="253"/>
      <c r="Z121" s="253"/>
      <c r="AB121" s="29"/>
      <c r="AC121" s="254"/>
      <c r="AK121">
        <v>1.25</v>
      </c>
      <c r="AL121" s="29">
        <f>AE168</f>
        <v>4.936999999999999E-2</v>
      </c>
      <c r="AM121" s="29">
        <f>AE169</f>
        <v>4.9669999999999992E-2</v>
      </c>
      <c r="AR121" s="29"/>
      <c r="AS121" s="29"/>
      <c r="AU121" s="29"/>
      <c r="AV121" s="29"/>
    </row>
    <row r="122" spans="1:49" x14ac:dyDescent="0.2">
      <c r="A122" s="69">
        <v>122</v>
      </c>
      <c r="B122" s="90" t="s">
        <v>325</v>
      </c>
      <c r="C122" s="83"/>
      <c r="D122" s="83">
        <v>100</v>
      </c>
      <c r="E122" s="90">
        <v>-0.13600000000000001</v>
      </c>
      <c r="F122" s="90">
        <v>0.7</v>
      </c>
      <c r="G122" s="90">
        <v>1</v>
      </c>
      <c r="H122" s="83"/>
      <c r="I122" s="110">
        <f>0.1*D122/(5*0.02)</f>
        <v>100</v>
      </c>
      <c r="J122" s="87">
        <f>E122*G122</f>
        <v>-0.13600000000000001</v>
      </c>
      <c r="K122" s="87">
        <f>100*RADIANS(G122*F122/60)</f>
        <v>2.036217460660051E-2</v>
      </c>
      <c r="L122" s="83"/>
      <c r="P122" s="36"/>
      <c r="Q122" t="str">
        <f>COMPLEX(J122/100,K122/100)</f>
        <v>-0.00136+0.000203621746066005i</v>
      </c>
      <c r="R122" s="7"/>
      <c r="S122" s="7"/>
      <c r="T122" s="7"/>
      <c r="U122" s="7"/>
      <c r="V122" s="7"/>
      <c r="W122" s="7"/>
      <c r="X122" s="29"/>
      <c r="Y122" s="253"/>
      <c r="Z122" s="253"/>
      <c r="AL122" s="29"/>
      <c r="AM122" s="29"/>
      <c r="AN122" s="29"/>
      <c r="AO122" s="29"/>
    </row>
    <row r="123" spans="1:49" x14ac:dyDescent="0.2">
      <c r="A123" s="69">
        <v>123</v>
      </c>
      <c r="B123" s="85"/>
      <c r="C123" s="85"/>
      <c r="D123" s="85"/>
      <c r="E123" s="69"/>
      <c r="F123" s="69"/>
      <c r="G123" s="83"/>
      <c r="H123" s="85"/>
      <c r="I123" s="85"/>
      <c r="J123" s="85"/>
      <c r="K123" s="85"/>
      <c r="L123" s="85"/>
      <c r="M123" s="38"/>
      <c r="N123" s="38"/>
      <c r="O123" s="38"/>
      <c r="P123" s="40"/>
      <c r="Q123" s="7"/>
      <c r="R123" s="7"/>
      <c r="S123" s="7"/>
      <c r="T123" s="7"/>
      <c r="U123" s="7"/>
      <c r="V123" s="7"/>
      <c r="W123" s="7"/>
      <c r="X123" s="29"/>
      <c r="Y123" s="29"/>
      <c r="Z123" s="29"/>
      <c r="AL123" s="29"/>
      <c r="AM123" s="29"/>
      <c r="AN123" s="29"/>
      <c r="AO123" s="29"/>
      <c r="AR123" s="29"/>
      <c r="AS123" s="29"/>
      <c r="AU123" s="29"/>
      <c r="AV123" s="29"/>
    </row>
    <row r="124" spans="1:49" x14ac:dyDescent="0.2">
      <c r="A124" s="69">
        <v>124</v>
      </c>
      <c r="B124" s="69"/>
      <c r="C124" s="88"/>
      <c r="D124" s="69"/>
      <c r="E124" s="79"/>
      <c r="F124" s="79"/>
      <c r="G124" s="79"/>
      <c r="H124" s="69"/>
      <c r="I124" s="70"/>
      <c r="J124" s="71"/>
      <c r="K124" s="71"/>
      <c r="M124" s="373" t="s">
        <v>379</v>
      </c>
      <c r="N124" s="374"/>
      <c r="O124" s="375">
        <v>100</v>
      </c>
      <c r="X124" s="42"/>
      <c r="AK124">
        <v>0</v>
      </c>
      <c r="AL124" s="29">
        <f>AF160</f>
        <v>0</v>
      </c>
      <c r="AM124" s="29">
        <f>AF161</f>
        <v>0</v>
      </c>
      <c r="AN124" s="29"/>
      <c r="AO124" s="29"/>
      <c r="AR124" s="29"/>
      <c r="AS124" s="29"/>
      <c r="AU124" s="29"/>
      <c r="AV124" s="29"/>
    </row>
    <row r="125" spans="1:49" x14ac:dyDescent="0.2">
      <c r="A125" s="69">
        <v>125</v>
      </c>
      <c r="B125" s="111">
        <v>42982</v>
      </c>
      <c r="C125" s="526" t="s">
        <v>450</v>
      </c>
      <c r="D125" s="69"/>
      <c r="E125" s="85"/>
      <c r="F125" s="85"/>
      <c r="G125" s="85"/>
      <c r="H125" s="69"/>
      <c r="I125" s="69"/>
      <c r="J125" s="69"/>
      <c r="K125" s="69"/>
      <c r="M125" s="373" t="s">
        <v>379</v>
      </c>
      <c r="N125" s="374"/>
      <c r="O125" s="375">
        <v>100</v>
      </c>
      <c r="X125" s="42"/>
      <c r="AK125">
        <v>1.25</v>
      </c>
      <c r="AL125" s="29">
        <f>AF168</f>
        <v>5.2359877559829925E-4</v>
      </c>
      <c r="AM125" s="29">
        <f>AF169</f>
        <v>1.3526301702956058E-3</v>
      </c>
      <c r="AN125" s="29"/>
      <c r="AO125" s="29"/>
      <c r="AR125" s="29"/>
      <c r="AS125" s="29"/>
      <c r="AU125" s="29"/>
      <c r="AV125" s="29"/>
    </row>
    <row r="126" spans="1:49" x14ac:dyDescent="0.2">
      <c r="A126" s="69">
        <v>126</v>
      </c>
      <c r="B126" s="89" t="s">
        <v>322</v>
      </c>
      <c r="C126" s="79"/>
      <c r="D126" s="79">
        <v>70</v>
      </c>
      <c r="E126" s="90">
        <v>-7.5999999999999998E-2</v>
      </c>
      <c r="F126" s="90">
        <v>5.7</v>
      </c>
      <c r="G126" s="90">
        <v>0.2</v>
      </c>
      <c r="H126" s="79"/>
      <c r="I126" s="108">
        <f>0.1*D126/(5*0.02)</f>
        <v>70</v>
      </c>
      <c r="J126" s="109">
        <f>E126*G126</f>
        <v>-1.52E-2</v>
      </c>
      <c r="K126" s="109">
        <f>100*RADIANS(G126*F126/60)</f>
        <v>3.3161255787892266E-2</v>
      </c>
      <c r="L126" s="79"/>
      <c r="M126" s="7" t="s">
        <v>158</v>
      </c>
      <c r="N126" s="159">
        <f>-O124*(J127-J126)/100</f>
        <v>0.17080000000000001</v>
      </c>
      <c r="O126" s="159">
        <f>-O124*(K127-K126)/100</f>
        <v>6.981317007977321E-3</v>
      </c>
      <c r="P126" s="11"/>
      <c r="Q126" t="str">
        <f>COMPLEX(J126/100,K126/100)</f>
        <v>-0.000152+0.000331612557878923i</v>
      </c>
      <c r="R126" s="7" t="str">
        <f>IMSUB(Q126,Q127)</f>
        <v>0.001708+0.000069813170079774i</v>
      </c>
      <c r="S126" s="7" t="str">
        <f>IMSUB(1,R126)</f>
        <v>0.998292-0.000069813170079774i</v>
      </c>
      <c r="T126" s="7" t="str">
        <f>IMDIV(R126,S126)</f>
        <v>0.0017109173562739+0.0000700522639109199i</v>
      </c>
      <c r="U126" s="7" t="str">
        <f>IMPRODUCT(T126,O124)</f>
        <v>0.17109173562739+0.00700522639109199i</v>
      </c>
      <c r="V126" s="7">
        <f>IMREAL(U126)</f>
        <v>0.17109173562739</v>
      </c>
      <c r="W126" s="7">
        <f>IMAGINARY(U126)</f>
        <v>7.0052263910919902E-3</v>
      </c>
      <c r="X126" s="42"/>
      <c r="Y126" s="252" t="s">
        <v>239</v>
      </c>
      <c r="Z126" s="252"/>
      <c r="AE126" s="29">
        <f>N126-$N$154</f>
        <v>0.14860000000000001</v>
      </c>
      <c r="AF126" s="29">
        <f>O126-$O$154</f>
        <v>5.817764173314437E-3</v>
      </c>
      <c r="AG126" s="29">
        <f>AF126-AF127</f>
        <v>-5.8177641733143763E-4</v>
      </c>
      <c r="AL126" s="29"/>
      <c r="AM126" s="29"/>
      <c r="AN126" s="29"/>
      <c r="AO126" s="29"/>
      <c r="AR126" s="29"/>
      <c r="AS126" s="29"/>
      <c r="AU126" s="29"/>
      <c r="AV126" s="29"/>
    </row>
    <row r="127" spans="1:49" x14ac:dyDescent="0.2">
      <c r="A127" s="69">
        <v>127</v>
      </c>
      <c r="B127" s="90" t="s">
        <v>323</v>
      </c>
      <c r="C127" s="83"/>
      <c r="D127" s="83">
        <v>70</v>
      </c>
      <c r="E127" s="90">
        <v>-0.186</v>
      </c>
      <c r="F127" s="90">
        <v>0.9</v>
      </c>
      <c r="G127" s="90">
        <v>1</v>
      </c>
      <c r="H127" s="83"/>
      <c r="I127" s="110">
        <f>0.1*D127/(5*0.02)</f>
        <v>70</v>
      </c>
      <c r="J127" s="87">
        <f>E127*G127</f>
        <v>-0.186</v>
      </c>
      <c r="K127" s="87">
        <f>100*RADIANS(G127*F127/60)</f>
        <v>2.6179938779914945E-2</v>
      </c>
      <c r="L127" s="83"/>
      <c r="M127" s="7" t="s">
        <v>44</v>
      </c>
      <c r="N127" s="159">
        <f>-O125*(J129-J128)/100</f>
        <v>0.1724</v>
      </c>
      <c r="O127" s="159">
        <f>-O125*(K129-K128)/100</f>
        <v>8.1448698426402066E-3</v>
      </c>
      <c r="P127" s="36"/>
      <c r="Q127" t="str">
        <f>COMPLEX(J127/100,K127/100)</f>
        <v>-0.00186+0.000261799387799149i</v>
      </c>
      <c r="R127" s="7"/>
      <c r="S127" s="7"/>
      <c r="T127" s="7"/>
      <c r="U127" s="7"/>
      <c r="V127" s="7"/>
      <c r="W127" s="7"/>
      <c r="X127" s="42"/>
      <c r="Y127" s="100" t="s">
        <v>448</v>
      </c>
      <c r="Z127" s="100"/>
      <c r="AA127" s="100"/>
      <c r="AB127" s="100"/>
      <c r="AC127" s="100"/>
      <c r="AE127" s="29">
        <f>N127-$N$155</f>
        <v>0.1502</v>
      </c>
      <c r="AF127" s="29">
        <f>O127-$O$155</f>
        <v>6.3995405906458747E-3</v>
      </c>
      <c r="AL127" s="29"/>
      <c r="AM127" s="29"/>
      <c r="AN127" s="29"/>
      <c r="AO127" s="29"/>
      <c r="AR127" s="29"/>
      <c r="AS127" s="29"/>
      <c r="AU127" s="29"/>
      <c r="AV127" s="29"/>
    </row>
    <row r="128" spans="1:49" x14ac:dyDescent="0.2">
      <c r="A128" s="69">
        <v>128</v>
      </c>
      <c r="B128" s="90" t="s">
        <v>324</v>
      </c>
      <c r="C128" s="83"/>
      <c r="D128" s="83">
        <v>100</v>
      </c>
      <c r="E128" s="90">
        <v>-7.8E-2</v>
      </c>
      <c r="F128" s="90">
        <v>5.4</v>
      </c>
      <c r="G128" s="90">
        <v>0.2</v>
      </c>
      <c r="H128" s="83"/>
      <c r="I128" s="110">
        <f>0.1*D128/(5*0.02)</f>
        <v>100</v>
      </c>
      <c r="J128" s="87">
        <f>E128*G128</f>
        <v>-1.5600000000000001E-2</v>
      </c>
      <c r="K128" s="87">
        <f>100*RADIANS(G128*F128/60)</f>
        <v>3.1415926535897934E-2</v>
      </c>
      <c r="L128" s="83"/>
      <c r="P128" s="36"/>
      <c r="Q128" t="str">
        <f>COMPLEX(J128/100,K128/100)</f>
        <v>-0.000156+0.000314159265358979i</v>
      </c>
      <c r="R128" s="7" t="str">
        <f>IMSUB(Q128,Q129)</f>
        <v>0.001724+0.000081448698426402i</v>
      </c>
      <c r="S128" s="7" t="str">
        <f>IMSUB(1,R128)</f>
        <v>0.998276-0.000081448698426402i</v>
      </c>
      <c r="T128" s="7" t="str">
        <f>IMDIV(R128,S128)</f>
        <v>0.00172697064056095+0.0000817302609071001i</v>
      </c>
      <c r="U128" s="7" t="str">
        <f>IMPRODUCT(T128,O125)</f>
        <v>0.172697064056095+0.00817302609071001i</v>
      </c>
      <c r="V128" s="7">
        <f>IMREAL(U128)</f>
        <v>0.172697064056095</v>
      </c>
      <c r="W128" s="7">
        <f>IMAGINARY(U128)</f>
        <v>8.1730260907100106E-3</v>
      </c>
      <c r="X128" s="254"/>
      <c r="Y128" s="253"/>
      <c r="Z128" s="253"/>
      <c r="AB128" s="29"/>
      <c r="AC128" s="254"/>
      <c r="AR128" s="29"/>
      <c r="AS128" s="29"/>
      <c r="AU128" s="29"/>
      <c r="AV128" s="29"/>
    </row>
    <row r="129" spans="1:59" x14ac:dyDescent="0.2">
      <c r="A129" s="69">
        <v>129</v>
      </c>
      <c r="B129" s="90" t="s">
        <v>325</v>
      </c>
      <c r="C129" s="83"/>
      <c r="D129" s="83">
        <v>100</v>
      </c>
      <c r="E129" s="90">
        <v>-0.188</v>
      </c>
      <c r="F129" s="90">
        <v>0.8</v>
      </c>
      <c r="G129" s="90">
        <v>1</v>
      </c>
      <c r="H129" s="83"/>
      <c r="I129" s="110">
        <f>0.1*D129/(5*0.02)</f>
        <v>100</v>
      </c>
      <c r="J129" s="87">
        <f>E129*G129</f>
        <v>-0.188</v>
      </c>
      <c r="K129" s="87">
        <f>100*RADIANS(G129*F129/60)</f>
        <v>2.3271056693257727E-2</v>
      </c>
      <c r="L129" s="83"/>
      <c r="P129" s="36"/>
      <c r="Q129" t="str">
        <f>COMPLEX(J129/100,K129/100)</f>
        <v>-0.00188+0.000232710566932577i</v>
      </c>
      <c r="R129" s="7"/>
      <c r="S129" s="7"/>
      <c r="T129" s="7"/>
      <c r="U129" s="7"/>
      <c r="V129" s="7"/>
      <c r="W129" s="7"/>
      <c r="X129" s="29"/>
      <c r="Y129" s="253"/>
      <c r="Z129" s="253"/>
      <c r="AL129" s="29"/>
      <c r="AM129" s="29"/>
      <c r="AN129" s="29"/>
      <c r="AO129" s="29"/>
    </row>
    <row r="130" spans="1:59" x14ac:dyDescent="0.2">
      <c r="A130" s="69">
        <v>130</v>
      </c>
      <c r="B130" s="85"/>
      <c r="C130" s="85"/>
      <c r="D130" s="85"/>
      <c r="E130" s="69"/>
      <c r="F130" s="69"/>
      <c r="G130" s="83"/>
      <c r="H130" s="85"/>
      <c r="I130" s="85"/>
      <c r="J130" s="85"/>
      <c r="K130" s="85"/>
      <c r="L130" s="85"/>
      <c r="M130" s="38"/>
      <c r="N130" s="38"/>
      <c r="O130" s="38"/>
      <c r="P130" s="40"/>
      <c r="Q130" s="7"/>
      <c r="R130" s="7"/>
      <c r="S130" s="7"/>
      <c r="T130" s="7"/>
      <c r="U130" s="7"/>
      <c r="V130" s="7"/>
      <c r="W130" s="7"/>
      <c r="X130" s="29"/>
      <c r="Y130" s="29"/>
      <c r="Z130" s="29"/>
      <c r="AL130" s="29"/>
      <c r="AM130" s="29"/>
      <c r="AN130" s="29"/>
      <c r="AO130" s="29"/>
      <c r="AR130" s="29"/>
      <c r="AS130" s="29"/>
      <c r="AU130" s="29"/>
      <c r="AV130" s="29"/>
    </row>
    <row r="131" spans="1:59" x14ac:dyDescent="0.2">
      <c r="A131" s="69">
        <v>131</v>
      </c>
      <c r="B131" s="69"/>
      <c r="C131" s="88"/>
      <c r="D131" s="69"/>
      <c r="E131" s="79"/>
      <c r="F131" s="79"/>
      <c r="G131" s="79"/>
      <c r="H131" s="69"/>
      <c r="I131" s="70"/>
      <c r="J131" s="71"/>
      <c r="K131" s="71"/>
      <c r="M131" s="373" t="s">
        <v>379</v>
      </c>
      <c r="N131" s="374"/>
      <c r="O131" s="375">
        <v>100</v>
      </c>
      <c r="X131" s="42"/>
      <c r="AL131" s="29"/>
      <c r="AM131" s="29"/>
      <c r="AN131" s="29"/>
      <c r="AO131" s="29"/>
      <c r="AR131" s="29"/>
      <c r="AS131" s="29"/>
      <c r="AU131" s="29"/>
      <c r="AV131" s="29"/>
    </row>
    <row r="132" spans="1:59" x14ac:dyDescent="0.2">
      <c r="A132" s="69">
        <v>132</v>
      </c>
      <c r="B132" s="111">
        <v>42982</v>
      </c>
      <c r="C132" s="526" t="s">
        <v>451</v>
      </c>
      <c r="D132" s="69"/>
      <c r="E132" s="85"/>
      <c r="F132" s="85"/>
      <c r="G132" s="85"/>
      <c r="H132" s="69"/>
      <c r="I132" s="69"/>
      <c r="J132" s="69"/>
      <c r="K132" s="69"/>
      <c r="M132" s="373" t="s">
        <v>379</v>
      </c>
      <c r="N132" s="374"/>
      <c r="O132" s="375">
        <v>100</v>
      </c>
      <c r="X132" s="42"/>
      <c r="AL132" s="531" t="s">
        <v>461</v>
      </c>
      <c r="AM132" s="29"/>
      <c r="AN132" s="29"/>
      <c r="AO132" s="29"/>
      <c r="AR132" s="29"/>
      <c r="AS132" s="29"/>
      <c r="AU132" s="29"/>
      <c r="AV132" s="29"/>
    </row>
    <row r="133" spans="1:59" x14ac:dyDescent="0.2">
      <c r="A133" s="69">
        <v>133</v>
      </c>
      <c r="B133" s="89" t="s">
        <v>322</v>
      </c>
      <c r="C133" s="79"/>
      <c r="D133" s="79">
        <v>70</v>
      </c>
      <c r="E133" s="90">
        <v>-0.14699999999999999</v>
      </c>
      <c r="F133" s="90">
        <v>5</v>
      </c>
      <c r="G133" s="90">
        <v>0.2</v>
      </c>
      <c r="H133" s="79"/>
      <c r="I133" s="108">
        <f>0.1*D133/(5*0.02)</f>
        <v>70</v>
      </c>
      <c r="J133" s="109">
        <f>E133*G133</f>
        <v>-2.9399999999999999E-2</v>
      </c>
      <c r="K133" s="109">
        <f>100*RADIANS(G133*F133/60)</f>
        <v>2.9088820866572159E-2</v>
      </c>
      <c r="L133" s="79"/>
      <c r="M133" s="7" t="s">
        <v>158</v>
      </c>
      <c r="N133" s="159">
        <f>-O131*(J134-J133)/100</f>
        <v>0.18759999999999999</v>
      </c>
      <c r="O133" s="159">
        <f>-O131*(K134-K133)/100</f>
        <v>0.11926416555294587</v>
      </c>
      <c r="P133" s="11"/>
      <c r="Q133" t="str">
        <f>COMPLEX(J133/100,K133/100)</f>
        <v>-0.000294+0.000290888208665722i</v>
      </c>
      <c r="R133" s="7" t="str">
        <f>IMSUB(Q133,Q134)</f>
        <v>0.001876+0.00119264165552946i</v>
      </c>
      <c r="S133" s="7" t="str">
        <f>IMSUB(1,R133)</f>
        <v>0.998124-0.00119264165552946i</v>
      </c>
      <c r="T133" s="7" t="str">
        <f>IMDIV(R133,S133)</f>
        <v>0.00187809556331853+0.00119712736146144i</v>
      </c>
      <c r="U133" s="7" t="str">
        <f>IMPRODUCT(T133,O131)</f>
        <v>0.187809556331853+0.119712736146144i</v>
      </c>
      <c r="V133" s="7">
        <f>IMREAL(U133)</f>
        <v>0.18780955633185301</v>
      </c>
      <c r="W133" s="7">
        <f>IMAGINARY(U133)</f>
        <v>0.119712736146144</v>
      </c>
      <c r="X133" s="42"/>
      <c r="Y133" s="252" t="s">
        <v>239</v>
      </c>
      <c r="Z133" s="252"/>
      <c r="AE133" s="29">
        <f>N133-$N$154</f>
        <v>0.16539999999999999</v>
      </c>
      <c r="AF133" s="29">
        <f>O133-$O$154</f>
        <v>0.118100612718283</v>
      </c>
      <c r="AG133" s="29">
        <f>AF133-AF134</f>
        <v>5.8177641733145324E-4</v>
      </c>
      <c r="AL133" s="29"/>
      <c r="AM133" s="29"/>
      <c r="AN133" s="29"/>
      <c r="AO133" s="29"/>
      <c r="AR133" s="29"/>
      <c r="AS133" s="29"/>
      <c r="AU133" s="29"/>
      <c r="AV133" s="29"/>
    </row>
    <row r="134" spans="1:59" x14ac:dyDescent="0.2">
      <c r="A134" s="69">
        <v>134</v>
      </c>
      <c r="B134" s="90" t="s">
        <v>323</v>
      </c>
      <c r="C134" s="83"/>
      <c r="D134" s="83">
        <v>70</v>
      </c>
      <c r="E134" s="90">
        <v>-0.217</v>
      </c>
      <c r="F134" s="90">
        <v>-3.1</v>
      </c>
      <c r="G134" s="90">
        <v>1</v>
      </c>
      <c r="H134" s="83"/>
      <c r="I134" s="110">
        <f>0.1*D134/(5*0.02)</f>
        <v>70</v>
      </c>
      <c r="J134" s="87">
        <f>E134*G134</f>
        <v>-0.217</v>
      </c>
      <c r="K134" s="87">
        <f>100*RADIANS(G134*F134/60)</f>
        <v>-9.0175344686373698E-2</v>
      </c>
      <c r="L134" s="83"/>
      <c r="M134" s="7" t="s">
        <v>44</v>
      </c>
      <c r="N134" s="159">
        <f>-O132*(J136-J135)/100</f>
        <v>0.18640000000000001</v>
      </c>
      <c r="O134" s="159">
        <f>-O132*(K136-K135)/100</f>
        <v>0.11926416555294587</v>
      </c>
      <c r="P134" s="36"/>
      <c r="Q134" t="str">
        <f>COMPLEX(J134/100,K134/100)</f>
        <v>-0.00217-0.000901753446863737i</v>
      </c>
      <c r="R134" s="7"/>
      <c r="S134" s="7"/>
      <c r="T134" s="7"/>
      <c r="U134" s="7"/>
      <c r="V134" s="7"/>
      <c r="W134" s="7"/>
      <c r="X134" s="42"/>
      <c r="Y134" s="100" t="s">
        <v>448</v>
      </c>
      <c r="Z134" s="100"/>
      <c r="AA134" s="100"/>
      <c r="AB134" s="100"/>
      <c r="AC134" s="100"/>
      <c r="AE134" s="29">
        <f>N134-$N$155</f>
        <v>0.16420000000000001</v>
      </c>
      <c r="AF134" s="29">
        <f>O134-$O$155</f>
        <v>0.11751883630095154</v>
      </c>
      <c r="AL134" s="46" t="s">
        <v>462</v>
      </c>
      <c r="AR134" s="29"/>
      <c r="AS134" s="29"/>
      <c r="AU134" s="29"/>
      <c r="AV134" s="29"/>
      <c r="BG134" s="28"/>
    </row>
    <row r="135" spans="1:59" x14ac:dyDescent="0.2">
      <c r="A135" s="69">
        <v>135</v>
      </c>
      <c r="B135" s="90" t="s">
        <v>324</v>
      </c>
      <c r="C135" s="83"/>
      <c r="D135" s="83">
        <v>100</v>
      </c>
      <c r="E135" s="90">
        <v>-0.14299999999999999</v>
      </c>
      <c r="F135" s="90">
        <v>4.5</v>
      </c>
      <c r="G135" s="90">
        <v>0.2</v>
      </c>
      <c r="H135" s="83"/>
      <c r="I135" s="110">
        <f>0.1*D135/(5*0.02)</f>
        <v>100</v>
      </c>
      <c r="J135" s="87">
        <f>E135*G135</f>
        <v>-2.86E-2</v>
      </c>
      <c r="K135" s="87">
        <f>100*RADIANS(G135*F135/60)</f>
        <v>2.6179938779914945E-2</v>
      </c>
      <c r="L135" s="83"/>
      <c r="P135" s="36"/>
      <c r="Q135" t="str">
        <f>COMPLEX(J135/100,K135/100)</f>
        <v>-0.000286+0.000261799387799149i</v>
      </c>
      <c r="R135" s="7" t="str">
        <f>IMSUB(Q135,Q136)</f>
        <v>0.001864+0.00119264165552946i</v>
      </c>
      <c r="S135" s="7" t="str">
        <f>IMSUB(1,R135)</f>
        <v>0.998136-0.00119264165552946i</v>
      </c>
      <c r="T135" s="7" t="str">
        <f>IMDIV(R135,S135)</f>
        <v>0.00186605060870597+0.00119709857696419i</v>
      </c>
      <c r="U135" s="7" t="str">
        <f>IMPRODUCT(T135,O132)</f>
        <v>0.186605060870597+0.119709857696419i</v>
      </c>
      <c r="V135" s="7">
        <f>IMREAL(U135)</f>
        <v>0.186605060870597</v>
      </c>
      <c r="W135" s="7">
        <f>IMAGINARY(U135)</f>
        <v>0.11970985769641899</v>
      </c>
      <c r="X135" s="254"/>
      <c r="Y135" s="253"/>
      <c r="Z135" s="253"/>
      <c r="AB135" s="29"/>
      <c r="AC135" s="254"/>
      <c r="AL135">
        <v>100</v>
      </c>
      <c r="AM135">
        <v>50</v>
      </c>
      <c r="AN135">
        <v>10</v>
      </c>
      <c r="AR135" s="29"/>
      <c r="AS135" s="29"/>
      <c r="AU135" s="29"/>
      <c r="AV135" s="29"/>
      <c r="BG135" s="28"/>
    </row>
    <row r="136" spans="1:59" x14ac:dyDescent="0.2">
      <c r="A136" s="69">
        <v>136</v>
      </c>
      <c r="B136" s="90" t="s">
        <v>325</v>
      </c>
      <c r="C136" s="83"/>
      <c r="D136" s="83">
        <v>100</v>
      </c>
      <c r="E136" s="90">
        <v>-0.215</v>
      </c>
      <c r="F136" s="90">
        <v>-3.2</v>
      </c>
      <c r="G136" s="90">
        <v>1</v>
      </c>
      <c r="H136" s="83"/>
      <c r="I136" s="110">
        <f>0.1*D136/(5*0.02)</f>
        <v>100</v>
      </c>
      <c r="J136" s="87">
        <f>E136*G136</f>
        <v>-0.215</v>
      </c>
      <c r="K136" s="87">
        <f>100*RADIANS(G136*F136/60)</f>
        <v>-9.3084226773030909E-2</v>
      </c>
      <c r="L136" s="83"/>
      <c r="P136" s="36"/>
      <c r="Q136" t="str">
        <f>COMPLEX(J136/100,K136/100)</f>
        <v>-0.00215-0.000930842267730309i</v>
      </c>
      <c r="R136" s="7"/>
      <c r="S136" s="7"/>
      <c r="T136" s="7"/>
      <c r="U136" s="7"/>
      <c r="V136" s="7"/>
      <c r="W136" s="7"/>
      <c r="X136" s="29"/>
      <c r="Y136" s="253"/>
      <c r="Z136" s="253"/>
      <c r="AK136" s="41">
        <v>0.7</v>
      </c>
      <c r="AL136" s="29">
        <f>AL102</f>
        <v>4.9600000000000005E-2</v>
      </c>
      <c r="AM136" s="29">
        <f>AR102</f>
        <v>4.9349999999999991E-2</v>
      </c>
      <c r="AN136" s="29">
        <f>AL121</f>
        <v>4.936999999999999E-2</v>
      </c>
    </row>
    <row r="137" spans="1:59" x14ac:dyDescent="0.2">
      <c r="A137" s="69">
        <v>137</v>
      </c>
      <c r="B137" s="90"/>
      <c r="C137" s="83"/>
      <c r="D137" s="83"/>
      <c r="E137" s="90"/>
      <c r="F137" s="90"/>
      <c r="G137" s="90"/>
      <c r="H137" s="83"/>
      <c r="I137" s="110"/>
      <c r="J137" s="87"/>
      <c r="K137" s="87"/>
      <c r="L137" s="83"/>
      <c r="P137" s="40"/>
      <c r="Q137" s="7"/>
      <c r="R137" s="7"/>
      <c r="S137" s="7"/>
      <c r="T137" s="7"/>
      <c r="U137" s="7"/>
      <c r="V137" s="7"/>
      <c r="W137" s="7"/>
      <c r="X137" s="29"/>
      <c r="Y137" s="253"/>
      <c r="Z137" s="253"/>
      <c r="AK137" s="41">
        <v>1</v>
      </c>
      <c r="AL137" s="29">
        <f>AM102</f>
        <v>5.0200000000000009E-2</v>
      </c>
      <c r="AM137" s="29">
        <f>AS102</f>
        <v>4.9750000000000003E-2</v>
      </c>
      <c r="AN137" s="29">
        <f>AM121</f>
        <v>4.9669999999999992E-2</v>
      </c>
      <c r="AR137" s="29"/>
      <c r="AS137" s="29"/>
      <c r="AU137" s="29"/>
      <c r="AV137" s="29"/>
    </row>
    <row r="138" spans="1:59" x14ac:dyDescent="0.2">
      <c r="A138" s="69">
        <v>138</v>
      </c>
      <c r="B138" s="79"/>
      <c r="C138" s="527"/>
      <c r="D138" s="79"/>
      <c r="E138" s="79"/>
      <c r="F138" s="79"/>
      <c r="G138" s="79"/>
      <c r="H138" s="79"/>
      <c r="I138" s="108"/>
      <c r="J138" s="109"/>
      <c r="K138" s="109"/>
      <c r="L138" s="11"/>
      <c r="M138" s="373" t="s">
        <v>379</v>
      </c>
      <c r="N138" s="374"/>
      <c r="O138" s="375">
        <v>100</v>
      </c>
      <c r="P138" s="43"/>
      <c r="Q138" s="7"/>
      <c r="R138" s="7"/>
      <c r="S138" s="7"/>
      <c r="T138" s="7"/>
      <c r="U138" s="7"/>
      <c r="V138" s="7"/>
      <c r="W138" s="7"/>
      <c r="X138" s="42"/>
      <c r="AL138" s="29"/>
      <c r="AM138" s="29"/>
      <c r="AN138" s="29"/>
      <c r="AR138" s="29"/>
      <c r="AS138" s="29"/>
      <c r="AU138" s="29"/>
      <c r="AV138" s="29"/>
    </row>
    <row r="139" spans="1:59" x14ac:dyDescent="0.2">
      <c r="A139" s="69">
        <v>139</v>
      </c>
      <c r="B139" s="528">
        <v>42982</v>
      </c>
      <c r="C139" s="529" t="s">
        <v>452</v>
      </c>
      <c r="D139" s="85"/>
      <c r="E139" s="85"/>
      <c r="F139" s="85"/>
      <c r="G139" s="85"/>
      <c r="H139" s="85"/>
      <c r="I139" s="85"/>
      <c r="J139" s="85"/>
      <c r="K139" s="85"/>
      <c r="L139" s="40"/>
      <c r="M139" s="373" t="s">
        <v>379</v>
      </c>
      <c r="N139" s="374"/>
      <c r="O139" s="375">
        <v>100</v>
      </c>
      <c r="P139" s="39"/>
      <c r="Q139" s="7"/>
      <c r="R139" s="7"/>
      <c r="S139" s="7"/>
      <c r="T139" s="7"/>
      <c r="U139" s="7"/>
      <c r="V139" s="7"/>
      <c r="W139" s="7"/>
      <c r="X139" s="42"/>
      <c r="AL139" s="29"/>
      <c r="AM139" s="29"/>
      <c r="AN139" s="29"/>
    </row>
    <row r="140" spans="1:59" x14ac:dyDescent="0.2">
      <c r="A140" s="69">
        <v>140</v>
      </c>
      <c r="B140" s="90" t="s">
        <v>322</v>
      </c>
      <c r="C140" s="83"/>
      <c r="D140" s="83">
        <v>70</v>
      </c>
      <c r="E140" s="90">
        <v>-0.19600000000000001</v>
      </c>
      <c r="F140" s="90">
        <v>5.8</v>
      </c>
      <c r="G140" s="90">
        <v>0.2</v>
      </c>
      <c r="H140" s="83"/>
      <c r="I140" s="110">
        <f>0.1*D140/(5*0.02)</f>
        <v>70</v>
      </c>
      <c r="J140" s="87">
        <f>E140*G140</f>
        <v>-3.9200000000000006E-2</v>
      </c>
      <c r="K140" s="87">
        <f>100*RADIANS(G140*F140/60)</f>
        <v>3.3743032205223698E-2</v>
      </c>
      <c r="L140" s="83"/>
      <c r="M140" s="7" t="s">
        <v>158</v>
      </c>
      <c r="N140" s="159">
        <f>-O138*(J141-J140)/100</f>
        <v>0.27379999999999999</v>
      </c>
      <c r="O140" s="159">
        <f>-O138*(K141-K140)/100</f>
        <v>0.17627825445142731</v>
      </c>
      <c r="P140" s="11"/>
      <c r="Q140" t="str">
        <f>COMPLEX(J140/100,K140/100)</f>
        <v>-0.000392+0.000337430322052237i</v>
      </c>
      <c r="R140" s="7" t="str">
        <f>IMSUB(Q140,Q141)</f>
        <v>0.002738+0.00176278254451428i</v>
      </c>
      <c r="S140" s="7" t="str">
        <f>IMSUB(1,R140)</f>
        <v>0.997262-0.00176278254451428i</v>
      </c>
      <c r="T140" s="7" t="str">
        <f>IMDIV(R140,S140)</f>
        <v>0.00274238416904173+0.00177246979375312i</v>
      </c>
      <c r="U140" s="7" t="str">
        <f>IMPRODUCT(T140,O138)</f>
        <v>0.274238416904173+0.177246979375312i</v>
      </c>
      <c r="V140" s="7">
        <f>IMREAL(U140)</f>
        <v>0.274238416904173</v>
      </c>
      <c r="W140" s="7">
        <f>IMAGINARY(U140)</f>
        <v>0.177246979375312</v>
      </c>
      <c r="X140" s="42"/>
      <c r="Y140" s="252" t="s">
        <v>239</v>
      </c>
      <c r="Z140" s="252"/>
      <c r="AE140" s="29">
        <f>N140-$N$154</f>
        <v>0.25159999999999999</v>
      </c>
      <c r="AF140" s="29">
        <f>O140-$O$154</f>
        <v>0.17511470161676443</v>
      </c>
      <c r="AG140" s="29">
        <f>AF140-AF141</f>
        <v>5.8177641733145324E-4</v>
      </c>
      <c r="AL140">
        <v>100</v>
      </c>
      <c r="AM140">
        <v>50</v>
      </c>
      <c r="AN140">
        <v>10</v>
      </c>
    </row>
    <row r="141" spans="1:59" x14ac:dyDescent="0.2">
      <c r="A141" s="69">
        <v>141</v>
      </c>
      <c r="B141" s="90" t="s">
        <v>323</v>
      </c>
      <c r="C141" s="83"/>
      <c r="D141" s="83">
        <v>70</v>
      </c>
      <c r="E141" s="90">
        <v>-0.313</v>
      </c>
      <c r="F141" s="90">
        <v>-4.9000000000000004</v>
      </c>
      <c r="G141" s="90">
        <v>1</v>
      </c>
      <c r="H141" s="83"/>
      <c r="I141" s="110">
        <f>0.1*D141/(5*0.02)</f>
        <v>70</v>
      </c>
      <c r="J141" s="87">
        <f>E141*G141</f>
        <v>-0.313</v>
      </c>
      <c r="K141" s="87">
        <f>100*RADIANS(G141*F141/60)</f>
        <v>-0.1425352222462036</v>
      </c>
      <c r="L141" s="83"/>
      <c r="M141" s="7" t="s">
        <v>44</v>
      </c>
      <c r="N141" s="159">
        <f>-O139*(J143-J142)/100</f>
        <v>0.27300000000000002</v>
      </c>
      <c r="O141" s="159">
        <f>-O139*(K143-K142)/100</f>
        <v>0.17627825445142731</v>
      </c>
      <c r="P141" s="36"/>
      <c r="Q141" t="str">
        <f>COMPLEX(J141/100,K141/100)</f>
        <v>-0.00313-0.00142535222246204i</v>
      </c>
      <c r="R141" s="7"/>
      <c r="S141" s="7"/>
      <c r="T141" s="7"/>
      <c r="U141" s="7"/>
      <c r="V141" s="7"/>
      <c r="W141" s="7"/>
      <c r="X141" s="42"/>
      <c r="Y141" s="100" t="s">
        <v>448</v>
      </c>
      <c r="Z141" s="100"/>
      <c r="AA141" s="100"/>
      <c r="AB141" s="100"/>
      <c r="AC141" s="100"/>
      <c r="AE141" s="29">
        <f>N141-$N$155</f>
        <v>0.25080000000000002</v>
      </c>
      <c r="AF141" s="29">
        <f>O141-$O$155</f>
        <v>0.17453292519943298</v>
      </c>
      <c r="AK141" s="41">
        <v>0.7</v>
      </c>
      <c r="AL141" s="29">
        <f>AL110</f>
        <v>2.9088820866572194E-3</v>
      </c>
      <c r="AM141" s="29">
        <f>AR110</f>
        <v>3.4906585039886605E-3</v>
      </c>
      <c r="AN141" s="29">
        <f>AL125</f>
        <v>5.2359877559829925E-4</v>
      </c>
    </row>
    <row r="142" spans="1:59" x14ac:dyDescent="0.2">
      <c r="A142" s="69">
        <v>142</v>
      </c>
      <c r="B142" s="90" t="s">
        <v>324</v>
      </c>
      <c r="C142" s="83"/>
      <c r="D142" s="83">
        <v>100</v>
      </c>
      <c r="E142" s="90">
        <v>-0.19</v>
      </c>
      <c r="F142" s="90">
        <v>5.3</v>
      </c>
      <c r="G142" s="90">
        <v>0.2</v>
      </c>
      <c r="H142" s="83"/>
      <c r="I142" s="110">
        <f>0.1*D142/(5*0.02)</f>
        <v>100</v>
      </c>
      <c r="J142" s="87">
        <f>E142*G142</f>
        <v>-3.8000000000000006E-2</v>
      </c>
      <c r="K142" s="87">
        <f>100*RADIANS(G142*F142/60)</f>
        <v>3.0834150118566491E-2</v>
      </c>
      <c r="L142" s="83"/>
      <c r="P142" s="36"/>
      <c r="Q142" t="str">
        <f>COMPLEX(J142/100,K142/100)</f>
        <v>-0.00038+0.000308341501185665i</v>
      </c>
      <c r="R142" s="7" t="str">
        <f>IMSUB(Q142,Q143)</f>
        <v>0.00273+0.00176278254451427i</v>
      </c>
      <c r="S142" s="7" t="str">
        <f>IMSUB(1,R142)</f>
        <v>0.99727-0.00176278254451427i</v>
      </c>
      <c r="T142" s="7" t="str">
        <f>IMDIV(R142,S142)</f>
        <v>0.00273434032038971+0.00177244135680589i</v>
      </c>
      <c r="U142" s="7" t="str">
        <f>IMPRODUCT(T142,O139)</f>
        <v>0.273434032038971+0.177244135680589i</v>
      </c>
      <c r="V142" s="7">
        <f>IMREAL(U142)</f>
        <v>0.27343403203897099</v>
      </c>
      <c r="W142" s="7">
        <f>IMAGINARY(U142)</f>
        <v>0.177244135680589</v>
      </c>
      <c r="X142" s="254"/>
      <c r="Y142" s="253"/>
      <c r="Z142" s="253"/>
      <c r="AB142" s="29"/>
      <c r="AC142" s="254"/>
      <c r="AK142" s="41">
        <v>1</v>
      </c>
      <c r="AL142" s="29">
        <f>AM110</f>
        <v>2.3271056693257783E-3</v>
      </c>
      <c r="AM142" s="29">
        <f>AS110</f>
        <v>3.5633805561550895E-3</v>
      </c>
      <c r="AN142" s="29">
        <f>AM125</f>
        <v>1.3526301702956058E-3</v>
      </c>
    </row>
    <row r="143" spans="1:59" x14ac:dyDescent="0.2">
      <c r="A143" s="69">
        <v>143</v>
      </c>
      <c r="B143" s="90" t="s">
        <v>325</v>
      </c>
      <c r="C143" s="83"/>
      <c r="D143" s="83">
        <v>100</v>
      </c>
      <c r="E143" s="90">
        <v>-0.311</v>
      </c>
      <c r="F143" s="90">
        <v>-5</v>
      </c>
      <c r="G143" s="90">
        <v>1</v>
      </c>
      <c r="H143" s="83"/>
      <c r="I143" s="110">
        <f>0.1*D143/(5*0.02)</f>
        <v>100</v>
      </c>
      <c r="J143" s="87">
        <f>E143*G143</f>
        <v>-0.311</v>
      </c>
      <c r="K143" s="87">
        <f>100*RADIANS(G143*F143/60)</f>
        <v>-0.14544410433286079</v>
      </c>
      <c r="L143" s="83"/>
      <c r="P143" s="36"/>
      <c r="Q143" t="str">
        <f>COMPLEX(J143/100,K143/100)</f>
        <v>-0.00311-0.00145444104332861i</v>
      </c>
      <c r="R143" s="7"/>
      <c r="S143" s="7"/>
      <c r="T143" s="7"/>
      <c r="U143" s="7"/>
      <c r="V143" s="7"/>
      <c r="W143" s="7"/>
      <c r="X143" s="29"/>
      <c r="Y143" s="253"/>
      <c r="Z143" s="253"/>
      <c r="AL143" s="29"/>
      <c r="AM143" s="29"/>
      <c r="AN143" s="29"/>
    </row>
    <row r="144" spans="1:59" x14ac:dyDescent="0.2">
      <c r="A144" s="69">
        <v>144</v>
      </c>
      <c r="B144" s="85"/>
      <c r="C144" s="85"/>
      <c r="D144" s="85"/>
      <c r="E144" s="69"/>
      <c r="F144" s="69"/>
      <c r="G144" s="83"/>
      <c r="H144" s="85"/>
      <c r="I144" s="85"/>
      <c r="J144" s="85"/>
      <c r="K144" s="85"/>
      <c r="L144" s="85"/>
      <c r="M144" s="38"/>
      <c r="N144" s="38"/>
      <c r="O144" s="38"/>
      <c r="P144" s="40"/>
      <c r="Q144" s="7"/>
      <c r="R144" s="7"/>
      <c r="S144" s="7"/>
      <c r="T144" s="7"/>
      <c r="U144" s="7"/>
      <c r="V144" s="7"/>
      <c r="W144" s="7"/>
      <c r="X144" s="29"/>
      <c r="Y144" s="29"/>
      <c r="Z144" s="29"/>
    </row>
    <row r="145" spans="1:40" x14ac:dyDescent="0.2">
      <c r="A145" s="69">
        <v>145</v>
      </c>
      <c r="B145" s="69"/>
      <c r="C145" s="88"/>
      <c r="D145" s="69"/>
      <c r="E145" s="79"/>
      <c r="F145" s="79"/>
      <c r="G145" s="79"/>
      <c r="H145" s="69"/>
      <c r="I145" s="70"/>
      <c r="J145" s="71"/>
      <c r="K145" s="71"/>
      <c r="M145" s="373" t="s">
        <v>379</v>
      </c>
      <c r="N145" s="374"/>
      <c r="O145" s="375">
        <v>100</v>
      </c>
      <c r="X145" s="42"/>
      <c r="AL145" s="29"/>
      <c r="AM145" s="29"/>
      <c r="AN145" s="29"/>
    </row>
    <row r="146" spans="1:40" x14ac:dyDescent="0.2">
      <c r="A146" s="69">
        <v>146</v>
      </c>
      <c r="B146" s="111">
        <v>42982</v>
      </c>
      <c r="C146" s="526" t="s">
        <v>450</v>
      </c>
      <c r="D146" s="69"/>
      <c r="E146" s="85"/>
      <c r="F146" s="85"/>
      <c r="G146" s="85"/>
      <c r="H146" s="69"/>
      <c r="I146" s="69"/>
      <c r="J146" s="69"/>
      <c r="K146" s="69"/>
      <c r="M146" s="373" t="s">
        <v>379</v>
      </c>
      <c r="N146" s="374"/>
      <c r="O146" s="375">
        <v>100</v>
      </c>
      <c r="X146" s="42"/>
      <c r="AL146" s="29"/>
      <c r="AM146" s="29"/>
      <c r="AN146" s="29"/>
    </row>
    <row r="147" spans="1:40" x14ac:dyDescent="0.2">
      <c r="A147" s="69">
        <v>147</v>
      </c>
      <c r="B147" s="89" t="s">
        <v>322</v>
      </c>
      <c r="C147" s="79"/>
      <c r="D147" s="79">
        <v>70</v>
      </c>
      <c r="E147" s="90">
        <v>-6.5000000000000002E-2</v>
      </c>
      <c r="F147" s="90">
        <v>4.5</v>
      </c>
      <c r="G147" s="90">
        <v>0.2</v>
      </c>
      <c r="H147" s="79"/>
      <c r="I147" s="108">
        <f>0.1*D147/(5*0.02)</f>
        <v>70</v>
      </c>
      <c r="J147" s="109">
        <f>E147*G147</f>
        <v>-1.3000000000000001E-2</v>
      </c>
      <c r="K147" s="109">
        <f>100*RADIANS(G147*F147/60)</f>
        <v>2.6179938779914945E-2</v>
      </c>
      <c r="L147" s="79"/>
      <c r="M147" s="7" t="s">
        <v>158</v>
      </c>
      <c r="N147" s="159">
        <f>-O145*(J148-J147)/100</f>
        <v>0.17099999999999999</v>
      </c>
      <c r="O147" s="159">
        <f>-O145*(K148-K147)/100</f>
        <v>8.7266462599716495E-3</v>
      </c>
      <c r="P147" s="11"/>
      <c r="Q147" t="str">
        <f>COMPLEX(J147/100,K147/100)</f>
        <v>-0.00013+0.000261799387799149i</v>
      </c>
      <c r="R147" s="7" t="str">
        <f>IMSUB(Q147,Q148)</f>
        <v>0.00171+0.000087266462599716i</v>
      </c>
      <c r="S147" s="7" t="str">
        <f>IMSUB(1,R147)</f>
        <v>0.99829-0.000087266462599716i</v>
      </c>
      <c r="T147" s="7" t="str">
        <f>IMDIV(R147,S147)</f>
        <v>0.00171292145413939+0.000087565680509401i</v>
      </c>
      <c r="U147" s="7" t="str">
        <f>IMPRODUCT(T147,O145)</f>
        <v>0.171292145413939+0.0087565680509401i</v>
      </c>
      <c r="V147" s="7">
        <f>IMREAL(U147)</f>
        <v>0.171292145413939</v>
      </c>
      <c r="W147" s="7">
        <f>IMAGINARY(U147)</f>
        <v>8.7565680509401004E-3</v>
      </c>
      <c r="X147" s="42"/>
      <c r="Y147" s="252" t="s">
        <v>239</v>
      </c>
      <c r="Z147" s="252"/>
      <c r="AE147" s="29">
        <f>N147-$N$154</f>
        <v>0.14879999999999999</v>
      </c>
      <c r="AF147" s="29">
        <f>O147-$O$154</f>
        <v>7.5630934253087655E-3</v>
      </c>
      <c r="AG147" s="29">
        <f>AF147-AF148</f>
        <v>8.726646259971764E-4</v>
      </c>
      <c r="AL147" s="29"/>
      <c r="AM147" s="29"/>
      <c r="AN147" s="29"/>
    </row>
    <row r="148" spans="1:40" x14ac:dyDescent="0.2">
      <c r="A148" s="69">
        <v>148</v>
      </c>
      <c r="B148" s="90" t="s">
        <v>323</v>
      </c>
      <c r="C148" s="83"/>
      <c r="D148" s="83">
        <v>70</v>
      </c>
      <c r="E148" s="90">
        <v>-0.184</v>
      </c>
      <c r="F148" s="90">
        <v>0.6</v>
      </c>
      <c r="G148" s="90">
        <v>1</v>
      </c>
      <c r="H148" s="83"/>
      <c r="I148" s="110">
        <f>0.1*D148/(5*0.02)</f>
        <v>70</v>
      </c>
      <c r="J148" s="87">
        <f>E148*G148</f>
        <v>-0.184</v>
      </c>
      <c r="K148" s="87">
        <f>100*RADIANS(G148*F148/60)</f>
        <v>1.7453292519943295E-2</v>
      </c>
      <c r="L148" s="83"/>
      <c r="M148" s="7" t="s">
        <v>44</v>
      </c>
      <c r="N148" s="159">
        <f>-O146*(J150-J149)/100</f>
        <v>0.1726</v>
      </c>
      <c r="O148" s="159">
        <f>-O146*(K150-K149)/100</f>
        <v>8.4357580513059211E-3</v>
      </c>
      <c r="P148" s="36"/>
      <c r="Q148" t="str">
        <f>COMPLEX(J148/100,K148/100)</f>
        <v>-0.00184+0.000174532925199433i</v>
      </c>
      <c r="R148" s="7"/>
      <c r="S148" s="7"/>
      <c r="T148" s="7"/>
      <c r="U148" s="7"/>
      <c r="V148" s="7"/>
      <c r="W148" s="7"/>
      <c r="X148" s="42"/>
      <c r="Y148" s="100" t="s">
        <v>448</v>
      </c>
      <c r="Z148" s="100"/>
      <c r="AA148" s="100"/>
      <c r="AB148" s="100"/>
      <c r="AC148" s="100"/>
      <c r="AE148" s="29">
        <f>N148-$N$155</f>
        <v>0.15040000000000001</v>
      </c>
      <c r="AF148" s="29">
        <f>O148-$O$155</f>
        <v>6.6904287993115891E-3</v>
      </c>
      <c r="AL148" s="29"/>
      <c r="AM148" s="29"/>
      <c r="AN148" s="29"/>
    </row>
    <row r="149" spans="1:40" x14ac:dyDescent="0.2">
      <c r="A149" s="69">
        <v>149</v>
      </c>
      <c r="B149" s="90" t="s">
        <v>324</v>
      </c>
      <c r="C149" s="83"/>
      <c r="D149" s="83">
        <v>100</v>
      </c>
      <c r="E149" s="90">
        <v>-6.7000000000000004E-2</v>
      </c>
      <c r="F149" s="90">
        <v>4.0999999999999996</v>
      </c>
      <c r="G149" s="90">
        <v>0.2</v>
      </c>
      <c r="H149" s="83"/>
      <c r="I149" s="110">
        <f>0.1*D149/(5*0.02)</f>
        <v>100</v>
      </c>
      <c r="J149" s="87">
        <f>E149*G149</f>
        <v>-1.3400000000000002E-2</v>
      </c>
      <c r="K149" s="87">
        <f>100*RADIANS(G149*F149/60)</f>
        <v>2.3852833110589167E-2</v>
      </c>
      <c r="L149" s="83"/>
      <c r="P149" s="36"/>
      <c r="Q149" t="str">
        <f>COMPLEX(J149/100,K149/100)</f>
        <v>-0.000134+0.000238528331105892i</v>
      </c>
      <c r="R149" s="7" t="str">
        <f>IMSUB(Q149,Q150)</f>
        <v>0.001726+0.00008435758051306i</v>
      </c>
      <c r="S149" s="7" t="str">
        <f>IMSUB(1,R149)</f>
        <v>0.998274-0.00008435758051306i</v>
      </c>
      <c r="T149" s="7" t="str">
        <f>IMDIV(R149,S149)</f>
        <v>0.00172897707359882+0.0000846495379382327i</v>
      </c>
      <c r="U149" s="7" t="str">
        <f>IMPRODUCT(T149,O146)</f>
        <v>0.172897707359882+0.00846495379382327i</v>
      </c>
      <c r="V149" s="7">
        <f>IMREAL(U149)</f>
        <v>0.172897707359882</v>
      </c>
      <c r="W149" s="7">
        <f>IMAGINARY(U149)</f>
        <v>8.46495379382327E-3</v>
      </c>
      <c r="X149" s="254"/>
      <c r="Y149" s="253"/>
      <c r="Z149" s="253"/>
      <c r="AB149" s="29"/>
      <c r="AC149" s="254"/>
      <c r="AL149" s="29"/>
      <c r="AM149" s="29"/>
      <c r="AN149" s="29"/>
    </row>
    <row r="150" spans="1:40" x14ac:dyDescent="0.2">
      <c r="A150" s="69">
        <v>150</v>
      </c>
      <c r="B150" s="90" t="s">
        <v>325</v>
      </c>
      <c r="C150" s="83"/>
      <c r="D150" s="83">
        <v>100</v>
      </c>
      <c r="E150" s="90">
        <v>-0.186</v>
      </c>
      <c r="F150" s="90">
        <v>0.53</v>
      </c>
      <c r="G150" s="90">
        <v>1</v>
      </c>
      <c r="H150" s="83"/>
      <c r="I150" s="110">
        <f>0.1*D150/(5*0.02)</f>
        <v>100</v>
      </c>
      <c r="J150" s="87">
        <f>E150*G150</f>
        <v>-0.186</v>
      </c>
      <c r="K150" s="87">
        <f>100*RADIANS(G150*F150/60)</f>
        <v>1.5417075059283246E-2</v>
      </c>
      <c r="L150" s="83"/>
      <c r="P150" s="36"/>
      <c r="Q150" t="str">
        <f>COMPLEX(J150/100,K150/100)</f>
        <v>-0.00186+0.000154170750592832i</v>
      </c>
      <c r="R150" s="7"/>
      <c r="S150" s="7"/>
      <c r="T150" s="7"/>
      <c r="U150" s="7"/>
      <c r="V150" s="7"/>
      <c r="W150" s="7"/>
      <c r="X150" s="29"/>
      <c r="Y150" s="253"/>
      <c r="Z150" s="253"/>
      <c r="AL150" s="29"/>
      <c r="AM150" s="29"/>
      <c r="AN150" s="29"/>
    </row>
    <row r="151" spans="1:40" x14ac:dyDescent="0.2">
      <c r="A151" s="69">
        <v>151</v>
      </c>
      <c r="B151" s="85"/>
      <c r="C151" s="85"/>
      <c r="D151" s="85"/>
      <c r="E151" s="69"/>
      <c r="F151" s="69"/>
      <c r="G151" s="83"/>
      <c r="H151" s="85"/>
      <c r="I151" s="85"/>
      <c r="J151" s="85"/>
      <c r="K151" s="85"/>
      <c r="L151" s="85"/>
      <c r="M151" s="38"/>
      <c r="N151" s="38"/>
      <c r="O151" s="38"/>
      <c r="P151" s="40"/>
      <c r="Q151" s="7"/>
      <c r="R151" s="7"/>
      <c r="S151" s="7"/>
      <c r="T151" s="7"/>
      <c r="U151" s="7"/>
      <c r="V151" s="7"/>
      <c r="W151" s="7"/>
      <c r="X151" s="29"/>
      <c r="Y151" s="29"/>
      <c r="Z151" s="29"/>
      <c r="AL151" s="29"/>
      <c r="AM151" s="29"/>
      <c r="AN151" s="29"/>
    </row>
    <row r="152" spans="1:40" x14ac:dyDescent="0.2">
      <c r="A152" s="69">
        <v>152</v>
      </c>
      <c r="B152" s="69"/>
      <c r="C152" s="69"/>
      <c r="D152" s="69"/>
      <c r="E152" s="79"/>
      <c r="F152" s="79"/>
      <c r="G152" s="79"/>
      <c r="H152" s="69"/>
      <c r="I152" s="69"/>
      <c r="J152" s="69"/>
      <c r="K152" s="69"/>
      <c r="M152" s="373" t="s">
        <v>379</v>
      </c>
      <c r="N152" s="374"/>
      <c r="O152" s="375">
        <v>100</v>
      </c>
      <c r="X152" s="42"/>
      <c r="AL152" s="29"/>
      <c r="AM152" s="29"/>
      <c r="AN152" s="29"/>
    </row>
    <row r="153" spans="1:40" x14ac:dyDescent="0.2">
      <c r="A153" s="69">
        <v>153</v>
      </c>
      <c r="B153" s="111">
        <v>42982</v>
      </c>
      <c r="C153" s="526" t="s">
        <v>453</v>
      </c>
      <c r="D153" s="69"/>
      <c r="E153" s="85"/>
      <c r="F153" s="85"/>
      <c r="G153" s="85"/>
      <c r="H153" s="69"/>
      <c r="I153" s="69"/>
      <c r="J153" s="69"/>
      <c r="K153" s="69"/>
      <c r="M153" s="373" t="s">
        <v>379</v>
      </c>
      <c r="N153" s="374"/>
      <c r="O153" s="375">
        <v>100</v>
      </c>
      <c r="X153" s="42"/>
      <c r="Y153" s="252" t="s">
        <v>239</v>
      </c>
      <c r="Z153" s="252"/>
      <c r="AE153" s="29">
        <f>N154-N154</f>
        <v>0</v>
      </c>
      <c r="AF153" s="29"/>
      <c r="AG153" s="29"/>
      <c r="AL153" s="29"/>
      <c r="AM153" s="29"/>
      <c r="AN153" s="29"/>
    </row>
    <row r="154" spans="1:40" x14ac:dyDescent="0.2">
      <c r="A154" s="69">
        <v>154</v>
      </c>
      <c r="B154" s="89" t="s">
        <v>322</v>
      </c>
      <c r="C154" s="79"/>
      <c r="D154" s="79">
        <v>70</v>
      </c>
      <c r="E154" s="90">
        <v>-6.4000000000000001E-2</v>
      </c>
      <c r="F154" s="90">
        <v>4.5999999999999996</v>
      </c>
      <c r="G154" s="90">
        <v>0.1</v>
      </c>
      <c r="H154" s="79"/>
      <c r="I154" s="108">
        <f>0.1*D154/(5*0.02)</f>
        <v>70</v>
      </c>
      <c r="J154" s="109">
        <f>E154*G154</f>
        <v>-6.4000000000000003E-3</v>
      </c>
      <c r="K154" s="109">
        <f>100*RADIANS(G154*F154/60)</f>
        <v>1.3380857598623192E-2</v>
      </c>
      <c r="L154" s="79"/>
      <c r="M154" s="7" t="s">
        <v>158</v>
      </c>
      <c r="N154" s="159">
        <f>-O152*(J155-J154)/100</f>
        <v>2.2200000000000001E-2</v>
      </c>
      <c r="O154" s="159">
        <f>-O152*(K155-K154)/100</f>
        <v>1.1635528346628839E-3</v>
      </c>
      <c r="P154" s="11"/>
      <c r="Q154" t="str">
        <f>COMPLEX(J154/100,K154/100)</f>
        <v>-0.000064+0.000133808575986232i</v>
      </c>
      <c r="R154" s="7" t="str">
        <f>IMSUB(Q154,Q155)</f>
        <v>0.000222+0.000011635528346629i</v>
      </c>
      <c r="S154" s="7" t="str">
        <f>IMSUB(1,R154)</f>
        <v>0.999778-0.000011635528346629i</v>
      </c>
      <c r="T154" s="7" t="str">
        <f>IMDIV(R154,S154)</f>
        <v>0.000222049159467751+0.0000116406962404837i</v>
      </c>
      <c r="U154" s="7" t="str">
        <f>IMPRODUCT(T154,O152)</f>
        <v>0.0222049159467751+0.00116406962404837i</v>
      </c>
      <c r="V154" s="7">
        <f>IMREAL(U154)</f>
        <v>2.2204915946775101E-2</v>
      </c>
      <c r="W154" s="7">
        <f>IMAGINARY(U154)</f>
        <v>1.1640696240483701E-3</v>
      </c>
      <c r="X154" s="42"/>
      <c r="Y154" s="100" t="s">
        <v>448</v>
      </c>
      <c r="Z154" s="100"/>
      <c r="AA154" s="100"/>
      <c r="AB154" s="100"/>
      <c r="AC154" s="100"/>
      <c r="AE154" s="29">
        <f>N155-N155</f>
        <v>0</v>
      </c>
      <c r="AF154" s="29"/>
      <c r="AL154" s="29"/>
      <c r="AM154" s="29"/>
      <c r="AN154" s="29"/>
    </row>
    <row r="155" spans="1:40" x14ac:dyDescent="0.2">
      <c r="A155" s="69">
        <v>155</v>
      </c>
      <c r="B155" s="90" t="s">
        <v>323</v>
      </c>
      <c r="C155" s="83"/>
      <c r="D155" s="83">
        <v>70</v>
      </c>
      <c r="E155" s="90">
        <v>-0.28599999999999998</v>
      </c>
      <c r="F155" s="90">
        <v>4.2</v>
      </c>
      <c r="G155" s="90">
        <v>0.1</v>
      </c>
      <c r="H155" s="83"/>
      <c r="I155" s="110">
        <f>0.1*D155/(5*0.02)</f>
        <v>70</v>
      </c>
      <c r="J155" s="87">
        <f>E155*G155</f>
        <v>-2.86E-2</v>
      </c>
      <c r="K155" s="87">
        <f>100*RADIANS(G155*F155/60)</f>
        <v>1.2217304763960308E-2</v>
      </c>
      <c r="L155" s="83"/>
      <c r="M155" s="7" t="s">
        <v>44</v>
      </c>
      <c r="N155" s="159">
        <f>-O153*(J157-J156)/100</f>
        <v>2.2199999999999998E-2</v>
      </c>
      <c r="O155" s="159">
        <f>-O153*(K157-K156)/100</f>
        <v>1.745329251994332E-3</v>
      </c>
      <c r="P155" s="36"/>
      <c r="Q155" t="str">
        <f>COMPLEX(J155/100,K155/100)</f>
        <v>-0.000286+0.000122173047639603i</v>
      </c>
      <c r="R155" s="7"/>
      <c r="S155" s="7"/>
      <c r="T155" s="7"/>
      <c r="U155" s="7"/>
      <c r="V155" s="7"/>
      <c r="W155" s="7"/>
      <c r="X155" s="254"/>
      <c r="Y155" s="253"/>
      <c r="Z155" s="253"/>
      <c r="AB155" s="29"/>
      <c r="AC155" s="254"/>
    </row>
    <row r="156" spans="1:40" x14ac:dyDescent="0.2">
      <c r="A156" s="69">
        <v>156</v>
      </c>
      <c r="B156" s="90" t="s">
        <v>324</v>
      </c>
      <c r="C156" s="83"/>
      <c r="D156" s="83">
        <v>100</v>
      </c>
      <c r="E156" s="90">
        <v>-6.5000000000000002E-2</v>
      </c>
      <c r="F156" s="90">
        <v>4.4000000000000004</v>
      </c>
      <c r="G156" s="90">
        <v>0.1</v>
      </c>
      <c r="H156" s="83"/>
      <c r="I156" s="110">
        <f>0.1*D156/(5*0.02)</f>
        <v>100</v>
      </c>
      <c r="J156" s="87">
        <f>E156*G156</f>
        <v>-6.5000000000000006E-3</v>
      </c>
      <c r="K156" s="87">
        <f>100*RADIANS(G156*F156/60)</f>
        <v>1.2799081181291751E-2</v>
      </c>
      <c r="L156" s="83"/>
      <c r="P156" s="36"/>
      <c r="Q156" t="str">
        <f>COMPLEX(J156/100,K156/100)</f>
        <v>-0.000065+0.000127990811812918i</v>
      </c>
      <c r="R156" s="7" t="str">
        <f>IMSUB(Q156,Q157)</f>
        <v>0.000222+0.000017453292519944i</v>
      </c>
      <c r="S156" s="7" t="str">
        <f>IMSUB(1,R156)</f>
        <v>0.999778-0.000017453292519944i</v>
      </c>
      <c r="T156" s="7" t="str">
        <f>IMDIV(R156,S156)</f>
        <v>0.000222048990123092+0.0000174610443577698i</v>
      </c>
      <c r="U156" s="7" t="str">
        <f>IMPRODUCT(T156,O153)</f>
        <v>0.0222048990123092+0.00174610443577698i</v>
      </c>
      <c r="V156" s="7">
        <f>IMREAL(U156)</f>
        <v>2.2204899012309199E-2</v>
      </c>
      <c r="W156" s="7">
        <f>IMAGINARY(U156)</f>
        <v>1.7461044357769801E-3</v>
      </c>
      <c r="X156" s="29"/>
      <c r="Y156" s="253"/>
      <c r="Z156" s="253"/>
      <c r="AL156" s="29"/>
      <c r="AM156" s="29"/>
      <c r="AN156" s="29"/>
    </row>
    <row r="157" spans="1:40" x14ac:dyDescent="0.2">
      <c r="A157" s="69">
        <v>157</v>
      </c>
      <c r="B157" s="90" t="s">
        <v>325</v>
      </c>
      <c r="C157" s="83"/>
      <c r="D157" s="83">
        <v>100</v>
      </c>
      <c r="E157" s="90">
        <v>-0.28699999999999998</v>
      </c>
      <c r="F157" s="90">
        <v>3.8</v>
      </c>
      <c r="G157" s="90">
        <v>0.1</v>
      </c>
      <c r="H157" s="83"/>
      <c r="I157" s="110">
        <f>0.1*D157/(5*0.02)</f>
        <v>100</v>
      </c>
      <c r="J157" s="87">
        <f>E157*G157</f>
        <v>-2.87E-2</v>
      </c>
      <c r="K157" s="87">
        <f>100*RADIANS(G157*F157/60)</f>
        <v>1.1053751929297419E-2</v>
      </c>
      <c r="L157" s="83"/>
      <c r="P157" s="36"/>
      <c r="Q157" t="str">
        <f>COMPLEX(J157/100,K157/100)</f>
        <v>-0.000287+0.000110537519292974i</v>
      </c>
      <c r="R157" s="7"/>
      <c r="S157" s="7"/>
      <c r="T157" s="7"/>
      <c r="U157" s="7"/>
      <c r="V157" s="7"/>
      <c r="W157" s="7"/>
      <c r="X157" s="29"/>
      <c r="Y157" s="29"/>
      <c r="Z157" s="29"/>
      <c r="AL157" s="29"/>
      <c r="AM157" s="29"/>
      <c r="AN157" s="29"/>
    </row>
    <row r="158" spans="1:40" x14ac:dyDescent="0.2">
      <c r="A158" s="69">
        <v>158</v>
      </c>
      <c r="B158" s="85"/>
      <c r="C158" s="85"/>
      <c r="D158" s="85"/>
      <c r="E158" s="69"/>
      <c r="F158" s="69"/>
      <c r="G158" s="83"/>
      <c r="H158" s="85"/>
      <c r="I158" s="85"/>
      <c r="J158" s="85"/>
      <c r="K158" s="85"/>
      <c r="L158" s="85"/>
      <c r="M158" s="38"/>
      <c r="N158" s="38"/>
      <c r="O158" s="38"/>
      <c r="P158" s="40"/>
      <c r="Q158" s="7"/>
      <c r="R158" s="7"/>
      <c r="S158" s="7"/>
      <c r="T158" s="7"/>
      <c r="U158" s="7"/>
      <c r="V158" s="7"/>
      <c r="W158" s="7"/>
    </row>
    <row r="159" spans="1:40" x14ac:dyDescent="0.2">
      <c r="A159" s="69">
        <v>159</v>
      </c>
      <c r="B159" s="69"/>
      <c r="C159" s="69"/>
      <c r="D159" s="69"/>
      <c r="E159" s="79"/>
      <c r="F159" s="79"/>
      <c r="G159" s="79"/>
      <c r="H159" s="69"/>
      <c r="I159" s="69"/>
      <c r="J159" s="69"/>
      <c r="K159" s="69"/>
      <c r="M159" s="373" t="s">
        <v>379</v>
      </c>
      <c r="N159" s="374"/>
      <c r="O159" s="375">
        <v>10</v>
      </c>
      <c r="X159" s="42"/>
    </row>
    <row r="160" spans="1:40" x14ac:dyDescent="0.2">
      <c r="A160" s="69">
        <v>160</v>
      </c>
      <c r="B160" s="111">
        <v>42983</v>
      </c>
      <c r="C160" s="526" t="s">
        <v>453</v>
      </c>
      <c r="D160" s="69"/>
      <c r="E160" s="85"/>
      <c r="F160" s="85"/>
      <c r="G160" s="85"/>
      <c r="H160" s="69"/>
      <c r="I160" s="69"/>
      <c r="J160" s="69"/>
      <c r="K160" s="69"/>
      <c r="M160" s="373" t="s">
        <v>379</v>
      </c>
      <c r="N160" s="374"/>
      <c r="O160" s="375">
        <v>10</v>
      </c>
      <c r="X160" s="42"/>
      <c r="Y160" s="252" t="s">
        <v>239</v>
      </c>
      <c r="Z160" s="252"/>
      <c r="AE160" s="29">
        <f>N161-N161</f>
        <v>0</v>
      </c>
      <c r="AF160" s="29">
        <f>O161-O161</f>
        <v>0</v>
      </c>
      <c r="AG160" s="29"/>
    </row>
    <row r="161" spans="1:33" x14ac:dyDescent="0.2">
      <c r="A161" s="69">
        <v>161</v>
      </c>
      <c r="B161" s="89" t="s">
        <v>322</v>
      </c>
      <c r="C161" s="79"/>
      <c r="D161" s="79">
        <v>70</v>
      </c>
      <c r="E161" s="90">
        <v>-6.4000000000000001E-2</v>
      </c>
      <c r="F161" s="90">
        <v>4.5999999999999996</v>
      </c>
      <c r="G161" s="90">
        <v>0.1</v>
      </c>
      <c r="H161" s="79"/>
      <c r="I161" s="108">
        <f>0.1*D161/(5*0.02)</f>
        <v>70</v>
      </c>
      <c r="J161" s="109">
        <f>E161*G161</f>
        <v>-6.4000000000000003E-3</v>
      </c>
      <c r="K161" s="109">
        <f>100*RADIANS(G161*F161/60)</f>
        <v>1.3380857598623192E-2</v>
      </c>
      <c r="L161" s="79"/>
      <c r="M161" s="7" t="s">
        <v>158</v>
      </c>
      <c r="N161" s="159">
        <f>-O159*(J162-J161)/100</f>
        <v>2.196E-2</v>
      </c>
      <c r="O161" s="159">
        <f>-O159*(K162-K161)/100</f>
        <v>3.0834150118566488E-3</v>
      </c>
      <c r="P161" s="11"/>
      <c r="Q161" t="str">
        <f>COMPLEX(J161/100,K161/100)</f>
        <v>-0.000064+0.000133808575986232i</v>
      </c>
      <c r="R161" s="7" t="str">
        <f>IMSUB(Q161,Q162)</f>
        <v>0.002196+0.000308341501185665i</v>
      </c>
      <c r="S161" s="7" t="str">
        <f>IMSUB(1,R161)</f>
        <v>0.997804-0.000308341501185665i</v>
      </c>
      <c r="T161" s="7" t="str">
        <f>IMDIV(R161,S161)</f>
        <v>0.00220073732574848+0.000309700181434832i</v>
      </c>
      <c r="U161" s="7" t="str">
        <f>IMPRODUCT(T161,O159)</f>
        <v>0.0220073732574848+0.00309700181434832i</v>
      </c>
      <c r="V161" s="7">
        <f>IMREAL(U161)</f>
        <v>2.2007373257484801E-2</v>
      </c>
      <c r="W161" s="7">
        <f>IMAGINARY(U161)</f>
        <v>3.0970018143483199E-3</v>
      </c>
      <c r="X161" s="42"/>
      <c r="Y161" s="530" t="s">
        <v>458</v>
      </c>
      <c r="Z161" s="100"/>
      <c r="AA161" s="100"/>
      <c r="AB161" s="100"/>
      <c r="AC161" s="100"/>
      <c r="AE161" s="29">
        <f>N162-N162</f>
        <v>0</v>
      </c>
      <c r="AF161" s="29">
        <f>O162-O162</f>
        <v>0</v>
      </c>
    </row>
    <row r="162" spans="1:33" x14ac:dyDescent="0.2">
      <c r="A162" s="69">
        <v>162</v>
      </c>
      <c r="B162" s="90" t="s">
        <v>323</v>
      </c>
      <c r="C162" s="83"/>
      <c r="D162" s="83">
        <v>70</v>
      </c>
      <c r="E162" s="90">
        <v>-0.22600000000000001</v>
      </c>
      <c r="F162" s="90">
        <v>-0.6</v>
      </c>
      <c r="G162" s="90">
        <v>1</v>
      </c>
      <c r="H162" s="83"/>
      <c r="I162" s="110">
        <f>0.1*D162/(5*0.02)</f>
        <v>70</v>
      </c>
      <c r="J162" s="87">
        <f>E162*G162</f>
        <v>-0.22600000000000001</v>
      </c>
      <c r="K162" s="87">
        <f>100*RADIANS(G162*F162/60)</f>
        <v>-1.7453292519943295E-2</v>
      </c>
      <c r="L162" s="83"/>
      <c r="M162" s="7" t="s">
        <v>44</v>
      </c>
      <c r="N162" s="159">
        <f>-O160*(J164-J163)/100</f>
        <v>2.2040000000000001E-2</v>
      </c>
      <c r="O162" s="159">
        <f>-O160*(K164-K163)/100</f>
        <v>2.4143721319254893E-3</v>
      </c>
      <c r="P162" s="36"/>
      <c r="Q162" t="str">
        <f>COMPLEX(J162/100,K162/100)</f>
        <v>-0.00226-0.000174532925199433i</v>
      </c>
      <c r="R162" s="7"/>
      <c r="S162" s="7"/>
      <c r="T162" s="7"/>
      <c r="U162" s="7"/>
      <c r="V162" s="7"/>
      <c r="W162" s="7"/>
      <c r="X162" s="254"/>
      <c r="Y162" s="253"/>
      <c r="Z162" s="253"/>
      <c r="AB162" s="29"/>
      <c r="AC162" s="254"/>
    </row>
    <row r="163" spans="1:33" x14ac:dyDescent="0.2">
      <c r="A163" s="69">
        <v>163</v>
      </c>
      <c r="B163" s="90" t="s">
        <v>324</v>
      </c>
      <c r="C163" s="83"/>
      <c r="D163" s="83">
        <v>100</v>
      </c>
      <c r="E163" s="90">
        <v>-6.6000000000000003E-2</v>
      </c>
      <c r="F163" s="90">
        <v>4.3</v>
      </c>
      <c r="G163" s="90">
        <v>0.1</v>
      </c>
      <c r="H163" s="83"/>
      <c r="I163" s="110">
        <f>0.1*D163/(5*0.02)</f>
        <v>100</v>
      </c>
      <c r="J163" s="87">
        <f>E163*G163</f>
        <v>-6.6000000000000008E-3</v>
      </c>
      <c r="K163" s="87">
        <f>100*RADIANS(G163*F163/60)</f>
        <v>1.2508192972626028E-2</v>
      </c>
      <c r="L163" s="83"/>
      <c r="P163" s="36"/>
      <c r="Q163" t="str">
        <f>COMPLEX(J163/100,K163/100)</f>
        <v>-0.000066+0.00012508192972626i</v>
      </c>
      <c r="R163" s="7" t="str">
        <f>IMSUB(Q163,Q164)</f>
        <v>0.002204+0.000241437213192549i</v>
      </c>
      <c r="S163" s="7" t="str">
        <f>IMSUB(1,R163)</f>
        <v>0.997796-0.000241437213192549i</v>
      </c>
      <c r="T163" s="7" t="str">
        <f>IMDIV(R163,S163)</f>
        <v>0.00220880966677829+0.000242504983025557i</v>
      </c>
      <c r="U163" s="7" t="str">
        <f>IMPRODUCT(T163,O160)</f>
        <v>0.0220880966677829+0.00242504983025557i</v>
      </c>
      <c r="V163" s="7">
        <f>IMREAL(U163)</f>
        <v>2.20880966677829E-2</v>
      </c>
      <c r="W163" s="7">
        <f>IMAGINARY(U163)</f>
        <v>2.4250498302555699E-3</v>
      </c>
      <c r="X163" s="29"/>
      <c r="Y163" s="253"/>
      <c r="Z163" s="253"/>
    </row>
    <row r="164" spans="1:33" x14ac:dyDescent="0.2">
      <c r="A164" s="69">
        <v>164</v>
      </c>
      <c r="B164" s="90" t="s">
        <v>325</v>
      </c>
      <c r="C164" s="83"/>
      <c r="D164" s="83">
        <v>100</v>
      </c>
      <c r="E164" s="90">
        <v>-0.22700000000000001</v>
      </c>
      <c r="F164" s="90">
        <v>-0.4</v>
      </c>
      <c r="G164" s="90">
        <v>1</v>
      </c>
      <c r="H164" s="83"/>
      <c r="I164" s="110">
        <f>0.1*D164/(5*0.02)</f>
        <v>100</v>
      </c>
      <c r="J164" s="87">
        <f>E164*G164</f>
        <v>-0.22700000000000001</v>
      </c>
      <c r="K164" s="87">
        <f>100*RADIANS(G164*F164/60)</f>
        <v>-1.1635528346628864E-2</v>
      </c>
      <c r="L164" s="83"/>
      <c r="P164" s="36"/>
      <c r="Q164" t="str">
        <f>COMPLEX(J164/100,K164/100)</f>
        <v>-0.00227-0.000116355283466289i</v>
      </c>
      <c r="R164" s="7"/>
      <c r="S164" s="7"/>
      <c r="T164" s="7"/>
      <c r="U164" s="7"/>
      <c r="V164" s="7"/>
      <c r="W164" s="7"/>
      <c r="X164" s="29"/>
      <c r="Y164" s="29"/>
      <c r="Z164" s="29"/>
    </row>
    <row r="165" spans="1:33" x14ac:dyDescent="0.2">
      <c r="A165" s="69">
        <v>165</v>
      </c>
      <c r="B165" s="85"/>
      <c r="C165" s="85"/>
      <c r="D165" s="85"/>
      <c r="E165" s="69"/>
      <c r="F165" s="69"/>
      <c r="G165" s="83"/>
      <c r="H165" s="85"/>
      <c r="I165" s="85"/>
      <c r="J165" s="85"/>
      <c r="K165" s="85"/>
      <c r="L165" s="85"/>
      <c r="M165" s="38"/>
      <c r="N165" s="38"/>
      <c r="O165" s="38"/>
      <c r="P165" s="40"/>
      <c r="Q165" s="7"/>
      <c r="R165" s="7"/>
      <c r="S165" s="7"/>
      <c r="T165" s="7"/>
      <c r="U165" s="7"/>
      <c r="V165" s="7"/>
      <c r="W165" s="7"/>
    </row>
    <row r="166" spans="1:33" x14ac:dyDescent="0.2">
      <c r="A166" s="69">
        <v>166</v>
      </c>
      <c r="B166" s="69"/>
      <c r="C166" s="69"/>
      <c r="D166" s="69"/>
      <c r="E166" s="79"/>
      <c r="F166" s="79"/>
      <c r="G166" s="79"/>
      <c r="H166" s="69"/>
      <c r="M166" s="373" t="s">
        <v>379</v>
      </c>
      <c r="N166" s="374"/>
      <c r="O166" s="375">
        <v>10</v>
      </c>
    </row>
    <row r="167" spans="1:33" x14ac:dyDescent="0.2">
      <c r="A167" s="69">
        <v>167</v>
      </c>
      <c r="B167" s="111">
        <v>42983</v>
      </c>
      <c r="C167" s="526" t="s">
        <v>447</v>
      </c>
      <c r="D167" s="69"/>
      <c r="E167" s="85"/>
      <c r="F167" s="85"/>
      <c r="G167" s="85"/>
      <c r="H167" s="69"/>
      <c r="I167" s="69"/>
      <c r="J167" s="69"/>
      <c r="K167" s="69"/>
      <c r="M167" s="373" t="s">
        <v>379</v>
      </c>
      <c r="N167" s="374"/>
      <c r="O167" s="375">
        <v>10</v>
      </c>
      <c r="X167" s="42"/>
    </row>
    <row r="168" spans="1:33" x14ac:dyDescent="0.2">
      <c r="A168" s="69">
        <v>168</v>
      </c>
      <c r="B168" s="89" t="s">
        <v>322</v>
      </c>
      <c r="C168" s="79"/>
      <c r="D168" s="79">
        <v>70</v>
      </c>
      <c r="E168" s="90">
        <v>-8.6999999999999994E-2</v>
      </c>
      <c r="F168" s="90">
        <v>6.2</v>
      </c>
      <c r="G168" s="90">
        <v>0.1</v>
      </c>
      <c r="H168" s="79"/>
      <c r="I168" s="108">
        <f>0.1*D168/(5*0.02)</f>
        <v>70</v>
      </c>
      <c r="J168" s="109">
        <f>E168*G168</f>
        <v>-8.6999999999999994E-3</v>
      </c>
      <c r="K168" s="109">
        <f>100*RADIANS(G168*F168/60)</f>
        <v>1.8035068937274742E-2</v>
      </c>
      <c r="L168" s="79"/>
      <c r="M168" s="7" t="s">
        <v>158</v>
      </c>
      <c r="N168" s="159">
        <f>-O166*(J169-J168)/100</f>
        <v>7.1329999999999991E-2</v>
      </c>
      <c r="O168" s="159">
        <f>-O166*(K169-K168)/100</f>
        <v>3.6070137874549481E-3</v>
      </c>
      <c r="P168" s="11"/>
      <c r="Q168" t="str">
        <f>COMPLEX(J168/100,K168/100)</f>
        <v>-0.000087+0.000180350689372747i</v>
      </c>
      <c r="R168" s="7" t="str">
        <f>IMSUB(Q168,Q169)</f>
        <v>0.007133+0.000360701378745494i</v>
      </c>
      <c r="S168" s="7" t="str">
        <f>IMSUB(1,R168)</f>
        <v>0.992867-0.000360701378745494i</v>
      </c>
      <c r="T168" s="7" t="str">
        <f>IMDIV(R168,S168)</f>
        <v>0.00718411229137255+0.000365902681783214i</v>
      </c>
      <c r="U168" s="7" t="str">
        <f>IMPRODUCT(T168,O166)</f>
        <v>0.0718411229137255+0.00365902681783214i</v>
      </c>
      <c r="V168" s="7">
        <f>IMREAL(U168)</f>
        <v>7.1841122913725505E-2</v>
      </c>
      <c r="W168" s="7">
        <f>IMAGINARY(U168)</f>
        <v>3.6590268178321398E-3</v>
      </c>
      <c r="X168" s="42"/>
      <c r="Y168" s="252" t="s">
        <v>239</v>
      </c>
      <c r="Z168" s="252"/>
      <c r="AE168" s="29">
        <f>N168-N161</f>
        <v>4.936999999999999E-2</v>
      </c>
      <c r="AF168" s="29">
        <f>O168-O161</f>
        <v>5.2359877559829925E-4</v>
      </c>
      <c r="AG168" s="29">
        <f>AF168-AF169</f>
        <v>-8.2903139469730656E-4</v>
      </c>
    </row>
    <row r="169" spans="1:33" x14ac:dyDescent="0.2">
      <c r="A169" s="69">
        <v>169</v>
      </c>
      <c r="B169" s="90" t="s">
        <v>323</v>
      </c>
      <c r="C169" s="83"/>
      <c r="D169" s="83">
        <v>70</v>
      </c>
      <c r="E169" s="90">
        <v>-0.36099999999999999</v>
      </c>
      <c r="F169" s="90">
        <v>-0.31</v>
      </c>
      <c r="G169" s="90">
        <v>2</v>
      </c>
      <c r="H169" s="83"/>
      <c r="I169" s="110">
        <f>0.1*D169/(5*0.02)</f>
        <v>70</v>
      </c>
      <c r="J169" s="87">
        <f>E169*G169</f>
        <v>-0.72199999999999998</v>
      </c>
      <c r="K169" s="87">
        <f>100*RADIANS(G169*F169/60)</f>
        <v>-1.8035068937274738E-2</v>
      </c>
      <c r="L169" s="83"/>
      <c r="M169" s="7" t="s">
        <v>44</v>
      </c>
      <c r="N169" s="159">
        <f>-O167*(J171-J170)/100</f>
        <v>7.1709999999999996E-2</v>
      </c>
      <c r="O169" s="159">
        <f>-O167*(K171-K170)/100</f>
        <v>3.7670023022210951E-3</v>
      </c>
      <c r="P169" s="36"/>
      <c r="Q169" t="str">
        <f>COMPLEX(J169/100,K169/100)</f>
        <v>-0.00722-0.000180350689372747i</v>
      </c>
      <c r="R169" s="7"/>
      <c r="S169" s="7"/>
      <c r="T169" s="7"/>
      <c r="U169" s="7"/>
      <c r="V169" s="7"/>
      <c r="W169" s="7"/>
      <c r="X169" s="42"/>
      <c r="Y169" s="530" t="s">
        <v>458</v>
      </c>
      <c r="Z169" s="100"/>
      <c r="AA169" s="100"/>
      <c r="AB169" s="100"/>
      <c r="AC169" s="100"/>
      <c r="AE169" s="29">
        <f>N169-N162</f>
        <v>4.9669999999999992E-2</v>
      </c>
      <c r="AF169" s="29">
        <f>O169-O162</f>
        <v>1.3526301702956058E-3</v>
      </c>
    </row>
    <row r="170" spans="1:33" x14ac:dyDescent="0.2">
      <c r="A170" s="69">
        <v>170</v>
      </c>
      <c r="B170" s="90" t="s">
        <v>324</v>
      </c>
      <c r="C170" s="83"/>
      <c r="D170" s="83">
        <v>100</v>
      </c>
      <c r="E170" s="90">
        <v>-8.8999999999999996E-2</v>
      </c>
      <c r="F170" s="90">
        <v>5.75</v>
      </c>
      <c r="G170" s="90">
        <v>0.1</v>
      </c>
      <c r="H170" s="83"/>
      <c r="I170" s="110">
        <f>0.1*D170/(5*0.02)</f>
        <v>100</v>
      </c>
      <c r="J170" s="87">
        <f>E170*G170</f>
        <v>-8.8999999999999999E-3</v>
      </c>
      <c r="K170" s="87">
        <f>100*RADIANS(G170*F170/60)</f>
        <v>1.6726071998278993E-2</v>
      </c>
      <c r="L170" s="83"/>
      <c r="P170" s="36"/>
      <c r="Q170" t="str">
        <f>COMPLEX(J170/100,K170/100)</f>
        <v>-0.000089+0.00016726071998279i</v>
      </c>
      <c r="R170" s="7" t="str">
        <f>IMSUB(Q170,Q171)</f>
        <v>0.007171+0.00037670023022211i</v>
      </c>
      <c r="S170" s="7" t="str">
        <f>IMSUB(1,R170)</f>
        <v>0.992829-0.00037670023022211i</v>
      </c>
      <c r="T170" s="7" t="str">
        <f>IMDIV(R170,S170)</f>
        <v>0.00722264966039569+0.000382161484013858i</v>
      </c>
      <c r="U170" s="7" t="str">
        <f>IMPRODUCT(T170,O167)</f>
        <v>0.0722264966039569+0.00382161484013858i</v>
      </c>
      <c r="V170" s="7">
        <f>IMREAL(U170)</f>
        <v>7.22264966039569E-2</v>
      </c>
      <c r="W170" s="7">
        <f>IMAGINARY(U170)</f>
        <v>3.8216148401385799E-3</v>
      </c>
      <c r="X170" s="254"/>
      <c r="Y170" s="253"/>
      <c r="Z170" s="253"/>
      <c r="AB170" s="29"/>
      <c r="AC170" s="254"/>
    </row>
    <row r="171" spans="1:33" x14ac:dyDescent="0.2">
      <c r="A171" s="69">
        <v>171</v>
      </c>
      <c r="B171" s="90" t="s">
        <v>325</v>
      </c>
      <c r="C171" s="83"/>
      <c r="D171" s="83">
        <v>100</v>
      </c>
      <c r="E171" s="90">
        <v>-0.36299999999999999</v>
      </c>
      <c r="F171" s="90">
        <v>-0.36</v>
      </c>
      <c r="G171" s="90">
        <v>2</v>
      </c>
      <c r="H171" s="83"/>
      <c r="I171" s="110">
        <f>0.1*D171/(5*0.02)</f>
        <v>100</v>
      </c>
      <c r="J171" s="87">
        <f>E171*G171</f>
        <v>-0.72599999999999998</v>
      </c>
      <c r="K171" s="87">
        <f>100*RADIANS(G171*F171/60)</f>
        <v>-2.0943951023931956E-2</v>
      </c>
      <c r="L171" s="83"/>
      <c r="P171" s="36"/>
      <c r="Q171" t="str">
        <f>COMPLEX(J171/100,K171/100)</f>
        <v>-0.00726-0.00020943951023932i</v>
      </c>
      <c r="R171" s="7"/>
      <c r="S171" s="7"/>
      <c r="T171" s="7"/>
      <c r="U171" s="7"/>
      <c r="V171" s="7"/>
      <c r="W171" s="7"/>
      <c r="X171" s="29"/>
      <c r="Y171" s="253"/>
      <c r="Z171" s="253"/>
    </row>
    <row r="172" spans="1:33" x14ac:dyDescent="0.2">
      <c r="A172" s="69">
        <v>172</v>
      </c>
      <c r="B172" s="85"/>
      <c r="C172" s="85"/>
      <c r="D172" s="85"/>
      <c r="E172" s="69"/>
      <c r="F172" s="69"/>
      <c r="G172" s="83"/>
      <c r="H172" s="85"/>
      <c r="I172" s="85"/>
      <c r="J172" s="85"/>
      <c r="K172" s="85"/>
      <c r="L172" s="85"/>
      <c r="M172" s="38"/>
      <c r="N172" s="38"/>
      <c r="O172" s="38"/>
      <c r="P172" s="40"/>
      <c r="Q172" s="7"/>
      <c r="R172" s="7"/>
      <c r="S172" s="7"/>
      <c r="T172" s="7"/>
      <c r="U172" s="7"/>
      <c r="V172" s="7"/>
      <c r="W172" s="7"/>
      <c r="X172" s="29"/>
      <c r="Y172" s="29"/>
      <c r="Z172" s="29"/>
    </row>
    <row r="173" spans="1:33" x14ac:dyDescent="0.2">
      <c r="A173" s="69">
        <v>173</v>
      </c>
      <c r="B173" s="69"/>
      <c r="C173" s="88"/>
      <c r="D173" s="69"/>
      <c r="E173" s="79"/>
      <c r="F173" s="79"/>
      <c r="G173" s="79"/>
      <c r="H173" s="69"/>
      <c r="I173" s="70"/>
      <c r="J173" s="71"/>
      <c r="K173" s="71"/>
      <c r="M173" s="373" t="s">
        <v>379</v>
      </c>
      <c r="N173" s="374"/>
      <c r="O173" s="375">
        <v>50</v>
      </c>
      <c r="X173" s="42"/>
    </row>
    <row r="174" spans="1:33" x14ac:dyDescent="0.2">
      <c r="A174" s="69">
        <v>174</v>
      </c>
      <c r="B174" s="111">
        <v>42983</v>
      </c>
      <c r="C174" s="526" t="s">
        <v>453</v>
      </c>
      <c r="D174" s="69"/>
      <c r="E174" s="85"/>
      <c r="F174" s="85"/>
      <c r="G174" s="85"/>
      <c r="H174" s="69"/>
      <c r="I174" s="69"/>
      <c r="J174" s="69"/>
      <c r="K174" s="69"/>
      <c r="M174" s="373" t="s">
        <v>379</v>
      </c>
      <c r="N174" s="374"/>
      <c r="O174" s="375">
        <v>50</v>
      </c>
      <c r="X174" s="42"/>
    </row>
    <row r="175" spans="1:33" x14ac:dyDescent="0.2">
      <c r="A175" s="69">
        <v>175</v>
      </c>
      <c r="B175" s="89" t="s">
        <v>322</v>
      </c>
      <c r="C175" s="79"/>
      <c r="D175" s="79">
        <v>70</v>
      </c>
      <c r="E175" s="90">
        <v>-6.4000000000000001E-2</v>
      </c>
      <c r="F175" s="90">
        <v>4.5999999999999996</v>
      </c>
      <c r="G175" s="90">
        <v>0.1</v>
      </c>
      <c r="H175" s="79"/>
      <c r="I175" s="108">
        <f>0.1*D175/(5*0.02)</f>
        <v>70</v>
      </c>
      <c r="J175" s="109">
        <f>E175*G175</f>
        <v>-6.4000000000000003E-3</v>
      </c>
      <c r="K175" s="109">
        <f>100*RADIANS(G175*F175/60)</f>
        <v>1.3380857598623192E-2</v>
      </c>
      <c r="L175" s="79"/>
      <c r="M175" s="7" t="s">
        <v>158</v>
      </c>
      <c r="N175" s="159">
        <f>-O173*(J176-J175)/100</f>
        <v>2.23E-2</v>
      </c>
      <c r="O175" s="159">
        <f>-O173*(K176-K175)/100</f>
        <v>1.1635528346628865E-3</v>
      </c>
      <c r="P175" s="11"/>
      <c r="Q175" t="str">
        <f>COMPLEX(J175/100,K175/100)</f>
        <v>-0.000064+0.000133808575986232i</v>
      </c>
      <c r="R175" s="7" t="str">
        <f>IMSUB(Q175,Q176)</f>
        <v>0.000446+0.000023271056693258i</v>
      </c>
      <c r="S175" s="7" t="str">
        <f>IMSUB(1,R175)</f>
        <v>0.999554-0.000023271056693258i</v>
      </c>
      <c r="T175" s="7" t="str">
        <f>IMDIV(R175,S175)</f>
        <v>0.000446198462488812+0.0000232918283584229i</v>
      </c>
      <c r="U175" s="7" t="str">
        <f>IMPRODUCT(T175,O173)</f>
        <v>0.0223099231244406+0.00116459141792114i</v>
      </c>
      <c r="V175" s="7">
        <f>IMREAL(U175)</f>
        <v>2.2309923124440599E-2</v>
      </c>
      <c r="W175" s="7">
        <f>IMAGINARY(U175)</f>
        <v>1.1645914179211399E-3</v>
      </c>
      <c r="X175" s="42"/>
      <c r="Y175" s="252" t="s">
        <v>239</v>
      </c>
      <c r="Z175" s="252"/>
      <c r="AE175" s="29">
        <f>N175-$N$175</f>
        <v>0</v>
      </c>
      <c r="AF175" s="29">
        <f>O175-$O$175</f>
        <v>0</v>
      </c>
      <c r="AG175" s="29">
        <f>AF175-AF176</f>
        <v>0</v>
      </c>
    </row>
    <row r="176" spans="1:33" x14ac:dyDescent="0.2">
      <c r="A176" s="69">
        <v>176</v>
      </c>
      <c r="B176" s="90" t="s">
        <v>323</v>
      </c>
      <c r="C176" s="83"/>
      <c r="D176" s="83">
        <v>70</v>
      </c>
      <c r="E176" s="90">
        <v>-0.255</v>
      </c>
      <c r="F176" s="90">
        <v>1.9</v>
      </c>
      <c r="G176" s="90">
        <v>0.2</v>
      </c>
      <c r="H176" s="83"/>
      <c r="I176" s="110">
        <f>0.1*D176/(5*0.02)</f>
        <v>70</v>
      </c>
      <c r="J176" s="87">
        <f>E176*G176</f>
        <v>-5.1000000000000004E-2</v>
      </c>
      <c r="K176" s="87">
        <f>100*RADIANS(G176*F176/60)</f>
        <v>1.1053751929297419E-2</v>
      </c>
      <c r="L176" s="83"/>
      <c r="M176" s="7" t="s">
        <v>44</v>
      </c>
      <c r="N176" s="159">
        <f>-O174*(J178-J177)/100</f>
        <v>2.23E-2</v>
      </c>
      <c r="O176" s="159">
        <f>-O174*(K178-K177)/100</f>
        <v>1.1635528346628865E-3</v>
      </c>
      <c r="P176" s="36"/>
      <c r="Q176" t="str">
        <f>COMPLEX(J176/100,K176/100)</f>
        <v>-0.00051+0.000110537519292974i</v>
      </c>
      <c r="R176" s="7"/>
      <c r="S176" s="7"/>
      <c r="T176" s="7"/>
      <c r="U176" s="7"/>
      <c r="V176" s="7"/>
      <c r="W176" s="7"/>
      <c r="X176" s="42"/>
      <c r="Y176" s="530" t="s">
        <v>459</v>
      </c>
      <c r="Z176" s="100"/>
      <c r="AA176" s="100"/>
      <c r="AB176" s="100"/>
      <c r="AC176" s="100"/>
      <c r="AE176" s="29">
        <f>N176-$N$176</f>
        <v>0</v>
      </c>
      <c r="AF176" s="29">
        <f>O176-$O$176</f>
        <v>0</v>
      </c>
    </row>
    <row r="177" spans="1:33" x14ac:dyDescent="0.2">
      <c r="A177" s="69">
        <v>177</v>
      </c>
      <c r="B177" s="90" t="s">
        <v>324</v>
      </c>
      <c r="C177" s="83"/>
      <c r="D177" s="83">
        <v>100</v>
      </c>
      <c r="E177" s="90">
        <v>-6.6000000000000003E-2</v>
      </c>
      <c r="F177" s="90">
        <v>4.3</v>
      </c>
      <c r="G177" s="90">
        <v>0.1</v>
      </c>
      <c r="H177" s="83"/>
      <c r="I177" s="110">
        <f>0.1*D177/(5*0.02)</f>
        <v>100</v>
      </c>
      <c r="J177" s="87">
        <f>E177*G177</f>
        <v>-6.6000000000000008E-3</v>
      </c>
      <c r="K177" s="87">
        <f>100*RADIANS(G177*F177/60)</f>
        <v>1.2508192972626028E-2</v>
      </c>
      <c r="L177" s="83"/>
      <c r="P177" s="36"/>
      <c r="Q177" t="str">
        <f>COMPLEX(J177/100,K177/100)</f>
        <v>-0.000066+0.00012508192972626i</v>
      </c>
      <c r="R177" s="7" t="str">
        <f>IMSUB(Q177,Q178)</f>
        <v>0.000446+0.000023271056693257i</v>
      </c>
      <c r="S177" s="7" t="str">
        <f>IMSUB(1,R177)</f>
        <v>0.999554-0.000023271056693257i</v>
      </c>
      <c r="T177" s="7" t="str">
        <f>IMDIV(R177,S177)</f>
        <v>0.000446198462488812+0.0000232918283584219i</v>
      </c>
      <c r="U177" s="7" t="str">
        <f>IMPRODUCT(T177,O174)</f>
        <v>0.0223099231244406+0.0011645914179211i</v>
      </c>
      <c r="V177" s="7">
        <f>IMREAL(U177)</f>
        <v>2.2309923124440599E-2</v>
      </c>
      <c r="W177" s="7">
        <f>IMAGINARY(U177)</f>
        <v>1.1645914179211E-3</v>
      </c>
      <c r="X177" s="254"/>
      <c r="Y177" s="253"/>
      <c r="Z177" s="253"/>
      <c r="AB177" s="29"/>
      <c r="AC177" s="254"/>
    </row>
    <row r="178" spans="1:33" x14ac:dyDescent="0.2">
      <c r="A178" s="69">
        <v>178</v>
      </c>
      <c r="B178" s="90" t="s">
        <v>325</v>
      </c>
      <c r="C178" s="83"/>
      <c r="D178" s="83">
        <v>100</v>
      </c>
      <c r="E178" s="90">
        <v>-0.25600000000000001</v>
      </c>
      <c r="F178" s="90">
        <v>1.75</v>
      </c>
      <c r="G178" s="90">
        <v>0.2</v>
      </c>
      <c r="H178" s="83"/>
      <c r="I178" s="110">
        <f>0.1*D178/(5*0.02)</f>
        <v>100</v>
      </c>
      <c r="J178" s="87">
        <f>E178*G178</f>
        <v>-5.1200000000000002E-2</v>
      </c>
      <c r="K178" s="87">
        <f>100*RADIANS(G178*F178/60)</f>
        <v>1.0181087303300255E-2</v>
      </c>
      <c r="L178" s="83"/>
      <c r="P178" s="36"/>
      <c r="Q178" t="str">
        <f>COMPLEX(J178/100,K178/100)</f>
        <v>-0.000512+0.000101810873033003i</v>
      </c>
      <c r="R178" s="7"/>
      <c r="S178" s="7"/>
      <c r="T178" s="7"/>
      <c r="U178" s="7"/>
      <c r="V178" s="7"/>
      <c r="W178" s="7"/>
      <c r="X178" s="29"/>
      <c r="Y178" s="253"/>
      <c r="Z178" s="253"/>
    </row>
    <row r="179" spans="1:33" x14ac:dyDescent="0.2">
      <c r="A179" s="69">
        <v>179</v>
      </c>
      <c r="B179" s="85"/>
      <c r="C179" s="85"/>
      <c r="D179" s="85"/>
      <c r="E179" s="69"/>
      <c r="F179" s="69"/>
      <c r="G179" s="83"/>
      <c r="H179" s="85"/>
      <c r="I179" s="85"/>
      <c r="J179" s="85"/>
      <c r="K179" s="85"/>
      <c r="L179" s="85"/>
      <c r="M179" s="38"/>
      <c r="N179" s="38"/>
      <c r="O179" s="38"/>
      <c r="P179" s="40"/>
      <c r="Q179" s="7"/>
      <c r="R179" s="7"/>
      <c r="S179" s="7"/>
      <c r="T179" s="7"/>
      <c r="U179" s="7"/>
      <c r="V179" s="7"/>
      <c r="W179" s="7"/>
      <c r="X179" s="29"/>
      <c r="Y179" s="29"/>
      <c r="Z179" s="29"/>
    </row>
    <row r="180" spans="1:33" x14ac:dyDescent="0.2">
      <c r="A180" s="69">
        <v>180</v>
      </c>
      <c r="B180" s="69"/>
      <c r="C180" s="88"/>
      <c r="D180" s="69"/>
      <c r="E180" s="79"/>
      <c r="F180" s="79"/>
      <c r="G180" s="79"/>
      <c r="H180" s="69"/>
      <c r="I180" s="70"/>
      <c r="J180" s="71"/>
      <c r="K180" s="71"/>
      <c r="M180" s="373" t="s">
        <v>379</v>
      </c>
      <c r="N180" s="374"/>
      <c r="O180" s="375">
        <v>50</v>
      </c>
      <c r="X180" s="42"/>
    </row>
    <row r="181" spans="1:33" x14ac:dyDescent="0.2">
      <c r="A181" s="69">
        <v>181</v>
      </c>
      <c r="B181" s="111">
        <v>42983</v>
      </c>
      <c r="C181" s="526" t="s">
        <v>447</v>
      </c>
      <c r="D181" s="69"/>
      <c r="E181" s="85"/>
      <c r="F181" s="85"/>
      <c r="G181" s="85"/>
      <c r="H181" s="69"/>
      <c r="I181" s="69"/>
      <c r="J181" s="69"/>
      <c r="K181" s="69"/>
      <c r="M181" s="373" t="s">
        <v>379</v>
      </c>
      <c r="N181" s="374"/>
      <c r="O181" s="375">
        <v>50</v>
      </c>
      <c r="X181" s="42"/>
    </row>
    <row r="182" spans="1:33" x14ac:dyDescent="0.2">
      <c r="A182" s="69">
        <v>182</v>
      </c>
      <c r="B182" s="89" t="s">
        <v>322</v>
      </c>
      <c r="C182" s="79"/>
      <c r="D182" s="79">
        <v>70</v>
      </c>
      <c r="E182" s="90">
        <v>-8.6999999999999994E-2</v>
      </c>
      <c r="F182" s="90">
        <v>6.2</v>
      </c>
      <c r="G182" s="90">
        <v>0.1</v>
      </c>
      <c r="H182" s="79"/>
      <c r="I182" s="108">
        <f>0.1*D182/(5*0.02)</f>
        <v>70</v>
      </c>
      <c r="J182" s="109">
        <f>E182*G182</f>
        <v>-8.6999999999999994E-3</v>
      </c>
      <c r="K182" s="109">
        <f>100*RADIANS(G182*F182/60)</f>
        <v>1.8035068937274742E-2</v>
      </c>
      <c r="L182" s="79"/>
      <c r="M182" s="7" t="s">
        <v>158</v>
      </c>
      <c r="N182" s="159">
        <f>-O180*(J183-J182)/100</f>
        <v>7.1649999999999991E-2</v>
      </c>
      <c r="O182" s="159">
        <f>-O180*(K183-K182)/100</f>
        <v>4.654211338651547E-3</v>
      </c>
      <c r="P182" s="11"/>
      <c r="Q182" t="str">
        <f>COMPLEX(J182/100,K182/100)</f>
        <v>-0.000087+0.000180350689372747i</v>
      </c>
      <c r="R182" s="7" t="str">
        <f>IMSUB(Q182,Q183)</f>
        <v>0.001433+0.0000930842267730305i</v>
      </c>
      <c r="S182" s="7" t="str">
        <f>IMSUB(1,R182)</f>
        <v>0.998567-0.0000930842267730305i</v>
      </c>
      <c r="T182" s="7" t="str">
        <f>IMDIV(R182,S182)</f>
        <v>0.00143504773384296+0.0000933515798957082i</v>
      </c>
      <c r="U182" s="7" t="str">
        <f>IMPRODUCT(T182,O180)</f>
        <v>0.071752386692148+0.00466757899478541i</v>
      </c>
      <c r="V182" s="7">
        <f>IMREAL(U182)</f>
        <v>7.1752386692148007E-2</v>
      </c>
      <c r="W182" s="7">
        <f>IMAGINARY(U182)</f>
        <v>4.6675789947854098E-3</v>
      </c>
      <c r="X182" s="42"/>
      <c r="Y182" s="252" t="s">
        <v>239</v>
      </c>
      <c r="Z182" s="252"/>
      <c r="AE182" s="29">
        <f>N182-$N$175</f>
        <v>4.9349999999999991E-2</v>
      </c>
      <c r="AF182" s="29">
        <f>O182-$O$175</f>
        <v>3.4906585039886605E-3</v>
      </c>
      <c r="AG182" s="29">
        <f>AF182-AF183</f>
        <v>-7.2722052166429053E-5</v>
      </c>
    </row>
    <row r="183" spans="1:33" x14ac:dyDescent="0.2">
      <c r="A183" s="69">
        <v>183</v>
      </c>
      <c r="B183" s="90" t="s">
        <v>323</v>
      </c>
      <c r="C183" s="83"/>
      <c r="D183" s="83">
        <v>70</v>
      </c>
      <c r="E183" s="90">
        <v>-0.152</v>
      </c>
      <c r="F183" s="90">
        <v>0.3</v>
      </c>
      <c r="G183" s="90">
        <v>1</v>
      </c>
      <c r="H183" s="83"/>
      <c r="I183" s="110">
        <f>0.1*D183/(5*0.02)</f>
        <v>70</v>
      </c>
      <c r="J183" s="87">
        <f>E183*G183</f>
        <v>-0.152</v>
      </c>
      <c r="K183" s="87">
        <f>100*RADIANS(G183*F183/60)</f>
        <v>8.7266462599716477E-3</v>
      </c>
      <c r="L183" s="83"/>
      <c r="M183" s="7" t="s">
        <v>44</v>
      </c>
      <c r="N183" s="159">
        <f>-O181*(J185-J184)/100</f>
        <v>7.2050000000000003E-2</v>
      </c>
      <c r="O183" s="159">
        <f>-O181*(K185-K184)/100</f>
        <v>4.7269333908179761E-3</v>
      </c>
      <c r="P183" s="36"/>
      <c r="Q183" t="str">
        <f>COMPLEX(J183/100,K183/100)</f>
        <v>-0.00152+0.0000872664625997165i</v>
      </c>
      <c r="R183" s="7"/>
      <c r="S183" s="7"/>
      <c r="T183" s="7"/>
      <c r="U183" s="7"/>
      <c r="V183" s="7"/>
      <c r="W183" s="7"/>
      <c r="X183" s="42"/>
      <c r="Y183" s="530" t="s">
        <v>459</v>
      </c>
      <c r="Z183" s="100"/>
      <c r="AA183" s="100"/>
      <c r="AB183" s="100"/>
      <c r="AC183" s="100"/>
      <c r="AE183" s="29">
        <f>N183-$N$176</f>
        <v>4.9750000000000003E-2</v>
      </c>
      <c r="AF183" s="29">
        <f>O183-$O$176</f>
        <v>3.5633805561550895E-3</v>
      </c>
    </row>
    <row r="184" spans="1:33" x14ac:dyDescent="0.2">
      <c r="A184" s="69">
        <v>184</v>
      </c>
      <c r="B184" s="90" t="s">
        <v>324</v>
      </c>
      <c r="C184" s="83"/>
      <c r="D184" s="83">
        <v>100</v>
      </c>
      <c r="E184" s="90">
        <v>-8.8999999999999996E-2</v>
      </c>
      <c r="F184" s="90">
        <v>5.75</v>
      </c>
      <c r="G184" s="90">
        <v>0.1</v>
      </c>
      <c r="H184" s="83"/>
      <c r="I184" s="110">
        <f>0.1*D184/(5*0.02)</f>
        <v>100</v>
      </c>
      <c r="J184" s="87">
        <f>E184*G184</f>
        <v>-8.8999999999999999E-3</v>
      </c>
      <c r="K184" s="87">
        <f>100*RADIANS(G184*F184/60)</f>
        <v>1.6726071998278993E-2</v>
      </c>
      <c r="L184" s="83"/>
      <c r="P184" s="36"/>
      <c r="Q184" t="str">
        <f>COMPLEX(J184/100,K184/100)</f>
        <v>-0.000089+0.00016726071998279i</v>
      </c>
      <c r="R184" s="7" t="str">
        <f>IMSUB(Q184,Q185)</f>
        <v>0.001441+0.0000945386678163596i</v>
      </c>
      <c r="S184" s="7" t="str">
        <f>IMSUB(1,R184)</f>
        <v>0.998559-0.0000945386678163596i</v>
      </c>
      <c r="T184" s="7" t="str">
        <f>IMDIV(R184,S184)</f>
        <v>0.00144307050121879+0.0000948117174639755i</v>
      </c>
      <c r="U184" s="7" t="str">
        <f>IMPRODUCT(T184,O181)</f>
        <v>0.0721535250609395+0.00474058587319877i</v>
      </c>
      <c r="V184" s="7">
        <f>IMREAL(U184)</f>
        <v>7.21535250609395E-2</v>
      </c>
      <c r="W184" s="7">
        <f>IMAGINARY(U184)</f>
        <v>4.7405858731987697E-3</v>
      </c>
      <c r="X184" s="254"/>
      <c r="Y184" s="253"/>
      <c r="Z184" s="253"/>
      <c r="AB184" s="29"/>
      <c r="AC184" s="254"/>
    </row>
    <row r="185" spans="1:33" x14ac:dyDescent="0.2">
      <c r="A185" s="69">
        <v>185</v>
      </c>
      <c r="B185" s="90" t="s">
        <v>325</v>
      </c>
      <c r="C185" s="83"/>
      <c r="D185" s="83">
        <v>100</v>
      </c>
      <c r="E185" s="90">
        <v>-0.153</v>
      </c>
      <c r="F185" s="90">
        <v>0.25</v>
      </c>
      <c r="G185" s="90">
        <v>1</v>
      </c>
      <c r="H185" s="83"/>
      <c r="I185" s="110">
        <f>0.1*D185/(5*0.02)</f>
        <v>100</v>
      </c>
      <c r="J185" s="87">
        <f>E185*G185</f>
        <v>-0.153</v>
      </c>
      <c r="K185" s="87">
        <f>100*RADIANS(G185*F185/60)</f>
        <v>7.2722052166430398E-3</v>
      </c>
      <c r="L185" s="83"/>
      <c r="P185" s="36"/>
      <c r="Q185" t="str">
        <f>COMPLEX(J185/100,K185/100)</f>
        <v>-0.00153+0.0000727220521664304i</v>
      </c>
      <c r="R185" s="7"/>
      <c r="S185" s="7"/>
      <c r="T185" s="7"/>
      <c r="U185" s="7"/>
      <c r="V185" s="7"/>
      <c r="W185" s="7"/>
      <c r="X185" s="29"/>
      <c r="Y185" s="253"/>
      <c r="Z185" s="253"/>
    </row>
    <row r="186" spans="1:33" x14ac:dyDescent="0.2">
      <c r="A186" s="69">
        <v>186</v>
      </c>
      <c r="B186" s="85"/>
      <c r="C186" s="85"/>
      <c r="D186" s="85"/>
      <c r="E186" s="69"/>
      <c r="F186" s="69"/>
      <c r="G186" s="83"/>
      <c r="H186" s="85"/>
      <c r="I186" s="85"/>
      <c r="J186" s="85"/>
      <c r="K186" s="85"/>
      <c r="L186" s="85"/>
      <c r="M186" s="38"/>
      <c r="N186" s="38"/>
      <c r="O186" s="38"/>
      <c r="P186" s="40"/>
      <c r="Q186" s="7"/>
      <c r="R186" s="7"/>
      <c r="S186" s="7"/>
      <c r="T186" s="7"/>
      <c r="U186" s="7"/>
      <c r="V186" s="7"/>
      <c r="W186" s="7"/>
      <c r="X186" s="29"/>
      <c r="Y186" s="29"/>
      <c r="Z186" s="29"/>
    </row>
    <row r="187" spans="1:33" x14ac:dyDescent="0.2">
      <c r="A187" s="69">
        <v>187</v>
      </c>
      <c r="B187" s="69"/>
      <c r="C187" s="88"/>
      <c r="D187" s="69"/>
      <c r="E187" s="79"/>
      <c r="F187" s="79"/>
      <c r="G187" s="79"/>
      <c r="H187" s="69"/>
      <c r="I187" s="70"/>
      <c r="J187" s="71"/>
      <c r="K187" s="71"/>
      <c r="M187" s="373" t="s">
        <v>379</v>
      </c>
      <c r="N187" s="374"/>
      <c r="O187" s="375">
        <v>50</v>
      </c>
      <c r="X187" s="42"/>
    </row>
    <row r="188" spans="1:33" x14ac:dyDescent="0.2">
      <c r="A188" s="69">
        <v>188</v>
      </c>
      <c r="B188" s="111">
        <v>42983</v>
      </c>
      <c r="C188" s="526" t="s">
        <v>449</v>
      </c>
      <c r="D188" s="69"/>
      <c r="E188" s="85"/>
      <c r="F188" s="85"/>
      <c r="G188" s="85"/>
      <c r="H188" s="69"/>
      <c r="I188" s="69"/>
      <c r="J188" s="69"/>
      <c r="K188" s="69"/>
      <c r="M188" s="373" t="s">
        <v>379</v>
      </c>
      <c r="N188" s="374"/>
      <c r="O188" s="375">
        <v>50</v>
      </c>
      <c r="X188" s="42"/>
    </row>
    <row r="189" spans="1:33" x14ac:dyDescent="0.2">
      <c r="A189" s="69">
        <v>189</v>
      </c>
      <c r="B189" s="89" t="s">
        <v>322</v>
      </c>
      <c r="C189" s="79"/>
      <c r="D189" s="79">
        <v>70</v>
      </c>
      <c r="E189" s="90">
        <v>-0.109</v>
      </c>
      <c r="F189" s="90">
        <v>7.6</v>
      </c>
      <c r="G189" s="90">
        <v>0.1</v>
      </c>
      <c r="H189" s="79"/>
      <c r="I189" s="108">
        <f>0.1*D189/(5*0.02)</f>
        <v>70</v>
      </c>
      <c r="J189" s="109">
        <f>E189*G189</f>
        <v>-1.09E-2</v>
      </c>
      <c r="K189" s="109">
        <f>100*RADIANS(G189*F189/60)</f>
        <v>2.2107503858594838E-2</v>
      </c>
      <c r="L189" s="79"/>
      <c r="M189" s="7" t="s">
        <v>158</v>
      </c>
      <c r="N189" s="159">
        <f>-O187*(J190-J189)/100</f>
        <v>0.12105</v>
      </c>
      <c r="O189" s="159">
        <f>-O187*(K190-K189)/100</f>
        <v>6.6904287993115952E-3</v>
      </c>
      <c r="P189" s="11"/>
      <c r="Q189" t="str">
        <f>COMPLEX(J189/100,K189/100)</f>
        <v>-0.000109+0.000221075038585948i</v>
      </c>
      <c r="R189" s="7" t="str">
        <f>IMSUB(Q189,Q190)</f>
        <v>0.002421+0.000133808575986231i</v>
      </c>
      <c r="S189" s="7" t="str">
        <f>IMSUB(1,R189)</f>
        <v>0.997579-0.000133808575986231i</v>
      </c>
      <c r="T189" s="7" t="str">
        <f>IMDIV(R189,S189)</f>
        <v>0.00242685743009299+0.000134458835163003i</v>
      </c>
      <c r="U189" s="7" t="str">
        <f>IMPRODUCT(T189,O187)</f>
        <v>0.12134287150465+0.00672294175815015i</v>
      </c>
      <c r="V189" s="7">
        <f>IMREAL(U189)</f>
        <v>0.12134287150464999</v>
      </c>
      <c r="W189" s="7">
        <f>IMAGINARY(U189)</f>
        <v>6.7229417581501499E-3</v>
      </c>
      <c r="X189" s="42"/>
      <c r="Y189" s="252" t="s">
        <v>239</v>
      </c>
      <c r="Z189" s="252"/>
      <c r="AE189" s="29">
        <f>N189-$N$175</f>
        <v>9.8750000000000004E-2</v>
      </c>
      <c r="AF189" s="29">
        <f>O189-$O$175</f>
        <v>5.5268759646487087E-3</v>
      </c>
      <c r="AG189" s="29">
        <f>AF189-AF190</f>
        <v>-5.8177641733144284E-4</v>
      </c>
    </row>
    <row r="190" spans="1:33" x14ac:dyDescent="0.2">
      <c r="A190" s="69">
        <v>190</v>
      </c>
      <c r="B190" s="90" t="s">
        <v>323</v>
      </c>
      <c r="C190" s="83"/>
      <c r="D190" s="83">
        <v>70</v>
      </c>
      <c r="E190" s="90">
        <v>-0.253</v>
      </c>
      <c r="F190" s="90">
        <v>0.3</v>
      </c>
      <c r="G190" s="90">
        <v>1</v>
      </c>
      <c r="H190" s="83"/>
      <c r="I190" s="110">
        <f>0.1*D190/(5*0.02)</f>
        <v>70</v>
      </c>
      <c r="J190" s="87">
        <f>E190*G190</f>
        <v>-0.253</v>
      </c>
      <c r="K190" s="87">
        <f>100*RADIANS(G190*F190/60)</f>
        <v>8.7266462599716477E-3</v>
      </c>
      <c r="L190" s="83"/>
      <c r="M190" s="7" t="s">
        <v>44</v>
      </c>
      <c r="N190" s="159">
        <f>-O188*(J192-J191)/100</f>
        <v>0.12245</v>
      </c>
      <c r="O190" s="159">
        <f>-O188*(K192-K191)/100</f>
        <v>7.272205216643038E-3</v>
      </c>
      <c r="P190" s="36"/>
      <c r="Q190" t="str">
        <f>COMPLEX(J190/100,K190/100)</f>
        <v>-0.00253+0.0000872664625997165i</v>
      </c>
      <c r="R190" s="7"/>
      <c r="S190" s="7"/>
      <c r="T190" s="7"/>
      <c r="U190" s="7"/>
      <c r="V190" s="7"/>
      <c r="W190" s="7"/>
      <c r="X190" s="42"/>
      <c r="Y190" s="530" t="s">
        <v>459</v>
      </c>
      <c r="Z190" s="100"/>
      <c r="AA190" s="100"/>
      <c r="AB190" s="100"/>
      <c r="AC190" s="100"/>
      <c r="AE190" s="29">
        <f>N190-$N$176</f>
        <v>0.10015</v>
      </c>
      <c r="AF190" s="29">
        <f>O190-$O$176</f>
        <v>6.1086523819801515E-3</v>
      </c>
    </row>
    <row r="191" spans="1:33" x14ac:dyDescent="0.2">
      <c r="A191" s="69">
        <v>191</v>
      </c>
      <c r="B191" s="90" t="s">
        <v>324</v>
      </c>
      <c r="C191" s="83"/>
      <c r="D191" s="83">
        <v>100</v>
      </c>
      <c r="E191" s="90">
        <v>-0.111</v>
      </c>
      <c r="F191" s="90">
        <v>7</v>
      </c>
      <c r="G191" s="90">
        <v>0.1</v>
      </c>
      <c r="H191" s="83"/>
      <c r="I191" s="110">
        <f>0.1*D191/(5*0.02)</f>
        <v>100</v>
      </c>
      <c r="J191" s="87">
        <f>E191*G191</f>
        <v>-1.11E-2</v>
      </c>
      <c r="K191" s="87">
        <f>100*RADIANS(G191*F191/60)</f>
        <v>2.036217460660051E-2</v>
      </c>
      <c r="L191" s="83"/>
      <c r="P191" s="36"/>
      <c r="Q191" t="str">
        <f>COMPLEX(J191/100,K191/100)</f>
        <v>-0.000111+0.000203621746066005i</v>
      </c>
      <c r="R191" s="7" t="str">
        <f>IMSUB(Q191,Q192)</f>
        <v>0.002449+0.000145444104332861i</v>
      </c>
      <c r="S191" s="7" t="str">
        <f>IMSUB(1,R191)</f>
        <v>0.997551-0.000145444104332861i</v>
      </c>
      <c r="T191" s="7" t="str">
        <f>IMDIV(R191,S191)</f>
        <v>0.00245499101501464+0.000146159111967393i</v>
      </c>
      <c r="U191" s="7" t="str">
        <f>IMPRODUCT(T191,O188)</f>
        <v>0.122749550750732+0.00730795559836965i</v>
      </c>
      <c r="V191" s="7">
        <f>IMREAL(U191)</f>
        <v>0.122749550750732</v>
      </c>
      <c r="W191" s="7">
        <f>IMAGINARY(U191)</f>
        <v>7.3079555983696504E-3</v>
      </c>
      <c r="X191" s="254"/>
      <c r="Y191" s="253"/>
      <c r="Z191" s="253"/>
      <c r="AB191" s="29"/>
      <c r="AC191" s="254"/>
    </row>
    <row r="192" spans="1:33" x14ac:dyDescent="0.2">
      <c r="A192" s="69">
        <v>192</v>
      </c>
      <c r="B192" s="90" t="s">
        <v>325</v>
      </c>
      <c r="C192" s="83"/>
      <c r="D192" s="83">
        <v>100</v>
      </c>
      <c r="E192" s="90">
        <v>-0.25600000000000001</v>
      </c>
      <c r="F192" s="90">
        <v>0.2</v>
      </c>
      <c r="G192" s="90">
        <v>1</v>
      </c>
      <c r="H192" s="83"/>
      <c r="I192" s="110">
        <f>0.1*D192/(5*0.02)</f>
        <v>100</v>
      </c>
      <c r="J192" s="87">
        <f>E192*G192</f>
        <v>-0.25600000000000001</v>
      </c>
      <c r="K192" s="87">
        <f>100*RADIANS(G192*F192/60)</f>
        <v>5.8177641733144318E-3</v>
      </c>
      <c r="L192" s="83"/>
      <c r="P192" s="36"/>
      <c r="Q192" t="str">
        <f>COMPLEX(J192/100,K192/100)</f>
        <v>-0.00256+0.0000581776417331443i</v>
      </c>
      <c r="R192" s="7"/>
      <c r="S192" s="7"/>
      <c r="T192" s="7"/>
      <c r="U192" s="7"/>
      <c r="V192" s="7"/>
      <c r="W192" s="7"/>
      <c r="X192" s="29"/>
      <c r="Y192" s="253"/>
      <c r="Z192" s="253"/>
    </row>
    <row r="193" spans="1:33" x14ac:dyDescent="0.2">
      <c r="A193" s="69">
        <v>193</v>
      </c>
      <c r="B193" s="85"/>
      <c r="C193" s="85"/>
      <c r="D193" s="85"/>
      <c r="E193" s="69"/>
      <c r="F193" s="69"/>
      <c r="G193" s="83"/>
      <c r="H193" s="85"/>
      <c r="I193" s="85"/>
      <c r="J193" s="85"/>
      <c r="K193" s="85"/>
      <c r="L193" s="85"/>
      <c r="M193" s="38"/>
      <c r="N193" s="38"/>
      <c r="O193" s="38"/>
      <c r="P193" s="40"/>
      <c r="Q193" s="7"/>
      <c r="R193" s="7"/>
      <c r="S193" s="7"/>
      <c r="T193" s="7"/>
      <c r="U193" s="7"/>
      <c r="V193" s="7"/>
      <c r="W193" s="7"/>
      <c r="X193" s="29"/>
      <c r="Y193" s="29"/>
      <c r="Z193" s="29"/>
    </row>
    <row r="194" spans="1:33" x14ac:dyDescent="0.2">
      <c r="A194" s="69">
        <v>194</v>
      </c>
      <c r="B194" s="69"/>
      <c r="C194" s="88"/>
      <c r="D194" s="69"/>
      <c r="E194" s="79"/>
      <c r="F194" s="79"/>
      <c r="G194" s="79"/>
      <c r="H194" s="69"/>
      <c r="I194" s="70"/>
      <c r="J194" s="71"/>
      <c r="K194" s="71"/>
      <c r="M194" s="373" t="s">
        <v>379</v>
      </c>
      <c r="N194" s="374"/>
      <c r="O194" s="375">
        <v>50</v>
      </c>
      <c r="X194" s="42"/>
    </row>
    <row r="195" spans="1:33" x14ac:dyDescent="0.2">
      <c r="A195" s="69">
        <v>195</v>
      </c>
      <c r="B195" s="111">
        <v>42983</v>
      </c>
      <c r="C195" s="526" t="s">
        <v>450</v>
      </c>
      <c r="D195" s="69"/>
      <c r="E195" s="85"/>
      <c r="F195" s="85"/>
      <c r="G195" s="85"/>
      <c r="H195" s="69"/>
      <c r="I195" s="69"/>
      <c r="J195" s="69"/>
      <c r="K195" s="69"/>
      <c r="M195" s="373" t="s">
        <v>379</v>
      </c>
      <c r="N195" s="374"/>
      <c r="O195" s="375">
        <v>50</v>
      </c>
      <c r="X195" s="42"/>
    </row>
    <row r="196" spans="1:33" x14ac:dyDescent="0.2">
      <c r="A196" s="69">
        <v>196</v>
      </c>
      <c r="B196" s="89" t="s">
        <v>322</v>
      </c>
      <c r="C196" s="79"/>
      <c r="D196" s="79">
        <v>70</v>
      </c>
      <c r="E196" s="90">
        <v>-0.13100000000000001</v>
      </c>
      <c r="F196" s="90">
        <v>8.9</v>
      </c>
      <c r="G196" s="90">
        <v>0.1</v>
      </c>
      <c r="H196" s="79"/>
      <c r="I196" s="108">
        <f>0.1*D196/(5*0.02)</f>
        <v>70</v>
      </c>
      <c r="J196" s="109">
        <f>E196*G196</f>
        <v>-1.3100000000000001E-2</v>
      </c>
      <c r="K196" s="109">
        <f>100*RADIANS(G196*F196/60)</f>
        <v>2.5889050571249225E-2</v>
      </c>
      <c r="L196" s="79"/>
      <c r="M196" s="7" t="s">
        <v>158</v>
      </c>
      <c r="N196" s="159">
        <f>-O194*(J197-J196)/100</f>
        <v>0.17144999999999999</v>
      </c>
      <c r="O196" s="159">
        <f>-O194*(K197-K196)/100</f>
        <v>8.5812021556387896E-3</v>
      </c>
      <c r="P196" s="11"/>
      <c r="Q196" t="str">
        <f>COMPLEX(J196/100,K196/100)</f>
        <v>-0.000131+0.000258890505712492i</v>
      </c>
      <c r="R196" s="7" t="str">
        <f>IMSUB(Q196,Q197)</f>
        <v>0.003429+0.000171624043112776i</v>
      </c>
      <c r="S196" s="7" t="str">
        <f>IMSUB(1,R196)</f>
        <v>0.996571-0.000171624043112776i</v>
      </c>
      <c r="T196" s="7" t="str">
        <f>IMDIV(R196,S196)</f>
        <v>0.00344076873814695+0.000172807117360462i</v>
      </c>
      <c r="U196" s="7" t="str">
        <f>IMPRODUCT(T196,O194)</f>
        <v>0.172038436907347+0.0086403558680231i</v>
      </c>
      <c r="V196" s="7">
        <f>IMREAL(U196)</f>
        <v>0.17203843690734699</v>
      </c>
      <c r="W196" s="7">
        <f>IMAGINARY(U196)</f>
        <v>8.6403558680231002E-3</v>
      </c>
      <c r="X196" s="42"/>
      <c r="Y196" s="252" t="s">
        <v>239</v>
      </c>
      <c r="Z196" s="252"/>
      <c r="AE196" s="29">
        <f>N196-$N$175</f>
        <v>0.14915</v>
      </c>
      <c r="AF196" s="29">
        <f>O196-$O$175</f>
        <v>7.4176493209759031E-3</v>
      </c>
      <c r="AG196" s="29">
        <f>AF196-AF197</f>
        <v>5.0905436516501291E-4</v>
      </c>
    </row>
    <row r="197" spans="1:33" x14ac:dyDescent="0.2">
      <c r="A197" s="69">
        <v>197</v>
      </c>
      <c r="B197" s="90" t="s">
        <v>323</v>
      </c>
      <c r="C197" s="83"/>
      <c r="D197" s="83">
        <v>70</v>
      </c>
      <c r="E197" s="90">
        <v>-0.35599999999999998</v>
      </c>
      <c r="F197" s="90">
        <v>0.3</v>
      </c>
      <c r="G197" s="90">
        <v>1</v>
      </c>
      <c r="H197" s="83"/>
      <c r="I197" s="110">
        <f>0.1*D197/(5*0.02)</f>
        <v>70</v>
      </c>
      <c r="J197" s="87">
        <f>E197*G197</f>
        <v>-0.35599999999999998</v>
      </c>
      <c r="K197" s="87">
        <f>100*RADIANS(G197*F197/60)</f>
        <v>8.7266462599716477E-3</v>
      </c>
      <c r="L197" s="83"/>
      <c r="M197" s="7" t="s">
        <v>44</v>
      </c>
      <c r="N197" s="159">
        <f>-O195*(J199-J198)/100</f>
        <v>0.17235</v>
      </c>
      <c r="O197" s="159">
        <f>-O195*(K199-K198)/100</f>
        <v>8.0721477904737767E-3</v>
      </c>
      <c r="P197" s="36"/>
      <c r="Q197" t="str">
        <f>COMPLEX(J197/100,K197/100)</f>
        <v>-0.00356+0.0000872664625997165i</v>
      </c>
      <c r="R197" s="7"/>
      <c r="S197" s="7"/>
      <c r="T197" s="7"/>
      <c r="U197" s="7"/>
      <c r="V197" s="7"/>
      <c r="W197" s="7"/>
      <c r="X197" s="42"/>
      <c r="Y197" s="530" t="s">
        <v>459</v>
      </c>
      <c r="Z197" s="100"/>
      <c r="AA197" s="100"/>
      <c r="AB197" s="100"/>
      <c r="AC197" s="100"/>
      <c r="AE197" s="29">
        <f>N197-$N$176</f>
        <v>0.15005000000000002</v>
      </c>
      <c r="AF197" s="29">
        <f>O197-$O$176</f>
        <v>6.9085949558108902E-3</v>
      </c>
    </row>
    <row r="198" spans="1:33" x14ac:dyDescent="0.2">
      <c r="A198" s="69">
        <v>198</v>
      </c>
      <c r="B198" s="90" t="s">
        <v>324</v>
      </c>
      <c r="C198" s="83"/>
      <c r="D198" s="83">
        <v>100</v>
      </c>
      <c r="E198" s="90">
        <v>-0.13300000000000001</v>
      </c>
      <c r="F198" s="90">
        <v>8.0500000000000007</v>
      </c>
      <c r="G198" s="90">
        <v>0.1</v>
      </c>
      <c r="H198" s="83"/>
      <c r="I198" s="110">
        <f>0.1*D198/(5*0.02)</f>
        <v>100</v>
      </c>
      <c r="J198" s="87">
        <f>E198*G198</f>
        <v>-1.3300000000000001E-2</v>
      </c>
      <c r="K198" s="87">
        <f>100*RADIANS(G198*F198/60)</f>
        <v>2.3416500797590594E-2</v>
      </c>
      <c r="L198" s="83"/>
      <c r="P198" s="36"/>
      <c r="Q198" t="str">
        <f>COMPLEX(J198/100,K198/100)</f>
        <v>-0.000133+0.000234165007975906i</v>
      </c>
      <c r="R198" s="7" t="str">
        <f>IMSUB(Q198,Q199)</f>
        <v>0.003447+0.000161442955809476i</v>
      </c>
      <c r="S198" s="7" t="str">
        <f>IMSUB(1,R198)</f>
        <v>0.996553-0.000161442955809476i</v>
      </c>
      <c r="T198" s="7" t="str">
        <f>IMDIV(R198,S198)</f>
        <v>0.00345889657203915+0.00016256172054663i</v>
      </c>
      <c r="U198" s="7" t="str">
        <f>IMPRODUCT(T198,O195)</f>
        <v>0.172944828601958+0.0081280860273315i</v>
      </c>
      <c r="V198" s="7">
        <f>IMREAL(U198)</f>
        <v>0.17294482860195801</v>
      </c>
      <c r="W198" s="7">
        <f>IMAGINARY(U198)</f>
        <v>8.1280860273314996E-3</v>
      </c>
      <c r="X198" s="254"/>
      <c r="Y198" s="253"/>
      <c r="Z198" s="253"/>
      <c r="AB198" s="29"/>
      <c r="AC198" s="254"/>
    </row>
    <row r="199" spans="1:33" x14ac:dyDescent="0.2">
      <c r="A199" s="69">
        <v>199</v>
      </c>
      <c r="B199" s="90" t="s">
        <v>325</v>
      </c>
      <c r="C199" s="83"/>
      <c r="D199" s="83">
        <v>100</v>
      </c>
      <c r="E199" s="90">
        <v>-0.35799999999999998</v>
      </c>
      <c r="F199" s="90">
        <v>0.25</v>
      </c>
      <c r="G199" s="90">
        <v>1</v>
      </c>
      <c r="H199" s="83"/>
      <c r="I199" s="110">
        <f>0.1*D199/(5*0.02)</f>
        <v>100</v>
      </c>
      <c r="J199" s="87">
        <f>E199*G199</f>
        <v>-0.35799999999999998</v>
      </c>
      <c r="K199" s="87">
        <f>100*RADIANS(G199*F199/60)</f>
        <v>7.2722052166430398E-3</v>
      </c>
      <c r="L199" s="83"/>
      <c r="P199" s="36"/>
      <c r="Q199" t="str">
        <f>COMPLEX(J199/100,K199/100)</f>
        <v>-0.00358+0.0000727220521664304i</v>
      </c>
      <c r="R199" s="7"/>
      <c r="S199" s="7"/>
      <c r="T199" s="7"/>
      <c r="U199" s="7"/>
      <c r="V199" s="7"/>
      <c r="W199" s="7"/>
      <c r="X199" s="29"/>
      <c r="Y199" s="253"/>
      <c r="Z199" s="253"/>
    </row>
    <row r="200" spans="1:33" x14ac:dyDescent="0.2">
      <c r="A200" s="69">
        <v>200</v>
      </c>
      <c r="B200" s="69"/>
      <c r="C200" s="88"/>
      <c r="D200" s="69"/>
      <c r="E200" s="100"/>
      <c r="F200" s="100"/>
      <c r="G200" s="100"/>
      <c r="H200" s="69"/>
      <c r="I200" s="70"/>
      <c r="J200" s="71"/>
      <c r="K200" s="71"/>
      <c r="L200" s="83"/>
      <c r="P200" s="36"/>
      <c r="Q200" s="7"/>
      <c r="R200" s="7"/>
      <c r="S200" s="7"/>
      <c r="T200" s="7"/>
      <c r="U200" s="7"/>
      <c r="V200" s="7"/>
      <c r="W200" s="7"/>
      <c r="X200" s="42"/>
    </row>
    <row r="201" spans="1:33" x14ac:dyDescent="0.2">
      <c r="A201" s="69">
        <v>201</v>
      </c>
      <c r="B201" s="79"/>
      <c r="C201" s="527"/>
      <c r="D201" s="79"/>
      <c r="E201" s="79"/>
      <c r="F201" s="79"/>
      <c r="G201" s="79"/>
      <c r="H201" s="79"/>
      <c r="I201" s="108"/>
      <c r="J201" s="109"/>
      <c r="K201" s="109"/>
      <c r="L201" s="11"/>
      <c r="M201" s="373" t="s">
        <v>379</v>
      </c>
      <c r="N201" s="374"/>
      <c r="O201" s="375">
        <v>50</v>
      </c>
      <c r="P201" s="43"/>
      <c r="Q201" s="7"/>
      <c r="R201" s="7"/>
      <c r="S201" s="7"/>
      <c r="T201" s="7"/>
      <c r="U201" s="7"/>
      <c r="V201" s="7"/>
      <c r="W201" s="7"/>
      <c r="X201" s="42"/>
    </row>
    <row r="202" spans="1:33" x14ac:dyDescent="0.2">
      <c r="A202" s="69">
        <v>202</v>
      </c>
      <c r="B202" s="528">
        <v>42983</v>
      </c>
      <c r="C202" s="529" t="s">
        <v>451</v>
      </c>
      <c r="D202" s="85"/>
      <c r="E202" s="85"/>
      <c r="F202" s="85"/>
      <c r="G202" s="85"/>
      <c r="H202" s="85"/>
      <c r="I202" s="85"/>
      <c r="J202" s="85"/>
      <c r="K202" s="85"/>
      <c r="L202" s="40"/>
      <c r="M202" s="373" t="s">
        <v>379</v>
      </c>
      <c r="N202" s="374"/>
      <c r="O202" s="375">
        <v>50</v>
      </c>
      <c r="X202" s="42"/>
    </row>
    <row r="203" spans="1:33" x14ac:dyDescent="0.2">
      <c r="A203" s="69">
        <v>203</v>
      </c>
      <c r="B203" s="90" t="s">
        <v>322</v>
      </c>
      <c r="C203" s="83"/>
      <c r="D203" s="83">
        <v>70</v>
      </c>
      <c r="E203" s="90">
        <v>-0.24399999999999999</v>
      </c>
      <c r="F203" s="90">
        <v>7.6</v>
      </c>
      <c r="G203" s="90">
        <v>0.1</v>
      </c>
      <c r="H203" s="83"/>
      <c r="I203" s="110">
        <f>0.1*D203/(5*0.02)</f>
        <v>70</v>
      </c>
      <c r="J203" s="87">
        <f>E203*G203</f>
        <v>-2.4400000000000002E-2</v>
      </c>
      <c r="K203" s="87">
        <f>100*RADIANS(G203*F203/60)</f>
        <v>2.2107503858594838E-2</v>
      </c>
      <c r="L203" s="83"/>
      <c r="M203" s="7" t="s">
        <v>158</v>
      </c>
      <c r="N203" s="159">
        <f>-O201*(J204-J203)/100</f>
        <v>0.18730000000000005</v>
      </c>
      <c r="O203" s="159">
        <f>-O201*(K204-K203)/100</f>
        <v>0.1172279480922858</v>
      </c>
      <c r="P203" s="11"/>
      <c r="Q203" t="str">
        <f>COMPLEX(J203/100,K203/100)</f>
        <v>-0.000244+0.000221075038585948i</v>
      </c>
      <c r="R203" s="7" t="str">
        <f>IMSUB(Q203,Q204)</f>
        <v>0.003746+0.00234455896184572i</v>
      </c>
      <c r="S203" s="7" t="str">
        <f>IMSUB(1,R203)</f>
        <v>0.996254-0.00234455896184572i</v>
      </c>
      <c r="T203" s="7" t="str">
        <f>IMDIV(R203,S203)</f>
        <v>0.00375452611299769+0.00236221051026288i</v>
      </c>
      <c r="U203" s="7" t="str">
        <f>IMPRODUCT(T203,O201)</f>
        <v>0.187726305649884+0.118110525513144i</v>
      </c>
      <c r="V203" s="7">
        <f>IMREAL(U203)</f>
        <v>0.18772630564988399</v>
      </c>
      <c r="W203" s="7">
        <f>IMAGINARY(U203)</f>
        <v>0.11811052551314399</v>
      </c>
      <c r="X203" s="42"/>
      <c r="Y203" s="252" t="s">
        <v>239</v>
      </c>
      <c r="Z203" s="252"/>
      <c r="AE203" s="29">
        <f>N203-$N$175</f>
        <v>0.16500000000000004</v>
      </c>
      <c r="AF203" s="29">
        <f>O203-$O$175</f>
        <v>0.11606439525762291</v>
      </c>
      <c r="AG203" s="29">
        <f>AF203-AF204</f>
        <v>-1.4544410433285637E-4</v>
      </c>
    </row>
    <row r="204" spans="1:33" x14ac:dyDescent="0.2">
      <c r="A204" s="69">
        <v>204</v>
      </c>
      <c r="B204" s="90" t="s">
        <v>323</v>
      </c>
      <c r="C204" s="83"/>
      <c r="D204" s="83">
        <v>70</v>
      </c>
      <c r="E204" s="90">
        <v>-0.39900000000000002</v>
      </c>
      <c r="F204" s="90">
        <v>-7.3</v>
      </c>
      <c r="G204" s="90">
        <v>1</v>
      </c>
      <c r="H204" s="83"/>
      <c r="I204" s="110">
        <f>0.1*D204/(5*0.02)</f>
        <v>70</v>
      </c>
      <c r="J204" s="87">
        <f>E204*G204</f>
        <v>-0.39900000000000002</v>
      </c>
      <c r="K204" s="87">
        <f>100*RADIANS(G204*F204/60)</f>
        <v>-0.21234839232597674</v>
      </c>
      <c r="L204" s="83"/>
      <c r="M204" s="7" t="s">
        <v>44</v>
      </c>
      <c r="N204" s="159">
        <f>-O202*(J206-J205)/100</f>
        <v>0.18715000000000001</v>
      </c>
      <c r="O204" s="159">
        <f>-O202*(K206-K205)/100</f>
        <v>0.11737339219661866</v>
      </c>
      <c r="P204" s="36"/>
      <c r="Q204" t="str">
        <f>COMPLEX(J204/100,K204/100)</f>
        <v>-0.00399-0.00212348392325977i</v>
      </c>
      <c r="R204" s="7"/>
      <c r="S204" s="7"/>
      <c r="T204" s="7"/>
      <c r="U204" s="7"/>
      <c r="V204" s="7"/>
      <c r="W204" s="7"/>
      <c r="X204" s="42"/>
      <c r="Y204" s="530" t="s">
        <v>459</v>
      </c>
      <c r="Z204" s="100"/>
      <c r="AA204" s="100"/>
      <c r="AB204" s="100"/>
      <c r="AC204" s="100"/>
      <c r="AE204" s="29">
        <f>N204-$N$176</f>
        <v>0.16485</v>
      </c>
      <c r="AF204" s="29">
        <f>O204-$O$176</f>
        <v>0.11620983936195577</v>
      </c>
    </row>
    <row r="205" spans="1:33" x14ac:dyDescent="0.2">
      <c r="A205" s="69">
        <v>205</v>
      </c>
      <c r="B205" s="90" t="s">
        <v>324</v>
      </c>
      <c r="C205" s="83"/>
      <c r="D205" s="83">
        <v>100</v>
      </c>
      <c r="E205" s="90">
        <v>-0.23699999999999999</v>
      </c>
      <c r="F205" s="90">
        <v>6.7</v>
      </c>
      <c r="G205" s="90">
        <v>0.1</v>
      </c>
      <c r="H205" s="83"/>
      <c r="I205" s="110">
        <f>0.1*D205/(5*0.02)</f>
        <v>100</v>
      </c>
      <c r="J205" s="87">
        <f>E205*G205</f>
        <v>-2.3699999999999999E-2</v>
      </c>
      <c r="K205" s="87">
        <f>100*RADIANS(G205*F205/60)</f>
        <v>1.9489509980603347E-2</v>
      </c>
      <c r="L205" s="83"/>
      <c r="P205" s="36"/>
      <c r="Q205" t="str">
        <f>COMPLEX(J205/100,K205/100)</f>
        <v>-0.000237+0.000194895099806033i</v>
      </c>
      <c r="R205" s="7" t="str">
        <f>IMSUB(Q205,Q206)</f>
        <v>0.003743+0.00234746784393237i</v>
      </c>
      <c r="S205" s="7" t="str">
        <f>IMSUB(1,R205)</f>
        <v>0.996257-0.00234746784393237i</v>
      </c>
      <c r="T205" s="7" t="str">
        <f>IMDIV(R205,S205)</f>
        <v>0.00375148976657956+0.00236512701594695i</v>
      </c>
      <c r="U205" s="7" t="str">
        <f>IMPRODUCT(T205,O202)</f>
        <v>0.187574488328978+0.118256350797348i</v>
      </c>
      <c r="V205" s="7">
        <f>IMREAL(U205)</f>
        <v>0.187574488328978</v>
      </c>
      <c r="W205" s="7">
        <f>IMAGINARY(U205)</f>
        <v>0.118256350797348</v>
      </c>
      <c r="X205" s="254"/>
      <c r="Y205" s="253"/>
      <c r="Z205" s="253"/>
      <c r="AB205" s="29"/>
      <c r="AC205" s="254"/>
    </row>
    <row r="206" spans="1:33" x14ac:dyDescent="0.2">
      <c r="A206" s="69">
        <v>206</v>
      </c>
      <c r="B206" s="90" t="s">
        <v>325</v>
      </c>
      <c r="C206" s="83"/>
      <c r="D206" s="83">
        <v>100</v>
      </c>
      <c r="E206" s="90">
        <v>-0.39800000000000002</v>
      </c>
      <c r="F206" s="90">
        <v>-7.4</v>
      </c>
      <c r="G206" s="90">
        <v>1</v>
      </c>
      <c r="H206" s="83"/>
      <c r="I206" s="110">
        <f>0.1*D206/(5*0.02)</f>
        <v>100</v>
      </c>
      <c r="J206" s="87">
        <f>E206*G206</f>
        <v>-0.39800000000000002</v>
      </c>
      <c r="K206" s="87">
        <f>100*RADIANS(G206*F206/60)</f>
        <v>-0.21525727441263398</v>
      </c>
      <c r="L206" s="83"/>
      <c r="P206" s="36"/>
      <c r="Q206" t="str">
        <f>COMPLEX(J206/100,K206/100)</f>
        <v>-0.00398-0.00215257274412634i</v>
      </c>
      <c r="R206" s="7"/>
      <c r="S206" s="7"/>
      <c r="T206" s="7"/>
      <c r="U206" s="7"/>
      <c r="V206" s="7"/>
      <c r="W206" s="7"/>
      <c r="X206" s="29"/>
      <c r="Y206" s="253"/>
      <c r="Z206" s="253"/>
    </row>
    <row r="207" spans="1:33" x14ac:dyDescent="0.2">
      <c r="A207" s="69">
        <v>207</v>
      </c>
      <c r="B207" s="85"/>
      <c r="C207" s="85"/>
      <c r="D207" s="85"/>
      <c r="E207" s="85"/>
      <c r="F207" s="85"/>
      <c r="G207" s="85"/>
      <c r="H207" s="85"/>
      <c r="I207" s="85"/>
      <c r="J207" s="85"/>
      <c r="K207" s="85"/>
      <c r="L207" s="85"/>
      <c r="M207" s="38"/>
      <c r="N207" s="38"/>
      <c r="O207" s="38"/>
      <c r="P207" s="40"/>
      <c r="Q207" s="7"/>
      <c r="R207" s="7"/>
      <c r="S207" s="7"/>
      <c r="T207" s="7"/>
      <c r="U207" s="7"/>
      <c r="V207" s="7"/>
      <c r="W207" s="7"/>
      <c r="X207" s="29"/>
      <c r="Y207" s="29"/>
      <c r="Z207" s="29"/>
    </row>
    <row r="208" spans="1:33" x14ac:dyDescent="0.2">
      <c r="A208" s="69">
        <v>208</v>
      </c>
      <c r="B208" s="79"/>
      <c r="C208" s="527"/>
      <c r="D208" s="79"/>
      <c r="E208" s="79"/>
      <c r="F208" s="79"/>
      <c r="G208" s="79"/>
      <c r="H208" s="79"/>
      <c r="I208" s="108"/>
      <c r="J208" s="109"/>
      <c r="K208" s="109"/>
      <c r="L208" s="11"/>
      <c r="M208" s="373" t="s">
        <v>379</v>
      </c>
      <c r="N208" s="374"/>
      <c r="O208" s="375">
        <v>50</v>
      </c>
      <c r="P208" s="43"/>
      <c r="Q208" s="7"/>
      <c r="R208" s="7"/>
      <c r="S208" s="7"/>
      <c r="T208" s="7"/>
      <c r="U208" s="7"/>
      <c r="V208" s="7"/>
      <c r="W208" s="7"/>
      <c r="X208" s="42"/>
    </row>
    <row r="209" spans="1:33" x14ac:dyDescent="0.2">
      <c r="A209" s="69">
        <v>209</v>
      </c>
      <c r="B209" s="528">
        <v>42983</v>
      </c>
      <c r="C209" s="529" t="s">
        <v>452</v>
      </c>
      <c r="D209" s="85"/>
      <c r="E209" s="85"/>
      <c r="F209" s="85"/>
      <c r="G209" s="85"/>
      <c r="H209" s="85"/>
      <c r="I209" s="85"/>
      <c r="J209" s="85"/>
      <c r="K209" s="85"/>
      <c r="L209" s="40"/>
      <c r="M209" s="373" t="s">
        <v>379</v>
      </c>
      <c r="N209" s="374"/>
      <c r="O209" s="375">
        <v>50</v>
      </c>
      <c r="X209" s="42"/>
    </row>
    <row r="210" spans="1:33" x14ac:dyDescent="0.2">
      <c r="A210" s="69">
        <v>210</v>
      </c>
      <c r="B210" s="90" t="s">
        <v>322</v>
      </c>
      <c r="C210" s="83"/>
      <c r="D210" s="83">
        <v>70</v>
      </c>
      <c r="E210" s="90">
        <v>-0.32800000000000001</v>
      </c>
      <c r="F210" s="90">
        <v>8.8000000000000007</v>
      </c>
      <c r="G210" s="90">
        <v>0.1</v>
      </c>
      <c r="H210" s="83"/>
      <c r="I210" s="110">
        <f>0.1*D210/(5*0.02)</f>
        <v>70</v>
      </c>
      <c r="J210" s="87">
        <f>E210*G210</f>
        <v>-3.2800000000000003E-2</v>
      </c>
      <c r="K210" s="87">
        <f>100*RADIANS(G210*F210/60)</f>
        <v>2.5598162362583502E-2</v>
      </c>
      <c r="L210" s="83"/>
      <c r="M210" s="7" t="s">
        <v>158</v>
      </c>
      <c r="N210" s="159">
        <f>-O208*(J211-J210)/100</f>
        <v>0.27459999999999996</v>
      </c>
      <c r="O210" s="159">
        <f>-O208*(K211-K210)/100</f>
        <v>0.17278759594743862</v>
      </c>
      <c r="P210" s="11"/>
      <c r="Q210" t="str">
        <f>COMPLEX(J210/100,K210/100)</f>
        <v>-0.000328+0.000255981623625835i</v>
      </c>
      <c r="R210" s="7" t="str">
        <f>IMSUB(Q210,Q211)</f>
        <v>0.005492+0.00345575191894878i</v>
      </c>
      <c r="S210" s="7" t="str">
        <f>IMSUB(1,R210)</f>
        <v>0.994508-0.00345575191894878i</v>
      </c>
      <c r="T210" s="7" t="str">
        <f>IMDIV(R210,S210)</f>
        <v>0.00551018761290336+0.00349398271342798i</v>
      </c>
      <c r="U210" s="7" t="str">
        <f>IMPRODUCT(T210,O208)</f>
        <v>0.275509380645168+0.174699135671399i</v>
      </c>
      <c r="V210" s="7">
        <f>IMREAL(U210)</f>
        <v>0.275509380645168</v>
      </c>
      <c r="W210" s="7">
        <f>IMAGINARY(U210)</f>
        <v>0.174699135671399</v>
      </c>
      <c r="X210" s="42"/>
      <c r="Y210" s="252" t="s">
        <v>239</v>
      </c>
      <c r="Z210" s="252"/>
      <c r="AE210" s="29">
        <f>N210-$N$175</f>
        <v>0.25229999999999997</v>
      </c>
      <c r="AF210" s="29">
        <f>O210-$O$175</f>
        <v>0.17162404311277574</v>
      </c>
      <c r="AG210" s="29">
        <f>AF210-AF211</f>
        <v>2.9088820866571274E-4</v>
      </c>
    </row>
    <row r="211" spans="1:33" x14ac:dyDescent="0.2">
      <c r="A211" s="69">
        <v>211</v>
      </c>
      <c r="B211" s="90" t="s">
        <v>323</v>
      </c>
      <c r="C211" s="83"/>
      <c r="D211" s="83">
        <v>70</v>
      </c>
      <c r="E211" s="90">
        <v>-0.29099999999999998</v>
      </c>
      <c r="F211" s="90">
        <v>-5.5</v>
      </c>
      <c r="G211" s="90">
        <v>2</v>
      </c>
      <c r="H211" s="83"/>
      <c r="I211" s="110">
        <f>0.1*D211/(5*0.02)</f>
        <v>70</v>
      </c>
      <c r="J211" s="87">
        <f>E211*G211</f>
        <v>-0.58199999999999996</v>
      </c>
      <c r="K211" s="87">
        <f>100*RADIANS(G211*F211/60)</f>
        <v>-0.31997702953229373</v>
      </c>
      <c r="L211" s="83"/>
      <c r="M211" s="7" t="s">
        <v>44</v>
      </c>
      <c r="N211" s="159">
        <f>-O209*(J213-J212)/100</f>
        <v>0.27415</v>
      </c>
      <c r="O211" s="159">
        <f>-O209*(K213-K212)/100</f>
        <v>0.1724967077387729</v>
      </c>
      <c r="P211" s="36"/>
      <c r="Q211" t="str">
        <f>COMPLEX(J211/100,K211/100)</f>
        <v>-0.00582-0.00319977029532294i</v>
      </c>
      <c r="R211" s="7"/>
      <c r="S211" s="7"/>
      <c r="T211" s="7"/>
      <c r="U211" s="7"/>
      <c r="V211" s="7"/>
      <c r="W211" s="7"/>
      <c r="X211" s="42"/>
      <c r="Y211" s="530" t="s">
        <v>459</v>
      </c>
      <c r="Z211" s="100"/>
      <c r="AA211" s="100"/>
      <c r="AB211" s="100"/>
      <c r="AC211" s="100"/>
      <c r="AE211" s="29">
        <f>N211-$N$176</f>
        <v>0.25185000000000002</v>
      </c>
      <c r="AF211" s="29">
        <f>O211-$O$176</f>
        <v>0.17133315490411002</v>
      </c>
    </row>
    <row r="212" spans="1:33" x14ac:dyDescent="0.2">
      <c r="A212" s="69">
        <v>212</v>
      </c>
      <c r="B212" s="90" t="s">
        <v>324</v>
      </c>
      <c r="C212" s="83"/>
      <c r="D212" s="83">
        <v>100</v>
      </c>
      <c r="E212" s="90">
        <v>-0.317</v>
      </c>
      <c r="F212" s="90">
        <v>7.6</v>
      </c>
      <c r="G212" s="90">
        <v>0.1</v>
      </c>
      <c r="H212" s="83"/>
      <c r="I212" s="110">
        <f>0.1*D212/(5*0.02)</f>
        <v>100</v>
      </c>
      <c r="J212" s="87">
        <f>E212*G212</f>
        <v>-3.1699999999999999E-2</v>
      </c>
      <c r="K212" s="87">
        <f>100*RADIANS(G212*F212/60)</f>
        <v>2.2107503858594838E-2</v>
      </c>
      <c r="L212" s="83"/>
      <c r="P212" s="36"/>
      <c r="Q212" t="str">
        <f>COMPLEX(J212/100,K212/100)</f>
        <v>-0.000317+0.000221075038585948i</v>
      </c>
      <c r="R212" s="7" t="str">
        <f>IMSUB(Q212,Q213)</f>
        <v>0.005483+0.00344993415477546i</v>
      </c>
      <c r="S212" s="7" t="str">
        <f>IMSUB(1,R212)</f>
        <v>0.994517-0.00344993415477546i</v>
      </c>
      <c r="T212" s="7" t="str">
        <f>IMDIV(R212,S212)</f>
        <v>0.00550112919131205+0.00348803759841451i</v>
      </c>
      <c r="U212" s="7" t="str">
        <f>IMPRODUCT(T212,O209)</f>
        <v>0.275056459565602+0.174401879920726i</v>
      </c>
      <c r="V212" s="7">
        <f>IMREAL(U212)</f>
        <v>0.27505645956560199</v>
      </c>
      <c r="W212" s="7">
        <f>IMAGINARY(U212)</f>
        <v>0.17440187992072601</v>
      </c>
      <c r="X212" s="254"/>
      <c r="Y212" s="253"/>
      <c r="Z212" s="253"/>
      <c r="AB212" s="29"/>
      <c r="AC212" s="254"/>
    </row>
    <row r="213" spans="1:33" x14ac:dyDescent="0.2">
      <c r="A213" s="69">
        <v>213</v>
      </c>
      <c r="B213" s="90" t="s">
        <v>325</v>
      </c>
      <c r="C213" s="83"/>
      <c r="D213" s="83">
        <v>100</v>
      </c>
      <c r="E213" s="90">
        <v>-0.28999999999999998</v>
      </c>
      <c r="F213" s="90">
        <v>-5.55</v>
      </c>
      <c r="G213" s="90">
        <v>2</v>
      </c>
      <c r="H213" s="83"/>
      <c r="I213" s="110">
        <f>0.1*D213/(5*0.02)</f>
        <v>100</v>
      </c>
      <c r="J213" s="87">
        <f>E213*G213</f>
        <v>-0.57999999999999996</v>
      </c>
      <c r="K213" s="87">
        <f>100*RADIANS(G213*F213/60)</f>
        <v>-0.32288591161895097</v>
      </c>
      <c r="L213" s="83"/>
      <c r="P213" s="36"/>
      <c r="Q213" t="str">
        <f>COMPLEX(J213/100,K213/100)</f>
        <v>-0.0058-0.00322885911618951i</v>
      </c>
      <c r="R213" s="7"/>
      <c r="S213" s="7"/>
      <c r="T213" s="7"/>
      <c r="U213" s="7"/>
      <c r="V213" s="7"/>
      <c r="W213" s="7"/>
      <c r="X213" s="29"/>
      <c r="Y213" s="253"/>
      <c r="Z213" s="253"/>
    </row>
    <row r="214" spans="1:33" x14ac:dyDescent="0.2">
      <c r="A214" s="69">
        <v>214</v>
      </c>
      <c r="B214" s="85"/>
      <c r="C214" s="85"/>
      <c r="D214" s="85"/>
      <c r="E214" s="85"/>
      <c r="F214" s="85"/>
      <c r="G214" s="85"/>
      <c r="H214" s="85"/>
      <c r="I214" s="85"/>
      <c r="J214" s="85"/>
      <c r="K214" s="85"/>
      <c r="L214" s="85"/>
      <c r="M214" s="38"/>
      <c r="N214" s="38"/>
      <c r="O214" s="38"/>
      <c r="P214" s="40"/>
      <c r="Q214" s="7"/>
      <c r="R214" s="7"/>
      <c r="S214" s="7"/>
      <c r="T214" s="7"/>
      <c r="U214" s="7"/>
      <c r="V214" s="7"/>
      <c r="W214" s="7"/>
      <c r="X214" s="29"/>
      <c r="Y214" s="29"/>
      <c r="Z214" s="29"/>
    </row>
    <row r="215" spans="1:33" x14ac:dyDescent="0.2">
      <c r="A215" s="69">
        <v>215</v>
      </c>
      <c r="B215" s="69"/>
      <c r="C215" s="69"/>
      <c r="D215" s="69"/>
      <c r="E215" s="69"/>
      <c r="F215" s="69"/>
      <c r="G215" s="128"/>
      <c r="H215" s="69"/>
      <c r="I215" s="69"/>
      <c r="J215" s="23"/>
      <c r="K215" s="69"/>
      <c r="L215" s="69"/>
    </row>
    <row r="216" spans="1:33" x14ac:dyDescent="0.2">
      <c r="A216" s="69">
        <v>216</v>
      </c>
      <c r="B216" s="69"/>
      <c r="C216" s="88">
        <f>B5A0VA</f>
        <v>2.1700000000000001E-2</v>
      </c>
      <c r="D216" s="69">
        <v>5</v>
      </c>
      <c r="E216" s="100"/>
      <c r="F216" s="100"/>
      <c r="G216" s="100"/>
      <c r="H216" s="69"/>
      <c r="I216" s="70">
        <f t="shared" ref="I216:I222" si="63">0.1*D216/(5*0.02)</f>
        <v>5</v>
      </c>
      <c r="J216" s="157">
        <f t="shared" ref="J216:J222" si="64">E216*G216</f>
        <v>0</v>
      </c>
      <c r="K216" s="71">
        <f t="shared" ref="K216:K222" si="65">100*RADIANS(G216*F216/60)</f>
        <v>0</v>
      </c>
      <c r="L216" s="69"/>
    </row>
    <row r="217" spans="1:33" x14ac:dyDescent="0.2">
      <c r="A217" s="69">
        <v>217</v>
      </c>
      <c r="B217" s="69"/>
      <c r="C217" s="88">
        <f t="shared" ref="C217:C222" si="66">B5A0VA</f>
        <v>2.1700000000000001E-2</v>
      </c>
      <c r="D217" s="69">
        <v>10</v>
      </c>
      <c r="E217" s="100"/>
      <c r="F217" s="100"/>
      <c r="G217" s="100"/>
      <c r="H217" s="69"/>
      <c r="I217" s="70">
        <f t="shared" si="63"/>
        <v>10</v>
      </c>
      <c r="J217" s="157">
        <f t="shared" si="64"/>
        <v>0</v>
      </c>
      <c r="K217" s="71">
        <f t="shared" si="65"/>
        <v>0</v>
      </c>
      <c r="L217" s="69"/>
    </row>
    <row r="218" spans="1:33" x14ac:dyDescent="0.2">
      <c r="A218" s="69">
        <v>218</v>
      </c>
      <c r="B218" s="69"/>
      <c r="C218" s="88">
        <f t="shared" si="66"/>
        <v>2.1700000000000001E-2</v>
      </c>
      <c r="D218" s="69">
        <v>20</v>
      </c>
      <c r="E218" s="100"/>
      <c r="F218" s="100"/>
      <c r="G218" s="100"/>
      <c r="H218" s="69"/>
      <c r="I218" s="70">
        <f t="shared" si="63"/>
        <v>20</v>
      </c>
      <c r="J218" s="157">
        <f t="shared" si="64"/>
        <v>0</v>
      </c>
      <c r="K218" s="71">
        <f t="shared" si="65"/>
        <v>0</v>
      </c>
      <c r="L218" s="69"/>
    </row>
    <row r="219" spans="1:33" x14ac:dyDescent="0.2">
      <c r="A219" s="69">
        <v>219</v>
      </c>
      <c r="B219" s="69"/>
      <c r="C219" s="88">
        <f t="shared" si="66"/>
        <v>2.1700000000000001E-2</v>
      </c>
      <c r="D219" s="69">
        <v>40</v>
      </c>
      <c r="E219" s="100"/>
      <c r="F219" s="100"/>
      <c r="G219" s="100"/>
      <c r="H219" s="69"/>
      <c r="I219" s="70">
        <f t="shared" si="63"/>
        <v>40</v>
      </c>
      <c r="J219" s="157">
        <f t="shared" si="64"/>
        <v>0</v>
      </c>
      <c r="K219" s="71">
        <f t="shared" si="65"/>
        <v>0</v>
      </c>
      <c r="L219" s="69"/>
    </row>
    <row r="220" spans="1:33" x14ac:dyDescent="0.2">
      <c r="A220" s="69">
        <v>220</v>
      </c>
      <c r="B220" s="69"/>
      <c r="C220" s="88">
        <f t="shared" si="66"/>
        <v>2.1700000000000001E-2</v>
      </c>
      <c r="D220" s="69">
        <v>60</v>
      </c>
      <c r="E220" s="100"/>
      <c r="F220" s="100"/>
      <c r="G220" s="100"/>
      <c r="H220" s="69"/>
      <c r="I220" s="70">
        <f t="shared" si="63"/>
        <v>60</v>
      </c>
      <c r="J220" s="157">
        <f t="shared" si="64"/>
        <v>0</v>
      </c>
      <c r="K220" s="71">
        <f t="shared" si="65"/>
        <v>0</v>
      </c>
      <c r="L220" s="69"/>
    </row>
    <row r="221" spans="1:33" x14ac:dyDescent="0.2">
      <c r="A221" s="69">
        <v>221</v>
      </c>
      <c r="B221" s="69"/>
      <c r="C221" s="88">
        <f t="shared" si="66"/>
        <v>2.1700000000000001E-2</v>
      </c>
      <c r="D221" s="69">
        <v>100</v>
      </c>
      <c r="E221" s="100"/>
      <c r="F221" s="100"/>
      <c r="G221" s="100"/>
      <c r="H221" s="69"/>
      <c r="I221" s="70">
        <f t="shared" si="63"/>
        <v>100</v>
      </c>
      <c r="J221" s="157">
        <f t="shared" si="64"/>
        <v>0</v>
      </c>
      <c r="K221" s="71">
        <f t="shared" si="65"/>
        <v>0</v>
      </c>
      <c r="L221" s="69"/>
    </row>
    <row r="222" spans="1:33" x14ac:dyDescent="0.2">
      <c r="A222" s="69">
        <v>222</v>
      </c>
      <c r="B222" s="69"/>
      <c r="C222" s="88">
        <f t="shared" si="66"/>
        <v>2.1700000000000001E-2</v>
      </c>
      <c r="D222" s="69">
        <v>120</v>
      </c>
      <c r="E222" s="100"/>
      <c r="F222" s="100"/>
      <c r="G222" s="100"/>
      <c r="H222" s="69"/>
      <c r="I222" s="70">
        <f t="shared" si="63"/>
        <v>120</v>
      </c>
      <c r="J222" s="157">
        <f t="shared" si="64"/>
        <v>0</v>
      </c>
      <c r="K222" s="71">
        <f t="shared" si="65"/>
        <v>0</v>
      </c>
      <c r="L222" s="69"/>
    </row>
    <row r="223" spans="1:33" x14ac:dyDescent="0.2">
      <c r="A223" s="69">
        <v>223</v>
      </c>
      <c r="B223" s="69"/>
      <c r="C223" s="69"/>
      <c r="D223" s="69"/>
      <c r="E223" s="69"/>
      <c r="F223" s="69"/>
      <c r="G223" s="69"/>
      <c r="H223" s="69"/>
      <c r="I223" s="69"/>
      <c r="J223" s="69"/>
      <c r="K223" s="69"/>
      <c r="L223" s="69"/>
    </row>
    <row r="224" spans="1:33" x14ac:dyDescent="0.2">
      <c r="A224" s="69">
        <v>224</v>
      </c>
      <c r="B224" s="99" t="str">
        <f>O224&amp;"/5 Range, "&amp;O225&amp;" turns, vs "&amp;O227&amp;" turns, "&amp;O226&amp;" AT range, Everett Edgcumbe 844400"</f>
        <v>/5 Range,  turns, vs  turns,  AT range, Everett Edgcumbe 844400</v>
      </c>
      <c r="C224" s="69"/>
      <c r="D224" s="69"/>
      <c r="E224" s="69"/>
      <c r="F224" s="69"/>
      <c r="G224" s="69"/>
      <c r="H224" s="69"/>
      <c r="I224" s="101"/>
      <c r="N224" s="263" t="s">
        <v>369</v>
      </c>
      <c r="O224" s="100"/>
    </row>
    <row r="225" spans="1:15" x14ac:dyDescent="0.2">
      <c r="A225" s="69">
        <v>225</v>
      </c>
      <c r="B225" s="99"/>
      <c r="C225" s="101" t="s">
        <v>122</v>
      </c>
      <c r="D225" s="69"/>
      <c r="E225" s="69"/>
      <c r="F225" s="69"/>
      <c r="G225" s="69"/>
      <c r="H225" s="69"/>
      <c r="I225" s="69"/>
      <c r="N225" s="263" t="s">
        <v>370</v>
      </c>
      <c r="O225" s="100"/>
    </row>
    <row r="226" spans="1:15" x14ac:dyDescent="0.2">
      <c r="A226" s="69">
        <v>226</v>
      </c>
      <c r="B226" s="111"/>
      <c r="C226" s="88">
        <f t="shared" ref="C226:C232" si="67">B5A5.0VA</f>
        <v>2.2000000000000006E-2</v>
      </c>
      <c r="D226" s="69">
        <v>5</v>
      </c>
      <c r="E226" s="100"/>
      <c r="F226" s="100"/>
      <c r="G226" s="100"/>
      <c r="H226" s="69"/>
      <c r="I226" s="70">
        <f t="shared" ref="I226:I232" si="68">0.1*D226/(5*0.02)</f>
        <v>5</v>
      </c>
      <c r="J226" s="157">
        <f t="shared" ref="J226:J232" si="69">E226*G226</f>
        <v>0</v>
      </c>
      <c r="K226" s="71">
        <f t="shared" ref="K226:K232" si="70">100*RADIANS(G226*F226/60)</f>
        <v>0</v>
      </c>
      <c r="N226" s="263" t="s">
        <v>371</v>
      </c>
      <c r="O226" s="100"/>
    </row>
    <row r="227" spans="1:15" x14ac:dyDescent="0.2">
      <c r="A227" s="69">
        <v>227</v>
      </c>
      <c r="B227" s="69"/>
      <c r="C227" s="88">
        <f t="shared" si="67"/>
        <v>2.2000000000000006E-2</v>
      </c>
      <c r="D227" s="69">
        <v>10</v>
      </c>
      <c r="E227" s="100"/>
      <c r="F227" s="100"/>
      <c r="G227" s="100"/>
      <c r="H227" s="69"/>
      <c r="I227" s="70">
        <f t="shared" si="68"/>
        <v>10</v>
      </c>
      <c r="J227" s="157">
        <f t="shared" si="69"/>
        <v>0</v>
      </c>
      <c r="K227" s="71">
        <f t="shared" si="70"/>
        <v>0</v>
      </c>
      <c r="N227" s="263" t="s">
        <v>372</v>
      </c>
      <c r="O227" s="100"/>
    </row>
    <row r="228" spans="1:15" x14ac:dyDescent="0.2">
      <c r="A228" s="69">
        <v>228</v>
      </c>
      <c r="B228" s="69"/>
      <c r="C228" s="88">
        <f t="shared" si="67"/>
        <v>2.2000000000000006E-2</v>
      </c>
      <c r="D228" s="69">
        <v>20</v>
      </c>
      <c r="E228" s="100"/>
      <c r="F228" s="100"/>
      <c r="G228" s="100"/>
      <c r="H228" s="69"/>
      <c r="I228" s="70">
        <f t="shared" si="68"/>
        <v>20</v>
      </c>
      <c r="J228" s="157">
        <f t="shared" si="69"/>
        <v>0</v>
      </c>
      <c r="K228" s="71">
        <f t="shared" si="70"/>
        <v>0</v>
      </c>
      <c r="L228" s="69"/>
    </row>
    <row r="229" spans="1:15" x14ac:dyDescent="0.2">
      <c r="A229" s="69">
        <v>229</v>
      </c>
      <c r="B229" s="69"/>
      <c r="C229" s="88">
        <f t="shared" si="67"/>
        <v>2.2000000000000006E-2</v>
      </c>
      <c r="D229" s="69">
        <v>40</v>
      </c>
      <c r="E229" s="100"/>
      <c r="F229" s="100"/>
      <c r="G229" s="100"/>
      <c r="H229" s="69"/>
      <c r="I229" s="70">
        <f t="shared" si="68"/>
        <v>40</v>
      </c>
      <c r="J229" s="157">
        <f t="shared" si="69"/>
        <v>0</v>
      </c>
      <c r="K229" s="71">
        <f t="shared" si="70"/>
        <v>0</v>
      </c>
      <c r="L229" s="69"/>
    </row>
    <row r="230" spans="1:15" x14ac:dyDescent="0.2">
      <c r="A230" s="69">
        <v>230</v>
      </c>
      <c r="B230" s="69"/>
      <c r="C230" s="88">
        <f t="shared" si="67"/>
        <v>2.2000000000000006E-2</v>
      </c>
      <c r="D230" s="69">
        <v>60</v>
      </c>
      <c r="E230" s="100"/>
      <c r="F230" s="100"/>
      <c r="G230" s="100"/>
      <c r="H230" s="69"/>
      <c r="I230" s="70">
        <f t="shared" si="68"/>
        <v>60</v>
      </c>
      <c r="J230" s="157">
        <f t="shared" si="69"/>
        <v>0</v>
      </c>
      <c r="K230" s="71">
        <f t="shared" si="70"/>
        <v>0</v>
      </c>
      <c r="L230" s="69"/>
    </row>
    <row r="231" spans="1:15" x14ac:dyDescent="0.2">
      <c r="A231" s="69">
        <v>231</v>
      </c>
      <c r="B231" s="69"/>
      <c r="C231" s="88">
        <f t="shared" si="67"/>
        <v>2.2000000000000006E-2</v>
      </c>
      <c r="D231" s="69">
        <v>100</v>
      </c>
      <c r="E231" s="100"/>
      <c r="F231" s="100"/>
      <c r="G231" s="100"/>
      <c r="H231" s="69"/>
      <c r="I231" s="70">
        <f t="shared" si="68"/>
        <v>100</v>
      </c>
      <c r="J231" s="157">
        <f t="shared" si="69"/>
        <v>0</v>
      </c>
      <c r="K231" s="71">
        <f t="shared" si="70"/>
        <v>0</v>
      </c>
      <c r="L231" s="69"/>
    </row>
    <row r="232" spans="1:15" x14ac:dyDescent="0.2">
      <c r="A232" s="69">
        <v>232</v>
      </c>
      <c r="B232" s="69"/>
      <c r="C232" s="88">
        <f t="shared" si="67"/>
        <v>2.2000000000000006E-2</v>
      </c>
      <c r="D232" s="69">
        <v>120</v>
      </c>
      <c r="E232" s="100"/>
      <c r="F232" s="100"/>
      <c r="G232" s="100"/>
      <c r="H232" s="69"/>
      <c r="I232" s="70">
        <f t="shared" si="68"/>
        <v>120</v>
      </c>
      <c r="J232" s="157">
        <f t="shared" si="69"/>
        <v>0</v>
      </c>
      <c r="K232" s="71">
        <f t="shared" si="70"/>
        <v>0</v>
      </c>
      <c r="L232" s="69"/>
    </row>
    <row r="233" spans="1:15" x14ac:dyDescent="0.2">
      <c r="A233" s="69">
        <v>233</v>
      </c>
      <c r="B233" s="69"/>
      <c r="C233" s="69"/>
      <c r="D233" s="69"/>
      <c r="E233" s="69"/>
      <c r="F233" s="69"/>
      <c r="G233" s="128"/>
      <c r="H233" s="69"/>
      <c r="I233" s="69"/>
      <c r="J233" s="23"/>
      <c r="K233" s="69"/>
      <c r="L233" s="69"/>
    </row>
    <row r="234" spans="1:15" x14ac:dyDescent="0.2">
      <c r="A234" s="69">
        <v>234</v>
      </c>
      <c r="B234" s="69"/>
      <c r="C234" s="88">
        <f>B5A0VA</f>
        <v>2.1700000000000001E-2</v>
      </c>
      <c r="D234" s="69">
        <v>5</v>
      </c>
      <c r="E234" s="100"/>
      <c r="F234" s="100"/>
      <c r="G234" s="100"/>
      <c r="H234" s="69"/>
      <c r="I234" s="70">
        <f t="shared" ref="I234:I240" si="71">0.1*D234/(5*0.02)</f>
        <v>5</v>
      </c>
      <c r="J234" s="157">
        <f t="shared" ref="J234:J240" si="72">E234*G234</f>
        <v>0</v>
      </c>
      <c r="K234" s="71">
        <f t="shared" ref="K234:K240" si="73">100*RADIANS(G234*F234/60)</f>
        <v>0</v>
      </c>
      <c r="L234" s="69"/>
    </row>
    <row r="235" spans="1:15" x14ac:dyDescent="0.2">
      <c r="A235" s="69">
        <v>235</v>
      </c>
      <c r="B235" s="69"/>
      <c r="C235" s="88">
        <f t="shared" ref="C235:C240" si="74">B5A0VA</f>
        <v>2.1700000000000001E-2</v>
      </c>
      <c r="D235" s="69">
        <v>10</v>
      </c>
      <c r="E235" s="100"/>
      <c r="F235" s="100"/>
      <c r="G235" s="100"/>
      <c r="H235" s="69"/>
      <c r="I235" s="70">
        <f t="shared" si="71"/>
        <v>10</v>
      </c>
      <c r="J235" s="157">
        <f t="shared" si="72"/>
        <v>0</v>
      </c>
      <c r="K235" s="71">
        <f t="shared" si="73"/>
        <v>0</v>
      </c>
      <c r="L235" s="69"/>
    </row>
    <row r="236" spans="1:15" x14ac:dyDescent="0.2">
      <c r="A236" s="69">
        <v>236</v>
      </c>
      <c r="B236" s="69"/>
      <c r="C236" s="88">
        <f t="shared" si="74"/>
        <v>2.1700000000000001E-2</v>
      </c>
      <c r="D236" s="69">
        <v>20</v>
      </c>
      <c r="E236" s="100"/>
      <c r="F236" s="100"/>
      <c r="G236" s="100"/>
      <c r="H236" s="69"/>
      <c r="I236" s="70">
        <f t="shared" si="71"/>
        <v>20</v>
      </c>
      <c r="J236" s="157">
        <f t="shared" si="72"/>
        <v>0</v>
      </c>
      <c r="K236" s="71">
        <f t="shared" si="73"/>
        <v>0</v>
      </c>
      <c r="L236" s="69"/>
    </row>
    <row r="237" spans="1:15" x14ac:dyDescent="0.2">
      <c r="A237" s="69">
        <v>237</v>
      </c>
      <c r="B237" s="69"/>
      <c r="C237" s="88">
        <f t="shared" si="74"/>
        <v>2.1700000000000001E-2</v>
      </c>
      <c r="D237" s="69">
        <v>40</v>
      </c>
      <c r="E237" s="100"/>
      <c r="F237" s="100"/>
      <c r="G237" s="100"/>
      <c r="H237" s="69"/>
      <c r="I237" s="70">
        <f t="shared" si="71"/>
        <v>40</v>
      </c>
      <c r="J237" s="157">
        <f t="shared" si="72"/>
        <v>0</v>
      </c>
      <c r="K237" s="71">
        <f t="shared" si="73"/>
        <v>0</v>
      </c>
      <c r="L237" s="69"/>
    </row>
    <row r="238" spans="1:15" x14ac:dyDescent="0.2">
      <c r="A238" s="69">
        <v>238</v>
      </c>
      <c r="B238" s="69"/>
      <c r="C238" s="88">
        <f t="shared" si="74"/>
        <v>2.1700000000000001E-2</v>
      </c>
      <c r="D238" s="69">
        <v>60</v>
      </c>
      <c r="E238" s="100"/>
      <c r="F238" s="100"/>
      <c r="G238" s="100"/>
      <c r="H238" s="69"/>
      <c r="I238" s="70">
        <f t="shared" si="71"/>
        <v>60</v>
      </c>
      <c r="J238" s="157">
        <f t="shared" si="72"/>
        <v>0</v>
      </c>
      <c r="K238" s="71">
        <f t="shared" si="73"/>
        <v>0</v>
      </c>
      <c r="L238" s="69"/>
    </row>
    <row r="239" spans="1:15" x14ac:dyDescent="0.2">
      <c r="A239" s="69">
        <v>239</v>
      </c>
      <c r="B239" s="69"/>
      <c r="C239" s="88">
        <f t="shared" si="74"/>
        <v>2.1700000000000001E-2</v>
      </c>
      <c r="D239" s="69">
        <v>100</v>
      </c>
      <c r="E239" s="100"/>
      <c r="F239" s="100"/>
      <c r="G239" s="100"/>
      <c r="H239" s="69"/>
      <c r="I239" s="70">
        <f t="shared" si="71"/>
        <v>100</v>
      </c>
      <c r="J239" s="157">
        <f t="shared" si="72"/>
        <v>0</v>
      </c>
      <c r="K239" s="71">
        <f t="shared" si="73"/>
        <v>0</v>
      </c>
      <c r="L239" s="69"/>
    </row>
    <row r="240" spans="1:15" x14ac:dyDescent="0.2">
      <c r="A240" s="69">
        <v>240</v>
      </c>
      <c r="B240" s="69"/>
      <c r="C240" s="88">
        <f t="shared" si="74"/>
        <v>2.1700000000000001E-2</v>
      </c>
      <c r="D240" s="69">
        <v>120</v>
      </c>
      <c r="E240" s="100"/>
      <c r="F240" s="100"/>
      <c r="G240" s="100"/>
      <c r="H240" s="69"/>
      <c r="I240" s="70">
        <f t="shared" si="71"/>
        <v>120</v>
      </c>
      <c r="J240" s="157">
        <f t="shared" si="72"/>
        <v>0</v>
      </c>
      <c r="K240" s="71">
        <f t="shared" si="73"/>
        <v>0</v>
      </c>
      <c r="L240" s="69"/>
    </row>
    <row r="241" spans="1:15" x14ac:dyDescent="0.2">
      <c r="A241" s="69">
        <v>241</v>
      </c>
      <c r="B241" s="69"/>
      <c r="C241" s="69"/>
      <c r="D241" s="69"/>
      <c r="E241" s="69"/>
      <c r="F241" s="69"/>
      <c r="G241" s="69"/>
      <c r="H241" s="69"/>
      <c r="I241" s="69"/>
      <c r="J241" s="69"/>
      <c r="K241" s="69"/>
      <c r="L241" s="69"/>
    </row>
    <row r="242" spans="1:15" x14ac:dyDescent="0.2">
      <c r="A242" s="69">
        <v>242</v>
      </c>
      <c r="B242" s="99" t="str">
        <f>O242&amp;"/5 Range, "&amp;O243&amp;" turns, vs "&amp;O245&amp;" turns, "&amp;O244&amp;" AT range, Everett Edgcumbe 844400"</f>
        <v>/5 Range,  turns, vs  turns,  AT range, Everett Edgcumbe 844400</v>
      </c>
      <c r="C242" s="69"/>
      <c r="D242" s="69"/>
      <c r="E242" s="69"/>
      <c r="F242" s="69"/>
      <c r="G242" s="69"/>
      <c r="H242" s="69"/>
      <c r="I242" s="101"/>
      <c r="N242" s="263" t="s">
        <v>369</v>
      </c>
      <c r="O242" s="100"/>
    </row>
    <row r="243" spans="1:15" x14ac:dyDescent="0.2">
      <c r="A243" s="69">
        <v>243</v>
      </c>
      <c r="B243" s="99"/>
      <c r="C243" s="101" t="s">
        <v>122</v>
      </c>
      <c r="D243" s="69"/>
      <c r="E243" s="69"/>
      <c r="F243" s="69"/>
      <c r="G243" s="69"/>
      <c r="H243" s="69"/>
      <c r="I243" s="69"/>
      <c r="N243" s="263" t="s">
        <v>370</v>
      </c>
      <c r="O243" s="100"/>
    </row>
    <row r="244" spans="1:15" x14ac:dyDescent="0.2">
      <c r="A244" s="69">
        <v>244</v>
      </c>
      <c r="B244" s="111"/>
      <c r="C244" s="88">
        <f t="shared" ref="C244:C250" si="75">B5A5.0VA</f>
        <v>2.2000000000000006E-2</v>
      </c>
      <c r="D244" s="69">
        <v>5</v>
      </c>
      <c r="E244" s="100"/>
      <c r="F244" s="100"/>
      <c r="G244" s="100"/>
      <c r="H244" s="69"/>
      <c r="I244" s="70">
        <f t="shared" ref="I244:I250" si="76">0.1*D244/(5*0.02)</f>
        <v>5</v>
      </c>
      <c r="J244" s="157">
        <f t="shared" ref="J244:J250" si="77">E244*G244</f>
        <v>0</v>
      </c>
      <c r="K244" s="71">
        <f t="shared" ref="K244:K250" si="78">100*RADIANS(G244*F244/60)</f>
        <v>0</v>
      </c>
      <c r="N244" s="263" t="s">
        <v>371</v>
      </c>
      <c r="O244" s="100"/>
    </row>
    <row r="245" spans="1:15" x14ac:dyDescent="0.2">
      <c r="A245" s="69">
        <v>245</v>
      </c>
      <c r="B245" s="69"/>
      <c r="C245" s="88">
        <f t="shared" si="75"/>
        <v>2.2000000000000006E-2</v>
      </c>
      <c r="D245" s="69">
        <v>10</v>
      </c>
      <c r="E245" s="100"/>
      <c r="F245" s="100"/>
      <c r="G245" s="100"/>
      <c r="H245" s="69"/>
      <c r="I245" s="70">
        <f t="shared" si="76"/>
        <v>10</v>
      </c>
      <c r="J245" s="157">
        <f t="shared" si="77"/>
        <v>0</v>
      </c>
      <c r="K245" s="71">
        <f t="shared" si="78"/>
        <v>0</v>
      </c>
      <c r="N245" s="263" t="s">
        <v>372</v>
      </c>
      <c r="O245" s="100"/>
    </row>
    <row r="246" spans="1:15" x14ac:dyDescent="0.2">
      <c r="A246" s="69">
        <v>246</v>
      </c>
      <c r="B246" s="69"/>
      <c r="C246" s="88">
        <f t="shared" si="75"/>
        <v>2.2000000000000006E-2</v>
      </c>
      <c r="D246" s="69">
        <v>20</v>
      </c>
      <c r="E246" s="100"/>
      <c r="F246" s="100"/>
      <c r="G246" s="100"/>
      <c r="H246" s="69"/>
      <c r="I246" s="70">
        <f t="shared" si="76"/>
        <v>20</v>
      </c>
      <c r="J246" s="157">
        <f t="shared" si="77"/>
        <v>0</v>
      </c>
      <c r="K246" s="71">
        <f t="shared" si="78"/>
        <v>0</v>
      </c>
      <c r="L246" s="69"/>
    </row>
    <row r="247" spans="1:15" x14ac:dyDescent="0.2">
      <c r="A247" s="69">
        <v>247</v>
      </c>
      <c r="B247" s="69"/>
      <c r="C247" s="88">
        <f t="shared" si="75"/>
        <v>2.2000000000000006E-2</v>
      </c>
      <c r="D247" s="69">
        <v>40</v>
      </c>
      <c r="E247" s="100"/>
      <c r="F247" s="100"/>
      <c r="G247" s="100"/>
      <c r="H247" s="69"/>
      <c r="I247" s="70">
        <f t="shared" si="76"/>
        <v>40</v>
      </c>
      <c r="J247" s="157">
        <f t="shared" si="77"/>
        <v>0</v>
      </c>
      <c r="K247" s="71">
        <f t="shared" si="78"/>
        <v>0</v>
      </c>
      <c r="L247" s="69"/>
    </row>
    <row r="248" spans="1:15" x14ac:dyDescent="0.2">
      <c r="A248" s="69">
        <v>248</v>
      </c>
      <c r="B248" s="69"/>
      <c r="C248" s="88">
        <f t="shared" si="75"/>
        <v>2.2000000000000006E-2</v>
      </c>
      <c r="D248" s="69">
        <v>60</v>
      </c>
      <c r="E248" s="100"/>
      <c r="F248" s="100"/>
      <c r="G248" s="100"/>
      <c r="H248" s="69"/>
      <c r="I248" s="70">
        <f t="shared" si="76"/>
        <v>60</v>
      </c>
      <c r="J248" s="157">
        <f t="shared" si="77"/>
        <v>0</v>
      </c>
      <c r="K248" s="71">
        <f t="shared" si="78"/>
        <v>0</v>
      </c>
      <c r="L248" s="69"/>
    </row>
    <row r="249" spans="1:15" x14ac:dyDescent="0.2">
      <c r="A249" s="69">
        <v>249</v>
      </c>
      <c r="B249" s="69"/>
      <c r="C249" s="88">
        <f t="shared" si="75"/>
        <v>2.2000000000000006E-2</v>
      </c>
      <c r="D249" s="69">
        <v>100</v>
      </c>
      <c r="E249" s="100"/>
      <c r="F249" s="100"/>
      <c r="G249" s="100"/>
      <c r="H249" s="69"/>
      <c r="I249" s="70">
        <f t="shared" si="76"/>
        <v>100</v>
      </c>
      <c r="J249" s="157">
        <f t="shared" si="77"/>
        <v>0</v>
      </c>
      <c r="K249" s="71">
        <f t="shared" si="78"/>
        <v>0</v>
      </c>
      <c r="L249" s="69"/>
    </row>
    <row r="250" spans="1:15" x14ac:dyDescent="0.2">
      <c r="A250" s="69">
        <v>250</v>
      </c>
      <c r="B250" s="69"/>
      <c r="C250" s="88">
        <f t="shared" si="75"/>
        <v>2.2000000000000006E-2</v>
      </c>
      <c r="D250" s="69">
        <v>120</v>
      </c>
      <c r="E250" s="100"/>
      <c r="F250" s="100"/>
      <c r="G250" s="100"/>
      <c r="H250" s="69"/>
      <c r="I250" s="70">
        <f t="shared" si="76"/>
        <v>120</v>
      </c>
      <c r="J250" s="157">
        <f t="shared" si="77"/>
        <v>0</v>
      </c>
      <c r="K250" s="71">
        <f t="shared" si="78"/>
        <v>0</v>
      </c>
      <c r="L250" s="69"/>
    </row>
    <row r="251" spans="1:15" x14ac:dyDescent="0.2">
      <c r="A251" s="69">
        <v>251</v>
      </c>
      <c r="B251" s="69"/>
      <c r="C251" s="69"/>
      <c r="D251" s="69"/>
      <c r="E251" s="69"/>
      <c r="F251" s="69"/>
      <c r="G251" s="128"/>
      <c r="H251" s="69"/>
      <c r="I251" s="69"/>
      <c r="J251" s="23"/>
      <c r="K251" s="69"/>
      <c r="L251" s="69"/>
    </row>
    <row r="252" spans="1:15" x14ac:dyDescent="0.2">
      <c r="A252" s="69">
        <v>252</v>
      </c>
      <c r="B252" s="69"/>
      <c r="C252" s="88">
        <f>B5A0VA</f>
        <v>2.1700000000000001E-2</v>
      </c>
      <c r="D252" s="69">
        <v>5</v>
      </c>
      <c r="E252" s="100"/>
      <c r="F252" s="100"/>
      <c r="G252" s="100"/>
      <c r="H252" s="69"/>
      <c r="I252" s="70">
        <f t="shared" ref="I252:I258" si="79">0.1*D252/(5*0.02)</f>
        <v>5</v>
      </c>
      <c r="J252" s="157">
        <f t="shared" ref="J252:J258" si="80">E252*G252</f>
        <v>0</v>
      </c>
      <c r="K252" s="71">
        <f t="shared" ref="K252:K258" si="81">100*RADIANS(G252*F252/60)</f>
        <v>0</v>
      </c>
      <c r="L252" s="69"/>
    </row>
    <row r="253" spans="1:15" x14ac:dyDescent="0.2">
      <c r="A253" s="69">
        <v>253</v>
      </c>
      <c r="B253" s="69"/>
      <c r="C253" s="88">
        <f t="shared" ref="C253:C258" si="82">B5A0VA</f>
        <v>2.1700000000000001E-2</v>
      </c>
      <c r="D253" s="69">
        <v>10</v>
      </c>
      <c r="E253" s="100"/>
      <c r="F253" s="100"/>
      <c r="G253" s="100"/>
      <c r="H253" s="69"/>
      <c r="I253" s="70">
        <f t="shared" si="79"/>
        <v>10</v>
      </c>
      <c r="J253" s="157">
        <f t="shared" si="80"/>
        <v>0</v>
      </c>
      <c r="K253" s="71">
        <f t="shared" si="81"/>
        <v>0</v>
      </c>
      <c r="L253" s="69"/>
    </row>
    <row r="254" spans="1:15" x14ac:dyDescent="0.2">
      <c r="A254" s="69">
        <v>254</v>
      </c>
      <c r="B254" s="69"/>
      <c r="C254" s="88">
        <f t="shared" si="82"/>
        <v>2.1700000000000001E-2</v>
      </c>
      <c r="D254" s="69">
        <v>20</v>
      </c>
      <c r="E254" s="100"/>
      <c r="F254" s="100"/>
      <c r="G254" s="100"/>
      <c r="H254" s="69"/>
      <c r="I254" s="70">
        <f t="shared" si="79"/>
        <v>20</v>
      </c>
      <c r="J254" s="157">
        <f t="shared" si="80"/>
        <v>0</v>
      </c>
      <c r="K254" s="71">
        <f t="shared" si="81"/>
        <v>0</v>
      </c>
      <c r="L254" s="69"/>
    </row>
    <row r="255" spans="1:15" x14ac:dyDescent="0.2">
      <c r="A255" s="69">
        <v>255</v>
      </c>
      <c r="B255" s="69"/>
      <c r="C255" s="88">
        <f t="shared" si="82"/>
        <v>2.1700000000000001E-2</v>
      </c>
      <c r="D255" s="69">
        <v>40</v>
      </c>
      <c r="E255" s="100"/>
      <c r="F255" s="100"/>
      <c r="G255" s="100"/>
      <c r="H255" s="69"/>
      <c r="I255" s="70">
        <f t="shared" si="79"/>
        <v>40</v>
      </c>
      <c r="J255" s="157">
        <f t="shared" si="80"/>
        <v>0</v>
      </c>
      <c r="K255" s="71">
        <f t="shared" si="81"/>
        <v>0</v>
      </c>
      <c r="L255" s="69"/>
    </row>
    <row r="256" spans="1:15" x14ac:dyDescent="0.2">
      <c r="A256" s="69">
        <v>256</v>
      </c>
      <c r="B256" s="69"/>
      <c r="C256" s="88">
        <f t="shared" si="82"/>
        <v>2.1700000000000001E-2</v>
      </c>
      <c r="D256" s="69">
        <v>60</v>
      </c>
      <c r="E256" s="100"/>
      <c r="F256" s="100"/>
      <c r="G256" s="100"/>
      <c r="H256" s="69"/>
      <c r="I256" s="70">
        <f t="shared" si="79"/>
        <v>60</v>
      </c>
      <c r="J256" s="157">
        <f t="shared" si="80"/>
        <v>0</v>
      </c>
      <c r="K256" s="71">
        <f t="shared" si="81"/>
        <v>0</v>
      </c>
      <c r="L256" s="69"/>
    </row>
    <row r="257" spans="1:15" x14ac:dyDescent="0.2">
      <c r="A257" s="69">
        <v>257</v>
      </c>
      <c r="B257" s="69"/>
      <c r="C257" s="88">
        <f t="shared" si="82"/>
        <v>2.1700000000000001E-2</v>
      </c>
      <c r="D257" s="69">
        <v>100</v>
      </c>
      <c r="E257" s="100"/>
      <c r="F257" s="100"/>
      <c r="G257" s="100"/>
      <c r="H257" s="69"/>
      <c r="I257" s="70">
        <f t="shared" si="79"/>
        <v>100</v>
      </c>
      <c r="J257" s="157">
        <f t="shared" si="80"/>
        <v>0</v>
      </c>
      <c r="K257" s="71">
        <f t="shared" si="81"/>
        <v>0</v>
      </c>
      <c r="L257" s="69"/>
    </row>
    <row r="258" spans="1:15" x14ac:dyDescent="0.2">
      <c r="A258" s="69">
        <v>258</v>
      </c>
      <c r="B258" s="69"/>
      <c r="C258" s="88">
        <f t="shared" si="82"/>
        <v>2.1700000000000001E-2</v>
      </c>
      <c r="D258" s="69">
        <v>120</v>
      </c>
      <c r="E258" s="100"/>
      <c r="F258" s="100"/>
      <c r="G258" s="100"/>
      <c r="H258" s="69"/>
      <c r="I258" s="70">
        <f t="shared" si="79"/>
        <v>120</v>
      </c>
      <c r="J258" s="157">
        <f t="shared" si="80"/>
        <v>0</v>
      </c>
      <c r="K258" s="71">
        <f t="shared" si="81"/>
        <v>0</v>
      </c>
      <c r="L258" s="69"/>
    </row>
    <row r="259" spans="1:15" x14ac:dyDescent="0.2">
      <c r="A259" s="69">
        <v>259</v>
      </c>
      <c r="B259" s="69"/>
      <c r="C259" s="69"/>
      <c r="D259" s="69"/>
      <c r="E259" s="69"/>
      <c r="F259" s="69"/>
      <c r="G259" s="69"/>
      <c r="H259" s="69"/>
      <c r="I259" s="69"/>
      <c r="J259" s="69"/>
      <c r="K259" s="69"/>
      <c r="L259" s="69"/>
    </row>
    <row r="260" spans="1:15" x14ac:dyDescent="0.2">
      <c r="A260" s="69">
        <v>260</v>
      </c>
      <c r="B260" s="99" t="str">
        <f>O260&amp;"/5 Range, "&amp;O261&amp;" turns, vs "&amp;O263&amp;" turns, "&amp;O262&amp;" AT range, Everett Edgcumbe 844400"</f>
        <v>/5 Range,  turns, vs  turns,  AT range, Everett Edgcumbe 844400</v>
      </c>
      <c r="C260" s="69"/>
      <c r="D260" s="69"/>
      <c r="E260" s="69"/>
      <c r="F260" s="69"/>
      <c r="G260" s="69"/>
      <c r="H260" s="69"/>
      <c r="I260" s="101"/>
      <c r="N260" s="263" t="s">
        <v>369</v>
      </c>
      <c r="O260" s="100"/>
    </row>
    <row r="261" spans="1:15" x14ac:dyDescent="0.2">
      <c r="A261" s="69">
        <v>261</v>
      </c>
      <c r="B261" s="99"/>
      <c r="C261" s="101" t="s">
        <v>122</v>
      </c>
      <c r="D261" s="69"/>
      <c r="E261" s="69"/>
      <c r="F261" s="69"/>
      <c r="G261" s="69"/>
      <c r="H261" s="69"/>
      <c r="I261" s="69"/>
      <c r="N261" s="263" t="s">
        <v>370</v>
      </c>
      <c r="O261" s="100"/>
    </row>
    <row r="262" spans="1:15" x14ac:dyDescent="0.2">
      <c r="A262" s="69">
        <v>262</v>
      </c>
      <c r="B262" s="111"/>
      <c r="C262" s="88">
        <f t="shared" ref="C262:C268" si="83">B5A5.0VA</f>
        <v>2.2000000000000006E-2</v>
      </c>
      <c r="D262" s="69">
        <v>5</v>
      </c>
      <c r="E262" s="100"/>
      <c r="F262" s="100"/>
      <c r="G262" s="100"/>
      <c r="H262" s="69"/>
      <c r="I262" s="70">
        <f t="shared" ref="I262:I268" si="84">0.1*D262/(5*0.02)</f>
        <v>5</v>
      </c>
      <c r="J262" s="157">
        <f t="shared" ref="J262:J268" si="85">E262*G262</f>
        <v>0</v>
      </c>
      <c r="K262" s="71">
        <f t="shared" ref="K262:K268" si="86">100*RADIANS(G262*F262/60)</f>
        <v>0</v>
      </c>
      <c r="N262" s="263" t="s">
        <v>371</v>
      </c>
      <c r="O262" s="100"/>
    </row>
    <row r="263" spans="1:15" x14ac:dyDescent="0.2">
      <c r="A263" s="69">
        <v>263</v>
      </c>
      <c r="B263" s="69"/>
      <c r="C263" s="88">
        <f t="shared" si="83"/>
        <v>2.2000000000000006E-2</v>
      </c>
      <c r="D263" s="69">
        <v>10</v>
      </c>
      <c r="E263" s="100"/>
      <c r="F263" s="100"/>
      <c r="G263" s="100"/>
      <c r="H263" s="69"/>
      <c r="I263" s="70">
        <f t="shared" si="84"/>
        <v>10</v>
      </c>
      <c r="J263" s="157">
        <f t="shared" si="85"/>
        <v>0</v>
      </c>
      <c r="K263" s="71">
        <f t="shared" si="86"/>
        <v>0</v>
      </c>
      <c r="N263" s="263" t="s">
        <v>372</v>
      </c>
      <c r="O263" s="100"/>
    </row>
    <row r="264" spans="1:15" x14ac:dyDescent="0.2">
      <c r="A264" s="69">
        <v>264</v>
      </c>
      <c r="B264" s="69"/>
      <c r="C264" s="88">
        <f t="shared" si="83"/>
        <v>2.2000000000000006E-2</v>
      </c>
      <c r="D264" s="69">
        <v>20</v>
      </c>
      <c r="E264" s="100"/>
      <c r="F264" s="100"/>
      <c r="G264" s="100"/>
      <c r="H264" s="69"/>
      <c r="I264" s="70">
        <f t="shared" si="84"/>
        <v>20</v>
      </c>
      <c r="J264" s="157">
        <f t="shared" si="85"/>
        <v>0</v>
      </c>
      <c r="K264" s="71">
        <f t="shared" si="86"/>
        <v>0</v>
      </c>
      <c r="L264" s="69"/>
    </row>
    <row r="265" spans="1:15" x14ac:dyDescent="0.2">
      <c r="A265" s="69">
        <v>265</v>
      </c>
      <c r="B265" s="69"/>
      <c r="C265" s="88">
        <f t="shared" si="83"/>
        <v>2.2000000000000006E-2</v>
      </c>
      <c r="D265" s="69">
        <v>40</v>
      </c>
      <c r="E265" s="100"/>
      <c r="F265" s="100"/>
      <c r="G265" s="100"/>
      <c r="H265" s="69"/>
      <c r="I265" s="70">
        <f t="shared" si="84"/>
        <v>40</v>
      </c>
      <c r="J265" s="157">
        <f t="shared" si="85"/>
        <v>0</v>
      </c>
      <c r="K265" s="71">
        <f t="shared" si="86"/>
        <v>0</v>
      </c>
      <c r="L265" s="69"/>
    </row>
    <row r="266" spans="1:15" x14ac:dyDescent="0.2">
      <c r="A266" s="69">
        <v>266</v>
      </c>
      <c r="B266" s="69"/>
      <c r="C266" s="88">
        <f t="shared" si="83"/>
        <v>2.2000000000000006E-2</v>
      </c>
      <c r="D266" s="69">
        <v>60</v>
      </c>
      <c r="E266" s="100"/>
      <c r="F266" s="100"/>
      <c r="G266" s="100"/>
      <c r="H266" s="69"/>
      <c r="I266" s="70">
        <f t="shared" si="84"/>
        <v>60</v>
      </c>
      <c r="J266" s="157">
        <f t="shared" si="85"/>
        <v>0</v>
      </c>
      <c r="K266" s="71">
        <f t="shared" si="86"/>
        <v>0</v>
      </c>
      <c r="L266" s="69"/>
    </row>
    <row r="267" spans="1:15" x14ac:dyDescent="0.2">
      <c r="A267" s="69">
        <v>267</v>
      </c>
      <c r="B267" s="69"/>
      <c r="C267" s="88">
        <f t="shared" si="83"/>
        <v>2.2000000000000006E-2</v>
      </c>
      <c r="D267" s="69">
        <v>100</v>
      </c>
      <c r="E267" s="100"/>
      <c r="F267" s="100"/>
      <c r="G267" s="100"/>
      <c r="H267" s="69"/>
      <c r="I267" s="70">
        <f t="shared" si="84"/>
        <v>100</v>
      </c>
      <c r="J267" s="157">
        <f t="shared" si="85"/>
        <v>0</v>
      </c>
      <c r="K267" s="71">
        <f t="shared" si="86"/>
        <v>0</v>
      </c>
      <c r="L267" s="69"/>
    </row>
    <row r="268" spans="1:15" x14ac:dyDescent="0.2">
      <c r="A268" s="69">
        <v>268</v>
      </c>
      <c r="B268" s="69"/>
      <c r="C268" s="88">
        <f t="shared" si="83"/>
        <v>2.2000000000000006E-2</v>
      </c>
      <c r="D268" s="69">
        <v>120</v>
      </c>
      <c r="E268" s="100"/>
      <c r="F268" s="100"/>
      <c r="G268" s="100"/>
      <c r="H268" s="69"/>
      <c r="I268" s="70">
        <f t="shared" si="84"/>
        <v>120</v>
      </c>
      <c r="J268" s="157">
        <f t="shared" si="85"/>
        <v>0</v>
      </c>
      <c r="K268" s="71">
        <f t="shared" si="86"/>
        <v>0</v>
      </c>
      <c r="L268" s="69"/>
    </row>
    <row r="269" spans="1:15" x14ac:dyDescent="0.2">
      <c r="A269" s="69">
        <v>269</v>
      </c>
      <c r="B269" s="69"/>
      <c r="C269" s="69"/>
      <c r="D269" s="69"/>
      <c r="E269" s="69"/>
      <c r="F269" s="69"/>
      <c r="G269" s="128"/>
      <c r="H269" s="69"/>
      <c r="I269" s="69"/>
      <c r="J269" s="23"/>
      <c r="K269" s="69"/>
      <c r="L269" s="69"/>
    </row>
    <row r="270" spans="1:15" x14ac:dyDescent="0.2">
      <c r="A270" s="69">
        <v>270</v>
      </c>
      <c r="B270" s="69"/>
      <c r="C270" s="88">
        <f>B5A0VA</f>
        <v>2.1700000000000001E-2</v>
      </c>
      <c r="D270" s="69">
        <v>5</v>
      </c>
      <c r="E270" s="100"/>
      <c r="F270" s="100"/>
      <c r="G270" s="100"/>
      <c r="H270" s="69"/>
      <c r="I270" s="70">
        <f t="shared" ref="I270:I276" si="87">0.1*D270/(5*0.02)</f>
        <v>5</v>
      </c>
      <c r="J270" s="157">
        <f t="shared" ref="J270:J276" si="88">E270*G270</f>
        <v>0</v>
      </c>
      <c r="K270" s="71">
        <f t="shared" ref="K270:K276" si="89">100*RADIANS(G270*F270/60)</f>
        <v>0</v>
      </c>
      <c r="L270" s="69"/>
    </row>
    <row r="271" spans="1:15" x14ac:dyDescent="0.2">
      <c r="A271" s="69">
        <v>271</v>
      </c>
      <c r="B271" s="69"/>
      <c r="C271" s="88">
        <f t="shared" ref="C271:C276" si="90">B5A0VA</f>
        <v>2.1700000000000001E-2</v>
      </c>
      <c r="D271" s="69">
        <v>10</v>
      </c>
      <c r="E271" s="100"/>
      <c r="F271" s="100"/>
      <c r="G271" s="100"/>
      <c r="H271" s="69"/>
      <c r="I271" s="70">
        <f t="shared" si="87"/>
        <v>10</v>
      </c>
      <c r="J271" s="157">
        <f t="shared" si="88"/>
        <v>0</v>
      </c>
      <c r="K271" s="71">
        <f t="shared" si="89"/>
        <v>0</v>
      </c>
      <c r="L271" s="69"/>
    </row>
    <row r="272" spans="1:15" x14ac:dyDescent="0.2">
      <c r="A272" s="69">
        <v>272</v>
      </c>
      <c r="B272" s="69"/>
      <c r="C272" s="88">
        <f t="shared" si="90"/>
        <v>2.1700000000000001E-2</v>
      </c>
      <c r="D272" s="69">
        <v>20</v>
      </c>
      <c r="E272" s="100"/>
      <c r="F272" s="100"/>
      <c r="G272" s="100"/>
      <c r="H272" s="69"/>
      <c r="I272" s="70">
        <f t="shared" si="87"/>
        <v>20</v>
      </c>
      <c r="J272" s="157">
        <f t="shared" si="88"/>
        <v>0</v>
      </c>
      <c r="K272" s="71">
        <f t="shared" si="89"/>
        <v>0</v>
      </c>
      <c r="L272" s="69"/>
    </row>
    <row r="273" spans="1:12" x14ac:dyDescent="0.2">
      <c r="A273" s="69">
        <v>273</v>
      </c>
      <c r="B273" s="69"/>
      <c r="C273" s="88">
        <f t="shared" si="90"/>
        <v>2.1700000000000001E-2</v>
      </c>
      <c r="D273" s="69">
        <v>40</v>
      </c>
      <c r="E273" s="100"/>
      <c r="F273" s="100"/>
      <c r="G273" s="100"/>
      <c r="H273" s="69"/>
      <c r="I273" s="70">
        <f t="shared" si="87"/>
        <v>40</v>
      </c>
      <c r="J273" s="157">
        <f t="shared" si="88"/>
        <v>0</v>
      </c>
      <c r="K273" s="71">
        <f t="shared" si="89"/>
        <v>0</v>
      </c>
      <c r="L273" s="69"/>
    </row>
    <row r="274" spans="1:12" x14ac:dyDescent="0.2">
      <c r="A274" s="69">
        <v>274</v>
      </c>
      <c r="B274" s="69"/>
      <c r="C274" s="88">
        <f t="shared" si="90"/>
        <v>2.1700000000000001E-2</v>
      </c>
      <c r="D274" s="69">
        <v>60</v>
      </c>
      <c r="E274" s="100"/>
      <c r="F274" s="100"/>
      <c r="G274" s="100"/>
      <c r="H274" s="69"/>
      <c r="I274" s="70">
        <f t="shared" si="87"/>
        <v>60</v>
      </c>
      <c r="J274" s="157">
        <f t="shared" si="88"/>
        <v>0</v>
      </c>
      <c r="K274" s="71">
        <f t="shared" si="89"/>
        <v>0</v>
      </c>
      <c r="L274" s="69"/>
    </row>
    <row r="275" spans="1:12" x14ac:dyDescent="0.2">
      <c r="A275" s="69">
        <v>275</v>
      </c>
      <c r="B275" s="69"/>
      <c r="C275" s="88">
        <f t="shared" si="90"/>
        <v>2.1700000000000001E-2</v>
      </c>
      <c r="D275" s="69">
        <v>100</v>
      </c>
      <c r="E275" s="100"/>
      <c r="F275" s="100"/>
      <c r="G275" s="100"/>
      <c r="H275" s="69"/>
      <c r="I275" s="70">
        <f t="shared" si="87"/>
        <v>100</v>
      </c>
      <c r="J275" s="157">
        <f t="shared" si="88"/>
        <v>0</v>
      </c>
      <c r="K275" s="71">
        <f t="shared" si="89"/>
        <v>0</v>
      </c>
      <c r="L275" s="69"/>
    </row>
    <row r="276" spans="1:12" x14ac:dyDescent="0.2">
      <c r="A276" s="69">
        <v>276</v>
      </c>
      <c r="B276" s="69"/>
      <c r="C276" s="88">
        <f t="shared" si="90"/>
        <v>2.1700000000000001E-2</v>
      </c>
      <c r="D276" s="69">
        <v>120</v>
      </c>
      <c r="E276" s="100"/>
      <c r="F276" s="100"/>
      <c r="G276" s="100"/>
      <c r="H276" s="69"/>
      <c r="I276" s="70">
        <f t="shared" si="87"/>
        <v>120</v>
      </c>
      <c r="J276" s="157">
        <f t="shared" si="88"/>
        <v>0</v>
      </c>
      <c r="K276" s="71">
        <f t="shared" si="89"/>
        <v>0</v>
      </c>
      <c r="L276" s="69"/>
    </row>
    <row r="277" spans="1:12" x14ac:dyDescent="0.2">
      <c r="B277" s="69"/>
      <c r="C277" s="69"/>
      <c r="D277" s="69"/>
      <c r="E277" s="69"/>
      <c r="F277" s="69"/>
      <c r="G277" s="69"/>
      <c r="H277" s="69"/>
      <c r="I277" s="69"/>
      <c r="J277" s="69"/>
      <c r="K277" s="69"/>
      <c r="L277" s="69"/>
    </row>
    <row r="278" spans="1:12" x14ac:dyDescent="0.2">
      <c r="A278" s="69"/>
      <c r="L278" s="69"/>
    </row>
    <row r="279" spans="1:12" x14ac:dyDescent="0.2">
      <c r="L279" s="69"/>
    </row>
    <row r="280" spans="1:12" x14ac:dyDescent="0.2">
      <c r="A280" s="69"/>
      <c r="L280" s="69"/>
    </row>
    <row r="281" spans="1:12" x14ac:dyDescent="0.2">
      <c r="L281" s="69"/>
    </row>
    <row r="282" spans="1:12" x14ac:dyDescent="0.2">
      <c r="A282" s="69"/>
      <c r="L282" s="69"/>
    </row>
    <row r="283" spans="1:12" x14ac:dyDescent="0.2">
      <c r="A283" s="69"/>
      <c r="L283" s="69"/>
    </row>
    <row r="284" spans="1:12" x14ac:dyDescent="0.2">
      <c r="A284" s="69"/>
      <c r="L284" s="69"/>
    </row>
    <row r="285" spans="1:12" x14ac:dyDescent="0.2">
      <c r="L285" s="69"/>
    </row>
    <row r="286" spans="1:12" x14ac:dyDescent="0.2">
      <c r="A286" s="69"/>
      <c r="L286" s="69"/>
    </row>
    <row r="287" spans="1:12" x14ac:dyDescent="0.2">
      <c r="B287" s="27"/>
      <c r="C287" s="27"/>
      <c r="L287" s="69"/>
    </row>
    <row r="288" spans="1:12" x14ac:dyDescent="0.2">
      <c r="A288" s="69"/>
      <c r="B288" s="28"/>
      <c r="C288" s="27"/>
    </row>
    <row r="289" spans="2:3" x14ac:dyDescent="0.2">
      <c r="B289" s="27"/>
    </row>
    <row r="291" spans="2:3" x14ac:dyDescent="0.2">
      <c r="B291" s="27"/>
      <c r="C291" s="27"/>
    </row>
  </sheetData>
  <phoneticPr fontId="0" type="noConversion"/>
  <pageMargins left="0.75" right="0.75" top="1" bottom="1" header="0.5" footer="0.5"/>
  <pageSetup paperSize="9" orientation="portrait"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127"/>
  <sheetViews>
    <sheetView workbookViewId="0">
      <selection activeCell="C3" sqref="C3"/>
    </sheetView>
  </sheetViews>
  <sheetFormatPr defaultRowHeight="12.75" x14ac:dyDescent="0.2"/>
  <cols>
    <col min="2" max="2" width="31.5703125" customWidth="1"/>
    <col min="3" max="3" width="17.28515625" customWidth="1"/>
    <col min="4" max="4" width="18" customWidth="1"/>
    <col min="7" max="7" width="12" customWidth="1"/>
    <col min="10" max="10" width="9.140625" customWidth="1"/>
    <col min="14" max="14" width="19" customWidth="1"/>
  </cols>
  <sheetData>
    <row r="1" spans="1:16" x14ac:dyDescent="0.2">
      <c r="M1">
        <f>'5 A data'!L88</f>
        <v>0</v>
      </c>
      <c r="N1">
        <f>'5 A data'!M88</f>
        <v>0</v>
      </c>
      <c r="O1">
        <f>'5 A data'!N88</f>
        <v>0</v>
      </c>
      <c r="P1">
        <f>'5 A data'!O88</f>
        <v>0</v>
      </c>
    </row>
    <row r="2" spans="1:16" x14ac:dyDescent="0.2">
      <c r="M2">
        <f>'5 A data'!L89</f>
        <v>0</v>
      </c>
      <c r="N2" t="str">
        <f>'5 A data'!M89</f>
        <v>Enter resistor value</v>
      </c>
      <c r="O2">
        <f>'5 A data'!N89</f>
        <v>0</v>
      </c>
      <c r="P2">
        <f>'5 A data'!O89</f>
        <v>1000</v>
      </c>
    </row>
    <row r="3" spans="1:16" x14ac:dyDescent="0.2">
      <c r="A3">
        <f>'5 A data'!A90</f>
        <v>90</v>
      </c>
      <c r="B3">
        <f>'5 A data'!B90</f>
        <v>42978</v>
      </c>
      <c r="C3" t="str">
        <f>'5 A data'!C90</f>
        <v>No External Burden.</v>
      </c>
      <c r="D3" t="str">
        <f>'5 A data'!D90</f>
        <v>Shunt resistance</v>
      </c>
      <c r="E3">
        <f>'5 A data'!E90</f>
        <v>0</v>
      </c>
      <c r="F3">
        <f>'5 A data'!F90</f>
        <v>0</v>
      </c>
      <c r="G3" t="str">
        <f>'5 A data'!G90</f>
        <v>Arnold Xer</v>
      </c>
      <c r="H3">
        <f>'5 A data'!H90</f>
        <v>0</v>
      </c>
      <c r="I3">
        <f>'5 A data'!I90</f>
        <v>0</v>
      </c>
      <c r="J3">
        <f>'5 A data'!J90</f>
        <v>0</v>
      </c>
      <c r="K3">
        <f>'5 A data'!K90</f>
        <v>0</v>
      </c>
      <c r="L3" s="407"/>
      <c r="M3" t="str">
        <f>'5 A data'!Q90</f>
        <v>complex</v>
      </c>
      <c r="N3" t="str">
        <f>'5 A data'!M90</f>
        <v>Enter resistor value</v>
      </c>
      <c r="O3">
        <f>'5 A data'!N90</f>
        <v>0</v>
      </c>
      <c r="P3">
        <f>'5 A data'!O90</f>
        <v>100</v>
      </c>
    </row>
    <row r="4" spans="1:16" x14ac:dyDescent="0.2">
      <c r="A4">
        <f>'5 A data'!A91</f>
        <v>91</v>
      </c>
      <c r="B4" t="str">
        <f>'5 A data'!B91</f>
        <v>burden test, 0 ohms, 1000ohms off</v>
      </c>
      <c r="C4">
        <f>'5 A data'!C91</f>
        <v>0</v>
      </c>
      <c r="D4">
        <f>'5 A data'!D91</f>
        <v>60</v>
      </c>
      <c r="E4">
        <f>'5 A data'!E91</f>
        <v>-7.3999999999999996E-2</v>
      </c>
      <c r="F4">
        <f>'5 A data'!F91</f>
        <v>5.95</v>
      </c>
      <c r="G4">
        <f>'5 A data'!G91</f>
        <v>0.1</v>
      </c>
      <c r="H4">
        <f>'5 A data'!H91</f>
        <v>0</v>
      </c>
      <c r="I4">
        <f>'5 A data'!I91</f>
        <v>60</v>
      </c>
      <c r="J4">
        <f>'5 A data'!J91</f>
        <v>-7.4000000000000003E-3</v>
      </c>
      <c r="K4">
        <f>'5 A data'!K91</f>
        <v>1.7307848415610436E-2</v>
      </c>
      <c r="L4" s="407"/>
      <c r="M4" t="str">
        <f>'5 A data'!Q91</f>
        <v>-0.000074+0.000173078484156104i</v>
      </c>
      <c r="N4" t="str">
        <f>'5 A data'!M91</f>
        <v>B5A5.0VA</v>
      </c>
      <c r="O4">
        <f>'5 A data'!N91</f>
        <v>2.2000000000000006E-2</v>
      </c>
      <c r="P4">
        <f>'5 A data'!O91</f>
        <v>1.4544410433285984E-3</v>
      </c>
    </row>
    <row r="5" spans="1:16" x14ac:dyDescent="0.2">
      <c r="A5">
        <f>'5 A data'!A92</f>
        <v>92</v>
      </c>
      <c r="B5" t="str">
        <f>'5 A data'!B92</f>
        <v>burden test, 0 ohms,1000ohms on</v>
      </c>
      <c r="C5">
        <f>'5 A data'!C92</f>
        <v>0</v>
      </c>
      <c r="D5">
        <f>'5 A data'!D92</f>
        <v>60</v>
      </c>
      <c r="E5">
        <f>'5 A data'!E92</f>
        <v>-9.6000000000000002E-2</v>
      </c>
      <c r="F5">
        <f>'5 A data'!F92</f>
        <v>5.9</v>
      </c>
      <c r="G5">
        <f>'5 A data'!G92</f>
        <v>0.1</v>
      </c>
      <c r="H5">
        <f>'5 A data'!H92</f>
        <v>0</v>
      </c>
      <c r="I5">
        <f>'5 A data'!I92</f>
        <v>60</v>
      </c>
      <c r="J5">
        <f>'5 A data'!J92</f>
        <v>-9.6000000000000009E-3</v>
      </c>
      <c r="K5">
        <f>'5 A data'!K92</f>
        <v>1.7162404311277576E-2</v>
      </c>
      <c r="L5" s="407">
        <f>P2</f>
        <v>1000</v>
      </c>
      <c r="M5" t="str">
        <f>'5 A data'!Q92</f>
        <v>-0.000096+0.000171624043112776i</v>
      </c>
      <c r="N5" t="str">
        <f>'5 A data'!M92</f>
        <v>B5A0VA</v>
      </c>
      <c r="O5">
        <f>'5 A data'!N92</f>
        <v>2.1700000000000001E-2</v>
      </c>
      <c r="P5">
        <f>'5 A data'!O92</f>
        <v>1.1635528346628857E-3</v>
      </c>
    </row>
    <row r="6" spans="1:16" x14ac:dyDescent="0.2">
      <c r="A6">
        <f>'5 A data'!A93</f>
        <v>93</v>
      </c>
      <c r="B6" t="str">
        <f>'5 A data'!B93</f>
        <v>burden test, 0 ohms, 100ohms off</v>
      </c>
      <c r="C6">
        <f>'5 A data'!C93</f>
        <v>0</v>
      </c>
      <c r="D6">
        <f>'5 A data'!D93</f>
        <v>60</v>
      </c>
      <c r="E6">
        <f>'5 A data'!E93</f>
        <v>-7.3999999999999996E-2</v>
      </c>
      <c r="F6">
        <f>'5 A data'!F93</f>
        <v>5.95</v>
      </c>
      <c r="G6">
        <f>'5 A data'!G93</f>
        <v>0.1</v>
      </c>
      <c r="H6">
        <f>'5 A data'!H93</f>
        <v>0</v>
      </c>
      <c r="I6">
        <f>'5 A data'!I93</f>
        <v>60</v>
      </c>
      <c r="J6">
        <f>'5 A data'!J93</f>
        <v>-7.4000000000000003E-3</v>
      </c>
      <c r="K6">
        <f>'5 A data'!K93</f>
        <v>1.7307848415610436E-2</v>
      </c>
      <c r="L6" s="407"/>
      <c r="M6" t="str">
        <f>'5 A data'!Q93</f>
        <v>-0.000074+0.000173078484156104i</v>
      </c>
      <c r="N6">
        <f>'5 A data'!M93</f>
        <v>0</v>
      </c>
      <c r="O6">
        <f>'5 A data'!N93</f>
        <v>0</v>
      </c>
      <c r="P6">
        <f>'5 A data'!O93</f>
        <v>0</v>
      </c>
    </row>
    <row r="7" spans="1:16" x14ac:dyDescent="0.2">
      <c r="A7">
        <f>'5 A data'!A94</f>
        <v>94</v>
      </c>
      <c r="B7" t="str">
        <f>'5 A data'!B94</f>
        <v>burden test, 0 ohms,100ohms on</v>
      </c>
      <c r="C7">
        <f>'5 A data'!C94</f>
        <v>0</v>
      </c>
      <c r="D7">
        <f>'5 A data'!D94</f>
        <v>60</v>
      </c>
      <c r="E7">
        <f>'5 A data'!E94</f>
        <v>-0.29099999999999998</v>
      </c>
      <c r="F7">
        <f>'5 A data'!F94</f>
        <v>5.55</v>
      </c>
      <c r="G7">
        <f>'5 A data'!G94</f>
        <v>0.1</v>
      </c>
      <c r="H7">
        <f>'5 A data'!H94</f>
        <v>0</v>
      </c>
      <c r="I7">
        <f>'5 A data'!I94</f>
        <v>60</v>
      </c>
      <c r="J7">
        <f>'5 A data'!J94</f>
        <v>-2.9100000000000001E-2</v>
      </c>
      <c r="K7">
        <f>'5 A data'!K94</f>
        <v>1.614429558094755E-2</v>
      </c>
      <c r="L7" s="407">
        <f>P3</f>
        <v>100</v>
      </c>
      <c r="M7" t="str">
        <f>'5 A data'!Q94</f>
        <v>-0.000291+0.000161442955809475i</v>
      </c>
      <c r="N7">
        <f>'5 A data'!M94</f>
        <v>0</v>
      </c>
      <c r="O7">
        <f>'5 A data'!N94</f>
        <v>0</v>
      </c>
      <c r="P7">
        <f>'5 A data'!O94</f>
        <v>0</v>
      </c>
    </row>
    <row r="8" spans="1:16" x14ac:dyDescent="0.2">
      <c r="A8">
        <f>'5 A data'!A95</f>
        <v>95</v>
      </c>
      <c r="B8">
        <f>'5 A data'!B95</f>
        <v>0</v>
      </c>
      <c r="C8">
        <f>'5 A data'!C95</f>
        <v>0</v>
      </c>
      <c r="D8">
        <f>'5 A data'!D95</f>
        <v>0</v>
      </c>
      <c r="E8">
        <f>'5 A data'!E95</f>
        <v>0</v>
      </c>
      <c r="F8">
        <f>'5 A data'!F95</f>
        <v>0</v>
      </c>
      <c r="G8">
        <f>'5 A data'!G95</f>
        <v>0</v>
      </c>
      <c r="H8">
        <f>'5 A data'!H95</f>
        <v>0</v>
      </c>
      <c r="I8">
        <f>'5 A data'!I95</f>
        <v>0</v>
      </c>
      <c r="J8">
        <f>'5 A data'!J95</f>
        <v>0</v>
      </c>
      <c r="K8">
        <f>'5 A data'!K95</f>
        <v>0</v>
      </c>
      <c r="L8" s="407"/>
      <c r="M8">
        <f>'5 A data'!L95</f>
        <v>0</v>
      </c>
      <c r="N8">
        <f>'5 A data'!M95</f>
        <v>0</v>
      </c>
      <c r="O8">
        <f>'5 A data'!N95</f>
        <v>0</v>
      </c>
      <c r="P8">
        <f>'5 A data'!O95</f>
        <v>0</v>
      </c>
    </row>
    <row r="9" spans="1:16" x14ac:dyDescent="0.2">
      <c r="A9">
        <f>'5 A data'!A96</f>
        <v>96</v>
      </c>
      <c r="B9" t="str">
        <f>'5 A data'!B96</f>
        <v>Burden:</v>
      </c>
      <c r="C9" t="str">
        <f>'5 A data'!C96</f>
        <v>1.25VA unity</v>
      </c>
      <c r="D9">
        <f>'5 A data'!D96</f>
        <v>0</v>
      </c>
      <c r="E9">
        <f>'5 A data'!E96</f>
        <v>0</v>
      </c>
      <c r="F9">
        <f>'5 A data'!F96</f>
        <v>0</v>
      </c>
      <c r="G9">
        <f>'5 A data'!G96</f>
        <v>0</v>
      </c>
      <c r="H9">
        <f>'5 A data'!H96</f>
        <v>0</v>
      </c>
      <c r="I9">
        <f>'5 A data'!I96</f>
        <v>0</v>
      </c>
      <c r="J9">
        <f>'5 A data'!J96</f>
        <v>0</v>
      </c>
      <c r="K9">
        <f>'5 A data'!K96</f>
        <v>0</v>
      </c>
      <c r="L9" s="407"/>
      <c r="M9">
        <f>'5 A data'!L96</f>
        <v>0</v>
      </c>
      <c r="N9" t="str">
        <f>'5 A data'!M96</f>
        <v>Enter resistor value</v>
      </c>
      <c r="O9">
        <f>'5 A data'!N96</f>
        <v>0</v>
      </c>
      <c r="P9">
        <f>'5 A data'!O96</f>
        <v>1000</v>
      </c>
    </row>
    <row r="10" spans="1:16" x14ac:dyDescent="0.2">
      <c r="A10">
        <f>'5 A data'!A97</f>
        <v>97</v>
      </c>
      <c r="B10">
        <f>'5 A data'!B97</f>
        <v>42978</v>
      </c>
      <c r="C10">
        <f>'5 A data'!C97</f>
        <v>0</v>
      </c>
      <c r="D10">
        <f>'5 A data'!D97</f>
        <v>0</v>
      </c>
      <c r="E10">
        <f>'5 A data'!E97</f>
        <v>0</v>
      </c>
      <c r="F10">
        <f>'5 A data'!F97</f>
        <v>0</v>
      </c>
      <c r="G10">
        <f>'5 A data'!G97</f>
        <v>0</v>
      </c>
      <c r="H10">
        <f>'5 A data'!H97</f>
        <v>0</v>
      </c>
      <c r="I10">
        <f>'5 A data'!I97</f>
        <v>0</v>
      </c>
      <c r="J10">
        <f>'5 A data'!J97</f>
        <v>0</v>
      </c>
      <c r="K10">
        <f>'5 A data'!K97</f>
        <v>0</v>
      </c>
      <c r="L10" s="407"/>
      <c r="M10">
        <f>'5 A data'!L97</f>
        <v>0</v>
      </c>
      <c r="N10" t="str">
        <f>'5 A data'!M97</f>
        <v>Enter resistor value</v>
      </c>
      <c r="O10">
        <f>'5 A data'!N97</f>
        <v>0</v>
      </c>
      <c r="P10">
        <f>'5 A data'!O97</f>
        <v>100</v>
      </c>
    </row>
    <row r="11" spans="1:16" x14ac:dyDescent="0.2">
      <c r="A11">
        <f>'5 A data'!A98</f>
        <v>98</v>
      </c>
      <c r="B11" t="str">
        <f>'5 A data'!B98</f>
        <v>burden test, 0 ohms, 1000ohms off</v>
      </c>
      <c r="C11">
        <f>'5 A data'!C98</f>
        <v>0</v>
      </c>
      <c r="D11">
        <f>'5 A data'!D98</f>
        <v>60</v>
      </c>
      <c r="E11">
        <f>'5 A data'!E98</f>
        <v>-0.1</v>
      </c>
      <c r="F11">
        <f>'5 A data'!F98</f>
        <v>8</v>
      </c>
      <c r="G11">
        <f>'5 A data'!G98</f>
        <v>0.1</v>
      </c>
      <c r="H11">
        <f>'5 A data'!H98</f>
        <v>0</v>
      </c>
      <c r="I11">
        <f>'5 A data'!I98</f>
        <v>60</v>
      </c>
      <c r="J11">
        <f>'5 A data'!J98</f>
        <v>-1.0000000000000002E-2</v>
      </c>
      <c r="K11">
        <f>'5 A data'!K98</f>
        <v>2.3271056693257727E-2</v>
      </c>
      <c r="L11" s="407"/>
      <c r="M11">
        <f>'5 A data'!L98</f>
        <v>0</v>
      </c>
      <c r="N11" t="str">
        <f>'5 A data'!M98</f>
        <v>B5A5.0VA</v>
      </c>
      <c r="O11">
        <f>'5 A data'!N98</f>
        <v>7.0999999999999994E-2</v>
      </c>
      <c r="P11">
        <f>'5 A data'!O98</f>
        <v>5.8177641733143937E-3</v>
      </c>
    </row>
    <row r="12" spans="1:16" x14ac:dyDescent="0.2">
      <c r="A12">
        <f>'5 A data'!A99</f>
        <v>99</v>
      </c>
      <c r="B12" t="str">
        <f>'5 A data'!B99</f>
        <v>burden test, 0 ohms,1000ohms on</v>
      </c>
      <c r="C12">
        <f>'5 A data'!C99</f>
        <v>0</v>
      </c>
      <c r="D12">
        <f>'5 A data'!D99</f>
        <v>60</v>
      </c>
      <c r="E12">
        <f>'5 A data'!E99</f>
        <v>-0.17100000000000001</v>
      </c>
      <c r="F12">
        <f>'5 A data'!F99</f>
        <v>7.8</v>
      </c>
      <c r="G12">
        <f>'5 A data'!G99</f>
        <v>0.1</v>
      </c>
      <c r="H12">
        <f>'5 A data'!H99</f>
        <v>0</v>
      </c>
      <c r="I12">
        <f>'5 A data'!I99</f>
        <v>60</v>
      </c>
      <c r="J12">
        <f>'5 A data'!J99</f>
        <v>-1.7100000000000001E-2</v>
      </c>
      <c r="K12">
        <f>'5 A data'!K99</f>
        <v>2.2689280275926288E-2</v>
      </c>
      <c r="L12" s="407">
        <f>P9</f>
        <v>1000</v>
      </c>
      <c r="M12">
        <f>'5 A data'!L99</f>
        <v>0</v>
      </c>
      <c r="N12" t="str">
        <f>'5 A data'!M99</f>
        <v>B5A0VA</v>
      </c>
      <c r="O12">
        <f>'5 A data'!N99</f>
        <v>7.1800000000000003E-2</v>
      </c>
      <c r="P12">
        <f>'5 A data'!O99</f>
        <v>4.2178790256529666E-3</v>
      </c>
    </row>
    <row r="13" spans="1:16" x14ac:dyDescent="0.2">
      <c r="A13">
        <f>'5 A data'!A100</f>
        <v>100</v>
      </c>
      <c r="B13" t="str">
        <f>'5 A data'!B100</f>
        <v>burden test, 0 ohms, 100ohms off</v>
      </c>
      <c r="C13">
        <f>'5 A data'!C100</f>
        <v>0</v>
      </c>
      <c r="D13">
        <f>'5 A data'!D100</f>
        <v>60</v>
      </c>
      <c r="E13">
        <f>'5 A data'!E100</f>
        <v>-0.1</v>
      </c>
      <c r="F13">
        <f>'5 A data'!F100</f>
        <v>7.95</v>
      </c>
      <c r="G13">
        <f>'5 A data'!G100</f>
        <v>0.1</v>
      </c>
      <c r="H13">
        <f>'5 A data'!H100</f>
        <v>0</v>
      </c>
      <c r="I13">
        <f>'5 A data'!I100</f>
        <v>60</v>
      </c>
      <c r="J13">
        <f>'5 A data'!J100</f>
        <v>-1.0000000000000002E-2</v>
      </c>
      <c r="K13">
        <f>'5 A data'!K100</f>
        <v>2.3125612588924871E-2</v>
      </c>
      <c r="L13" s="407"/>
      <c r="M13">
        <f>'5 A data'!L100</f>
        <v>0</v>
      </c>
      <c r="N13">
        <f>'5 A data'!M100</f>
        <v>0</v>
      </c>
      <c r="O13">
        <f>'5 A data'!N100</f>
        <v>0</v>
      </c>
      <c r="P13">
        <f>'5 A data'!O100</f>
        <v>0</v>
      </c>
    </row>
    <row r="14" spans="1:16" x14ac:dyDescent="0.2">
      <c r="A14">
        <f>'5 A data'!A101</f>
        <v>101</v>
      </c>
      <c r="B14" t="str">
        <f>'5 A data'!B101</f>
        <v>burden test, 0 ohms,100ohms on</v>
      </c>
      <c r="C14">
        <f>'5 A data'!C101</f>
        <v>0</v>
      </c>
      <c r="D14">
        <f>'5 A data'!D101</f>
        <v>60</v>
      </c>
      <c r="E14">
        <f>'5 A data'!E101</f>
        <v>-0.40899999999999997</v>
      </c>
      <c r="F14">
        <f>'5 A data'!F101</f>
        <v>3.25</v>
      </c>
      <c r="G14">
        <f>'5 A data'!G101</f>
        <v>0.2</v>
      </c>
      <c r="H14">
        <f>'5 A data'!H101</f>
        <v>0</v>
      </c>
      <c r="I14">
        <f>'5 A data'!I101</f>
        <v>60</v>
      </c>
      <c r="J14">
        <f>'5 A data'!J101</f>
        <v>-8.1799999999999998E-2</v>
      </c>
      <c r="K14">
        <f>'5 A data'!K101</f>
        <v>1.8907733563271904E-2</v>
      </c>
      <c r="L14" s="407">
        <f>P10</f>
        <v>100</v>
      </c>
      <c r="M14">
        <f>'5 A data'!L101</f>
        <v>0</v>
      </c>
      <c r="N14">
        <f>'5 A data'!M101</f>
        <v>0</v>
      </c>
      <c r="O14">
        <f>'5 A data'!N101</f>
        <v>0</v>
      </c>
      <c r="P14">
        <f>'5 A data'!O101</f>
        <v>0</v>
      </c>
    </row>
    <row r="15" spans="1:16" x14ac:dyDescent="0.2">
      <c r="A15">
        <f>'5 A data'!A102</f>
        <v>102</v>
      </c>
      <c r="B15">
        <f>'5 A data'!B102</f>
        <v>0</v>
      </c>
      <c r="C15">
        <f>'5 A data'!C102</f>
        <v>0</v>
      </c>
      <c r="D15">
        <f>'5 A data'!D102</f>
        <v>0</v>
      </c>
      <c r="E15">
        <f>'5 A data'!E102</f>
        <v>0</v>
      </c>
      <c r="F15">
        <f>'5 A data'!F102</f>
        <v>0</v>
      </c>
      <c r="G15">
        <f>'5 A data'!G102</f>
        <v>0</v>
      </c>
      <c r="H15">
        <f>'5 A data'!H102</f>
        <v>0</v>
      </c>
      <c r="I15">
        <f>'5 A data'!I102</f>
        <v>0</v>
      </c>
      <c r="J15">
        <f>'5 A data'!J102</f>
        <v>0</v>
      </c>
      <c r="K15">
        <f>'5 A data'!K102</f>
        <v>0</v>
      </c>
      <c r="L15" s="407"/>
      <c r="M15">
        <f>'5 A data'!L102</f>
        <v>0</v>
      </c>
      <c r="N15">
        <f>'5 A data'!M102</f>
        <v>0</v>
      </c>
      <c r="O15">
        <f>'5 A data'!N102</f>
        <v>0</v>
      </c>
      <c r="P15">
        <f>'5 A data'!O102</f>
        <v>0</v>
      </c>
    </row>
    <row r="16" spans="1:16" x14ac:dyDescent="0.2">
      <c r="A16">
        <f>'5 A data'!A103</f>
        <v>103</v>
      </c>
      <c r="B16">
        <f>'5 A data'!B103</f>
        <v>0</v>
      </c>
      <c r="C16">
        <f>'5 A data'!C103</f>
        <v>0</v>
      </c>
      <c r="D16">
        <f>'5 A data'!D103</f>
        <v>0</v>
      </c>
      <c r="E16">
        <f>'5 A data'!E103</f>
        <v>0</v>
      </c>
      <c r="F16">
        <f>'5 A data'!F103</f>
        <v>0</v>
      </c>
      <c r="G16">
        <f>'5 A data'!G103</f>
        <v>0</v>
      </c>
      <c r="H16">
        <f>'5 A data'!H103</f>
        <v>0</v>
      </c>
      <c r="I16">
        <f>'5 A data'!I103</f>
        <v>0</v>
      </c>
      <c r="J16">
        <f>'5 A data'!J103</f>
        <v>0</v>
      </c>
      <c r="K16">
        <f>'5 A data'!K103</f>
        <v>0</v>
      </c>
      <c r="L16" s="407"/>
      <c r="M16">
        <f>'5 A data'!L103</f>
        <v>0</v>
      </c>
      <c r="N16" t="str">
        <f>'5 A data'!M103</f>
        <v>Enter resistor value</v>
      </c>
      <c r="O16">
        <f>'5 A data'!N103</f>
        <v>0</v>
      </c>
      <c r="P16">
        <f>'5 A data'!O103</f>
        <v>100</v>
      </c>
    </row>
    <row r="17" spans="1:16" x14ac:dyDescent="0.2">
      <c r="A17">
        <f>'5 A data'!A104</f>
        <v>104</v>
      </c>
      <c r="B17">
        <f>'5 A data'!B104</f>
        <v>42982</v>
      </c>
      <c r="C17" t="str">
        <f>'5 A data'!C104</f>
        <v>1.25VA unity</v>
      </c>
      <c r="D17">
        <f>'5 A data'!D104</f>
        <v>0</v>
      </c>
      <c r="E17">
        <f>'5 A data'!E104</f>
        <v>0</v>
      </c>
      <c r="F17">
        <f>'5 A data'!F104</f>
        <v>0</v>
      </c>
      <c r="G17">
        <f>'5 A data'!G104</f>
        <v>0</v>
      </c>
      <c r="H17">
        <f>'5 A data'!H104</f>
        <v>0</v>
      </c>
      <c r="I17">
        <f>'5 A data'!I104</f>
        <v>0</v>
      </c>
      <c r="J17">
        <f>'5 A data'!J104</f>
        <v>0</v>
      </c>
      <c r="K17">
        <f>'5 A data'!K104</f>
        <v>0</v>
      </c>
      <c r="L17" s="407"/>
      <c r="M17">
        <f>'5 A data'!L104</f>
        <v>0</v>
      </c>
      <c r="N17" t="str">
        <f>'5 A data'!M104</f>
        <v>Enter resistor value</v>
      </c>
      <c r="O17">
        <f>'5 A data'!N104</f>
        <v>0</v>
      </c>
      <c r="P17">
        <f>'5 A data'!O104</f>
        <v>100</v>
      </c>
    </row>
    <row r="18" spans="1:16" x14ac:dyDescent="0.2">
      <c r="A18">
        <f>'5 A data'!A105</f>
        <v>105</v>
      </c>
      <c r="B18" t="str">
        <f>'5 A data'!B105</f>
        <v>burden test, xx ohms, yy ohms off</v>
      </c>
      <c r="C18">
        <f>'5 A data'!C105</f>
        <v>0</v>
      </c>
      <c r="D18">
        <f>'5 A data'!D105</f>
        <v>60</v>
      </c>
      <c r="E18">
        <f>'5 A data'!E105</f>
        <v>-0.05</v>
      </c>
      <c r="F18">
        <f>'5 A data'!F105</f>
        <v>4</v>
      </c>
      <c r="G18">
        <f>'5 A data'!G105</f>
        <v>0.2</v>
      </c>
      <c r="H18">
        <f>'5 A data'!H105</f>
        <v>0</v>
      </c>
      <c r="I18">
        <f>'5 A data'!I105</f>
        <v>60</v>
      </c>
      <c r="J18">
        <f>'5 A data'!J105</f>
        <v>-1.0000000000000002E-2</v>
      </c>
      <c r="K18">
        <f>'5 A data'!K105</f>
        <v>2.3271056693257727E-2</v>
      </c>
      <c r="L18" s="407"/>
      <c r="M18">
        <f>'5 A data'!L105</f>
        <v>0</v>
      </c>
      <c r="N18" t="str">
        <f>'5 A data'!M105</f>
        <v>B5A5.0VA</v>
      </c>
      <c r="O18">
        <f>'5 A data'!N105</f>
        <v>7.1399999999999991E-2</v>
      </c>
      <c r="P18">
        <f>'5 A data'!O105</f>
        <v>4.363323129985823E-3</v>
      </c>
    </row>
    <row r="19" spans="1:16" x14ac:dyDescent="0.2">
      <c r="A19">
        <f>'5 A data'!A106</f>
        <v>106</v>
      </c>
      <c r="B19" t="str">
        <f>'5 A data'!B106</f>
        <v>burden test, xx ohms, yy ohms on</v>
      </c>
      <c r="C19">
        <f>'5 A data'!C106</f>
        <v>0</v>
      </c>
      <c r="D19">
        <f>'5 A data'!D106</f>
        <v>60</v>
      </c>
      <c r="E19">
        <f>'5 A data'!E106</f>
        <v>-0.40699999999999997</v>
      </c>
      <c r="F19">
        <f>'5 A data'!F106</f>
        <v>3.25</v>
      </c>
      <c r="G19">
        <f>'5 A data'!G106</f>
        <v>0.2</v>
      </c>
      <c r="H19">
        <f>'5 A data'!H106</f>
        <v>0</v>
      </c>
      <c r="I19">
        <f>'5 A data'!I106</f>
        <v>60</v>
      </c>
      <c r="J19">
        <f>'5 A data'!J106</f>
        <v>-8.14E-2</v>
      </c>
      <c r="K19">
        <f>'5 A data'!K106</f>
        <v>1.8907733563271904E-2</v>
      </c>
      <c r="L19" s="407">
        <f>P16</f>
        <v>100</v>
      </c>
      <c r="M19">
        <f>'5 A data'!L106</f>
        <v>0</v>
      </c>
      <c r="N19" t="str">
        <f>'5 A data'!M106</f>
        <v>B5A0VA</v>
      </c>
      <c r="O19">
        <f>'5 A data'!N106</f>
        <v>0</v>
      </c>
      <c r="P19">
        <f>'5 A data'!O106</f>
        <v>0</v>
      </c>
    </row>
    <row r="20" spans="1:16" x14ac:dyDescent="0.2">
      <c r="A20">
        <f>'5 A data'!A107</f>
        <v>107</v>
      </c>
      <c r="B20" t="str">
        <f>'5 A data'!B107</f>
        <v>burden test, 0 ohms, yy ohms off</v>
      </c>
      <c r="C20">
        <f>'5 A data'!C107</f>
        <v>0</v>
      </c>
      <c r="D20">
        <f>'5 A data'!D107</f>
        <v>60</v>
      </c>
      <c r="E20">
        <f>'5 A data'!E107</f>
        <v>0</v>
      </c>
      <c r="F20">
        <f>'5 A data'!F107</f>
        <v>0</v>
      </c>
      <c r="G20">
        <f>'5 A data'!G107</f>
        <v>0</v>
      </c>
      <c r="H20">
        <f>'5 A data'!H107</f>
        <v>0</v>
      </c>
      <c r="I20">
        <f>'5 A data'!I107</f>
        <v>60</v>
      </c>
      <c r="J20">
        <f>'5 A data'!J107</f>
        <v>0</v>
      </c>
      <c r="K20">
        <f>'5 A data'!K107</f>
        <v>0</v>
      </c>
      <c r="L20" s="407"/>
      <c r="M20">
        <f>'5 A data'!L107</f>
        <v>0</v>
      </c>
      <c r="N20">
        <f>'5 A data'!M107</f>
        <v>0</v>
      </c>
      <c r="O20">
        <f>'5 A data'!N107</f>
        <v>0</v>
      </c>
      <c r="P20">
        <f>'5 A data'!O107</f>
        <v>0</v>
      </c>
    </row>
    <row r="21" spans="1:16" x14ac:dyDescent="0.2">
      <c r="A21">
        <f>'5 A data'!A108</f>
        <v>108</v>
      </c>
      <c r="B21" t="str">
        <f>'5 A data'!B108</f>
        <v>burden test, 0 ohms,yy ohms on</v>
      </c>
      <c r="C21">
        <f>'5 A data'!C108</f>
        <v>0</v>
      </c>
      <c r="D21">
        <f>'5 A data'!D108</f>
        <v>60</v>
      </c>
      <c r="E21">
        <f>'5 A data'!E108</f>
        <v>0</v>
      </c>
      <c r="F21">
        <f>'5 A data'!F108</f>
        <v>0</v>
      </c>
      <c r="G21">
        <f>'5 A data'!G108</f>
        <v>0</v>
      </c>
      <c r="H21">
        <f>'5 A data'!H108</f>
        <v>0</v>
      </c>
      <c r="I21">
        <f>'5 A data'!I108</f>
        <v>60</v>
      </c>
      <c r="J21">
        <f>'5 A data'!J108</f>
        <v>0</v>
      </c>
      <c r="K21">
        <f>'5 A data'!K108</f>
        <v>0</v>
      </c>
      <c r="L21" s="407">
        <f>P17</f>
        <v>100</v>
      </c>
      <c r="M21">
        <f>'5 A data'!L108</f>
        <v>0</v>
      </c>
      <c r="N21">
        <f>'5 A data'!M108</f>
        <v>0</v>
      </c>
      <c r="O21">
        <f>'5 A data'!N108</f>
        <v>0</v>
      </c>
      <c r="P21">
        <f>'5 A data'!O108</f>
        <v>0</v>
      </c>
    </row>
    <row r="22" spans="1:16" x14ac:dyDescent="0.2">
      <c r="A22">
        <f>'5 A data'!A109</f>
        <v>109</v>
      </c>
      <c r="B22">
        <f>'5 A data'!B109</f>
        <v>0</v>
      </c>
      <c r="C22">
        <f>'5 A data'!C109</f>
        <v>0</v>
      </c>
      <c r="D22">
        <f>'5 A data'!D109</f>
        <v>0</v>
      </c>
      <c r="E22">
        <f>'5 A data'!E109</f>
        <v>0</v>
      </c>
      <c r="F22">
        <f>'5 A data'!F109</f>
        <v>0</v>
      </c>
      <c r="G22">
        <f>'5 A data'!G109</f>
        <v>0</v>
      </c>
      <c r="H22">
        <f>'5 A data'!H109</f>
        <v>0</v>
      </c>
      <c r="I22">
        <f>'5 A data'!I109</f>
        <v>0</v>
      </c>
      <c r="J22">
        <f>'5 A data'!J109</f>
        <v>0</v>
      </c>
      <c r="K22">
        <f>'5 A data'!K109</f>
        <v>0</v>
      </c>
      <c r="L22" s="407"/>
      <c r="M22">
        <f>'5 A data'!L109</f>
        <v>0</v>
      </c>
      <c r="N22">
        <f>'5 A data'!M109</f>
        <v>0</v>
      </c>
      <c r="O22">
        <f>'5 A data'!N109</f>
        <v>0</v>
      </c>
      <c r="P22">
        <f>'5 A data'!O109</f>
        <v>0</v>
      </c>
    </row>
    <row r="23" spans="1:16" x14ac:dyDescent="0.2">
      <c r="A23">
        <f>'5 A data'!A110</f>
        <v>110</v>
      </c>
      <c r="B23">
        <f>'5 A data'!B110</f>
        <v>0</v>
      </c>
      <c r="C23">
        <f>'5 A data'!C110</f>
        <v>0</v>
      </c>
      <c r="D23">
        <f>'5 A data'!D110</f>
        <v>0</v>
      </c>
      <c r="E23">
        <f>'5 A data'!E110</f>
        <v>0</v>
      </c>
      <c r="F23">
        <f>'5 A data'!F110</f>
        <v>0</v>
      </c>
      <c r="G23">
        <f>'5 A data'!G110</f>
        <v>0</v>
      </c>
      <c r="H23">
        <f>'5 A data'!H110</f>
        <v>0</v>
      </c>
      <c r="I23">
        <f>'5 A data'!I110</f>
        <v>0</v>
      </c>
      <c r="J23">
        <f>'5 A data'!J110</f>
        <v>0</v>
      </c>
      <c r="K23">
        <f>'5 A data'!K110</f>
        <v>0</v>
      </c>
      <c r="L23" s="407"/>
      <c r="M23">
        <f>'5 A data'!L110</f>
        <v>0</v>
      </c>
      <c r="N23" t="str">
        <f>'5 A data'!M110</f>
        <v>Enter resistor value</v>
      </c>
      <c r="O23">
        <f>'5 A data'!N110</f>
        <v>0</v>
      </c>
      <c r="P23">
        <f>'5 A data'!O110</f>
        <v>100</v>
      </c>
    </row>
    <row r="24" spans="1:16" x14ac:dyDescent="0.2">
      <c r="A24">
        <f>'5 A data'!A111</f>
        <v>111</v>
      </c>
      <c r="B24">
        <f>'5 A data'!B111</f>
        <v>42982</v>
      </c>
      <c r="C24" t="str">
        <f>'5 A data'!C111</f>
        <v>1.25VA unity</v>
      </c>
      <c r="D24">
        <f>'5 A data'!D111</f>
        <v>0</v>
      </c>
      <c r="E24">
        <f>'5 A data'!E111</f>
        <v>0</v>
      </c>
      <c r="F24">
        <f>'5 A data'!F111</f>
        <v>0</v>
      </c>
      <c r="G24">
        <f>'5 A data'!G111</f>
        <v>0</v>
      </c>
      <c r="H24">
        <f>'5 A data'!H111</f>
        <v>0</v>
      </c>
      <c r="I24">
        <f>'5 A data'!I111</f>
        <v>0</v>
      </c>
      <c r="J24">
        <f>'5 A data'!J111</f>
        <v>0</v>
      </c>
      <c r="K24">
        <f>'5 A data'!K111</f>
        <v>0</v>
      </c>
      <c r="L24" s="407"/>
      <c r="M24">
        <f>'5 A data'!L111</f>
        <v>0</v>
      </c>
      <c r="N24" t="str">
        <f>'5 A data'!M111</f>
        <v>Enter resistor value</v>
      </c>
      <c r="O24">
        <f>'5 A data'!N111</f>
        <v>0</v>
      </c>
      <c r="P24">
        <f>'5 A data'!O111</f>
        <v>100</v>
      </c>
    </row>
    <row r="25" spans="1:16" x14ac:dyDescent="0.2">
      <c r="A25">
        <f>'5 A data'!A112</f>
        <v>112</v>
      </c>
      <c r="B25" t="str">
        <f>'5 A data'!B112</f>
        <v>burden test, xx ohms, yy ohms off</v>
      </c>
      <c r="C25">
        <f>'5 A data'!C112</f>
        <v>0</v>
      </c>
      <c r="D25">
        <f>'5 A data'!D112</f>
        <v>70</v>
      </c>
      <c r="E25">
        <f>'5 A data'!E112</f>
        <v>-0.05</v>
      </c>
      <c r="F25">
        <f>'5 A data'!F112</f>
        <v>3.85</v>
      </c>
      <c r="G25">
        <f>'5 A data'!G112</f>
        <v>0.2</v>
      </c>
      <c r="H25">
        <f>'5 A data'!H112</f>
        <v>0</v>
      </c>
      <c r="I25">
        <f>'5 A data'!I112</f>
        <v>70</v>
      </c>
      <c r="J25">
        <f>'5 A data'!J112</f>
        <v>-1.0000000000000002E-2</v>
      </c>
      <c r="K25">
        <f>'5 A data'!K112</f>
        <v>2.2398392067260565E-2</v>
      </c>
      <c r="L25" s="407"/>
      <c r="M25">
        <f>'5 A data'!L112</f>
        <v>0</v>
      </c>
      <c r="N25" t="str">
        <f>'5 A data'!M112</f>
        <v>B5A5.0VA</v>
      </c>
      <c r="O25">
        <f>'5 A data'!N112</f>
        <v>7.1800000000000003E-2</v>
      </c>
      <c r="P25">
        <f>'5 A data'!O112</f>
        <v>4.0724349213201033E-3</v>
      </c>
    </row>
    <row r="26" spans="1:16" x14ac:dyDescent="0.2">
      <c r="A26">
        <f>'5 A data'!A113</f>
        <v>113</v>
      </c>
      <c r="B26" t="str">
        <f>'5 A data'!B113</f>
        <v>burden test, xx ohms, yy ohms on</v>
      </c>
      <c r="C26">
        <f>'5 A data'!C113</f>
        <v>0</v>
      </c>
      <c r="D26">
        <f>'5 A data'!D113</f>
        <v>70</v>
      </c>
      <c r="E26">
        <f>'5 A data'!E113</f>
        <v>-0.40899999999999997</v>
      </c>
      <c r="F26">
        <f>'5 A data'!F113</f>
        <v>3.15</v>
      </c>
      <c r="G26">
        <f>'5 A data'!G113</f>
        <v>0.2</v>
      </c>
      <c r="H26">
        <f>'5 A data'!H113</f>
        <v>0</v>
      </c>
      <c r="I26">
        <f>'5 A data'!I113</f>
        <v>70</v>
      </c>
      <c r="J26">
        <f>'5 A data'!J113</f>
        <v>-8.1799999999999998E-2</v>
      </c>
      <c r="K26">
        <f>'5 A data'!K113</f>
        <v>1.8325957145940461E-2</v>
      </c>
      <c r="L26" s="407">
        <f>P23</f>
        <v>100</v>
      </c>
      <c r="M26">
        <f>'5 A data'!L113</f>
        <v>0</v>
      </c>
      <c r="N26" t="str">
        <f>'5 A data'!M113</f>
        <v>B5A0VA</v>
      </c>
      <c r="O26">
        <f>'5 A data'!N113</f>
        <v>7.2400000000000006E-2</v>
      </c>
      <c r="P26">
        <f>'5 A data'!O113</f>
        <v>4.0724349213201103E-3</v>
      </c>
    </row>
    <row r="27" spans="1:16" x14ac:dyDescent="0.2">
      <c r="A27">
        <f>'5 A data'!A114</f>
        <v>114</v>
      </c>
      <c r="B27" t="str">
        <f>'5 A data'!B114</f>
        <v>burden test, 0 ohms, yy ohms off</v>
      </c>
      <c r="C27">
        <f>'5 A data'!C114</f>
        <v>0</v>
      </c>
      <c r="D27">
        <f>'5 A data'!D114</f>
        <v>100</v>
      </c>
      <c r="E27">
        <f>'5 A data'!E114</f>
        <v>-5.0999999999999997E-2</v>
      </c>
      <c r="F27">
        <f>'5 A data'!F114</f>
        <v>3.6</v>
      </c>
      <c r="G27">
        <f>'5 A data'!G114</f>
        <v>0.2</v>
      </c>
      <c r="H27">
        <f>'5 A data'!H114</f>
        <v>0</v>
      </c>
      <c r="I27">
        <f>'5 A data'!I114</f>
        <v>100</v>
      </c>
      <c r="J27">
        <f>'5 A data'!J114</f>
        <v>-1.0200000000000001E-2</v>
      </c>
      <c r="K27">
        <f>'5 A data'!K114</f>
        <v>2.0943951023931959E-2</v>
      </c>
      <c r="L27" s="407"/>
      <c r="M27">
        <f>'5 A data'!L114</f>
        <v>0</v>
      </c>
      <c r="N27">
        <f>'5 A data'!M114</f>
        <v>0</v>
      </c>
      <c r="O27">
        <f>'5 A data'!N114</f>
        <v>0</v>
      </c>
      <c r="P27">
        <f>'5 A data'!O114</f>
        <v>0</v>
      </c>
    </row>
    <row r="28" spans="1:16" x14ac:dyDescent="0.2">
      <c r="A28">
        <f>'5 A data'!A115</f>
        <v>115</v>
      </c>
      <c r="B28" t="str">
        <f>'5 A data'!B115</f>
        <v>burden test, 0 ohms,yy ohms on</v>
      </c>
      <c r="C28">
        <f>'5 A data'!C115</f>
        <v>0</v>
      </c>
      <c r="D28">
        <f>'5 A data'!D115</f>
        <v>100</v>
      </c>
      <c r="E28">
        <f>'5 A data'!E115</f>
        <v>-0.41299999999999998</v>
      </c>
      <c r="F28">
        <f>'5 A data'!F115</f>
        <v>2.9</v>
      </c>
      <c r="G28">
        <f>'5 A data'!G115</f>
        <v>0.2</v>
      </c>
      <c r="H28">
        <f>'5 A data'!H115</f>
        <v>0</v>
      </c>
      <c r="I28">
        <f>'5 A data'!I115</f>
        <v>100</v>
      </c>
      <c r="J28">
        <f>'5 A data'!J115</f>
        <v>-8.2600000000000007E-2</v>
      </c>
      <c r="K28">
        <f>'5 A data'!K115</f>
        <v>1.6871516102611849E-2</v>
      </c>
      <c r="L28" s="407">
        <f>P24</f>
        <v>100</v>
      </c>
      <c r="M28">
        <f>'5 A data'!L115</f>
        <v>0</v>
      </c>
      <c r="N28">
        <f>'5 A data'!M115</f>
        <v>0</v>
      </c>
      <c r="O28">
        <f>'5 A data'!N115</f>
        <v>0</v>
      </c>
      <c r="P28">
        <f>'5 A data'!O115</f>
        <v>0</v>
      </c>
    </row>
    <row r="29" spans="1:16" x14ac:dyDescent="0.2">
      <c r="A29">
        <f>'5 A data'!A116</f>
        <v>116</v>
      </c>
      <c r="B29">
        <f>'5 A data'!B116</f>
        <v>0</v>
      </c>
      <c r="C29">
        <f>'5 A data'!C116</f>
        <v>0</v>
      </c>
      <c r="D29">
        <f>'5 A data'!D116</f>
        <v>0</v>
      </c>
      <c r="E29">
        <f>'5 A data'!E116</f>
        <v>0</v>
      </c>
      <c r="F29">
        <f>'5 A data'!F116</f>
        <v>0</v>
      </c>
      <c r="G29">
        <f>'5 A data'!G116</f>
        <v>0</v>
      </c>
      <c r="H29">
        <f>'5 A data'!H116</f>
        <v>0</v>
      </c>
      <c r="I29">
        <f>'5 A data'!I116</f>
        <v>0</v>
      </c>
      <c r="J29">
        <f>'5 A data'!J116</f>
        <v>0</v>
      </c>
      <c r="K29">
        <f>'5 A data'!K116</f>
        <v>0</v>
      </c>
      <c r="L29" s="407"/>
      <c r="M29">
        <f>'5 A data'!L116</f>
        <v>0</v>
      </c>
      <c r="N29">
        <f>'5 A data'!M116</f>
        <v>0</v>
      </c>
      <c r="O29">
        <f>'5 A data'!N116</f>
        <v>0</v>
      </c>
      <c r="P29">
        <f>'5 A data'!O116</f>
        <v>0</v>
      </c>
    </row>
    <row r="30" spans="1:16" x14ac:dyDescent="0.2">
      <c r="A30">
        <f>'5 A data'!A117</f>
        <v>117</v>
      </c>
      <c r="B30">
        <f>'5 A data'!B117</f>
        <v>0</v>
      </c>
      <c r="C30">
        <f>'5 A data'!C117</f>
        <v>0</v>
      </c>
      <c r="D30">
        <f>'5 A data'!D117</f>
        <v>0</v>
      </c>
      <c r="E30">
        <f>'5 A data'!E117</f>
        <v>0</v>
      </c>
      <c r="F30">
        <f>'5 A data'!F117</f>
        <v>0</v>
      </c>
      <c r="G30">
        <f>'5 A data'!G117</f>
        <v>0</v>
      </c>
      <c r="H30">
        <f>'5 A data'!H117</f>
        <v>0</v>
      </c>
      <c r="I30">
        <f>'5 A data'!I117</f>
        <v>0</v>
      </c>
      <c r="J30">
        <f>'5 A data'!J117</f>
        <v>0</v>
      </c>
      <c r="K30">
        <f>'5 A data'!K117</f>
        <v>0</v>
      </c>
      <c r="L30" s="407"/>
      <c r="M30">
        <f>'5 A data'!L117</f>
        <v>0</v>
      </c>
      <c r="N30" t="str">
        <f>'5 A data'!M117</f>
        <v>Enter resistor value</v>
      </c>
      <c r="O30">
        <f>'5 A data'!N117</f>
        <v>0</v>
      </c>
      <c r="P30">
        <f>'5 A data'!O117</f>
        <v>100</v>
      </c>
    </row>
    <row r="31" spans="1:16" x14ac:dyDescent="0.2">
      <c r="A31">
        <f>'5 A data'!A118</f>
        <v>118</v>
      </c>
      <c r="B31">
        <f>'5 A data'!B118</f>
        <v>42982</v>
      </c>
      <c r="C31" t="str">
        <f>'5 A data'!C118</f>
        <v>2.5VA unity</v>
      </c>
      <c r="D31">
        <f>'5 A data'!D118</f>
        <v>0</v>
      </c>
      <c r="E31">
        <f>'5 A data'!E118</f>
        <v>0</v>
      </c>
      <c r="F31">
        <f>'5 A data'!F118</f>
        <v>0</v>
      </c>
      <c r="G31">
        <f>'5 A data'!G118</f>
        <v>0</v>
      </c>
      <c r="H31">
        <f>'5 A data'!H118</f>
        <v>0</v>
      </c>
      <c r="I31">
        <f>'5 A data'!I118</f>
        <v>0</v>
      </c>
      <c r="J31">
        <f>'5 A data'!J118</f>
        <v>0</v>
      </c>
      <c r="K31">
        <f>'5 A data'!K118</f>
        <v>0</v>
      </c>
      <c r="L31" s="407"/>
      <c r="M31">
        <f>'5 A data'!L118</f>
        <v>0</v>
      </c>
      <c r="N31" t="str">
        <f>'5 A data'!M118</f>
        <v>Enter resistor value</v>
      </c>
      <c r="O31">
        <f>'5 A data'!N118</f>
        <v>0</v>
      </c>
      <c r="P31">
        <f>'5 A data'!O118</f>
        <v>100</v>
      </c>
    </row>
    <row r="32" spans="1:16" x14ac:dyDescent="0.2">
      <c r="A32">
        <f>'5 A data'!A119</f>
        <v>119</v>
      </c>
      <c r="B32" t="str">
        <f>'5 A data'!B119</f>
        <v>burden test, xx ohms, yy ohms off</v>
      </c>
      <c r="C32">
        <f>'5 A data'!C119</f>
        <v>0</v>
      </c>
      <c r="D32">
        <f>'5 A data'!D119</f>
        <v>70</v>
      </c>
      <c r="E32">
        <f>'5 A data'!E119</f>
        <v>-6.2E-2</v>
      </c>
      <c r="F32">
        <f>'5 A data'!F119</f>
        <v>4.9000000000000004</v>
      </c>
      <c r="G32">
        <f>'5 A data'!G119</f>
        <v>0.2</v>
      </c>
      <c r="H32">
        <f>'5 A data'!H119</f>
        <v>0</v>
      </c>
      <c r="I32">
        <f>'5 A data'!I119</f>
        <v>70</v>
      </c>
      <c r="J32">
        <f>'5 A data'!J119</f>
        <v>-1.2400000000000001E-2</v>
      </c>
      <c r="K32">
        <f>'5 A data'!K119</f>
        <v>2.850704444924072E-2</v>
      </c>
      <c r="L32" s="407"/>
      <c r="M32">
        <f>'5 A data'!L119</f>
        <v>0</v>
      </c>
      <c r="N32" t="str">
        <f>'5 A data'!M119</f>
        <v>B5A5.0VA</v>
      </c>
      <c r="O32">
        <f>'5 A data'!N119</f>
        <v>0.12160000000000001</v>
      </c>
      <c r="P32">
        <f>'5 A data'!O119</f>
        <v>6.6904287993116004E-3</v>
      </c>
    </row>
    <row r="33" spans="1:16" x14ac:dyDescent="0.2">
      <c r="A33">
        <f>'5 A data'!A120</f>
        <v>120</v>
      </c>
      <c r="B33" t="str">
        <f>'5 A data'!B120</f>
        <v>burden test, xx ohms, yy ohms on</v>
      </c>
      <c r="C33">
        <f>'5 A data'!C120</f>
        <v>0</v>
      </c>
      <c r="D33">
        <f>'5 A data'!D120</f>
        <v>70</v>
      </c>
      <c r="E33">
        <f>'5 A data'!E120</f>
        <v>-0.13400000000000001</v>
      </c>
      <c r="F33">
        <f>'5 A data'!F120</f>
        <v>0.75</v>
      </c>
      <c r="G33">
        <f>'5 A data'!G120</f>
        <v>1</v>
      </c>
      <c r="H33">
        <f>'5 A data'!H120</f>
        <v>0</v>
      </c>
      <c r="I33">
        <f>'5 A data'!I120</f>
        <v>70</v>
      </c>
      <c r="J33">
        <f>'5 A data'!J120</f>
        <v>-0.13400000000000001</v>
      </c>
      <c r="K33">
        <f>'5 A data'!K120</f>
        <v>2.1816615649929118E-2</v>
      </c>
      <c r="L33" s="407">
        <f>P30</f>
        <v>100</v>
      </c>
      <c r="M33">
        <f>'5 A data'!L120</f>
        <v>0</v>
      </c>
      <c r="N33" t="str">
        <f>'5 A data'!M120</f>
        <v>B5A0VA</v>
      </c>
      <c r="O33">
        <f>'5 A data'!N120</f>
        <v>0.12300000000000001</v>
      </c>
      <c r="P33">
        <f>'5 A data'!O120</f>
        <v>5.8177641733144344E-3</v>
      </c>
    </row>
    <row r="34" spans="1:16" x14ac:dyDescent="0.2">
      <c r="A34">
        <f>'5 A data'!A121</f>
        <v>121</v>
      </c>
      <c r="B34" t="str">
        <f>'5 A data'!B121</f>
        <v>burden test, 0 ohms, yy ohms off</v>
      </c>
      <c r="C34">
        <f>'5 A data'!C121</f>
        <v>0</v>
      </c>
      <c r="D34">
        <f>'5 A data'!D121</f>
        <v>100</v>
      </c>
      <c r="E34">
        <f>'5 A data'!E121</f>
        <v>-6.5000000000000002E-2</v>
      </c>
      <c r="F34">
        <f>'5 A data'!F121</f>
        <v>4.5</v>
      </c>
      <c r="G34">
        <f>'5 A data'!G121</f>
        <v>0.2</v>
      </c>
      <c r="H34">
        <f>'5 A data'!H121</f>
        <v>0</v>
      </c>
      <c r="I34">
        <f>'5 A data'!I121</f>
        <v>100</v>
      </c>
      <c r="J34">
        <f>'5 A data'!J121</f>
        <v>-1.3000000000000001E-2</v>
      </c>
      <c r="K34">
        <f>'5 A data'!K121</f>
        <v>2.6179938779914945E-2</v>
      </c>
      <c r="L34" s="407"/>
      <c r="M34">
        <f>'5 A data'!L121</f>
        <v>0</v>
      </c>
      <c r="N34">
        <f>'5 A data'!M121</f>
        <v>0</v>
      </c>
      <c r="O34">
        <f>'5 A data'!N121</f>
        <v>0</v>
      </c>
      <c r="P34">
        <f>'5 A data'!O121</f>
        <v>0</v>
      </c>
    </row>
    <row r="35" spans="1:16" x14ac:dyDescent="0.2">
      <c r="A35">
        <f>'5 A data'!A122</f>
        <v>122</v>
      </c>
      <c r="B35" t="str">
        <f>'5 A data'!B122</f>
        <v>burden test, 0 ohms,yy ohms on</v>
      </c>
      <c r="C35">
        <f>'5 A data'!C122</f>
        <v>0</v>
      </c>
      <c r="D35">
        <f>'5 A data'!D122</f>
        <v>100</v>
      </c>
      <c r="E35">
        <f>'5 A data'!E122</f>
        <v>-0.13600000000000001</v>
      </c>
      <c r="F35">
        <f>'5 A data'!F122</f>
        <v>0.7</v>
      </c>
      <c r="G35">
        <f>'5 A data'!G122</f>
        <v>1</v>
      </c>
      <c r="H35">
        <f>'5 A data'!H122</f>
        <v>0</v>
      </c>
      <c r="I35">
        <f>'5 A data'!I122</f>
        <v>100</v>
      </c>
      <c r="J35">
        <f>'5 A data'!J122</f>
        <v>-0.13600000000000001</v>
      </c>
      <c r="K35">
        <f>'5 A data'!K122</f>
        <v>2.036217460660051E-2</v>
      </c>
      <c r="L35" s="407">
        <f>P31</f>
        <v>100</v>
      </c>
      <c r="M35">
        <f>'5 A data'!L122</f>
        <v>0</v>
      </c>
      <c r="N35">
        <f>'5 A data'!M122</f>
        <v>0</v>
      </c>
      <c r="O35">
        <f>'5 A data'!N122</f>
        <v>0</v>
      </c>
      <c r="P35">
        <f>'5 A data'!O122</f>
        <v>0</v>
      </c>
    </row>
    <row r="36" spans="1:16" x14ac:dyDescent="0.2">
      <c r="A36">
        <f>'5 A data'!A123</f>
        <v>123</v>
      </c>
      <c r="B36">
        <f>'5 A data'!B123</f>
        <v>0</v>
      </c>
      <c r="C36">
        <f>'5 A data'!C123</f>
        <v>0</v>
      </c>
      <c r="D36">
        <f>'5 A data'!D123</f>
        <v>0</v>
      </c>
      <c r="E36">
        <f>'5 A data'!E123</f>
        <v>0</v>
      </c>
      <c r="F36">
        <f>'5 A data'!F123</f>
        <v>0</v>
      </c>
      <c r="G36">
        <f>'5 A data'!G123</f>
        <v>0</v>
      </c>
      <c r="H36">
        <f>'5 A data'!H123</f>
        <v>0</v>
      </c>
      <c r="I36">
        <f>'5 A data'!I123</f>
        <v>0</v>
      </c>
      <c r="J36">
        <f>'5 A data'!J123</f>
        <v>0</v>
      </c>
      <c r="K36">
        <f>'5 A data'!K123</f>
        <v>0</v>
      </c>
      <c r="L36" s="407"/>
      <c r="M36">
        <f>'5 A data'!L123</f>
        <v>0</v>
      </c>
      <c r="N36">
        <f>'5 A data'!M123</f>
        <v>0</v>
      </c>
      <c r="O36">
        <f>'5 A data'!N123</f>
        <v>0</v>
      </c>
      <c r="P36">
        <f>'5 A data'!O123</f>
        <v>0</v>
      </c>
    </row>
    <row r="37" spans="1:16" x14ac:dyDescent="0.2">
      <c r="A37">
        <f>'5 A data'!A124</f>
        <v>124</v>
      </c>
      <c r="B37">
        <f>'5 A data'!B124</f>
        <v>0</v>
      </c>
      <c r="C37">
        <f>'5 A data'!C124</f>
        <v>0</v>
      </c>
      <c r="D37">
        <f>'5 A data'!D124</f>
        <v>0</v>
      </c>
      <c r="E37">
        <f>'5 A data'!E124</f>
        <v>0</v>
      </c>
      <c r="F37">
        <f>'5 A data'!F124</f>
        <v>0</v>
      </c>
      <c r="G37">
        <f>'5 A data'!G124</f>
        <v>0</v>
      </c>
      <c r="H37">
        <f>'5 A data'!H124</f>
        <v>0</v>
      </c>
      <c r="I37">
        <f>'5 A data'!I124</f>
        <v>0</v>
      </c>
      <c r="J37">
        <f>'5 A data'!J124</f>
        <v>0</v>
      </c>
      <c r="K37">
        <f>'5 A data'!K124</f>
        <v>0</v>
      </c>
      <c r="L37" s="407"/>
      <c r="M37">
        <f>'5 A data'!L124</f>
        <v>0</v>
      </c>
      <c r="N37" t="str">
        <f>'5 A data'!M124</f>
        <v>Enter resistor value</v>
      </c>
      <c r="O37">
        <f>'5 A data'!N124</f>
        <v>0</v>
      </c>
      <c r="P37">
        <f>'5 A data'!O124</f>
        <v>100</v>
      </c>
    </row>
    <row r="38" spans="1:16" x14ac:dyDescent="0.2">
      <c r="A38">
        <f>'5 A data'!A125</f>
        <v>125</v>
      </c>
      <c r="B38">
        <f>'5 A data'!B125</f>
        <v>42982</v>
      </c>
      <c r="C38" t="str">
        <f>'5 A data'!C125</f>
        <v>3.75VA unity</v>
      </c>
      <c r="D38">
        <f>'5 A data'!D125</f>
        <v>0</v>
      </c>
      <c r="E38">
        <f>'5 A data'!E125</f>
        <v>0</v>
      </c>
      <c r="F38">
        <f>'5 A data'!F125</f>
        <v>0</v>
      </c>
      <c r="G38">
        <f>'5 A data'!G125</f>
        <v>0</v>
      </c>
      <c r="H38">
        <f>'5 A data'!H125</f>
        <v>0</v>
      </c>
      <c r="I38">
        <f>'5 A data'!I125</f>
        <v>0</v>
      </c>
      <c r="J38">
        <f>'5 A data'!J125</f>
        <v>0</v>
      </c>
      <c r="K38">
        <f>'5 A data'!K125</f>
        <v>0</v>
      </c>
      <c r="L38" s="407"/>
      <c r="M38">
        <f>'5 A data'!L125</f>
        <v>0</v>
      </c>
      <c r="N38" t="str">
        <f>'5 A data'!M125</f>
        <v>Enter resistor value</v>
      </c>
      <c r="O38">
        <f>'5 A data'!N125</f>
        <v>0</v>
      </c>
      <c r="P38">
        <f>'5 A data'!O125</f>
        <v>100</v>
      </c>
    </row>
    <row r="39" spans="1:16" x14ac:dyDescent="0.2">
      <c r="A39">
        <f>'5 A data'!A126</f>
        <v>126</v>
      </c>
      <c r="B39" t="str">
        <f>'5 A data'!B126</f>
        <v>burden test, xx ohms, yy ohms off</v>
      </c>
      <c r="C39">
        <f>'5 A data'!C126</f>
        <v>0</v>
      </c>
      <c r="D39">
        <f>'5 A data'!D126</f>
        <v>70</v>
      </c>
      <c r="E39">
        <f>'5 A data'!E126</f>
        <v>-7.5999999999999998E-2</v>
      </c>
      <c r="F39">
        <f>'5 A data'!F126</f>
        <v>5.7</v>
      </c>
      <c r="G39">
        <f>'5 A data'!G126</f>
        <v>0.2</v>
      </c>
      <c r="H39">
        <f>'5 A data'!H126</f>
        <v>0</v>
      </c>
      <c r="I39">
        <f>'5 A data'!I126</f>
        <v>70</v>
      </c>
      <c r="J39">
        <f>'5 A data'!J126</f>
        <v>-1.52E-2</v>
      </c>
      <c r="K39">
        <f>'5 A data'!K126</f>
        <v>3.3161255787892266E-2</v>
      </c>
      <c r="L39" s="407"/>
      <c r="M39">
        <f>'5 A data'!L126</f>
        <v>0</v>
      </c>
      <c r="N39" t="str">
        <f>'5 A data'!M126</f>
        <v>B5A5.0VA</v>
      </c>
      <c r="O39">
        <f>'5 A data'!N126</f>
        <v>0.17080000000000001</v>
      </c>
      <c r="P39">
        <f>'5 A data'!O126</f>
        <v>6.981317007977321E-3</v>
      </c>
    </row>
    <row r="40" spans="1:16" x14ac:dyDescent="0.2">
      <c r="A40">
        <f>'5 A data'!A127</f>
        <v>127</v>
      </c>
      <c r="B40" t="str">
        <f>'5 A data'!B127</f>
        <v>burden test, xx ohms, yy ohms on</v>
      </c>
      <c r="C40">
        <f>'5 A data'!C127</f>
        <v>0</v>
      </c>
      <c r="D40">
        <f>'5 A data'!D127</f>
        <v>70</v>
      </c>
      <c r="E40">
        <f>'5 A data'!E127</f>
        <v>-0.186</v>
      </c>
      <c r="F40">
        <f>'5 A data'!F127</f>
        <v>0.9</v>
      </c>
      <c r="G40">
        <f>'5 A data'!G127</f>
        <v>1</v>
      </c>
      <c r="H40">
        <f>'5 A data'!H127</f>
        <v>0</v>
      </c>
      <c r="I40">
        <f>'5 A data'!I127</f>
        <v>70</v>
      </c>
      <c r="J40">
        <f>'5 A data'!J127</f>
        <v>-0.186</v>
      </c>
      <c r="K40">
        <f>'5 A data'!K127</f>
        <v>2.6179938779914945E-2</v>
      </c>
      <c r="L40" s="407">
        <f>P37</f>
        <v>100</v>
      </c>
      <c r="M40">
        <f>'5 A data'!L127</f>
        <v>0</v>
      </c>
      <c r="N40" t="str">
        <f>'5 A data'!M127</f>
        <v>B5A0VA</v>
      </c>
      <c r="O40">
        <f>'5 A data'!N127</f>
        <v>0.1724</v>
      </c>
      <c r="P40">
        <f>'5 A data'!O127</f>
        <v>8.1448698426402066E-3</v>
      </c>
    </row>
    <row r="41" spans="1:16" x14ac:dyDescent="0.2">
      <c r="A41">
        <f>'5 A data'!A128</f>
        <v>128</v>
      </c>
      <c r="B41" t="str">
        <f>'5 A data'!B128</f>
        <v>burden test, 0 ohms, yy ohms off</v>
      </c>
      <c r="C41">
        <f>'5 A data'!C128</f>
        <v>0</v>
      </c>
      <c r="D41">
        <f>'5 A data'!D128</f>
        <v>100</v>
      </c>
      <c r="E41">
        <f>'5 A data'!E128</f>
        <v>-7.8E-2</v>
      </c>
      <c r="F41">
        <f>'5 A data'!F128</f>
        <v>5.4</v>
      </c>
      <c r="G41">
        <f>'5 A data'!G128</f>
        <v>0.2</v>
      </c>
      <c r="H41">
        <f>'5 A data'!H128</f>
        <v>0</v>
      </c>
      <c r="I41">
        <f>'5 A data'!I128</f>
        <v>100</v>
      </c>
      <c r="J41">
        <f>'5 A data'!J128</f>
        <v>-1.5600000000000001E-2</v>
      </c>
      <c r="K41">
        <f>'5 A data'!K128</f>
        <v>3.1415926535897934E-2</v>
      </c>
      <c r="L41" s="407"/>
      <c r="M41">
        <f>'5 A data'!L128</f>
        <v>0</v>
      </c>
      <c r="N41">
        <f>'5 A data'!M128</f>
        <v>0</v>
      </c>
      <c r="O41">
        <f>'5 A data'!N128</f>
        <v>0</v>
      </c>
      <c r="P41">
        <f>'5 A data'!O128</f>
        <v>0</v>
      </c>
    </row>
    <row r="42" spans="1:16" x14ac:dyDescent="0.2">
      <c r="A42">
        <f>'5 A data'!A129</f>
        <v>129</v>
      </c>
      <c r="B42" t="str">
        <f>'5 A data'!B129</f>
        <v>burden test, 0 ohms,yy ohms on</v>
      </c>
      <c r="C42">
        <f>'5 A data'!C129</f>
        <v>0</v>
      </c>
      <c r="D42">
        <f>'5 A data'!D129</f>
        <v>100</v>
      </c>
      <c r="E42">
        <f>'5 A data'!E129</f>
        <v>-0.188</v>
      </c>
      <c r="F42">
        <f>'5 A data'!F129</f>
        <v>0.8</v>
      </c>
      <c r="G42">
        <f>'5 A data'!G129</f>
        <v>1</v>
      </c>
      <c r="H42">
        <f>'5 A data'!H129</f>
        <v>0</v>
      </c>
      <c r="I42">
        <f>'5 A data'!I129</f>
        <v>100</v>
      </c>
      <c r="J42">
        <f>'5 A data'!J129</f>
        <v>-0.188</v>
      </c>
      <c r="K42">
        <f>'5 A data'!K129</f>
        <v>2.3271056693257727E-2</v>
      </c>
      <c r="L42" s="407">
        <f>P38</f>
        <v>100</v>
      </c>
      <c r="M42">
        <f>'5 A data'!L129</f>
        <v>0</v>
      </c>
      <c r="N42">
        <f>'5 A data'!M129</f>
        <v>0</v>
      </c>
      <c r="O42">
        <f>'5 A data'!N129</f>
        <v>0</v>
      </c>
      <c r="P42">
        <f>'5 A data'!O129</f>
        <v>0</v>
      </c>
    </row>
    <row r="43" spans="1:16" x14ac:dyDescent="0.2">
      <c r="A43">
        <f>'5 A data'!A130</f>
        <v>130</v>
      </c>
      <c r="B43">
        <f>'5 A data'!B130</f>
        <v>0</v>
      </c>
      <c r="C43">
        <f>'5 A data'!C130</f>
        <v>0</v>
      </c>
      <c r="D43">
        <f>'5 A data'!D130</f>
        <v>0</v>
      </c>
      <c r="E43">
        <f>'5 A data'!E130</f>
        <v>0</v>
      </c>
      <c r="F43">
        <f>'5 A data'!F130</f>
        <v>0</v>
      </c>
      <c r="G43">
        <f>'5 A data'!G130</f>
        <v>0</v>
      </c>
      <c r="H43">
        <f>'5 A data'!H130</f>
        <v>0</v>
      </c>
      <c r="I43">
        <f>'5 A data'!I130</f>
        <v>0</v>
      </c>
      <c r="J43">
        <f>'5 A data'!J130</f>
        <v>0</v>
      </c>
      <c r="K43">
        <f>'5 A data'!K130</f>
        <v>0</v>
      </c>
      <c r="L43" s="407"/>
      <c r="M43">
        <f>'5 A data'!L130</f>
        <v>0</v>
      </c>
      <c r="N43">
        <f>'5 A data'!M130</f>
        <v>0</v>
      </c>
      <c r="O43">
        <f>'5 A data'!N130</f>
        <v>0</v>
      </c>
      <c r="P43">
        <f>'5 A data'!O130</f>
        <v>0</v>
      </c>
    </row>
    <row r="44" spans="1:16" x14ac:dyDescent="0.2">
      <c r="A44">
        <f>'5 A data'!A131</f>
        <v>131</v>
      </c>
      <c r="B44">
        <f>'5 A data'!B131</f>
        <v>0</v>
      </c>
      <c r="C44">
        <f>'5 A data'!C131</f>
        <v>0</v>
      </c>
      <c r="D44">
        <f>'5 A data'!D131</f>
        <v>0</v>
      </c>
      <c r="E44">
        <f>'5 A data'!E131</f>
        <v>0</v>
      </c>
      <c r="F44">
        <f>'5 A data'!F131</f>
        <v>0</v>
      </c>
      <c r="G44">
        <f>'5 A data'!G131</f>
        <v>0</v>
      </c>
      <c r="H44">
        <f>'5 A data'!H131</f>
        <v>0</v>
      </c>
      <c r="I44">
        <f>'5 A data'!I131</f>
        <v>0</v>
      </c>
      <c r="J44">
        <f>'5 A data'!J131</f>
        <v>0</v>
      </c>
      <c r="K44">
        <f>'5 A data'!K131</f>
        <v>0</v>
      </c>
      <c r="L44" s="407"/>
      <c r="M44">
        <f>'5 A data'!L131</f>
        <v>0</v>
      </c>
      <c r="N44" t="str">
        <f>'5 A data'!M131</f>
        <v>Enter resistor value</v>
      </c>
      <c r="O44">
        <f>'5 A data'!N131</f>
        <v>0</v>
      </c>
      <c r="P44">
        <f>'5 A data'!O131</f>
        <v>100</v>
      </c>
    </row>
    <row r="45" spans="1:16" x14ac:dyDescent="0.2">
      <c r="A45">
        <f>'5 A data'!A132</f>
        <v>132</v>
      </c>
      <c r="B45">
        <f>'5 A data'!B132</f>
        <v>42982</v>
      </c>
      <c r="C45" t="str">
        <f>'5 A data'!C132</f>
        <v>5.0VA 0.8 pf</v>
      </c>
      <c r="D45">
        <f>'5 A data'!D132</f>
        <v>0</v>
      </c>
      <c r="E45">
        <f>'5 A data'!E132</f>
        <v>0</v>
      </c>
      <c r="F45">
        <f>'5 A data'!F132</f>
        <v>0</v>
      </c>
      <c r="G45">
        <f>'5 A data'!G132</f>
        <v>0</v>
      </c>
      <c r="H45">
        <f>'5 A data'!H132</f>
        <v>0</v>
      </c>
      <c r="I45">
        <f>'5 A data'!I132</f>
        <v>0</v>
      </c>
      <c r="J45">
        <f>'5 A data'!J132</f>
        <v>0</v>
      </c>
      <c r="K45">
        <f>'5 A data'!K132</f>
        <v>0</v>
      </c>
      <c r="L45" s="407"/>
      <c r="M45">
        <f>'5 A data'!L132</f>
        <v>0</v>
      </c>
      <c r="N45" t="str">
        <f>'5 A data'!M132</f>
        <v>Enter resistor value</v>
      </c>
      <c r="O45">
        <f>'5 A data'!N132</f>
        <v>0</v>
      </c>
      <c r="P45">
        <f>'5 A data'!O132</f>
        <v>100</v>
      </c>
    </row>
    <row r="46" spans="1:16" x14ac:dyDescent="0.2">
      <c r="A46">
        <f>'5 A data'!A133</f>
        <v>133</v>
      </c>
      <c r="B46" t="str">
        <f>'5 A data'!B133</f>
        <v>burden test, xx ohms, yy ohms off</v>
      </c>
      <c r="C46">
        <f>'5 A data'!C133</f>
        <v>0</v>
      </c>
      <c r="D46">
        <f>'5 A data'!D133</f>
        <v>70</v>
      </c>
      <c r="E46">
        <f>'5 A data'!E133</f>
        <v>-0.14699999999999999</v>
      </c>
      <c r="F46">
        <f>'5 A data'!F133</f>
        <v>5</v>
      </c>
      <c r="G46">
        <f>'5 A data'!G133</f>
        <v>0.2</v>
      </c>
      <c r="H46">
        <f>'5 A data'!H133</f>
        <v>0</v>
      </c>
      <c r="I46">
        <f>'5 A data'!I133</f>
        <v>70</v>
      </c>
      <c r="J46">
        <f>'5 A data'!J133</f>
        <v>-2.9399999999999999E-2</v>
      </c>
      <c r="K46">
        <f>'5 A data'!K133</f>
        <v>2.9088820866572159E-2</v>
      </c>
      <c r="L46" s="407"/>
      <c r="M46">
        <f>'5 A data'!L133</f>
        <v>0</v>
      </c>
      <c r="N46" t="str">
        <f>'5 A data'!M133</f>
        <v>B5A5.0VA</v>
      </c>
      <c r="O46">
        <f>'5 A data'!N133</f>
        <v>0.18759999999999999</v>
      </c>
      <c r="P46">
        <f>'5 A data'!O133</f>
        <v>0.11926416555294587</v>
      </c>
    </row>
    <row r="47" spans="1:16" x14ac:dyDescent="0.2">
      <c r="A47">
        <f>'5 A data'!A134</f>
        <v>134</v>
      </c>
      <c r="B47" t="str">
        <f>'5 A data'!B134</f>
        <v>burden test, xx ohms, yy ohms on</v>
      </c>
      <c r="C47">
        <f>'5 A data'!C134</f>
        <v>0</v>
      </c>
      <c r="D47">
        <f>'5 A data'!D134</f>
        <v>70</v>
      </c>
      <c r="E47">
        <f>'5 A data'!E134</f>
        <v>-0.217</v>
      </c>
      <c r="F47">
        <f>'5 A data'!F134</f>
        <v>-3.1</v>
      </c>
      <c r="G47">
        <f>'5 A data'!G134</f>
        <v>1</v>
      </c>
      <c r="H47">
        <f>'5 A data'!H134</f>
        <v>0</v>
      </c>
      <c r="I47">
        <f>'5 A data'!I134</f>
        <v>70</v>
      </c>
      <c r="J47">
        <f>'5 A data'!J134</f>
        <v>-0.217</v>
      </c>
      <c r="K47">
        <f>'5 A data'!K134</f>
        <v>-9.0175344686373698E-2</v>
      </c>
      <c r="L47" s="407">
        <f>P44</f>
        <v>100</v>
      </c>
      <c r="M47">
        <f>'5 A data'!L134</f>
        <v>0</v>
      </c>
      <c r="N47" t="str">
        <f>'5 A data'!M134</f>
        <v>B5A0VA</v>
      </c>
      <c r="O47">
        <f>'5 A data'!N134</f>
        <v>0.18640000000000001</v>
      </c>
      <c r="P47">
        <f>'5 A data'!O134</f>
        <v>0.11926416555294587</v>
      </c>
    </row>
    <row r="48" spans="1:16" x14ac:dyDescent="0.2">
      <c r="A48">
        <f>'5 A data'!A135</f>
        <v>135</v>
      </c>
      <c r="B48" t="str">
        <f>'5 A data'!B135</f>
        <v>burden test, 0 ohms, yy ohms off</v>
      </c>
      <c r="C48">
        <f>'5 A data'!C135</f>
        <v>0</v>
      </c>
      <c r="D48">
        <f>'5 A data'!D135</f>
        <v>100</v>
      </c>
      <c r="E48">
        <f>'5 A data'!E135</f>
        <v>-0.14299999999999999</v>
      </c>
      <c r="F48">
        <f>'5 A data'!F135</f>
        <v>4.5</v>
      </c>
      <c r="G48">
        <f>'5 A data'!G135</f>
        <v>0.2</v>
      </c>
      <c r="H48">
        <f>'5 A data'!H135</f>
        <v>0</v>
      </c>
      <c r="I48">
        <f>'5 A data'!I135</f>
        <v>100</v>
      </c>
      <c r="J48">
        <f>'5 A data'!J135</f>
        <v>-2.86E-2</v>
      </c>
      <c r="K48">
        <f>'5 A data'!K135</f>
        <v>2.6179938779914945E-2</v>
      </c>
      <c r="L48" s="407"/>
      <c r="M48">
        <f>'5 A data'!L135</f>
        <v>0</v>
      </c>
      <c r="N48">
        <f>'5 A data'!M135</f>
        <v>0</v>
      </c>
      <c r="O48">
        <f>'5 A data'!N135</f>
        <v>0</v>
      </c>
      <c r="P48">
        <f>'5 A data'!O135</f>
        <v>0</v>
      </c>
    </row>
    <row r="49" spans="1:16" x14ac:dyDescent="0.2">
      <c r="A49">
        <f>'5 A data'!A136</f>
        <v>136</v>
      </c>
      <c r="B49" t="str">
        <f>'5 A data'!B136</f>
        <v>burden test, 0 ohms,yy ohms on</v>
      </c>
      <c r="C49">
        <f>'5 A data'!C136</f>
        <v>0</v>
      </c>
      <c r="D49">
        <f>'5 A data'!D136</f>
        <v>100</v>
      </c>
      <c r="E49">
        <f>'5 A data'!E136</f>
        <v>-0.215</v>
      </c>
      <c r="F49">
        <f>'5 A data'!F136</f>
        <v>-3.2</v>
      </c>
      <c r="G49">
        <f>'5 A data'!G136</f>
        <v>1</v>
      </c>
      <c r="H49">
        <f>'5 A data'!H136</f>
        <v>0</v>
      </c>
      <c r="I49">
        <f>'5 A data'!I136</f>
        <v>100</v>
      </c>
      <c r="J49">
        <f>'5 A data'!J136</f>
        <v>-0.215</v>
      </c>
      <c r="K49">
        <f>'5 A data'!K136</f>
        <v>-9.3084226773030909E-2</v>
      </c>
      <c r="L49" s="407">
        <f>P45</f>
        <v>100</v>
      </c>
      <c r="M49">
        <f>'5 A data'!L136</f>
        <v>0</v>
      </c>
      <c r="N49">
        <f>'5 A data'!M136</f>
        <v>0</v>
      </c>
      <c r="O49">
        <f>'5 A data'!N136</f>
        <v>0</v>
      </c>
      <c r="P49">
        <f>'5 A data'!O136</f>
        <v>0</v>
      </c>
    </row>
    <row r="50" spans="1:16" x14ac:dyDescent="0.2">
      <c r="A50">
        <f>'5 A data'!A137</f>
        <v>137</v>
      </c>
      <c r="B50">
        <f>'5 A data'!B137</f>
        <v>0</v>
      </c>
      <c r="C50">
        <f>'5 A data'!C137</f>
        <v>0</v>
      </c>
      <c r="D50">
        <f>'5 A data'!D137</f>
        <v>0</v>
      </c>
      <c r="E50">
        <f>'5 A data'!E137</f>
        <v>0</v>
      </c>
      <c r="F50">
        <f>'5 A data'!F137</f>
        <v>0</v>
      </c>
      <c r="G50">
        <f>'5 A data'!G137</f>
        <v>0</v>
      </c>
      <c r="H50">
        <f>'5 A data'!H137</f>
        <v>0</v>
      </c>
      <c r="I50">
        <f>'5 A data'!I137</f>
        <v>0</v>
      </c>
      <c r="J50">
        <f>'5 A data'!J137</f>
        <v>0</v>
      </c>
      <c r="K50">
        <f>'5 A data'!K137</f>
        <v>0</v>
      </c>
      <c r="L50" s="407"/>
      <c r="M50">
        <f>'5 A data'!L137</f>
        <v>0</v>
      </c>
      <c r="N50">
        <f>'5 A data'!M137</f>
        <v>0</v>
      </c>
      <c r="O50">
        <f>'5 A data'!N137</f>
        <v>0</v>
      </c>
      <c r="P50">
        <f>'5 A data'!O137</f>
        <v>0</v>
      </c>
    </row>
    <row r="51" spans="1:16" x14ac:dyDescent="0.2">
      <c r="A51">
        <f>'5 A data'!A138</f>
        <v>138</v>
      </c>
      <c r="B51">
        <f>'5 A data'!B138</f>
        <v>0</v>
      </c>
      <c r="C51">
        <f>'5 A data'!C138</f>
        <v>0</v>
      </c>
      <c r="D51">
        <f>'5 A data'!D138</f>
        <v>0</v>
      </c>
      <c r="E51">
        <f>'5 A data'!E138</f>
        <v>0</v>
      </c>
      <c r="F51">
        <f>'5 A data'!F138</f>
        <v>0</v>
      </c>
      <c r="G51">
        <f>'5 A data'!G138</f>
        <v>0</v>
      </c>
      <c r="H51">
        <f>'5 A data'!H138</f>
        <v>0</v>
      </c>
      <c r="I51">
        <f>'5 A data'!I138</f>
        <v>0</v>
      </c>
      <c r="J51">
        <f>'5 A data'!J138</f>
        <v>0</v>
      </c>
      <c r="K51">
        <f>'5 A data'!K138</f>
        <v>0</v>
      </c>
      <c r="L51" s="407"/>
      <c r="M51">
        <f>'5 A data'!L138</f>
        <v>0</v>
      </c>
      <c r="N51" t="str">
        <f>'5 A data'!M138</f>
        <v>Enter resistor value</v>
      </c>
      <c r="O51">
        <f>'5 A data'!N138</f>
        <v>0</v>
      </c>
      <c r="P51">
        <f>'5 A data'!O138</f>
        <v>100</v>
      </c>
    </row>
    <row r="52" spans="1:16" x14ac:dyDescent="0.2">
      <c r="A52">
        <f>'5 A data'!A139</f>
        <v>139</v>
      </c>
      <c r="B52">
        <f>'5 A data'!B139</f>
        <v>42982</v>
      </c>
      <c r="C52" t="str">
        <f>'5 A data'!C139</f>
        <v>7.5VA 0.8 pf</v>
      </c>
      <c r="D52">
        <f>'5 A data'!D139</f>
        <v>0</v>
      </c>
      <c r="E52">
        <f>'5 A data'!E139</f>
        <v>0</v>
      </c>
      <c r="F52">
        <f>'5 A data'!F139</f>
        <v>0</v>
      </c>
      <c r="G52">
        <f>'5 A data'!G139</f>
        <v>0</v>
      </c>
      <c r="H52">
        <f>'5 A data'!H139</f>
        <v>0</v>
      </c>
      <c r="I52">
        <f>'5 A data'!I139</f>
        <v>0</v>
      </c>
      <c r="J52">
        <f>'5 A data'!J139</f>
        <v>0</v>
      </c>
      <c r="K52">
        <f>'5 A data'!K139</f>
        <v>0</v>
      </c>
      <c r="L52" s="407"/>
      <c r="M52">
        <f>'5 A data'!L139</f>
        <v>0</v>
      </c>
      <c r="N52" t="str">
        <f>'5 A data'!M139</f>
        <v>Enter resistor value</v>
      </c>
      <c r="O52">
        <f>'5 A data'!N139</f>
        <v>0</v>
      </c>
      <c r="P52">
        <f>'5 A data'!O139</f>
        <v>100</v>
      </c>
    </row>
    <row r="53" spans="1:16" x14ac:dyDescent="0.2">
      <c r="A53">
        <f>'5 A data'!A140</f>
        <v>140</v>
      </c>
      <c r="B53" t="str">
        <f>'5 A data'!B140</f>
        <v>burden test, xx ohms, yy ohms off</v>
      </c>
      <c r="C53">
        <f>'5 A data'!C140</f>
        <v>0</v>
      </c>
      <c r="D53">
        <f>'5 A data'!D140</f>
        <v>70</v>
      </c>
      <c r="E53">
        <f>'5 A data'!E140</f>
        <v>-0.19600000000000001</v>
      </c>
      <c r="F53">
        <f>'5 A data'!F140</f>
        <v>5.8</v>
      </c>
      <c r="G53">
        <f>'5 A data'!G140</f>
        <v>0.2</v>
      </c>
      <c r="H53">
        <f>'5 A data'!H140</f>
        <v>0</v>
      </c>
      <c r="I53">
        <f>'5 A data'!I140</f>
        <v>70</v>
      </c>
      <c r="J53">
        <f>'5 A data'!J140</f>
        <v>-3.9200000000000006E-2</v>
      </c>
      <c r="K53">
        <f>'5 A data'!K140</f>
        <v>3.3743032205223698E-2</v>
      </c>
      <c r="L53" s="407"/>
      <c r="M53">
        <f>'5 A data'!L140</f>
        <v>0</v>
      </c>
      <c r="N53" t="str">
        <f>'5 A data'!M140</f>
        <v>B5A5.0VA</v>
      </c>
      <c r="O53">
        <f>'5 A data'!N140</f>
        <v>0.27379999999999999</v>
      </c>
      <c r="P53">
        <f>'5 A data'!O140</f>
        <v>0.17627825445142731</v>
      </c>
    </row>
    <row r="54" spans="1:16" x14ac:dyDescent="0.2">
      <c r="A54">
        <f>'5 A data'!A141</f>
        <v>141</v>
      </c>
      <c r="B54" t="str">
        <f>'5 A data'!B141</f>
        <v>burden test, xx ohms, yy ohms on</v>
      </c>
      <c r="C54">
        <f>'5 A data'!C141</f>
        <v>0</v>
      </c>
      <c r="D54">
        <f>'5 A data'!D141</f>
        <v>70</v>
      </c>
      <c r="E54">
        <f>'5 A data'!E141</f>
        <v>-0.313</v>
      </c>
      <c r="F54">
        <f>'5 A data'!F141</f>
        <v>-4.9000000000000004</v>
      </c>
      <c r="G54">
        <f>'5 A data'!G141</f>
        <v>1</v>
      </c>
      <c r="H54">
        <f>'5 A data'!H141</f>
        <v>0</v>
      </c>
      <c r="I54">
        <f>'5 A data'!I141</f>
        <v>70</v>
      </c>
      <c r="J54">
        <f>'5 A data'!J141</f>
        <v>-0.313</v>
      </c>
      <c r="K54">
        <f>'5 A data'!K141</f>
        <v>-0.1425352222462036</v>
      </c>
      <c r="L54" s="407">
        <f>P51</f>
        <v>100</v>
      </c>
      <c r="M54">
        <f>'5 A data'!L141</f>
        <v>0</v>
      </c>
      <c r="N54" t="str">
        <f>'5 A data'!M141</f>
        <v>B5A0VA</v>
      </c>
      <c r="O54">
        <f>'5 A data'!N141</f>
        <v>0.27300000000000002</v>
      </c>
      <c r="P54">
        <f>'5 A data'!O141</f>
        <v>0.17627825445142731</v>
      </c>
    </row>
    <row r="55" spans="1:16" x14ac:dyDescent="0.2">
      <c r="A55">
        <f>'5 A data'!A142</f>
        <v>142</v>
      </c>
      <c r="B55" t="str">
        <f>'5 A data'!B142</f>
        <v>burden test, 0 ohms, yy ohms off</v>
      </c>
      <c r="C55">
        <f>'5 A data'!C142</f>
        <v>0</v>
      </c>
      <c r="D55">
        <f>'5 A data'!D142</f>
        <v>100</v>
      </c>
      <c r="E55">
        <f>'5 A data'!E142</f>
        <v>-0.19</v>
      </c>
      <c r="F55">
        <f>'5 A data'!F142</f>
        <v>5.3</v>
      </c>
      <c r="G55">
        <f>'5 A data'!G142</f>
        <v>0.2</v>
      </c>
      <c r="H55">
        <f>'5 A data'!H142</f>
        <v>0</v>
      </c>
      <c r="I55">
        <f>'5 A data'!I142</f>
        <v>100</v>
      </c>
      <c r="J55">
        <f>'5 A data'!J142</f>
        <v>-3.8000000000000006E-2</v>
      </c>
      <c r="K55">
        <f>'5 A data'!K142</f>
        <v>3.0834150118566491E-2</v>
      </c>
      <c r="L55" s="407"/>
      <c r="M55">
        <f>'5 A data'!L142</f>
        <v>0</v>
      </c>
      <c r="N55">
        <f>'5 A data'!M142</f>
        <v>0</v>
      </c>
      <c r="O55">
        <f>'5 A data'!N142</f>
        <v>0</v>
      </c>
      <c r="P55">
        <f>'5 A data'!O142</f>
        <v>0</v>
      </c>
    </row>
    <row r="56" spans="1:16" x14ac:dyDescent="0.2">
      <c r="A56">
        <f>'5 A data'!A143</f>
        <v>143</v>
      </c>
      <c r="B56" t="str">
        <f>'5 A data'!B143</f>
        <v>burden test, 0 ohms,yy ohms on</v>
      </c>
      <c r="C56">
        <f>'5 A data'!C143</f>
        <v>0</v>
      </c>
      <c r="D56">
        <f>'5 A data'!D143</f>
        <v>100</v>
      </c>
      <c r="E56">
        <f>'5 A data'!E143</f>
        <v>-0.311</v>
      </c>
      <c r="F56">
        <f>'5 A data'!F143</f>
        <v>-5</v>
      </c>
      <c r="G56">
        <f>'5 A data'!G143</f>
        <v>1</v>
      </c>
      <c r="H56">
        <f>'5 A data'!H143</f>
        <v>0</v>
      </c>
      <c r="I56">
        <f>'5 A data'!I143</f>
        <v>100</v>
      </c>
      <c r="J56">
        <f>'5 A data'!J143</f>
        <v>-0.311</v>
      </c>
      <c r="K56">
        <f>'5 A data'!K143</f>
        <v>-0.14544410433286079</v>
      </c>
      <c r="L56" s="407">
        <f>P52</f>
        <v>100</v>
      </c>
      <c r="M56">
        <f>'5 A data'!L143</f>
        <v>0</v>
      </c>
      <c r="N56">
        <f>'5 A data'!M143</f>
        <v>0</v>
      </c>
      <c r="O56">
        <f>'5 A data'!N143</f>
        <v>0</v>
      </c>
      <c r="P56">
        <f>'5 A data'!O143</f>
        <v>0</v>
      </c>
    </row>
    <row r="57" spans="1:16" x14ac:dyDescent="0.2">
      <c r="A57">
        <f>'5 A data'!A144</f>
        <v>144</v>
      </c>
      <c r="B57">
        <f>'5 A data'!B144</f>
        <v>0</v>
      </c>
      <c r="C57">
        <f>'5 A data'!C144</f>
        <v>0</v>
      </c>
      <c r="D57">
        <f>'5 A data'!D144</f>
        <v>0</v>
      </c>
      <c r="E57">
        <f>'5 A data'!E144</f>
        <v>0</v>
      </c>
      <c r="F57">
        <f>'5 A data'!F144</f>
        <v>0</v>
      </c>
      <c r="G57">
        <f>'5 A data'!G144</f>
        <v>0</v>
      </c>
      <c r="H57">
        <f>'5 A data'!H144</f>
        <v>0</v>
      </c>
      <c r="I57">
        <f>'5 A data'!I144</f>
        <v>0</v>
      </c>
      <c r="J57">
        <f>'5 A data'!J144</f>
        <v>0</v>
      </c>
      <c r="K57">
        <f>'5 A data'!K144</f>
        <v>0</v>
      </c>
      <c r="L57" s="407"/>
      <c r="M57">
        <f>'5 A data'!L144</f>
        <v>0</v>
      </c>
      <c r="N57">
        <f>'5 A data'!M144</f>
        <v>0</v>
      </c>
      <c r="O57">
        <f>'5 A data'!N144</f>
        <v>0</v>
      </c>
      <c r="P57">
        <f>'5 A data'!O144</f>
        <v>0</v>
      </c>
    </row>
    <row r="58" spans="1:16" x14ac:dyDescent="0.2">
      <c r="A58">
        <f>'5 A data'!A145</f>
        <v>145</v>
      </c>
      <c r="B58">
        <f>'5 A data'!B145</f>
        <v>0</v>
      </c>
      <c r="C58">
        <f>'5 A data'!C145</f>
        <v>0</v>
      </c>
      <c r="D58">
        <f>'5 A data'!D145</f>
        <v>0</v>
      </c>
      <c r="E58">
        <f>'5 A data'!E145</f>
        <v>0</v>
      </c>
      <c r="F58">
        <f>'5 A data'!F145</f>
        <v>0</v>
      </c>
      <c r="G58">
        <f>'5 A data'!G145</f>
        <v>0</v>
      </c>
      <c r="H58">
        <f>'5 A data'!H145</f>
        <v>0</v>
      </c>
      <c r="I58">
        <f>'5 A data'!I145</f>
        <v>0</v>
      </c>
      <c r="J58">
        <f>'5 A data'!J145</f>
        <v>0</v>
      </c>
      <c r="K58">
        <f>'5 A data'!K145</f>
        <v>0</v>
      </c>
      <c r="L58" s="407"/>
      <c r="M58">
        <f>'5 A data'!L145</f>
        <v>0</v>
      </c>
      <c r="N58" t="str">
        <f>'5 A data'!M145</f>
        <v>Enter resistor value</v>
      </c>
      <c r="O58">
        <f>'5 A data'!N145</f>
        <v>0</v>
      </c>
      <c r="P58">
        <f>'5 A data'!O145</f>
        <v>100</v>
      </c>
    </row>
    <row r="59" spans="1:16" x14ac:dyDescent="0.2">
      <c r="A59">
        <f>'5 A data'!A146</f>
        <v>146</v>
      </c>
      <c r="B59">
        <f>'5 A data'!B146</f>
        <v>42982</v>
      </c>
      <c r="C59" t="str">
        <f>'5 A data'!C146</f>
        <v>3.75VA unity</v>
      </c>
      <c r="D59">
        <f>'5 A data'!D146</f>
        <v>0</v>
      </c>
      <c r="E59">
        <f>'5 A data'!E146</f>
        <v>0</v>
      </c>
      <c r="F59">
        <f>'5 A data'!F146</f>
        <v>0</v>
      </c>
      <c r="G59">
        <f>'5 A data'!G146</f>
        <v>0</v>
      </c>
      <c r="H59">
        <f>'5 A data'!H146</f>
        <v>0</v>
      </c>
      <c r="I59">
        <f>'5 A data'!I146</f>
        <v>0</v>
      </c>
      <c r="J59">
        <f>'5 A data'!J146</f>
        <v>0</v>
      </c>
      <c r="K59">
        <f>'5 A data'!K146</f>
        <v>0</v>
      </c>
      <c r="L59" s="407"/>
      <c r="M59">
        <f>'5 A data'!L146</f>
        <v>0</v>
      </c>
      <c r="N59" t="str">
        <f>'5 A data'!M146</f>
        <v>Enter resistor value</v>
      </c>
      <c r="O59">
        <f>'5 A data'!N146</f>
        <v>0</v>
      </c>
      <c r="P59">
        <f>'5 A data'!O146</f>
        <v>100</v>
      </c>
    </row>
    <row r="60" spans="1:16" x14ac:dyDescent="0.2">
      <c r="A60">
        <f>'5 A data'!A147</f>
        <v>147</v>
      </c>
      <c r="B60" t="str">
        <f>'5 A data'!B147</f>
        <v>burden test, xx ohms, yy ohms off</v>
      </c>
      <c r="C60">
        <f>'5 A data'!C147</f>
        <v>0</v>
      </c>
      <c r="D60">
        <f>'5 A data'!D147</f>
        <v>70</v>
      </c>
      <c r="E60">
        <f>'5 A data'!E147</f>
        <v>-6.5000000000000002E-2</v>
      </c>
      <c r="F60">
        <f>'5 A data'!F147</f>
        <v>4.5</v>
      </c>
      <c r="G60">
        <f>'5 A data'!G147</f>
        <v>0.2</v>
      </c>
      <c r="H60">
        <f>'5 A data'!H147</f>
        <v>0</v>
      </c>
      <c r="I60">
        <f>'5 A data'!I147</f>
        <v>70</v>
      </c>
      <c r="J60">
        <f>'5 A data'!J147</f>
        <v>-1.3000000000000001E-2</v>
      </c>
      <c r="K60">
        <f>'5 A data'!K147</f>
        <v>2.6179938779914945E-2</v>
      </c>
      <c r="L60" s="407"/>
      <c r="M60">
        <f>'5 A data'!L147</f>
        <v>0</v>
      </c>
      <c r="N60" t="str">
        <f>'5 A data'!M147</f>
        <v>B5A5.0VA</v>
      </c>
      <c r="O60">
        <f>'5 A data'!N147</f>
        <v>0.17099999999999999</v>
      </c>
      <c r="P60">
        <f>'5 A data'!O147</f>
        <v>8.7266462599716495E-3</v>
      </c>
    </row>
    <row r="61" spans="1:16" x14ac:dyDescent="0.2">
      <c r="A61">
        <f>'5 A data'!A148</f>
        <v>148</v>
      </c>
      <c r="B61" t="str">
        <f>'5 A data'!B148</f>
        <v>burden test, xx ohms, yy ohms on</v>
      </c>
      <c r="C61">
        <f>'5 A data'!C148</f>
        <v>0</v>
      </c>
      <c r="D61">
        <f>'5 A data'!D148</f>
        <v>70</v>
      </c>
      <c r="E61">
        <f>'5 A data'!E148</f>
        <v>-0.184</v>
      </c>
      <c r="F61">
        <f>'5 A data'!F148</f>
        <v>0.6</v>
      </c>
      <c r="G61">
        <f>'5 A data'!G148</f>
        <v>1</v>
      </c>
      <c r="H61">
        <f>'5 A data'!H148</f>
        <v>0</v>
      </c>
      <c r="I61">
        <f>'5 A data'!I148</f>
        <v>70</v>
      </c>
      <c r="J61">
        <f>'5 A data'!J148</f>
        <v>-0.184</v>
      </c>
      <c r="K61">
        <f>'5 A data'!K148</f>
        <v>1.7453292519943295E-2</v>
      </c>
      <c r="L61" s="407">
        <f>P58</f>
        <v>100</v>
      </c>
      <c r="M61">
        <f>'5 A data'!L148</f>
        <v>0</v>
      </c>
      <c r="N61" t="str">
        <f>'5 A data'!M148</f>
        <v>B5A0VA</v>
      </c>
      <c r="O61">
        <f>'5 A data'!N148</f>
        <v>0.1726</v>
      </c>
      <c r="P61">
        <f>'5 A data'!O148</f>
        <v>8.4357580513059211E-3</v>
      </c>
    </row>
    <row r="62" spans="1:16" x14ac:dyDescent="0.2">
      <c r="A62">
        <f>'5 A data'!A149</f>
        <v>149</v>
      </c>
      <c r="B62" t="str">
        <f>'5 A data'!B149</f>
        <v>burden test, 0 ohms, yy ohms off</v>
      </c>
      <c r="C62">
        <f>'5 A data'!C149</f>
        <v>0</v>
      </c>
      <c r="D62">
        <f>'5 A data'!D149</f>
        <v>100</v>
      </c>
      <c r="E62">
        <f>'5 A data'!E149</f>
        <v>-6.7000000000000004E-2</v>
      </c>
      <c r="F62">
        <f>'5 A data'!F149</f>
        <v>4.0999999999999996</v>
      </c>
      <c r="G62">
        <f>'5 A data'!G149</f>
        <v>0.2</v>
      </c>
      <c r="H62">
        <f>'5 A data'!H149</f>
        <v>0</v>
      </c>
      <c r="I62">
        <f>'5 A data'!I149</f>
        <v>100</v>
      </c>
      <c r="J62">
        <f>'5 A data'!J149</f>
        <v>-1.3400000000000002E-2</v>
      </c>
      <c r="K62">
        <f>'5 A data'!K149</f>
        <v>2.3852833110589167E-2</v>
      </c>
      <c r="L62" s="407"/>
      <c r="M62">
        <f>'5 A data'!L149</f>
        <v>0</v>
      </c>
      <c r="N62">
        <f>'5 A data'!M149</f>
        <v>0</v>
      </c>
      <c r="O62">
        <f>'5 A data'!N149</f>
        <v>0</v>
      </c>
      <c r="P62">
        <f>'5 A data'!O149</f>
        <v>0</v>
      </c>
    </row>
    <row r="63" spans="1:16" x14ac:dyDescent="0.2">
      <c r="A63">
        <f>'5 A data'!A150</f>
        <v>150</v>
      </c>
      <c r="B63" t="str">
        <f>'5 A data'!B150</f>
        <v>burden test, 0 ohms,yy ohms on</v>
      </c>
      <c r="C63">
        <f>'5 A data'!C150</f>
        <v>0</v>
      </c>
      <c r="D63">
        <f>'5 A data'!D150</f>
        <v>100</v>
      </c>
      <c r="E63">
        <f>'5 A data'!E150</f>
        <v>-0.186</v>
      </c>
      <c r="F63">
        <f>'5 A data'!F150</f>
        <v>0.53</v>
      </c>
      <c r="G63">
        <f>'5 A data'!G150</f>
        <v>1</v>
      </c>
      <c r="H63">
        <f>'5 A data'!H150</f>
        <v>0</v>
      </c>
      <c r="I63">
        <f>'5 A data'!I150</f>
        <v>100</v>
      </c>
      <c r="J63">
        <f>'5 A data'!J150</f>
        <v>-0.186</v>
      </c>
      <c r="K63">
        <f>'5 A data'!K150</f>
        <v>1.5417075059283246E-2</v>
      </c>
      <c r="L63" s="407">
        <f>P59</f>
        <v>100</v>
      </c>
      <c r="M63">
        <f>'5 A data'!L150</f>
        <v>0</v>
      </c>
      <c r="N63">
        <f>'5 A data'!M150</f>
        <v>0</v>
      </c>
      <c r="O63">
        <f>'5 A data'!N150</f>
        <v>0</v>
      </c>
      <c r="P63">
        <f>'5 A data'!O150</f>
        <v>0</v>
      </c>
    </row>
    <row r="64" spans="1:16" x14ac:dyDescent="0.2">
      <c r="A64">
        <f>'5 A data'!A151</f>
        <v>151</v>
      </c>
      <c r="B64">
        <f>'5 A data'!B151</f>
        <v>0</v>
      </c>
      <c r="C64">
        <f>'5 A data'!C151</f>
        <v>0</v>
      </c>
      <c r="D64">
        <f>'5 A data'!D151</f>
        <v>0</v>
      </c>
      <c r="E64">
        <f>'5 A data'!E151</f>
        <v>0</v>
      </c>
      <c r="F64">
        <f>'5 A data'!F151</f>
        <v>0</v>
      </c>
      <c r="G64">
        <f>'5 A data'!G151</f>
        <v>0</v>
      </c>
      <c r="H64">
        <f>'5 A data'!H151</f>
        <v>0</v>
      </c>
      <c r="I64">
        <f>'5 A data'!I151</f>
        <v>0</v>
      </c>
      <c r="J64">
        <f>'5 A data'!J151</f>
        <v>0</v>
      </c>
      <c r="K64">
        <f>'5 A data'!K151</f>
        <v>0</v>
      </c>
      <c r="L64" s="407"/>
      <c r="M64">
        <f>'5 A data'!L151</f>
        <v>0</v>
      </c>
      <c r="N64">
        <f>'5 A data'!M151</f>
        <v>0</v>
      </c>
      <c r="O64">
        <f>'5 A data'!N151</f>
        <v>0</v>
      </c>
      <c r="P64">
        <f>'5 A data'!O151</f>
        <v>0</v>
      </c>
    </row>
    <row r="65" spans="1:16" x14ac:dyDescent="0.2">
      <c r="A65">
        <f>'5 A data'!A152</f>
        <v>152</v>
      </c>
      <c r="B65">
        <f>'5 A data'!B152</f>
        <v>0</v>
      </c>
      <c r="C65">
        <f>'5 A data'!C152</f>
        <v>0</v>
      </c>
      <c r="D65">
        <f>'5 A data'!D152</f>
        <v>0</v>
      </c>
      <c r="E65">
        <f>'5 A data'!E152</f>
        <v>0</v>
      </c>
      <c r="F65">
        <f>'5 A data'!F152</f>
        <v>0</v>
      </c>
      <c r="G65">
        <f>'5 A data'!G152</f>
        <v>0</v>
      </c>
      <c r="H65">
        <f>'5 A data'!H152</f>
        <v>0</v>
      </c>
      <c r="I65">
        <f>'5 A data'!I152</f>
        <v>0</v>
      </c>
      <c r="J65">
        <f>'5 A data'!J152</f>
        <v>0</v>
      </c>
      <c r="K65">
        <f>'5 A data'!K152</f>
        <v>0</v>
      </c>
      <c r="L65" s="407"/>
      <c r="M65">
        <f>'5 A data'!L152</f>
        <v>0</v>
      </c>
      <c r="N65" t="str">
        <f>'5 A data'!M152</f>
        <v>Enter resistor value</v>
      </c>
      <c r="O65">
        <f>'5 A data'!N152</f>
        <v>0</v>
      </c>
      <c r="P65">
        <f>'5 A data'!O152</f>
        <v>100</v>
      </c>
    </row>
    <row r="66" spans="1:16" x14ac:dyDescent="0.2">
      <c r="A66">
        <f>'5 A data'!A153</f>
        <v>153</v>
      </c>
      <c r="B66">
        <f>'5 A data'!B153</f>
        <v>42982</v>
      </c>
      <c r="C66" t="str">
        <f>'5 A data'!C153</f>
        <v>No External Burden.</v>
      </c>
      <c r="D66">
        <f>'5 A data'!D153</f>
        <v>0</v>
      </c>
      <c r="E66">
        <f>'5 A data'!E153</f>
        <v>0</v>
      </c>
      <c r="F66">
        <f>'5 A data'!F153</f>
        <v>0</v>
      </c>
      <c r="G66">
        <f>'5 A data'!G153</f>
        <v>0</v>
      </c>
      <c r="H66">
        <f>'5 A data'!H153</f>
        <v>0</v>
      </c>
      <c r="I66">
        <f>'5 A data'!I153</f>
        <v>0</v>
      </c>
      <c r="J66">
        <f>'5 A data'!J153</f>
        <v>0</v>
      </c>
      <c r="K66">
        <f>'5 A data'!K153</f>
        <v>0</v>
      </c>
      <c r="L66" s="407"/>
      <c r="M66">
        <f>'5 A data'!L153</f>
        <v>0</v>
      </c>
      <c r="N66" t="str">
        <f>'5 A data'!M153</f>
        <v>Enter resistor value</v>
      </c>
      <c r="O66">
        <f>'5 A data'!N153</f>
        <v>0</v>
      </c>
      <c r="P66">
        <f>'5 A data'!O153</f>
        <v>100</v>
      </c>
    </row>
    <row r="67" spans="1:16" x14ac:dyDescent="0.2">
      <c r="A67">
        <f>'5 A data'!A154</f>
        <v>154</v>
      </c>
      <c r="B67" t="str">
        <f>'5 A data'!B154</f>
        <v>burden test, xx ohms, yy ohms off</v>
      </c>
      <c r="C67">
        <f>'5 A data'!C154</f>
        <v>0</v>
      </c>
      <c r="D67">
        <f>'5 A data'!D154</f>
        <v>70</v>
      </c>
      <c r="E67">
        <f>'5 A data'!E154</f>
        <v>-6.4000000000000001E-2</v>
      </c>
      <c r="F67">
        <f>'5 A data'!F154</f>
        <v>4.5999999999999996</v>
      </c>
      <c r="G67">
        <f>'5 A data'!G154</f>
        <v>0.1</v>
      </c>
      <c r="H67">
        <f>'5 A data'!H154</f>
        <v>0</v>
      </c>
      <c r="I67">
        <f>'5 A data'!I154</f>
        <v>70</v>
      </c>
      <c r="J67">
        <f>'5 A data'!J154</f>
        <v>-6.4000000000000003E-3</v>
      </c>
      <c r="K67">
        <f>'5 A data'!K154</f>
        <v>1.3380857598623192E-2</v>
      </c>
      <c r="L67" s="407"/>
      <c r="M67">
        <f>'5 A data'!L154</f>
        <v>0</v>
      </c>
      <c r="N67" t="str">
        <f>'5 A data'!M154</f>
        <v>B5A5.0VA</v>
      </c>
      <c r="O67">
        <f>'5 A data'!N154</f>
        <v>2.2200000000000001E-2</v>
      </c>
      <c r="P67">
        <f>'5 A data'!O154</f>
        <v>1.1635528346628839E-3</v>
      </c>
    </row>
    <row r="68" spans="1:16" x14ac:dyDescent="0.2">
      <c r="A68">
        <f>'5 A data'!A155</f>
        <v>155</v>
      </c>
      <c r="B68" t="str">
        <f>'5 A data'!B155</f>
        <v>burden test, xx ohms, yy ohms on</v>
      </c>
      <c r="C68">
        <f>'5 A data'!C155</f>
        <v>0</v>
      </c>
      <c r="D68">
        <f>'5 A data'!D155</f>
        <v>70</v>
      </c>
      <c r="E68">
        <f>'5 A data'!E155</f>
        <v>-0.28599999999999998</v>
      </c>
      <c r="F68">
        <f>'5 A data'!F155</f>
        <v>4.2</v>
      </c>
      <c r="G68">
        <f>'5 A data'!G155</f>
        <v>0.1</v>
      </c>
      <c r="H68">
        <f>'5 A data'!H155</f>
        <v>0</v>
      </c>
      <c r="I68">
        <f>'5 A data'!I155</f>
        <v>70</v>
      </c>
      <c r="J68">
        <f>'5 A data'!J155</f>
        <v>-2.86E-2</v>
      </c>
      <c r="K68">
        <f>'5 A data'!K155</f>
        <v>1.2217304763960308E-2</v>
      </c>
      <c r="L68" s="407">
        <f>P65</f>
        <v>100</v>
      </c>
      <c r="M68">
        <f>'5 A data'!L155</f>
        <v>0</v>
      </c>
      <c r="N68" t="str">
        <f>'5 A data'!M155</f>
        <v>B5A0VA</v>
      </c>
      <c r="O68">
        <f>'5 A data'!N155</f>
        <v>2.2199999999999998E-2</v>
      </c>
      <c r="P68">
        <f>'5 A data'!O155</f>
        <v>1.745329251994332E-3</v>
      </c>
    </row>
    <row r="69" spans="1:16" x14ac:dyDescent="0.2">
      <c r="A69">
        <f>'5 A data'!A156</f>
        <v>156</v>
      </c>
      <c r="B69" t="str">
        <f>'5 A data'!B156</f>
        <v>burden test, 0 ohms, yy ohms off</v>
      </c>
      <c r="C69">
        <f>'5 A data'!C156</f>
        <v>0</v>
      </c>
      <c r="D69">
        <f>'5 A data'!D156</f>
        <v>100</v>
      </c>
      <c r="E69">
        <f>'5 A data'!E156</f>
        <v>-6.5000000000000002E-2</v>
      </c>
      <c r="F69">
        <f>'5 A data'!F156</f>
        <v>4.4000000000000004</v>
      </c>
      <c r="G69">
        <f>'5 A data'!G156</f>
        <v>0.1</v>
      </c>
      <c r="H69">
        <f>'5 A data'!H156</f>
        <v>0</v>
      </c>
      <c r="I69">
        <f>'5 A data'!I156</f>
        <v>100</v>
      </c>
      <c r="J69">
        <f>'5 A data'!J156</f>
        <v>-6.5000000000000006E-3</v>
      </c>
      <c r="K69">
        <f>'5 A data'!K156</f>
        <v>1.2799081181291751E-2</v>
      </c>
      <c r="L69" s="407"/>
      <c r="M69">
        <f>'5 A data'!L156</f>
        <v>0</v>
      </c>
      <c r="N69">
        <f>'5 A data'!M156</f>
        <v>0</v>
      </c>
      <c r="O69">
        <f>'5 A data'!N156</f>
        <v>0</v>
      </c>
      <c r="P69">
        <f>'5 A data'!O156</f>
        <v>0</v>
      </c>
    </row>
    <row r="70" spans="1:16" x14ac:dyDescent="0.2">
      <c r="A70">
        <f>'5 A data'!A157</f>
        <v>157</v>
      </c>
      <c r="B70" t="str">
        <f>'5 A data'!B157</f>
        <v>burden test, 0 ohms,yy ohms on</v>
      </c>
      <c r="C70">
        <f>'5 A data'!C157</f>
        <v>0</v>
      </c>
      <c r="D70">
        <f>'5 A data'!D157</f>
        <v>100</v>
      </c>
      <c r="E70">
        <f>'5 A data'!E157</f>
        <v>-0.28699999999999998</v>
      </c>
      <c r="F70">
        <f>'5 A data'!F157</f>
        <v>3.8</v>
      </c>
      <c r="G70">
        <f>'5 A data'!G157</f>
        <v>0.1</v>
      </c>
      <c r="H70">
        <f>'5 A data'!H157</f>
        <v>0</v>
      </c>
      <c r="I70">
        <f>'5 A data'!I157</f>
        <v>100</v>
      </c>
      <c r="J70">
        <f>'5 A data'!J157</f>
        <v>-2.87E-2</v>
      </c>
      <c r="K70">
        <f>'5 A data'!K157</f>
        <v>1.1053751929297419E-2</v>
      </c>
      <c r="L70" s="407">
        <f>P66</f>
        <v>100</v>
      </c>
      <c r="M70">
        <f>'5 A data'!L157</f>
        <v>0</v>
      </c>
      <c r="N70">
        <f>'5 A data'!M157</f>
        <v>0</v>
      </c>
      <c r="O70">
        <f>'5 A data'!N157</f>
        <v>0</v>
      </c>
      <c r="P70">
        <f>'5 A data'!O157</f>
        <v>0</v>
      </c>
    </row>
    <row r="71" spans="1:16" x14ac:dyDescent="0.2">
      <c r="A71">
        <f>'5 A data'!A158</f>
        <v>158</v>
      </c>
      <c r="B71">
        <f>'5 A data'!B158</f>
        <v>0</v>
      </c>
      <c r="C71">
        <f>'5 A data'!C158</f>
        <v>0</v>
      </c>
      <c r="D71">
        <f>'5 A data'!D158</f>
        <v>0</v>
      </c>
      <c r="E71">
        <f>'5 A data'!E158</f>
        <v>0</v>
      </c>
      <c r="F71">
        <f>'5 A data'!F158</f>
        <v>0</v>
      </c>
      <c r="G71">
        <f>'5 A data'!G158</f>
        <v>0</v>
      </c>
      <c r="H71">
        <f>'5 A data'!H158</f>
        <v>0</v>
      </c>
      <c r="I71">
        <f>'5 A data'!I158</f>
        <v>0</v>
      </c>
      <c r="J71">
        <f>'5 A data'!J158</f>
        <v>0</v>
      </c>
      <c r="K71">
        <f>'5 A data'!K158</f>
        <v>0</v>
      </c>
      <c r="L71" s="407"/>
      <c r="M71">
        <f>'5 A data'!L158</f>
        <v>0</v>
      </c>
      <c r="N71">
        <f>'5 A data'!M158</f>
        <v>0</v>
      </c>
      <c r="O71">
        <f>'5 A data'!N158</f>
        <v>0</v>
      </c>
      <c r="P71">
        <f>'5 A data'!O158</f>
        <v>0</v>
      </c>
    </row>
    <row r="72" spans="1:16" x14ac:dyDescent="0.2">
      <c r="A72">
        <f>'5 A data'!A159</f>
        <v>159</v>
      </c>
      <c r="B72">
        <f>'5 A data'!B159</f>
        <v>0</v>
      </c>
      <c r="C72">
        <f>'5 A data'!C159</f>
        <v>0</v>
      </c>
      <c r="D72">
        <f>'5 A data'!D159</f>
        <v>0</v>
      </c>
      <c r="E72">
        <f>'5 A data'!E159</f>
        <v>0</v>
      </c>
      <c r="F72">
        <f>'5 A data'!F159</f>
        <v>0</v>
      </c>
      <c r="G72">
        <f>'5 A data'!G159</f>
        <v>0</v>
      </c>
      <c r="H72">
        <f>'5 A data'!H159</f>
        <v>0</v>
      </c>
      <c r="I72">
        <f>'5 A data'!I159</f>
        <v>0</v>
      </c>
      <c r="J72">
        <f>'5 A data'!J159</f>
        <v>0</v>
      </c>
      <c r="K72">
        <f>'5 A data'!K159</f>
        <v>0</v>
      </c>
      <c r="L72" s="407"/>
      <c r="M72">
        <f>'5 A data'!L159</f>
        <v>0</v>
      </c>
      <c r="N72" t="str">
        <f>'5 A data'!M159</f>
        <v>Enter resistor value</v>
      </c>
      <c r="O72">
        <f>'5 A data'!N159</f>
        <v>0</v>
      </c>
      <c r="P72">
        <f>'5 A data'!O159</f>
        <v>10</v>
      </c>
    </row>
    <row r="73" spans="1:16" x14ac:dyDescent="0.2">
      <c r="A73">
        <f>'5 A data'!A160</f>
        <v>160</v>
      </c>
      <c r="B73">
        <f>'5 A data'!B160</f>
        <v>42983</v>
      </c>
      <c r="C73" t="str">
        <f>'5 A data'!C160</f>
        <v>No External Burden.</v>
      </c>
      <c r="D73">
        <f>'5 A data'!D160</f>
        <v>0</v>
      </c>
      <c r="E73">
        <f>'5 A data'!E160</f>
        <v>0</v>
      </c>
      <c r="F73">
        <f>'5 A data'!F160</f>
        <v>0</v>
      </c>
      <c r="G73">
        <f>'5 A data'!G160</f>
        <v>0</v>
      </c>
      <c r="H73">
        <f>'5 A data'!H160</f>
        <v>0</v>
      </c>
      <c r="I73">
        <f>'5 A data'!I160</f>
        <v>0</v>
      </c>
      <c r="J73">
        <f>'5 A data'!J160</f>
        <v>0</v>
      </c>
      <c r="K73">
        <f>'5 A data'!K160</f>
        <v>0</v>
      </c>
      <c r="L73" s="407"/>
      <c r="M73">
        <f>'5 A data'!L160</f>
        <v>0</v>
      </c>
      <c r="N73" t="str">
        <f>'5 A data'!M160</f>
        <v>Enter resistor value</v>
      </c>
      <c r="O73">
        <f>'5 A data'!N160</f>
        <v>0</v>
      </c>
      <c r="P73">
        <f>'5 A data'!O160</f>
        <v>10</v>
      </c>
    </row>
    <row r="74" spans="1:16" x14ac:dyDescent="0.2">
      <c r="A74">
        <f>'5 A data'!A161</f>
        <v>161</v>
      </c>
      <c r="B74" t="str">
        <f>'5 A data'!B161</f>
        <v>burden test, xx ohms, yy ohms off</v>
      </c>
      <c r="C74">
        <f>'5 A data'!C161</f>
        <v>0</v>
      </c>
      <c r="D74">
        <f>'5 A data'!D161</f>
        <v>70</v>
      </c>
      <c r="E74">
        <f>'5 A data'!E161</f>
        <v>-6.4000000000000001E-2</v>
      </c>
      <c r="F74">
        <f>'5 A data'!F161</f>
        <v>4.5999999999999996</v>
      </c>
      <c r="G74">
        <f>'5 A data'!G161</f>
        <v>0.1</v>
      </c>
      <c r="H74">
        <f>'5 A data'!H161</f>
        <v>0</v>
      </c>
      <c r="I74">
        <f>'5 A data'!I161</f>
        <v>70</v>
      </c>
      <c r="J74">
        <f>'5 A data'!J161</f>
        <v>-6.4000000000000003E-3</v>
      </c>
      <c r="K74">
        <f>'5 A data'!K161</f>
        <v>1.3380857598623192E-2</v>
      </c>
      <c r="L74" s="407"/>
      <c r="M74">
        <f>'5 A data'!L161</f>
        <v>0</v>
      </c>
      <c r="N74" t="str">
        <f>'5 A data'!M161</f>
        <v>B5A5.0VA</v>
      </c>
      <c r="O74">
        <f>'5 A data'!N161</f>
        <v>2.196E-2</v>
      </c>
      <c r="P74">
        <f>'5 A data'!O161</f>
        <v>3.0834150118566488E-3</v>
      </c>
    </row>
    <row r="75" spans="1:16" x14ac:dyDescent="0.2">
      <c r="A75">
        <f>'5 A data'!A162</f>
        <v>162</v>
      </c>
      <c r="B75" t="str">
        <f>'5 A data'!B162</f>
        <v>burden test, xx ohms, yy ohms on</v>
      </c>
      <c r="C75">
        <f>'5 A data'!C162</f>
        <v>0</v>
      </c>
      <c r="D75">
        <f>'5 A data'!D162</f>
        <v>70</v>
      </c>
      <c r="E75">
        <f>'5 A data'!E162</f>
        <v>-0.22600000000000001</v>
      </c>
      <c r="F75">
        <f>'5 A data'!F162</f>
        <v>-0.6</v>
      </c>
      <c r="G75">
        <f>'5 A data'!G162</f>
        <v>1</v>
      </c>
      <c r="H75">
        <f>'5 A data'!H162</f>
        <v>0</v>
      </c>
      <c r="I75">
        <f>'5 A data'!I162</f>
        <v>70</v>
      </c>
      <c r="J75">
        <f>'5 A data'!J162</f>
        <v>-0.22600000000000001</v>
      </c>
      <c r="K75">
        <f>'5 A data'!K162</f>
        <v>-1.7453292519943295E-2</v>
      </c>
      <c r="L75" s="407">
        <f>P72</f>
        <v>10</v>
      </c>
      <c r="M75">
        <f>'5 A data'!L162</f>
        <v>0</v>
      </c>
      <c r="N75" t="str">
        <f>'5 A data'!M162</f>
        <v>B5A0VA</v>
      </c>
      <c r="O75">
        <f>'5 A data'!N162</f>
        <v>2.2040000000000001E-2</v>
      </c>
      <c r="P75">
        <f>'5 A data'!O162</f>
        <v>2.4143721319254893E-3</v>
      </c>
    </row>
    <row r="76" spans="1:16" x14ac:dyDescent="0.2">
      <c r="A76">
        <f>'5 A data'!A163</f>
        <v>163</v>
      </c>
      <c r="B76" t="str">
        <f>'5 A data'!B163</f>
        <v>burden test, 0 ohms, yy ohms off</v>
      </c>
      <c r="C76">
        <f>'5 A data'!C163</f>
        <v>0</v>
      </c>
      <c r="D76">
        <f>'5 A data'!D163</f>
        <v>100</v>
      </c>
      <c r="E76">
        <f>'5 A data'!E163</f>
        <v>-6.6000000000000003E-2</v>
      </c>
      <c r="F76">
        <f>'5 A data'!F163</f>
        <v>4.3</v>
      </c>
      <c r="G76">
        <f>'5 A data'!G163</f>
        <v>0.1</v>
      </c>
      <c r="H76">
        <f>'5 A data'!H163</f>
        <v>0</v>
      </c>
      <c r="I76">
        <f>'5 A data'!I163</f>
        <v>100</v>
      </c>
      <c r="J76">
        <f>'5 A data'!J163</f>
        <v>-6.6000000000000008E-3</v>
      </c>
      <c r="K76">
        <f>'5 A data'!K163</f>
        <v>1.2508192972626028E-2</v>
      </c>
      <c r="L76" s="407"/>
      <c r="M76">
        <f>'5 A data'!L163</f>
        <v>0</v>
      </c>
      <c r="N76">
        <f>'5 A data'!M163</f>
        <v>0</v>
      </c>
      <c r="O76">
        <f>'5 A data'!N163</f>
        <v>0</v>
      </c>
      <c r="P76">
        <f>'5 A data'!O163</f>
        <v>0</v>
      </c>
    </row>
    <row r="77" spans="1:16" x14ac:dyDescent="0.2">
      <c r="A77">
        <f>'5 A data'!A164</f>
        <v>164</v>
      </c>
      <c r="B77" t="str">
        <f>'5 A data'!B164</f>
        <v>burden test, 0 ohms,yy ohms on</v>
      </c>
      <c r="C77">
        <f>'5 A data'!C164</f>
        <v>0</v>
      </c>
      <c r="D77">
        <f>'5 A data'!D164</f>
        <v>100</v>
      </c>
      <c r="E77">
        <f>'5 A data'!E164</f>
        <v>-0.22700000000000001</v>
      </c>
      <c r="F77">
        <f>'5 A data'!F164</f>
        <v>-0.4</v>
      </c>
      <c r="G77">
        <f>'5 A data'!G164</f>
        <v>1</v>
      </c>
      <c r="H77">
        <f>'5 A data'!H164</f>
        <v>0</v>
      </c>
      <c r="I77">
        <f>'5 A data'!I164</f>
        <v>100</v>
      </c>
      <c r="J77">
        <f>'5 A data'!J164</f>
        <v>-0.22700000000000001</v>
      </c>
      <c r="K77">
        <f>'5 A data'!K164</f>
        <v>-1.1635528346628864E-2</v>
      </c>
      <c r="L77" s="407">
        <f>P73</f>
        <v>10</v>
      </c>
      <c r="M77">
        <f>'5 A data'!L164</f>
        <v>0</v>
      </c>
      <c r="N77">
        <f>'5 A data'!M164</f>
        <v>0</v>
      </c>
      <c r="O77">
        <f>'5 A data'!N164</f>
        <v>0</v>
      </c>
      <c r="P77">
        <f>'5 A data'!O164</f>
        <v>0</v>
      </c>
    </row>
    <row r="78" spans="1:16" x14ac:dyDescent="0.2">
      <c r="A78">
        <f>'5 A data'!A165</f>
        <v>165</v>
      </c>
      <c r="B78">
        <f>'5 A data'!B165</f>
        <v>0</v>
      </c>
      <c r="C78">
        <f>'5 A data'!C165</f>
        <v>0</v>
      </c>
      <c r="D78">
        <f>'5 A data'!D165</f>
        <v>0</v>
      </c>
      <c r="E78">
        <f>'5 A data'!E165</f>
        <v>0</v>
      </c>
      <c r="F78">
        <f>'5 A data'!F165</f>
        <v>0</v>
      </c>
      <c r="G78">
        <f>'5 A data'!G165</f>
        <v>0</v>
      </c>
      <c r="H78">
        <f>'5 A data'!H165</f>
        <v>0</v>
      </c>
      <c r="I78">
        <f>'5 A data'!I165</f>
        <v>0</v>
      </c>
      <c r="J78">
        <f>'5 A data'!J165</f>
        <v>0</v>
      </c>
      <c r="K78">
        <f>'5 A data'!K165</f>
        <v>0</v>
      </c>
      <c r="L78" s="407"/>
      <c r="M78">
        <f>'5 A data'!L165</f>
        <v>0</v>
      </c>
      <c r="N78">
        <f>'5 A data'!M165</f>
        <v>0</v>
      </c>
      <c r="O78">
        <f>'5 A data'!N165</f>
        <v>0</v>
      </c>
      <c r="P78">
        <f>'5 A data'!O165</f>
        <v>0</v>
      </c>
    </row>
    <row r="79" spans="1:16" x14ac:dyDescent="0.2">
      <c r="A79">
        <f>'5 A data'!A166</f>
        <v>166</v>
      </c>
      <c r="B79">
        <f>'5 A data'!B166</f>
        <v>0</v>
      </c>
      <c r="C79">
        <f>'5 A data'!C166</f>
        <v>0</v>
      </c>
      <c r="D79">
        <f>'5 A data'!D166</f>
        <v>0</v>
      </c>
      <c r="E79">
        <f>'5 A data'!E166</f>
        <v>0</v>
      </c>
      <c r="F79">
        <f>'5 A data'!F166</f>
        <v>0</v>
      </c>
      <c r="G79">
        <f>'5 A data'!G166</f>
        <v>0</v>
      </c>
      <c r="H79">
        <f>'5 A data'!H166</f>
        <v>0</v>
      </c>
      <c r="I79">
        <f>'5 A data'!I166</f>
        <v>0</v>
      </c>
      <c r="J79">
        <f>'5 A data'!J166</f>
        <v>0</v>
      </c>
      <c r="K79">
        <f>'5 A data'!K166</f>
        <v>0</v>
      </c>
      <c r="L79" s="407"/>
      <c r="M79">
        <f>'5 A data'!L166</f>
        <v>0</v>
      </c>
      <c r="N79" t="str">
        <f>'5 A data'!M166</f>
        <v>Enter resistor value</v>
      </c>
      <c r="O79">
        <f>'5 A data'!N166</f>
        <v>0</v>
      </c>
      <c r="P79">
        <f>'5 A data'!O166</f>
        <v>10</v>
      </c>
    </row>
    <row r="80" spans="1:16" x14ac:dyDescent="0.2">
      <c r="A80">
        <f>'5 A data'!A167</f>
        <v>167</v>
      </c>
      <c r="B80">
        <f>'5 A data'!B167</f>
        <v>42983</v>
      </c>
      <c r="C80" t="str">
        <f>'5 A data'!C167</f>
        <v>1.25VA unity</v>
      </c>
      <c r="D80">
        <f>'5 A data'!D167</f>
        <v>0</v>
      </c>
      <c r="E80">
        <f>'5 A data'!E167</f>
        <v>0</v>
      </c>
      <c r="F80">
        <f>'5 A data'!F167</f>
        <v>0</v>
      </c>
      <c r="G80">
        <f>'5 A data'!G167</f>
        <v>0</v>
      </c>
      <c r="H80">
        <f>'5 A data'!H167</f>
        <v>0</v>
      </c>
      <c r="I80">
        <f>'5 A data'!I167</f>
        <v>0</v>
      </c>
      <c r="J80">
        <f>'5 A data'!J167</f>
        <v>0</v>
      </c>
      <c r="K80">
        <f>'5 A data'!K167</f>
        <v>0</v>
      </c>
      <c r="L80" s="407"/>
      <c r="M80">
        <f>'5 A data'!L167</f>
        <v>0</v>
      </c>
      <c r="N80" t="str">
        <f>'5 A data'!M167</f>
        <v>Enter resistor value</v>
      </c>
      <c r="O80">
        <f>'5 A data'!N167</f>
        <v>0</v>
      </c>
      <c r="P80">
        <f>'5 A data'!O167</f>
        <v>10</v>
      </c>
    </row>
    <row r="81" spans="1:16" x14ac:dyDescent="0.2">
      <c r="A81">
        <f>'5 A data'!A168</f>
        <v>168</v>
      </c>
      <c r="B81" t="str">
        <f>'5 A data'!B168</f>
        <v>burden test, xx ohms, yy ohms off</v>
      </c>
      <c r="C81">
        <f>'5 A data'!C168</f>
        <v>0</v>
      </c>
      <c r="D81">
        <f>'5 A data'!D168</f>
        <v>70</v>
      </c>
      <c r="E81">
        <f>'5 A data'!E168</f>
        <v>-8.6999999999999994E-2</v>
      </c>
      <c r="F81">
        <f>'5 A data'!F168</f>
        <v>6.2</v>
      </c>
      <c r="G81">
        <f>'5 A data'!G168</f>
        <v>0.1</v>
      </c>
      <c r="H81">
        <f>'5 A data'!H168</f>
        <v>0</v>
      </c>
      <c r="I81">
        <f>'5 A data'!I168</f>
        <v>70</v>
      </c>
      <c r="J81">
        <f>'5 A data'!J168</f>
        <v>-8.6999999999999994E-3</v>
      </c>
      <c r="K81">
        <f>'5 A data'!K168</f>
        <v>1.8035068937274742E-2</v>
      </c>
      <c r="L81" s="407"/>
      <c r="M81">
        <f>'5 A data'!L168</f>
        <v>0</v>
      </c>
      <c r="N81" t="str">
        <f>'5 A data'!M168</f>
        <v>B5A5.0VA</v>
      </c>
      <c r="O81">
        <f>'5 A data'!N168</f>
        <v>7.1329999999999991E-2</v>
      </c>
      <c r="P81">
        <f>'5 A data'!O168</f>
        <v>3.6070137874549481E-3</v>
      </c>
    </row>
    <row r="82" spans="1:16" x14ac:dyDescent="0.2">
      <c r="A82">
        <f>'5 A data'!A169</f>
        <v>169</v>
      </c>
      <c r="B82" t="str">
        <f>'5 A data'!B169</f>
        <v>burden test, xx ohms, yy ohms on</v>
      </c>
      <c r="C82">
        <f>'5 A data'!C169</f>
        <v>0</v>
      </c>
      <c r="D82">
        <f>'5 A data'!D169</f>
        <v>70</v>
      </c>
      <c r="E82">
        <f>'5 A data'!E169</f>
        <v>-0.36099999999999999</v>
      </c>
      <c r="F82">
        <f>'5 A data'!F169</f>
        <v>-0.31</v>
      </c>
      <c r="G82">
        <f>'5 A data'!G169</f>
        <v>2</v>
      </c>
      <c r="H82">
        <f>'5 A data'!H169</f>
        <v>0</v>
      </c>
      <c r="I82">
        <f>'5 A data'!I169</f>
        <v>70</v>
      </c>
      <c r="J82">
        <f>'5 A data'!J169</f>
        <v>-0.72199999999999998</v>
      </c>
      <c r="K82">
        <f>'5 A data'!K169</f>
        <v>-1.8035068937274738E-2</v>
      </c>
      <c r="L82" s="407">
        <f>P79</f>
        <v>10</v>
      </c>
      <c r="M82">
        <f>'5 A data'!L169</f>
        <v>0</v>
      </c>
      <c r="N82" t="str">
        <f>'5 A data'!M169</f>
        <v>B5A0VA</v>
      </c>
      <c r="O82">
        <f>'5 A data'!N169</f>
        <v>7.1709999999999996E-2</v>
      </c>
      <c r="P82">
        <f>'5 A data'!O169</f>
        <v>3.7670023022210951E-3</v>
      </c>
    </row>
    <row r="83" spans="1:16" x14ac:dyDescent="0.2">
      <c r="A83">
        <f>'5 A data'!A170</f>
        <v>170</v>
      </c>
      <c r="B83" t="str">
        <f>'5 A data'!B170</f>
        <v>burden test, 0 ohms, yy ohms off</v>
      </c>
      <c r="C83">
        <f>'5 A data'!C170</f>
        <v>0</v>
      </c>
      <c r="D83">
        <f>'5 A data'!D170</f>
        <v>100</v>
      </c>
      <c r="E83">
        <f>'5 A data'!E170</f>
        <v>-8.8999999999999996E-2</v>
      </c>
      <c r="F83">
        <f>'5 A data'!F170</f>
        <v>5.75</v>
      </c>
      <c r="G83">
        <f>'5 A data'!G170</f>
        <v>0.1</v>
      </c>
      <c r="H83">
        <f>'5 A data'!H170</f>
        <v>0</v>
      </c>
      <c r="I83">
        <f>'5 A data'!I170</f>
        <v>100</v>
      </c>
      <c r="J83">
        <f>'5 A data'!J170</f>
        <v>-8.8999999999999999E-3</v>
      </c>
      <c r="K83">
        <f>'5 A data'!K170</f>
        <v>1.6726071998278993E-2</v>
      </c>
      <c r="L83" s="407"/>
      <c r="M83">
        <f>'5 A data'!L170</f>
        <v>0</v>
      </c>
      <c r="N83">
        <f>'5 A data'!M170</f>
        <v>0</v>
      </c>
      <c r="O83">
        <f>'5 A data'!N170</f>
        <v>0</v>
      </c>
      <c r="P83">
        <f>'5 A data'!O170</f>
        <v>0</v>
      </c>
    </row>
    <row r="84" spans="1:16" x14ac:dyDescent="0.2">
      <c r="A84">
        <f>'5 A data'!A171</f>
        <v>171</v>
      </c>
      <c r="B84" t="str">
        <f>'5 A data'!B171</f>
        <v>burden test, 0 ohms,yy ohms on</v>
      </c>
      <c r="C84">
        <f>'5 A data'!C171</f>
        <v>0</v>
      </c>
      <c r="D84">
        <f>'5 A data'!D171</f>
        <v>100</v>
      </c>
      <c r="E84">
        <f>'5 A data'!E171</f>
        <v>-0.36299999999999999</v>
      </c>
      <c r="F84">
        <f>'5 A data'!F171</f>
        <v>-0.36</v>
      </c>
      <c r="G84">
        <f>'5 A data'!G171</f>
        <v>2</v>
      </c>
      <c r="H84">
        <f>'5 A data'!H171</f>
        <v>0</v>
      </c>
      <c r="I84">
        <f>'5 A data'!I171</f>
        <v>100</v>
      </c>
      <c r="J84">
        <f>'5 A data'!J171</f>
        <v>-0.72599999999999998</v>
      </c>
      <c r="K84">
        <f>'5 A data'!K171</f>
        <v>-2.0943951023931956E-2</v>
      </c>
      <c r="L84" s="407">
        <f>P80</f>
        <v>10</v>
      </c>
      <c r="M84">
        <f>'5 A data'!L171</f>
        <v>0</v>
      </c>
      <c r="N84">
        <f>'5 A data'!M171</f>
        <v>0</v>
      </c>
      <c r="O84">
        <f>'5 A data'!N171</f>
        <v>0</v>
      </c>
      <c r="P84">
        <f>'5 A data'!O171</f>
        <v>0</v>
      </c>
    </row>
    <row r="85" spans="1:16" x14ac:dyDescent="0.2">
      <c r="A85">
        <f>'5 A data'!A172</f>
        <v>172</v>
      </c>
      <c r="B85">
        <f>'5 A data'!B172</f>
        <v>0</v>
      </c>
      <c r="C85">
        <f>'5 A data'!C172</f>
        <v>0</v>
      </c>
      <c r="D85">
        <f>'5 A data'!D172</f>
        <v>0</v>
      </c>
      <c r="E85">
        <f>'5 A data'!E172</f>
        <v>0</v>
      </c>
      <c r="F85">
        <f>'5 A data'!F172</f>
        <v>0</v>
      </c>
      <c r="G85">
        <f>'5 A data'!G172</f>
        <v>0</v>
      </c>
      <c r="H85">
        <f>'5 A data'!H172</f>
        <v>0</v>
      </c>
      <c r="I85">
        <f>'5 A data'!I172</f>
        <v>0</v>
      </c>
      <c r="J85">
        <f>'5 A data'!J172</f>
        <v>0</v>
      </c>
      <c r="K85">
        <f>'5 A data'!K172</f>
        <v>0</v>
      </c>
      <c r="L85" s="407"/>
      <c r="M85">
        <f>'5 A data'!L172</f>
        <v>0</v>
      </c>
      <c r="N85">
        <f>'5 A data'!M172</f>
        <v>0</v>
      </c>
      <c r="O85">
        <f>'5 A data'!N172</f>
        <v>0</v>
      </c>
      <c r="P85">
        <f>'5 A data'!O172</f>
        <v>0</v>
      </c>
    </row>
    <row r="86" spans="1:16" x14ac:dyDescent="0.2">
      <c r="A86">
        <f>'5 A data'!A173</f>
        <v>173</v>
      </c>
      <c r="B86">
        <f>'5 A data'!B173</f>
        <v>0</v>
      </c>
      <c r="C86">
        <f>'5 A data'!C173</f>
        <v>0</v>
      </c>
      <c r="D86">
        <f>'5 A data'!D173</f>
        <v>0</v>
      </c>
      <c r="E86">
        <f>'5 A data'!E173</f>
        <v>0</v>
      </c>
      <c r="F86">
        <f>'5 A data'!F173</f>
        <v>0</v>
      </c>
      <c r="G86">
        <f>'5 A data'!G173</f>
        <v>0</v>
      </c>
      <c r="H86">
        <f>'5 A data'!H173</f>
        <v>0</v>
      </c>
      <c r="I86">
        <f>'5 A data'!I173</f>
        <v>0</v>
      </c>
      <c r="J86">
        <f>'5 A data'!J173</f>
        <v>0</v>
      </c>
      <c r="K86">
        <f>'5 A data'!K173</f>
        <v>0</v>
      </c>
      <c r="L86" s="407"/>
      <c r="M86">
        <f>'5 A data'!L173</f>
        <v>0</v>
      </c>
      <c r="N86" t="str">
        <f>'5 A data'!M173</f>
        <v>Enter resistor value</v>
      </c>
      <c r="O86">
        <f>'5 A data'!N173</f>
        <v>0</v>
      </c>
      <c r="P86">
        <f>'5 A data'!O173</f>
        <v>50</v>
      </c>
    </row>
    <row r="87" spans="1:16" x14ac:dyDescent="0.2">
      <c r="A87">
        <f>'5 A data'!A174</f>
        <v>174</v>
      </c>
      <c r="B87">
        <f>'5 A data'!B174</f>
        <v>42983</v>
      </c>
      <c r="C87" t="str">
        <f>'5 A data'!C174</f>
        <v>No External Burden.</v>
      </c>
      <c r="D87">
        <f>'5 A data'!D174</f>
        <v>0</v>
      </c>
      <c r="E87">
        <f>'5 A data'!E174</f>
        <v>0</v>
      </c>
      <c r="F87">
        <f>'5 A data'!F174</f>
        <v>0</v>
      </c>
      <c r="G87">
        <f>'5 A data'!G174</f>
        <v>0</v>
      </c>
      <c r="H87">
        <f>'5 A data'!H174</f>
        <v>0</v>
      </c>
      <c r="I87">
        <f>'5 A data'!I174</f>
        <v>0</v>
      </c>
      <c r="J87">
        <f>'5 A data'!J174</f>
        <v>0</v>
      </c>
      <c r="K87">
        <f>'5 A data'!K174</f>
        <v>0</v>
      </c>
      <c r="L87" s="407"/>
      <c r="M87">
        <f>'5 A data'!L174</f>
        <v>0</v>
      </c>
      <c r="N87" t="str">
        <f>'5 A data'!M174</f>
        <v>Enter resistor value</v>
      </c>
      <c r="O87">
        <f>'5 A data'!N174</f>
        <v>0</v>
      </c>
      <c r="P87">
        <f>'5 A data'!O174</f>
        <v>50</v>
      </c>
    </row>
    <row r="88" spans="1:16" x14ac:dyDescent="0.2">
      <c r="A88">
        <f>'5 A data'!A175</f>
        <v>175</v>
      </c>
      <c r="B88" t="str">
        <f>'5 A data'!B175</f>
        <v>burden test, xx ohms, yy ohms off</v>
      </c>
      <c r="C88">
        <f>'5 A data'!C175</f>
        <v>0</v>
      </c>
      <c r="D88">
        <f>'5 A data'!D175</f>
        <v>70</v>
      </c>
      <c r="E88">
        <f>'5 A data'!E175</f>
        <v>-6.4000000000000001E-2</v>
      </c>
      <c r="F88">
        <f>'5 A data'!F175</f>
        <v>4.5999999999999996</v>
      </c>
      <c r="G88">
        <f>'5 A data'!G175</f>
        <v>0.1</v>
      </c>
      <c r="H88">
        <f>'5 A data'!H175</f>
        <v>0</v>
      </c>
      <c r="I88">
        <f>'5 A data'!I175</f>
        <v>70</v>
      </c>
      <c r="J88">
        <f>'5 A data'!J175</f>
        <v>-6.4000000000000003E-3</v>
      </c>
      <c r="K88">
        <f>'5 A data'!K175</f>
        <v>1.3380857598623192E-2</v>
      </c>
      <c r="L88" s="407"/>
      <c r="M88">
        <f>'5 A data'!L175</f>
        <v>0</v>
      </c>
      <c r="N88" t="str">
        <f>'5 A data'!M175</f>
        <v>B5A5.0VA</v>
      </c>
      <c r="O88">
        <f>'5 A data'!N175</f>
        <v>2.23E-2</v>
      </c>
      <c r="P88">
        <f>'5 A data'!O175</f>
        <v>1.1635528346628865E-3</v>
      </c>
    </row>
    <row r="89" spans="1:16" x14ac:dyDescent="0.2">
      <c r="A89">
        <f>'5 A data'!A176</f>
        <v>176</v>
      </c>
      <c r="B89" t="str">
        <f>'5 A data'!B176</f>
        <v>burden test, xx ohms, yy ohms on</v>
      </c>
      <c r="C89">
        <f>'5 A data'!C176</f>
        <v>0</v>
      </c>
      <c r="D89">
        <f>'5 A data'!D176</f>
        <v>70</v>
      </c>
      <c r="E89">
        <f>'5 A data'!E176</f>
        <v>-0.255</v>
      </c>
      <c r="F89">
        <f>'5 A data'!F176</f>
        <v>1.9</v>
      </c>
      <c r="G89">
        <f>'5 A data'!G176</f>
        <v>0.2</v>
      </c>
      <c r="H89">
        <f>'5 A data'!H176</f>
        <v>0</v>
      </c>
      <c r="I89">
        <f>'5 A data'!I176</f>
        <v>70</v>
      </c>
      <c r="J89">
        <f>'5 A data'!J176</f>
        <v>-5.1000000000000004E-2</v>
      </c>
      <c r="K89">
        <f>'5 A data'!K176</f>
        <v>1.1053751929297419E-2</v>
      </c>
      <c r="L89" s="407">
        <f>P86</f>
        <v>50</v>
      </c>
      <c r="M89">
        <f>'5 A data'!L176</f>
        <v>0</v>
      </c>
      <c r="N89" t="str">
        <f>'5 A data'!M176</f>
        <v>B5A0VA</v>
      </c>
      <c r="O89">
        <f>'5 A data'!N176</f>
        <v>2.23E-2</v>
      </c>
      <c r="P89">
        <f>'5 A data'!O176</f>
        <v>1.1635528346628865E-3</v>
      </c>
    </row>
    <row r="90" spans="1:16" x14ac:dyDescent="0.2">
      <c r="A90">
        <f>'5 A data'!A177</f>
        <v>177</v>
      </c>
      <c r="B90" t="str">
        <f>'5 A data'!B177</f>
        <v>burden test, 0 ohms, yy ohms off</v>
      </c>
      <c r="C90">
        <f>'5 A data'!C177</f>
        <v>0</v>
      </c>
      <c r="D90">
        <f>'5 A data'!D177</f>
        <v>100</v>
      </c>
      <c r="E90">
        <f>'5 A data'!E177</f>
        <v>-6.6000000000000003E-2</v>
      </c>
      <c r="F90">
        <f>'5 A data'!F177</f>
        <v>4.3</v>
      </c>
      <c r="G90">
        <f>'5 A data'!G177</f>
        <v>0.1</v>
      </c>
      <c r="H90">
        <f>'5 A data'!H177</f>
        <v>0</v>
      </c>
      <c r="I90">
        <f>'5 A data'!I177</f>
        <v>100</v>
      </c>
      <c r="J90">
        <f>'5 A data'!J177</f>
        <v>-6.6000000000000008E-3</v>
      </c>
      <c r="K90">
        <f>'5 A data'!K177</f>
        <v>1.2508192972626028E-2</v>
      </c>
      <c r="L90" s="407"/>
      <c r="M90">
        <f>'5 A data'!L177</f>
        <v>0</v>
      </c>
      <c r="N90">
        <f>'5 A data'!M177</f>
        <v>0</v>
      </c>
      <c r="O90">
        <f>'5 A data'!N177</f>
        <v>0</v>
      </c>
      <c r="P90">
        <f>'5 A data'!O177</f>
        <v>0</v>
      </c>
    </row>
    <row r="91" spans="1:16" x14ac:dyDescent="0.2">
      <c r="A91">
        <f>'5 A data'!A178</f>
        <v>178</v>
      </c>
      <c r="B91" t="str">
        <f>'5 A data'!B178</f>
        <v>burden test, 0 ohms,yy ohms on</v>
      </c>
      <c r="C91">
        <f>'5 A data'!C178</f>
        <v>0</v>
      </c>
      <c r="D91">
        <f>'5 A data'!D178</f>
        <v>100</v>
      </c>
      <c r="E91">
        <f>'5 A data'!E178</f>
        <v>-0.25600000000000001</v>
      </c>
      <c r="F91">
        <f>'5 A data'!F178</f>
        <v>1.75</v>
      </c>
      <c r="G91">
        <f>'5 A data'!G178</f>
        <v>0.2</v>
      </c>
      <c r="H91">
        <f>'5 A data'!H178</f>
        <v>0</v>
      </c>
      <c r="I91">
        <f>'5 A data'!I178</f>
        <v>100</v>
      </c>
      <c r="J91">
        <f>'5 A data'!J178</f>
        <v>-5.1200000000000002E-2</v>
      </c>
      <c r="K91">
        <f>'5 A data'!K178</f>
        <v>1.0181087303300255E-2</v>
      </c>
      <c r="L91" s="407">
        <f>P87</f>
        <v>50</v>
      </c>
      <c r="M91">
        <f>'5 A data'!L178</f>
        <v>0</v>
      </c>
      <c r="N91">
        <f>'5 A data'!M178</f>
        <v>0</v>
      </c>
      <c r="O91">
        <f>'5 A data'!N178</f>
        <v>0</v>
      </c>
      <c r="P91">
        <f>'5 A data'!O178</f>
        <v>0</v>
      </c>
    </row>
    <row r="92" spans="1:16" x14ac:dyDescent="0.2">
      <c r="A92">
        <f>'5 A data'!A179</f>
        <v>179</v>
      </c>
      <c r="B92">
        <f>'5 A data'!B179</f>
        <v>0</v>
      </c>
      <c r="C92">
        <f>'5 A data'!C179</f>
        <v>0</v>
      </c>
      <c r="D92">
        <f>'5 A data'!D179</f>
        <v>0</v>
      </c>
      <c r="E92">
        <f>'5 A data'!E179</f>
        <v>0</v>
      </c>
      <c r="F92">
        <f>'5 A data'!F179</f>
        <v>0</v>
      </c>
      <c r="G92">
        <f>'5 A data'!G179</f>
        <v>0</v>
      </c>
      <c r="H92">
        <f>'5 A data'!H179</f>
        <v>0</v>
      </c>
      <c r="I92">
        <f>'5 A data'!I179</f>
        <v>0</v>
      </c>
      <c r="J92">
        <f>'5 A data'!J179</f>
        <v>0</v>
      </c>
      <c r="K92">
        <f>'5 A data'!K179</f>
        <v>0</v>
      </c>
      <c r="L92" s="407"/>
      <c r="M92">
        <f>'5 A data'!L179</f>
        <v>0</v>
      </c>
      <c r="N92">
        <f>'5 A data'!M179</f>
        <v>0</v>
      </c>
      <c r="O92">
        <f>'5 A data'!N179</f>
        <v>0</v>
      </c>
      <c r="P92">
        <f>'5 A data'!O179</f>
        <v>0</v>
      </c>
    </row>
    <row r="93" spans="1:16" x14ac:dyDescent="0.2">
      <c r="A93">
        <f>'5 A data'!A180</f>
        <v>180</v>
      </c>
      <c r="B93">
        <f>'5 A data'!B180</f>
        <v>0</v>
      </c>
      <c r="C93">
        <f>'5 A data'!C180</f>
        <v>0</v>
      </c>
      <c r="D93">
        <f>'5 A data'!D180</f>
        <v>0</v>
      </c>
      <c r="E93">
        <f>'5 A data'!E180</f>
        <v>0</v>
      </c>
      <c r="F93">
        <f>'5 A data'!F180</f>
        <v>0</v>
      </c>
      <c r="G93">
        <f>'5 A data'!G180</f>
        <v>0</v>
      </c>
      <c r="H93">
        <f>'5 A data'!H180</f>
        <v>0</v>
      </c>
      <c r="I93">
        <f>'5 A data'!I180</f>
        <v>0</v>
      </c>
      <c r="J93">
        <f>'5 A data'!J180</f>
        <v>0</v>
      </c>
      <c r="K93">
        <f>'5 A data'!K180</f>
        <v>0</v>
      </c>
      <c r="L93" s="407"/>
      <c r="M93">
        <f>'5 A data'!L180</f>
        <v>0</v>
      </c>
      <c r="N93" t="str">
        <f>'5 A data'!M180</f>
        <v>Enter resistor value</v>
      </c>
      <c r="O93">
        <f>'5 A data'!N180</f>
        <v>0</v>
      </c>
      <c r="P93">
        <f>'5 A data'!O180</f>
        <v>50</v>
      </c>
    </row>
    <row r="94" spans="1:16" x14ac:dyDescent="0.2">
      <c r="A94">
        <f>'5 A data'!A181</f>
        <v>181</v>
      </c>
      <c r="B94">
        <f>'5 A data'!B181</f>
        <v>42983</v>
      </c>
      <c r="C94" t="str">
        <f>'5 A data'!C181</f>
        <v>1.25VA unity</v>
      </c>
      <c r="D94">
        <f>'5 A data'!D181</f>
        <v>0</v>
      </c>
      <c r="E94">
        <f>'5 A data'!E181</f>
        <v>0</v>
      </c>
      <c r="F94">
        <f>'5 A data'!F181</f>
        <v>0</v>
      </c>
      <c r="G94">
        <f>'5 A data'!G181</f>
        <v>0</v>
      </c>
      <c r="H94">
        <f>'5 A data'!H181</f>
        <v>0</v>
      </c>
      <c r="I94">
        <f>'5 A data'!I181</f>
        <v>0</v>
      </c>
      <c r="J94">
        <f>'5 A data'!J181</f>
        <v>0</v>
      </c>
      <c r="K94">
        <f>'5 A data'!K181</f>
        <v>0</v>
      </c>
      <c r="L94" s="407"/>
      <c r="M94">
        <f>'5 A data'!L181</f>
        <v>0</v>
      </c>
      <c r="N94" t="str">
        <f>'5 A data'!M181</f>
        <v>Enter resistor value</v>
      </c>
      <c r="O94">
        <f>'5 A data'!N181</f>
        <v>0</v>
      </c>
      <c r="P94">
        <f>'5 A data'!O181</f>
        <v>50</v>
      </c>
    </row>
    <row r="95" spans="1:16" x14ac:dyDescent="0.2">
      <c r="A95">
        <f>'5 A data'!A182</f>
        <v>182</v>
      </c>
      <c r="B95" t="str">
        <f>'5 A data'!B182</f>
        <v>burden test, xx ohms, yy ohms off</v>
      </c>
      <c r="C95">
        <f>'5 A data'!C182</f>
        <v>0</v>
      </c>
      <c r="D95">
        <f>'5 A data'!D182</f>
        <v>70</v>
      </c>
      <c r="E95">
        <f>'5 A data'!E182</f>
        <v>-8.6999999999999994E-2</v>
      </c>
      <c r="F95">
        <f>'5 A data'!F182</f>
        <v>6.2</v>
      </c>
      <c r="G95">
        <f>'5 A data'!G182</f>
        <v>0.1</v>
      </c>
      <c r="H95">
        <f>'5 A data'!H182</f>
        <v>0</v>
      </c>
      <c r="I95">
        <f>'5 A data'!I182</f>
        <v>70</v>
      </c>
      <c r="J95">
        <f>'5 A data'!J182</f>
        <v>-8.6999999999999994E-3</v>
      </c>
      <c r="K95">
        <f>'5 A data'!K182</f>
        <v>1.8035068937274742E-2</v>
      </c>
      <c r="L95" s="407"/>
      <c r="M95">
        <f>'5 A data'!L182</f>
        <v>0</v>
      </c>
      <c r="N95" t="str">
        <f>'5 A data'!M182</f>
        <v>B5A5.0VA</v>
      </c>
      <c r="O95">
        <f>'5 A data'!N182</f>
        <v>7.1649999999999991E-2</v>
      </c>
      <c r="P95">
        <f>'5 A data'!O182</f>
        <v>4.654211338651547E-3</v>
      </c>
    </row>
    <row r="96" spans="1:16" x14ac:dyDescent="0.2">
      <c r="A96">
        <f>'5 A data'!A183</f>
        <v>183</v>
      </c>
      <c r="B96" t="str">
        <f>'5 A data'!B183</f>
        <v>burden test, xx ohms, yy ohms on</v>
      </c>
      <c r="C96">
        <f>'5 A data'!C183</f>
        <v>0</v>
      </c>
      <c r="D96">
        <f>'5 A data'!D183</f>
        <v>70</v>
      </c>
      <c r="E96">
        <f>'5 A data'!E183</f>
        <v>-0.152</v>
      </c>
      <c r="F96">
        <f>'5 A data'!F183</f>
        <v>0.3</v>
      </c>
      <c r="G96">
        <f>'5 A data'!G183</f>
        <v>1</v>
      </c>
      <c r="H96">
        <f>'5 A data'!H183</f>
        <v>0</v>
      </c>
      <c r="I96">
        <f>'5 A data'!I183</f>
        <v>70</v>
      </c>
      <c r="J96">
        <f>'5 A data'!J183</f>
        <v>-0.152</v>
      </c>
      <c r="K96">
        <f>'5 A data'!K183</f>
        <v>8.7266462599716477E-3</v>
      </c>
      <c r="L96" s="407">
        <f>P93</f>
        <v>50</v>
      </c>
      <c r="M96">
        <f>'5 A data'!L183</f>
        <v>0</v>
      </c>
      <c r="N96" t="str">
        <f>'5 A data'!M183</f>
        <v>B5A0VA</v>
      </c>
      <c r="O96">
        <f>'5 A data'!N183</f>
        <v>7.2050000000000003E-2</v>
      </c>
      <c r="P96">
        <f>'5 A data'!O183</f>
        <v>4.7269333908179761E-3</v>
      </c>
    </row>
    <row r="97" spans="1:16" x14ac:dyDescent="0.2">
      <c r="A97">
        <f>'5 A data'!A184</f>
        <v>184</v>
      </c>
      <c r="B97" t="str">
        <f>'5 A data'!B184</f>
        <v>burden test, 0 ohms, yy ohms off</v>
      </c>
      <c r="C97">
        <f>'5 A data'!C184</f>
        <v>0</v>
      </c>
      <c r="D97">
        <f>'5 A data'!D184</f>
        <v>100</v>
      </c>
      <c r="E97">
        <f>'5 A data'!E184</f>
        <v>-8.8999999999999996E-2</v>
      </c>
      <c r="F97">
        <f>'5 A data'!F184</f>
        <v>5.75</v>
      </c>
      <c r="G97">
        <f>'5 A data'!G184</f>
        <v>0.1</v>
      </c>
      <c r="H97">
        <f>'5 A data'!H184</f>
        <v>0</v>
      </c>
      <c r="I97">
        <f>'5 A data'!I184</f>
        <v>100</v>
      </c>
      <c r="J97">
        <f>'5 A data'!J184</f>
        <v>-8.8999999999999999E-3</v>
      </c>
      <c r="K97">
        <f>'5 A data'!K184</f>
        <v>1.6726071998278993E-2</v>
      </c>
      <c r="L97" s="407"/>
      <c r="M97">
        <f>'5 A data'!L184</f>
        <v>0</v>
      </c>
      <c r="N97">
        <f>'5 A data'!M184</f>
        <v>0</v>
      </c>
      <c r="O97">
        <f>'5 A data'!N184</f>
        <v>0</v>
      </c>
      <c r="P97">
        <f>'5 A data'!O184</f>
        <v>0</v>
      </c>
    </row>
    <row r="98" spans="1:16" x14ac:dyDescent="0.2">
      <c r="A98">
        <f>'5 A data'!A185</f>
        <v>185</v>
      </c>
      <c r="B98" t="str">
        <f>'5 A data'!B185</f>
        <v>burden test, 0 ohms,yy ohms on</v>
      </c>
      <c r="C98">
        <f>'5 A data'!C185</f>
        <v>0</v>
      </c>
      <c r="D98">
        <f>'5 A data'!D185</f>
        <v>100</v>
      </c>
      <c r="E98">
        <f>'5 A data'!E185</f>
        <v>-0.153</v>
      </c>
      <c r="F98">
        <f>'5 A data'!F185</f>
        <v>0.25</v>
      </c>
      <c r="G98">
        <f>'5 A data'!G185</f>
        <v>1</v>
      </c>
      <c r="H98">
        <f>'5 A data'!H185</f>
        <v>0</v>
      </c>
      <c r="I98">
        <f>'5 A data'!I185</f>
        <v>100</v>
      </c>
      <c r="J98">
        <f>'5 A data'!J185</f>
        <v>-0.153</v>
      </c>
      <c r="K98">
        <f>'5 A data'!K185</f>
        <v>7.2722052166430398E-3</v>
      </c>
      <c r="L98" s="407">
        <f>P94</f>
        <v>50</v>
      </c>
      <c r="M98">
        <f>'5 A data'!L185</f>
        <v>0</v>
      </c>
      <c r="N98">
        <f>'5 A data'!M185</f>
        <v>0</v>
      </c>
      <c r="O98">
        <f>'5 A data'!N185</f>
        <v>0</v>
      </c>
      <c r="P98">
        <f>'5 A data'!O185</f>
        <v>0</v>
      </c>
    </row>
    <row r="99" spans="1:16" x14ac:dyDescent="0.2">
      <c r="A99">
        <f>'5 A data'!A186</f>
        <v>186</v>
      </c>
      <c r="B99">
        <f>'5 A data'!B186</f>
        <v>0</v>
      </c>
      <c r="C99">
        <f>'5 A data'!C186</f>
        <v>0</v>
      </c>
      <c r="D99">
        <f>'5 A data'!D186</f>
        <v>0</v>
      </c>
      <c r="E99">
        <f>'5 A data'!E186</f>
        <v>0</v>
      </c>
      <c r="F99">
        <f>'5 A data'!F186</f>
        <v>0</v>
      </c>
      <c r="G99">
        <f>'5 A data'!G186</f>
        <v>0</v>
      </c>
      <c r="H99">
        <f>'5 A data'!H186</f>
        <v>0</v>
      </c>
      <c r="I99">
        <f>'5 A data'!I186</f>
        <v>0</v>
      </c>
      <c r="J99">
        <f>'5 A data'!J186</f>
        <v>0</v>
      </c>
      <c r="K99">
        <f>'5 A data'!K186</f>
        <v>0</v>
      </c>
      <c r="L99" s="407"/>
      <c r="M99">
        <f>'5 A data'!L186</f>
        <v>0</v>
      </c>
      <c r="N99">
        <f>'5 A data'!M186</f>
        <v>0</v>
      </c>
      <c r="O99">
        <f>'5 A data'!N186</f>
        <v>0</v>
      </c>
      <c r="P99">
        <f>'5 A data'!O186</f>
        <v>0</v>
      </c>
    </row>
    <row r="100" spans="1:16" x14ac:dyDescent="0.2">
      <c r="A100">
        <f>'5 A data'!A187</f>
        <v>187</v>
      </c>
      <c r="B100">
        <f>'5 A data'!B187</f>
        <v>0</v>
      </c>
      <c r="C100">
        <f>'5 A data'!C187</f>
        <v>0</v>
      </c>
      <c r="D100">
        <f>'5 A data'!D187</f>
        <v>0</v>
      </c>
      <c r="E100">
        <f>'5 A data'!E187</f>
        <v>0</v>
      </c>
      <c r="F100">
        <f>'5 A data'!F187</f>
        <v>0</v>
      </c>
      <c r="G100">
        <f>'5 A data'!G187</f>
        <v>0</v>
      </c>
      <c r="H100">
        <f>'5 A data'!H187</f>
        <v>0</v>
      </c>
      <c r="I100">
        <f>'5 A data'!I187</f>
        <v>0</v>
      </c>
      <c r="J100">
        <f>'5 A data'!J187</f>
        <v>0</v>
      </c>
      <c r="K100">
        <f>'5 A data'!K187</f>
        <v>0</v>
      </c>
      <c r="L100" s="407"/>
      <c r="M100">
        <f>'5 A data'!L187</f>
        <v>0</v>
      </c>
      <c r="N100" t="str">
        <f>'5 A data'!M187</f>
        <v>Enter resistor value</v>
      </c>
      <c r="O100">
        <f>'5 A data'!N187</f>
        <v>0</v>
      </c>
      <c r="P100">
        <f>'5 A data'!O187</f>
        <v>50</v>
      </c>
    </row>
    <row r="101" spans="1:16" x14ac:dyDescent="0.2">
      <c r="A101">
        <f>'5 A data'!A188</f>
        <v>188</v>
      </c>
      <c r="B101">
        <f>'5 A data'!B188</f>
        <v>42983</v>
      </c>
      <c r="C101" t="str">
        <f>'5 A data'!C188</f>
        <v>2.5VA unity</v>
      </c>
      <c r="D101">
        <f>'5 A data'!D188</f>
        <v>0</v>
      </c>
      <c r="E101">
        <f>'5 A data'!E188</f>
        <v>0</v>
      </c>
      <c r="F101">
        <f>'5 A data'!F188</f>
        <v>0</v>
      </c>
      <c r="G101">
        <f>'5 A data'!G188</f>
        <v>0</v>
      </c>
      <c r="H101">
        <f>'5 A data'!H188</f>
        <v>0</v>
      </c>
      <c r="I101">
        <f>'5 A data'!I188</f>
        <v>0</v>
      </c>
      <c r="J101">
        <f>'5 A data'!J188</f>
        <v>0</v>
      </c>
      <c r="K101">
        <f>'5 A data'!K188</f>
        <v>0</v>
      </c>
      <c r="L101" s="407"/>
      <c r="M101">
        <f>'5 A data'!L188</f>
        <v>0</v>
      </c>
      <c r="N101" t="str">
        <f>'5 A data'!M188</f>
        <v>Enter resistor value</v>
      </c>
      <c r="O101">
        <f>'5 A data'!N188</f>
        <v>0</v>
      </c>
      <c r="P101">
        <f>'5 A data'!O188</f>
        <v>50</v>
      </c>
    </row>
    <row r="102" spans="1:16" x14ac:dyDescent="0.2">
      <c r="A102">
        <f>'5 A data'!A189</f>
        <v>189</v>
      </c>
      <c r="B102" t="str">
        <f>'5 A data'!B189</f>
        <v>burden test, xx ohms, yy ohms off</v>
      </c>
      <c r="C102">
        <f>'5 A data'!C189</f>
        <v>0</v>
      </c>
      <c r="D102">
        <f>'5 A data'!D189</f>
        <v>70</v>
      </c>
      <c r="E102">
        <f>'5 A data'!E189</f>
        <v>-0.109</v>
      </c>
      <c r="F102">
        <f>'5 A data'!F189</f>
        <v>7.6</v>
      </c>
      <c r="G102">
        <f>'5 A data'!G189</f>
        <v>0.1</v>
      </c>
      <c r="H102">
        <f>'5 A data'!H189</f>
        <v>0</v>
      </c>
      <c r="I102">
        <f>'5 A data'!I189</f>
        <v>70</v>
      </c>
      <c r="J102">
        <f>'5 A data'!J189</f>
        <v>-1.09E-2</v>
      </c>
      <c r="K102">
        <f>'5 A data'!K189</f>
        <v>2.2107503858594838E-2</v>
      </c>
      <c r="L102" s="407"/>
      <c r="M102">
        <f>'5 A data'!L189</f>
        <v>0</v>
      </c>
      <c r="N102" t="str">
        <f>'5 A data'!M189</f>
        <v>B5A5.0VA</v>
      </c>
      <c r="O102">
        <f>'5 A data'!N189</f>
        <v>0.12105</v>
      </c>
      <c r="P102">
        <f>'5 A data'!O189</f>
        <v>6.6904287993115952E-3</v>
      </c>
    </row>
    <row r="103" spans="1:16" x14ac:dyDescent="0.2">
      <c r="A103">
        <f>'5 A data'!A190</f>
        <v>190</v>
      </c>
      <c r="B103" t="str">
        <f>'5 A data'!B190</f>
        <v>burden test, xx ohms, yy ohms on</v>
      </c>
      <c r="C103">
        <f>'5 A data'!C190</f>
        <v>0</v>
      </c>
      <c r="D103">
        <f>'5 A data'!D190</f>
        <v>70</v>
      </c>
      <c r="E103">
        <f>'5 A data'!E190</f>
        <v>-0.253</v>
      </c>
      <c r="F103">
        <f>'5 A data'!F190</f>
        <v>0.3</v>
      </c>
      <c r="G103">
        <f>'5 A data'!G190</f>
        <v>1</v>
      </c>
      <c r="H103">
        <f>'5 A data'!H190</f>
        <v>0</v>
      </c>
      <c r="I103">
        <f>'5 A data'!I190</f>
        <v>70</v>
      </c>
      <c r="J103">
        <f>'5 A data'!J190</f>
        <v>-0.253</v>
      </c>
      <c r="K103">
        <f>'5 A data'!K190</f>
        <v>8.7266462599716477E-3</v>
      </c>
      <c r="L103" s="407">
        <f>P100</f>
        <v>50</v>
      </c>
      <c r="M103">
        <f>'5 A data'!L190</f>
        <v>0</v>
      </c>
      <c r="N103" t="str">
        <f>'5 A data'!M190</f>
        <v>B5A0VA</v>
      </c>
      <c r="O103">
        <f>'5 A data'!N190</f>
        <v>0.12245</v>
      </c>
      <c r="P103">
        <f>'5 A data'!O190</f>
        <v>7.272205216643038E-3</v>
      </c>
    </row>
    <row r="104" spans="1:16" x14ac:dyDescent="0.2">
      <c r="A104">
        <f>'5 A data'!A191</f>
        <v>191</v>
      </c>
      <c r="B104" t="str">
        <f>'5 A data'!B191</f>
        <v>burden test, 0 ohms, yy ohms off</v>
      </c>
      <c r="C104">
        <f>'5 A data'!C191</f>
        <v>0</v>
      </c>
      <c r="D104">
        <f>'5 A data'!D191</f>
        <v>100</v>
      </c>
      <c r="E104">
        <f>'5 A data'!E191</f>
        <v>-0.111</v>
      </c>
      <c r="F104">
        <f>'5 A data'!F191</f>
        <v>7</v>
      </c>
      <c r="G104">
        <f>'5 A data'!G191</f>
        <v>0.1</v>
      </c>
      <c r="H104">
        <f>'5 A data'!H191</f>
        <v>0</v>
      </c>
      <c r="I104">
        <f>'5 A data'!I191</f>
        <v>100</v>
      </c>
      <c r="J104">
        <f>'5 A data'!J191</f>
        <v>-1.11E-2</v>
      </c>
      <c r="K104">
        <f>'5 A data'!K191</f>
        <v>2.036217460660051E-2</v>
      </c>
      <c r="L104" s="407"/>
      <c r="M104">
        <f>'5 A data'!L191</f>
        <v>0</v>
      </c>
      <c r="N104">
        <f>'5 A data'!M191</f>
        <v>0</v>
      </c>
      <c r="O104">
        <f>'5 A data'!N191</f>
        <v>0</v>
      </c>
      <c r="P104">
        <f>'5 A data'!O191</f>
        <v>0</v>
      </c>
    </row>
    <row r="105" spans="1:16" x14ac:dyDescent="0.2">
      <c r="A105">
        <f>'5 A data'!A192</f>
        <v>192</v>
      </c>
      <c r="B105" t="str">
        <f>'5 A data'!B192</f>
        <v>burden test, 0 ohms,yy ohms on</v>
      </c>
      <c r="C105">
        <f>'5 A data'!C192</f>
        <v>0</v>
      </c>
      <c r="D105">
        <f>'5 A data'!D192</f>
        <v>100</v>
      </c>
      <c r="E105">
        <f>'5 A data'!E192</f>
        <v>-0.25600000000000001</v>
      </c>
      <c r="F105">
        <f>'5 A data'!F192</f>
        <v>0.2</v>
      </c>
      <c r="G105">
        <f>'5 A data'!G192</f>
        <v>1</v>
      </c>
      <c r="H105">
        <f>'5 A data'!H192</f>
        <v>0</v>
      </c>
      <c r="I105">
        <f>'5 A data'!I192</f>
        <v>100</v>
      </c>
      <c r="J105">
        <f>'5 A data'!J192</f>
        <v>-0.25600000000000001</v>
      </c>
      <c r="K105">
        <f>'5 A data'!K192</f>
        <v>5.8177641733144318E-3</v>
      </c>
      <c r="L105" s="407">
        <f>P101</f>
        <v>50</v>
      </c>
      <c r="M105">
        <f>'5 A data'!L192</f>
        <v>0</v>
      </c>
      <c r="N105">
        <f>'5 A data'!M192</f>
        <v>0</v>
      </c>
      <c r="O105">
        <f>'5 A data'!N192</f>
        <v>0</v>
      </c>
      <c r="P105">
        <f>'5 A data'!O192</f>
        <v>0</v>
      </c>
    </row>
    <row r="106" spans="1:16" x14ac:dyDescent="0.2">
      <c r="A106">
        <f>'5 A data'!A193</f>
        <v>193</v>
      </c>
      <c r="B106">
        <f>'5 A data'!B193</f>
        <v>0</v>
      </c>
      <c r="C106">
        <f>'5 A data'!C193</f>
        <v>0</v>
      </c>
      <c r="D106">
        <f>'5 A data'!D193</f>
        <v>0</v>
      </c>
      <c r="E106">
        <f>'5 A data'!E193</f>
        <v>0</v>
      </c>
      <c r="F106">
        <f>'5 A data'!F193</f>
        <v>0</v>
      </c>
      <c r="G106">
        <f>'5 A data'!G193</f>
        <v>0</v>
      </c>
      <c r="H106">
        <f>'5 A data'!H193</f>
        <v>0</v>
      </c>
      <c r="I106">
        <f>'5 A data'!I193</f>
        <v>0</v>
      </c>
      <c r="J106">
        <f>'5 A data'!J193</f>
        <v>0</v>
      </c>
      <c r="K106">
        <f>'5 A data'!K193</f>
        <v>0</v>
      </c>
      <c r="L106" s="407"/>
      <c r="M106">
        <f>'5 A data'!L193</f>
        <v>0</v>
      </c>
      <c r="N106">
        <f>'5 A data'!M193</f>
        <v>0</v>
      </c>
      <c r="O106">
        <f>'5 A data'!N193</f>
        <v>0</v>
      </c>
      <c r="P106">
        <f>'5 A data'!O193</f>
        <v>0</v>
      </c>
    </row>
    <row r="107" spans="1:16" x14ac:dyDescent="0.2">
      <c r="A107">
        <f>'5 A data'!A194</f>
        <v>194</v>
      </c>
      <c r="B107">
        <f>'5 A data'!B194</f>
        <v>0</v>
      </c>
      <c r="C107">
        <f>'5 A data'!C194</f>
        <v>0</v>
      </c>
      <c r="D107">
        <f>'5 A data'!D194</f>
        <v>0</v>
      </c>
      <c r="E107">
        <f>'5 A data'!E194</f>
        <v>0</v>
      </c>
      <c r="F107">
        <f>'5 A data'!F194</f>
        <v>0</v>
      </c>
      <c r="G107">
        <f>'5 A data'!G194</f>
        <v>0</v>
      </c>
      <c r="H107">
        <f>'5 A data'!H194</f>
        <v>0</v>
      </c>
      <c r="I107">
        <f>'5 A data'!I194</f>
        <v>0</v>
      </c>
      <c r="J107">
        <f>'5 A data'!J194</f>
        <v>0</v>
      </c>
      <c r="K107">
        <f>'5 A data'!K194</f>
        <v>0</v>
      </c>
      <c r="L107" s="407"/>
      <c r="M107">
        <f>'5 A data'!L194</f>
        <v>0</v>
      </c>
      <c r="N107" t="str">
        <f>'5 A data'!M194</f>
        <v>Enter resistor value</v>
      </c>
      <c r="O107">
        <f>'5 A data'!N194</f>
        <v>0</v>
      </c>
      <c r="P107">
        <f>'5 A data'!O194</f>
        <v>50</v>
      </c>
    </row>
    <row r="108" spans="1:16" x14ac:dyDescent="0.2">
      <c r="A108">
        <f>'5 A data'!A195</f>
        <v>195</v>
      </c>
      <c r="B108">
        <f>'5 A data'!B195</f>
        <v>42983</v>
      </c>
      <c r="C108" t="str">
        <f>'5 A data'!C195</f>
        <v>3.75VA unity</v>
      </c>
      <c r="D108">
        <f>'5 A data'!D195</f>
        <v>0</v>
      </c>
      <c r="E108">
        <f>'5 A data'!E195</f>
        <v>0</v>
      </c>
      <c r="F108">
        <f>'5 A data'!F195</f>
        <v>0</v>
      </c>
      <c r="G108">
        <f>'5 A data'!G195</f>
        <v>0</v>
      </c>
      <c r="H108">
        <f>'5 A data'!H195</f>
        <v>0</v>
      </c>
      <c r="I108">
        <f>'5 A data'!I195</f>
        <v>0</v>
      </c>
      <c r="J108">
        <f>'5 A data'!J195</f>
        <v>0</v>
      </c>
      <c r="K108">
        <f>'5 A data'!K195</f>
        <v>0</v>
      </c>
      <c r="L108" s="407"/>
      <c r="M108">
        <f>'5 A data'!L195</f>
        <v>0</v>
      </c>
      <c r="N108" t="str">
        <f>'5 A data'!M195</f>
        <v>Enter resistor value</v>
      </c>
      <c r="O108">
        <f>'5 A data'!N195</f>
        <v>0</v>
      </c>
      <c r="P108">
        <f>'5 A data'!O195</f>
        <v>50</v>
      </c>
    </row>
    <row r="109" spans="1:16" x14ac:dyDescent="0.2">
      <c r="A109">
        <f>'5 A data'!A196</f>
        <v>196</v>
      </c>
      <c r="B109" t="str">
        <f>'5 A data'!B196</f>
        <v>burden test, xx ohms, yy ohms off</v>
      </c>
      <c r="C109">
        <f>'5 A data'!C196</f>
        <v>0</v>
      </c>
      <c r="D109">
        <f>'5 A data'!D196</f>
        <v>70</v>
      </c>
      <c r="E109">
        <f>'5 A data'!E196</f>
        <v>-0.13100000000000001</v>
      </c>
      <c r="F109">
        <f>'5 A data'!F196</f>
        <v>8.9</v>
      </c>
      <c r="G109">
        <f>'5 A data'!G196</f>
        <v>0.1</v>
      </c>
      <c r="H109">
        <f>'5 A data'!H196</f>
        <v>0</v>
      </c>
      <c r="I109">
        <f>'5 A data'!I196</f>
        <v>70</v>
      </c>
      <c r="J109">
        <f>'5 A data'!J196</f>
        <v>-1.3100000000000001E-2</v>
      </c>
      <c r="K109">
        <f>'5 A data'!K196</f>
        <v>2.5889050571249225E-2</v>
      </c>
      <c r="L109" s="407"/>
      <c r="M109">
        <f>'5 A data'!L196</f>
        <v>0</v>
      </c>
      <c r="N109" t="str">
        <f>'5 A data'!M196</f>
        <v>B5A5.0VA</v>
      </c>
      <c r="O109">
        <f>'5 A data'!N196</f>
        <v>0.17144999999999999</v>
      </c>
      <c r="P109">
        <f>'5 A data'!O196</f>
        <v>8.5812021556387896E-3</v>
      </c>
    </row>
    <row r="110" spans="1:16" x14ac:dyDescent="0.2">
      <c r="A110">
        <f>'5 A data'!A197</f>
        <v>197</v>
      </c>
      <c r="B110" t="str">
        <f>'5 A data'!B197</f>
        <v>burden test, xx ohms, yy ohms on</v>
      </c>
      <c r="C110">
        <f>'5 A data'!C197</f>
        <v>0</v>
      </c>
      <c r="D110">
        <f>'5 A data'!D197</f>
        <v>70</v>
      </c>
      <c r="E110">
        <f>'5 A data'!E197</f>
        <v>-0.35599999999999998</v>
      </c>
      <c r="F110">
        <f>'5 A data'!F197</f>
        <v>0.3</v>
      </c>
      <c r="G110">
        <f>'5 A data'!G197</f>
        <v>1</v>
      </c>
      <c r="H110">
        <f>'5 A data'!H197</f>
        <v>0</v>
      </c>
      <c r="I110">
        <f>'5 A data'!I197</f>
        <v>70</v>
      </c>
      <c r="J110">
        <f>'5 A data'!J197</f>
        <v>-0.35599999999999998</v>
      </c>
      <c r="K110">
        <f>'5 A data'!K197</f>
        <v>8.7266462599716477E-3</v>
      </c>
      <c r="L110" s="407">
        <f>P107</f>
        <v>50</v>
      </c>
      <c r="M110">
        <f>'5 A data'!L197</f>
        <v>0</v>
      </c>
      <c r="N110" t="str">
        <f>'5 A data'!M197</f>
        <v>B5A0VA</v>
      </c>
      <c r="O110">
        <f>'5 A data'!N197</f>
        <v>0.17235</v>
      </c>
      <c r="P110">
        <f>'5 A data'!O197</f>
        <v>8.0721477904737767E-3</v>
      </c>
    </row>
    <row r="111" spans="1:16" x14ac:dyDescent="0.2">
      <c r="A111">
        <f>'5 A data'!A198</f>
        <v>198</v>
      </c>
      <c r="B111" t="str">
        <f>'5 A data'!B198</f>
        <v>burden test, 0 ohms, yy ohms off</v>
      </c>
      <c r="C111">
        <f>'5 A data'!C198</f>
        <v>0</v>
      </c>
      <c r="D111">
        <f>'5 A data'!D198</f>
        <v>100</v>
      </c>
      <c r="E111">
        <f>'5 A data'!E198</f>
        <v>-0.13300000000000001</v>
      </c>
      <c r="F111">
        <f>'5 A data'!F198</f>
        <v>8.0500000000000007</v>
      </c>
      <c r="G111">
        <f>'5 A data'!G198</f>
        <v>0.1</v>
      </c>
      <c r="H111">
        <f>'5 A data'!H198</f>
        <v>0</v>
      </c>
      <c r="I111">
        <f>'5 A data'!I198</f>
        <v>100</v>
      </c>
      <c r="J111">
        <f>'5 A data'!J198</f>
        <v>-1.3300000000000001E-2</v>
      </c>
      <c r="K111">
        <f>'5 A data'!K198</f>
        <v>2.3416500797590594E-2</v>
      </c>
      <c r="L111" s="407"/>
      <c r="M111">
        <f>'5 A data'!L198</f>
        <v>0</v>
      </c>
      <c r="N111">
        <f>'5 A data'!M198</f>
        <v>0</v>
      </c>
      <c r="O111">
        <f>'5 A data'!N198</f>
        <v>0</v>
      </c>
      <c r="P111">
        <f>'5 A data'!O198</f>
        <v>0</v>
      </c>
    </row>
    <row r="112" spans="1:16" x14ac:dyDescent="0.2">
      <c r="A112">
        <f>'5 A data'!A199</f>
        <v>199</v>
      </c>
      <c r="B112" t="str">
        <f>'5 A data'!B199</f>
        <v>burden test, 0 ohms,yy ohms on</v>
      </c>
      <c r="C112">
        <f>'5 A data'!C199</f>
        <v>0</v>
      </c>
      <c r="D112">
        <f>'5 A data'!D199</f>
        <v>100</v>
      </c>
      <c r="E112">
        <f>'5 A data'!E199</f>
        <v>-0.35799999999999998</v>
      </c>
      <c r="F112">
        <f>'5 A data'!F199</f>
        <v>0.25</v>
      </c>
      <c r="G112">
        <f>'5 A data'!G199</f>
        <v>1</v>
      </c>
      <c r="H112">
        <f>'5 A data'!H199</f>
        <v>0</v>
      </c>
      <c r="I112">
        <f>'5 A data'!I199</f>
        <v>100</v>
      </c>
      <c r="J112">
        <f>'5 A data'!J199</f>
        <v>-0.35799999999999998</v>
      </c>
      <c r="K112">
        <f>'5 A data'!K199</f>
        <v>7.2722052166430398E-3</v>
      </c>
      <c r="L112" s="407">
        <f>P108</f>
        <v>50</v>
      </c>
      <c r="M112">
        <f>'5 A data'!L199</f>
        <v>0</v>
      </c>
      <c r="N112">
        <f>'5 A data'!M199</f>
        <v>0</v>
      </c>
      <c r="O112">
        <f>'5 A data'!N199</f>
        <v>0</v>
      </c>
      <c r="P112">
        <f>'5 A data'!O199</f>
        <v>0</v>
      </c>
    </row>
    <row r="113" spans="1:16" x14ac:dyDescent="0.2">
      <c r="A113">
        <f>'5 A data'!A200</f>
        <v>200</v>
      </c>
      <c r="B113">
        <f>'5 A data'!B200</f>
        <v>0</v>
      </c>
      <c r="C113">
        <f>'5 A data'!C200</f>
        <v>0</v>
      </c>
      <c r="D113">
        <f>'5 A data'!D200</f>
        <v>0</v>
      </c>
      <c r="E113">
        <f>'5 A data'!E200</f>
        <v>0</v>
      </c>
      <c r="F113">
        <f>'5 A data'!F200</f>
        <v>0</v>
      </c>
      <c r="G113">
        <f>'5 A data'!G200</f>
        <v>0</v>
      </c>
      <c r="H113">
        <f>'5 A data'!H200</f>
        <v>0</v>
      </c>
      <c r="I113">
        <f>'5 A data'!I200</f>
        <v>0</v>
      </c>
      <c r="J113">
        <f>'5 A data'!J200</f>
        <v>0</v>
      </c>
      <c r="K113">
        <f>'5 A data'!K200</f>
        <v>0</v>
      </c>
      <c r="L113" s="407"/>
      <c r="M113">
        <f>'5 A data'!L200</f>
        <v>0</v>
      </c>
      <c r="N113">
        <f>'5 A data'!M200</f>
        <v>0</v>
      </c>
      <c r="O113">
        <f>'5 A data'!N200</f>
        <v>0</v>
      </c>
      <c r="P113">
        <f>'5 A data'!O200</f>
        <v>0</v>
      </c>
    </row>
    <row r="114" spans="1:16" x14ac:dyDescent="0.2">
      <c r="A114">
        <f>'5 A data'!A201</f>
        <v>201</v>
      </c>
      <c r="B114">
        <f>'5 A data'!B201</f>
        <v>0</v>
      </c>
      <c r="C114">
        <f>'5 A data'!C201</f>
        <v>0</v>
      </c>
      <c r="D114">
        <f>'5 A data'!D201</f>
        <v>0</v>
      </c>
      <c r="E114">
        <f>'5 A data'!E201</f>
        <v>0</v>
      </c>
      <c r="F114">
        <f>'5 A data'!F201</f>
        <v>0</v>
      </c>
      <c r="G114">
        <f>'5 A data'!G201</f>
        <v>0</v>
      </c>
      <c r="H114">
        <f>'5 A data'!H201</f>
        <v>0</v>
      </c>
      <c r="I114">
        <f>'5 A data'!I201</f>
        <v>0</v>
      </c>
      <c r="J114">
        <f>'5 A data'!J201</f>
        <v>0</v>
      </c>
      <c r="K114">
        <f>'5 A data'!K201</f>
        <v>0</v>
      </c>
      <c r="L114" s="407"/>
      <c r="M114">
        <f>'5 A data'!L201</f>
        <v>0</v>
      </c>
      <c r="N114" t="str">
        <f>'5 A data'!M201</f>
        <v>Enter resistor value</v>
      </c>
      <c r="O114">
        <f>'5 A data'!N201</f>
        <v>0</v>
      </c>
      <c r="P114">
        <f>'5 A data'!O201</f>
        <v>50</v>
      </c>
    </row>
    <row r="115" spans="1:16" x14ac:dyDescent="0.2">
      <c r="A115">
        <f>'5 A data'!A202</f>
        <v>202</v>
      </c>
      <c r="B115">
        <f>'5 A data'!B202</f>
        <v>42983</v>
      </c>
      <c r="C115" t="str">
        <f>'5 A data'!C202</f>
        <v>5.0VA 0.8 pf</v>
      </c>
      <c r="D115">
        <f>'5 A data'!D202</f>
        <v>0</v>
      </c>
      <c r="E115">
        <f>'5 A data'!E202</f>
        <v>0</v>
      </c>
      <c r="F115">
        <f>'5 A data'!F202</f>
        <v>0</v>
      </c>
      <c r="G115">
        <f>'5 A data'!G202</f>
        <v>0</v>
      </c>
      <c r="H115">
        <f>'5 A data'!H202</f>
        <v>0</v>
      </c>
      <c r="I115">
        <f>'5 A data'!I202</f>
        <v>0</v>
      </c>
      <c r="J115">
        <f>'5 A data'!J202</f>
        <v>0</v>
      </c>
      <c r="K115">
        <f>'5 A data'!K202</f>
        <v>0</v>
      </c>
      <c r="L115" s="407"/>
      <c r="M115">
        <f>'5 A data'!L202</f>
        <v>0</v>
      </c>
      <c r="N115" t="str">
        <f>'5 A data'!M202</f>
        <v>Enter resistor value</v>
      </c>
      <c r="O115">
        <f>'5 A data'!N202</f>
        <v>0</v>
      </c>
      <c r="P115">
        <f>'5 A data'!O202</f>
        <v>50</v>
      </c>
    </row>
    <row r="116" spans="1:16" x14ac:dyDescent="0.2">
      <c r="A116">
        <f>'5 A data'!A203</f>
        <v>203</v>
      </c>
      <c r="B116" t="str">
        <f>'5 A data'!B203</f>
        <v>burden test, xx ohms, yy ohms off</v>
      </c>
      <c r="C116">
        <f>'5 A data'!C203</f>
        <v>0</v>
      </c>
      <c r="D116">
        <f>'5 A data'!D203</f>
        <v>70</v>
      </c>
      <c r="E116">
        <f>'5 A data'!E203</f>
        <v>-0.24399999999999999</v>
      </c>
      <c r="F116">
        <f>'5 A data'!F203</f>
        <v>7.6</v>
      </c>
      <c r="G116">
        <f>'5 A data'!G203</f>
        <v>0.1</v>
      </c>
      <c r="H116">
        <f>'5 A data'!H203</f>
        <v>0</v>
      </c>
      <c r="I116">
        <f>'5 A data'!I203</f>
        <v>70</v>
      </c>
      <c r="J116">
        <f>'5 A data'!J203</f>
        <v>-2.4400000000000002E-2</v>
      </c>
      <c r="K116">
        <f>'5 A data'!K203</f>
        <v>2.2107503858594838E-2</v>
      </c>
      <c r="L116" s="407"/>
      <c r="M116">
        <f>'5 A data'!L203</f>
        <v>0</v>
      </c>
      <c r="N116" t="str">
        <f>'5 A data'!M203</f>
        <v>B5A5.0VA</v>
      </c>
      <c r="O116">
        <f>'5 A data'!N203</f>
        <v>0.18730000000000005</v>
      </c>
      <c r="P116">
        <f>'5 A data'!O203</f>
        <v>0.1172279480922858</v>
      </c>
    </row>
    <row r="117" spans="1:16" x14ac:dyDescent="0.2">
      <c r="A117">
        <f>'5 A data'!A204</f>
        <v>204</v>
      </c>
      <c r="B117" t="str">
        <f>'5 A data'!B204</f>
        <v>burden test, xx ohms, yy ohms on</v>
      </c>
      <c r="C117">
        <f>'5 A data'!C204</f>
        <v>0</v>
      </c>
      <c r="D117">
        <f>'5 A data'!D204</f>
        <v>70</v>
      </c>
      <c r="E117">
        <f>'5 A data'!E204</f>
        <v>-0.39900000000000002</v>
      </c>
      <c r="F117">
        <f>'5 A data'!F204</f>
        <v>-7.3</v>
      </c>
      <c r="G117">
        <f>'5 A data'!G204</f>
        <v>1</v>
      </c>
      <c r="H117">
        <f>'5 A data'!H204</f>
        <v>0</v>
      </c>
      <c r="I117">
        <f>'5 A data'!I204</f>
        <v>70</v>
      </c>
      <c r="J117">
        <f>'5 A data'!J204</f>
        <v>-0.39900000000000002</v>
      </c>
      <c r="K117">
        <f>'5 A data'!K204</f>
        <v>-0.21234839232597674</v>
      </c>
      <c r="L117" s="407">
        <f>P114</f>
        <v>50</v>
      </c>
      <c r="M117">
        <f>'5 A data'!L204</f>
        <v>0</v>
      </c>
      <c r="N117" t="str">
        <f>'5 A data'!M204</f>
        <v>B5A0VA</v>
      </c>
      <c r="O117">
        <f>'5 A data'!N204</f>
        <v>0.18715000000000001</v>
      </c>
      <c r="P117">
        <f>'5 A data'!O204</f>
        <v>0.11737339219661866</v>
      </c>
    </row>
    <row r="118" spans="1:16" x14ac:dyDescent="0.2">
      <c r="A118">
        <f>'5 A data'!A205</f>
        <v>205</v>
      </c>
      <c r="B118" t="str">
        <f>'5 A data'!B205</f>
        <v>burden test, 0 ohms, yy ohms off</v>
      </c>
      <c r="C118">
        <f>'5 A data'!C205</f>
        <v>0</v>
      </c>
      <c r="D118">
        <f>'5 A data'!D205</f>
        <v>100</v>
      </c>
      <c r="E118">
        <f>'5 A data'!E205</f>
        <v>-0.23699999999999999</v>
      </c>
      <c r="F118">
        <f>'5 A data'!F205</f>
        <v>6.7</v>
      </c>
      <c r="G118">
        <f>'5 A data'!G205</f>
        <v>0.1</v>
      </c>
      <c r="H118">
        <f>'5 A data'!H205</f>
        <v>0</v>
      </c>
      <c r="I118">
        <f>'5 A data'!I205</f>
        <v>100</v>
      </c>
      <c r="J118">
        <f>'5 A data'!J205</f>
        <v>-2.3699999999999999E-2</v>
      </c>
      <c r="K118">
        <f>'5 A data'!K205</f>
        <v>1.9489509980603347E-2</v>
      </c>
      <c r="L118" s="407"/>
      <c r="M118">
        <f>'5 A data'!L205</f>
        <v>0</v>
      </c>
      <c r="N118">
        <f>'5 A data'!M205</f>
        <v>0</v>
      </c>
      <c r="O118">
        <f>'5 A data'!N205</f>
        <v>0</v>
      </c>
      <c r="P118">
        <f>'5 A data'!O205</f>
        <v>0</v>
      </c>
    </row>
    <row r="119" spans="1:16" x14ac:dyDescent="0.2">
      <c r="A119">
        <f>'5 A data'!A206</f>
        <v>206</v>
      </c>
      <c r="B119" t="str">
        <f>'5 A data'!B206</f>
        <v>burden test, 0 ohms,yy ohms on</v>
      </c>
      <c r="C119">
        <f>'5 A data'!C206</f>
        <v>0</v>
      </c>
      <c r="D119">
        <f>'5 A data'!D206</f>
        <v>100</v>
      </c>
      <c r="E119">
        <f>'5 A data'!E206</f>
        <v>-0.39800000000000002</v>
      </c>
      <c r="F119">
        <f>'5 A data'!F206</f>
        <v>-7.4</v>
      </c>
      <c r="G119">
        <f>'5 A data'!G206</f>
        <v>1</v>
      </c>
      <c r="H119">
        <f>'5 A data'!H206</f>
        <v>0</v>
      </c>
      <c r="I119">
        <f>'5 A data'!I206</f>
        <v>100</v>
      </c>
      <c r="J119">
        <f>'5 A data'!J206</f>
        <v>-0.39800000000000002</v>
      </c>
      <c r="K119">
        <f>'5 A data'!K206</f>
        <v>-0.21525727441263398</v>
      </c>
      <c r="L119" s="407">
        <f>P115</f>
        <v>50</v>
      </c>
      <c r="M119">
        <f>'5 A data'!L206</f>
        <v>0</v>
      </c>
      <c r="N119">
        <f>'5 A data'!M206</f>
        <v>0</v>
      </c>
      <c r="O119">
        <f>'5 A data'!N206</f>
        <v>0</v>
      </c>
      <c r="P119">
        <f>'5 A data'!O206</f>
        <v>0</v>
      </c>
    </row>
    <row r="120" spans="1:16" x14ac:dyDescent="0.2">
      <c r="A120">
        <f>'5 A data'!A207</f>
        <v>207</v>
      </c>
      <c r="B120">
        <f>'5 A data'!B207</f>
        <v>0</v>
      </c>
      <c r="C120">
        <f>'5 A data'!C207</f>
        <v>0</v>
      </c>
      <c r="D120">
        <f>'5 A data'!D207</f>
        <v>0</v>
      </c>
      <c r="E120">
        <f>'5 A data'!E207</f>
        <v>0</v>
      </c>
      <c r="F120">
        <f>'5 A data'!F207</f>
        <v>0</v>
      </c>
      <c r="G120">
        <f>'5 A data'!G207</f>
        <v>0</v>
      </c>
      <c r="H120">
        <f>'5 A data'!H207</f>
        <v>0</v>
      </c>
      <c r="I120">
        <f>'5 A data'!I207</f>
        <v>0</v>
      </c>
      <c r="J120">
        <f>'5 A data'!J207</f>
        <v>0</v>
      </c>
      <c r="K120">
        <f>'5 A data'!K207</f>
        <v>0</v>
      </c>
      <c r="L120" s="407"/>
      <c r="M120">
        <f>'5 A data'!L207</f>
        <v>0</v>
      </c>
      <c r="N120">
        <f>'5 A data'!M207</f>
        <v>0</v>
      </c>
      <c r="O120">
        <f>'5 A data'!N207</f>
        <v>0</v>
      </c>
      <c r="P120">
        <f>'5 A data'!O207</f>
        <v>0</v>
      </c>
    </row>
    <row r="121" spans="1:16" x14ac:dyDescent="0.2">
      <c r="A121">
        <f>'5 A data'!A208</f>
        <v>208</v>
      </c>
      <c r="B121">
        <f>'5 A data'!B208</f>
        <v>0</v>
      </c>
      <c r="C121">
        <f>'5 A data'!C208</f>
        <v>0</v>
      </c>
      <c r="D121">
        <f>'5 A data'!D208</f>
        <v>0</v>
      </c>
      <c r="E121">
        <f>'5 A data'!E208</f>
        <v>0</v>
      </c>
      <c r="F121">
        <f>'5 A data'!F208</f>
        <v>0</v>
      </c>
      <c r="G121">
        <f>'5 A data'!G208</f>
        <v>0</v>
      </c>
      <c r="H121">
        <f>'5 A data'!H208</f>
        <v>0</v>
      </c>
      <c r="I121">
        <f>'5 A data'!I208</f>
        <v>0</v>
      </c>
      <c r="J121">
        <f>'5 A data'!J208</f>
        <v>0</v>
      </c>
      <c r="K121">
        <f>'5 A data'!K208</f>
        <v>0</v>
      </c>
      <c r="L121" s="407"/>
      <c r="M121">
        <f>'5 A data'!L208</f>
        <v>0</v>
      </c>
      <c r="N121" t="str">
        <f>'5 A data'!M208</f>
        <v>Enter resistor value</v>
      </c>
      <c r="O121">
        <f>'5 A data'!N208</f>
        <v>0</v>
      </c>
      <c r="P121">
        <f>'5 A data'!O208</f>
        <v>50</v>
      </c>
    </row>
    <row r="122" spans="1:16" x14ac:dyDescent="0.2">
      <c r="A122">
        <f>'5 A data'!A209</f>
        <v>209</v>
      </c>
      <c r="B122">
        <f>'5 A data'!B209</f>
        <v>42983</v>
      </c>
      <c r="C122" t="str">
        <f>'5 A data'!C209</f>
        <v>7.5VA 0.8 pf</v>
      </c>
      <c r="D122">
        <f>'5 A data'!D209</f>
        <v>0</v>
      </c>
      <c r="E122">
        <f>'5 A data'!E209</f>
        <v>0</v>
      </c>
      <c r="F122">
        <f>'5 A data'!F209</f>
        <v>0</v>
      </c>
      <c r="G122">
        <f>'5 A data'!G209</f>
        <v>0</v>
      </c>
      <c r="H122">
        <f>'5 A data'!H209</f>
        <v>0</v>
      </c>
      <c r="I122">
        <f>'5 A data'!I209</f>
        <v>0</v>
      </c>
      <c r="J122">
        <f>'5 A data'!J209</f>
        <v>0</v>
      </c>
      <c r="K122">
        <f>'5 A data'!K209</f>
        <v>0</v>
      </c>
      <c r="L122" s="407"/>
      <c r="M122">
        <f>'5 A data'!L209</f>
        <v>0</v>
      </c>
      <c r="N122" t="str">
        <f>'5 A data'!M209</f>
        <v>Enter resistor value</v>
      </c>
      <c r="O122">
        <f>'5 A data'!N209</f>
        <v>0</v>
      </c>
      <c r="P122">
        <f>'5 A data'!O209</f>
        <v>50</v>
      </c>
    </row>
    <row r="123" spans="1:16" x14ac:dyDescent="0.2">
      <c r="A123">
        <f>'5 A data'!A210</f>
        <v>210</v>
      </c>
      <c r="B123" t="str">
        <f>'5 A data'!B210</f>
        <v>burden test, xx ohms, yy ohms off</v>
      </c>
      <c r="C123">
        <f>'5 A data'!C210</f>
        <v>0</v>
      </c>
      <c r="D123">
        <f>'5 A data'!D210</f>
        <v>70</v>
      </c>
      <c r="E123">
        <f>'5 A data'!E210</f>
        <v>-0.32800000000000001</v>
      </c>
      <c r="F123">
        <f>'5 A data'!F210</f>
        <v>8.8000000000000007</v>
      </c>
      <c r="G123">
        <f>'5 A data'!G210</f>
        <v>0.1</v>
      </c>
      <c r="H123">
        <f>'5 A data'!H210</f>
        <v>0</v>
      </c>
      <c r="I123">
        <f>'5 A data'!I210</f>
        <v>70</v>
      </c>
      <c r="J123">
        <f>'5 A data'!J210</f>
        <v>-3.2800000000000003E-2</v>
      </c>
      <c r="K123">
        <f>'5 A data'!K210</f>
        <v>2.5598162362583502E-2</v>
      </c>
      <c r="L123" s="407"/>
      <c r="M123">
        <f>'5 A data'!L210</f>
        <v>0</v>
      </c>
      <c r="N123" t="str">
        <f>'5 A data'!M210</f>
        <v>B5A5.0VA</v>
      </c>
      <c r="O123">
        <f>'5 A data'!N210</f>
        <v>0.27459999999999996</v>
      </c>
      <c r="P123">
        <f>'5 A data'!O210</f>
        <v>0.17278759594743862</v>
      </c>
    </row>
    <row r="124" spans="1:16" x14ac:dyDescent="0.2">
      <c r="A124">
        <f>'5 A data'!A211</f>
        <v>211</v>
      </c>
      <c r="B124" t="str">
        <f>'5 A data'!B211</f>
        <v>burden test, xx ohms, yy ohms on</v>
      </c>
      <c r="C124">
        <f>'5 A data'!C211</f>
        <v>0</v>
      </c>
      <c r="D124">
        <f>'5 A data'!D211</f>
        <v>70</v>
      </c>
      <c r="E124">
        <f>'5 A data'!E211</f>
        <v>-0.29099999999999998</v>
      </c>
      <c r="F124">
        <f>'5 A data'!F211</f>
        <v>-5.5</v>
      </c>
      <c r="G124">
        <f>'5 A data'!G211</f>
        <v>2</v>
      </c>
      <c r="H124">
        <f>'5 A data'!H211</f>
        <v>0</v>
      </c>
      <c r="I124">
        <f>'5 A data'!I211</f>
        <v>70</v>
      </c>
      <c r="J124">
        <f>'5 A data'!J211</f>
        <v>-0.58199999999999996</v>
      </c>
      <c r="K124">
        <f>'5 A data'!K211</f>
        <v>-0.31997702953229373</v>
      </c>
      <c r="L124" s="407">
        <f>P121</f>
        <v>50</v>
      </c>
      <c r="M124">
        <f>'5 A data'!L211</f>
        <v>0</v>
      </c>
      <c r="N124" t="str">
        <f>'5 A data'!M211</f>
        <v>B5A0VA</v>
      </c>
      <c r="O124">
        <f>'5 A data'!N211</f>
        <v>0.27415</v>
      </c>
      <c r="P124">
        <f>'5 A data'!O211</f>
        <v>0.1724967077387729</v>
      </c>
    </row>
    <row r="125" spans="1:16" x14ac:dyDescent="0.2">
      <c r="A125">
        <f>'5 A data'!A212</f>
        <v>212</v>
      </c>
      <c r="B125" t="str">
        <f>'5 A data'!B212</f>
        <v>burden test, 0 ohms, yy ohms off</v>
      </c>
      <c r="C125">
        <f>'5 A data'!C212</f>
        <v>0</v>
      </c>
      <c r="D125">
        <f>'5 A data'!D212</f>
        <v>100</v>
      </c>
      <c r="E125">
        <f>'5 A data'!E212</f>
        <v>-0.317</v>
      </c>
      <c r="F125">
        <f>'5 A data'!F212</f>
        <v>7.6</v>
      </c>
      <c r="G125">
        <f>'5 A data'!G212</f>
        <v>0.1</v>
      </c>
      <c r="H125">
        <f>'5 A data'!H212</f>
        <v>0</v>
      </c>
      <c r="I125">
        <f>'5 A data'!I212</f>
        <v>100</v>
      </c>
      <c r="J125">
        <f>'5 A data'!J212</f>
        <v>-3.1699999999999999E-2</v>
      </c>
      <c r="K125">
        <f>'5 A data'!K212</f>
        <v>2.2107503858594838E-2</v>
      </c>
      <c r="L125" s="407"/>
      <c r="M125">
        <f>'5 A data'!L212</f>
        <v>0</v>
      </c>
      <c r="N125">
        <f>'5 A data'!M212</f>
        <v>0</v>
      </c>
      <c r="O125">
        <f>'5 A data'!N212</f>
        <v>0</v>
      </c>
      <c r="P125">
        <f>'5 A data'!O212</f>
        <v>0</v>
      </c>
    </row>
    <row r="126" spans="1:16" x14ac:dyDescent="0.2">
      <c r="A126">
        <f>'5 A data'!A213</f>
        <v>213</v>
      </c>
      <c r="B126" t="str">
        <f>'5 A data'!B213</f>
        <v>burden test, 0 ohms,yy ohms on</v>
      </c>
      <c r="C126">
        <f>'5 A data'!C213</f>
        <v>0</v>
      </c>
      <c r="D126">
        <f>'5 A data'!D213</f>
        <v>100</v>
      </c>
      <c r="E126">
        <f>'5 A data'!E213</f>
        <v>-0.28999999999999998</v>
      </c>
      <c r="F126">
        <f>'5 A data'!F213</f>
        <v>-5.55</v>
      </c>
      <c r="G126">
        <f>'5 A data'!G213</f>
        <v>2</v>
      </c>
      <c r="H126">
        <f>'5 A data'!H213</f>
        <v>0</v>
      </c>
      <c r="I126">
        <f>'5 A data'!I213</f>
        <v>100</v>
      </c>
      <c r="J126">
        <f>'5 A data'!J213</f>
        <v>-0.57999999999999996</v>
      </c>
      <c r="K126">
        <f>'5 A data'!K213</f>
        <v>-0.32288591161895097</v>
      </c>
      <c r="L126" s="407">
        <f>P122</f>
        <v>50</v>
      </c>
      <c r="M126">
        <f>'5 A data'!L213</f>
        <v>0</v>
      </c>
      <c r="N126">
        <f>'5 A data'!M213</f>
        <v>0</v>
      </c>
      <c r="O126">
        <f>'5 A data'!N213</f>
        <v>0</v>
      </c>
      <c r="P126">
        <f>'5 A data'!O213</f>
        <v>0</v>
      </c>
    </row>
    <row r="127" spans="1:16" x14ac:dyDescent="0.2">
      <c r="A127">
        <f>'5 A data'!A214</f>
        <v>214</v>
      </c>
      <c r="B127">
        <f>'5 A data'!B214</f>
        <v>0</v>
      </c>
      <c r="C127">
        <f>'5 A data'!C214</f>
        <v>0</v>
      </c>
      <c r="D127">
        <f>'5 A data'!D214</f>
        <v>0</v>
      </c>
      <c r="E127">
        <f>'5 A data'!E214</f>
        <v>0</v>
      </c>
      <c r="F127">
        <f>'5 A data'!F214</f>
        <v>0</v>
      </c>
      <c r="G127">
        <f>'5 A data'!G214</f>
        <v>0</v>
      </c>
      <c r="H127">
        <f>'5 A data'!H214</f>
        <v>0</v>
      </c>
      <c r="I127">
        <f>'5 A data'!I214</f>
        <v>0</v>
      </c>
      <c r="J127">
        <f>'5 A data'!J214</f>
        <v>0</v>
      </c>
      <c r="K127">
        <f>'5 A data'!K214</f>
        <v>0</v>
      </c>
      <c r="L127" s="407"/>
      <c r="M127">
        <f>'5 A data'!L214</f>
        <v>0</v>
      </c>
      <c r="N127">
        <f>'5 A data'!M214</f>
        <v>0</v>
      </c>
      <c r="O127">
        <f>'5 A data'!N214</f>
        <v>0</v>
      </c>
      <c r="P127">
        <f>'5 A data'!O214</f>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46"/>
  <sheetViews>
    <sheetView topLeftCell="A18" workbookViewId="0">
      <selection activeCell="Q46" sqref="Q46"/>
    </sheetView>
  </sheetViews>
  <sheetFormatPr defaultRowHeight="12.75" x14ac:dyDescent="0.2"/>
  <cols>
    <col min="1" max="1" width="15.5703125" customWidth="1"/>
  </cols>
  <sheetData>
    <row r="1" spans="1:7" x14ac:dyDescent="0.2">
      <c r="A1" t="s">
        <v>482</v>
      </c>
    </row>
    <row r="2" spans="1:7" x14ac:dyDescent="0.2">
      <c r="A2" t="s">
        <v>465</v>
      </c>
      <c r="B2" t="s">
        <v>188</v>
      </c>
      <c r="C2" t="s">
        <v>466</v>
      </c>
      <c r="D2" t="s">
        <v>467</v>
      </c>
      <c r="E2" t="s">
        <v>468</v>
      </c>
      <c r="F2" t="s">
        <v>469</v>
      </c>
      <c r="G2" t="s">
        <v>467</v>
      </c>
    </row>
    <row r="3" spans="1:7" x14ac:dyDescent="0.2">
      <c r="A3" t="s">
        <v>470</v>
      </c>
      <c r="B3">
        <v>2.200048189510987E-2</v>
      </c>
      <c r="C3">
        <v>2.2508232823913589E-3</v>
      </c>
      <c r="D3">
        <v>45.965483525010541</v>
      </c>
      <c r="E3">
        <v>1.4545050408433389E-3</v>
      </c>
      <c r="F3">
        <v>2.7432654481201672E-3</v>
      </c>
      <c r="G3">
        <v>37.280019909890783</v>
      </c>
    </row>
    <row r="4" spans="1:7" x14ac:dyDescent="0.2">
      <c r="A4" t="s">
        <v>470</v>
      </c>
      <c r="B4">
        <v>2.1704696374683679E-2</v>
      </c>
      <c r="C4">
        <v>2.251701379611065E-4</v>
      </c>
      <c r="D4">
        <v>45.965483597437519</v>
      </c>
      <c r="E4">
        <v>1.164057980854654E-3</v>
      </c>
      <c r="F4">
        <v>2.7375059334749301E-4</v>
      </c>
      <c r="G4">
        <v>37.050936270549293</v>
      </c>
    </row>
    <row r="5" spans="1:7" x14ac:dyDescent="0.2">
      <c r="A5" t="s">
        <v>471</v>
      </c>
      <c r="B5">
        <v>7.1005007504346115E-2</v>
      </c>
      <c r="C5">
        <v>2.251043884150622E-3</v>
      </c>
      <c r="D5">
        <v>45.965483543353017</v>
      </c>
      <c r="E5">
        <v>5.818590383620416E-3</v>
      </c>
      <c r="F5">
        <v>2.817439725132606E-3</v>
      </c>
      <c r="G5">
        <v>39.719447881810723</v>
      </c>
    </row>
    <row r="6" spans="1:7" x14ac:dyDescent="0.2">
      <c r="A6" t="s">
        <v>471</v>
      </c>
      <c r="B6">
        <v>7.1851411152425979E-2</v>
      </c>
      <c r="C6">
        <v>2.25395977183452E-4</v>
      </c>
      <c r="D6">
        <v>45.965484532382867</v>
      </c>
      <c r="E6">
        <v>4.2239424219125332E-3</v>
      </c>
      <c r="F6">
        <v>2.8045171352589568E-4</v>
      </c>
      <c r="G6">
        <v>39.361251590705017</v>
      </c>
    </row>
    <row r="7" spans="1:7" x14ac:dyDescent="0.2">
      <c r="A7" t="s">
        <v>471</v>
      </c>
      <c r="B7">
        <v>7.1450825231165541E-2</v>
      </c>
      <c r="C7">
        <v>4.5078834516858461E-4</v>
      </c>
      <c r="D7">
        <v>45.965484481752092</v>
      </c>
      <c r="E7">
        <v>4.3695606266571331E-3</v>
      </c>
      <c r="F7">
        <v>5.2737145461673434E-4</v>
      </c>
      <c r="G7">
        <v>33.223754809574331</v>
      </c>
    </row>
    <row r="8" spans="1:7" x14ac:dyDescent="0.2">
      <c r="A8" t="s">
        <v>471</v>
      </c>
      <c r="B8">
        <v>7.1851423236208578E-2</v>
      </c>
      <c r="C8">
        <v>4.5079195409221731E-4</v>
      </c>
      <c r="D8">
        <v>45.96548435374342</v>
      </c>
      <c r="E8">
        <v>4.0782892354424873E-3</v>
      </c>
      <c r="F8">
        <v>5.2587891088942142E-4</v>
      </c>
      <c r="G8">
        <v>32.929771252637543</v>
      </c>
    </row>
    <row r="9" spans="1:7" x14ac:dyDescent="0.2">
      <c r="A9" t="s">
        <v>471</v>
      </c>
      <c r="B9">
        <v>7.2452289369834277E-2</v>
      </c>
      <c r="C9">
        <v>4.5079736750803682E-4</v>
      </c>
      <c r="D9">
        <v>45.965484344292179</v>
      </c>
      <c r="E9">
        <v>4.0783382105181176E-3</v>
      </c>
      <c r="F9">
        <v>5.2288350179229991E-4</v>
      </c>
      <c r="G9">
        <v>32.339452350762791</v>
      </c>
    </row>
    <row r="10" spans="1:7" x14ac:dyDescent="0.2">
      <c r="A10" t="s">
        <v>472</v>
      </c>
      <c r="B10">
        <v>0.12174759636821381</v>
      </c>
      <c r="C10">
        <v>4.5124160141290809E-4</v>
      </c>
      <c r="D10">
        <v>45.965485842874131</v>
      </c>
      <c r="E10">
        <v>6.7067296187779254E-3</v>
      </c>
      <c r="F10">
        <v>5.3600592944363196E-4</v>
      </c>
      <c r="G10">
        <v>34.805458756977877</v>
      </c>
    </row>
    <row r="11" spans="1:7" x14ac:dyDescent="0.2">
      <c r="A11" t="s">
        <v>472</v>
      </c>
      <c r="B11">
        <v>0.1231511366000598</v>
      </c>
      <c r="C11">
        <v>4.5125425186523109E-4</v>
      </c>
      <c r="D11">
        <v>45.965485255237454</v>
      </c>
      <c r="E11">
        <v>5.8321023018498589E-3</v>
      </c>
      <c r="F11">
        <v>5.323763383459412E-4</v>
      </c>
      <c r="G11">
        <v>34.09854970457117</v>
      </c>
    </row>
    <row r="12" spans="1:7" x14ac:dyDescent="0.2">
      <c r="A12" t="s">
        <v>473</v>
      </c>
      <c r="B12">
        <v>0.17109173562739011</v>
      </c>
      <c r="C12">
        <v>4.5168649258161349E-4</v>
      </c>
      <c r="D12">
        <v>45.96548612356144</v>
      </c>
      <c r="E12">
        <v>7.0052263910919052E-3</v>
      </c>
      <c r="F12">
        <v>5.4420180920915142E-4</v>
      </c>
      <c r="G12">
        <v>36.237831822594572</v>
      </c>
    </row>
    <row r="13" spans="1:7" x14ac:dyDescent="0.2">
      <c r="A13" t="s">
        <v>473</v>
      </c>
      <c r="B13">
        <v>0.17269706405609539</v>
      </c>
      <c r="C13">
        <v>4.5170097141579912E-4</v>
      </c>
      <c r="D13">
        <v>45.965487011800121</v>
      </c>
      <c r="E13">
        <v>8.173026090710021E-3</v>
      </c>
      <c r="F13">
        <v>5.4073584799224639E-4</v>
      </c>
      <c r="G13">
        <v>35.618187811087367</v>
      </c>
    </row>
    <row r="14" spans="1:7" x14ac:dyDescent="0.2">
      <c r="A14" t="s">
        <v>474</v>
      </c>
      <c r="B14">
        <v>0.18780955633185331</v>
      </c>
      <c r="C14">
        <v>4.5183870665222359E-4</v>
      </c>
      <c r="D14">
        <v>45.96633173243498</v>
      </c>
      <c r="E14">
        <v>0.1197127361461439</v>
      </c>
      <c r="F14">
        <v>8.2952449626062233E-4</v>
      </c>
      <c r="G14">
        <v>89.815930639417331</v>
      </c>
    </row>
    <row r="15" spans="1:7" x14ac:dyDescent="0.2">
      <c r="A15" t="s">
        <v>474</v>
      </c>
      <c r="B15">
        <v>0.18660506087059661</v>
      </c>
      <c r="C15">
        <v>4.5182783329971219E-4</v>
      </c>
      <c r="D15">
        <v>45.966328035745043</v>
      </c>
      <c r="E15">
        <v>0.1197098576964189</v>
      </c>
      <c r="F15">
        <v>8.2864244271138696E-4</v>
      </c>
      <c r="G15">
        <v>89.435911100423695</v>
      </c>
    </row>
    <row r="16" spans="1:7" x14ac:dyDescent="0.2">
      <c r="A16" t="s">
        <v>475</v>
      </c>
      <c r="B16">
        <v>0.27423841690417289</v>
      </c>
      <c r="C16">
        <v>4.5262063638949708E-4</v>
      </c>
      <c r="D16">
        <v>45.967464072628403</v>
      </c>
      <c r="E16">
        <v>0.17724697937531081</v>
      </c>
      <c r="F16">
        <v>1.0670289346686301E-3</v>
      </c>
      <c r="G16">
        <v>84.658772737263732</v>
      </c>
    </row>
    <row r="17" spans="1:7" x14ac:dyDescent="0.2">
      <c r="A17" t="s">
        <v>475</v>
      </c>
      <c r="B17">
        <v>0.27343403203897121</v>
      </c>
      <c r="C17">
        <v>4.5261335337014698E-4</v>
      </c>
      <c r="D17">
        <v>45.967455394624587</v>
      </c>
      <c r="E17">
        <v>0.17724413568058969</v>
      </c>
      <c r="F17">
        <v>1.0662891878902179E-3</v>
      </c>
      <c r="G17">
        <v>84.436480467259756</v>
      </c>
    </row>
    <row r="18" spans="1:7" x14ac:dyDescent="0.2">
      <c r="A18" t="s">
        <v>473</v>
      </c>
      <c r="B18">
        <v>0.1712921454139395</v>
      </c>
      <c r="C18">
        <v>4.516883017805707E-4</v>
      </c>
      <c r="D18">
        <v>45.965487378958663</v>
      </c>
      <c r="E18">
        <v>8.7565680509401472E-3</v>
      </c>
      <c r="F18">
        <v>5.308690136083833E-4</v>
      </c>
      <c r="G18">
        <v>33.741710159869633</v>
      </c>
    </row>
    <row r="19" spans="1:7" x14ac:dyDescent="0.2">
      <c r="A19" t="s">
        <v>473</v>
      </c>
      <c r="B19">
        <v>0.172897707359882</v>
      </c>
      <c r="C19">
        <v>4.5170278082487118E-4</v>
      </c>
      <c r="D19">
        <v>45.965487066880833</v>
      </c>
      <c r="E19">
        <v>8.4649537938231937E-3</v>
      </c>
      <c r="F19">
        <v>5.2639657028093862E-4</v>
      </c>
      <c r="G19">
        <v>32.853706688138772</v>
      </c>
    </row>
    <row r="20" spans="1:7" x14ac:dyDescent="0.2">
      <c r="A20" t="s">
        <v>470</v>
      </c>
      <c r="B20">
        <v>2.2204915946775081E-2</v>
      </c>
      <c r="C20">
        <v>2.2517239016402841E-4</v>
      </c>
      <c r="D20">
        <v>45.96548359410825</v>
      </c>
      <c r="E20">
        <v>1.164069624048356E-3</v>
      </c>
      <c r="F20">
        <v>2.6749017573887642E-4</v>
      </c>
      <c r="G20">
        <v>34.769392828048723</v>
      </c>
    </row>
    <row r="21" spans="1:7" x14ac:dyDescent="0.2">
      <c r="A21" t="s">
        <v>470</v>
      </c>
      <c r="B21">
        <v>2.2204899012309241E-2</v>
      </c>
      <c r="C21">
        <v>2.251723901549277E-4</v>
      </c>
      <c r="D21">
        <v>45.965483680064622</v>
      </c>
      <c r="E21">
        <v>1.746104435776912E-3</v>
      </c>
      <c r="F21">
        <v>2.659918820128771E-4</v>
      </c>
      <c r="G21">
        <v>34.208594434591937</v>
      </c>
    </row>
    <row r="22" spans="1:7" x14ac:dyDescent="0.2">
      <c r="A22" t="s">
        <v>470</v>
      </c>
      <c r="B22">
        <v>2.2031938697912559E-2</v>
      </c>
      <c r="C22">
        <v>2.2641439488095051E-5</v>
      </c>
      <c r="D22">
        <v>46.043651421605468</v>
      </c>
      <c r="E22">
        <v>3.1016745608270779E-3</v>
      </c>
      <c r="F22">
        <v>3.1397077858111422E-5</v>
      </c>
      <c r="G22">
        <v>58.972134855755087</v>
      </c>
    </row>
    <row r="23" spans="1:7" x14ac:dyDescent="0.2">
      <c r="A23" t="s">
        <v>470</v>
      </c>
      <c r="B23">
        <v>2.21127892299855E-2</v>
      </c>
      <c r="C23">
        <v>2.2641872681856401E-5</v>
      </c>
      <c r="D23">
        <v>46.044199675703958</v>
      </c>
      <c r="E23">
        <v>2.428971769603537E-3</v>
      </c>
      <c r="F23">
        <v>2.9377623355192669E-5</v>
      </c>
      <c r="G23">
        <v>48.417196937785867</v>
      </c>
    </row>
    <row r="24" spans="1:7" x14ac:dyDescent="0.2">
      <c r="A24" t="s">
        <v>471</v>
      </c>
      <c r="B24">
        <v>7.1921664066876528E-2</v>
      </c>
      <c r="C24">
        <v>2.2958674774191021E-5</v>
      </c>
      <c r="D24">
        <v>46.781765102108452</v>
      </c>
      <c r="E24">
        <v>3.667030719976338E-3</v>
      </c>
      <c r="F24">
        <v>3.34461303328224E-5</v>
      </c>
      <c r="G24">
        <v>67.590674681942872</v>
      </c>
    </row>
    <row r="25" spans="1:7" x14ac:dyDescent="0.2">
      <c r="A25" t="s">
        <v>471</v>
      </c>
      <c r="B25">
        <v>7.2307462055711813E-2</v>
      </c>
      <c r="C25">
        <v>2.2961503200564051E-5</v>
      </c>
      <c r="D25">
        <v>46.790428594368358</v>
      </c>
      <c r="E25">
        <v>3.8298223443361118E-3</v>
      </c>
      <c r="F25">
        <v>3.3983979220025178E-5</v>
      </c>
      <c r="G25">
        <v>70.026113407516732</v>
      </c>
    </row>
    <row r="26" spans="1:7" x14ac:dyDescent="0.2">
      <c r="A26" t="s">
        <v>470</v>
      </c>
      <c r="B26">
        <v>2.2309923124440589E-2</v>
      </c>
      <c r="C26">
        <v>1.126366618476623E-4</v>
      </c>
      <c r="D26">
        <v>45.965483802740607</v>
      </c>
      <c r="E26">
        <v>1.16459141792113E-3</v>
      </c>
      <c r="F26">
        <v>1.3336333596045271E-4</v>
      </c>
      <c r="G26">
        <v>34.452736680906312</v>
      </c>
    </row>
    <row r="27" spans="1:7" x14ac:dyDescent="0.2">
      <c r="A27" t="s">
        <v>470</v>
      </c>
      <c r="B27">
        <v>2.2309923124440589E-2</v>
      </c>
      <c r="C27">
        <v>1.1263666184559931E-4</v>
      </c>
      <c r="D27">
        <v>45.965483799373153</v>
      </c>
      <c r="E27">
        <v>1.16459141792113E-3</v>
      </c>
      <c r="F27">
        <v>1.325572716235917E-4</v>
      </c>
      <c r="G27">
        <v>33.834887071855093</v>
      </c>
    </row>
    <row r="28" spans="1:7" x14ac:dyDescent="0.2">
      <c r="A28" t="s">
        <v>471</v>
      </c>
      <c r="B28">
        <v>7.1752386692148201E-2</v>
      </c>
      <c r="C28">
        <v>1.128594355789462E-4</v>
      </c>
      <c r="D28">
        <v>45.965488038105583</v>
      </c>
      <c r="E28">
        <v>4.6675789947854332E-3</v>
      </c>
      <c r="F28">
        <v>1.3615888154880739E-4</v>
      </c>
      <c r="G28">
        <v>36.742628135801418</v>
      </c>
    </row>
    <row r="29" spans="1:7" x14ac:dyDescent="0.2">
      <c r="A29" t="s">
        <v>471</v>
      </c>
      <c r="B29">
        <v>7.2153525060939694E-2</v>
      </c>
      <c r="C29">
        <v>1.128612438827421E-4</v>
      </c>
      <c r="D29">
        <v>45.965488090968968</v>
      </c>
      <c r="E29">
        <v>4.7405858731987714E-3</v>
      </c>
      <c r="F29">
        <v>1.349502267616112E-4</v>
      </c>
      <c r="G29">
        <v>35.78180164142622</v>
      </c>
    </row>
    <row r="30" spans="1:7" x14ac:dyDescent="0.2">
      <c r="A30" t="s">
        <v>472</v>
      </c>
      <c r="B30">
        <v>0.1213428715046497</v>
      </c>
      <c r="C30">
        <v>1.130830976773434E-4</v>
      </c>
      <c r="D30">
        <v>45.965493060398067</v>
      </c>
      <c r="E30">
        <v>6.7229417581501942E-3</v>
      </c>
      <c r="F30">
        <v>1.3986688159469359E-4</v>
      </c>
      <c r="G30">
        <v>39.869253476307179</v>
      </c>
    </row>
    <row r="31" spans="1:7" x14ac:dyDescent="0.2">
      <c r="A31" t="s">
        <v>472</v>
      </c>
      <c r="B31">
        <v>0.1227495507507321</v>
      </c>
      <c r="C31">
        <v>1.130894456954057E-4</v>
      </c>
      <c r="D31">
        <v>45.965494421018107</v>
      </c>
      <c r="E31">
        <v>7.3079555983696486E-3</v>
      </c>
      <c r="F31">
        <v>1.3843269460412811E-4</v>
      </c>
      <c r="G31">
        <v>38.767943896009498</v>
      </c>
    </row>
    <row r="32" spans="1:7" x14ac:dyDescent="0.2">
      <c r="A32" t="s">
        <v>473</v>
      </c>
      <c r="B32">
        <v>0.1720384369073473</v>
      </c>
      <c r="C32">
        <v>1.133119733164166E-4</v>
      </c>
      <c r="D32">
        <v>45.965499502714209</v>
      </c>
      <c r="E32">
        <v>8.6403558680230828E-3</v>
      </c>
      <c r="F32">
        <v>1.437999540178242E-4</v>
      </c>
      <c r="G32">
        <v>43.351896992383551</v>
      </c>
    </row>
    <row r="33" spans="1:17" x14ac:dyDescent="0.2">
      <c r="A33" t="s">
        <v>473</v>
      </c>
      <c r="B33">
        <v>0.17294482860195759</v>
      </c>
      <c r="C33">
        <v>1.1331606652917489E-4</v>
      </c>
      <c r="D33">
        <v>45.965497352211763</v>
      </c>
      <c r="E33">
        <v>8.1280860273314527E-3</v>
      </c>
      <c r="F33">
        <v>1.416003094640461E-4</v>
      </c>
      <c r="G33">
        <v>41.37552277056507</v>
      </c>
    </row>
    <row r="34" spans="1:17" x14ac:dyDescent="0.2">
      <c r="A34" t="s">
        <v>474</v>
      </c>
      <c r="B34">
        <v>0.18772630564988441</v>
      </c>
      <c r="C34">
        <v>1.133847450172093E-4</v>
      </c>
      <c r="D34">
        <v>45.96959264926992</v>
      </c>
      <c r="E34">
        <v>0.1181105255131437</v>
      </c>
      <c r="F34">
        <v>6.1211957451761799E-4</v>
      </c>
      <c r="G34">
        <v>57.343117298633167</v>
      </c>
    </row>
    <row r="35" spans="1:17" x14ac:dyDescent="0.2">
      <c r="A35" t="s">
        <v>474</v>
      </c>
      <c r="B35">
        <v>0.1875744883289778</v>
      </c>
      <c r="C35">
        <v>1.133840455977955E-4</v>
      </c>
      <c r="D35">
        <v>45.96957336688773</v>
      </c>
      <c r="E35">
        <v>0.1182563507973475</v>
      </c>
      <c r="F35">
        <v>6.1267142531547139E-4</v>
      </c>
      <c r="G35">
        <v>57.269408429000393</v>
      </c>
    </row>
    <row r="36" spans="1:17" x14ac:dyDescent="0.2">
      <c r="A36" t="s">
        <v>475</v>
      </c>
      <c r="B36">
        <v>0.27550938064516811</v>
      </c>
      <c r="C36">
        <v>1.137843587812273E-4</v>
      </c>
      <c r="D36">
        <v>45.975037506146869</v>
      </c>
      <c r="E36">
        <v>0.17469913567139889</v>
      </c>
      <c r="F36">
        <v>8.8929774461091171E-4</v>
      </c>
      <c r="G36">
        <v>53.632929770957666</v>
      </c>
    </row>
    <row r="37" spans="1:17" x14ac:dyDescent="0.2">
      <c r="A37" t="s">
        <v>475</v>
      </c>
      <c r="B37">
        <v>0.27505645956560271</v>
      </c>
      <c r="C37">
        <v>1.137822401841079E-4</v>
      </c>
      <c r="D37">
        <v>45.97491930605289</v>
      </c>
      <c r="E37">
        <v>0.17440187992072531</v>
      </c>
      <c r="F37">
        <v>8.8769586145469933E-4</v>
      </c>
      <c r="G37">
        <v>53.611282998235751</v>
      </c>
    </row>
    <row r="38" spans="1:17" x14ac:dyDescent="0.2">
      <c r="A38" t="s">
        <v>476</v>
      </c>
    </row>
    <row r="39" spans="1:17" x14ac:dyDescent="0.2">
      <c r="A39" t="s">
        <v>465</v>
      </c>
      <c r="B39" t="s">
        <v>188</v>
      </c>
      <c r="C39" t="s">
        <v>466</v>
      </c>
      <c r="D39" t="s">
        <v>467</v>
      </c>
      <c r="E39" t="s">
        <v>477</v>
      </c>
      <c r="F39" t="s">
        <v>468</v>
      </c>
      <c r="G39" t="s">
        <v>469</v>
      </c>
      <c r="H39" t="s">
        <v>467</v>
      </c>
      <c r="I39" t="s">
        <v>477</v>
      </c>
      <c r="J39" t="s">
        <v>478</v>
      </c>
      <c r="K39" t="s">
        <v>479</v>
      </c>
      <c r="L39" t="s">
        <v>467</v>
      </c>
      <c r="M39" t="s">
        <v>477</v>
      </c>
      <c r="N39" t="s">
        <v>480</v>
      </c>
      <c r="O39" t="s">
        <v>481</v>
      </c>
      <c r="P39" t="s">
        <v>467</v>
      </c>
      <c r="Q39" t="s">
        <v>477</v>
      </c>
    </row>
    <row r="40" spans="1:17" x14ac:dyDescent="0.2">
      <c r="A40" t="s">
        <v>447</v>
      </c>
      <c r="B40">
        <v>4.9750720115365833E-2</v>
      </c>
      <c r="C40">
        <v>4.2371830669654838E-4</v>
      </c>
      <c r="D40">
        <v>113.6892590035696</v>
      </c>
      <c r="E40">
        <v>1.98105033994455</v>
      </c>
      <c r="F40">
        <v>2.7124001979640772E-3</v>
      </c>
      <c r="G40">
        <v>5.8578720815154943E-4</v>
      </c>
      <c r="H40">
        <v>78.487264431327731</v>
      </c>
      <c r="I40">
        <v>1.9906523723422711</v>
      </c>
      <c r="J40">
        <v>1.245615125859354</v>
      </c>
      <c r="K40">
        <v>1.0527993142220049E-2</v>
      </c>
      <c r="L40">
        <v>116.447521246497</v>
      </c>
      <c r="M40">
        <v>1.980545741909298</v>
      </c>
      <c r="N40">
        <v>0.99851709975508396</v>
      </c>
      <c r="O40">
        <v>6.4208238991592982E-4</v>
      </c>
      <c r="P40">
        <v>78.175412284162022</v>
      </c>
      <c r="Q40">
        <v>1.9907766705286261</v>
      </c>
    </row>
    <row r="41" spans="1:17" x14ac:dyDescent="0.2">
      <c r="A41" t="s">
        <v>449</v>
      </c>
      <c r="B41">
        <v>0.1001378428802067</v>
      </c>
      <c r="C41">
        <v>5.4044287547234482E-4</v>
      </c>
      <c r="D41">
        <v>7.9602651327427303</v>
      </c>
      <c r="E41">
        <v>2.3080067724557178</v>
      </c>
      <c r="F41">
        <v>4.9688615383123892E-3</v>
      </c>
      <c r="G41">
        <v>5.6413689674451178E-4</v>
      </c>
      <c r="H41">
        <v>26.196020609386249</v>
      </c>
      <c r="I41">
        <v>2.0547810536256179</v>
      </c>
      <c r="J41">
        <v>2.5065261271438861</v>
      </c>
      <c r="K41">
        <v>1.3411126379121979E-2</v>
      </c>
      <c r="L41">
        <v>8.1151147692059329</v>
      </c>
      <c r="M41">
        <v>2.3003204634761061</v>
      </c>
      <c r="N41">
        <v>0.99877118570384582</v>
      </c>
      <c r="O41">
        <v>2.8073383750538809E-4</v>
      </c>
      <c r="P41">
        <v>25.12467787567833</v>
      </c>
      <c r="Q41">
        <v>2.0590204105786132</v>
      </c>
    </row>
    <row r="42" spans="1:17" x14ac:dyDescent="0.2">
      <c r="A42" t="s">
        <v>450</v>
      </c>
      <c r="B42">
        <v>0.15005037373539479</v>
      </c>
      <c r="C42">
        <v>4.714469626744801E-4</v>
      </c>
      <c r="D42">
        <v>18.654522193044901</v>
      </c>
      <c r="E42">
        <v>2.0956506342152741</v>
      </c>
      <c r="F42">
        <v>6.5211319226787844E-3</v>
      </c>
      <c r="G42">
        <v>5.3624055006132332E-4</v>
      </c>
      <c r="H42">
        <v>43.578815994526913</v>
      </c>
      <c r="I42">
        <v>2.015917830946464</v>
      </c>
      <c r="J42">
        <v>3.7548002459921759</v>
      </c>
      <c r="K42">
        <v>1.185044253071202E-2</v>
      </c>
      <c r="L42">
        <v>18.31346799186128</v>
      </c>
      <c r="M42">
        <v>2.0983472709097022</v>
      </c>
      <c r="N42">
        <v>0.99905696644952424</v>
      </c>
      <c r="O42">
        <v>1.54363901737645E-4</v>
      </c>
      <c r="P42">
        <v>44.326987733317956</v>
      </c>
      <c r="Q42">
        <v>2.014947715164126</v>
      </c>
    </row>
    <row r="43" spans="1:17" x14ac:dyDescent="0.2">
      <c r="A43" t="s">
        <v>451</v>
      </c>
      <c r="B43">
        <v>0.16531890686962089</v>
      </c>
      <c r="C43">
        <v>4.3800897602911781E-4</v>
      </c>
      <c r="D43">
        <v>17.015241378359669</v>
      </c>
      <c r="E43">
        <v>2.109671553310783</v>
      </c>
      <c r="F43">
        <v>0.11727379675728899</v>
      </c>
      <c r="G43">
        <v>7.1823535791950362E-4</v>
      </c>
      <c r="H43">
        <v>19.305529048748131</v>
      </c>
      <c r="I43">
        <v>2.0907843173132412</v>
      </c>
      <c r="J43">
        <v>5.0672653111932764</v>
      </c>
      <c r="K43">
        <v>1.235436130487064E-2</v>
      </c>
      <c r="L43">
        <v>39.231098187828181</v>
      </c>
      <c r="M43">
        <v>2.0223099922986592</v>
      </c>
      <c r="N43">
        <v>0.81562192186997606</v>
      </c>
      <c r="O43">
        <v>1.9433953681432059E-3</v>
      </c>
      <c r="P43">
        <v>14.102380427148571</v>
      </c>
      <c r="Q43">
        <v>2.1433266928533148</v>
      </c>
    </row>
    <row r="44" spans="1:17" x14ac:dyDescent="0.2">
      <c r="A44" t="s">
        <v>452</v>
      </c>
      <c r="B44">
        <v>0.25244962636277157</v>
      </c>
      <c r="C44">
        <v>5.6929633700181454E-4</v>
      </c>
      <c r="D44">
        <v>7.0802413533135482</v>
      </c>
      <c r="E44">
        <v>2.3591975373206191</v>
      </c>
      <c r="F44">
        <v>0.17422446188103161</v>
      </c>
      <c r="G44">
        <v>1.018577617654231E-3</v>
      </c>
      <c r="H44">
        <v>8.6240475184955603</v>
      </c>
      <c r="I44">
        <v>2.2772776991623829</v>
      </c>
      <c r="J44">
        <v>7.6683186296132577</v>
      </c>
      <c r="K44">
        <v>1.2591529227673129E-2</v>
      </c>
      <c r="L44">
        <v>87.119930946049266</v>
      </c>
      <c r="M44">
        <v>1.9875696637626601</v>
      </c>
      <c r="N44">
        <v>0.82302796270055212</v>
      </c>
      <c r="O44">
        <v>1.949143685981077E-3</v>
      </c>
      <c r="P44">
        <v>6.0550927579567464</v>
      </c>
      <c r="Q44">
        <v>2.4415126850371238</v>
      </c>
    </row>
    <row r="46" spans="1:17" x14ac:dyDescent="0.2">
      <c r="A46">
        <v>1</v>
      </c>
      <c r="B46">
        <v>2</v>
      </c>
      <c r="C46">
        <v>3</v>
      </c>
      <c r="D46">
        <v>4</v>
      </c>
      <c r="E46">
        <v>5</v>
      </c>
      <c r="F46">
        <v>6</v>
      </c>
      <c r="G46">
        <v>7</v>
      </c>
      <c r="H46">
        <v>8</v>
      </c>
      <c r="I46">
        <v>9</v>
      </c>
      <c r="J46">
        <v>10</v>
      </c>
      <c r="K46">
        <v>11</v>
      </c>
      <c r="L46">
        <v>12</v>
      </c>
      <c r="M46">
        <v>13</v>
      </c>
      <c r="N46">
        <v>14</v>
      </c>
      <c r="O46">
        <v>15</v>
      </c>
      <c r="P46">
        <v>16</v>
      </c>
      <c r="Q46">
        <v>17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8:U17"/>
  <sheetViews>
    <sheetView showGridLines="0" tabSelected="1" zoomScale="130" zoomScaleNormal="130" workbookViewId="0">
      <selection activeCell="A18" sqref="A18"/>
    </sheetView>
  </sheetViews>
  <sheetFormatPr defaultRowHeight="12.75" x14ac:dyDescent="0.2"/>
  <cols>
    <col min="1" max="1" width="15.42578125" customWidth="1"/>
    <col min="3" max="3" width="16.85546875" customWidth="1"/>
    <col min="4" max="4" width="8.7109375" customWidth="1"/>
    <col min="5" max="5" width="10.42578125" customWidth="1"/>
    <col min="6" max="6" width="5.7109375" customWidth="1"/>
    <col min="8" max="8" width="11.140625" customWidth="1"/>
    <col min="9" max="9" width="5.7109375" customWidth="1"/>
    <col min="10" max="10" width="16.85546875" customWidth="1"/>
    <col min="11" max="11" width="10.85546875" customWidth="1"/>
    <col min="12" max="12" width="11.5703125" customWidth="1"/>
    <col min="13" max="13" width="5.7109375" customWidth="1"/>
    <col min="15" max="15" width="10.7109375" customWidth="1"/>
    <col min="16" max="16" width="5.7109375" customWidth="1"/>
  </cols>
  <sheetData>
    <row r="8" spans="1:21" x14ac:dyDescent="0.2">
      <c r="C8" t="s">
        <v>246</v>
      </c>
      <c r="J8" t="s">
        <v>260</v>
      </c>
    </row>
    <row r="9" spans="1:21" x14ac:dyDescent="0.2">
      <c r="R9" s="46" t="s">
        <v>495</v>
      </c>
    </row>
    <row r="10" spans="1:21" ht="38.25" x14ac:dyDescent="0.2">
      <c r="A10" t="s">
        <v>465</v>
      </c>
      <c r="C10" s="567" t="s">
        <v>494</v>
      </c>
      <c r="D10" s="567" t="s">
        <v>493</v>
      </c>
      <c r="E10" s="567" t="s">
        <v>490</v>
      </c>
      <c r="F10" s="568" t="s">
        <v>477</v>
      </c>
      <c r="G10" s="567" t="s">
        <v>491</v>
      </c>
      <c r="H10" s="567" t="s">
        <v>20</v>
      </c>
      <c r="I10" s="568" t="s">
        <v>477</v>
      </c>
      <c r="J10" s="567" t="s">
        <v>494</v>
      </c>
      <c r="K10" s="567" t="s">
        <v>483</v>
      </c>
      <c r="L10" s="567" t="s">
        <v>484</v>
      </c>
      <c r="M10" s="568" t="s">
        <v>477</v>
      </c>
      <c r="N10" s="567" t="s">
        <v>492</v>
      </c>
      <c r="O10" s="567" t="s">
        <v>484</v>
      </c>
      <c r="P10" s="568" t="s">
        <v>477</v>
      </c>
      <c r="R10" s="46" t="s">
        <v>478</v>
      </c>
      <c r="S10" s="46" t="s">
        <v>480</v>
      </c>
      <c r="T10" s="46" t="s">
        <v>496</v>
      </c>
      <c r="U10" s="46" t="s">
        <v>497</v>
      </c>
    </row>
    <row r="11" spans="1:21" x14ac:dyDescent="0.2">
      <c r="A11" t="s">
        <v>447</v>
      </c>
      <c r="C11" s="574" t="s">
        <v>485</v>
      </c>
      <c r="D11" s="578">
        <f>VLOOKUP(A11,burdens,10,FALSE)</f>
        <v>1.245615125859354</v>
      </c>
      <c r="E11" s="575">
        <f>VLOOKUP(A11,burdens,11,FALSE)*F11</f>
        <v>2.085117198867421E-2</v>
      </c>
      <c r="F11" s="572">
        <f>VLOOKUP(A11,burdens,13,FALSE)</f>
        <v>1.980545741909298</v>
      </c>
      <c r="G11" s="579">
        <f>VLOOKUP(A11,burdens,14,FALSE)</f>
        <v>0.99851709975508396</v>
      </c>
      <c r="H11" s="579">
        <f>VLOOKUP(A11,burdens,15,FALSE)*I11</f>
        <v>1.2782426424018979E-3</v>
      </c>
      <c r="I11" s="572">
        <f>VLOOKUP(A11,burdens,17,FALSE)</f>
        <v>1.9907766705286261</v>
      </c>
      <c r="J11" s="574" t="s">
        <v>485</v>
      </c>
      <c r="K11" s="577">
        <f>VLOOKUP(A11,burdens,2,FALSE)</f>
        <v>4.9750720115365833E-2</v>
      </c>
      <c r="L11" s="577">
        <f>VLOOKUP(A11,burdens,3,FALSE)*M11</f>
        <v>8.3940729552192629E-4</v>
      </c>
      <c r="M11" s="572">
        <f>VLOOKUP(A11,burdens,5,FALSE)</f>
        <v>1.98105033994455</v>
      </c>
      <c r="N11" s="576">
        <f>VLOOKUP(A11,burdens,6,FALSE)</f>
        <v>2.7124001979640772E-3</v>
      </c>
      <c r="O11" s="576">
        <f>VLOOKUP(A11,burdens,7,FALSE)*P11</f>
        <v>1.1660986955946376E-3</v>
      </c>
      <c r="P11" s="572">
        <f>VLOOKUP(A11,burdens,9,FALSE)</f>
        <v>1.9906523723422711</v>
      </c>
      <c r="R11" s="28">
        <f>E11/D11*100</f>
        <v>1.6739658627932057</v>
      </c>
      <c r="S11" s="28">
        <f>H11/G11*100</f>
        <v>0.12801409637505706</v>
      </c>
      <c r="T11" s="28">
        <f>L11/K11*100</f>
        <v>1.6872264232064247</v>
      </c>
      <c r="U11" s="28">
        <f>O11/N11*100</f>
        <v>42.991395461108915</v>
      </c>
    </row>
    <row r="12" spans="1:21" x14ac:dyDescent="0.2">
      <c r="A12" t="s">
        <v>449</v>
      </c>
      <c r="C12" s="574" t="s">
        <v>486</v>
      </c>
      <c r="D12" s="578">
        <f>VLOOKUP(A12,burdens,10,FALSE)</f>
        <v>2.5065261271438861</v>
      </c>
      <c r="E12" s="575">
        <f>VLOOKUP(A12,burdens,11,FALSE)*F12</f>
        <v>3.0849888448158502E-2</v>
      </c>
      <c r="F12" s="572">
        <f>VLOOKUP(A12,burdens,13,FALSE)</f>
        <v>2.3003204634761061</v>
      </c>
      <c r="G12" s="577">
        <f>VLOOKUP(A12,burdens,14,FALSE)</f>
        <v>0.99877118570384582</v>
      </c>
      <c r="H12" s="577">
        <f>VLOOKUP(A12,burdens,15,FALSE)*I12</f>
        <v>5.7803670136365387E-4</v>
      </c>
      <c r="I12" s="572">
        <f>VLOOKUP(A12,burdens,17,FALSE)</f>
        <v>2.0590204105786132</v>
      </c>
      <c r="J12" s="574" t="s">
        <v>486</v>
      </c>
      <c r="K12" s="577">
        <f>VLOOKUP(A12,burdens,2,FALSE)</f>
        <v>0.1001378428802067</v>
      </c>
      <c r="L12" s="577">
        <f>VLOOKUP(A12,burdens,3,FALSE)*M12</f>
        <v>1.2473458167156139E-3</v>
      </c>
      <c r="M12" s="572">
        <f>VLOOKUP(A12,burdens,5,FALSE)</f>
        <v>2.3080067724557178</v>
      </c>
      <c r="N12" s="576">
        <f>VLOOKUP(A12,burdens,6,FALSE)</f>
        <v>4.9688615383123892E-3</v>
      </c>
      <c r="O12" s="576">
        <f>VLOOKUP(A12,burdens,7,FALSE)*P12</f>
        <v>1.1591778070817744E-3</v>
      </c>
      <c r="P12" s="572">
        <f>VLOOKUP(A12,burdens,9,FALSE)</f>
        <v>2.0547810536256179</v>
      </c>
      <c r="R12" s="28">
        <f t="shared" ref="R12:R15" si="0">E12/D12*100</f>
        <v>1.2307826403274342</v>
      </c>
      <c r="S12" s="28">
        <f t="shared" ref="S12:S15" si="1">H12/G12*100</f>
        <v>5.7874787502635507E-2</v>
      </c>
      <c r="T12" s="28">
        <f t="shared" ref="T12:T15" si="2">L12/K12*100</f>
        <v>1.2456288060926115</v>
      </c>
      <c r="U12" s="28">
        <f t="shared" ref="U12:U15" si="3">O12/N12*100</f>
        <v>23.328840985886568</v>
      </c>
    </row>
    <row r="13" spans="1:21" x14ac:dyDescent="0.2">
      <c r="A13" t="s">
        <v>450</v>
      </c>
      <c r="C13" s="574" t="s">
        <v>487</v>
      </c>
      <c r="D13" s="578">
        <f>VLOOKUP(A13,burdens,10,FALSE)</f>
        <v>3.7548002459921759</v>
      </c>
      <c r="E13" s="575">
        <f>VLOOKUP(A13,burdens,11,FALSE)*F13</f>
        <v>2.4866343743391833E-2</v>
      </c>
      <c r="F13" s="572">
        <f>VLOOKUP(A13,burdens,13,FALSE)</f>
        <v>2.0983472709097022</v>
      </c>
      <c r="G13" s="577">
        <f>VLOOKUP(A13,burdens,14,FALSE)</f>
        <v>0.99905696644952424</v>
      </c>
      <c r="H13" s="577">
        <f>VLOOKUP(A13,burdens,15,FALSE)*I13</f>
        <v>3.1103519111008742E-4</v>
      </c>
      <c r="I13" s="572">
        <f>VLOOKUP(A13,burdens,17,FALSE)</f>
        <v>2.014947715164126</v>
      </c>
      <c r="J13" s="574" t="s">
        <v>487</v>
      </c>
      <c r="K13" s="577">
        <f>VLOOKUP(A13,burdens,2,FALSE)</f>
        <v>0.15005037373539479</v>
      </c>
      <c r="L13" s="577">
        <f>VLOOKUP(A13,burdens,3,FALSE)*M13</f>
        <v>9.8798812632763886E-4</v>
      </c>
      <c r="M13" s="572">
        <f>VLOOKUP(A13,burdens,5,FALSE)</f>
        <v>2.0956506342152741</v>
      </c>
      <c r="N13" s="576">
        <f>VLOOKUP(A13,burdens,6,FALSE)</f>
        <v>6.5211319226787844E-3</v>
      </c>
      <c r="O13" s="576">
        <f>VLOOKUP(A13,burdens,7,FALSE)*P13</f>
        <v>1.0810168865451617E-3</v>
      </c>
      <c r="P13" s="572">
        <f>VLOOKUP(A13,burdens,9,FALSE)</f>
        <v>2.015917830946464</v>
      </c>
      <c r="R13" s="28">
        <f t="shared" si="0"/>
        <v>0.66225477027529867</v>
      </c>
      <c r="S13" s="28">
        <f t="shared" si="1"/>
        <v>3.1132878459919331E-2</v>
      </c>
      <c r="T13" s="28">
        <f t="shared" si="2"/>
        <v>0.6584376311317286</v>
      </c>
      <c r="U13" s="28">
        <f t="shared" si="3"/>
        <v>16.577135677713692</v>
      </c>
    </row>
    <row r="14" spans="1:21" x14ac:dyDescent="0.2">
      <c r="A14" t="s">
        <v>451</v>
      </c>
      <c r="C14" s="574" t="s">
        <v>488</v>
      </c>
      <c r="D14" s="578">
        <f>VLOOKUP(A14,burdens,10,FALSE)</f>
        <v>5.0672653111932764</v>
      </c>
      <c r="E14" s="575">
        <f>VLOOKUP(A14,burdens,11,FALSE)*F14</f>
        <v>2.4984348315307797E-2</v>
      </c>
      <c r="F14" s="572">
        <f>VLOOKUP(A14,burdens,13,FALSE)</f>
        <v>2.0223099922986592</v>
      </c>
      <c r="G14" s="579">
        <f>VLOOKUP(A14,burdens,14,FALSE)</f>
        <v>0.81562192186997606</v>
      </c>
      <c r="H14" s="579">
        <f>VLOOKUP(A14,burdens,15,FALSE)*I14</f>
        <v>4.1653311673088278E-3</v>
      </c>
      <c r="I14" s="572">
        <f>VLOOKUP(A14,burdens,17,FALSE)</f>
        <v>2.1433266928533148</v>
      </c>
      <c r="J14" s="574" t="s">
        <v>488</v>
      </c>
      <c r="K14" s="577">
        <f>VLOOKUP(A14,burdens,2,FALSE)</f>
        <v>0.16531890686962089</v>
      </c>
      <c r="L14" s="577">
        <f>VLOOKUP(A14,burdens,3,FALSE)*M14</f>
        <v>9.2405507682341451E-4</v>
      </c>
      <c r="M14" s="572">
        <f>VLOOKUP(A14,burdens,5,FALSE)</f>
        <v>2.109671553310783</v>
      </c>
      <c r="N14" s="576">
        <f>VLOOKUP(A14,burdens,6,FALSE)</f>
        <v>0.11727379675728899</v>
      </c>
      <c r="O14" s="576">
        <f>VLOOKUP(A14,burdens,7,FALSE)*P14</f>
        <v>1.5016752224779608E-3</v>
      </c>
      <c r="P14" s="572">
        <f>VLOOKUP(A14,burdens,9,FALSE)</f>
        <v>2.0907843173132412</v>
      </c>
      <c r="R14" s="28">
        <f t="shared" si="0"/>
        <v>0.49305388174798964</v>
      </c>
      <c r="S14" s="28">
        <f t="shared" si="1"/>
        <v>0.51069387121902943</v>
      </c>
      <c r="T14" s="28">
        <f t="shared" si="2"/>
        <v>0.55895305281214602</v>
      </c>
      <c r="U14" s="28">
        <f t="shared" si="3"/>
        <v>1.2804865741541929</v>
      </c>
    </row>
    <row r="15" spans="1:21" x14ac:dyDescent="0.2">
      <c r="A15" t="s">
        <v>452</v>
      </c>
      <c r="C15" s="574" t="s">
        <v>489</v>
      </c>
      <c r="D15" s="578">
        <f>VLOOKUP(A15,burdens,10,FALSE)</f>
        <v>7.6683186296132577</v>
      </c>
      <c r="E15" s="575">
        <f>VLOOKUP(A15,burdens,11,FALSE)*F15</f>
        <v>2.5026541513303989E-2</v>
      </c>
      <c r="F15" s="572">
        <f>VLOOKUP(A15,burdens,13,FALSE)</f>
        <v>1.9875696637626601</v>
      </c>
      <c r="G15" s="579">
        <f>VLOOKUP(A15,burdens,14,FALSE)</f>
        <v>0.82302796270055212</v>
      </c>
      <c r="H15" s="579">
        <f>VLOOKUP(A15,burdens,15,FALSE)*I15</f>
        <v>4.758859034282816E-3</v>
      </c>
      <c r="I15" s="572">
        <f>VLOOKUP(A15,burdens,17,FALSE)</f>
        <v>2.4415126850371238</v>
      </c>
      <c r="J15" s="574" t="s">
        <v>489</v>
      </c>
      <c r="K15" s="577">
        <f>VLOOKUP(A15,burdens,2,FALSE)</f>
        <v>0.25244962636277157</v>
      </c>
      <c r="L15" s="577">
        <f>VLOOKUP(A15,burdens,3,FALSE)*M15</f>
        <v>1.3430825162603301E-3</v>
      </c>
      <c r="M15" s="572">
        <f>VLOOKUP(A15,burdens,5,FALSE)</f>
        <v>2.3591975373206191</v>
      </c>
      <c r="N15" s="576">
        <f>VLOOKUP(A15,burdens,6,FALSE)</f>
        <v>0.17422446188103161</v>
      </c>
      <c r="O15" s="576">
        <f>VLOOKUP(A15,burdens,7,FALSE)*P15</f>
        <v>2.3195840935499286E-3</v>
      </c>
      <c r="P15" s="572">
        <f>VLOOKUP(A15,burdens,9,FALSE)</f>
        <v>2.2772776991623829</v>
      </c>
      <c r="R15" s="28">
        <f t="shared" si="0"/>
        <v>0.32636282765634339</v>
      </c>
      <c r="S15" s="28">
        <f t="shared" si="1"/>
        <v>0.57821352978917728</v>
      </c>
      <c r="T15" s="28">
        <f t="shared" si="2"/>
        <v>0.53202000557937557</v>
      </c>
      <c r="U15" s="28">
        <f t="shared" si="3"/>
        <v>1.3313768161521693</v>
      </c>
    </row>
    <row r="16" spans="1:21" x14ac:dyDescent="0.2">
      <c r="C16" s="569"/>
      <c r="D16" s="570"/>
      <c r="E16" s="569"/>
      <c r="F16" s="571"/>
      <c r="G16" s="572"/>
      <c r="H16" s="573"/>
      <c r="I16" s="573"/>
      <c r="J16" s="573"/>
      <c r="K16" s="572"/>
    </row>
    <row r="17" spans="3:11" x14ac:dyDescent="0.2">
      <c r="C17" s="569"/>
      <c r="D17" s="570"/>
      <c r="E17" s="569"/>
      <c r="F17" s="571"/>
      <c r="G17" s="572"/>
      <c r="H17" s="573"/>
      <c r="I17" s="573"/>
      <c r="J17" s="573"/>
      <c r="K17" s="572"/>
    </row>
  </sheetData>
  <pageMargins left="0.7" right="0.7" top="0.75" bottom="0.75" header="0.3" footer="0.3"/>
  <pageSetup paperSize="9" orientation="landscape"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S210"/>
  <sheetViews>
    <sheetView zoomScale="75" workbookViewId="0">
      <selection activeCell="L9" sqref="L9"/>
    </sheetView>
  </sheetViews>
  <sheetFormatPr defaultRowHeight="12.75" x14ac:dyDescent="0.2"/>
  <cols>
    <col min="2" max="2" width="12.42578125" customWidth="1"/>
    <col min="5" max="5" width="11.28515625" customWidth="1"/>
    <col min="6" max="6" width="12" customWidth="1"/>
    <col min="9" max="9" width="10" customWidth="1"/>
    <col min="10" max="10" width="11.28515625" bestFit="1" customWidth="1"/>
    <col min="16" max="16" width="9.28515625" bestFit="1" customWidth="1"/>
    <col min="17" max="17" width="9" bestFit="1" customWidth="1"/>
    <col min="18" max="18" width="13.140625" customWidth="1"/>
    <col min="19" max="19" width="14" customWidth="1"/>
    <col min="20" max="20" width="11" customWidth="1"/>
    <col min="21" max="21" width="10.7109375" customWidth="1"/>
    <col min="22" max="22" width="11" customWidth="1"/>
    <col min="23" max="24" width="10.28515625" customWidth="1"/>
    <col min="25" max="25" width="11.5703125" bestFit="1" customWidth="1"/>
    <col min="26" max="26" width="13.140625" customWidth="1"/>
    <col min="28" max="28" width="11.28515625" customWidth="1"/>
    <col min="31" max="31" width="9.7109375" customWidth="1"/>
    <col min="32" max="32" width="10.85546875" customWidth="1"/>
    <col min="33" max="33" width="11.5703125" customWidth="1"/>
    <col min="34" max="34" width="12.140625" customWidth="1"/>
    <col min="35" max="35" width="10.42578125" customWidth="1"/>
    <col min="36" max="36" width="11" customWidth="1"/>
    <col min="37" max="38" width="10.7109375" customWidth="1"/>
    <col min="39" max="39" width="14.140625" customWidth="1"/>
    <col min="40" max="40" width="12.85546875" customWidth="1"/>
    <col min="42" max="42" width="10.28515625" customWidth="1"/>
  </cols>
  <sheetData>
    <row r="1" spans="1:45" x14ac:dyDescent="0.2">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row>
    <row r="2" spans="1:45" x14ac:dyDescent="0.2">
      <c r="B2" t="s">
        <v>115</v>
      </c>
      <c r="J2" s="69"/>
      <c r="N2" s="160" t="s">
        <v>157</v>
      </c>
      <c r="P2" s="348"/>
      <c r="Q2" s="346" t="s">
        <v>91</v>
      </c>
      <c r="R2" s="363">
        <f>Arnold!I127</f>
        <v>0.99936709902044762</v>
      </c>
    </row>
    <row r="3" spans="1:45" x14ac:dyDescent="0.2">
      <c r="B3" t="s">
        <v>116</v>
      </c>
      <c r="D3" s="1"/>
      <c r="M3" s="44" t="s">
        <v>96</v>
      </c>
      <c r="N3" s="169">
        <v>0.2</v>
      </c>
      <c r="P3" s="342"/>
      <c r="Q3" s="347" t="s">
        <v>92</v>
      </c>
      <c r="R3" s="364">
        <f>Arnold!J127</f>
        <v>1.0011822386327505</v>
      </c>
      <c r="S3" s="7"/>
      <c r="T3" s="7"/>
      <c r="U3" s="7"/>
      <c r="V3" s="7"/>
      <c r="W3" s="16"/>
      <c r="X3" s="16"/>
      <c r="AA3" s="16"/>
      <c r="AD3" s="29"/>
    </row>
    <row r="4" spans="1:45" x14ac:dyDescent="0.2">
      <c r="A4" s="69">
        <v>97</v>
      </c>
      <c r="B4" s="161" t="e">
        <f>MID(D4,FIND("AT range",D4,1)-5,4)</f>
        <v>#VALUE!</v>
      </c>
      <c r="C4" t="s">
        <v>114</v>
      </c>
      <c r="D4" s="162">
        <f>VLOOKUP($A4,'5 A data'!$A$4:$AB$153,2,FALSE)</f>
        <v>42978</v>
      </c>
      <c r="E4" s="160"/>
      <c r="F4" s="160"/>
      <c r="G4" s="160"/>
      <c r="H4" s="160"/>
      <c r="I4" s="161"/>
      <c r="J4" s="160"/>
      <c r="K4" s="160"/>
      <c r="M4" s="44" t="s">
        <v>95</v>
      </c>
      <c r="N4" s="169">
        <v>0</v>
      </c>
      <c r="Q4" s="7"/>
      <c r="R4" s="7"/>
      <c r="S4" s="7"/>
      <c r="T4" s="7"/>
      <c r="U4" s="7"/>
      <c r="V4" s="7"/>
      <c r="W4" s="7"/>
      <c r="X4" s="7"/>
      <c r="Y4" s="7"/>
      <c r="Z4" s="7"/>
    </row>
    <row r="5" spans="1:45" ht="13.7" customHeight="1" x14ac:dyDescent="0.2">
      <c r="C5" s="30"/>
      <c r="E5" s="534" t="s">
        <v>78</v>
      </c>
      <c r="F5" s="534"/>
      <c r="G5" s="536" t="s">
        <v>93</v>
      </c>
      <c r="H5" s="536"/>
      <c r="I5" s="534" t="s">
        <v>102</v>
      </c>
      <c r="J5" s="534"/>
      <c r="P5" t="s">
        <v>110</v>
      </c>
      <c r="AD5" t="s">
        <v>111</v>
      </c>
    </row>
    <row r="6" spans="1:45" ht="48.95" customHeight="1" x14ac:dyDescent="0.2">
      <c r="C6" s="125" t="s">
        <v>156</v>
      </c>
      <c r="D6" s="3" t="s">
        <v>40</v>
      </c>
      <c r="E6" s="2" t="s">
        <v>79</v>
      </c>
      <c r="F6" s="2" t="s">
        <v>80</v>
      </c>
      <c r="G6" s="2" t="s">
        <v>41</v>
      </c>
      <c r="H6" s="2" t="s">
        <v>42</v>
      </c>
      <c r="I6" s="2" t="s">
        <v>41</v>
      </c>
      <c r="J6" s="2" t="s">
        <v>42</v>
      </c>
      <c r="K6" s="534" t="s">
        <v>70</v>
      </c>
      <c r="L6" s="534"/>
      <c r="M6" s="3" t="s">
        <v>46</v>
      </c>
      <c r="N6" s="3" t="s">
        <v>47</v>
      </c>
      <c r="O6" s="3"/>
      <c r="P6" s="3" t="s">
        <v>28</v>
      </c>
      <c r="Q6" s="103" t="s">
        <v>29</v>
      </c>
      <c r="R6" s="3" t="s">
        <v>30</v>
      </c>
      <c r="S6" s="3" t="s">
        <v>31</v>
      </c>
      <c r="T6" s="3" t="s">
        <v>32</v>
      </c>
      <c r="U6" s="3" t="s">
        <v>33</v>
      </c>
      <c r="V6" s="3" t="s">
        <v>57</v>
      </c>
      <c r="W6" s="3" t="s">
        <v>34</v>
      </c>
      <c r="X6" s="3" t="s">
        <v>362</v>
      </c>
      <c r="Y6" s="369" t="s">
        <v>320</v>
      </c>
      <c r="Z6" s="3" t="s">
        <v>35</v>
      </c>
      <c r="AA6" s="524" t="s">
        <v>36</v>
      </c>
      <c r="AB6" s="3" t="s">
        <v>108</v>
      </c>
      <c r="AC6" s="524"/>
      <c r="AD6" s="3" t="s">
        <v>28</v>
      </c>
      <c r="AE6" s="369" t="s">
        <v>38</v>
      </c>
      <c r="AF6" s="3" t="s">
        <v>30</v>
      </c>
      <c r="AG6" s="3" t="s">
        <v>31</v>
      </c>
      <c r="AH6" s="3" t="s">
        <v>32</v>
      </c>
      <c r="AI6" s="3" t="s">
        <v>33</v>
      </c>
      <c r="AJ6" s="3" t="s">
        <v>57</v>
      </c>
      <c r="AK6" s="3" t="s">
        <v>34</v>
      </c>
      <c r="AL6" s="3" t="s">
        <v>362</v>
      </c>
      <c r="AM6" s="369" t="s">
        <v>316</v>
      </c>
      <c r="AN6" s="3" t="s">
        <v>35</v>
      </c>
      <c r="AO6" s="524" t="s">
        <v>36</v>
      </c>
      <c r="AP6" s="524" t="s">
        <v>37</v>
      </c>
    </row>
    <row r="7" spans="1:45" x14ac:dyDescent="0.2">
      <c r="C7" s="2"/>
      <c r="D7" s="19"/>
      <c r="G7" t="s">
        <v>14</v>
      </c>
      <c r="H7" t="s">
        <v>45</v>
      </c>
      <c r="I7" t="s">
        <v>14</v>
      </c>
      <c r="J7" t="s">
        <v>45</v>
      </c>
      <c r="K7" s="19" t="s">
        <v>14</v>
      </c>
      <c r="L7" s="19" t="s">
        <v>45</v>
      </c>
      <c r="M7" s="19" t="s">
        <v>14</v>
      </c>
      <c r="N7" s="19" t="s">
        <v>45</v>
      </c>
      <c r="O7" s="19" t="s">
        <v>39</v>
      </c>
      <c r="P7">
        <v>4</v>
      </c>
      <c r="Q7">
        <v>5</v>
      </c>
      <c r="R7">
        <v>5</v>
      </c>
      <c r="S7">
        <v>5</v>
      </c>
      <c r="T7">
        <v>5</v>
      </c>
      <c r="U7">
        <v>5</v>
      </c>
      <c r="V7">
        <v>5</v>
      </c>
      <c r="W7">
        <f>Uncertainties!K31</f>
        <v>12.499999999999998</v>
      </c>
      <c r="X7" s="2">
        <v>5</v>
      </c>
      <c r="Y7">
        <v>5</v>
      </c>
      <c r="AD7">
        <v>6.5</v>
      </c>
      <c r="AE7">
        <v>5</v>
      </c>
      <c r="AF7">
        <v>5</v>
      </c>
      <c r="AG7">
        <v>5</v>
      </c>
      <c r="AH7">
        <v>5</v>
      </c>
      <c r="AI7">
        <v>5</v>
      </c>
      <c r="AJ7">
        <v>5</v>
      </c>
      <c r="AK7">
        <f>Uncertainties!K31</f>
        <v>12.499999999999998</v>
      </c>
      <c r="AL7">
        <v>5</v>
      </c>
      <c r="AM7">
        <v>5</v>
      </c>
    </row>
    <row r="8" spans="1:45" x14ac:dyDescent="0.2">
      <c r="C8" s="2"/>
      <c r="D8" s="19"/>
      <c r="M8" s="533" t="s">
        <v>161</v>
      </c>
      <c r="N8" s="533"/>
      <c r="O8" s="19"/>
      <c r="P8" s="124" t="s">
        <v>155</v>
      </c>
      <c r="Q8" s="124"/>
      <c r="R8" s="124"/>
      <c r="AD8" s="124" t="s">
        <v>155</v>
      </c>
      <c r="AE8" s="124"/>
      <c r="AF8" s="124"/>
    </row>
    <row r="9" spans="1:45" ht="13.15" customHeight="1" x14ac:dyDescent="0.2">
      <c r="A9" s="69">
        <v>99</v>
      </c>
      <c r="B9" s="5" t="e">
        <f>B4&amp;D9</f>
        <v>#VALUE!</v>
      </c>
      <c r="C9" s="86">
        <f>VLOOKUP($A9,'5 A data'!$A$5:$AB$519,3,FALSE)</f>
        <v>0</v>
      </c>
      <c r="D9" s="255">
        <f>ROUND(VLOOKUP($A9,'5 A data'!$A$5:$AB$519,9,FALSE),0)</f>
        <v>60</v>
      </c>
      <c r="E9" s="23">
        <f>TestSetRatioCor</f>
        <v>0.99936709902044762</v>
      </c>
      <c r="F9" s="23">
        <f>TestSetPhaseCor</f>
        <v>1.0011822386327505</v>
      </c>
      <c r="G9" s="23" t="e">
        <f>VLOOKUP($B9,'844400'!$M$171:$U$237,4,FALSE)/10000</f>
        <v>#VALUE!</v>
      </c>
      <c r="H9" s="23" t="e">
        <f>VLOOKUP($B9,'844400'!$M$171:$U$237,5,FALSE)/10000</f>
        <v>#VALUE!</v>
      </c>
      <c r="I9" s="86">
        <f>VLOOKUP($A9,'5 A data'!$A$5:$AB$519,10,FALSE)</f>
        <v>-1.7100000000000001E-2</v>
      </c>
      <c r="J9" s="31">
        <f>VLOOKUP($A9,'5 A data'!$A$5:$AB$519,11,FALSE)</f>
        <v>2.2689280275926288E-2</v>
      </c>
      <c r="K9" s="22">
        <f>I9-I17</f>
        <v>-1.7100000000000001E-2</v>
      </c>
      <c r="L9" s="22">
        <f>J9-J17</f>
        <v>2.2689280275926288E-2</v>
      </c>
      <c r="M9" s="22" t="e">
        <f>I9*E9+G9-K9*($C9-high_burden)/($C9-$C17)</f>
        <v>#VALUE!</v>
      </c>
      <c r="N9" s="22" t="e">
        <f>J9*F9+H9-L9*($C9-high_burden)/($C9-$C17)</f>
        <v>#VALUE!</v>
      </c>
      <c r="O9" s="20"/>
      <c r="P9" s="406">
        <v>5.0000000000000001E-4</v>
      </c>
      <c r="Q9" s="59">
        <f>VLOOKUP($A9,'5 A data'!$A$5:$AB$519,7,FALSE)*slidewire_res</f>
        <v>1E-4</v>
      </c>
      <c r="R9" s="349">
        <f>current_coef*(I9-I10)*IF(I10=0,0,1)</f>
        <v>-1.4199999999999998E-3</v>
      </c>
      <c r="S9" s="21">
        <v>0</v>
      </c>
      <c r="T9" s="21">
        <f>BurdenUnc*K9</f>
        <v>-8.5500000000000007E-4</v>
      </c>
      <c r="U9" s="23" t="e">
        <f t="shared" ref="U9:U15" si="0">0.004*M9</f>
        <v>#VALUE!</v>
      </c>
      <c r="V9" s="23">
        <f t="shared" ref="V9:V23" si="1">earthing_Re</f>
        <v>5.0000000000000001E-4</v>
      </c>
      <c r="W9" s="23">
        <f>VLOOKUP($D9,Uncertainties!$B$35:$D$41,2,FALSE)</f>
        <v>0</v>
      </c>
      <c r="X9" s="253">
        <f>(ABS($O$206)+2*$O$207)/2</f>
        <v>0</v>
      </c>
      <c r="Y9" s="24">
        <f t="shared" ref="Y9:Y15" si="2">I9*aux_CT_ratio</f>
        <v>-1.3609298584708218E-6</v>
      </c>
      <c r="Z9" s="23" t="e">
        <f>SQRT(SUMSQ(P9:Y9))</f>
        <v>#VALUE!</v>
      </c>
      <c r="AA9" s="25" t="e">
        <f>DoF_A(P9:Y9,$P$7:$Y$7)</f>
        <v>#VALUE!</v>
      </c>
      <c r="AB9" s="26" t="e">
        <f t="shared" ref="AB9:AB23" si="3">CoverFactor(AA9)</f>
        <v>#VALUE!</v>
      </c>
      <c r="AC9" s="14"/>
      <c r="AD9" s="406">
        <v>5.0000000000000001E-4</v>
      </c>
      <c r="AE9" s="368">
        <f>IF(ABS(VLOOKUP($A9,'5 A data'!$A$5:$AB$1017,6,FALSE))&lt;4.5,IF(ABS(VLOOKUP($A9,'5 A data'!$A$5:$AB$1017,6,FALSE))&lt;1.25,0.0008,0.002),0.004)*VLOOKUP($A9,'5 A data'!$A$5:$AB$1017,7,FALSE)*25*RADIANS(1/60)*100</f>
        <v>2.9088820866572163E-4</v>
      </c>
      <c r="AF9" s="23">
        <f>current_coef*(J9-J10)*IF(J10=0,0,1)</f>
        <v>-8.7266462599716604E-5</v>
      </c>
      <c r="AG9" s="29" t="e">
        <f>0.001*N9</f>
        <v>#VALUE!</v>
      </c>
      <c r="AH9" s="4">
        <f>BurdenUnc*L9</f>
        <v>1.1344640137963145E-3</v>
      </c>
      <c r="AI9" s="4" t="e">
        <f>0.004*N9</f>
        <v>#VALUE!</v>
      </c>
      <c r="AJ9" s="4">
        <f t="shared" ref="AJ9:AJ23" si="4">earthing_Im</f>
        <v>5.0000000000000001E-4</v>
      </c>
      <c r="AK9" s="21">
        <f>VLOOKUP($D9,Uncertainties!$B$35:$D$41,3,FALSE)</f>
        <v>0</v>
      </c>
      <c r="AL9" s="253">
        <f>(ABS($AC$206)+2*$AC$207)/2</f>
        <v>0</v>
      </c>
      <c r="AM9" s="371">
        <f>SQRT((VLOOKUP($A9,'5 A data'!$A$5:$AB$1017,7,FALSE)*mutual_ind)^2+(aux_CT_phase*J9)^2)</f>
        <v>2.6189216432716798E-4</v>
      </c>
      <c r="AN9" s="29" t="e">
        <f>SQRT(SUMSQ(AD9:AM9))</f>
        <v>#VALUE!</v>
      </c>
      <c r="AO9" s="14" t="e">
        <f>DoF_A(AD9:AM9,$AD$7:$AM$7)</f>
        <v>#VALUE!</v>
      </c>
      <c r="AP9" s="27" t="e">
        <f t="shared" ref="AP9:AP23" si="5">CoverFactor(AO9)</f>
        <v>#VALUE!</v>
      </c>
    </row>
    <row r="10" spans="1:45" ht="13.15" customHeight="1" x14ac:dyDescent="0.2">
      <c r="A10">
        <v>100</v>
      </c>
      <c r="B10" s="5" t="e">
        <f>B4&amp;D10</f>
        <v>#VALUE!</v>
      </c>
      <c r="C10" s="19">
        <f>VLOOKUP($A10,'5 A data'!$A$5:$AB$519,3,FALSE)</f>
        <v>0</v>
      </c>
      <c r="D10" s="165">
        <f>ROUND(VLOOKUP($A10,'5 A data'!$A$5:$AB$519,9,FALSE)/10,0)*10</f>
        <v>60</v>
      </c>
      <c r="E10" s="23">
        <f t="shared" ref="E10:E23" si="6">TestSetRatioCor</f>
        <v>0.99936709902044762</v>
      </c>
      <c r="F10" s="23">
        <f t="shared" ref="F10:F23" si="7">TestSetPhaseCor</f>
        <v>1.0011822386327505</v>
      </c>
      <c r="G10" s="23" t="e">
        <f>VLOOKUP($B10,'844400'!$M$171:$U$237,4,FALSE)/10000</f>
        <v>#VALUE!</v>
      </c>
      <c r="H10" s="23" t="e">
        <f>VLOOKUP($B10,'844400'!$M$171:$U$237,5,FALSE)/10000</f>
        <v>#VALUE!</v>
      </c>
      <c r="I10" s="19">
        <f>VLOOKUP($A10,'5 A data'!$A$5:$AB$519,10,FALSE)</f>
        <v>-1.0000000000000002E-2</v>
      </c>
      <c r="J10" s="32">
        <f>VLOOKUP($A10,'5 A data'!$A$5:$AB$519,11,FALSE)</f>
        <v>2.3125612588924871E-2</v>
      </c>
      <c r="K10" s="22">
        <f t="shared" ref="K10:L15" si="8">I10-I18</f>
        <v>-1.0000000000000002E-2</v>
      </c>
      <c r="L10" s="22">
        <f t="shared" si="8"/>
        <v>2.3125612588924871E-2</v>
      </c>
      <c r="M10" s="22" t="e">
        <f t="shared" ref="M10:N15" si="9">I10*E10+G10-K10*($C10-high_burden)/($C10-$C18)</f>
        <v>#VALUE!</v>
      </c>
      <c r="N10" s="22" t="e">
        <f t="shared" si="9"/>
        <v>#VALUE!</v>
      </c>
      <c r="O10" s="20"/>
      <c r="P10" s="406">
        <v>4.0000000000000002E-4</v>
      </c>
      <c r="Q10" s="59">
        <f>VLOOKUP($A10,'5 A data'!$A$5:$AB$519,7,FALSE)*slidewire_res</f>
        <v>1E-4</v>
      </c>
      <c r="R10" s="349">
        <f t="shared" ref="R10:R23" si="10">current_coef*(I10-I11)*IF(I11=0,0,1)</f>
        <v>1.4360000000000001E-2</v>
      </c>
      <c r="S10" s="4">
        <v>0</v>
      </c>
      <c r="T10" s="21">
        <f t="shared" ref="T10:T15" si="11">BurdenUnc*K10</f>
        <v>-5.0000000000000012E-4</v>
      </c>
      <c r="U10" s="29" t="e">
        <f t="shared" si="0"/>
        <v>#VALUE!</v>
      </c>
      <c r="V10" s="29">
        <f t="shared" si="1"/>
        <v>5.0000000000000001E-4</v>
      </c>
      <c r="W10" s="23">
        <f>VLOOKUP($D10,Uncertainties!$B$35:$D$41,2,FALSE)</f>
        <v>0</v>
      </c>
      <c r="X10" s="23"/>
      <c r="Y10" s="24">
        <f t="shared" si="2"/>
        <v>-7.958654143104222E-7</v>
      </c>
      <c r="Z10" s="23" t="e">
        <f t="shared" ref="Z10:Z15" si="12">SQRT(SUMSQ(P10:Y10))</f>
        <v>#VALUE!</v>
      </c>
      <c r="AA10" s="25" t="e">
        <f t="shared" ref="AA10:AA15" si="13">DoF_A(P10:Y10,$P$7:$Y$7)</f>
        <v>#VALUE!</v>
      </c>
      <c r="AB10" s="26" t="e">
        <f t="shared" si="3"/>
        <v>#VALUE!</v>
      </c>
      <c r="AC10" s="14"/>
      <c r="AD10" s="406">
        <v>2.0000000000000001E-4</v>
      </c>
      <c r="AE10" s="368">
        <f>IF(ABS(VLOOKUP($A10,'5 A data'!$A$5:$AB$1017,6,FALSE))&lt;4.5,IF(ABS(VLOOKUP($A10,'5 A data'!$A$5:$AB$1017,6,FALSE))&lt;1.25,0.0008,0.002),0.004)*VLOOKUP($A10,'5 A data'!$A$5:$AB$1017,7,FALSE)*25*RADIANS(1/60)*100</f>
        <v>2.9088820866572163E-4</v>
      </c>
      <c r="AF10" s="23">
        <f t="shared" ref="AF10:AF15" si="14">current_coef*(J10-J11)*IF(J11=0,0,1)</f>
        <v>8.4357580513059333E-4</v>
      </c>
      <c r="AG10" s="29" t="e">
        <f t="shared" ref="AG10:AG15" si="15">0.001*N10</f>
        <v>#VALUE!</v>
      </c>
      <c r="AH10" s="4">
        <f t="shared" ref="AH10:AH15" si="16">BurdenUnc*L10</f>
        <v>1.1562806294462436E-3</v>
      </c>
      <c r="AI10" s="4" t="e">
        <f t="shared" ref="AI10:AI15" si="17">0.004*N10</f>
        <v>#VALUE!</v>
      </c>
      <c r="AJ10" s="4">
        <f t="shared" si="4"/>
        <v>5.0000000000000001E-4</v>
      </c>
      <c r="AK10" s="21">
        <f>VLOOKUP($D10,Uncertainties!$B$35:$D$41,3,FALSE)</f>
        <v>0</v>
      </c>
      <c r="AL10" s="21"/>
      <c r="AM10" s="371">
        <f>SQRT((VLOOKUP($A10,'5 A data'!$A$5:$AB$1017,7,FALSE)*mutual_ind)^2+(aux_CT_phase*J10)^2)</f>
        <v>2.6189576630311883E-4</v>
      </c>
      <c r="AN10" s="29" t="e">
        <f t="shared" ref="AN10:AN15" si="18">SQRT(SUMSQ(AD10:AM10))</f>
        <v>#VALUE!</v>
      </c>
      <c r="AO10" s="14" t="e">
        <f t="shared" ref="AO10:AO15" si="19">DoF_A(AD10:AM10,$AD$7:$AM$7)</f>
        <v>#VALUE!</v>
      </c>
      <c r="AP10" s="27" t="e">
        <f t="shared" si="5"/>
        <v>#VALUE!</v>
      </c>
    </row>
    <row r="11" spans="1:45" ht="13.15" customHeight="1" x14ac:dyDescent="0.2">
      <c r="A11" s="69">
        <v>101</v>
      </c>
      <c r="B11" s="5" t="e">
        <f>B4&amp;D11</f>
        <v>#VALUE!</v>
      </c>
      <c r="C11" s="19">
        <f>VLOOKUP($A11,'5 A data'!$A$5:$AB$519,3,FALSE)</f>
        <v>0</v>
      </c>
      <c r="D11" s="165">
        <f>ROUND(VLOOKUP($A11,'5 A data'!$A$5:$AB$519,9,FALSE)/10,0)*10</f>
        <v>60</v>
      </c>
      <c r="E11" s="23">
        <f t="shared" si="6"/>
        <v>0.99936709902044762</v>
      </c>
      <c r="F11" s="23">
        <f t="shared" si="7"/>
        <v>1.0011822386327505</v>
      </c>
      <c r="G11" s="23" t="e">
        <f>VLOOKUP($B11,'844400'!$M$171:$U$237,4,FALSE)/10000</f>
        <v>#VALUE!</v>
      </c>
      <c r="H11" s="23" t="e">
        <f>VLOOKUP($B11,'844400'!$M$171:$U$237,5,FALSE)/10000</f>
        <v>#VALUE!</v>
      </c>
      <c r="I11" s="19">
        <f>VLOOKUP($A11,'5 A data'!$A$5:$AB$519,10,FALSE)</f>
        <v>-8.1799999999999998E-2</v>
      </c>
      <c r="J11" s="32">
        <f>VLOOKUP($A11,'5 A data'!$A$5:$AB$519,11,FALSE)</f>
        <v>1.8907733563271904E-2</v>
      </c>
      <c r="K11" s="22">
        <f t="shared" si="8"/>
        <v>-8.1799999999999998E-2</v>
      </c>
      <c r="L11" s="22">
        <f t="shared" si="8"/>
        <v>1.8907733563271904E-2</v>
      </c>
      <c r="M11" s="22" t="e">
        <f t="shared" si="9"/>
        <v>#VALUE!</v>
      </c>
      <c r="N11" s="22" t="e">
        <f t="shared" si="9"/>
        <v>#VALUE!</v>
      </c>
      <c r="O11" s="20"/>
      <c r="P11" s="406">
        <v>1E-4</v>
      </c>
      <c r="Q11" s="59">
        <f>VLOOKUP($A11,'5 A data'!$A$5:$AB$519,7,FALSE)*slidewire_res</f>
        <v>2.0000000000000001E-4</v>
      </c>
      <c r="R11" s="349">
        <f t="shared" si="10"/>
        <v>0</v>
      </c>
      <c r="S11" s="4">
        <v>0</v>
      </c>
      <c r="T11" s="21">
        <f t="shared" si="11"/>
        <v>-4.0899999999999999E-3</v>
      </c>
      <c r="U11" s="29" t="e">
        <f t="shared" si="0"/>
        <v>#VALUE!</v>
      </c>
      <c r="V11" s="29">
        <f t="shared" si="1"/>
        <v>5.0000000000000001E-4</v>
      </c>
      <c r="W11" s="23">
        <f>VLOOKUP($D11,Uncertainties!$B$35:$D$41,2,FALSE)</f>
        <v>0</v>
      </c>
      <c r="X11" s="23"/>
      <c r="Y11" s="24">
        <f t="shared" si="2"/>
        <v>-6.5101790890592523E-6</v>
      </c>
      <c r="Z11" s="23" t="e">
        <f t="shared" si="12"/>
        <v>#VALUE!</v>
      </c>
      <c r="AA11" s="25" t="e">
        <f t="shared" si="13"/>
        <v>#VALUE!</v>
      </c>
      <c r="AB11" s="26" t="e">
        <f t="shared" si="3"/>
        <v>#VALUE!</v>
      </c>
      <c r="AC11" s="14"/>
      <c r="AD11" s="406">
        <v>1E-4</v>
      </c>
      <c r="AE11" s="368">
        <f>IF(ABS(VLOOKUP($A11,'5 A data'!$A$5:$AB$1017,6,FALSE))&lt;4.5,IF(ABS(VLOOKUP($A11,'5 A data'!$A$5:$AB$1017,6,FALSE))&lt;1.25,0.0008,0.002),0.004)*VLOOKUP($A11,'5 A data'!$A$5:$AB$1017,7,FALSE)*25*RADIANS(1/60)*100</f>
        <v>2.9088820866572163E-4</v>
      </c>
      <c r="AF11" s="23">
        <f t="shared" si="14"/>
        <v>0</v>
      </c>
      <c r="AG11" s="29" t="e">
        <f t="shared" si="15"/>
        <v>#VALUE!</v>
      </c>
      <c r="AH11" s="4">
        <f t="shared" si="16"/>
        <v>9.4538667816359526E-4</v>
      </c>
      <c r="AI11" s="4" t="e">
        <f t="shared" si="17"/>
        <v>#VALUE!</v>
      </c>
      <c r="AJ11" s="4">
        <f t="shared" si="4"/>
        <v>5.0000000000000001E-4</v>
      </c>
      <c r="AK11" s="21">
        <f>VLOOKUP($D11,Uncertainties!$B$35:$D$41,3,FALSE)</f>
        <v>0</v>
      </c>
      <c r="AL11" s="21"/>
      <c r="AM11" s="371">
        <f>SQRT((VLOOKUP($A11,'5 A data'!$A$5:$AB$1017,7,FALSE)*mutual_ind)^2+(aux_CT_phase*J11)^2)</f>
        <v>5.2363099438727768E-4</v>
      </c>
      <c r="AN11" s="29" t="e">
        <f t="shared" si="18"/>
        <v>#VALUE!</v>
      </c>
      <c r="AO11" s="14" t="e">
        <f t="shared" si="19"/>
        <v>#VALUE!</v>
      </c>
      <c r="AP11" s="27" t="e">
        <f t="shared" si="5"/>
        <v>#VALUE!</v>
      </c>
    </row>
    <row r="12" spans="1:45" ht="13.15" customHeight="1" x14ac:dyDescent="0.2">
      <c r="A12">
        <v>102</v>
      </c>
      <c r="B12" s="5" t="e">
        <f>B4&amp;D12</f>
        <v>#VALUE!</v>
      </c>
      <c r="C12" s="19">
        <f>VLOOKUP($A12,'5 A data'!$A$5:$AB$519,3,FALSE)</f>
        <v>0</v>
      </c>
      <c r="D12" s="165">
        <f>ROUND(VLOOKUP($A12,'5 A data'!$A$5:$AB$519,9,FALSE)/10,0)*10</f>
        <v>0</v>
      </c>
      <c r="E12" s="145">
        <f t="shared" si="6"/>
        <v>0.99936709902044762</v>
      </c>
      <c r="F12" s="145">
        <f t="shared" si="7"/>
        <v>1.0011822386327505</v>
      </c>
      <c r="G12" s="23" t="e">
        <f>VLOOKUP($B12,'844400'!$M$171:$U$237,4,FALSE)/10000</f>
        <v>#VALUE!</v>
      </c>
      <c r="H12" s="23" t="e">
        <f>VLOOKUP($B12,'844400'!$M$171:$U$237,5,FALSE)/10000</f>
        <v>#VALUE!</v>
      </c>
      <c r="I12" s="144">
        <f>VLOOKUP($A12,'5 A data'!$A$5:$AB$519,10,FALSE)</f>
        <v>0</v>
      </c>
      <c r="J12" s="146">
        <f>VLOOKUP($A12,'5 A data'!$A$5:$AB$519,11,FALSE)</f>
        <v>0</v>
      </c>
      <c r="K12" s="147">
        <f>I12-I20</f>
        <v>0</v>
      </c>
      <c r="L12" s="147">
        <f>J12-J20</f>
        <v>0</v>
      </c>
      <c r="M12" s="147" t="e">
        <f>I12*E12+G12-K12*($C12-high_burden)/($C12-$C20)</f>
        <v>#VALUE!</v>
      </c>
      <c r="N12" s="147" t="e">
        <f>J12*F12+H12-L12*($C12-high_burden)/($C12-$C20)</f>
        <v>#VALUE!</v>
      </c>
      <c r="O12" s="148"/>
      <c r="P12" s="406">
        <v>1E-4</v>
      </c>
      <c r="Q12" s="59">
        <f>VLOOKUP($A12,'5 A data'!$A$5:$AB$519,7,FALSE)*slidewire_res</f>
        <v>0</v>
      </c>
      <c r="R12" s="349">
        <f t="shared" si="10"/>
        <v>0</v>
      </c>
      <c r="S12" s="4">
        <v>0</v>
      </c>
      <c r="T12" s="21">
        <f t="shared" si="11"/>
        <v>0</v>
      </c>
      <c r="U12" s="29" t="e">
        <f t="shared" si="0"/>
        <v>#VALUE!</v>
      </c>
      <c r="V12" s="29">
        <f t="shared" si="1"/>
        <v>5.0000000000000001E-4</v>
      </c>
      <c r="W12" s="23" t="e">
        <f>VLOOKUP($D12,Uncertainties!$B$35:$D$41,2,FALSE)</f>
        <v>#N/A</v>
      </c>
      <c r="X12" s="23"/>
      <c r="Y12" s="24">
        <f t="shared" si="2"/>
        <v>0</v>
      </c>
      <c r="Z12" s="23" t="e">
        <f t="shared" si="12"/>
        <v>#VALUE!</v>
      </c>
      <c r="AA12" s="25" t="e">
        <f t="shared" si="13"/>
        <v>#VALUE!</v>
      </c>
      <c r="AB12" s="26" t="e">
        <f t="shared" si="3"/>
        <v>#VALUE!</v>
      </c>
      <c r="AC12" s="14"/>
      <c r="AD12" s="406">
        <v>1E-4</v>
      </c>
      <c r="AE12" s="368">
        <f>IF(ABS(VLOOKUP($A12,'5 A data'!$A$5:$AB$1017,6,FALSE))&lt;4.5,IF(ABS(VLOOKUP($A12,'5 A data'!$A$5:$AB$1017,6,FALSE))&lt;1.25,0.0008,0.002),0.004)*VLOOKUP($A12,'5 A data'!$A$5:$AB$1017,7,FALSE)*25*RADIANS(1/60)*100</f>
        <v>0</v>
      </c>
      <c r="AF12" s="23">
        <f t="shared" si="14"/>
        <v>0</v>
      </c>
      <c r="AG12" s="29" t="e">
        <f t="shared" si="15"/>
        <v>#VALUE!</v>
      </c>
      <c r="AH12" s="4">
        <f t="shared" si="16"/>
        <v>0</v>
      </c>
      <c r="AI12" s="4" t="e">
        <f t="shared" si="17"/>
        <v>#VALUE!</v>
      </c>
      <c r="AJ12" s="4">
        <f t="shared" si="4"/>
        <v>5.0000000000000001E-4</v>
      </c>
      <c r="AK12" s="21" t="e">
        <f>VLOOKUP($D12,Uncertainties!$B$35:$D$41,3,FALSE)</f>
        <v>#N/A</v>
      </c>
      <c r="AL12" s="21"/>
      <c r="AM12" s="371">
        <f>SQRT((VLOOKUP($A12,'5 A data'!$A$5:$AB$1017,7,FALSE)*mutual_ind)^2+(aux_CT_phase*J12)^2)</f>
        <v>0</v>
      </c>
      <c r="AN12" s="29" t="e">
        <f t="shared" si="18"/>
        <v>#VALUE!</v>
      </c>
      <c r="AO12" s="14" t="e">
        <f t="shared" si="19"/>
        <v>#VALUE!</v>
      </c>
      <c r="AP12" s="27" t="e">
        <f t="shared" si="5"/>
        <v>#VALUE!</v>
      </c>
    </row>
    <row r="13" spans="1:45" ht="13.15" customHeight="1" x14ac:dyDescent="0.2">
      <c r="A13" s="69">
        <v>103</v>
      </c>
      <c r="B13" s="5" t="e">
        <f>B4&amp;D13</f>
        <v>#VALUE!</v>
      </c>
      <c r="C13" s="19">
        <f>VLOOKUP($A13,'5 A data'!$A$5:$AB$519,3,FALSE)</f>
        <v>0</v>
      </c>
      <c r="D13" s="165">
        <f>ROUND(VLOOKUP($A13,'5 A data'!$A$5:$AB$519,9,FALSE)/10,0)*10</f>
        <v>0</v>
      </c>
      <c r="E13" s="145">
        <f t="shared" si="6"/>
        <v>0.99936709902044762</v>
      </c>
      <c r="F13" s="145">
        <f t="shared" si="7"/>
        <v>1.0011822386327505</v>
      </c>
      <c r="G13" s="23" t="e">
        <f>VLOOKUP($B13,'844400'!$M$171:$U$237,4,FALSE)/10000</f>
        <v>#VALUE!</v>
      </c>
      <c r="H13" s="23" t="e">
        <f>VLOOKUP($B13,'844400'!$M$171:$U$237,5,FALSE)/10000</f>
        <v>#VALUE!</v>
      </c>
      <c r="I13" s="144">
        <f>VLOOKUP($A13,'5 A data'!$A$5:$AB$519,10,FALSE)</f>
        <v>0</v>
      </c>
      <c r="J13" s="146">
        <f>VLOOKUP($A13,'5 A data'!$A$5:$AB$519,11,FALSE)</f>
        <v>0</v>
      </c>
      <c r="K13" s="147">
        <f t="shared" si="8"/>
        <v>0</v>
      </c>
      <c r="L13" s="147">
        <f t="shared" si="8"/>
        <v>0</v>
      </c>
      <c r="M13" s="147" t="e">
        <f t="shared" si="9"/>
        <v>#VALUE!</v>
      </c>
      <c r="N13" s="147" t="e">
        <f t="shared" si="9"/>
        <v>#VALUE!</v>
      </c>
      <c r="O13" s="148"/>
      <c r="P13" s="406">
        <v>1E-4</v>
      </c>
      <c r="Q13" s="59">
        <f>VLOOKUP($A13,'5 A data'!$A$5:$AB$519,7,FALSE)*slidewire_res</f>
        <v>0</v>
      </c>
      <c r="R13" s="349">
        <f t="shared" si="10"/>
        <v>0</v>
      </c>
      <c r="S13" s="4">
        <v>0</v>
      </c>
      <c r="T13" s="21">
        <f t="shared" si="11"/>
        <v>0</v>
      </c>
      <c r="U13" s="29" t="e">
        <f t="shared" si="0"/>
        <v>#VALUE!</v>
      </c>
      <c r="V13" s="29">
        <f t="shared" si="1"/>
        <v>5.0000000000000001E-4</v>
      </c>
      <c r="W13" s="23" t="e">
        <f>VLOOKUP($D13,Uncertainties!$B$35:$D$41,2,FALSE)</f>
        <v>#N/A</v>
      </c>
      <c r="X13" s="23"/>
      <c r="Y13" s="24">
        <f t="shared" si="2"/>
        <v>0</v>
      </c>
      <c r="Z13" s="23" t="e">
        <f t="shared" si="12"/>
        <v>#VALUE!</v>
      </c>
      <c r="AA13" s="25" t="e">
        <f t="shared" si="13"/>
        <v>#VALUE!</v>
      </c>
      <c r="AB13" s="26" t="e">
        <f t="shared" si="3"/>
        <v>#VALUE!</v>
      </c>
      <c r="AC13" s="14"/>
      <c r="AD13" s="406">
        <v>1E-4</v>
      </c>
      <c r="AE13" s="368">
        <f>IF(ABS(VLOOKUP($A13,'5 A data'!$A$5:$AB$1017,6,FALSE))&lt;4.5,IF(ABS(VLOOKUP($A13,'5 A data'!$A$5:$AB$1017,6,FALSE))&lt;1.25,0.0008,0.002),0.004)*VLOOKUP($A13,'5 A data'!$A$5:$AB$1017,7,FALSE)*25*RADIANS(1/60)*100</f>
        <v>0</v>
      </c>
      <c r="AF13" s="23">
        <f t="shared" si="14"/>
        <v>0</v>
      </c>
      <c r="AG13" s="29" t="e">
        <f t="shared" si="15"/>
        <v>#VALUE!</v>
      </c>
      <c r="AH13" s="4">
        <f t="shared" si="16"/>
        <v>0</v>
      </c>
      <c r="AI13" s="4" t="e">
        <f t="shared" si="17"/>
        <v>#VALUE!</v>
      </c>
      <c r="AJ13" s="4">
        <f t="shared" si="4"/>
        <v>5.0000000000000001E-4</v>
      </c>
      <c r="AK13" s="21" t="e">
        <f>VLOOKUP($D13,Uncertainties!$B$35:$D$41,3,FALSE)</f>
        <v>#N/A</v>
      </c>
      <c r="AL13" s="21"/>
      <c r="AM13" s="371">
        <f>SQRT((VLOOKUP($A13,'5 A data'!$A$5:$AB$1017,7,FALSE)*mutual_ind)^2+(aux_CT_phase*J13)^2)</f>
        <v>0</v>
      </c>
      <c r="AN13" s="29" t="e">
        <f t="shared" si="18"/>
        <v>#VALUE!</v>
      </c>
      <c r="AO13" s="14" t="e">
        <f t="shared" si="19"/>
        <v>#VALUE!</v>
      </c>
      <c r="AP13" s="27" t="e">
        <f t="shared" si="5"/>
        <v>#VALUE!</v>
      </c>
    </row>
    <row r="14" spans="1:45" ht="13.15" customHeight="1" x14ac:dyDescent="0.2">
      <c r="A14">
        <v>104</v>
      </c>
      <c r="B14" s="5" t="e">
        <f>B4&amp;D14</f>
        <v>#VALUE!</v>
      </c>
      <c r="C14" s="19" t="str">
        <f>VLOOKUP($A14,'5 A data'!$A$5:$AB$519,3,FALSE)</f>
        <v>1.25VA unity</v>
      </c>
      <c r="D14" s="166">
        <f>ROUND(VLOOKUP($A14,'5 A data'!$A$5:$AB$519,9,FALSE)/10,0)*10</f>
        <v>0</v>
      </c>
      <c r="E14" s="145">
        <f t="shared" si="6"/>
        <v>0.99936709902044762</v>
      </c>
      <c r="F14" s="145">
        <f t="shared" si="7"/>
        <v>1.0011822386327505</v>
      </c>
      <c r="G14" s="23" t="e">
        <f>VLOOKUP($B14,'844400'!$M$171:$U$237,4,FALSE)/10000</f>
        <v>#VALUE!</v>
      </c>
      <c r="H14" s="23" t="e">
        <f>VLOOKUP($B14,'844400'!$M$171:$U$237,5,FALSE)/10000</f>
        <v>#VALUE!</v>
      </c>
      <c r="I14" s="144">
        <f>VLOOKUP($A14,'5 A data'!$A$5:$AB$519,10,FALSE)</f>
        <v>0</v>
      </c>
      <c r="J14" s="146">
        <f>VLOOKUP($A14,'5 A data'!$A$5:$AB$519,11,FALSE)</f>
        <v>0</v>
      </c>
      <c r="K14" s="147">
        <f t="shared" si="8"/>
        <v>1.0000000000000002E-2</v>
      </c>
      <c r="L14" s="147">
        <f t="shared" si="8"/>
        <v>-2.2398392067260565E-2</v>
      </c>
      <c r="M14" s="147" t="e">
        <f t="shared" si="9"/>
        <v>#VALUE!</v>
      </c>
      <c r="N14" s="147" t="e">
        <f t="shared" si="9"/>
        <v>#VALUE!</v>
      </c>
      <c r="O14" s="148"/>
      <c r="P14" s="406">
        <v>1E-4</v>
      </c>
      <c r="Q14" s="59">
        <f>VLOOKUP($A14,'5 A data'!$A$5:$AB$519,7,FALSE)*slidewire_res</f>
        <v>0</v>
      </c>
      <c r="R14" s="349">
        <f t="shared" si="10"/>
        <v>2.0000000000000005E-3</v>
      </c>
      <c r="S14" s="4">
        <v>0</v>
      </c>
      <c r="T14" s="21">
        <f t="shared" si="11"/>
        <v>5.0000000000000012E-4</v>
      </c>
      <c r="U14" s="29" t="e">
        <f t="shared" si="0"/>
        <v>#VALUE!</v>
      </c>
      <c r="V14" s="29">
        <f t="shared" si="1"/>
        <v>5.0000000000000001E-4</v>
      </c>
      <c r="W14" s="23" t="e">
        <f>VLOOKUP($D14,Uncertainties!$B$35:$D$41,2,FALSE)</f>
        <v>#N/A</v>
      </c>
      <c r="X14" s="23"/>
      <c r="Y14" s="24">
        <f t="shared" si="2"/>
        <v>0</v>
      </c>
      <c r="Z14" s="23" t="e">
        <f t="shared" si="12"/>
        <v>#VALUE!</v>
      </c>
      <c r="AA14" s="25" t="e">
        <f t="shared" si="13"/>
        <v>#VALUE!</v>
      </c>
      <c r="AB14" s="26" t="e">
        <f t="shared" si="3"/>
        <v>#VALUE!</v>
      </c>
      <c r="AC14" s="14"/>
      <c r="AD14" s="406">
        <v>1E-4</v>
      </c>
      <c r="AE14" s="368">
        <f>IF(ABS(VLOOKUP($A14,'5 A data'!$A$5:$AB$1017,6,FALSE))&lt;4.5,IF(ABS(VLOOKUP($A14,'5 A data'!$A$5:$AB$1017,6,FALSE))&lt;1.25,0.0008,0.002),0.004)*VLOOKUP($A14,'5 A data'!$A$5:$AB$1017,7,FALSE)*25*RADIANS(1/60)*100</f>
        <v>0</v>
      </c>
      <c r="AF14" s="23">
        <f t="shared" si="14"/>
        <v>-4.6542113386515453E-3</v>
      </c>
      <c r="AG14" s="29" t="e">
        <f t="shared" si="15"/>
        <v>#VALUE!</v>
      </c>
      <c r="AH14" s="4">
        <f t="shared" si="16"/>
        <v>-1.1199196033630282E-3</v>
      </c>
      <c r="AI14" s="4" t="e">
        <f t="shared" si="17"/>
        <v>#VALUE!</v>
      </c>
      <c r="AJ14" s="4">
        <f t="shared" si="4"/>
        <v>5.0000000000000001E-4</v>
      </c>
      <c r="AK14" s="21" t="e">
        <f>VLOOKUP($D14,Uncertainties!$B$35:$D$41,3,FALSE)</f>
        <v>#N/A</v>
      </c>
      <c r="AL14" s="21"/>
      <c r="AM14" s="371">
        <f>SQRT((VLOOKUP($A14,'5 A data'!$A$5:$AB$1017,7,FALSE)*mutual_ind)^2+(aux_CT_phase*J14)^2)</f>
        <v>0</v>
      </c>
      <c r="AN14" s="29" t="e">
        <f t="shared" si="18"/>
        <v>#VALUE!</v>
      </c>
      <c r="AO14" s="14" t="e">
        <f t="shared" si="19"/>
        <v>#VALUE!</v>
      </c>
      <c r="AP14" s="27" t="e">
        <f t="shared" si="5"/>
        <v>#VALUE!</v>
      </c>
    </row>
    <row r="15" spans="1:45" ht="13.15" customHeight="1" x14ac:dyDescent="0.2">
      <c r="A15" s="69">
        <v>105</v>
      </c>
      <c r="B15" s="5" t="e">
        <f>B4&amp;D15</f>
        <v>#VALUE!</v>
      </c>
      <c r="C15" s="19">
        <f>VLOOKUP($A15,'5 A data'!$A$5:$AB$519,3,FALSE)</f>
        <v>0</v>
      </c>
      <c r="D15" s="166">
        <f>ROUND(VLOOKUP($A15,'5 A data'!$A$5:$AB$519,9,FALSE)/10,0)*10</f>
        <v>60</v>
      </c>
      <c r="E15" s="145">
        <f t="shared" si="6"/>
        <v>0.99936709902044762</v>
      </c>
      <c r="F15" s="145">
        <f t="shared" si="7"/>
        <v>1.0011822386327505</v>
      </c>
      <c r="G15" s="23" t="e">
        <f>VLOOKUP($B15,'844400'!$M$171:$U$237,4,FALSE)/10000</f>
        <v>#VALUE!</v>
      </c>
      <c r="H15" s="23" t="e">
        <f>VLOOKUP($B15,'844400'!$M$171:$U$237,5,FALSE)/10000</f>
        <v>#VALUE!</v>
      </c>
      <c r="I15" s="144">
        <f>VLOOKUP($A15,'5 A data'!$A$5:$AB$519,10,FALSE)</f>
        <v>-1.0000000000000002E-2</v>
      </c>
      <c r="J15" s="146">
        <f>VLOOKUP($A15,'5 A data'!$A$5:$AB$519,11,FALSE)</f>
        <v>2.3271056693257727E-2</v>
      </c>
      <c r="K15" s="147">
        <f t="shared" si="8"/>
        <v>7.1800000000000003E-2</v>
      </c>
      <c r="L15" s="147">
        <f t="shared" si="8"/>
        <v>4.9450995473172658E-3</v>
      </c>
      <c r="M15" s="147" t="e">
        <f t="shared" si="9"/>
        <v>#VALUE!</v>
      </c>
      <c r="N15" s="147" t="e">
        <f t="shared" si="9"/>
        <v>#VALUE!</v>
      </c>
      <c r="O15" s="148"/>
      <c r="P15" s="406">
        <v>1E-4</v>
      </c>
      <c r="Q15" s="59">
        <f>VLOOKUP($A15,'5 A data'!$A$5:$AB$519,7,FALSE)*slidewire_res</f>
        <v>2.0000000000000001E-4</v>
      </c>
      <c r="R15" s="349">
        <f t="shared" si="10"/>
        <v>0</v>
      </c>
      <c r="S15" s="4">
        <v>0</v>
      </c>
      <c r="T15" s="21">
        <f t="shared" si="11"/>
        <v>3.5900000000000003E-3</v>
      </c>
      <c r="U15" s="29" t="e">
        <f t="shared" si="0"/>
        <v>#VALUE!</v>
      </c>
      <c r="V15" s="29">
        <f t="shared" si="1"/>
        <v>5.0000000000000001E-4</v>
      </c>
      <c r="W15" s="23">
        <f>VLOOKUP($D15,Uncertainties!$B$35:$D$41,2,FALSE)</f>
        <v>0</v>
      </c>
      <c r="X15" s="23"/>
      <c r="Y15" s="24">
        <f t="shared" si="2"/>
        <v>-7.958654143104222E-7</v>
      </c>
      <c r="Z15" s="23" t="e">
        <f t="shared" si="12"/>
        <v>#VALUE!</v>
      </c>
      <c r="AA15" s="25" t="e">
        <f t="shared" si="13"/>
        <v>#VALUE!</v>
      </c>
      <c r="AB15" s="26" t="e">
        <f t="shared" si="3"/>
        <v>#VALUE!</v>
      </c>
      <c r="AC15" s="14"/>
      <c r="AD15" s="406">
        <v>1E-4</v>
      </c>
      <c r="AE15" s="368">
        <f>IF(ABS(VLOOKUP($A15,'5 A data'!$A$5:$AB$1017,6,FALSE))&lt;4.5,IF(ABS(VLOOKUP($A15,'5 A data'!$A$5:$AB$1017,6,FALSE))&lt;1.25,0.0008,0.002),0.004)*VLOOKUP($A15,'5 A data'!$A$5:$AB$1017,7,FALSE)*25*RADIANS(1/60)*100</f>
        <v>2.9088820866572163E-4</v>
      </c>
      <c r="AF15" s="23">
        <f t="shared" si="14"/>
        <v>0</v>
      </c>
      <c r="AG15" s="29" t="e">
        <f t="shared" si="15"/>
        <v>#VALUE!</v>
      </c>
      <c r="AH15" s="4">
        <f t="shared" si="16"/>
        <v>2.4725497736586329E-4</v>
      </c>
      <c r="AI15" s="4" t="e">
        <f t="shared" si="17"/>
        <v>#VALUE!</v>
      </c>
      <c r="AJ15" s="4">
        <f t="shared" si="4"/>
        <v>5.0000000000000001E-4</v>
      </c>
      <c r="AK15" s="21">
        <f>VLOOKUP($D15,Uncertainties!$B$35:$D$41,3,FALSE)</f>
        <v>0</v>
      </c>
      <c r="AL15" s="21"/>
      <c r="AM15" s="371">
        <f>SQRT((VLOOKUP($A15,'5 A data'!$A$5:$AB$1017,7,FALSE)*mutual_ind)^2+(aux_CT_phase*J15)^2)</f>
        <v>5.2364757961815048E-4</v>
      </c>
      <c r="AN15" s="29" t="e">
        <f t="shared" si="18"/>
        <v>#VALUE!</v>
      </c>
      <c r="AO15" s="14" t="e">
        <f t="shared" si="19"/>
        <v>#VALUE!</v>
      </c>
      <c r="AP15" s="27" t="e">
        <f t="shared" si="5"/>
        <v>#VALUE!</v>
      </c>
    </row>
    <row r="16" spans="1:45" ht="13.15" customHeight="1" x14ac:dyDescent="0.2">
      <c r="B16" s="5"/>
      <c r="C16" s="19"/>
      <c r="D16" s="144"/>
      <c r="E16" s="145"/>
      <c r="F16" s="145"/>
      <c r="G16" s="23"/>
      <c r="H16" s="23"/>
      <c r="I16" s="144"/>
      <c r="J16" s="146"/>
      <c r="K16" s="149"/>
      <c r="L16" s="149"/>
      <c r="M16" s="535" t="s">
        <v>94</v>
      </c>
      <c r="N16" s="535"/>
      <c r="O16" s="150"/>
      <c r="P16" s="406"/>
      <c r="Q16" s="59"/>
      <c r="R16" s="349"/>
      <c r="S16" s="4"/>
      <c r="T16" s="4"/>
      <c r="U16" s="29"/>
      <c r="V16" s="29"/>
      <c r="W16" s="29"/>
      <c r="X16" s="29"/>
      <c r="Y16" s="24"/>
      <c r="Z16" s="29"/>
      <c r="AA16" s="25"/>
      <c r="AB16" s="26"/>
      <c r="AC16" s="14"/>
      <c r="AD16" s="406"/>
      <c r="AE16" s="35"/>
      <c r="AF16" s="28"/>
      <c r="AG16" s="29"/>
      <c r="AH16" s="4"/>
      <c r="AI16" s="4"/>
      <c r="AJ16" s="4"/>
      <c r="AK16" s="4"/>
      <c r="AL16" s="4"/>
      <c r="AM16" s="24"/>
      <c r="AN16" s="29"/>
      <c r="AO16" s="14"/>
      <c r="AP16" s="27"/>
    </row>
    <row r="17" spans="1:42" ht="13.15" customHeight="1" x14ac:dyDescent="0.2">
      <c r="A17" s="69">
        <v>107</v>
      </c>
      <c r="B17" s="5" t="e">
        <f>B4&amp;D17</f>
        <v>#VALUE!</v>
      </c>
      <c r="C17" s="19">
        <f>VLOOKUP($A17,'5 A data'!$A$5:$AB$519,3,FALSE)</f>
        <v>0</v>
      </c>
      <c r="D17" s="151">
        <f>ROUND(VLOOKUP($A17,'5 A data'!$A$5:$AB$519,9,FALSE),0)</f>
        <v>60</v>
      </c>
      <c r="E17" s="152">
        <f t="shared" si="6"/>
        <v>0.99936709902044762</v>
      </c>
      <c r="F17" s="152">
        <f t="shared" si="7"/>
        <v>1.0011822386327505</v>
      </c>
      <c r="G17" s="23" t="e">
        <f>VLOOKUP($B17,'844400'!$M$171:$U$237,4,FALSE)/10000</f>
        <v>#VALUE!</v>
      </c>
      <c r="H17" s="23" t="e">
        <f>VLOOKUP($B17,'844400'!$M$171:$U$237,5,FALSE)/10000</f>
        <v>#VALUE!</v>
      </c>
      <c r="I17" s="255">
        <f>VLOOKUP($A17,'5 A data'!$A$5:$AB$519,10,FALSE)</f>
        <v>0</v>
      </c>
      <c r="J17" s="153">
        <f>VLOOKUP($A17,'5 A data'!$A$5:$AB$519,11,FALSE)</f>
        <v>0</v>
      </c>
      <c r="K17" s="154"/>
      <c r="L17" s="154"/>
      <c r="M17" s="154" t="e">
        <f>I17*E17+G17+K9*(low__burden-$C17)/($C9-$C17)</f>
        <v>#VALUE!</v>
      </c>
      <c r="N17" s="154" t="e">
        <f>J17*F17+H17+L9*(low__burden-$C17)/($C9-$C17)</f>
        <v>#VALUE!</v>
      </c>
      <c r="O17" s="150"/>
      <c r="P17" s="406">
        <v>5.0000000000000001E-4</v>
      </c>
      <c r="Q17" s="59">
        <f>VLOOKUP($A17,'5 A data'!$A$5:$AB$519,7,FALSE)*slidewire_res</f>
        <v>0</v>
      </c>
      <c r="R17" s="349">
        <f t="shared" si="10"/>
        <v>0</v>
      </c>
      <c r="S17" s="4">
        <v>0</v>
      </c>
      <c r="T17" s="4">
        <f>BurdenUnc*K9</f>
        <v>-8.5500000000000007E-4</v>
      </c>
      <c r="U17" s="29" t="e">
        <f t="shared" ref="U17:U23" si="20">0.004*M17</f>
        <v>#VALUE!</v>
      </c>
      <c r="V17" s="29">
        <f t="shared" si="1"/>
        <v>5.0000000000000001E-4</v>
      </c>
      <c r="W17" s="23">
        <f>VLOOKUP($D17,Uncertainties!$B$35:$D$41,2,FALSE)</f>
        <v>0</v>
      </c>
      <c r="X17" s="23"/>
      <c r="Y17" s="24">
        <f t="shared" ref="Y17:Y23" si="21">I17*aux_CT_ratio</f>
        <v>0</v>
      </c>
      <c r="Z17" s="23" t="e">
        <f t="shared" ref="Z17:Z23" si="22">SQRT(SUMSQ(P17:Y17))</f>
        <v>#VALUE!</v>
      </c>
      <c r="AA17" s="25" t="e">
        <f t="shared" ref="AA17:AA23" si="23">DoF_A(P17:Y17,$P$7:$Y$7)</f>
        <v>#VALUE!</v>
      </c>
      <c r="AB17" s="26" t="e">
        <f t="shared" si="3"/>
        <v>#VALUE!</v>
      </c>
      <c r="AC17" s="14"/>
      <c r="AD17" s="406">
        <v>5.0000000000000001E-4</v>
      </c>
      <c r="AE17" s="368">
        <f>IF(ABS(VLOOKUP($A17,'5 A data'!$A$5:$AB$1017,6,FALSE))&lt;4.5,IF(ABS(VLOOKUP($A17,'5 A data'!$A$5:$AB$1017,6,FALSE))&lt;1.25,0.0008,0.002),0.004)*VLOOKUP($A17,'5 A data'!$A$5:$AB$1017,7,FALSE)*25*RADIANS(1/60)*100</f>
        <v>0</v>
      </c>
      <c r="AF17" s="23">
        <f t="shared" ref="AF17:AF23" si="24">current_coef*(J17-J18)*IF(J18=0,0,1)</f>
        <v>0</v>
      </c>
      <c r="AG17" s="29" t="e">
        <f t="shared" ref="AG17:AG23" si="25">0.001*N17</f>
        <v>#VALUE!</v>
      </c>
      <c r="AH17" s="4">
        <f>BurdenUnc*L9</f>
        <v>1.1344640137963145E-3</v>
      </c>
      <c r="AI17" s="4" t="e">
        <f t="shared" ref="AI17:AI23" si="26">0.004*N17</f>
        <v>#VALUE!</v>
      </c>
      <c r="AJ17" s="4">
        <f t="shared" si="4"/>
        <v>5.0000000000000001E-4</v>
      </c>
      <c r="AK17" s="21">
        <f>VLOOKUP($D17,Uncertainties!$B$35:$D$41,3,FALSE)</f>
        <v>0</v>
      </c>
      <c r="AL17" s="21"/>
      <c r="AM17" s="371">
        <f>SQRT((VLOOKUP($A17,'5 A data'!$A$5:$AB$1017,7,FALSE)*mutual_ind)^2+(aux_CT_phase*J17)^2)</f>
        <v>0</v>
      </c>
      <c r="AN17" s="29" t="e">
        <f t="shared" ref="AN17:AN23" si="27">SQRT(SUMSQ(AD17:AM17))</f>
        <v>#VALUE!</v>
      </c>
      <c r="AO17" s="14" t="e">
        <f t="shared" ref="AO17:AO23" si="28">DoF_A(AD17:AM17,$AD$7:$AM$7)</f>
        <v>#VALUE!</v>
      </c>
      <c r="AP17" s="27" t="e">
        <f t="shared" si="5"/>
        <v>#VALUE!</v>
      </c>
    </row>
    <row r="18" spans="1:42" ht="13.15" customHeight="1" x14ac:dyDescent="0.2">
      <c r="A18">
        <v>108</v>
      </c>
      <c r="B18" s="5" t="e">
        <f>B4&amp;D18</f>
        <v>#VALUE!</v>
      </c>
      <c r="C18" s="19">
        <f>VLOOKUP($A18,'5 A data'!$A$5:$AB$519,3,FALSE)</f>
        <v>0</v>
      </c>
      <c r="D18" s="165">
        <f>ROUND(VLOOKUP($A18,'5 A data'!$A$5:$AB$519,9,FALSE)/10,0)*10</f>
        <v>60</v>
      </c>
      <c r="E18" s="152">
        <f t="shared" si="6"/>
        <v>0.99936709902044762</v>
      </c>
      <c r="F18" s="152">
        <f t="shared" si="7"/>
        <v>1.0011822386327505</v>
      </c>
      <c r="G18" s="23" t="e">
        <f>VLOOKUP($B18,'844400'!$M$171:$U$237,4,FALSE)/10000</f>
        <v>#VALUE!</v>
      </c>
      <c r="H18" s="23" t="e">
        <f>VLOOKUP($B18,'844400'!$M$171:$U$237,5,FALSE)/10000</f>
        <v>#VALUE!</v>
      </c>
      <c r="I18" s="255">
        <f>VLOOKUP($A18,'5 A data'!$A$5:$AB$519,10,FALSE)</f>
        <v>0</v>
      </c>
      <c r="J18" s="153">
        <f>VLOOKUP($A18,'5 A data'!$A$5:$AB$519,11,FALSE)</f>
        <v>0</v>
      </c>
      <c r="K18" s="154"/>
      <c r="L18" s="154"/>
      <c r="M18" s="154" t="e">
        <f t="shared" ref="M18:M23" si="29">I18*E18+G18+K10*(low__burden-$C18)/($C10-$C18)</f>
        <v>#VALUE!</v>
      </c>
      <c r="N18" s="154" t="e">
        <f t="shared" ref="N18:N23" si="30">J18*F18+H18+L10*(low__burden-$C18)/($C10-$C18)</f>
        <v>#VALUE!</v>
      </c>
      <c r="O18" s="150"/>
      <c r="P18" s="406">
        <v>4.0000000000000002E-4</v>
      </c>
      <c r="Q18" s="59">
        <f>VLOOKUP($A18,'5 A data'!$A$5:$AB$519,7,FALSE)*slidewire_res</f>
        <v>0</v>
      </c>
      <c r="R18" s="349">
        <f t="shared" si="10"/>
        <v>0</v>
      </c>
      <c r="S18" s="4">
        <v>0</v>
      </c>
      <c r="T18" s="4">
        <f t="shared" ref="T18:T23" si="31">BurdenUnc*K10</f>
        <v>-5.0000000000000012E-4</v>
      </c>
      <c r="U18" s="29" t="e">
        <f t="shared" si="20"/>
        <v>#VALUE!</v>
      </c>
      <c r="V18" s="29">
        <f t="shared" si="1"/>
        <v>5.0000000000000001E-4</v>
      </c>
      <c r="W18" s="23">
        <f>VLOOKUP($D18,Uncertainties!$B$35:$D$41,2,FALSE)</f>
        <v>0</v>
      </c>
      <c r="X18" s="23"/>
      <c r="Y18" s="24">
        <f t="shared" si="21"/>
        <v>0</v>
      </c>
      <c r="Z18" s="23" t="e">
        <f t="shared" si="22"/>
        <v>#VALUE!</v>
      </c>
      <c r="AA18" s="25" t="e">
        <f t="shared" si="23"/>
        <v>#VALUE!</v>
      </c>
      <c r="AB18" s="26" t="e">
        <f t="shared" si="3"/>
        <v>#VALUE!</v>
      </c>
      <c r="AC18" s="14"/>
      <c r="AD18" s="406">
        <v>2.0000000000000001E-4</v>
      </c>
      <c r="AE18" s="368">
        <f>IF(ABS(VLOOKUP($A18,'5 A data'!$A$5:$AB$1017,6,FALSE))&lt;4.5,IF(ABS(VLOOKUP($A18,'5 A data'!$A$5:$AB$1017,6,FALSE))&lt;1.25,0.0008,0.002),0.004)*VLOOKUP($A18,'5 A data'!$A$5:$AB$1017,7,FALSE)*25*RADIANS(1/60)*100</f>
        <v>0</v>
      </c>
      <c r="AF18" s="23">
        <f t="shared" si="24"/>
        <v>0</v>
      </c>
      <c r="AG18" s="29" t="e">
        <f t="shared" si="25"/>
        <v>#VALUE!</v>
      </c>
      <c r="AH18" s="4">
        <f t="shared" ref="AH18:AH23" si="32">BurdenUnc*L10</f>
        <v>1.1562806294462436E-3</v>
      </c>
      <c r="AI18" s="4" t="e">
        <f t="shared" si="26"/>
        <v>#VALUE!</v>
      </c>
      <c r="AJ18" s="4">
        <f t="shared" si="4"/>
        <v>5.0000000000000001E-4</v>
      </c>
      <c r="AK18" s="21">
        <f>VLOOKUP($D18,Uncertainties!$B$35:$D$41,3,FALSE)</f>
        <v>0</v>
      </c>
      <c r="AL18" s="21"/>
      <c r="AM18" s="371">
        <f>SQRT((VLOOKUP($A18,'5 A data'!$A$5:$AB$1017,7,FALSE)*mutual_ind)^2+(aux_CT_phase*J18)^2)</f>
        <v>0</v>
      </c>
      <c r="AN18" s="29" t="e">
        <f t="shared" si="27"/>
        <v>#VALUE!</v>
      </c>
      <c r="AO18" s="14" t="e">
        <f t="shared" si="28"/>
        <v>#VALUE!</v>
      </c>
      <c r="AP18" s="27" t="e">
        <f t="shared" si="5"/>
        <v>#VALUE!</v>
      </c>
    </row>
    <row r="19" spans="1:42" ht="13.15" customHeight="1" x14ac:dyDescent="0.2">
      <c r="A19" s="69">
        <v>109</v>
      </c>
      <c r="B19" s="5" t="e">
        <f>B4&amp;D19</f>
        <v>#VALUE!</v>
      </c>
      <c r="C19" s="19">
        <f>VLOOKUP($A19,'5 A data'!$A$5:$AB$519,3,FALSE)</f>
        <v>0</v>
      </c>
      <c r="D19" s="165">
        <f>ROUND(VLOOKUP($A19,'5 A data'!$A$5:$AB$519,9,FALSE)/10,0)*10</f>
        <v>0</v>
      </c>
      <c r="E19" s="152">
        <f t="shared" si="6"/>
        <v>0.99936709902044762</v>
      </c>
      <c r="F19" s="152">
        <f t="shared" si="7"/>
        <v>1.0011822386327505</v>
      </c>
      <c r="G19" s="23" t="e">
        <f>VLOOKUP($B19,'844400'!$M$171:$U$237,4,FALSE)/10000</f>
        <v>#VALUE!</v>
      </c>
      <c r="H19" s="23" t="e">
        <f>VLOOKUP($B19,'844400'!$M$171:$U$237,5,FALSE)/10000</f>
        <v>#VALUE!</v>
      </c>
      <c r="I19" s="255">
        <f>VLOOKUP($A19,'5 A data'!$A$5:$AB$519,10,FALSE)</f>
        <v>0</v>
      </c>
      <c r="J19" s="153">
        <f>VLOOKUP($A19,'5 A data'!$A$5:$AB$519,11,FALSE)</f>
        <v>0</v>
      </c>
      <c r="K19" s="154"/>
      <c r="L19" s="154"/>
      <c r="M19" s="154" t="e">
        <f t="shared" si="29"/>
        <v>#VALUE!</v>
      </c>
      <c r="N19" s="154" t="e">
        <f t="shared" si="30"/>
        <v>#VALUE!</v>
      </c>
      <c r="O19" s="150"/>
      <c r="P19" s="406">
        <v>1E-4</v>
      </c>
      <c r="Q19" s="59">
        <f>VLOOKUP($A19,'5 A data'!$A$5:$AB$519,7,FALSE)*slidewire_res</f>
        <v>0</v>
      </c>
      <c r="R19" s="349">
        <f t="shared" si="10"/>
        <v>0</v>
      </c>
      <c r="S19" s="4">
        <v>0</v>
      </c>
      <c r="T19" s="4">
        <f t="shared" si="31"/>
        <v>-4.0899999999999999E-3</v>
      </c>
      <c r="U19" s="29" t="e">
        <f t="shared" si="20"/>
        <v>#VALUE!</v>
      </c>
      <c r="V19" s="29">
        <f t="shared" si="1"/>
        <v>5.0000000000000001E-4</v>
      </c>
      <c r="W19" s="23" t="e">
        <f>VLOOKUP($D19,Uncertainties!$B$35:$D$41,2,FALSE)</f>
        <v>#N/A</v>
      </c>
      <c r="X19" s="23"/>
      <c r="Y19" s="24">
        <f t="shared" si="21"/>
        <v>0</v>
      </c>
      <c r="Z19" s="23" t="e">
        <f t="shared" si="22"/>
        <v>#VALUE!</v>
      </c>
      <c r="AA19" s="25" t="e">
        <f t="shared" si="23"/>
        <v>#VALUE!</v>
      </c>
      <c r="AB19" s="26" t="e">
        <f t="shared" si="3"/>
        <v>#VALUE!</v>
      </c>
      <c r="AC19" s="14"/>
      <c r="AD19" s="406">
        <v>1E-4</v>
      </c>
      <c r="AE19" s="368">
        <f>IF(ABS(VLOOKUP($A19,'5 A data'!$A$5:$AB$1017,6,FALSE))&lt;4.5,IF(ABS(VLOOKUP($A19,'5 A data'!$A$5:$AB$1017,6,FALSE))&lt;1.25,0.0008,0.002),0.004)*VLOOKUP($A19,'5 A data'!$A$5:$AB$1017,7,FALSE)*25*RADIANS(1/60)*100</f>
        <v>0</v>
      </c>
      <c r="AF19" s="23">
        <f t="shared" si="24"/>
        <v>0</v>
      </c>
      <c r="AG19" s="29" t="e">
        <f t="shared" si="25"/>
        <v>#VALUE!</v>
      </c>
      <c r="AH19" s="4">
        <f t="shared" si="32"/>
        <v>9.4538667816359526E-4</v>
      </c>
      <c r="AI19" s="4" t="e">
        <f t="shared" si="26"/>
        <v>#VALUE!</v>
      </c>
      <c r="AJ19" s="4">
        <f t="shared" si="4"/>
        <v>5.0000000000000001E-4</v>
      </c>
      <c r="AK19" s="21" t="e">
        <f>VLOOKUP($D19,Uncertainties!$B$35:$D$41,3,FALSE)</f>
        <v>#N/A</v>
      </c>
      <c r="AL19" s="21"/>
      <c r="AM19" s="371">
        <f>SQRT((VLOOKUP($A19,'5 A data'!$A$5:$AB$1017,7,FALSE)*mutual_ind)^2+(aux_CT_phase*J19)^2)</f>
        <v>0</v>
      </c>
      <c r="AN19" s="29" t="e">
        <f t="shared" si="27"/>
        <v>#VALUE!</v>
      </c>
      <c r="AO19" s="14" t="e">
        <f t="shared" si="28"/>
        <v>#VALUE!</v>
      </c>
      <c r="AP19" s="27" t="e">
        <f t="shared" si="5"/>
        <v>#VALUE!</v>
      </c>
    </row>
    <row r="20" spans="1:42" ht="13.15" customHeight="1" x14ac:dyDescent="0.2">
      <c r="A20">
        <v>110</v>
      </c>
      <c r="B20" s="5" t="e">
        <f>B4&amp;D20</f>
        <v>#VALUE!</v>
      </c>
      <c r="C20" s="19">
        <f>VLOOKUP($A20,'5 A data'!$A$5:$AB$519,3,FALSE)</f>
        <v>0</v>
      </c>
      <c r="D20" s="165">
        <f>ROUND(VLOOKUP($A20,'5 A data'!$A$5:$AB$519,9,FALSE)/10,0)*10</f>
        <v>0</v>
      </c>
      <c r="E20" s="152">
        <f t="shared" si="6"/>
        <v>0.99936709902044762</v>
      </c>
      <c r="F20" s="152">
        <f t="shared" si="7"/>
        <v>1.0011822386327505</v>
      </c>
      <c r="G20" s="23" t="e">
        <f>VLOOKUP($B20,'844400'!$M$171:$U$237,4,FALSE)/10000</f>
        <v>#VALUE!</v>
      </c>
      <c r="H20" s="23" t="e">
        <f>VLOOKUP($B20,'844400'!$M$171:$U$237,5,FALSE)/10000</f>
        <v>#VALUE!</v>
      </c>
      <c r="I20" s="255">
        <f>VLOOKUP($A20,'5 A data'!$A$5:$AB$519,10,FALSE)</f>
        <v>0</v>
      </c>
      <c r="J20" s="153">
        <f>VLOOKUP($A20,'5 A data'!$A$5:$AB$519,11,FALSE)</f>
        <v>0</v>
      </c>
      <c r="K20" s="154"/>
      <c r="L20" s="154"/>
      <c r="M20" s="155" t="e">
        <f>I20*E20+G20+K12*(low__burden-$C20)/($C12-$C20)</f>
        <v>#VALUE!</v>
      </c>
      <c r="N20" s="154" t="e">
        <f>J20*F20+H20+L12*(low__burden-$C20)/($C12-$C20)</f>
        <v>#VALUE!</v>
      </c>
      <c r="O20" s="150"/>
      <c r="P20" s="406">
        <v>1E-4</v>
      </c>
      <c r="Q20" s="59">
        <f>VLOOKUP($A20,'5 A data'!$A$5:$AB$519,7,FALSE)*slidewire_res</f>
        <v>0</v>
      </c>
      <c r="R20" s="349">
        <f t="shared" si="10"/>
        <v>0</v>
      </c>
      <c r="S20" s="4">
        <v>0</v>
      </c>
      <c r="T20" s="4">
        <f t="shared" si="31"/>
        <v>0</v>
      </c>
      <c r="U20" s="29" t="e">
        <f t="shared" si="20"/>
        <v>#VALUE!</v>
      </c>
      <c r="V20" s="29">
        <f t="shared" si="1"/>
        <v>5.0000000000000001E-4</v>
      </c>
      <c r="W20" s="23" t="e">
        <f>VLOOKUP($D20,Uncertainties!$B$35:$D$41,2,FALSE)</f>
        <v>#N/A</v>
      </c>
      <c r="X20" s="23"/>
      <c r="Y20" s="24">
        <f t="shared" si="21"/>
        <v>0</v>
      </c>
      <c r="Z20" s="23" t="e">
        <f t="shared" si="22"/>
        <v>#VALUE!</v>
      </c>
      <c r="AA20" s="25" t="e">
        <f t="shared" si="23"/>
        <v>#VALUE!</v>
      </c>
      <c r="AB20" s="26" t="e">
        <f t="shared" si="3"/>
        <v>#VALUE!</v>
      </c>
      <c r="AC20" s="14"/>
      <c r="AD20" s="406">
        <v>1E-4</v>
      </c>
      <c r="AE20" s="368">
        <f>IF(ABS(VLOOKUP($A20,'5 A data'!$A$5:$AB$1017,6,FALSE))&lt;4.5,IF(ABS(VLOOKUP($A20,'5 A data'!$A$5:$AB$1017,6,FALSE))&lt;1.25,0.0008,0.002),0.004)*VLOOKUP($A20,'5 A data'!$A$5:$AB$1017,7,FALSE)*25*RADIANS(1/60)*100</f>
        <v>0</v>
      </c>
      <c r="AF20" s="23">
        <f t="shared" si="24"/>
        <v>0</v>
      </c>
      <c r="AG20" s="29" t="e">
        <f t="shared" si="25"/>
        <v>#VALUE!</v>
      </c>
      <c r="AH20" s="4">
        <f t="shared" si="32"/>
        <v>0</v>
      </c>
      <c r="AI20" s="4" t="e">
        <f t="shared" si="26"/>
        <v>#VALUE!</v>
      </c>
      <c r="AJ20" s="4">
        <f t="shared" si="4"/>
        <v>5.0000000000000001E-4</v>
      </c>
      <c r="AK20" s="21" t="e">
        <f>VLOOKUP($D20,Uncertainties!$B$35:$D$41,3,FALSE)</f>
        <v>#N/A</v>
      </c>
      <c r="AL20" s="21"/>
      <c r="AM20" s="371">
        <f>SQRT((VLOOKUP($A20,'5 A data'!$A$5:$AB$1017,7,FALSE)*mutual_ind)^2+(aux_CT_phase*J20)^2)</f>
        <v>0</v>
      </c>
      <c r="AN20" s="29" t="e">
        <f t="shared" si="27"/>
        <v>#VALUE!</v>
      </c>
      <c r="AO20" s="14" t="e">
        <f t="shared" si="28"/>
        <v>#VALUE!</v>
      </c>
      <c r="AP20" s="27" t="e">
        <f t="shared" si="5"/>
        <v>#VALUE!</v>
      </c>
    </row>
    <row r="21" spans="1:42" ht="13.15" customHeight="1" x14ac:dyDescent="0.2">
      <c r="A21" s="69">
        <v>111</v>
      </c>
      <c r="B21" s="5" t="e">
        <f>B4&amp;D21</f>
        <v>#VALUE!</v>
      </c>
      <c r="C21" s="19" t="str">
        <f>VLOOKUP($A21,'5 A data'!$A$5:$AB$519,3,FALSE)</f>
        <v>1.25VA unity</v>
      </c>
      <c r="D21" s="165">
        <f>ROUND(VLOOKUP($A21,'5 A data'!$A$5:$AB$519,9,FALSE)/10,0)*10</f>
        <v>0</v>
      </c>
      <c r="E21" s="152">
        <f t="shared" si="6"/>
        <v>0.99936709902044762</v>
      </c>
      <c r="F21" s="152">
        <f t="shared" si="7"/>
        <v>1.0011822386327505</v>
      </c>
      <c r="G21" s="23" t="e">
        <f>VLOOKUP($B21,'844400'!$M$171:$U$237,4,FALSE)/10000</f>
        <v>#VALUE!</v>
      </c>
      <c r="H21" s="23" t="e">
        <f>VLOOKUP($B21,'844400'!$M$171:$U$237,5,FALSE)/10000</f>
        <v>#VALUE!</v>
      </c>
      <c r="I21" s="151">
        <f>VLOOKUP($A21,'5 A data'!$A$5:$AB$519,10,FALSE)</f>
        <v>0</v>
      </c>
      <c r="J21" s="153">
        <f>VLOOKUP($A21,'5 A data'!$A$5:$AB$519,11,FALSE)</f>
        <v>0</v>
      </c>
      <c r="K21" s="154"/>
      <c r="L21" s="154"/>
      <c r="M21" s="155" t="e">
        <f t="shared" si="29"/>
        <v>#VALUE!</v>
      </c>
      <c r="N21" s="154" t="e">
        <f t="shared" si="30"/>
        <v>#VALUE!</v>
      </c>
      <c r="O21" s="150"/>
      <c r="P21" s="406">
        <v>1E-4</v>
      </c>
      <c r="Q21" s="59">
        <f>VLOOKUP($A21,'5 A data'!$A$5:$AB$519,7,FALSE)*slidewire_res</f>
        <v>0</v>
      </c>
      <c r="R21" s="349">
        <f t="shared" si="10"/>
        <v>2.0000000000000005E-3</v>
      </c>
      <c r="S21" s="4">
        <v>0</v>
      </c>
      <c r="T21" s="4">
        <f t="shared" si="31"/>
        <v>0</v>
      </c>
      <c r="U21" s="29" t="e">
        <f t="shared" si="20"/>
        <v>#VALUE!</v>
      </c>
      <c r="V21" s="29">
        <f t="shared" si="1"/>
        <v>5.0000000000000001E-4</v>
      </c>
      <c r="W21" s="23" t="e">
        <f>VLOOKUP($D21,Uncertainties!$B$35:$D$41,2,FALSE)</f>
        <v>#N/A</v>
      </c>
      <c r="X21" s="23"/>
      <c r="Y21" s="24">
        <f t="shared" si="21"/>
        <v>0</v>
      </c>
      <c r="Z21" s="23" t="e">
        <f t="shared" si="22"/>
        <v>#VALUE!</v>
      </c>
      <c r="AA21" s="25" t="e">
        <f t="shared" si="23"/>
        <v>#VALUE!</v>
      </c>
      <c r="AB21" s="26" t="e">
        <f t="shared" si="3"/>
        <v>#VALUE!</v>
      </c>
      <c r="AC21" s="14"/>
      <c r="AD21" s="406">
        <v>1E-4</v>
      </c>
      <c r="AE21" s="368">
        <f>IF(ABS(VLOOKUP($A21,'5 A data'!$A$5:$AB$1017,6,FALSE))&lt;4.5,IF(ABS(VLOOKUP($A21,'5 A data'!$A$5:$AB$1017,6,FALSE))&lt;1.25,0.0008,0.002),0.004)*VLOOKUP($A21,'5 A data'!$A$5:$AB$1017,7,FALSE)*25*RADIANS(1/60)*100</f>
        <v>0</v>
      </c>
      <c r="AF21" s="23">
        <f t="shared" si="24"/>
        <v>-4.4796784134521128E-3</v>
      </c>
      <c r="AG21" s="29" t="e">
        <f t="shared" si="25"/>
        <v>#VALUE!</v>
      </c>
      <c r="AH21" s="4">
        <f t="shared" si="32"/>
        <v>0</v>
      </c>
      <c r="AI21" s="4" t="e">
        <f t="shared" si="26"/>
        <v>#VALUE!</v>
      </c>
      <c r="AJ21" s="4">
        <f t="shared" si="4"/>
        <v>5.0000000000000001E-4</v>
      </c>
      <c r="AK21" s="21" t="e">
        <f>VLOOKUP($D21,Uncertainties!$B$35:$D$41,3,FALSE)</f>
        <v>#N/A</v>
      </c>
      <c r="AL21" s="21"/>
      <c r="AM21" s="371">
        <f>SQRT((VLOOKUP($A21,'5 A data'!$A$5:$AB$1017,7,FALSE)*mutual_ind)^2+(aux_CT_phase*J21)^2)</f>
        <v>0</v>
      </c>
      <c r="AN21" s="29" t="e">
        <f t="shared" si="27"/>
        <v>#VALUE!</v>
      </c>
      <c r="AO21" s="14" t="e">
        <f t="shared" si="28"/>
        <v>#VALUE!</v>
      </c>
      <c r="AP21" s="27" t="e">
        <f t="shared" si="5"/>
        <v>#VALUE!</v>
      </c>
    </row>
    <row r="22" spans="1:42" ht="13.15" customHeight="1" x14ac:dyDescent="0.2">
      <c r="A22">
        <v>112</v>
      </c>
      <c r="B22" s="5" t="e">
        <f>B4&amp;D22</f>
        <v>#VALUE!</v>
      </c>
      <c r="C22" s="19">
        <f>VLOOKUP($A22,'5 A data'!$A$5:$AB$519,3,FALSE)</f>
        <v>0</v>
      </c>
      <c r="D22" s="166">
        <f>ROUND(VLOOKUP($A22,'5 A data'!$A$5:$AB$519,9,FALSE)/10,0)*10</f>
        <v>70</v>
      </c>
      <c r="E22" s="23">
        <f t="shared" si="6"/>
        <v>0.99936709902044762</v>
      </c>
      <c r="F22" s="23">
        <f t="shared" si="7"/>
        <v>1.0011822386327505</v>
      </c>
      <c r="G22" s="23" t="e">
        <f>VLOOKUP($B22,'844400'!$M$171:$U$237,4,FALSE)/10000</f>
        <v>#VALUE!</v>
      </c>
      <c r="H22" s="23" t="e">
        <f>VLOOKUP($B22,'844400'!$M$171:$U$237,5,FALSE)/10000</f>
        <v>#VALUE!</v>
      </c>
      <c r="I22" s="19">
        <f>VLOOKUP($A22,'5 A data'!$A$5:$AB$519,10,FALSE)</f>
        <v>-1.0000000000000002E-2</v>
      </c>
      <c r="J22" s="32">
        <f>VLOOKUP($A22,'5 A data'!$A$5:$AB$519,11,FALSE)</f>
        <v>2.2398392067260565E-2</v>
      </c>
      <c r="K22" s="31"/>
      <c r="L22" s="31"/>
      <c r="M22" s="31" t="e">
        <f t="shared" si="29"/>
        <v>#VALUE!</v>
      </c>
      <c r="N22" s="31" t="e">
        <f t="shared" si="30"/>
        <v>#VALUE!</v>
      </c>
      <c r="O22" s="20"/>
      <c r="P22" s="406">
        <v>1E-4</v>
      </c>
      <c r="Q22" s="59">
        <f>VLOOKUP($A22,'5 A data'!$A$5:$AB$519,7,FALSE)*slidewire_res</f>
        <v>2.0000000000000001E-4</v>
      </c>
      <c r="R22" s="349">
        <f t="shared" si="10"/>
        <v>1.4360000000000001E-2</v>
      </c>
      <c r="S22" s="4">
        <v>0</v>
      </c>
      <c r="T22" s="4">
        <f t="shared" si="31"/>
        <v>5.0000000000000012E-4</v>
      </c>
      <c r="U22" s="29" t="e">
        <f t="shared" si="20"/>
        <v>#VALUE!</v>
      </c>
      <c r="V22" s="29">
        <f t="shared" si="1"/>
        <v>5.0000000000000001E-4</v>
      </c>
      <c r="W22" s="23" t="e">
        <f>VLOOKUP($D22,Uncertainties!$B$35:$D$41,2,FALSE)</f>
        <v>#N/A</v>
      </c>
      <c r="X22" s="23"/>
      <c r="Y22" s="24">
        <f t="shared" si="21"/>
        <v>-7.958654143104222E-7</v>
      </c>
      <c r="Z22" s="23" t="e">
        <f t="shared" si="22"/>
        <v>#VALUE!</v>
      </c>
      <c r="AA22" s="25" t="e">
        <f t="shared" si="23"/>
        <v>#VALUE!</v>
      </c>
      <c r="AB22" s="26" t="e">
        <f t="shared" si="3"/>
        <v>#VALUE!</v>
      </c>
      <c r="AC22" s="14"/>
      <c r="AD22" s="406">
        <v>1E-4</v>
      </c>
      <c r="AE22" s="368">
        <f>IF(ABS(VLOOKUP($A22,'5 A data'!$A$5:$AB$1017,6,FALSE))&lt;4.5,IF(ABS(VLOOKUP($A22,'5 A data'!$A$5:$AB$1017,6,FALSE))&lt;1.25,0.0008,0.002),0.004)*VLOOKUP($A22,'5 A data'!$A$5:$AB$1017,7,FALSE)*25*RADIANS(1/60)*100</f>
        <v>2.9088820866572163E-4</v>
      </c>
      <c r="AF22" s="23">
        <f t="shared" si="24"/>
        <v>8.1448698426402066E-4</v>
      </c>
      <c r="AG22" s="29" t="e">
        <f t="shared" si="25"/>
        <v>#VALUE!</v>
      </c>
      <c r="AH22" s="4">
        <f t="shared" si="32"/>
        <v>-1.1199196033630282E-3</v>
      </c>
      <c r="AI22" s="4" t="e">
        <f t="shared" si="26"/>
        <v>#VALUE!</v>
      </c>
      <c r="AJ22" s="4">
        <f t="shared" si="4"/>
        <v>5.0000000000000001E-4</v>
      </c>
      <c r="AK22" s="21" t="e">
        <f>VLOOKUP($D22,Uncertainties!$B$35:$D$41,3,FALSE)</f>
        <v>#N/A</v>
      </c>
      <c r="AL22" s="21"/>
      <c r="AM22" s="371">
        <f>SQRT((VLOOKUP($A22,'5 A data'!$A$5:$AB$1017,7,FALSE)*mutual_ind)^2+(aux_CT_phase*J22)^2)</f>
        <v>5.2364398810237018E-4</v>
      </c>
      <c r="AN22" s="29" t="e">
        <f t="shared" si="27"/>
        <v>#VALUE!</v>
      </c>
      <c r="AO22" s="14" t="e">
        <f t="shared" si="28"/>
        <v>#VALUE!</v>
      </c>
      <c r="AP22" s="27" t="e">
        <f t="shared" si="5"/>
        <v>#VALUE!</v>
      </c>
    </row>
    <row r="23" spans="1:42" ht="13.15" customHeight="1" x14ac:dyDescent="0.2">
      <c r="A23" s="69">
        <v>113</v>
      </c>
      <c r="B23" s="5" t="e">
        <f>B4&amp;D23</f>
        <v>#VALUE!</v>
      </c>
      <c r="C23" s="19">
        <f>VLOOKUP($A23,'5 A data'!$A$5:$AB$519,3,FALSE)</f>
        <v>0</v>
      </c>
      <c r="D23" s="166">
        <f>ROUND(VLOOKUP($A23,'5 A data'!$A$5:$AB$519,9,FALSE)/10,0)*10</f>
        <v>70</v>
      </c>
      <c r="E23" s="23">
        <f t="shared" si="6"/>
        <v>0.99936709902044762</v>
      </c>
      <c r="F23" s="23">
        <f t="shared" si="7"/>
        <v>1.0011822386327505</v>
      </c>
      <c r="G23" s="23" t="e">
        <f>VLOOKUP($B23,'844400'!$M$171:$U$237,4,FALSE)/10000</f>
        <v>#VALUE!</v>
      </c>
      <c r="H23" s="23" t="e">
        <f>VLOOKUP($B23,'844400'!$M$171:$U$237,5,FALSE)/10000</f>
        <v>#VALUE!</v>
      </c>
      <c r="I23" s="19">
        <f>VLOOKUP($A23,'5 A data'!$A$5:$AB$519,10,FALSE)</f>
        <v>-8.1799999999999998E-2</v>
      </c>
      <c r="J23" s="32">
        <f>VLOOKUP($A23,'5 A data'!$A$5:$AB$519,11,FALSE)</f>
        <v>1.8325957145940461E-2</v>
      </c>
      <c r="K23" s="31"/>
      <c r="L23" s="31"/>
      <c r="M23" s="31" t="e">
        <f t="shared" si="29"/>
        <v>#VALUE!</v>
      </c>
      <c r="N23" s="31" t="e">
        <f t="shared" si="30"/>
        <v>#VALUE!</v>
      </c>
      <c r="O23" s="20"/>
      <c r="P23" s="406">
        <v>1E-4</v>
      </c>
      <c r="Q23" s="59">
        <f>VLOOKUP($A23,'5 A data'!$A$5:$AB$519,7,FALSE)*slidewire_res</f>
        <v>2.0000000000000001E-4</v>
      </c>
      <c r="R23" s="349">
        <f t="shared" si="10"/>
        <v>0</v>
      </c>
      <c r="S23" s="4">
        <v>0</v>
      </c>
      <c r="T23" s="4">
        <f t="shared" si="31"/>
        <v>3.5900000000000003E-3</v>
      </c>
      <c r="U23" s="29" t="e">
        <f t="shared" si="20"/>
        <v>#VALUE!</v>
      </c>
      <c r="V23" s="29">
        <f t="shared" si="1"/>
        <v>5.0000000000000001E-4</v>
      </c>
      <c r="W23" s="23" t="e">
        <f>VLOOKUP($D23,Uncertainties!$B$35:$D$41,2,FALSE)</f>
        <v>#N/A</v>
      </c>
      <c r="X23" s="23"/>
      <c r="Y23" s="24">
        <f t="shared" si="21"/>
        <v>-6.5101790890592523E-6</v>
      </c>
      <c r="Z23" s="23" t="e">
        <f t="shared" si="22"/>
        <v>#VALUE!</v>
      </c>
      <c r="AA23" s="25" t="e">
        <f t="shared" si="23"/>
        <v>#VALUE!</v>
      </c>
      <c r="AB23" s="26" t="e">
        <f t="shared" si="3"/>
        <v>#VALUE!</v>
      </c>
      <c r="AC23" s="14"/>
      <c r="AD23" s="406">
        <v>1E-4</v>
      </c>
      <c r="AE23" s="368">
        <f>IF(ABS(VLOOKUP($A23,'5 A data'!$A$5:$AB$1017,6,FALSE))&lt;4.5,IF(ABS(VLOOKUP($A23,'5 A data'!$A$5:$AB$1017,6,FALSE))&lt;1.25,0.0008,0.002),0.004)*VLOOKUP($A23,'5 A data'!$A$5:$AB$1017,7,FALSE)*25*RADIANS(1/60)*100</f>
        <v>2.9088820866572163E-4</v>
      </c>
      <c r="AF23" s="23">
        <f t="shared" si="24"/>
        <v>0</v>
      </c>
      <c r="AG23" s="29" t="e">
        <f t="shared" si="25"/>
        <v>#VALUE!</v>
      </c>
      <c r="AH23" s="4">
        <f t="shared" si="32"/>
        <v>2.4725497736586329E-4</v>
      </c>
      <c r="AI23" s="4" t="e">
        <f t="shared" si="26"/>
        <v>#VALUE!</v>
      </c>
      <c r="AJ23" s="4">
        <f t="shared" si="4"/>
        <v>5.0000000000000001E-4</v>
      </c>
      <c r="AK23" s="21" t="e">
        <f>VLOOKUP($D23,Uncertainties!$B$35:$D$41,3,FALSE)</f>
        <v>#N/A</v>
      </c>
      <c r="AL23" s="21"/>
      <c r="AM23" s="371">
        <f>SQRT((VLOOKUP($A23,'5 A data'!$A$5:$AB$1017,7,FALSE)*mutual_ind)^2+(aux_CT_phase*J23)^2)</f>
        <v>5.236290422519867E-4</v>
      </c>
      <c r="AN23" s="29" t="e">
        <f t="shared" si="27"/>
        <v>#VALUE!</v>
      </c>
      <c r="AO23" s="14" t="e">
        <f t="shared" si="28"/>
        <v>#VALUE!</v>
      </c>
      <c r="AP23" s="27" t="e">
        <f t="shared" si="5"/>
        <v>#VALUE!</v>
      </c>
    </row>
    <row r="24" spans="1:42" ht="13.15" customHeight="1" x14ac:dyDescent="0.2">
      <c r="A24">
        <v>114</v>
      </c>
      <c r="P24" s="100"/>
      <c r="R24" s="42"/>
      <c r="Z24" s="29"/>
      <c r="AA24" s="25"/>
      <c r="AD24" s="252"/>
      <c r="AN24" s="29"/>
      <c r="AO24" s="14"/>
    </row>
    <row r="25" spans="1:42" ht="13.15" customHeight="1" x14ac:dyDescent="0.2">
      <c r="A25" s="69">
        <v>115</v>
      </c>
      <c r="B25" s="161" t="e">
        <f>MID(D25,FIND("AT range",D25,1)-5,4)</f>
        <v>#VALUE!</v>
      </c>
      <c r="C25" t="s">
        <v>114</v>
      </c>
      <c r="D25" s="163" t="str">
        <f>VLOOKUP($A25,'5 A data'!$A$5:$AB$519,2,FALSE)</f>
        <v>burden test, 0 ohms,yy ohms on</v>
      </c>
      <c r="E25" s="160"/>
      <c r="F25" s="160"/>
      <c r="G25" s="160"/>
      <c r="H25" s="160"/>
      <c r="I25" s="160"/>
      <c r="J25" s="160"/>
      <c r="K25" s="160"/>
      <c r="P25" s="100"/>
      <c r="R25" s="42"/>
      <c r="Z25" s="29"/>
      <c r="AA25" s="25"/>
      <c r="AD25" s="252"/>
      <c r="AN25" s="29"/>
      <c r="AO25" s="14"/>
    </row>
    <row r="26" spans="1:42" ht="13.15" customHeight="1" x14ac:dyDescent="0.2">
      <c r="A26">
        <v>116</v>
      </c>
      <c r="C26" s="102"/>
      <c r="D26" s="19"/>
      <c r="M26" s="533" t="s">
        <v>161</v>
      </c>
      <c r="N26" s="533"/>
      <c r="O26" s="19"/>
      <c r="P26" s="100"/>
      <c r="Z26" s="29"/>
      <c r="AA26" s="25"/>
      <c r="AD26" s="252"/>
      <c r="AN26" s="29"/>
      <c r="AO26" s="14"/>
    </row>
    <row r="27" spans="1:42" ht="13.15" customHeight="1" x14ac:dyDescent="0.2">
      <c r="A27" s="69">
        <v>117</v>
      </c>
      <c r="B27" s="5" t="e">
        <f>B25&amp;D27</f>
        <v>#VALUE!</v>
      </c>
      <c r="C27" s="404">
        <f>VLOOKUP($A27,'5 A data'!$A$5:$AB$519,3,FALSE)</f>
        <v>0</v>
      </c>
      <c r="D27" s="19">
        <f>ROUND(VLOOKUP($A27,'5 A data'!$A$5:$AB$519,9,FALSE),0)</f>
        <v>0</v>
      </c>
      <c r="E27" s="23">
        <f>TestSetRatioCor</f>
        <v>0.99936709902044762</v>
      </c>
      <c r="F27" s="23">
        <f>TestSetPhaseCor</f>
        <v>1.0011822386327505</v>
      </c>
      <c r="G27" s="23" t="e">
        <f>VLOOKUP($B27,'844400'!$M$171:$U$237,4,FALSE)/10000</f>
        <v>#VALUE!</v>
      </c>
      <c r="H27" s="23" t="e">
        <f>VLOOKUP($B27,'844400'!$M$171:$U$237,5,FALSE)/10000</f>
        <v>#VALUE!</v>
      </c>
      <c r="I27" s="19">
        <f>VLOOKUP($A27,'5 A data'!$A$5:$AB$519,10,FALSE)</f>
        <v>0</v>
      </c>
      <c r="J27" s="32">
        <f>VLOOKUP($A27,'5 A data'!$A$5:$AB$519,11,FALSE)</f>
        <v>0</v>
      </c>
      <c r="K27" s="22">
        <f>I27-I35</f>
        <v>0</v>
      </c>
      <c r="L27" s="22">
        <f>J27-J35</f>
        <v>0</v>
      </c>
      <c r="M27" s="31" t="e">
        <f>I27*E27+G27-K27*($C27-high_burden)/($C27-$C35)</f>
        <v>#VALUE!</v>
      </c>
      <c r="N27" s="31" t="e">
        <f>J27*F27+H27-L27*($C27-high_burden)/($C27-$C35)</f>
        <v>#VALUE!</v>
      </c>
      <c r="O27" s="20"/>
      <c r="P27" s="376" t="e">
        <f>0.0001*VLOOKUP($B27,'844400'!$M$171:$U$237,6,FALSE)/VLOOKUP($B27,'844400'!$M$171:$U$237,8,FALSE)</f>
        <v>#VALUE!</v>
      </c>
      <c r="Q27" s="59">
        <f>VLOOKUP($A27,'5 A data'!$A$5:$AB$519,7,FALSE)*slidewire_res</f>
        <v>0</v>
      </c>
      <c r="R27" s="349">
        <f t="shared" ref="R27:R33" si="33">current_coef*(I27-I28)*IF(I28=0,0,1)</f>
        <v>0</v>
      </c>
      <c r="S27" s="21">
        <v>0</v>
      </c>
      <c r="T27" s="21">
        <f>BurdenUnc*K27</f>
        <v>0</v>
      </c>
      <c r="U27" s="23" t="e">
        <f t="shared" ref="U27:U33" si="34">0.004*M27</f>
        <v>#VALUE!</v>
      </c>
      <c r="V27" s="23">
        <f t="shared" ref="V27:V41" si="35">earthing_Re</f>
        <v>5.0000000000000001E-4</v>
      </c>
      <c r="W27" s="23" t="e">
        <f>VLOOKUP($D27,Uncertainties!$B$35:$D$41,2,FALSE)</f>
        <v>#N/A</v>
      </c>
      <c r="X27" s="23"/>
      <c r="Y27" s="24">
        <f t="shared" ref="Y27:Y33" si="36">I27*aux_CT_ratio</f>
        <v>0</v>
      </c>
      <c r="Z27" s="23" t="e">
        <f t="shared" ref="Z27:Z33" si="37">SQRT(SUMSQ(P27:Y27))</f>
        <v>#VALUE!</v>
      </c>
      <c r="AA27" s="25" t="e">
        <f t="shared" ref="AA27:AA33" si="38">DoF_A(P27:Y27,$P$7:$Y$7)</f>
        <v>#VALUE!</v>
      </c>
      <c r="AB27" s="26" t="e">
        <f t="shared" ref="AB27:AB33" si="39">CoverFactor(AA27)</f>
        <v>#VALUE!</v>
      </c>
      <c r="AC27" s="14"/>
      <c r="AD27" s="253" t="e">
        <f>0.0001*VLOOKUP($B27,'844400'!$M$171:$U$237,7,FALSE)/VLOOKUP($B27,'844400'!$M$171:$U$237,9,FALSE)</f>
        <v>#VALUE!</v>
      </c>
      <c r="AE27" s="368">
        <f>IF(ABS(VLOOKUP($A27,'5 A data'!$A$5:$AB$1017,6,FALSE))&lt;4.5,IF(ABS(VLOOKUP($A27,'5 A data'!$A$5:$AB$1017,6,FALSE))&lt;1.25,0.0008,0.002),0.004)*VLOOKUP($A27,'5 A data'!$A$5:$AB$1017,7,FALSE)*25*RADIANS(1/60)*100</f>
        <v>0</v>
      </c>
      <c r="AF27" s="23">
        <f>current_coef*(J27-J28)*IF(J28=0,0,1)</f>
        <v>0</v>
      </c>
      <c r="AG27" s="29" t="e">
        <f t="shared" ref="AG27:AG33" si="40">0.001*N27</f>
        <v>#VALUE!</v>
      </c>
      <c r="AH27" s="4">
        <f>BurdenUnc*L27</f>
        <v>0</v>
      </c>
      <c r="AI27" s="4" t="e">
        <f t="shared" ref="AI27:AI33" si="41">0.004*N27</f>
        <v>#VALUE!</v>
      </c>
      <c r="AJ27" s="4">
        <f t="shared" ref="AJ27:AJ41" si="42">earthing_Im</f>
        <v>5.0000000000000001E-4</v>
      </c>
      <c r="AK27" s="21" t="e">
        <f>VLOOKUP($D27,Uncertainties!$B$35:$D$41,3,FALSE)</f>
        <v>#N/A</v>
      </c>
      <c r="AL27" s="21"/>
      <c r="AM27" s="371">
        <f>SQRT((VLOOKUP($A27,'5 A data'!$A$5:$AB$1017,7,FALSE)*mutual_ind)^2+(aux_CT_phase*J27)^2)</f>
        <v>0</v>
      </c>
      <c r="AN27" s="29" t="e">
        <f t="shared" ref="AN27:AN33" si="43">SQRT(SUMSQ(AD27:AM27))</f>
        <v>#VALUE!</v>
      </c>
      <c r="AO27" s="14" t="e">
        <f t="shared" ref="AO27:AO33" si="44">DoF_A(AD27:AM27,$AD$7:$AM$7)</f>
        <v>#VALUE!</v>
      </c>
      <c r="AP27" s="27" t="e">
        <f t="shared" ref="AP27:AP41" si="45">CoverFactor(AO27)</f>
        <v>#VALUE!</v>
      </c>
    </row>
    <row r="28" spans="1:42" ht="13.15" customHeight="1" x14ac:dyDescent="0.2">
      <c r="A28">
        <v>118</v>
      </c>
      <c r="B28" s="5" t="e">
        <f>B25&amp;D28</f>
        <v>#VALUE!</v>
      </c>
      <c r="C28" s="86" t="str">
        <f>VLOOKUP($A28,'5 A data'!$A$5:$AB$519,3,FALSE)</f>
        <v>2.5VA unity</v>
      </c>
      <c r="D28" s="165">
        <f>ROUND(VLOOKUP($A28,'5 A data'!$A$5:$AB$519,9,FALSE)/10,0)*10</f>
        <v>0</v>
      </c>
      <c r="E28" s="23">
        <f t="shared" ref="E28:E41" si="46">TestSetRatioCor</f>
        <v>0.99936709902044762</v>
      </c>
      <c r="F28" s="23">
        <f t="shared" ref="F28:F41" si="47">TestSetPhaseCor</f>
        <v>1.0011822386327505</v>
      </c>
      <c r="G28" s="23" t="e">
        <f>VLOOKUP($B28,'844400'!$M$171:$U$237,4,FALSE)/10000</f>
        <v>#VALUE!</v>
      </c>
      <c r="H28" s="23" t="e">
        <f>VLOOKUP($B28,'844400'!$M$171:$U$237,5,FALSE)/10000</f>
        <v>#VALUE!</v>
      </c>
      <c r="I28" s="19">
        <f>VLOOKUP($A28,'5 A data'!$A$5:$AB$519,10,FALSE)</f>
        <v>0</v>
      </c>
      <c r="J28" s="32">
        <f>VLOOKUP($A28,'5 A data'!$A$5:$AB$519,11,FALSE)</f>
        <v>0</v>
      </c>
      <c r="K28" s="22">
        <f t="shared" ref="K28:K33" si="48">I28-I36</f>
        <v>1.52E-2</v>
      </c>
      <c r="L28" s="22">
        <f t="shared" ref="L28:L33" si="49">J28-J36</f>
        <v>-3.3161255787892266E-2</v>
      </c>
      <c r="M28" s="31" t="e">
        <f t="shared" ref="M28:M33" si="50">I28*E28+G28-K28*($C28-high_burden)/($C28-$C36)</f>
        <v>#VALUE!</v>
      </c>
      <c r="N28" s="31" t="e">
        <f t="shared" ref="N28:N33" si="51">J28*F28+H28-L28*($C28-high_burden)/($C28-$C36)</f>
        <v>#VALUE!</v>
      </c>
      <c r="O28" s="20"/>
      <c r="P28" s="376" t="e">
        <f>0.0001*VLOOKUP($B28,'844400'!$M$171:$U$237,6,FALSE)/VLOOKUP($B28,'844400'!$M$171:$U$237,8,FALSE)</f>
        <v>#VALUE!</v>
      </c>
      <c r="Q28" s="59">
        <f>VLOOKUP($A28,'5 A data'!$A$5:$AB$519,7,FALSE)*slidewire_res</f>
        <v>0</v>
      </c>
      <c r="R28" s="349">
        <f t="shared" si="33"/>
        <v>2.4800000000000004E-3</v>
      </c>
      <c r="S28" s="4">
        <v>0</v>
      </c>
      <c r="T28" s="21">
        <f t="shared" ref="T28:T33" si="52">BurdenUnc*K28</f>
        <v>7.6000000000000004E-4</v>
      </c>
      <c r="U28" s="29" t="e">
        <f t="shared" si="34"/>
        <v>#VALUE!</v>
      </c>
      <c r="V28" s="29">
        <f t="shared" si="35"/>
        <v>5.0000000000000001E-4</v>
      </c>
      <c r="W28" s="23" t="e">
        <f>VLOOKUP($D28,Uncertainties!$B$35:$D$41,2,FALSE)</f>
        <v>#N/A</v>
      </c>
      <c r="X28" s="23"/>
      <c r="Y28" s="24">
        <f t="shared" si="36"/>
        <v>0</v>
      </c>
      <c r="Z28" s="23" t="e">
        <f t="shared" si="37"/>
        <v>#VALUE!</v>
      </c>
      <c r="AA28" s="25" t="e">
        <f t="shared" si="38"/>
        <v>#VALUE!</v>
      </c>
      <c r="AB28" s="26" t="e">
        <f t="shared" si="39"/>
        <v>#VALUE!</v>
      </c>
      <c r="AC28" s="14"/>
      <c r="AD28" s="253" t="e">
        <f>0.0001*VLOOKUP($B28,'844400'!$M$171:$U$237,7,FALSE)/VLOOKUP($B28,'844400'!$M$171:$U$237,9,FALSE)</f>
        <v>#VALUE!</v>
      </c>
      <c r="AE28" s="368">
        <f>IF(ABS(VLOOKUP($A28,'5 A data'!$A$5:$AB$1017,6,FALSE))&lt;4.5,IF(ABS(VLOOKUP($A28,'5 A data'!$A$5:$AB$1017,6,FALSE))&lt;1.25,0.0008,0.002),0.004)*VLOOKUP($A28,'5 A data'!$A$5:$AB$1017,7,FALSE)*25*RADIANS(1/60)*100</f>
        <v>0</v>
      </c>
      <c r="AF28" s="23">
        <f t="shared" ref="AF28:AF33" si="53">current_coef*(J28-J29)*IF(J29=0,0,1)</f>
        <v>-5.7014088898481446E-3</v>
      </c>
      <c r="AG28" s="29" t="e">
        <f t="shared" si="40"/>
        <v>#VALUE!</v>
      </c>
      <c r="AH28" s="4">
        <f t="shared" ref="AH28:AH33" si="54">BurdenUnc*L28</f>
        <v>-1.6580627893946133E-3</v>
      </c>
      <c r="AI28" s="4" t="e">
        <f t="shared" si="41"/>
        <v>#VALUE!</v>
      </c>
      <c r="AJ28" s="4">
        <f t="shared" si="42"/>
        <v>5.0000000000000001E-4</v>
      </c>
      <c r="AK28" s="21" t="e">
        <f>VLOOKUP($D28,Uncertainties!$B$35:$D$41,3,FALSE)</f>
        <v>#N/A</v>
      </c>
      <c r="AL28" s="21"/>
      <c r="AM28" s="371">
        <f>SQRT((VLOOKUP($A28,'5 A data'!$A$5:$AB$1017,7,FALSE)*mutual_ind)^2+(aux_CT_phase*J28)^2)</f>
        <v>0</v>
      </c>
      <c r="AN28" s="29" t="e">
        <f t="shared" si="43"/>
        <v>#VALUE!</v>
      </c>
      <c r="AO28" s="14" t="e">
        <f t="shared" si="44"/>
        <v>#VALUE!</v>
      </c>
      <c r="AP28" s="27" t="e">
        <f t="shared" si="45"/>
        <v>#VALUE!</v>
      </c>
    </row>
    <row r="29" spans="1:42" ht="13.15" customHeight="1" x14ac:dyDescent="0.2">
      <c r="A29" s="69">
        <v>119</v>
      </c>
      <c r="B29" s="5" t="e">
        <f>B25&amp;D29</f>
        <v>#VALUE!</v>
      </c>
      <c r="C29" s="86">
        <f>VLOOKUP($A29,'5 A data'!$A$5:$AB$519,3,FALSE)</f>
        <v>0</v>
      </c>
      <c r="D29" s="165">
        <f>ROUND(VLOOKUP($A29,'5 A data'!$A$5:$AB$519,9,FALSE)/10,0)*10</f>
        <v>70</v>
      </c>
      <c r="E29" s="23">
        <f t="shared" si="46"/>
        <v>0.99936709902044762</v>
      </c>
      <c r="F29" s="23">
        <f t="shared" si="47"/>
        <v>1.0011822386327505</v>
      </c>
      <c r="G29" s="23" t="e">
        <f>VLOOKUP($B29,'844400'!$M$171:$U$237,4,FALSE)/10000</f>
        <v>#VALUE!</v>
      </c>
      <c r="H29" s="23" t="e">
        <f>VLOOKUP($B29,'844400'!$M$171:$U$237,5,FALSE)/10000</f>
        <v>#VALUE!</v>
      </c>
      <c r="I29" s="19">
        <f>VLOOKUP($A29,'5 A data'!$A$5:$AB$519,10,FALSE)</f>
        <v>-1.2400000000000001E-2</v>
      </c>
      <c r="J29" s="32">
        <f>VLOOKUP($A29,'5 A data'!$A$5:$AB$519,11,FALSE)</f>
        <v>2.850704444924072E-2</v>
      </c>
      <c r="K29" s="22">
        <f t="shared" si="48"/>
        <v>0.1736</v>
      </c>
      <c r="L29" s="22">
        <f t="shared" si="49"/>
        <v>2.3271056693257748E-3</v>
      </c>
      <c r="M29" s="31" t="e">
        <f t="shared" si="50"/>
        <v>#VALUE!</v>
      </c>
      <c r="N29" s="31" t="e">
        <f t="shared" si="51"/>
        <v>#VALUE!</v>
      </c>
      <c r="O29" s="20"/>
      <c r="P29" s="376" t="e">
        <f>0.0001*VLOOKUP($B29,'844400'!$M$171:$U$237,6,FALSE)/VLOOKUP($B29,'844400'!$M$171:$U$237,8,FALSE)</f>
        <v>#VALUE!</v>
      </c>
      <c r="Q29" s="59">
        <f>VLOOKUP($A29,'5 A data'!$A$5:$AB$519,7,FALSE)*slidewire_res</f>
        <v>2.0000000000000001E-4</v>
      </c>
      <c r="R29" s="349">
        <f t="shared" si="33"/>
        <v>2.4320000000000005E-2</v>
      </c>
      <c r="S29" s="4">
        <v>0</v>
      </c>
      <c r="T29" s="21">
        <f t="shared" si="52"/>
        <v>8.6800000000000002E-3</v>
      </c>
      <c r="U29" s="29" t="e">
        <f t="shared" si="34"/>
        <v>#VALUE!</v>
      </c>
      <c r="V29" s="29">
        <f t="shared" si="35"/>
        <v>5.0000000000000001E-4</v>
      </c>
      <c r="W29" s="23" t="e">
        <f>VLOOKUP($D29,Uncertainties!$B$35:$D$41,2,FALSE)</f>
        <v>#N/A</v>
      </c>
      <c r="X29" s="23"/>
      <c r="Y29" s="24">
        <f t="shared" si="36"/>
        <v>-9.8687311374492335E-7</v>
      </c>
      <c r="Z29" s="23" t="e">
        <f t="shared" si="37"/>
        <v>#VALUE!</v>
      </c>
      <c r="AA29" s="25" t="e">
        <f t="shared" si="38"/>
        <v>#VALUE!</v>
      </c>
      <c r="AB29" s="26" t="e">
        <f t="shared" si="39"/>
        <v>#VALUE!</v>
      </c>
      <c r="AC29" s="14"/>
      <c r="AD29" s="253" t="e">
        <f>0.0001*VLOOKUP($B29,'844400'!$M$171:$U$237,7,FALSE)/VLOOKUP($B29,'844400'!$M$171:$U$237,9,FALSE)</f>
        <v>#VALUE!</v>
      </c>
      <c r="AE29" s="368">
        <f>IF(ABS(VLOOKUP($A29,'5 A data'!$A$5:$AB$1017,6,FALSE))&lt;4.5,IF(ABS(VLOOKUP($A29,'5 A data'!$A$5:$AB$1017,6,FALSE))&lt;1.25,0.0008,0.002),0.004)*VLOOKUP($A29,'5 A data'!$A$5:$AB$1017,7,FALSE)*25*RADIANS(1/60)*100</f>
        <v>5.8177641733144327E-4</v>
      </c>
      <c r="AF29" s="23">
        <f t="shared" si="53"/>
        <v>1.3380857598623203E-3</v>
      </c>
      <c r="AG29" s="29" t="e">
        <f t="shared" si="40"/>
        <v>#VALUE!</v>
      </c>
      <c r="AH29" s="4">
        <f t="shared" si="54"/>
        <v>1.1635528346628875E-4</v>
      </c>
      <c r="AI29" s="4" t="e">
        <f t="shared" si="41"/>
        <v>#VALUE!</v>
      </c>
      <c r="AJ29" s="4">
        <f t="shared" si="42"/>
        <v>5.0000000000000001E-4</v>
      </c>
      <c r="AK29" s="21" t="e">
        <f>VLOOKUP($D29,Uncertainties!$B$35:$D$41,3,FALSE)</f>
        <v>#N/A</v>
      </c>
      <c r="AL29" s="21"/>
      <c r="AM29" s="371">
        <f>SQRT((VLOOKUP($A29,'5 A data'!$A$5:$AB$1017,7,FALSE)*mutual_ind)^2+(aux_CT_phase*J29)^2)</f>
        <v>5.2367201042212192E-4</v>
      </c>
      <c r="AN29" s="29" t="e">
        <f t="shared" si="43"/>
        <v>#VALUE!</v>
      </c>
      <c r="AO29" s="14" t="e">
        <f t="shared" si="44"/>
        <v>#VALUE!</v>
      </c>
      <c r="AP29" s="27" t="e">
        <f t="shared" si="45"/>
        <v>#VALUE!</v>
      </c>
    </row>
    <row r="30" spans="1:42" ht="13.15" customHeight="1" x14ac:dyDescent="0.2">
      <c r="A30">
        <v>120</v>
      </c>
      <c r="B30" s="5" t="e">
        <f>B25&amp;D30</f>
        <v>#VALUE!</v>
      </c>
      <c r="C30" s="86">
        <f>VLOOKUP($A30,'5 A data'!$A$5:$AB$519,3,FALSE)</f>
        <v>0</v>
      </c>
      <c r="D30" s="165">
        <f>ROUND(VLOOKUP($A30,'5 A data'!$A$5:$AB$519,9,FALSE)/10,0)*10</f>
        <v>70</v>
      </c>
      <c r="E30" s="23">
        <f t="shared" si="46"/>
        <v>0.99936709902044762</v>
      </c>
      <c r="F30" s="23">
        <f t="shared" si="47"/>
        <v>1.0011822386327505</v>
      </c>
      <c r="G30" s="23" t="e">
        <f>VLOOKUP($B30,'844400'!$M$171:$U$237,4,FALSE)/10000</f>
        <v>#VALUE!</v>
      </c>
      <c r="H30" s="23" t="e">
        <f>VLOOKUP($B30,'844400'!$M$171:$U$237,5,FALSE)/10000</f>
        <v>#VALUE!</v>
      </c>
      <c r="I30" s="19">
        <f>VLOOKUP($A30,'5 A data'!$A$5:$AB$519,10,FALSE)</f>
        <v>-0.13400000000000001</v>
      </c>
      <c r="J30" s="32">
        <f>VLOOKUP($A30,'5 A data'!$A$5:$AB$519,11,FALSE)</f>
        <v>2.1816615649929118E-2</v>
      </c>
      <c r="K30" s="22">
        <f>I30-I38</f>
        <v>-0.11840000000000001</v>
      </c>
      <c r="L30" s="22">
        <f>J30-J38</f>
        <v>-9.5993108859688155E-3</v>
      </c>
      <c r="M30" s="31" t="e">
        <f>I30*E30+G30-K30*($C30-high_burden)/($C30-$C38)</f>
        <v>#VALUE!</v>
      </c>
      <c r="N30" s="31" t="e">
        <f>J30*F30+H30-L30*($C30-high_burden)/($C30-$C38)</f>
        <v>#VALUE!</v>
      </c>
      <c r="O30" s="20"/>
      <c r="P30" s="376" t="e">
        <f>0.0001*VLOOKUP($B30,'844400'!$M$171:$U$237,6,FALSE)/VLOOKUP($B30,'844400'!$M$171:$U$237,8,FALSE)</f>
        <v>#VALUE!</v>
      </c>
      <c r="Q30" s="59">
        <f>VLOOKUP($A30,'5 A data'!$A$5:$AB$519,7,FALSE)*slidewire_res</f>
        <v>1E-3</v>
      </c>
      <c r="R30" s="349">
        <f t="shared" si="33"/>
        <v>-2.4200000000000003E-2</v>
      </c>
      <c r="S30" s="4">
        <v>0</v>
      </c>
      <c r="T30" s="21">
        <f t="shared" si="52"/>
        <v>-5.9200000000000008E-3</v>
      </c>
      <c r="U30" s="29" t="e">
        <f t="shared" si="34"/>
        <v>#VALUE!</v>
      </c>
      <c r="V30" s="29">
        <f t="shared" si="35"/>
        <v>5.0000000000000001E-4</v>
      </c>
      <c r="W30" s="23" t="e">
        <f>VLOOKUP($D30,Uncertainties!$B$35:$D$41,2,FALSE)</f>
        <v>#N/A</v>
      </c>
      <c r="X30" s="23"/>
      <c r="Y30" s="24">
        <f t="shared" si="36"/>
        <v>-1.0664596551759656E-5</v>
      </c>
      <c r="Z30" s="23" t="e">
        <f t="shared" si="37"/>
        <v>#VALUE!</v>
      </c>
      <c r="AA30" s="25" t="e">
        <f t="shared" si="38"/>
        <v>#VALUE!</v>
      </c>
      <c r="AB30" s="26" t="e">
        <f t="shared" si="39"/>
        <v>#VALUE!</v>
      </c>
      <c r="AC30" s="14"/>
      <c r="AD30" s="253" t="e">
        <f>0.0001*VLOOKUP($B30,'844400'!$M$171:$U$237,7,FALSE)/VLOOKUP($B30,'844400'!$M$171:$U$237,9,FALSE)</f>
        <v>#VALUE!</v>
      </c>
      <c r="AE30" s="368">
        <f>IF(ABS(VLOOKUP($A30,'5 A data'!$A$5:$AB$1017,6,FALSE))&lt;4.5,IF(ABS(VLOOKUP($A30,'5 A data'!$A$5:$AB$1017,6,FALSE))&lt;1.25,0.0008,0.002),0.004)*VLOOKUP($A30,'5 A data'!$A$5:$AB$1017,7,FALSE)*25*RADIANS(1/60)*100</f>
        <v>5.8177641733144327E-4</v>
      </c>
      <c r="AF30" s="23">
        <f t="shared" si="53"/>
        <v>-8.7266462599716534E-4</v>
      </c>
      <c r="AG30" s="29" t="e">
        <f t="shared" si="40"/>
        <v>#VALUE!</v>
      </c>
      <c r="AH30" s="4">
        <f t="shared" si="54"/>
        <v>-4.7996554429844079E-4</v>
      </c>
      <c r="AI30" s="4" t="e">
        <f t="shared" si="41"/>
        <v>#VALUE!</v>
      </c>
      <c r="AJ30" s="4">
        <f t="shared" si="42"/>
        <v>5.0000000000000001E-4</v>
      </c>
      <c r="AK30" s="21" t="e">
        <f>VLOOKUP($D30,Uncertainties!$B$35:$D$41,3,FALSE)</f>
        <v>#N/A</v>
      </c>
      <c r="AL30" s="21"/>
      <c r="AM30" s="371">
        <f>SQRT((VLOOKUP($A30,'5 A data'!$A$5:$AB$1017,7,FALSE)*mutual_ind)^2+(aux_CT_phase*J30)^2)</f>
        <v>2.6180024572088631E-3</v>
      </c>
      <c r="AN30" s="29" t="e">
        <f t="shared" si="43"/>
        <v>#VALUE!</v>
      </c>
      <c r="AO30" s="14" t="e">
        <f t="shared" si="44"/>
        <v>#VALUE!</v>
      </c>
      <c r="AP30" s="27" t="e">
        <f t="shared" si="45"/>
        <v>#VALUE!</v>
      </c>
    </row>
    <row r="31" spans="1:42" ht="13.15" customHeight="1" x14ac:dyDescent="0.2">
      <c r="A31" s="69">
        <v>121</v>
      </c>
      <c r="B31" s="5" t="e">
        <f>B25&amp;D31</f>
        <v>#VALUE!</v>
      </c>
      <c r="C31" s="86">
        <f>VLOOKUP($A31,'5 A data'!$A$5:$AB$519,3,FALSE)</f>
        <v>0</v>
      </c>
      <c r="D31" s="165">
        <f>ROUND(VLOOKUP($A31,'5 A data'!$A$5:$AB$519,9,FALSE)/10,0)*10</f>
        <v>100</v>
      </c>
      <c r="E31" s="23">
        <f t="shared" si="46"/>
        <v>0.99936709902044762</v>
      </c>
      <c r="F31" s="23">
        <f t="shared" si="47"/>
        <v>1.0011822386327505</v>
      </c>
      <c r="G31" s="23" t="e">
        <f>VLOOKUP($B31,'844400'!$M$171:$U$237,4,FALSE)/10000</f>
        <v>#VALUE!</v>
      </c>
      <c r="H31" s="23" t="e">
        <f>VLOOKUP($B31,'844400'!$M$171:$U$237,5,FALSE)/10000</f>
        <v>#VALUE!</v>
      </c>
      <c r="I31" s="19">
        <f>VLOOKUP($A31,'5 A data'!$A$5:$AB$519,10,FALSE)</f>
        <v>-1.3000000000000001E-2</v>
      </c>
      <c r="J31" s="32">
        <f>VLOOKUP($A31,'5 A data'!$A$5:$AB$519,11,FALSE)</f>
        <v>2.6179938779914945E-2</v>
      </c>
      <c r="K31" s="22">
        <f t="shared" si="48"/>
        <v>0.17499999999999999</v>
      </c>
      <c r="L31" s="22">
        <f t="shared" si="49"/>
        <v>2.9088820866572176E-3</v>
      </c>
      <c r="M31" s="31" t="e">
        <f t="shared" si="50"/>
        <v>#VALUE!</v>
      </c>
      <c r="N31" s="31" t="e">
        <f t="shared" si="51"/>
        <v>#VALUE!</v>
      </c>
      <c r="O31" s="20"/>
      <c r="P31" s="376" t="e">
        <f>0.0001*VLOOKUP($B31,'844400'!$M$171:$U$237,6,FALSE)/VLOOKUP($B31,'844400'!$M$171:$U$237,8,FALSE)</f>
        <v>#VALUE!</v>
      </c>
      <c r="Q31" s="59">
        <f>VLOOKUP($A31,'5 A data'!$A$5:$AB$519,7,FALSE)*slidewire_res</f>
        <v>2.0000000000000001E-4</v>
      </c>
      <c r="R31" s="349">
        <f t="shared" si="33"/>
        <v>2.4600000000000004E-2</v>
      </c>
      <c r="S31" s="4">
        <v>0</v>
      </c>
      <c r="T31" s="21">
        <f t="shared" si="52"/>
        <v>8.7499999999999991E-3</v>
      </c>
      <c r="U31" s="29" t="e">
        <f t="shared" si="34"/>
        <v>#VALUE!</v>
      </c>
      <c r="V31" s="29">
        <f t="shared" si="35"/>
        <v>5.0000000000000001E-4</v>
      </c>
      <c r="W31" s="23">
        <f>VLOOKUP($D31,Uncertainties!$B$35:$D$41,2,FALSE)</f>
        <v>0</v>
      </c>
      <c r="X31" s="23"/>
      <c r="Y31" s="24">
        <f t="shared" si="36"/>
        <v>-1.0346250386035487E-6</v>
      </c>
      <c r="Z31" s="23" t="e">
        <f t="shared" si="37"/>
        <v>#VALUE!</v>
      </c>
      <c r="AA31" s="25" t="e">
        <f t="shared" si="38"/>
        <v>#VALUE!</v>
      </c>
      <c r="AB31" s="26" t="e">
        <f t="shared" si="39"/>
        <v>#VALUE!</v>
      </c>
      <c r="AC31" s="14"/>
      <c r="AD31" s="253" t="e">
        <f>0.0001*VLOOKUP($B31,'844400'!$M$171:$U$237,7,FALSE)/VLOOKUP($B31,'844400'!$M$171:$U$237,9,FALSE)</f>
        <v>#VALUE!</v>
      </c>
      <c r="AE31" s="368">
        <f>IF(ABS(VLOOKUP($A31,'5 A data'!$A$5:$AB$1017,6,FALSE))&lt;4.5,IF(ABS(VLOOKUP($A31,'5 A data'!$A$5:$AB$1017,6,FALSE))&lt;1.25,0.0008,0.002),0.004)*VLOOKUP($A31,'5 A data'!$A$5:$AB$1017,7,FALSE)*25*RADIANS(1/60)*100</f>
        <v>5.8177641733144327E-4</v>
      </c>
      <c r="AF31" s="23">
        <f t="shared" si="53"/>
        <v>1.1635528346628872E-3</v>
      </c>
      <c r="AG31" s="29" t="e">
        <f t="shared" si="40"/>
        <v>#VALUE!</v>
      </c>
      <c r="AH31" s="4">
        <f t="shared" si="54"/>
        <v>1.454441043328609E-4</v>
      </c>
      <c r="AI31" s="4" t="e">
        <f t="shared" si="41"/>
        <v>#VALUE!</v>
      </c>
      <c r="AJ31" s="4">
        <f t="shared" si="42"/>
        <v>5.0000000000000001E-4</v>
      </c>
      <c r="AK31" s="21">
        <f>VLOOKUP($D31,Uncertainties!$B$35:$D$41,3,FALSE)</f>
        <v>0</v>
      </c>
      <c r="AL31" s="21"/>
      <c r="AM31" s="371">
        <f>SQRT((VLOOKUP($A31,'5 A data'!$A$5:$AB$1017,7,FALSE)*mutual_ind)^2+(aux_CT_phase*J31)^2)</f>
        <v>5.2366054242137454E-4</v>
      </c>
      <c r="AN31" s="29" t="e">
        <f t="shared" si="43"/>
        <v>#VALUE!</v>
      </c>
      <c r="AO31" s="14" t="e">
        <f t="shared" si="44"/>
        <v>#VALUE!</v>
      </c>
      <c r="AP31" s="27" t="e">
        <f t="shared" si="45"/>
        <v>#VALUE!</v>
      </c>
    </row>
    <row r="32" spans="1:42" ht="13.15" customHeight="1" x14ac:dyDescent="0.2">
      <c r="A32">
        <v>122</v>
      </c>
      <c r="B32" s="5" t="e">
        <f>B25&amp;D32</f>
        <v>#VALUE!</v>
      </c>
      <c r="C32" s="86">
        <f>VLOOKUP($A32,'5 A data'!$A$5:$AB$519,3,FALSE)</f>
        <v>0</v>
      </c>
      <c r="D32" s="166">
        <f>ROUND(VLOOKUP($A32,'5 A data'!$A$5:$AB$519,9,FALSE)/10,0)*10</f>
        <v>100</v>
      </c>
      <c r="E32" s="23">
        <f t="shared" si="46"/>
        <v>0.99936709902044762</v>
      </c>
      <c r="F32" s="23">
        <f t="shared" si="47"/>
        <v>1.0011822386327505</v>
      </c>
      <c r="G32" s="23" t="e">
        <f>VLOOKUP($B32,'844400'!$M$171:$U$237,4,FALSE)/10000</f>
        <v>#VALUE!</v>
      </c>
      <c r="H32" s="23" t="e">
        <f>VLOOKUP($B32,'844400'!$M$171:$U$237,5,FALSE)/10000</f>
        <v>#VALUE!</v>
      </c>
      <c r="I32" s="19">
        <f>VLOOKUP($A32,'5 A data'!$A$5:$AB$519,10,FALSE)</f>
        <v>-0.13600000000000001</v>
      </c>
      <c r="J32" s="32">
        <f>VLOOKUP($A32,'5 A data'!$A$5:$AB$519,11,FALSE)</f>
        <v>2.036217460660051E-2</v>
      </c>
      <c r="K32" s="22">
        <f t="shared" si="48"/>
        <v>-0.13600000000000001</v>
      </c>
      <c r="L32" s="22">
        <f t="shared" si="49"/>
        <v>2.036217460660051E-2</v>
      </c>
      <c r="M32" s="31" t="e">
        <f t="shared" si="50"/>
        <v>#VALUE!</v>
      </c>
      <c r="N32" s="31" t="e">
        <f t="shared" si="51"/>
        <v>#VALUE!</v>
      </c>
      <c r="O32" s="20"/>
      <c r="P32" s="376" t="e">
        <f>0.0001*VLOOKUP($B32,'844400'!$M$171:$U$237,6,FALSE)/VLOOKUP($B32,'844400'!$M$171:$U$237,8,FALSE)</f>
        <v>#VALUE!</v>
      </c>
      <c r="Q32" s="59">
        <f>VLOOKUP($A32,'5 A data'!$A$5:$AB$519,7,FALSE)*slidewire_res</f>
        <v>1E-3</v>
      </c>
      <c r="R32" s="349">
        <f t="shared" si="33"/>
        <v>0</v>
      </c>
      <c r="S32" s="4">
        <v>0</v>
      </c>
      <c r="T32" s="21">
        <f t="shared" si="52"/>
        <v>-6.8000000000000005E-3</v>
      </c>
      <c r="U32" s="29" t="e">
        <f t="shared" si="34"/>
        <v>#VALUE!</v>
      </c>
      <c r="V32" s="29">
        <f t="shared" si="35"/>
        <v>5.0000000000000001E-4</v>
      </c>
      <c r="W32" s="23">
        <f>VLOOKUP($D32,Uncertainties!$B$35:$D$41,2,FALSE)</f>
        <v>0</v>
      </c>
      <c r="X32" s="23"/>
      <c r="Y32" s="24">
        <f t="shared" si="36"/>
        <v>-1.0823769634621741E-5</v>
      </c>
      <c r="Z32" s="23" t="e">
        <f t="shared" si="37"/>
        <v>#VALUE!</v>
      </c>
      <c r="AA32" s="25" t="e">
        <f t="shared" si="38"/>
        <v>#VALUE!</v>
      </c>
      <c r="AB32" s="26" t="e">
        <f t="shared" si="39"/>
        <v>#VALUE!</v>
      </c>
      <c r="AC32" s="14"/>
      <c r="AD32" s="253" t="e">
        <f>0.0001*VLOOKUP($B32,'844400'!$M$171:$U$237,7,FALSE)/VLOOKUP($B32,'844400'!$M$171:$U$237,9,FALSE)</f>
        <v>#VALUE!</v>
      </c>
      <c r="AE32" s="368">
        <f>IF(ABS(VLOOKUP($A32,'5 A data'!$A$5:$AB$1017,6,FALSE))&lt;4.5,IF(ABS(VLOOKUP($A32,'5 A data'!$A$5:$AB$1017,6,FALSE))&lt;1.25,0.0008,0.002),0.004)*VLOOKUP($A32,'5 A data'!$A$5:$AB$1017,7,FALSE)*25*RADIANS(1/60)*100</f>
        <v>5.8177641733144327E-4</v>
      </c>
      <c r="AF32" s="23">
        <f t="shared" si="53"/>
        <v>0</v>
      </c>
      <c r="AG32" s="29" t="e">
        <f t="shared" si="40"/>
        <v>#VALUE!</v>
      </c>
      <c r="AH32" s="4">
        <f t="shared" si="54"/>
        <v>1.0181087303300256E-3</v>
      </c>
      <c r="AI32" s="4" t="e">
        <f t="shared" si="41"/>
        <v>#VALUE!</v>
      </c>
      <c r="AJ32" s="4">
        <f t="shared" si="42"/>
        <v>5.0000000000000001E-4</v>
      </c>
      <c r="AK32" s="21">
        <f>VLOOKUP($D32,Uncertainties!$B$35:$D$41,3,FALSE)</f>
        <v>0</v>
      </c>
      <c r="AL32" s="21"/>
      <c r="AM32" s="371">
        <f>SQRT((VLOOKUP($A32,'5 A data'!$A$5:$AB$1017,7,FALSE)*mutual_ind)^2+(aux_CT_phase*J32)^2)</f>
        <v>2.6180013514446473E-3</v>
      </c>
      <c r="AN32" s="29" t="e">
        <f t="shared" si="43"/>
        <v>#VALUE!</v>
      </c>
      <c r="AO32" s="14" t="e">
        <f t="shared" si="44"/>
        <v>#VALUE!</v>
      </c>
      <c r="AP32" s="27" t="e">
        <f t="shared" si="45"/>
        <v>#VALUE!</v>
      </c>
    </row>
    <row r="33" spans="1:42" ht="13.15" customHeight="1" x14ac:dyDescent="0.2">
      <c r="A33" s="69">
        <v>123</v>
      </c>
      <c r="B33" s="5" t="e">
        <f>B25&amp;D33</f>
        <v>#VALUE!</v>
      </c>
      <c r="C33" s="86">
        <f>VLOOKUP($A33,'5 A data'!$A$5:$AB$519,3,FALSE)</f>
        <v>0</v>
      </c>
      <c r="D33" s="166">
        <f>ROUND(VLOOKUP($A33,'5 A data'!$A$5:$AB$519,9,FALSE)/10,0)*10</f>
        <v>0</v>
      </c>
      <c r="E33" s="23">
        <f t="shared" si="46"/>
        <v>0.99936709902044762</v>
      </c>
      <c r="F33" s="23">
        <f t="shared" si="47"/>
        <v>1.0011822386327505</v>
      </c>
      <c r="G33" s="23" t="e">
        <f>VLOOKUP($B33,'844400'!$M$171:$U$237,4,FALSE)/10000</f>
        <v>#VALUE!</v>
      </c>
      <c r="H33" s="23" t="e">
        <f>VLOOKUP($B33,'844400'!$M$171:$U$237,5,FALSE)/10000</f>
        <v>#VALUE!</v>
      </c>
      <c r="I33" s="19">
        <f>VLOOKUP($A33,'5 A data'!$A$5:$AB$519,10,FALSE)</f>
        <v>0</v>
      </c>
      <c r="J33" s="32">
        <f>VLOOKUP($A33,'5 A data'!$A$5:$AB$519,11,FALSE)</f>
        <v>0</v>
      </c>
      <c r="K33" s="22">
        <f t="shared" si="48"/>
        <v>0</v>
      </c>
      <c r="L33" s="22">
        <f t="shared" si="49"/>
        <v>0</v>
      </c>
      <c r="M33" s="31" t="e">
        <f t="shared" si="50"/>
        <v>#VALUE!</v>
      </c>
      <c r="N33" s="31" t="e">
        <f t="shared" si="51"/>
        <v>#VALUE!</v>
      </c>
      <c r="O33" s="20"/>
      <c r="P33" s="376" t="e">
        <f>0.0001*VLOOKUP($B33,'844400'!$M$171:$U$237,6,FALSE)/VLOOKUP($B33,'844400'!$M$171:$U$237,8,FALSE)</f>
        <v>#VALUE!</v>
      </c>
      <c r="Q33" s="59">
        <f>VLOOKUP($A33,'5 A data'!$A$5:$AB$519,7,FALSE)*slidewire_res</f>
        <v>0</v>
      </c>
      <c r="R33" s="349">
        <f t="shared" si="33"/>
        <v>0</v>
      </c>
      <c r="S33" s="4">
        <v>0</v>
      </c>
      <c r="T33" s="21">
        <f t="shared" si="52"/>
        <v>0</v>
      </c>
      <c r="U33" s="29" t="e">
        <f t="shared" si="34"/>
        <v>#VALUE!</v>
      </c>
      <c r="V33" s="29">
        <f t="shared" si="35"/>
        <v>5.0000000000000001E-4</v>
      </c>
      <c r="W33" s="23" t="e">
        <f>VLOOKUP($D33,Uncertainties!$B$35:$D$41,2,FALSE)</f>
        <v>#N/A</v>
      </c>
      <c r="X33" s="23"/>
      <c r="Y33" s="24">
        <f t="shared" si="36"/>
        <v>0</v>
      </c>
      <c r="Z33" s="23" t="e">
        <f t="shared" si="37"/>
        <v>#VALUE!</v>
      </c>
      <c r="AA33" s="25" t="e">
        <f t="shared" si="38"/>
        <v>#VALUE!</v>
      </c>
      <c r="AB33" s="26" t="e">
        <f t="shared" si="39"/>
        <v>#VALUE!</v>
      </c>
      <c r="AC33" s="14"/>
      <c r="AD33" s="253" t="e">
        <f>0.0001*VLOOKUP($B33,'844400'!$M$171:$U$237,7,FALSE)/VLOOKUP($B33,'844400'!$M$171:$U$237,9,FALSE)</f>
        <v>#VALUE!</v>
      </c>
      <c r="AE33" s="368">
        <f>IF(ABS(VLOOKUP($A33,'5 A data'!$A$5:$AB$1017,6,FALSE))&lt;4.5,IF(ABS(VLOOKUP($A33,'5 A data'!$A$5:$AB$1017,6,FALSE))&lt;1.25,0.0008,0.002),0.004)*VLOOKUP($A33,'5 A data'!$A$5:$AB$1017,7,FALSE)*25*RADIANS(1/60)*100</f>
        <v>0</v>
      </c>
      <c r="AF33" s="23">
        <f t="shared" si="53"/>
        <v>0</v>
      </c>
      <c r="AG33" s="29" t="e">
        <f t="shared" si="40"/>
        <v>#VALUE!</v>
      </c>
      <c r="AH33" s="4">
        <f t="shared" si="54"/>
        <v>0</v>
      </c>
      <c r="AI33" s="4" t="e">
        <f t="shared" si="41"/>
        <v>#VALUE!</v>
      </c>
      <c r="AJ33" s="4">
        <f t="shared" si="42"/>
        <v>5.0000000000000001E-4</v>
      </c>
      <c r="AK33" s="21" t="e">
        <f>VLOOKUP($D33,Uncertainties!$B$35:$D$41,3,FALSE)</f>
        <v>#N/A</v>
      </c>
      <c r="AL33" s="21"/>
      <c r="AM33" s="371">
        <f>SQRT((VLOOKUP($A33,'5 A data'!$A$5:$AB$1017,7,FALSE)*mutual_ind)^2+(aux_CT_phase*J33)^2)</f>
        <v>0</v>
      </c>
      <c r="AN33" s="29" t="e">
        <f t="shared" si="43"/>
        <v>#VALUE!</v>
      </c>
      <c r="AO33" s="14" t="e">
        <f t="shared" si="44"/>
        <v>#VALUE!</v>
      </c>
      <c r="AP33" s="27" t="e">
        <f t="shared" si="45"/>
        <v>#VALUE!</v>
      </c>
    </row>
    <row r="34" spans="1:42" ht="13.15" customHeight="1" x14ac:dyDescent="0.2">
      <c r="A34">
        <v>124</v>
      </c>
      <c r="B34" s="5"/>
      <c r="C34" s="86"/>
      <c r="D34" s="19"/>
      <c r="E34" s="23"/>
      <c r="F34" s="23"/>
      <c r="G34" s="23"/>
      <c r="H34" s="23"/>
      <c r="I34" s="19"/>
      <c r="J34" s="32"/>
      <c r="K34" s="31"/>
      <c r="L34" s="31"/>
      <c r="M34" s="533" t="s">
        <v>94</v>
      </c>
      <c r="N34" s="533"/>
      <c r="O34" s="20"/>
      <c r="P34" s="376"/>
      <c r="Q34" s="59"/>
      <c r="R34" s="349"/>
      <c r="S34" s="4"/>
      <c r="T34" s="4"/>
      <c r="U34" s="29"/>
      <c r="V34" s="29"/>
      <c r="W34" s="29"/>
      <c r="X34" s="29"/>
      <c r="Y34" s="24"/>
      <c r="Z34" s="29"/>
      <c r="AA34" s="25"/>
      <c r="AB34" s="26"/>
      <c r="AC34" s="14"/>
      <c r="AD34" s="253"/>
      <c r="AE34" s="35"/>
      <c r="AF34" s="28"/>
      <c r="AG34" s="29"/>
      <c r="AH34" s="4"/>
      <c r="AI34" s="4"/>
      <c r="AJ34" s="4"/>
      <c r="AK34" s="4"/>
      <c r="AL34" s="4"/>
      <c r="AM34" s="24"/>
      <c r="AN34" s="29"/>
      <c r="AO34" s="14"/>
      <c r="AP34" s="27"/>
    </row>
    <row r="35" spans="1:42" ht="13.15" customHeight="1" x14ac:dyDescent="0.2">
      <c r="A35" s="69">
        <v>125</v>
      </c>
      <c r="B35" s="5" t="e">
        <f>B25&amp;D35</f>
        <v>#VALUE!</v>
      </c>
      <c r="C35" s="86" t="str">
        <f>VLOOKUP($A35,'5 A data'!$A$5:$AB$519,3,FALSE)</f>
        <v>3.75VA unity</v>
      </c>
      <c r="D35" s="19">
        <f>ROUND(VLOOKUP($A35,'5 A data'!$A$5:$AB$519,9,FALSE),0)</f>
        <v>0</v>
      </c>
      <c r="E35" s="23">
        <f t="shared" si="46"/>
        <v>0.99936709902044762</v>
      </c>
      <c r="F35" s="23">
        <f t="shared" si="47"/>
        <v>1.0011822386327505</v>
      </c>
      <c r="G35" s="23" t="e">
        <f>VLOOKUP($B35,'844400'!$M$171:$U$237,4,FALSE)/10000</f>
        <v>#VALUE!</v>
      </c>
      <c r="H35" s="23" t="e">
        <f>VLOOKUP($B35,'844400'!$M$171:$U$237,5,FALSE)/10000</f>
        <v>#VALUE!</v>
      </c>
      <c r="I35" s="19">
        <f>VLOOKUP($A35,'5 A data'!$A$5:$AB$519,10,FALSE)</f>
        <v>0</v>
      </c>
      <c r="J35" s="32">
        <f>VLOOKUP($A35,'5 A data'!$A$5:$AB$519,11,FALSE)</f>
        <v>0</v>
      </c>
      <c r="K35" s="31"/>
      <c r="L35" s="31"/>
      <c r="M35" s="31" t="e">
        <f>I35*E35+G35+K27*(low__burden-$C35)/($C27-$C35)</f>
        <v>#VALUE!</v>
      </c>
      <c r="N35" s="31" t="e">
        <f>J35*F35+H35+L27*(low__burden-$C35)/($C27-$C35)</f>
        <v>#VALUE!</v>
      </c>
      <c r="O35" s="20"/>
      <c r="P35" s="376" t="e">
        <f>0.0001*VLOOKUP($B35,'844400'!$M$171:$U$237,6,FALSE)/VLOOKUP($B35,'844400'!$M$171:$U$237,8,FALSE)</f>
        <v>#VALUE!</v>
      </c>
      <c r="Q35" s="59">
        <f>VLOOKUP($A35,'5 A data'!$A$5:$AB$519,7,FALSE)*slidewire_res</f>
        <v>0</v>
      </c>
      <c r="R35" s="349">
        <f t="shared" ref="R35:R41" si="55">current_coef*(I35-I36)*IF(I36=0,0,1)</f>
        <v>3.0400000000000002E-3</v>
      </c>
      <c r="S35" s="4">
        <v>0</v>
      </c>
      <c r="T35" s="4">
        <f>BurdenUnc*K27</f>
        <v>0</v>
      </c>
      <c r="U35" s="29" t="e">
        <f t="shared" ref="U35:U41" si="56">0.004*M35</f>
        <v>#VALUE!</v>
      </c>
      <c r="V35" s="29">
        <f t="shared" si="35"/>
        <v>5.0000000000000001E-4</v>
      </c>
      <c r="W35" s="23" t="e">
        <f>VLOOKUP($D35,Uncertainties!$B$35:$D$41,2,FALSE)</f>
        <v>#N/A</v>
      </c>
      <c r="X35" s="23"/>
      <c r="Y35" s="24">
        <f t="shared" ref="Y35:Y41" si="57">I35*aux_CT_ratio</f>
        <v>0</v>
      </c>
      <c r="Z35" s="23" t="e">
        <f t="shared" ref="Z35:Z41" si="58">SQRT(SUMSQ(P35:Y35))</f>
        <v>#VALUE!</v>
      </c>
      <c r="AA35" s="25" t="e">
        <f t="shared" ref="AA35:AA41" si="59">DoF_A(P35:Y35,$P$7:$Y$7)</f>
        <v>#VALUE!</v>
      </c>
      <c r="AB35" s="26" t="e">
        <f t="shared" ref="AB35:AB41" si="60">CoverFactor(AA35)</f>
        <v>#VALUE!</v>
      </c>
      <c r="AC35" s="14"/>
      <c r="AD35" s="253" t="e">
        <f>0.0001*VLOOKUP($B35,'844400'!$M$171:$U$237,7,FALSE)/VLOOKUP($B35,'844400'!$M$171:$U$237,9,FALSE)</f>
        <v>#VALUE!</v>
      </c>
      <c r="AE35" s="368">
        <f>IF(ABS(VLOOKUP($A35,'5 A data'!$A$5:$AB$1017,6,FALSE))&lt;4.5,IF(ABS(VLOOKUP($A35,'5 A data'!$A$5:$AB$1017,6,FALSE))&lt;1.25,0.0008,0.002),0.004)*VLOOKUP($A35,'5 A data'!$A$5:$AB$1017,7,FALSE)*25*RADIANS(1/60)*100</f>
        <v>0</v>
      </c>
      <c r="AF35" s="23">
        <f t="shared" ref="AF35:AF41" si="61">current_coef*(J35-J36)*IF(J36=0,0,1)</f>
        <v>-6.6322511575784534E-3</v>
      </c>
      <c r="AG35" s="29" t="e">
        <f t="shared" ref="AG35:AG41" si="62">0.001*N35</f>
        <v>#VALUE!</v>
      </c>
      <c r="AH35" s="4">
        <f>BurdenUnc*L27</f>
        <v>0</v>
      </c>
      <c r="AI35" s="4" t="e">
        <f t="shared" ref="AI35:AI41" si="63">0.004*N35</f>
        <v>#VALUE!</v>
      </c>
      <c r="AJ35" s="4">
        <f t="shared" si="42"/>
        <v>5.0000000000000001E-4</v>
      </c>
      <c r="AK35" s="21" t="e">
        <f>VLOOKUP($D35,Uncertainties!$B$35:$D$41,3,FALSE)</f>
        <v>#N/A</v>
      </c>
      <c r="AL35" s="21"/>
      <c r="AM35" s="371">
        <f>SQRT((VLOOKUP($A35,'5 A data'!$A$5:$AB$1017,7,FALSE)*mutual_ind)^2+(aux_CT_phase*J35)^2)</f>
        <v>0</v>
      </c>
      <c r="AN35" s="29" t="e">
        <f t="shared" ref="AN35:AN41" si="64">SQRT(SUMSQ(AD35:AM35))</f>
        <v>#VALUE!</v>
      </c>
      <c r="AO35" s="14" t="e">
        <f t="shared" ref="AO35:AO41" si="65">DoF_A(AD35:AM35,$AD$7:$AM$7)</f>
        <v>#VALUE!</v>
      </c>
      <c r="AP35" s="27" t="e">
        <f t="shared" si="45"/>
        <v>#VALUE!</v>
      </c>
    </row>
    <row r="36" spans="1:42" ht="13.15" customHeight="1" x14ac:dyDescent="0.2">
      <c r="A36">
        <v>126</v>
      </c>
      <c r="B36" s="5" t="e">
        <f>B25&amp;D36</f>
        <v>#VALUE!</v>
      </c>
      <c r="C36" s="86">
        <f>VLOOKUP($A36,'5 A data'!$A$5:$AB$519,3,FALSE)</f>
        <v>0</v>
      </c>
      <c r="D36" s="165">
        <f>ROUND(VLOOKUP($A36,'5 A data'!$A$5:$AB$519,9,FALSE)/10,0)*10</f>
        <v>70</v>
      </c>
      <c r="E36" s="23">
        <f t="shared" si="46"/>
        <v>0.99936709902044762</v>
      </c>
      <c r="F36" s="23">
        <f t="shared" si="47"/>
        <v>1.0011822386327505</v>
      </c>
      <c r="G36" s="23" t="e">
        <f>VLOOKUP($B36,'844400'!$M$171:$U$237,4,FALSE)/10000</f>
        <v>#VALUE!</v>
      </c>
      <c r="H36" s="23" t="e">
        <f>VLOOKUP($B36,'844400'!$M$171:$U$237,5,FALSE)/10000</f>
        <v>#VALUE!</v>
      </c>
      <c r="I36" s="19">
        <f>VLOOKUP($A36,'5 A data'!$A$5:$AB$519,10,FALSE)</f>
        <v>-1.52E-2</v>
      </c>
      <c r="J36" s="32">
        <f>VLOOKUP($A36,'5 A data'!$A$5:$AB$519,11,FALSE)</f>
        <v>3.3161255787892266E-2</v>
      </c>
      <c r="K36" s="31"/>
      <c r="L36" s="31"/>
      <c r="M36" s="31" t="e">
        <f t="shared" ref="M36:M41" si="66">I36*E36+G36+K28*(low__burden-$C36)/($C28-$C36)</f>
        <v>#VALUE!</v>
      </c>
      <c r="N36" s="31" t="e">
        <f t="shared" ref="N36:N41" si="67">J36*F36+H36+L28*(low__burden-$C36)/($C28-$C36)</f>
        <v>#VALUE!</v>
      </c>
      <c r="O36" s="20"/>
      <c r="P36" s="376" t="e">
        <f>0.0001*VLOOKUP($B36,'844400'!$M$171:$U$237,6,FALSE)/VLOOKUP($B36,'844400'!$M$171:$U$237,8,FALSE)</f>
        <v>#VALUE!</v>
      </c>
      <c r="Q36" s="59">
        <f>VLOOKUP($A36,'5 A data'!$A$5:$AB$519,7,FALSE)*slidewire_res</f>
        <v>2.0000000000000001E-4</v>
      </c>
      <c r="R36" s="349">
        <f t="shared" si="55"/>
        <v>3.4160000000000003E-2</v>
      </c>
      <c r="S36" s="4">
        <v>0</v>
      </c>
      <c r="T36" s="4">
        <f t="shared" ref="T36:T41" si="68">BurdenUnc*K28</f>
        <v>7.6000000000000004E-4</v>
      </c>
      <c r="U36" s="29" t="e">
        <f t="shared" si="56"/>
        <v>#VALUE!</v>
      </c>
      <c r="V36" s="29">
        <f t="shared" si="35"/>
        <v>5.0000000000000001E-4</v>
      </c>
      <c r="W36" s="23" t="e">
        <f>VLOOKUP($D36,Uncertainties!$B$35:$D$41,2,FALSE)</f>
        <v>#N/A</v>
      </c>
      <c r="X36" s="23"/>
      <c r="Y36" s="24">
        <f t="shared" si="57"/>
        <v>-1.2097154297518415E-6</v>
      </c>
      <c r="Z36" s="23" t="e">
        <f t="shared" si="58"/>
        <v>#VALUE!</v>
      </c>
      <c r="AA36" s="25" t="e">
        <f t="shared" si="59"/>
        <v>#VALUE!</v>
      </c>
      <c r="AB36" s="26" t="e">
        <f t="shared" si="60"/>
        <v>#VALUE!</v>
      </c>
      <c r="AC36" s="14"/>
      <c r="AD36" s="253" t="e">
        <f>0.0001*VLOOKUP($B36,'844400'!$M$171:$U$237,7,FALSE)/VLOOKUP($B36,'844400'!$M$171:$U$237,9,FALSE)</f>
        <v>#VALUE!</v>
      </c>
      <c r="AE36" s="368">
        <f>IF(ABS(VLOOKUP($A36,'5 A data'!$A$5:$AB$1017,6,FALSE))&lt;4.5,IF(ABS(VLOOKUP($A36,'5 A data'!$A$5:$AB$1017,6,FALSE))&lt;1.25,0.0008,0.002),0.004)*VLOOKUP($A36,'5 A data'!$A$5:$AB$1017,7,FALSE)*25*RADIANS(1/60)*100</f>
        <v>5.8177641733144327E-4</v>
      </c>
      <c r="AF36" s="23">
        <f t="shared" si="61"/>
        <v>1.3962634015954644E-3</v>
      </c>
      <c r="AG36" s="29" t="e">
        <f t="shared" si="62"/>
        <v>#VALUE!</v>
      </c>
      <c r="AH36" s="4">
        <f t="shared" ref="AH36:AH41" si="69">BurdenUnc*L28</f>
        <v>-1.6580627893946133E-3</v>
      </c>
      <c r="AI36" s="4" t="e">
        <f t="shared" si="63"/>
        <v>#VALUE!</v>
      </c>
      <c r="AJ36" s="4">
        <f t="shared" si="42"/>
        <v>5.0000000000000001E-4</v>
      </c>
      <c r="AK36" s="21" t="e">
        <f>VLOOKUP($D36,Uncertainties!$B$35:$D$41,3,FALSE)</f>
        <v>#N/A</v>
      </c>
      <c r="AL36" s="21"/>
      <c r="AM36" s="371">
        <f>SQRT((VLOOKUP($A36,'5 A data'!$A$5:$AB$1017,7,FALSE)*mutual_ind)^2+(aux_CT_phase*J36)^2)</f>
        <v>5.2369787350194476E-4</v>
      </c>
      <c r="AN36" s="29" t="e">
        <f t="shared" si="64"/>
        <v>#VALUE!</v>
      </c>
      <c r="AO36" s="14" t="e">
        <f t="shared" si="65"/>
        <v>#VALUE!</v>
      </c>
      <c r="AP36" s="27" t="e">
        <f t="shared" si="45"/>
        <v>#VALUE!</v>
      </c>
    </row>
    <row r="37" spans="1:42" ht="13.15" customHeight="1" x14ac:dyDescent="0.2">
      <c r="A37" s="69">
        <v>127</v>
      </c>
      <c r="B37" s="5" t="e">
        <f>B25&amp;D37</f>
        <v>#VALUE!</v>
      </c>
      <c r="C37" s="19">
        <f>VLOOKUP($A37,'5 A data'!$A$5:$AB$519,3,FALSE)</f>
        <v>0</v>
      </c>
      <c r="D37" s="165">
        <f>ROUND(VLOOKUP($A37,'5 A data'!$A$5:$AB$519,9,FALSE)/10,0)*10</f>
        <v>70</v>
      </c>
      <c r="E37" s="23">
        <f t="shared" si="46"/>
        <v>0.99936709902044762</v>
      </c>
      <c r="F37" s="23">
        <f t="shared" si="47"/>
        <v>1.0011822386327505</v>
      </c>
      <c r="G37" s="23" t="e">
        <f>VLOOKUP($B37,'844400'!$M$171:$U$237,4,FALSE)/10000</f>
        <v>#VALUE!</v>
      </c>
      <c r="H37" s="23" t="e">
        <f>VLOOKUP($B37,'844400'!$M$171:$U$237,5,FALSE)/10000</f>
        <v>#VALUE!</v>
      </c>
      <c r="I37" s="19">
        <f>VLOOKUP($A37,'5 A data'!$A$5:$AB$519,10,FALSE)</f>
        <v>-0.186</v>
      </c>
      <c r="J37" s="32">
        <f>VLOOKUP($A37,'5 A data'!$A$5:$AB$519,11,FALSE)</f>
        <v>2.6179938779914945E-2</v>
      </c>
      <c r="K37" s="31"/>
      <c r="L37" s="31"/>
      <c r="M37" s="31" t="e">
        <f t="shared" si="66"/>
        <v>#VALUE!</v>
      </c>
      <c r="N37" s="31" t="e">
        <f t="shared" si="67"/>
        <v>#VALUE!</v>
      </c>
      <c r="O37" s="20"/>
      <c r="P37" s="376" t="e">
        <f>0.0001*VLOOKUP($B37,'844400'!$M$171:$U$237,6,FALSE)/VLOOKUP($B37,'844400'!$M$171:$U$237,8,FALSE)</f>
        <v>#VALUE!</v>
      </c>
      <c r="Q37" s="59">
        <f>VLOOKUP($A37,'5 A data'!$A$5:$AB$519,7,FALSE)*slidewire_res</f>
        <v>1E-3</v>
      </c>
      <c r="R37" s="349">
        <f t="shared" si="55"/>
        <v>-3.4079999999999999E-2</v>
      </c>
      <c r="S37" s="4">
        <v>0</v>
      </c>
      <c r="T37" s="4">
        <f t="shared" si="68"/>
        <v>8.6800000000000002E-3</v>
      </c>
      <c r="U37" s="29" t="e">
        <f t="shared" si="56"/>
        <v>#VALUE!</v>
      </c>
      <c r="V37" s="29">
        <f t="shared" si="35"/>
        <v>5.0000000000000001E-4</v>
      </c>
      <c r="W37" s="23" t="e">
        <f>VLOOKUP($D37,Uncertainties!$B$35:$D$41,2,FALSE)</f>
        <v>#N/A</v>
      </c>
      <c r="X37" s="23"/>
      <c r="Y37" s="24">
        <f t="shared" si="57"/>
        <v>-1.480309670617385E-5</v>
      </c>
      <c r="Z37" s="23" t="e">
        <f t="shared" si="58"/>
        <v>#VALUE!</v>
      </c>
      <c r="AA37" s="25" t="e">
        <f t="shared" si="59"/>
        <v>#VALUE!</v>
      </c>
      <c r="AB37" s="26" t="e">
        <f t="shared" si="60"/>
        <v>#VALUE!</v>
      </c>
      <c r="AC37" s="14"/>
      <c r="AD37" s="253" t="e">
        <f>0.0001*VLOOKUP($B37,'844400'!$M$171:$U$237,7,FALSE)/VLOOKUP($B37,'844400'!$M$171:$U$237,9,FALSE)</f>
        <v>#VALUE!</v>
      </c>
      <c r="AE37" s="368">
        <f>IF(ABS(VLOOKUP($A37,'5 A data'!$A$5:$AB$1017,6,FALSE))&lt;4.5,IF(ABS(VLOOKUP($A37,'5 A data'!$A$5:$AB$1017,6,FALSE))&lt;1.25,0.0008,0.002),0.004)*VLOOKUP($A37,'5 A data'!$A$5:$AB$1017,7,FALSE)*25*RADIANS(1/60)*100</f>
        <v>5.8177641733144327E-4</v>
      </c>
      <c r="AF37" s="23">
        <f t="shared" si="61"/>
        <v>-1.0471975511965978E-3</v>
      </c>
      <c r="AG37" s="29" t="e">
        <f t="shared" si="62"/>
        <v>#VALUE!</v>
      </c>
      <c r="AH37" s="4">
        <f t="shared" si="69"/>
        <v>1.1635528346628875E-4</v>
      </c>
      <c r="AI37" s="4" t="e">
        <f t="shared" si="63"/>
        <v>#VALUE!</v>
      </c>
      <c r="AJ37" s="4">
        <f t="shared" si="42"/>
        <v>5.0000000000000001E-4</v>
      </c>
      <c r="AK37" s="21" t="e">
        <f>VLOOKUP($D37,Uncertainties!$B$35:$D$41,3,FALSE)</f>
        <v>#N/A</v>
      </c>
      <c r="AL37" s="21"/>
      <c r="AM37" s="371">
        <f>SQRT((VLOOKUP($A37,'5 A data'!$A$5:$AB$1017,7,FALSE)*mutual_ind)^2+(aux_CT_phase*J37)^2)</f>
        <v>2.6180062320555991E-3</v>
      </c>
      <c r="AN37" s="29" t="e">
        <f t="shared" si="64"/>
        <v>#VALUE!</v>
      </c>
      <c r="AO37" s="14" t="e">
        <f t="shared" si="65"/>
        <v>#VALUE!</v>
      </c>
      <c r="AP37" s="27" t="e">
        <f t="shared" si="45"/>
        <v>#VALUE!</v>
      </c>
    </row>
    <row r="38" spans="1:42" ht="13.15" customHeight="1" x14ac:dyDescent="0.2">
      <c r="A38">
        <v>128</v>
      </c>
      <c r="B38" s="5" t="e">
        <f>B25&amp;D38</f>
        <v>#VALUE!</v>
      </c>
      <c r="C38" s="19">
        <f>VLOOKUP($A38,'5 A data'!$A$5:$AB$519,3,FALSE)</f>
        <v>0</v>
      </c>
      <c r="D38" s="165">
        <f>ROUND(VLOOKUP($A38,'5 A data'!$A$5:$AB$519,9,FALSE)/10,0)*10</f>
        <v>100</v>
      </c>
      <c r="E38" s="23">
        <f t="shared" si="46"/>
        <v>0.99936709902044762</v>
      </c>
      <c r="F38" s="23">
        <f t="shared" si="47"/>
        <v>1.0011822386327505</v>
      </c>
      <c r="G38" s="23" t="e">
        <f>VLOOKUP($B38,'844400'!$M$171:$U$237,4,FALSE)/10000</f>
        <v>#VALUE!</v>
      </c>
      <c r="H38" s="23" t="e">
        <f>VLOOKUP($B38,'844400'!$M$171:$U$237,5,FALSE)/10000</f>
        <v>#VALUE!</v>
      </c>
      <c r="I38" s="19">
        <f>VLOOKUP($A38,'5 A data'!$A$5:$AB$519,10,FALSE)</f>
        <v>-1.5600000000000001E-2</v>
      </c>
      <c r="J38" s="32">
        <f>VLOOKUP($A38,'5 A data'!$A$5:$AB$519,11,FALSE)</f>
        <v>3.1415926535897934E-2</v>
      </c>
      <c r="K38" s="31"/>
      <c r="L38" s="31"/>
      <c r="M38" s="31" t="e">
        <f>I38*E38+G38+K30*(low__burden-$C38)/($C30-$C38)</f>
        <v>#VALUE!</v>
      </c>
      <c r="N38" s="31" t="e">
        <f>J38*F38+H38+L30*(low__burden-$C38)/($C30-$C38)</f>
        <v>#VALUE!</v>
      </c>
      <c r="O38" s="20"/>
      <c r="P38" s="376" t="e">
        <f>0.0001*VLOOKUP($B38,'844400'!$M$171:$U$237,6,FALSE)/VLOOKUP($B38,'844400'!$M$171:$U$237,8,FALSE)</f>
        <v>#VALUE!</v>
      </c>
      <c r="Q38" s="59">
        <f>VLOOKUP($A38,'5 A data'!$A$5:$AB$519,7,FALSE)*slidewire_res</f>
        <v>2.0000000000000001E-4</v>
      </c>
      <c r="R38" s="349">
        <f t="shared" si="55"/>
        <v>3.4480000000000004E-2</v>
      </c>
      <c r="S38" s="4">
        <v>0</v>
      </c>
      <c r="T38" s="4">
        <f t="shared" si="68"/>
        <v>-5.9200000000000008E-3</v>
      </c>
      <c r="U38" s="29" t="e">
        <f t="shared" si="56"/>
        <v>#VALUE!</v>
      </c>
      <c r="V38" s="29">
        <f t="shared" si="35"/>
        <v>5.0000000000000001E-4</v>
      </c>
      <c r="W38" s="23">
        <f>VLOOKUP($D38,Uncertainties!$B$35:$D$41,2,FALSE)</f>
        <v>0</v>
      </c>
      <c r="X38" s="23"/>
      <c r="Y38" s="24">
        <f t="shared" si="57"/>
        <v>-1.2415500463242586E-6</v>
      </c>
      <c r="Z38" s="23" t="e">
        <f t="shared" si="58"/>
        <v>#VALUE!</v>
      </c>
      <c r="AA38" s="25" t="e">
        <f t="shared" si="59"/>
        <v>#VALUE!</v>
      </c>
      <c r="AB38" s="26" t="e">
        <f t="shared" si="60"/>
        <v>#VALUE!</v>
      </c>
      <c r="AC38" s="14"/>
      <c r="AD38" s="253" t="e">
        <f>0.0001*VLOOKUP($B38,'844400'!$M$171:$U$237,7,FALSE)/VLOOKUP($B38,'844400'!$M$171:$U$237,9,FALSE)</f>
        <v>#VALUE!</v>
      </c>
      <c r="AE38" s="368">
        <f>IF(ABS(VLOOKUP($A38,'5 A data'!$A$5:$AB$1017,6,FALSE))&lt;4.5,IF(ABS(VLOOKUP($A38,'5 A data'!$A$5:$AB$1017,6,FALSE))&lt;1.25,0.0008,0.002),0.004)*VLOOKUP($A38,'5 A data'!$A$5:$AB$1017,7,FALSE)*25*RADIANS(1/60)*100</f>
        <v>5.8177641733144327E-4</v>
      </c>
      <c r="AF38" s="23">
        <f t="shared" si="61"/>
        <v>1.6289739685280413E-3</v>
      </c>
      <c r="AG38" s="29" t="e">
        <f t="shared" si="62"/>
        <v>#VALUE!</v>
      </c>
      <c r="AH38" s="4">
        <f t="shared" si="69"/>
        <v>-4.7996554429844079E-4</v>
      </c>
      <c r="AI38" s="4" t="e">
        <f t="shared" si="63"/>
        <v>#VALUE!</v>
      </c>
      <c r="AJ38" s="4">
        <f t="shared" si="42"/>
        <v>5.0000000000000001E-4</v>
      </c>
      <c r="AK38" s="21">
        <f>VLOOKUP($D38,Uncertainties!$B$35:$D$41,3,FALSE)</f>
        <v>0</v>
      </c>
      <c r="AL38" s="21"/>
      <c r="AM38" s="371">
        <f>SQRT((VLOOKUP($A38,'5 A data'!$A$5:$AB$1017,7,FALSE)*mutual_ind)^2+(aux_CT_phase*J38)^2)</f>
        <v>5.2368771751559414E-4</v>
      </c>
      <c r="AN38" s="29" t="e">
        <f t="shared" si="64"/>
        <v>#VALUE!</v>
      </c>
      <c r="AO38" s="14" t="e">
        <f t="shared" si="65"/>
        <v>#VALUE!</v>
      </c>
      <c r="AP38" s="27" t="e">
        <f t="shared" si="45"/>
        <v>#VALUE!</v>
      </c>
    </row>
    <row r="39" spans="1:42" ht="13.15" customHeight="1" x14ac:dyDescent="0.2">
      <c r="A39" s="69">
        <v>129</v>
      </c>
      <c r="B39" s="5" t="e">
        <f>B25&amp;D39</f>
        <v>#VALUE!</v>
      </c>
      <c r="C39" s="19">
        <f>VLOOKUP($A39,'5 A data'!$A$5:$AB$519,3,FALSE)</f>
        <v>0</v>
      </c>
      <c r="D39" s="165">
        <f>ROUND(VLOOKUP($A39,'5 A data'!$A$5:$AB$519,9,FALSE)/10,0)*10</f>
        <v>100</v>
      </c>
      <c r="E39" s="23">
        <f t="shared" si="46"/>
        <v>0.99936709902044762</v>
      </c>
      <c r="F39" s="23">
        <f t="shared" si="47"/>
        <v>1.0011822386327505</v>
      </c>
      <c r="G39" s="23" t="e">
        <f>VLOOKUP($B39,'844400'!$M$171:$U$237,4,FALSE)/10000</f>
        <v>#VALUE!</v>
      </c>
      <c r="H39" s="23" t="e">
        <f>VLOOKUP($B39,'844400'!$M$171:$U$237,5,FALSE)/10000</f>
        <v>#VALUE!</v>
      </c>
      <c r="I39" s="19">
        <f>VLOOKUP($A39,'5 A data'!$A$5:$AB$519,10,FALSE)</f>
        <v>-0.188</v>
      </c>
      <c r="J39" s="32">
        <f>VLOOKUP($A39,'5 A data'!$A$5:$AB$519,11,FALSE)</f>
        <v>2.3271056693257727E-2</v>
      </c>
      <c r="K39" s="31"/>
      <c r="L39" s="31"/>
      <c r="M39" s="31" t="e">
        <f t="shared" si="66"/>
        <v>#VALUE!</v>
      </c>
      <c r="N39" s="31" t="e">
        <f t="shared" si="67"/>
        <v>#VALUE!</v>
      </c>
      <c r="O39" s="20"/>
      <c r="P39" s="376" t="e">
        <f>0.0001*VLOOKUP($B39,'844400'!$M$171:$U$237,6,FALSE)/VLOOKUP($B39,'844400'!$M$171:$U$237,8,FALSE)</f>
        <v>#VALUE!</v>
      </c>
      <c r="Q39" s="59">
        <f>VLOOKUP($A39,'5 A data'!$A$5:$AB$519,7,FALSE)*slidewire_res</f>
        <v>1E-3</v>
      </c>
      <c r="R39" s="349">
        <f t="shared" si="55"/>
        <v>0</v>
      </c>
      <c r="S39" s="4">
        <v>0</v>
      </c>
      <c r="T39" s="4">
        <f t="shared" si="68"/>
        <v>8.7499999999999991E-3</v>
      </c>
      <c r="U39" s="29" t="e">
        <f t="shared" si="56"/>
        <v>#VALUE!</v>
      </c>
      <c r="V39" s="29">
        <f t="shared" si="35"/>
        <v>5.0000000000000001E-4</v>
      </c>
      <c r="W39" s="23">
        <f>VLOOKUP($D39,Uncertainties!$B$35:$D$41,2,FALSE)</f>
        <v>0</v>
      </c>
      <c r="X39" s="23"/>
      <c r="Y39" s="24">
        <f t="shared" si="57"/>
        <v>-1.4962269789035935E-5</v>
      </c>
      <c r="Z39" s="23" t="e">
        <f t="shared" si="58"/>
        <v>#VALUE!</v>
      </c>
      <c r="AA39" s="25" t="e">
        <f t="shared" si="59"/>
        <v>#VALUE!</v>
      </c>
      <c r="AB39" s="26" t="e">
        <f t="shared" si="60"/>
        <v>#VALUE!</v>
      </c>
      <c r="AC39" s="14"/>
      <c r="AD39" s="253" t="e">
        <f>0.0001*VLOOKUP($B39,'844400'!$M$171:$U$237,7,FALSE)/VLOOKUP($B39,'844400'!$M$171:$U$237,9,FALSE)</f>
        <v>#VALUE!</v>
      </c>
      <c r="AE39" s="368">
        <f>IF(ABS(VLOOKUP($A39,'5 A data'!$A$5:$AB$1017,6,FALSE))&lt;4.5,IF(ABS(VLOOKUP($A39,'5 A data'!$A$5:$AB$1017,6,FALSE))&lt;1.25,0.0008,0.002),0.004)*VLOOKUP($A39,'5 A data'!$A$5:$AB$1017,7,FALSE)*25*RADIANS(1/60)*100</f>
        <v>5.8177641733144327E-4</v>
      </c>
      <c r="AF39" s="23">
        <f t="shared" si="61"/>
        <v>0</v>
      </c>
      <c r="AG39" s="29" t="e">
        <f t="shared" si="62"/>
        <v>#VALUE!</v>
      </c>
      <c r="AH39" s="4">
        <f t="shared" si="69"/>
        <v>1.454441043328609E-4</v>
      </c>
      <c r="AI39" s="4" t="e">
        <f t="shared" si="63"/>
        <v>#VALUE!</v>
      </c>
      <c r="AJ39" s="4">
        <f t="shared" si="42"/>
        <v>5.0000000000000001E-4</v>
      </c>
      <c r="AK39" s="21">
        <f>VLOOKUP($D39,Uncertainties!$B$35:$D$41,3,FALSE)</f>
        <v>0</v>
      </c>
      <c r="AL39" s="21"/>
      <c r="AM39" s="371">
        <f>SQRT((VLOOKUP($A39,'5 A data'!$A$5:$AB$1017,7,FALSE)*mutual_ind)^2+(aux_CT_phase*J39)^2)</f>
        <v>2.618003639232164E-3</v>
      </c>
      <c r="AN39" s="29" t="e">
        <f t="shared" si="64"/>
        <v>#VALUE!</v>
      </c>
      <c r="AO39" s="14" t="e">
        <f t="shared" si="65"/>
        <v>#VALUE!</v>
      </c>
      <c r="AP39" s="27" t="e">
        <f t="shared" si="45"/>
        <v>#VALUE!</v>
      </c>
    </row>
    <row r="40" spans="1:42" ht="13.15" customHeight="1" x14ac:dyDescent="0.2">
      <c r="A40">
        <v>130</v>
      </c>
      <c r="B40" s="5" t="e">
        <f>B25&amp;D40</f>
        <v>#VALUE!</v>
      </c>
      <c r="C40" s="19">
        <f>VLOOKUP($A40,'5 A data'!$A$5:$AB$519,3,FALSE)</f>
        <v>0</v>
      </c>
      <c r="D40" s="166">
        <f>ROUND(VLOOKUP($A40,'5 A data'!$A$5:$AB$519,9,FALSE)/10,0)*10</f>
        <v>0</v>
      </c>
      <c r="E40" s="23">
        <f t="shared" si="46"/>
        <v>0.99936709902044762</v>
      </c>
      <c r="F40" s="23">
        <f t="shared" si="47"/>
        <v>1.0011822386327505</v>
      </c>
      <c r="G40" s="23" t="e">
        <f>VLOOKUP($B40,'844400'!$M$171:$U$237,4,FALSE)/10000</f>
        <v>#VALUE!</v>
      </c>
      <c r="H40" s="23" t="e">
        <f>VLOOKUP($B40,'844400'!$M$171:$U$237,5,FALSE)/10000</f>
        <v>#VALUE!</v>
      </c>
      <c r="I40" s="19">
        <f>VLOOKUP($A40,'5 A data'!$A$5:$AB$519,10,FALSE)</f>
        <v>0</v>
      </c>
      <c r="J40" s="32">
        <f>VLOOKUP($A40,'5 A data'!$A$5:$AB$519,11,FALSE)</f>
        <v>0</v>
      </c>
      <c r="K40" s="31"/>
      <c r="L40" s="31"/>
      <c r="M40" s="31" t="e">
        <f t="shared" si="66"/>
        <v>#VALUE!</v>
      </c>
      <c r="N40" s="31" t="e">
        <f t="shared" si="67"/>
        <v>#VALUE!</v>
      </c>
      <c r="O40" s="20"/>
      <c r="P40" s="376" t="e">
        <f>0.0001*VLOOKUP($B40,'844400'!$M$171:$U$237,6,FALSE)/VLOOKUP($B40,'844400'!$M$171:$U$237,8,FALSE)</f>
        <v>#VALUE!</v>
      </c>
      <c r="Q40" s="59">
        <f>VLOOKUP($A40,'5 A data'!$A$5:$AB$519,7,FALSE)*slidewire_res</f>
        <v>0</v>
      </c>
      <c r="R40" s="349">
        <f t="shared" si="55"/>
        <v>0</v>
      </c>
      <c r="S40" s="4">
        <v>0</v>
      </c>
      <c r="T40" s="4">
        <f t="shared" si="68"/>
        <v>-6.8000000000000005E-3</v>
      </c>
      <c r="U40" s="29" t="e">
        <f t="shared" si="56"/>
        <v>#VALUE!</v>
      </c>
      <c r="V40" s="29">
        <f t="shared" si="35"/>
        <v>5.0000000000000001E-4</v>
      </c>
      <c r="W40" s="23" t="e">
        <f>VLOOKUP($D40,Uncertainties!$B$35:$D$41,2,FALSE)</f>
        <v>#N/A</v>
      </c>
      <c r="X40" s="23"/>
      <c r="Y40" s="24">
        <f t="shared" si="57"/>
        <v>0</v>
      </c>
      <c r="Z40" s="23" t="e">
        <f t="shared" si="58"/>
        <v>#VALUE!</v>
      </c>
      <c r="AA40" s="25" t="e">
        <f t="shared" si="59"/>
        <v>#VALUE!</v>
      </c>
      <c r="AB40" s="26" t="e">
        <f t="shared" si="60"/>
        <v>#VALUE!</v>
      </c>
      <c r="AC40" s="14"/>
      <c r="AD40" s="253" t="e">
        <f>0.0001*VLOOKUP($B40,'844400'!$M$171:$U$237,7,FALSE)/VLOOKUP($B40,'844400'!$M$171:$U$237,9,FALSE)</f>
        <v>#VALUE!</v>
      </c>
      <c r="AE40" s="368">
        <f>IF(ABS(VLOOKUP($A40,'5 A data'!$A$5:$AB$1017,6,FALSE))&lt;4.5,IF(ABS(VLOOKUP($A40,'5 A data'!$A$5:$AB$1017,6,FALSE))&lt;1.25,0.0008,0.002),0.004)*VLOOKUP($A40,'5 A data'!$A$5:$AB$1017,7,FALSE)*25*RADIANS(1/60)*100</f>
        <v>0</v>
      </c>
      <c r="AF40" s="23">
        <f t="shared" si="61"/>
        <v>0</v>
      </c>
      <c r="AG40" s="29" t="e">
        <f t="shared" si="62"/>
        <v>#VALUE!</v>
      </c>
      <c r="AH40" s="4">
        <f t="shared" si="69"/>
        <v>1.0181087303300256E-3</v>
      </c>
      <c r="AI40" s="4" t="e">
        <f t="shared" si="63"/>
        <v>#VALUE!</v>
      </c>
      <c r="AJ40" s="4">
        <f t="shared" si="42"/>
        <v>5.0000000000000001E-4</v>
      </c>
      <c r="AK40" s="21" t="e">
        <f>VLOOKUP($D40,Uncertainties!$B$35:$D$41,3,FALSE)</f>
        <v>#N/A</v>
      </c>
      <c r="AL40" s="21"/>
      <c r="AM40" s="371">
        <f>SQRT((VLOOKUP($A40,'5 A data'!$A$5:$AB$1017,7,FALSE)*mutual_ind)^2+(aux_CT_phase*J40)^2)</f>
        <v>0</v>
      </c>
      <c r="AN40" s="29" t="e">
        <f t="shared" si="64"/>
        <v>#VALUE!</v>
      </c>
      <c r="AO40" s="14" t="e">
        <f t="shared" si="65"/>
        <v>#VALUE!</v>
      </c>
      <c r="AP40" s="27" t="e">
        <f t="shared" si="45"/>
        <v>#VALUE!</v>
      </c>
    </row>
    <row r="41" spans="1:42" ht="13.15" customHeight="1" x14ac:dyDescent="0.2">
      <c r="A41" s="69">
        <v>131</v>
      </c>
      <c r="B41" s="5" t="e">
        <f>B25&amp;D41</f>
        <v>#VALUE!</v>
      </c>
      <c r="C41" s="19">
        <f>VLOOKUP($A41,'5 A data'!$A$5:$AB$519,3,FALSE)</f>
        <v>0</v>
      </c>
      <c r="D41" s="166">
        <f>ROUND(VLOOKUP($A41,'5 A data'!$A$5:$AB$519,9,FALSE)/10,0)*10</f>
        <v>0</v>
      </c>
      <c r="E41" s="23">
        <f t="shared" si="46"/>
        <v>0.99936709902044762</v>
      </c>
      <c r="F41" s="23">
        <f t="shared" si="47"/>
        <v>1.0011822386327505</v>
      </c>
      <c r="G41" s="23" t="e">
        <f>VLOOKUP($B41,'844400'!$M$171:$U$237,4,FALSE)/10000</f>
        <v>#VALUE!</v>
      </c>
      <c r="H41" s="23" t="e">
        <f>VLOOKUP($B41,'844400'!$M$171:$U$237,5,FALSE)/10000</f>
        <v>#VALUE!</v>
      </c>
      <c r="I41" s="19">
        <f>VLOOKUP($A41,'5 A data'!$A$5:$AB$519,10,FALSE)</f>
        <v>0</v>
      </c>
      <c r="J41" s="32">
        <f>VLOOKUP($A41,'5 A data'!$A$5:$AB$519,11,FALSE)</f>
        <v>0</v>
      </c>
      <c r="K41" s="31"/>
      <c r="L41" s="31"/>
      <c r="M41" s="31" t="e">
        <f t="shared" si="66"/>
        <v>#VALUE!</v>
      </c>
      <c r="N41" s="31" t="e">
        <f t="shared" si="67"/>
        <v>#VALUE!</v>
      </c>
      <c r="O41" s="20"/>
      <c r="P41" s="376" t="e">
        <f>0.0001*VLOOKUP($B41,'844400'!$M$171:$U$237,6,FALSE)/VLOOKUP($B41,'844400'!$M$171:$U$237,8,FALSE)</f>
        <v>#VALUE!</v>
      </c>
      <c r="Q41" s="59">
        <f>VLOOKUP($A41,'5 A data'!$A$5:$AB$519,7,FALSE)*slidewire_res</f>
        <v>0</v>
      </c>
      <c r="R41" s="349">
        <f t="shared" si="55"/>
        <v>0</v>
      </c>
      <c r="S41" s="4">
        <v>0</v>
      </c>
      <c r="T41" s="4">
        <f t="shared" si="68"/>
        <v>0</v>
      </c>
      <c r="U41" s="29" t="e">
        <f t="shared" si="56"/>
        <v>#VALUE!</v>
      </c>
      <c r="V41" s="29">
        <f t="shared" si="35"/>
        <v>5.0000000000000001E-4</v>
      </c>
      <c r="W41" s="23" t="e">
        <f>VLOOKUP($D41,Uncertainties!$B$35:$D$41,2,FALSE)</f>
        <v>#N/A</v>
      </c>
      <c r="X41" s="23"/>
      <c r="Y41" s="24">
        <f t="shared" si="57"/>
        <v>0</v>
      </c>
      <c r="Z41" s="23" t="e">
        <f t="shared" si="58"/>
        <v>#VALUE!</v>
      </c>
      <c r="AA41" s="25" t="e">
        <f t="shared" si="59"/>
        <v>#VALUE!</v>
      </c>
      <c r="AB41" s="26" t="e">
        <f t="shared" si="60"/>
        <v>#VALUE!</v>
      </c>
      <c r="AC41" s="14"/>
      <c r="AD41" s="253" t="e">
        <f>0.0001*VLOOKUP($B41,'844400'!$M$171:$U$237,7,FALSE)/VLOOKUP($B41,'844400'!$M$171:$U$237,9,FALSE)</f>
        <v>#VALUE!</v>
      </c>
      <c r="AE41" s="368">
        <f>IF(ABS(VLOOKUP($A41,'5 A data'!$A$5:$AB$1017,6,FALSE))&lt;4.5,IF(ABS(VLOOKUP($A41,'5 A data'!$A$5:$AB$1017,6,FALSE))&lt;1.25,0.0008,0.002),0.004)*VLOOKUP($A41,'5 A data'!$A$5:$AB$1017,7,FALSE)*25*RADIANS(1/60)*100</f>
        <v>0</v>
      </c>
      <c r="AF41" s="23">
        <f t="shared" si="61"/>
        <v>0</v>
      </c>
      <c r="AG41" s="29" t="e">
        <f t="shared" si="62"/>
        <v>#VALUE!</v>
      </c>
      <c r="AH41" s="4">
        <f t="shared" si="69"/>
        <v>0</v>
      </c>
      <c r="AI41" s="4" t="e">
        <f t="shared" si="63"/>
        <v>#VALUE!</v>
      </c>
      <c r="AJ41" s="4">
        <f t="shared" si="42"/>
        <v>5.0000000000000001E-4</v>
      </c>
      <c r="AK41" s="21" t="e">
        <f>VLOOKUP($D41,Uncertainties!$B$35:$D$41,3,FALSE)</f>
        <v>#N/A</v>
      </c>
      <c r="AL41" s="21"/>
      <c r="AM41" s="371">
        <f>SQRT((VLOOKUP($A41,'5 A data'!$A$5:$AB$1017,7,FALSE)*mutual_ind)^2+(aux_CT_phase*J41)^2)</f>
        <v>0</v>
      </c>
      <c r="AN41" s="29" t="e">
        <f t="shared" si="64"/>
        <v>#VALUE!</v>
      </c>
      <c r="AO41" s="14" t="e">
        <f t="shared" si="65"/>
        <v>#VALUE!</v>
      </c>
      <c r="AP41" s="27" t="e">
        <f t="shared" si="45"/>
        <v>#VALUE!</v>
      </c>
    </row>
    <row r="42" spans="1:42" ht="13.15" customHeight="1" x14ac:dyDescent="0.2">
      <c r="A42">
        <v>132</v>
      </c>
      <c r="P42" s="100"/>
      <c r="R42" s="42"/>
      <c r="AD42" s="252"/>
    </row>
    <row r="43" spans="1:42" ht="13.15" customHeight="1" x14ac:dyDescent="0.2">
      <c r="A43" s="69">
        <v>133</v>
      </c>
      <c r="B43" s="161" t="e">
        <f>MID(D43,FIND("AT range",D43,1)-5,4)</f>
        <v>#VALUE!</v>
      </c>
      <c r="C43" t="s">
        <v>114</v>
      </c>
      <c r="D43" s="163" t="str">
        <f>VLOOKUP($A43,'5 A data'!$A$5:$AB$519,2,FALSE)</f>
        <v>burden test, xx ohms, yy ohms off</v>
      </c>
      <c r="E43" s="160"/>
      <c r="F43" s="160"/>
      <c r="G43" s="160"/>
      <c r="H43" s="160"/>
      <c r="I43" s="160"/>
      <c r="J43" s="160"/>
      <c r="K43" s="160"/>
      <c r="P43" s="100"/>
      <c r="R43" s="42"/>
      <c r="Z43" s="29"/>
      <c r="AA43" s="25"/>
      <c r="AD43" s="252"/>
      <c r="AN43" s="29"/>
      <c r="AO43" s="14"/>
    </row>
    <row r="44" spans="1:42" ht="13.15" customHeight="1" x14ac:dyDescent="0.2">
      <c r="A44">
        <v>134</v>
      </c>
      <c r="C44" s="2"/>
      <c r="D44" s="19"/>
      <c r="M44" s="533" t="s">
        <v>161</v>
      </c>
      <c r="N44" s="533"/>
      <c r="O44" s="19"/>
      <c r="P44" s="100"/>
      <c r="R44" s="42"/>
      <c r="Z44" s="29"/>
      <c r="AA44" s="25"/>
      <c r="AD44" s="252"/>
      <c r="AN44" s="29"/>
      <c r="AO44" s="14"/>
    </row>
    <row r="45" spans="1:42" ht="13.15" customHeight="1" x14ac:dyDescent="0.2">
      <c r="A45" s="69">
        <v>135</v>
      </c>
      <c r="B45" s="5" t="e">
        <f>B43&amp;D45</f>
        <v>#VALUE!</v>
      </c>
      <c r="C45" s="19">
        <f>VLOOKUP($A45,'5 A data'!$A$5:$AB$519,3,FALSE)</f>
        <v>0</v>
      </c>
      <c r="D45" s="19">
        <f>ROUND(VLOOKUP($A45,'5 A data'!$A$5:$AB$519,9,FALSE),0)</f>
        <v>100</v>
      </c>
      <c r="E45" s="23">
        <f>TestSetRatioCor</f>
        <v>0.99936709902044762</v>
      </c>
      <c r="F45" s="23">
        <f>TestSetPhaseCor</f>
        <v>1.0011822386327505</v>
      </c>
      <c r="G45" s="23" t="e">
        <f>VLOOKUP($B45,'844400'!$M$171:$U$237,4,FALSE)/10000</f>
        <v>#VALUE!</v>
      </c>
      <c r="H45" s="23" t="e">
        <f>VLOOKUP($B45,'844400'!$M$171:$U$237,5,FALSE)/10000</f>
        <v>#VALUE!</v>
      </c>
      <c r="I45" s="75">
        <f>VLOOKUP($A45,'5 A data'!$A$5:$AB$519,10,FALSE)</f>
        <v>-2.86E-2</v>
      </c>
      <c r="J45" s="32">
        <f>VLOOKUP($A45,'5 A data'!$A$5:$AB$519,11,FALSE)</f>
        <v>2.6179938779914945E-2</v>
      </c>
      <c r="K45" s="22">
        <f>I45-I53</f>
        <v>0.28239999999999998</v>
      </c>
      <c r="L45" s="22">
        <f>J45-J53</f>
        <v>0.17162404311277574</v>
      </c>
      <c r="M45" s="31" t="e">
        <f>I45*E45+G45-K45*($C45-high_burden)/($C45-$C53)</f>
        <v>#VALUE!</v>
      </c>
      <c r="N45" s="31" t="e">
        <f>J45*F45+H45-L45*($C45-high_burden)/($C45-$C53)</f>
        <v>#VALUE!</v>
      </c>
      <c r="O45" s="20"/>
      <c r="P45" s="376" t="e">
        <f>0.0001*VLOOKUP($B45,'844400'!$M$171:$U$237,6,FALSE)/VLOOKUP($B45,'844400'!$M$171:$U$237,8,FALSE)</f>
        <v>#VALUE!</v>
      </c>
      <c r="Q45" s="59">
        <f>VLOOKUP($A45,'5 A data'!$A$5:$AB$519,7,FALSE)*slidewire_res</f>
        <v>2.0000000000000001E-4</v>
      </c>
      <c r="R45" s="349">
        <f t="shared" ref="R45:R51" si="70">current_coef*(I45-I46)*IF(I46=0,0,1)</f>
        <v>3.7280000000000001E-2</v>
      </c>
      <c r="S45" s="21">
        <v>0</v>
      </c>
      <c r="T45" s="21">
        <f>BurdenUnc*K45</f>
        <v>1.4120000000000001E-2</v>
      </c>
      <c r="U45" s="23" t="e">
        <f t="shared" ref="U45:U51" si="71">0.004*M45</f>
        <v>#VALUE!</v>
      </c>
      <c r="V45" s="23">
        <f t="shared" ref="V45:V59" si="72">earthing_Re</f>
        <v>5.0000000000000001E-4</v>
      </c>
      <c r="W45" s="23">
        <f>VLOOKUP($D45,Uncertainties!$B$35:$D$41,2,FALSE)</f>
        <v>0</v>
      </c>
      <c r="X45" s="23"/>
      <c r="Y45" s="24">
        <f t="shared" ref="Y45:Y51" si="73">I45*aux_CT_ratio</f>
        <v>-2.276175084927807E-6</v>
      </c>
      <c r="Z45" s="23" t="e">
        <f t="shared" ref="Z45:Z51" si="74">SQRT(SUMSQ(P45:Y45))</f>
        <v>#VALUE!</v>
      </c>
      <c r="AA45" s="25" t="e">
        <f t="shared" ref="AA45:AA51" si="75">DoF_A(P45:Y45,$P$7:$Y$7)</f>
        <v>#VALUE!</v>
      </c>
      <c r="AB45" s="26" t="e">
        <f t="shared" ref="AB45:AB51" si="76">CoverFactor(AA45)</f>
        <v>#VALUE!</v>
      </c>
      <c r="AC45" s="14"/>
      <c r="AD45" s="253" t="e">
        <f>0.0001*VLOOKUP($B45,'844400'!$M$171:$U$237,7,FALSE)/VLOOKUP($B45,'844400'!$M$171:$U$237,9,FALSE)</f>
        <v>#VALUE!</v>
      </c>
      <c r="AE45" s="368">
        <f>IF(ABS(VLOOKUP($A45,'5 A data'!$A$5:$AB$1017,6,FALSE))&lt;4.5,IF(ABS(VLOOKUP($A45,'5 A data'!$A$5:$AB$1017,6,FALSE))&lt;1.25,0.0008,0.002),0.004)*VLOOKUP($A45,'5 A data'!$A$5:$AB$1017,7,FALSE)*25*RADIANS(1/60)*100</f>
        <v>5.8177641733144327E-4</v>
      </c>
      <c r="AF45" s="23">
        <f>current_coef*(J45-J46)*IF(J46=0,0,1)</f>
        <v>2.3852833110589174E-2</v>
      </c>
      <c r="AG45" s="29" t="e">
        <f t="shared" ref="AG45:AG51" si="77">0.001*N45</f>
        <v>#VALUE!</v>
      </c>
      <c r="AH45" s="4">
        <f>BurdenUnc*L45</f>
        <v>8.5812021556387879E-3</v>
      </c>
      <c r="AI45" s="4" t="e">
        <f t="shared" ref="AI45:AI51" si="78">0.004*N45</f>
        <v>#VALUE!</v>
      </c>
      <c r="AJ45" s="4">
        <f t="shared" ref="AJ45:AJ59" si="79">earthing_Im</f>
        <v>5.0000000000000001E-4</v>
      </c>
      <c r="AK45" s="21">
        <f>VLOOKUP($D45,Uncertainties!$B$35:$D$41,3,FALSE)</f>
        <v>0</v>
      </c>
      <c r="AL45" s="21"/>
      <c r="AM45" s="371">
        <f>SQRT((VLOOKUP($A45,'5 A data'!$A$5:$AB$1017,7,FALSE)*mutual_ind)^2+(aux_CT_phase*J45)^2)</f>
        <v>5.2366054242137454E-4</v>
      </c>
      <c r="AN45" s="29" t="e">
        <f t="shared" ref="AN45:AN51" si="80">SQRT(SUMSQ(AD45:AM45))</f>
        <v>#VALUE!</v>
      </c>
      <c r="AO45" s="14" t="e">
        <f t="shared" ref="AO45:AO51" si="81">DoF_A(AD45:AM45,$AD$7:$AM$7)</f>
        <v>#VALUE!</v>
      </c>
      <c r="AP45" s="27" t="e">
        <f t="shared" ref="AP45:AP59" si="82">CoverFactor(AO45)</f>
        <v>#VALUE!</v>
      </c>
    </row>
    <row r="46" spans="1:42" ht="13.15" customHeight="1" x14ac:dyDescent="0.2">
      <c r="A46">
        <v>136</v>
      </c>
      <c r="B46" s="5" t="e">
        <f>B43&amp;D46</f>
        <v>#VALUE!</v>
      </c>
      <c r="C46" s="19">
        <f>VLOOKUP($A46,'5 A data'!$A$5:$AB$519,3,FALSE)</f>
        <v>0</v>
      </c>
      <c r="D46" s="165">
        <f>ROUND(VLOOKUP($A46,'5 A data'!$A$5:$AB$519,9,FALSE)/10,0)*10</f>
        <v>100</v>
      </c>
      <c r="E46" s="23">
        <f t="shared" ref="E46:E59" si="83">TestSetRatioCor</f>
        <v>0.99936709902044762</v>
      </c>
      <c r="F46" s="23">
        <f t="shared" ref="F46:F59" si="84">TestSetPhaseCor</f>
        <v>1.0011822386327505</v>
      </c>
      <c r="G46" s="23" t="e">
        <f>VLOOKUP($B46,'844400'!$M$171:$U$237,4,FALSE)/10000</f>
        <v>#VALUE!</v>
      </c>
      <c r="H46" s="23" t="e">
        <f>VLOOKUP($B46,'844400'!$M$171:$U$237,5,FALSE)/10000</f>
        <v>#VALUE!</v>
      </c>
      <c r="I46" s="75">
        <f>VLOOKUP($A46,'5 A data'!$A$5:$AB$519,10,FALSE)</f>
        <v>-0.215</v>
      </c>
      <c r="J46" s="32">
        <f>VLOOKUP($A46,'5 A data'!$A$5:$AB$519,11,FALSE)</f>
        <v>-9.3084226773030909E-2</v>
      </c>
      <c r="K46" s="22">
        <f t="shared" ref="K46:K51" si="85">I46-I54</f>
        <v>-0.215</v>
      </c>
      <c r="L46" s="22">
        <f t="shared" ref="L46:L51" si="86">J46-J54</f>
        <v>-9.3084226773030909E-2</v>
      </c>
      <c r="M46" s="31" t="e">
        <f t="shared" ref="M46:M51" si="87">I46*E46+G46-K46*($C46-high_burden)/($C46-$C54)</f>
        <v>#VALUE!</v>
      </c>
      <c r="N46" s="31" t="e">
        <f t="shared" ref="N46:N51" si="88">J46*F46+H46-L46*($C46-high_burden)/($C46-$C54)</f>
        <v>#VALUE!</v>
      </c>
      <c r="O46" s="20"/>
      <c r="P46" s="376" t="e">
        <f>0.0001*VLOOKUP($B46,'844400'!$M$171:$U$237,6,FALSE)/VLOOKUP($B46,'844400'!$M$171:$U$237,8,FALSE)</f>
        <v>#VALUE!</v>
      </c>
      <c r="Q46" s="59">
        <f>VLOOKUP($A46,'5 A data'!$A$5:$AB$519,7,FALSE)*slidewire_res</f>
        <v>1E-3</v>
      </c>
      <c r="R46" s="349">
        <f t="shared" si="70"/>
        <v>0</v>
      </c>
      <c r="S46" s="4">
        <v>0</v>
      </c>
      <c r="T46" s="21">
        <f t="shared" ref="T46:T51" si="89">BurdenUnc*K46</f>
        <v>-1.0750000000000001E-2</v>
      </c>
      <c r="U46" s="29" t="e">
        <f t="shared" si="71"/>
        <v>#VALUE!</v>
      </c>
      <c r="V46" s="29">
        <f t="shared" si="72"/>
        <v>5.0000000000000001E-4</v>
      </c>
      <c r="W46" s="23">
        <f>VLOOKUP($D46,Uncertainties!$B$35:$D$41,2,FALSE)</f>
        <v>0</v>
      </c>
      <c r="X46" s="23"/>
      <c r="Y46" s="24">
        <f t="shared" si="73"/>
        <v>-1.7111106407674073E-5</v>
      </c>
      <c r="Z46" s="23" t="e">
        <f t="shared" si="74"/>
        <v>#VALUE!</v>
      </c>
      <c r="AA46" s="25" t="e">
        <f t="shared" si="75"/>
        <v>#VALUE!</v>
      </c>
      <c r="AB46" s="26" t="e">
        <f t="shared" si="76"/>
        <v>#VALUE!</v>
      </c>
      <c r="AC46" s="14"/>
      <c r="AD46" s="253" t="e">
        <f>0.0001*VLOOKUP($B46,'844400'!$M$171:$U$237,7,FALSE)/VLOOKUP($B46,'844400'!$M$171:$U$237,9,FALSE)</f>
        <v>#VALUE!</v>
      </c>
      <c r="AE46" s="368">
        <f>IF(ABS(VLOOKUP($A46,'5 A data'!$A$5:$AB$1017,6,FALSE))&lt;4.5,IF(ABS(VLOOKUP($A46,'5 A data'!$A$5:$AB$1017,6,FALSE))&lt;1.25,0.0008,0.002),0.004)*VLOOKUP($A46,'5 A data'!$A$5:$AB$1017,7,FALSE)*25*RADIANS(1/60)*100</f>
        <v>1.454441043328608E-3</v>
      </c>
      <c r="AF46" s="23">
        <f t="shared" ref="AF46:AF51" si="90">current_coef*(J46-J47)*IF(J47=0,0,1)</f>
        <v>0</v>
      </c>
      <c r="AG46" s="29" t="e">
        <f t="shared" si="77"/>
        <v>#VALUE!</v>
      </c>
      <c r="AH46" s="4">
        <f t="shared" ref="AH46:AH51" si="91">BurdenUnc*L46</f>
        <v>-4.6542113386515453E-3</v>
      </c>
      <c r="AI46" s="4" t="e">
        <f t="shared" si="78"/>
        <v>#VALUE!</v>
      </c>
      <c r="AJ46" s="4">
        <f t="shared" si="79"/>
        <v>5.0000000000000001E-4</v>
      </c>
      <c r="AK46" s="21">
        <f>VLOOKUP($D46,Uncertainties!$B$35:$D$41,3,FALSE)</f>
        <v>0</v>
      </c>
      <c r="AL46" s="21"/>
      <c r="AM46" s="371">
        <f>SQRT((VLOOKUP($A46,'5 A data'!$A$5:$AB$1017,7,FALSE)*mutual_ind)^2+(aux_CT_phase*J46)^2)</f>
        <v>2.6181500534750669E-3</v>
      </c>
      <c r="AN46" s="29" t="e">
        <f t="shared" si="80"/>
        <v>#VALUE!</v>
      </c>
      <c r="AO46" s="14" t="e">
        <f t="shared" si="81"/>
        <v>#VALUE!</v>
      </c>
      <c r="AP46" s="27" t="e">
        <f t="shared" si="82"/>
        <v>#VALUE!</v>
      </c>
    </row>
    <row r="47" spans="1:42" ht="13.15" customHeight="1" x14ac:dyDescent="0.2">
      <c r="A47" s="69">
        <v>137</v>
      </c>
      <c r="B47" s="5" t="e">
        <f>B43&amp;D47</f>
        <v>#VALUE!</v>
      </c>
      <c r="C47" s="19">
        <f>VLOOKUP($A47,'5 A data'!$A$5:$AB$519,3,FALSE)</f>
        <v>0</v>
      </c>
      <c r="D47" s="165">
        <f>ROUND(VLOOKUP($A47,'5 A data'!$A$5:$AB$519,9,FALSE)/10,0)*10</f>
        <v>0</v>
      </c>
      <c r="E47" s="23">
        <f t="shared" si="83"/>
        <v>0.99936709902044762</v>
      </c>
      <c r="F47" s="23">
        <f t="shared" si="84"/>
        <v>1.0011822386327505</v>
      </c>
      <c r="G47" s="23" t="e">
        <f>VLOOKUP($B47,'844400'!$M$171:$U$237,4,FALSE)/10000</f>
        <v>#VALUE!</v>
      </c>
      <c r="H47" s="23" t="e">
        <f>VLOOKUP($B47,'844400'!$M$171:$U$237,5,FALSE)/10000</f>
        <v>#VALUE!</v>
      </c>
      <c r="I47" s="75">
        <f>VLOOKUP($A47,'5 A data'!$A$5:$AB$519,10,FALSE)</f>
        <v>0</v>
      </c>
      <c r="J47" s="32">
        <f>VLOOKUP($A47,'5 A data'!$A$5:$AB$519,11,FALSE)</f>
        <v>0</v>
      </c>
      <c r="K47" s="22">
        <f t="shared" si="85"/>
        <v>0</v>
      </c>
      <c r="L47" s="22">
        <f t="shared" si="86"/>
        <v>0</v>
      </c>
      <c r="M47" s="31" t="e">
        <f t="shared" si="87"/>
        <v>#VALUE!</v>
      </c>
      <c r="N47" s="31" t="e">
        <f t="shared" si="88"/>
        <v>#VALUE!</v>
      </c>
      <c r="O47" s="20"/>
      <c r="P47" s="376" t="e">
        <f>0.0001*VLOOKUP($B47,'844400'!$M$171:$U$237,6,FALSE)/VLOOKUP($B47,'844400'!$M$171:$U$237,8,FALSE)</f>
        <v>#VALUE!</v>
      </c>
      <c r="Q47" s="59">
        <f>VLOOKUP($A47,'5 A data'!$A$5:$AB$519,7,FALSE)*slidewire_res</f>
        <v>0</v>
      </c>
      <c r="R47" s="349">
        <f t="shared" si="70"/>
        <v>0</v>
      </c>
      <c r="S47" s="4">
        <v>0</v>
      </c>
      <c r="T47" s="21">
        <f t="shared" si="89"/>
        <v>0</v>
      </c>
      <c r="U47" s="29" t="e">
        <f t="shared" si="71"/>
        <v>#VALUE!</v>
      </c>
      <c r="V47" s="29">
        <f t="shared" si="72"/>
        <v>5.0000000000000001E-4</v>
      </c>
      <c r="W47" s="23" t="e">
        <f>VLOOKUP($D47,Uncertainties!$B$35:$D$41,2,FALSE)</f>
        <v>#N/A</v>
      </c>
      <c r="X47" s="23"/>
      <c r="Y47" s="24">
        <f t="shared" si="73"/>
        <v>0</v>
      </c>
      <c r="Z47" s="23" t="e">
        <f t="shared" si="74"/>
        <v>#VALUE!</v>
      </c>
      <c r="AA47" s="25" t="e">
        <f t="shared" si="75"/>
        <v>#VALUE!</v>
      </c>
      <c r="AB47" s="26" t="e">
        <f t="shared" si="76"/>
        <v>#VALUE!</v>
      </c>
      <c r="AC47" s="14"/>
      <c r="AD47" s="253" t="e">
        <f>0.0001*VLOOKUP($B47,'844400'!$M$171:$U$237,7,FALSE)/VLOOKUP($B47,'844400'!$M$171:$U$237,9,FALSE)</f>
        <v>#VALUE!</v>
      </c>
      <c r="AE47" s="368">
        <f>IF(ABS(VLOOKUP($A47,'5 A data'!$A$5:$AB$1017,6,FALSE))&lt;4.5,IF(ABS(VLOOKUP($A47,'5 A data'!$A$5:$AB$1017,6,FALSE))&lt;1.25,0.0008,0.002),0.004)*VLOOKUP($A47,'5 A data'!$A$5:$AB$1017,7,FALSE)*25*RADIANS(1/60)*100</f>
        <v>0</v>
      </c>
      <c r="AF47" s="23">
        <f t="shared" si="90"/>
        <v>0</v>
      </c>
      <c r="AG47" s="29" t="e">
        <f t="shared" si="77"/>
        <v>#VALUE!</v>
      </c>
      <c r="AH47" s="4">
        <f t="shared" si="91"/>
        <v>0</v>
      </c>
      <c r="AI47" s="4" t="e">
        <f t="shared" si="78"/>
        <v>#VALUE!</v>
      </c>
      <c r="AJ47" s="4">
        <f t="shared" si="79"/>
        <v>5.0000000000000001E-4</v>
      </c>
      <c r="AK47" s="21" t="e">
        <f>VLOOKUP($D47,Uncertainties!$B$35:$D$41,3,FALSE)</f>
        <v>#N/A</v>
      </c>
      <c r="AL47" s="21"/>
      <c r="AM47" s="371">
        <f>SQRT((VLOOKUP($A47,'5 A data'!$A$5:$AB$1017,7,FALSE)*mutual_ind)^2+(aux_CT_phase*J47)^2)</f>
        <v>0</v>
      </c>
      <c r="AN47" s="29" t="e">
        <f t="shared" si="80"/>
        <v>#VALUE!</v>
      </c>
      <c r="AO47" s="14" t="e">
        <f t="shared" si="81"/>
        <v>#VALUE!</v>
      </c>
      <c r="AP47" s="27" t="e">
        <f t="shared" si="82"/>
        <v>#VALUE!</v>
      </c>
    </row>
    <row r="48" spans="1:42" ht="13.15" customHeight="1" x14ac:dyDescent="0.2">
      <c r="A48">
        <v>138</v>
      </c>
      <c r="B48" s="5" t="e">
        <f>B43&amp;D48</f>
        <v>#VALUE!</v>
      </c>
      <c r="C48" s="19">
        <f>VLOOKUP($A48,'5 A data'!$A$5:$AB$519,3,FALSE)</f>
        <v>0</v>
      </c>
      <c r="D48" s="165">
        <f>ROUND(VLOOKUP($A48,'5 A data'!$A$5:$AB$519,9,FALSE)/10,0)*10</f>
        <v>0</v>
      </c>
      <c r="E48" s="23">
        <f t="shared" si="83"/>
        <v>0.99936709902044762</v>
      </c>
      <c r="F48" s="23">
        <f t="shared" si="84"/>
        <v>1.0011822386327505</v>
      </c>
      <c r="G48" s="23" t="e">
        <f>VLOOKUP($B48,'844400'!$M$171:$U$237,4,FALSE)/10000</f>
        <v>#VALUE!</v>
      </c>
      <c r="H48" s="23" t="e">
        <f>VLOOKUP($B48,'844400'!$M$171:$U$237,5,FALSE)/10000</f>
        <v>#VALUE!</v>
      </c>
      <c r="I48" s="75">
        <f>VLOOKUP($A48,'5 A data'!$A$5:$AB$519,10,FALSE)</f>
        <v>0</v>
      </c>
      <c r="J48" s="32">
        <f>VLOOKUP($A48,'5 A data'!$A$5:$AB$519,11,FALSE)</f>
        <v>0</v>
      </c>
      <c r="K48" s="22">
        <f>I48-I56</f>
        <v>0</v>
      </c>
      <c r="L48" s="22">
        <f>J48-J56</f>
        <v>0</v>
      </c>
      <c r="M48" s="31" t="e">
        <f>I48*E48+G48-K48*($C48-high_burden)/($C48-$C56)</f>
        <v>#VALUE!</v>
      </c>
      <c r="N48" s="31" t="e">
        <f>J48*F48+H48-L48*($C48-high_burden)/($C48-$C56)</f>
        <v>#VALUE!</v>
      </c>
      <c r="O48" s="20"/>
      <c r="P48" s="376" t="e">
        <f>0.0001*VLOOKUP($B48,'844400'!$M$171:$U$237,6,FALSE)/VLOOKUP($B48,'844400'!$M$171:$U$237,8,FALSE)</f>
        <v>#VALUE!</v>
      </c>
      <c r="Q48" s="59">
        <f>VLOOKUP($A48,'5 A data'!$A$5:$AB$519,7,FALSE)*slidewire_res</f>
        <v>0</v>
      </c>
      <c r="R48" s="349">
        <f t="shared" si="70"/>
        <v>0</v>
      </c>
      <c r="S48" s="4">
        <v>0</v>
      </c>
      <c r="T48" s="21">
        <f t="shared" si="89"/>
        <v>0</v>
      </c>
      <c r="U48" s="29" t="e">
        <f t="shared" si="71"/>
        <v>#VALUE!</v>
      </c>
      <c r="V48" s="29">
        <f t="shared" si="72"/>
        <v>5.0000000000000001E-4</v>
      </c>
      <c r="W48" s="23" t="e">
        <f>VLOOKUP($D48,Uncertainties!$B$35:$D$41,2,FALSE)</f>
        <v>#N/A</v>
      </c>
      <c r="X48" s="23"/>
      <c r="Y48" s="24">
        <f t="shared" si="73"/>
        <v>0</v>
      </c>
      <c r="Z48" s="23" t="e">
        <f t="shared" si="74"/>
        <v>#VALUE!</v>
      </c>
      <c r="AA48" s="25" t="e">
        <f t="shared" si="75"/>
        <v>#VALUE!</v>
      </c>
      <c r="AB48" s="26" t="e">
        <f t="shared" si="76"/>
        <v>#VALUE!</v>
      </c>
      <c r="AC48" s="14"/>
      <c r="AD48" s="253" t="e">
        <f>0.0001*VLOOKUP($B48,'844400'!$M$171:$U$237,7,FALSE)/VLOOKUP($B48,'844400'!$M$171:$U$237,9,FALSE)</f>
        <v>#VALUE!</v>
      </c>
      <c r="AE48" s="368">
        <f>IF(ABS(VLOOKUP($A48,'5 A data'!$A$5:$AB$1017,6,FALSE))&lt;4.5,IF(ABS(VLOOKUP($A48,'5 A data'!$A$5:$AB$1017,6,FALSE))&lt;1.25,0.0008,0.002),0.004)*VLOOKUP($A48,'5 A data'!$A$5:$AB$1017,7,FALSE)*25*RADIANS(1/60)*100</f>
        <v>0</v>
      </c>
      <c r="AF48" s="23">
        <f t="shared" si="90"/>
        <v>0</v>
      </c>
      <c r="AG48" s="29" t="e">
        <f t="shared" si="77"/>
        <v>#VALUE!</v>
      </c>
      <c r="AH48" s="4">
        <f t="shared" si="91"/>
        <v>0</v>
      </c>
      <c r="AI48" s="4" t="e">
        <f t="shared" si="78"/>
        <v>#VALUE!</v>
      </c>
      <c r="AJ48" s="4">
        <f t="shared" si="79"/>
        <v>5.0000000000000001E-4</v>
      </c>
      <c r="AK48" s="21" t="e">
        <f>VLOOKUP($D48,Uncertainties!$B$35:$D$41,3,FALSE)</f>
        <v>#N/A</v>
      </c>
      <c r="AL48" s="21"/>
      <c r="AM48" s="371">
        <f>SQRT((VLOOKUP($A48,'5 A data'!$A$5:$AB$1017,7,FALSE)*mutual_ind)^2+(aux_CT_phase*J48)^2)</f>
        <v>0</v>
      </c>
      <c r="AN48" s="29" t="e">
        <f t="shared" si="80"/>
        <v>#VALUE!</v>
      </c>
      <c r="AO48" s="14" t="e">
        <f t="shared" si="81"/>
        <v>#VALUE!</v>
      </c>
      <c r="AP48" s="27" t="e">
        <f t="shared" si="82"/>
        <v>#VALUE!</v>
      </c>
    </row>
    <row r="49" spans="1:42" ht="13.15" customHeight="1" x14ac:dyDescent="0.2">
      <c r="A49" s="69">
        <v>139</v>
      </c>
      <c r="B49" s="5" t="e">
        <f>B43&amp;D49</f>
        <v>#VALUE!</v>
      </c>
      <c r="C49" s="19" t="str">
        <f>VLOOKUP($A49,'5 A data'!$A$5:$AB$519,3,FALSE)</f>
        <v>7.5VA 0.8 pf</v>
      </c>
      <c r="D49" s="165">
        <f>ROUND(VLOOKUP($A49,'5 A data'!$A$5:$AB$519,9,FALSE)/10,0)*10</f>
        <v>0</v>
      </c>
      <c r="E49" s="23">
        <f t="shared" si="83"/>
        <v>0.99936709902044762</v>
      </c>
      <c r="F49" s="23">
        <f t="shared" si="84"/>
        <v>1.0011822386327505</v>
      </c>
      <c r="G49" s="23" t="e">
        <f>VLOOKUP($B49,'844400'!$M$171:$U$237,4,FALSE)/10000</f>
        <v>#VALUE!</v>
      </c>
      <c r="H49" s="23" t="e">
        <f>VLOOKUP($B49,'844400'!$M$171:$U$237,5,FALSE)/10000</f>
        <v>#VALUE!</v>
      </c>
      <c r="I49" s="75">
        <f>VLOOKUP($A49,'5 A data'!$A$5:$AB$519,10,FALSE)</f>
        <v>0</v>
      </c>
      <c r="J49" s="32">
        <f>VLOOKUP($A49,'5 A data'!$A$5:$AB$519,11,FALSE)</f>
        <v>0</v>
      </c>
      <c r="K49" s="22">
        <f t="shared" si="85"/>
        <v>1.3000000000000001E-2</v>
      </c>
      <c r="L49" s="22">
        <f t="shared" si="86"/>
        <v>-2.6179938779914945E-2</v>
      </c>
      <c r="M49" s="31" t="e">
        <f t="shared" si="87"/>
        <v>#VALUE!</v>
      </c>
      <c r="N49" s="31" t="e">
        <f t="shared" si="88"/>
        <v>#VALUE!</v>
      </c>
      <c r="O49" s="20"/>
      <c r="P49" s="376" t="e">
        <f>0.0001*VLOOKUP($B49,'844400'!$M$171:$U$237,6,FALSE)/VLOOKUP($B49,'844400'!$M$171:$U$237,8,FALSE)</f>
        <v>#VALUE!</v>
      </c>
      <c r="Q49" s="59">
        <f>VLOOKUP($A49,'5 A data'!$A$5:$AB$519,7,FALSE)*slidewire_res</f>
        <v>0</v>
      </c>
      <c r="R49" s="349">
        <f t="shared" si="70"/>
        <v>7.8400000000000015E-3</v>
      </c>
      <c r="S49" s="4">
        <v>0</v>
      </c>
      <c r="T49" s="21">
        <f t="shared" si="89"/>
        <v>6.5000000000000008E-4</v>
      </c>
      <c r="U49" s="29" t="e">
        <f t="shared" si="71"/>
        <v>#VALUE!</v>
      </c>
      <c r="V49" s="29">
        <f t="shared" si="72"/>
        <v>5.0000000000000001E-4</v>
      </c>
      <c r="W49" s="23" t="e">
        <f>VLOOKUP($D49,Uncertainties!$B$35:$D$41,2,FALSE)</f>
        <v>#N/A</v>
      </c>
      <c r="X49" s="23"/>
      <c r="Y49" s="24">
        <f t="shared" si="73"/>
        <v>0</v>
      </c>
      <c r="Z49" s="23" t="e">
        <f t="shared" si="74"/>
        <v>#VALUE!</v>
      </c>
      <c r="AA49" s="25" t="e">
        <f t="shared" si="75"/>
        <v>#VALUE!</v>
      </c>
      <c r="AB49" s="26" t="e">
        <f t="shared" si="76"/>
        <v>#VALUE!</v>
      </c>
      <c r="AC49" s="14"/>
      <c r="AD49" s="253" t="e">
        <f>0.0001*VLOOKUP($B49,'844400'!$M$171:$U$237,7,FALSE)/VLOOKUP($B49,'844400'!$M$171:$U$237,9,FALSE)</f>
        <v>#VALUE!</v>
      </c>
      <c r="AE49" s="368">
        <f>IF(ABS(VLOOKUP($A49,'5 A data'!$A$5:$AB$1017,6,FALSE))&lt;4.5,IF(ABS(VLOOKUP($A49,'5 A data'!$A$5:$AB$1017,6,FALSE))&lt;1.25,0.0008,0.002),0.004)*VLOOKUP($A49,'5 A data'!$A$5:$AB$1017,7,FALSE)*25*RADIANS(1/60)*100</f>
        <v>0</v>
      </c>
      <c r="AF49" s="23">
        <f t="shared" si="90"/>
        <v>-6.7486064410447397E-3</v>
      </c>
      <c r="AG49" s="29" t="e">
        <f t="shared" si="77"/>
        <v>#VALUE!</v>
      </c>
      <c r="AH49" s="4">
        <f t="shared" si="91"/>
        <v>-1.3089969389957472E-3</v>
      </c>
      <c r="AI49" s="4" t="e">
        <f t="shared" si="78"/>
        <v>#VALUE!</v>
      </c>
      <c r="AJ49" s="4">
        <f t="shared" si="79"/>
        <v>5.0000000000000001E-4</v>
      </c>
      <c r="AK49" s="21" t="e">
        <f>VLOOKUP($D49,Uncertainties!$B$35:$D$41,3,FALSE)</f>
        <v>#N/A</v>
      </c>
      <c r="AL49" s="21"/>
      <c r="AM49" s="371">
        <f>SQRT((VLOOKUP($A49,'5 A data'!$A$5:$AB$1017,7,FALSE)*mutual_ind)^2+(aux_CT_phase*J49)^2)</f>
        <v>0</v>
      </c>
      <c r="AN49" s="29" t="e">
        <f t="shared" si="80"/>
        <v>#VALUE!</v>
      </c>
      <c r="AO49" s="14" t="e">
        <f t="shared" si="81"/>
        <v>#VALUE!</v>
      </c>
      <c r="AP49" s="27" t="e">
        <f t="shared" si="82"/>
        <v>#VALUE!</v>
      </c>
    </row>
    <row r="50" spans="1:42" ht="13.15" customHeight="1" x14ac:dyDescent="0.2">
      <c r="A50">
        <v>140</v>
      </c>
      <c r="B50" s="5" t="e">
        <f>B43&amp;D50</f>
        <v>#VALUE!</v>
      </c>
      <c r="C50" s="19">
        <f>VLOOKUP($A50,'5 A data'!$A$5:$AB$519,3,FALSE)</f>
        <v>0</v>
      </c>
      <c r="D50" s="166">
        <f>ROUND(VLOOKUP($A50,'5 A data'!$A$5:$AB$519,9,FALSE)/10,0)*10</f>
        <v>70</v>
      </c>
      <c r="E50" s="23">
        <f t="shared" si="83"/>
        <v>0.99936709902044762</v>
      </c>
      <c r="F50" s="23">
        <f t="shared" si="84"/>
        <v>1.0011822386327505</v>
      </c>
      <c r="G50" s="23" t="e">
        <f>VLOOKUP($B50,'844400'!$M$171:$U$237,4,FALSE)/10000</f>
        <v>#VALUE!</v>
      </c>
      <c r="H50" s="23" t="e">
        <f>VLOOKUP($B50,'844400'!$M$171:$U$237,5,FALSE)/10000</f>
        <v>#VALUE!</v>
      </c>
      <c r="I50" s="75">
        <f>VLOOKUP($A50,'5 A data'!$A$5:$AB$519,10,FALSE)</f>
        <v>-3.9200000000000006E-2</v>
      </c>
      <c r="J50" s="32">
        <f>VLOOKUP($A50,'5 A data'!$A$5:$AB$519,11,FALSE)</f>
        <v>3.3743032205223698E-2</v>
      </c>
      <c r="K50" s="22">
        <f t="shared" si="85"/>
        <v>0.14479999999999998</v>
      </c>
      <c r="L50" s="22">
        <f t="shared" si="86"/>
        <v>1.6289739685280403E-2</v>
      </c>
      <c r="M50" s="31" t="e">
        <f t="shared" si="87"/>
        <v>#VALUE!</v>
      </c>
      <c r="N50" s="31" t="e">
        <f t="shared" si="88"/>
        <v>#VALUE!</v>
      </c>
      <c r="O50" s="20"/>
      <c r="P50" s="376" t="e">
        <f>0.0001*VLOOKUP($B50,'844400'!$M$171:$U$237,6,FALSE)/VLOOKUP($B50,'844400'!$M$171:$U$237,8,FALSE)</f>
        <v>#VALUE!</v>
      </c>
      <c r="Q50" s="59">
        <f>VLOOKUP($A50,'5 A data'!$A$5:$AB$519,7,FALSE)*slidewire_res</f>
        <v>2.0000000000000001E-4</v>
      </c>
      <c r="R50" s="349">
        <f t="shared" si="70"/>
        <v>5.4760000000000003E-2</v>
      </c>
      <c r="S50" s="4">
        <v>0</v>
      </c>
      <c r="T50" s="21">
        <f t="shared" si="89"/>
        <v>7.2399999999999999E-3</v>
      </c>
      <c r="U50" s="29" t="e">
        <f t="shared" si="71"/>
        <v>#VALUE!</v>
      </c>
      <c r="V50" s="29">
        <f t="shared" si="72"/>
        <v>5.0000000000000001E-4</v>
      </c>
      <c r="W50" s="23" t="e">
        <f>VLOOKUP($D50,Uncertainties!$B$35:$D$41,2,FALSE)</f>
        <v>#N/A</v>
      </c>
      <c r="X50" s="23"/>
      <c r="Y50" s="24">
        <f t="shared" si="73"/>
        <v>-3.1197924240968551E-6</v>
      </c>
      <c r="Z50" s="23" t="e">
        <f t="shared" si="74"/>
        <v>#VALUE!</v>
      </c>
      <c r="AA50" s="25" t="e">
        <f t="shared" si="75"/>
        <v>#VALUE!</v>
      </c>
      <c r="AB50" s="26" t="e">
        <f t="shared" si="76"/>
        <v>#VALUE!</v>
      </c>
      <c r="AC50" s="14"/>
      <c r="AD50" s="253" t="e">
        <f>0.0001*VLOOKUP($B50,'844400'!$M$171:$U$237,7,FALSE)/VLOOKUP($B50,'844400'!$M$171:$U$237,9,FALSE)</f>
        <v>#VALUE!</v>
      </c>
      <c r="AE50" s="368">
        <f>IF(ABS(VLOOKUP($A50,'5 A data'!$A$5:$AB$1017,6,FALSE))&lt;4.5,IF(ABS(VLOOKUP($A50,'5 A data'!$A$5:$AB$1017,6,FALSE))&lt;1.25,0.0008,0.002),0.004)*VLOOKUP($A50,'5 A data'!$A$5:$AB$1017,7,FALSE)*25*RADIANS(1/60)*100</f>
        <v>5.8177641733144327E-4</v>
      </c>
      <c r="AF50" s="23">
        <f t="shared" si="90"/>
        <v>3.5255650890285463E-2</v>
      </c>
      <c r="AG50" s="29" t="e">
        <f t="shared" si="77"/>
        <v>#VALUE!</v>
      </c>
      <c r="AH50" s="4">
        <f t="shared" si="91"/>
        <v>8.1448698426402023E-4</v>
      </c>
      <c r="AI50" s="4" t="e">
        <f t="shared" si="78"/>
        <v>#VALUE!</v>
      </c>
      <c r="AJ50" s="4">
        <f t="shared" si="79"/>
        <v>5.0000000000000001E-4</v>
      </c>
      <c r="AK50" s="21" t="e">
        <f>VLOOKUP($D50,Uncertainties!$B$35:$D$41,3,FALSE)</f>
        <v>#N/A</v>
      </c>
      <c r="AL50" s="21"/>
      <c r="AM50" s="371">
        <f>SQRT((VLOOKUP($A50,'5 A data'!$A$5:$AB$1017,7,FALSE)*mutual_ind)^2+(aux_CT_phase*J50)^2)</f>
        <v>5.2370138077880552E-4</v>
      </c>
      <c r="AN50" s="29" t="e">
        <f t="shared" si="80"/>
        <v>#VALUE!</v>
      </c>
      <c r="AO50" s="14" t="e">
        <f t="shared" si="81"/>
        <v>#VALUE!</v>
      </c>
      <c r="AP50" s="27" t="e">
        <f t="shared" si="82"/>
        <v>#VALUE!</v>
      </c>
    </row>
    <row r="51" spans="1:42" ht="13.15" customHeight="1" x14ac:dyDescent="0.2">
      <c r="A51" s="69">
        <v>141</v>
      </c>
      <c r="B51" s="5" t="e">
        <f>B43&amp;D51</f>
        <v>#VALUE!</v>
      </c>
      <c r="C51" s="19">
        <f>VLOOKUP($A51,'5 A data'!$A$5:$AB$519,3,FALSE)</f>
        <v>0</v>
      </c>
      <c r="D51" s="166">
        <f>ROUND(VLOOKUP($A51,'5 A data'!$A$5:$AB$519,9,FALSE)/10,0)*10</f>
        <v>70</v>
      </c>
      <c r="E51" s="23">
        <f t="shared" si="83"/>
        <v>0.99936709902044762</v>
      </c>
      <c r="F51" s="23">
        <f t="shared" si="84"/>
        <v>1.0011822386327505</v>
      </c>
      <c r="G51" s="23" t="e">
        <f>VLOOKUP($B51,'844400'!$M$171:$U$237,4,FALSE)/10000</f>
        <v>#VALUE!</v>
      </c>
      <c r="H51" s="23" t="e">
        <f>VLOOKUP($B51,'844400'!$M$171:$U$237,5,FALSE)/10000</f>
        <v>#VALUE!</v>
      </c>
      <c r="I51" s="75">
        <f>VLOOKUP($A51,'5 A data'!$A$5:$AB$519,10,FALSE)</f>
        <v>-0.313</v>
      </c>
      <c r="J51" s="32">
        <f>VLOOKUP($A51,'5 A data'!$A$5:$AB$519,11,FALSE)</f>
        <v>-0.1425352222462036</v>
      </c>
      <c r="K51" s="22">
        <f t="shared" si="85"/>
        <v>-0.29959999999999998</v>
      </c>
      <c r="L51" s="22">
        <f t="shared" si="86"/>
        <v>-0.16638805535679277</v>
      </c>
      <c r="M51" s="31" t="e">
        <f t="shared" si="87"/>
        <v>#VALUE!</v>
      </c>
      <c r="N51" s="31" t="e">
        <f t="shared" si="88"/>
        <v>#VALUE!</v>
      </c>
      <c r="O51" s="20"/>
      <c r="P51" s="376" t="e">
        <f>0.0001*VLOOKUP($B51,'844400'!$M$171:$U$237,6,FALSE)/VLOOKUP($B51,'844400'!$M$171:$U$237,8,FALSE)</f>
        <v>#VALUE!</v>
      </c>
      <c r="Q51" s="59">
        <f>VLOOKUP($A51,'5 A data'!$A$5:$AB$519,7,FALSE)*slidewire_res</f>
        <v>1E-3</v>
      </c>
      <c r="R51" s="349">
        <f t="shared" si="70"/>
        <v>0</v>
      </c>
      <c r="S51" s="4">
        <v>0</v>
      </c>
      <c r="T51" s="21">
        <f t="shared" si="89"/>
        <v>-1.498E-2</v>
      </c>
      <c r="U51" s="29" t="e">
        <f t="shared" si="71"/>
        <v>#VALUE!</v>
      </c>
      <c r="V51" s="29">
        <f t="shared" si="72"/>
        <v>5.0000000000000001E-4</v>
      </c>
      <c r="W51" s="23" t="e">
        <f>VLOOKUP($D51,Uncertainties!$B$35:$D$41,2,FALSE)</f>
        <v>#N/A</v>
      </c>
      <c r="X51" s="23"/>
      <c r="Y51" s="24">
        <f t="shared" si="73"/>
        <v>-2.4910587467916209E-5</v>
      </c>
      <c r="Z51" s="23" t="e">
        <f t="shared" si="74"/>
        <v>#VALUE!</v>
      </c>
      <c r="AA51" s="25" t="e">
        <f t="shared" si="75"/>
        <v>#VALUE!</v>
      </c>
      <c r="AB51" s="26" t="e">
        <f t="shared" si="76"/>
        <v>#VALUE!</v>
      </c>
      <c r="AC51" s="14"/>
      <c r="AD51" s="253" t="e">
        <f>0.0001*VLOOKUP($B51,'844400'!$M$171:$U$237,7,FALSE)/VLOOKUP($B51,'844400'!$M$171:$U$237,9,FALSE)</f>
        <v>#VALUE!</v>
      </c>
      <c r="AE51" s="368">
        <f>IF(ABS(VLOOKUP($A51,'5 A data'!$A$5:$AB$1017,6,FALSE))&lt;4.5,IF(ABS(VLOOKUP($A51,'5 A data'!$A$5:$AB$1017,6,FALSE))&lt;1.25,0.0008,0.002),0.004)*VLOOKUP($A51,'5 A data'!$A$5:$AB$1017,7,FALSE)*25*RADIANS(1/60)*100</f>
        <v>2.9088820866572159E-3</v>
      </c>
      <c r="AF51" s="23">
        <f t="shared" si="90"/>
        <v>0</v>
      </c>
      <c r="AG51" s="29" t="e">
        <f t="shared" si="77"/>
        <v>#VALUE!</v>
      </c>
      <c r="AH51" s="4">
        <f t="shared" si="91"/>
        <v>-8.3194027678396391E-3</v>
      </c>
      <c r="AI51" s="4" t="e">
        <f t="shared" si="78"/>
        <v>#VALUE!</v>
      </c>
      <c r="AJ51" s="4">
        <f t="shared" si="79"/>
        <v>5.0000000000000001E-4</v>
      </c>
      <c r="AK51" s="21" t="e">
        <f>VLOOKUP($D51,Uncertainties!$B$35:$D$41,3,FALSE)</f>
        <v>#N/A</v>
      </c>
      <c r="AL51" s="21"/>
      <c r="AM51" s="371">
        <f>SQRT((VLOOKUP($A51,'5 A data'!$A$5:$AB$1017,7,FALSE)*mutual_ind)^2+(aux_CT_phase*J51)^2)</f>
        <v>2.6183600521106089E-3</v>
      </c>
      <c r="AN51" s="29" t="e">
        <f t="shared" si="80"/>
        <v>#VALUE!</v>
      </c>
      <c r="AO51" s="14" t="e">
        <f t="shared" si="81"/>
        <v>#VALUE!</v>
      </c>
      <c r="AP51" s="27" t="e">
        <f t="shared" si="82"/>
        <v>#VALUE!</v>
      </c>
    </row>
    <row r="52" spans="1:42" ht="13.15" customHeight="1" x14ac:dyDescent="0.2">
      <c r="A52">
        <v>142</v>
      </c>
      <c r="B52" s="5"/>
      <c r="C52" s="19"/>
      <c r="D52" s="19"/>
      <c r="E52" s="23"/>
      <c r="F52" s="23"/>
      <c r="G52" s="23"/>
      <c r="H52" s="23"/>
      <c r="I52" s="75"/>
      <c r="J52" s="32"/>
      <c r="K52" s="31"/>
      <c r="L52" s="31"/>
      <c r="M52" s="533" t="s">
        <v>94</v>
      </c>
      <c r="N52" s="533"/>
      <c r="O52" s="20"/>
      <c r="P52" s="376"/>
      <c r="Q52" s="59"/>
      <c r="R52" s="349"/>
      <c r="S52" s="4"/>
      <c r="T52" s="4"/>
      <c r="U52" s="29"/>
      <c r="V52" s="29"/>
      <c r="W52" s="29"/>
      <c r="X52" s="29"/>
      <c r="Y52" s="24"/>
      <c r="Z52" s="29"/>
      <c r="AA52" s="25"/>
      <c r="AB52" s="26"/>
      <c r="AC52" s="14"/>
      <c r="AD52" s="253"/>
      <c r="AE52" s="35"/>
      <c r="AF52" s="28"/>
      <c r="AG52" s="29"/>
      <c r="AH52" s="4"/>
      <c r="AI52" s="4"/>
      <c r="AJ52" s="4"/>
      <c r="AK52" s="4"/>
      <c r="AL52" s="4"/>
      <c r="AM52" s="24"/>
      <c r="AN52" s="29"/>
      <c r="AO52" s="14"/>
      <c r="AP52" s="27"/>
    </row>
    <row r="53" spans="1:42" ht="13.15" customHeight="1" x14ac:dyDescent="0.2">
      <c r="A53" s="69">
        <v>143</v>
      </c>
      <c r="B53" s="5" t="e">
        <f>B43&amp;D53</f>
        <v>#VALUE!</v>
      </c>
      <c r="C53" s="19">
        <f>VLOOKUP($A53,'5 A data'!$A$5:$AB$519,3,FALSE)</f>
        <v>0</v>
      </c>
      <c r="D53" s="19">
        <f>ROUND(VLOOKUP($A53,'5 A data'!$A$5:$AB$519,9,FALSE),0)</f>
        <v>100</v>
      </c>
      <c r="E53" s="23">
        <f t="shared" si="83"/>
        <v>0.99936709902044762</v>
      </c>
      <c r="F53" s="23">
        <f t="shared" si="84"/>
        <v>1.0011822386327505</v>
      </c>
      <c r="G53" s="23" t="e">
        <f>VLOOKUP($B53,'844400'!$M$171:$U$237,4,FALSE)/10000</f>
        <v>#VALUE!</v>
      </c>
      <c r="H53" s="23" t="e">
        <f>VLOOKUP($B53,'844400'!$M$171:$U$237,5,FALSE)/10000</f>
        <v>#VALUE!</v>
      </c>
      <c r="I53" s="75">
        <f>VLOOKUP($A53,'5 A data'!$A$5:$AB$519,10,FALSE)</f>
        <v>-0.311</v>
      </c>
      <c r="J53" s="32">
        <f>VLOOKUP($A53,'5 A data'!$A$5:$AB$519,11,FALSE)</f>
        <v>-0.14544410433286079</v>
      </c>
      <c r="K53" s="31"/>
      <c r="L53" s="31"/>
      <c r="M53" s="31" t="e">
        <f>I53*E53+G53+K45*(low__burden-$C53)/($C45-$C53)</f>
        <v>#VALUE!</v>
      </c>
      <c r="N53" s="31" t="e">
        <f>J53*F53+H53+L45*(low__burden-$C53)/($C45-$C53)</f>
        <v>#VALUE!</v>
      </c>
      <c r="O53" s="20"/>
      <c r="P53" s="376" t="e">
        <f>0.0001*VLOOKUP($B53,'844400'!$M$171:$U$237,6,FALSE)/VLOOKUP($B53,'844400'!$M$171:$U$237,8,FALSE)</f>
        <v>#VALUE!</v>
      </c>
      <c r="Q53" s="59">
        <f>VLOOKUP($A53,'5 A data'!$A$5:$AB$519,7,FALSE)*slidewire_res</f>
        <v>1E-3</v>
      </c>
      <c r="R53" s="349">
        <f t="shared" ref="R53:R59" si="92">current_coef*(I53-I54)*IF(I54=0,0,1)</f>
        <v>0</v>
      </c>
      <c r="S53" s="4">
        <v>0</v>
      </c>
      <c r="T53" s="4">
        <f>BurdenUnc*K45</f>
        <v>1.4120000000000001E-2</v>
      </c>
      <c r="U53" s="29" t="e">
        <f t="shared" ref="U53:U59" si="93">0.004*M53</f>
        <v>#VALUE!</v>
      </c>
      <c r="V53" s="29">
        <f t="shared" si="72"/>
        <v>5.0000000000000001E-4</v>
      </c>
      <c r="W53" s="23">
        <f>VLOOKUP($D53,Uncertainties!$B$35:$D$41,2,FALSE)</f>
        <v>0</v>
      </c>
      <c r="X53" s="23"/>
      <c r="Y53" s="24">
        <f t="shared" ref="Y53:Y59" si="94">I53*aux_CT_ratio</f>
        <v>-2.4751414385054127E-5</v>
      </c>
      <c r="Z53" s="23" t="e">
        <f t="shared" ref="Z53:Z59" si="95">SQRT(SUMSQ(P53:Y53))</f>
        <v>#VALUE!</v>
      </c>
      <c r="AA53" s="25" t="e">
        <f t="shared" ref="AA53:AA59" si="96">DoF_A(P53:Y53,$P$7:$Y$7)</f>
        <v>#VALUE!</v>
      </c>
      <c r="AB53" s="26" t="e">
        <f t="shared" ref="AB53:AB59" si="97">CoverFactor(AA53)</f>
        <v>#VALUE!</v>
      </c>
      <c r="AC53" s="14"/>
      <c r="AD53" s="253" t="e">
        <f>0.0001*VLOOKUP($B53,'844400'!$M$171:$U$237,7,FALSE)/VLOOKUP($B53,'844400'!$M$171:$U$237,9,FALSE)</f>
        <v>#VALUE!</v>
      </c>
      <c r="AE53" s="368">
        <f>IF(ABS(VLOOKUP($A53,'5 A data'!$A$5:$AB$1017,6,FALSE))&lt;4.5,IF(ABS(VLOOKUP($A53,'5 A data'!$A$5:$AB$1017,6,FALSE))&lt;1.25,0.0008,0.002),0.004)*VLOOKUP($A53,'5 A data'!$A$5:$AB$1017,7,FALSE)*25*RADIANS(1/60)*100</f>
        <v>2.9088820866572159E-3</v>
      </c>
      <c r="AF53" s="23">
        <f t="shared" ref="AF53:AF59" si="98">current_coef*(J53-J54)*IF(J54=0,0,1)</f>
        <v>0</v>
      </c>
      <c r="AG53" s="29" t="e">
        <f t="shared" ref="AG53:AG59" si="99">0.001*N53</f>
        <v>#VALUE!</v>
      </c>
      <c r="AH53" s="4">
        <f>BurdenUnc*L45</f>
        <v>8.5812021556387879E-3</v>
      </c>
      <c r="AI53" s="4" t="e">
        <f t="shared" ref="AI53:AI59" si="100">0.004*N53</f>
        <v>#VALUE!</v>
      </c>
      <c r="AJ53" s="4">
        <f t="shared" si="79"/>
        <v>5.0000000000000001E-4</v>
      </c>
      <c r="AK53" s="21">
        <f>VLOOKUP($D53,Uncertainties!$B$35:$D$41,3,FALSE)</f>
        <v>0</v>
      </c>
      <c r="AL53" s="21"/>
      <c r="AM53" s="371">
        <f>SQRT((VLOOKUP($A53,'5 A data'!$A$5:$AB$1017,7,FALSE)*mutual_ind)^2+(aux_CT_phase*J53)^2)</f>
        <v>2.6183751494027563E-3</v>
      </c>
      <c r="AN53" s="29" t="e">
        <f t="shared" ref="AN53:AN59" si="101">SQRT(SUMSQ(AD53:AM53))</f>
        <v>#VALUE!</v>
      </c>
      <c r="AO53" s="14" t="e">
        <f t="shared" ref="AO53:AO59" si="102">DoF_A(AD53:AM53,$AD$7:$AM$7)</f>
        <v>#VALUE!</v>
      </c>
      <c r="AP53" s="27" t="e">
        <f t="shared" si="82"/>
        <v>#VALUE!</v>
      </c>
    </row>
    <row r="54" spans="1:42" ht="13.15" customHeight="1" x14ac:dyDescent="0.2">
      <c r="A54">
        <v>144</v>
      </c>
      <c r="B54" s="5" t="e">
        <f>B43&amp;D54</f>
        <v>#VALUE!</v>
      </c>
      <c r="C54" s="19">
        <f>VLOOKUP($A54,'5 A data'!$A$5:$AB$519,3,FALSE)</f>
        <v>0</v>
      </c>
      <c r="D54" s="165">
        <f>ROUND(VLOOKUP($A54,'5 A data'!$A$5:$AB$519,9,FALSE)/10,0)*10</f>
        <v>0</v>
      </c>
      <c r="E54" s="23">
        <f t="shared" si="83"/>
        <v>0.99936709902044762</v>
      </c>
      <c r="F54" s="23">
        <f t="shared" si="84"/>
        <v>1.0011822386327505</v>
      </c>
      <c r="G54" s="23" t="e">
        <f>VLOOKUP($B54,'844400'!$M$171:$U$237,4,FALSE)/10000</f>
        <v>#VALUE!</v>
      </c>
      <c r="H54" s="23" t="e">
        <f>VLOOKUP($B54,'844400'!$M$171:$U$237,5,FALSE)/10000</f>
        <v>#VALUE!</v>
      </c>
      <c r="I54" s="75">
        <f>VLOOKUP($A54,'5 A data'!$A$5:$AB$519,10,FALSE)</f>
        <v>0</v>
      </c>
      <c r="J54" s="32">
        <f>VLOOKUP($A54,'5 A data'!$A$5:$AB$519,11,FALSE)</f>
        <v>0</v>
      </c>
      <c r="K54" s="31"/>
      <c r="L54" s="31"/>
      <c r="M54" s="31" t="e">
        <f t="shared" ref="M54:M59" si="103">I54*E54+G54+K46*(low__burden-$C54)/($C46-$C54)</f>
        <v>#VALUE!</v>
      </c>
      <c r="N54" s="31" t="e">
        <f t="shared" ref="N54:N59" si="104">J54*F54+H54+L46*(low__burden-$C54)/($C46-$C54)</f>
        <v>#VALUE!</v>
      </c>
      <c r="O54" s="20"/>
      <c r="P54" s="376" t="e">
        <f>0.0001*VLOOKUP($B54,'844400'!$M$171:$U$237,6,FALSE)/VLOOKUP($B54,'844400'!$M$171:$U$237,8,FALSE)</f>
        <v>#VALUE!</v>
      </c>
      <c r="Q54" s="59">
        <f>VLOOKUP($A54,'5 A data'!$A$5:$AB$519,7,FALSE)*slidewire_res</f>
        <v>0</v>
      </c>
      <c r="R54" s="349">
        <f t="shared" si="92"/>
        <v>0</v>
      </c>
      <c r="S54" s="4">
        <v>0</v>
      </c>
      <c r="T54" s="4">
        <f t="shared" ref="T54:T59" si="105">BurdenUnc*K46</f>
        <v>-1.0750000000000001E-2</v>
      </c>
      <c r="U54" s="29" t="e">
        <f t="shared" si="93"/>
        <v>#VALUE!</v>
      </c>
      <c r="V54" s="29">
        <f t="shared" si="72"/>
        <v>5.0000000000000001E-4</v>
      </c>
      <c r="W54" s="23" t="e">
        <f>VLOOKUP($D54,Uncertainties!$B$35:$D$41,2,FALSE)</f>
        <v>#N/A</v>
      </c>
      <c r="X54" s="23"/>
      <c r="Y54" s="24">
        <f t="shared" si="94"/>
        <v>0</v>
      </c>
      <c r="Z54" s="23" t="e">
        <f t="shared" si="95"/>
        <v>#VALUE!</v>
      </c>
      <c r="AA54" s="25" t="e">
        <f t="shared" si="96"/>
        <v>#VALUE!</v>
      </c>
      <c r="AB54" s="26" t="e">
        <f t="shared" si="97"/>
        <v>#VALUE!</v>
      </c>
      <c r="AC54" s="14"/>
      <c r="AD54" s="253" t="e">
        <f>0.0001*VLOOKUP($B54,'844400'!$M$171:$U$237,7,FALSE)/VLOOKUP($B54,'844400'!$M$171:$U$237,9,FALSE)</f>
        <v>#VALUE!</v>
      </c>
      <c r="AE54" s="368">
        <f>IF(ABS(VLOOKUP($A54,'5 A data'!$A$5:$AB$1017,6,FALSE))&lt;4.5,IF(ABS(VLOOKUP($A54,'5 A data'!$A$5:$AB$1017,6,FALSE))&lt;1.25,0.0008,0.002),0.004)*VLOOKUP($A54,'5 A data'!$A$5:$AB$1017,7,FALSE)*25*RADIANS(1/60)*100</f>
        <v>0</v>
      </c>
      <c r="AF54" s="23">
        <f t="shared" si="98"/>
        <v>0</v>
      </c>
      <c r="AG54" s="29" t="e">
        <f t="shared" si="99"/>
        <v>#VALUE!</v>
      </c>
      <c r="AH54" s="4">
        <f t="shared" ref="AH54:AH59" si="106">BurdenUnc*L46</f>
        <v>-4.6542113386515453E-3</v>
      </c>
      <c r="AI54" s="4" t="e">
        <f t="shared" si="100"/>
        <v>#VALUE!</v>
      </c>
      <c r="AJ54" s="4">
        <f t="shared" si="79"/>
        <v>5.0000000000000001E-4</v>
      </c>
      <c r="AK54" s="21" t="e">
        <f>VLOOKUP($D54,Uncertainties!$B$35:$D$41,3,FALSE)</f>
        <v>#N/A</v>
      </c>
      <c r="AL54" s="21"/>
      <c r="AM54" s="371">
        <f>SQRT((VLOOKUP($A54,'5 A data'!$A$5:$AB$1017,7,FALSE)*mutual_ind)^2+(aux_CT_phase*J54)^2)</f>
        <v>0</v>
      </c>
      <c r="AN54" s="29" t="e">
        <f t="shared" si="101"/>
        <v>#VALUE!</v>
      </c>
      <c r="AO54" s="14" t="e">
        <f t="shared" si="102"/>
        <v>#VALUE!</v>
      </c>
      <c r="AP54" s="27" t="e">
        <f t="shared" si="82"/>
        <v>#VALUE!</v>
      </c>
    </row>
    <row r="55" spans="1:42" ht="13.15" customHeight="1" x14ac:dyDescent="0.2">
      <c r="A55" s="69">
        <v>145</v>
      </c>
      <c r="B55" s="5" t="e">
        <f>B43&amp;D55</f>
        <v>#VALUE!</v>
      </c>
      <c r="C55" s="19">
        <f>VLOOKUP($A55,'5 A data'!$A$5:$AB$519,3,FALSE)</f>
        <v>0</v>
      </c>
      <c r="D55" s="165">
        <f>ROUND(VLOOKUP($A55,'5 A data'!$A$5:$AB$519,9,FALSE)/10,0)*10</f>
        <v>0</v>
      </c>
      <c r="E55" s="23">
        <f t="shared" si="83"/>
        <v>0.99936709902044762</v>
      </c>
      <c r="F55" s="23">
        <f t="shared" si="84"/>
        <v>1.0011822386327505</v>
      </c>
      <c r="G55" s="23" t="e">
        <f>VLOOKUP($B55,'844400'!$M$171:$U$237,4,FALSE)/10000</f>
        <v>#VALUE!</v>
      </c>
      <c r="H55" s="23" t="e">
        <f>VLOOKUP($B55,'844400'!$M$171:$U$237,5,FALSE)/10000</f>
        <v>#VALUE!</v>
      </c>
      <c r="I55" s="75">
        <f>VLOOKUP($A55,'5 A data'!$A$5:$AB$519,10,FALSE)</f>
        <v>0</v>
      </c>
      <c r="J55" s="32">
        <f>VLOOKUP($A55,'5 A data'!$A$5:$AB$519,11,FALSE)</f>
        <v>0</v>
      </c>
      <c r="K55" s="31"/>
      <c r="L55" s="31"/>
      <c r="M55" s="31" t="e">
        <f t="shared" si="103"/>
        <v>#VALUE!</v>
      </c>
      <c r="N55" s="31" t="e">
        <f t="shared" si="104"/>
        <v>#VALUE!</v>
      </c>
      <c r="O55" s="20"/>
      <c r="P55" s="376" t="e">
        <f>0.0001*VLOOKUP($B55,'844400'!$M$171:$U$237,6,FALSE)/VLOOKUP($B55,'844400'!$M$171:$U$237,8,FALSE)</f>
        <v>#VALUE!</v>
      </c>
      <c r="Q55" s="59">
        <f>VLOOKUP($A55,'5 A data'!$A$5:$AB$519,7,FALSE)*slidewire_res</f>
        <v>0</v>
      </c>
      <c r="R55" s="349">
        <f t="shared" si="92"/>
        <v>0</v>
      </c>
      <c r="S55" s="4">
        <v>0</v>
      </c>
      <c r="T55" s="4">
        <f t="shared" si="105"/>
        <v>0</v>
      </c>
      <c r="U55" s="29" t="e">
        <f t="shared" si="93"/>
        <v>#VALUE!</v>
      </c>
      <c r="V55" s="29">
        <f t="shared" si="72"/>
        <v>5.0000000000000001E-4</v>
      </c>
      <c r="W55" s="23" t="e">
        <f>VLOOKUP($D55,Uncertainties!$B$35:$D$41,2,FALSE)</f>
        <v>#N/A</v>
      </c>
      <c r="X55" s="23"/>
      <c r="Y55" s="24">
        <f t="shared" si="94"/>
        <v>0</v>
      </c>
      <c r="Z55" s="23" t="e">
        <f t="shared" si="95"/>
        <v>#VALUE!</v>
      </c>
      <c r="AA55" s="25" t="e">
        <f t="shared" si="96"/>
        <v>#VALUE!</v>
      </c>
      <c r="AB55" s="26" t="e">
        <f t="shared" si="97"/>
        <v>#VALUE!</v>
      </c>
      <c r="AC55" s="14"/>
      <c r="AD55" s="253" t="e">
        <f>0.0001*VLOOKUP($B55,'844400'!$M$171:$U$237,7,FALSE)/VLOOKUP($B55,'844400'!$M$171:$U$237,9,FALSE)</f>
        <v>#VALUE!</v>
      </c>
      <c r="AE55" s="368">
        <f>IF(ABS(VLOOKUP($A55,'5 A data'!$A$5:$AB$1017,6,FALSE))&lt;4.5,IF(ABS(VLOOKUP($A55,'5 A data'!$A$5:$AB$1017,6,FALSE))&lt;1.25,0.0008,0.002),0.004)*VLOOKUP($A55,'5 A data'!$A$5:$AB$1017,7,FALSE)*25*RADIANS(1/60)*100</f>
        <v>0</v>
      </c>
      <c r="AF55" s="23">
        <f t="shared" si="98"/>
        <v>0</v>
      </c>
      <c r="AG55" s="29" t="e">
        <f t="shared" si="99"/>
        <v>#VALUE!</v>
      </c>
      <c r="AH55" s="4">
        <f t="shared" si="106"/>
        <v>0</v>
      </c>
      <c r="AI55" s="4" t="e">
        <f t="shared" si="100"/>
        <v>#VALUE!</v>
      </c>
      <c r="AJ55" s="4">
        <f t="shared" si="79"/>
        <v>5.0000000000000001E-4</v>
      </c>
      <c r="AK55" s="21" t="e">
        <f>VLOOKUP($D55,Uncertainties!$B$35:$D$41,3,FALSE)</f>
        <v>#N/A</v>
      </c>
      <c r="AL55" s="21"/>
      <c r="AM55" s="371">
        <f>SQRT((VLOOKUP($A55,'5 A data'!$A$5:$AB$1017,7,FALSE)*mutual_ind)^2+(aux_CT_phase*J55)^2)</f>
        <v>0</v>
      </c>
      <c r="AN55" s="29" t="e">
        <f t="shared" si="101"/>
        <v>#VALUE!</v>
      </c>
      <c r="AO55" s="14" t="e">
        <f t="shared" si="102"/>
        <v>#VALUE!</v>
      </c>
      <c r="AP55" s="27" t="e">
        <f t="shared" si="82"/>
        <v>#VALUE!</v>
      </c>
    </row>
    <row r="56" spans="1:42" ht="13.15" customHeight="1" x14ac:dyDescent="0.2">
      <c r="A56">
        <v>146</v>
      </c>
      <c r="B56" s="5" t="e">
        <f>B43&amp;D56</f>
        <v>#VALUE!</v>
      </c>
      <c r="C56" s="19" t="str">
        <f>VLOOKUP($A56,'5 A data'!$A$5:$AB$519,3,FALSE)</f>
        <v>3.75VA unity</v>
      </c>
      <c r="D56" s="165">
        <f>ROUND(VLOOKUP($A56,'5 A data'!$A$5:$AB$519,9,FALSE)/10,0)*10</f>
        <v>0</v>
      </c>
      <c r="E56" s="23">
        <f t="shared" si="83"/>
        <v>0.99936709902044762</v>
      </c>
      <c r="F56" s="23">
        <f t="shared" si="84"/>
        <v>1.0011822386327505</v>
      </c>
      <c r="G56" s="23" t="e">
        <f>VLOOKUP($B56,'844400'!$M$171:$U$237,4,FALSE)/10000</f>
        <v>#VALUE!</v>
      </c>
      <c r="H56" s="23" t="e">
        <f>VLOOKUP($B56,'844400'!$M$171:$U$237,5,FALSE)/10000</f>
        <v>#VALUE!</v>
      </c>
      <c r="I56" s="75">
        <f>VLOOKUP($A56,'5 A data'!$A$5:$AB$519,10,FALSE)</f>
        <v>0</v>
      </c>
      <c r="J56" s="32">
        <f>VLOOKUP($A56,'5 A data'!$A$5:$AB$519,11,FALSE)</f>
        <v>0</v>
      </c>
      <c r="K56" s="31"/>
      <c r="L56" s="31"/>
      <c r="M56" s="31" t="e">
        <f>I56*E56+G56+K48*(low__burden-$C56)/($C48-$C56)</f>
        <v>#VALUE!</v>
      </c>
      <c r="N56" s="31" t="e">
        <f>J56*F56+H56+L48*(low__burden-$C56)/($C48-$C56)</f>
        <v>#VALUE!</v>
      </c>
      <c r="O56" s="20"/>
      <c r="P56" s="376" t="e">
        <f>0.0001*VLOOKUP($B56,'844400'!$M$171:$U$237,6,FALSE)/VLOOKUP($B56,'844400'!$M$171:$U$237,8,FALSE)</f>
        <v>#VALUE!</v>
      </c>
      <c r="Q56" s="59">
        <f>VLOOKUP($A56,'5 A data'!$A$5:$AB$519,7,FALSE)*slidewire_res</f>
        <v>0</v>
      </c>
      <c r="R56" s="349">
        <f t="shared" si="92"/>
        <v>2.6000000000000003E-3</v>
      </c>
      <c r="S56" s="4">
        <v>0</v>
      </c>
      <c r="T56" s="4">
        <f t="shared" si="105"/>
        <v>0</v>
      </c>
      <c r="U56" s="29" t="e">
        <f t="shared" si="93"/>
        <v>#VALUE!</v>
      </c>
      <c r="V56" s="29">
        <f t="shared" si="72"/>
        <v>5.0000000000000001E-4</v>
      </c>
      <c r="W56" s="23" t="e">
        <f>VLOOKUP($D56,Uncertainties!$B$35:$D$41,2,FALSE)</f>
        <v>#N/A</v>
      </c>
      <c r="X56" s="23"/>
      <c r="Y56" s="24">
        <f t="shared" si="94"/>
        <v>0</v>
      </c>
      <c r="Z56" s="23" t="e">
        <f t="shared" si="95"/>
        <v>#VALUE!</v>
      </c>
      <c r="AA56" s="25" t="e">
        <f t="shared" si="96"/>
        <v>#VALUE!</v>
      </c>
      <c r="AB56" s="26" t="e">
        <f t="shared" si="97"/>
        <v>#VALUE!</v>
      </c>
      <c r="AC56" s="14"/>
      <c r="AD56" s="253" t="e">
        <f>0.0001*VLOOKUP($B56,'844400'!$M$171:$U$237,7,FALSE)/VLOOKUP($B56,'844400'!$M$171:$U$237,9,FALSE)</f>
        <v>#VALUE!</v>
      </c>
      <c r="AE56" s="368">
        <f>IF(ABS(VLOOKUP($A56,'5 A data'!$A$5:$AB$1017,6,FALSE))&lt;4.5,IF(ABS(VLOOKUP($A56,'5 A data'!$A$5:$AB$1017,6,FALSE))&lt;1.25,0.0008,0.002),0.004)*VLOOKUP($A56,'5 A data'!$A$5:$AB$1017,7,FALSE)*25*RADIANS(1/60)*100</f>
        <v>0</v>
      </c>
      <c r="AF56" s="23">
        <f t="shared" si="98"/>
        <v>-5.235987755982989E-3</v>
      </c>
      <c r="AG56" s="29" t="e">
        <f t="shared" si="99"/>
        <v>#VALUE!</v>
      </c>
      <c r="AH56" s="4">
        <f t="shared" si="106"/>
        <v>0</v>
      </c>
      <c r="AI56" s="4" t="e">
        <f t="shared" si="100"/>
        <v>#VALUE!</v>
      </c>
      <c r="AJ56" s="4">
        <f t="shared" si="79"/>
        <v>5.0000000000000001E-4</v>
      </c>
      <c r="AK56" s="21" t="e">
        <f>VLOOKUP($D56,Uncertainties!$B$35:$D$41,3,FALSE)</f>
        <v>#N/A</v>
      </c>
      <c r="AL56" s="21"/>
      <c r="AM56" s="371">
        <f>SQRT((VLOOKUP($A56,'5 A data'!$A$5:$AB$1017,7,FALSE)*mutual_ind)^2+(aux_CT_phase*J56)^2)</f>
        <v>0</v>
      </c>
      <c r="AN56" s="29" t="e">
        <f t="shared" si="101"/>
        <v>#VALUE!</v>
      </c>
      <c r="AO56" s="14" t="e">
        <f t="shared" si="102"/>
        <v>#VALUE!</v>
      </c>
      <c r="AP56" s="27" t="e">
        <f t="shared" si="82"/>
        <v>#VALUE!</v>
      </c>
    </row>
    <row r="57" spans="1:42" ht="13.15" customHeight="1" x14ac:dyDescent="0.2">
      <c r="A57" s="69">
        <v>147</v>
      </c>
      <c r="B57" s="5" t="e">
        <f>B43&amp;D57</f>
        <v>#VALUE!</v>
      </c>
      <c r="C57" s="19">
        <f>VLOOKUP($A57,'5 A data'!$A$5:$AB$519,3,FALSE)</f>
        <v>0</v>
      </c>
      <c r="D57" s="165">
        <f>ROUND(VLOOKUP($A57,'5 A data'!$A$5:$AB$519,9,FALSE)/10,0)*10</f>
        <v>70</v>
      </c>
      <c r="E57" s="23">
        <f t="shared" si="83"/>
        <v>0.99936709902044762</v>
      </c>
      <c r="F57" s="23">
        <f t="shared" si="84"/>
        <v>1.0011822386327505</v>
      </c>
      <c r="G57" s="23" t="e">
        <f>VLOOKUP($B57,'844400'!$M$171:$U$237,4,FALSE)/10000</f>
        <v>#VALUE!</v>
      </c>
      <c r="H57" s="23" t="e">
        <f>VLOOKUP($B57,'844400'!$M$171:$U$237,5,FALSE)/10000</f>
        <v>#VALUE!</v>
      </c>
      <c r="I57" s="75">
        <f>VLOOKUP($A57,'5 A data'!$A$5:$AB$519,10,FALSE)</f>
        <v>-1.3000000000000001E-2</v>
      </c>
      <c r="J57" s="32">
        <f>VLOOKUP($A57,'5 A data'!$A$5:$AB$519,11,FALSE)</f>
        <v>2.6179938779914945E-2</v>
      </c>
      <c r="K57" s="31"/>
      <c r="L57" s="31"/>
      <c r="M57" s="31" t="e">
        <f t="shared" si="103"/>
        <v>#VALUE!</v>
      </c>
      <c r="N57" s="31" t="e">
        <f t="shared" si="104"/>
        <v>#VALUE!</v>
      </c>
      <c r="O57" s="20"/>
      <c r="P57" s="376" t="e">
        <f>0.0001*VLOOKUP($B57,'844400'!$M$171:$U$237,6,FALSE)/VLOOKUP($B57,'844400'!$M$171:$U$237,8,FALSE)</f>
        <v>#VALUE!</v>
      </c>
      <c r="Q57" s="59">
        <f>VLOOKUP($A57,'5 A data'!$A$5:$AB$519,7,FALSE)*slidewire_res</f>
        <v>2.0000000000000001E-4</v>
      </c>
      <c r="R57" s="349">
        <f t="shared" si="92"/>
        <v>3.4200000000000001E-2</v>
      </c>
      <c r="S57" s="4">
        <v>0</v>
      </c>
      <c r="T57" s="4">
        <f t="shared" si="105"/>
        <v>6.5000000000000008E-4</v>
      </c>
      <c r="U57" s="29" t="e">
        <f t="shared" si="93"/>
        <v>#VALUE!</v>
      </c>
      <c r="V57" s="29">
        <f t="shared" si="72"/>
        <v>5.0000000000000001E-4</v>
      </c>
      <c r="W57" s="23" t="e">
        <f>VLOOKUP($D57,Uncertainties!$B$35:$D$41,2,FALSE)</f>
        <v>#N/A</v>
      </c>
      <c r="X57" s="23"/>
      <c r="Y57" s="24">
        <f t="shared" si="94"/>
        <v>-1.0346250386035487E-6</v>
      </c>
      <c r="Z57" s="23" t="e">
        <f t="shared" si="95"/>
        <v>#VALUE!</v>
      </c>
      <c r="AA57" s="25" t="e">
        <f t="shared" si="96"/>
        <v>#VALUE!</v>
      </c>
      <c r="AB57" s="26" t="e">
        <f t="shared" si="97"/>
        <v>#VALUE!</v>
      </c>
      <c r="AC57" s="14"/>
      <c r="AD57" s="253" t="e">
        <f>0.0001*VLOOKUP($B57,'844400'!$M$171:$U$237,7,FALSE)/VLOOKUP($B57,'844400'!$M$171:$U$237,9,FALSE)</f>
        <v>#VALUE!</v>
      </c>
      <c r="AE57" s="368">
        <f>IF(ABS(VLOOKUP($A57,'5 A data'!$A$5:$AB$1017,6,FALSE))&lt;4.5,IF(ABS(VLOOKUP($A57,'5 A data'!$A$5:$AB$1017,6,FALSE))&lt;1.25,0.0008,0.002),0.004)*VLOOKUP($A57,'5 A data'!$A$5:$AB$1017,7,FALSE)*25*RADIANS(1/60)*100</f>
        <v>5.8177641733144327E-4</v>
      </c>
      <c r="AF57" s="23">
        <f t="shared" si="98"/>
        <v>1.74532925199433E-3</v>
      </c>
      <c r="AG57" s="29" t="e">
        <f t="shared" si="99"/>
        <v>#VALUE!</v>
      </c>
      <c r="AH57" s="4">
        <f t="shared" si="106"/>
        <v>-1.3089969389957472E-3</v>
      </c>
      <c r="AI57" s="4" t="e">
        <f t="shared" si="100"/>
        <v>#VALUE!</v>
      </c>
      <c r="AJ57" s="4">
        <f t="shared" si="79"/>
        <v>5.0000000000000001E-4</v>
      </c>
      <c r="AK57" s="21" t="e">
        <f>VLOOKUP($D57,Uncertainties!$B$35:$D$41,3,FALSE)</f>
        <v>#N/A</v>
      </c>
      <c r="AL57" s="21"/>
      <c r="AM57" s="371">
        <f>SQRT((VLOOKUP($A57,'5 A data'!$A$5:$AB$1017,7,FALSE)*mutual_ind)^2+(aux_CT_phase*J57)^2)</f>
        <v>5.2366054242137454E-4</v>
      </c>
      <c r="AN57" s="29" t="e">
        <f t="shared" si="101"/>
        <v>#VALUE!</v>
      </c>
      <c r="AO57" s="14" t="e">
        <f t="shared" si="102"/>
        <v>#VALUE!</v>
      </c>
      <c r="AP57" s="27" t="e">
        <f t="shared" si="82"/>
        <v>#VALUE!</v>
      </c>
    </row>
    <row r="58" spans="1:42" ht="13.15" customHeight="1" x14ac:dyDescent="0.2">
      <c r="A58">
        <v>148</v>
      </c>
      <c r="B58" s="5" t="e">
        <f>B43&amp;D58</f>
        <v>#VALUE!</v>
      </c>
      <c r="C58" s="19">
        <f>VLOOKUP($A58,'5 A data'!$A$5:$AB$519,3,FALSE)</f>
        <v>0</v>
      </c>
      <c r="D58" s="166">
        <f>ROUND(VLOOKUP($A58,'5 A data'!$A$5:$AB$519,9,FALSE)/10,0)*10</f>
        <v>70</v>
      </c>
      <c r="E58" s="23">
        <f t="shared" si="83"/>
        <v>0.99936709902044762</v>
      </c>
      <c r="F58" s="23">
        <f t="shared" si="84"/>
        <v>1.0011822386327505</v>
      </c>
      <c r="G58" s="23" t="e">
        <f>VLOOKUP($B58,'844400'!$M$171:$U$237,4,FALSE)/10000</f>
        <v>#VALUE!</v>
      </c>
      <c r="H58" s="23" t="e">
        <f>VLOOKUP($B58,'844400'!$M$171:$U$237,5,FALSE)/10000</f>
        <v>#VALUE!</v>
      </c>
      <c r="I58" s="75">
        <f>VLOOKUP($A58,'5 A data'!$A$5:$AB$519,10,FALSE)</f>
        <v>-0.184</v>
      </c>
      <c r="J58" s="32">
        <f>VLOOKUP($A58,'5 A data'!$A$5:$AB$519,11,FALSE)</f>
        <v>1.7453292519943295E-2</v>
      </c>
      <c r="K58" s="31"/>
      <c r="L58" s="31"/>
      <c r="M58" s="31" t="e">
        <f t="shared" si="103"/>
        <v>#VALUE!</v>
      </c>
      <c r="N58" s="31" t="e">
        <f t="shared" si="104"/>
        <v>#VALUE!</v>
      </c>
      <c r="O58" s="20"/>
      <c r="P58" s="376" t="e">
        <f>0.0001*VLOOKUP($B58,'844400'!$M$171:$U$237,6,FALSE)/VLOOKUP($B58,'844400'!$M$171:$U$237,8,FALSE)</f>
        <v>#VALUE!</v>
      </c>
      <c r="Q58" s="59">
        <f>VLOOKUP($A58,'5 A data'!$A$5:$AB$519,7,FALSE)*slidewire_res</f>
        <v>1E-3</v>
      </c>
      <c r="R58" s="349">
        <f t="shared" si="92"/>
        <v>-3.4120000000000004E-2</v>
      </c>
      <c r="S58" s="4">
        <v>0</v>
      </c>
      <c r="T58" s="4">
        <f t="shared" si="105"/>
        <v>7.2399999999999999E-3</v>
      </c>
      <c r="U58" s="29" t="e">
        <f t="shared" si="93"/>
        <v>#VALUE!</v>
      </c>
      <c r="V58" s="29">
        <f t="shared" si="72"/>
        <v>5.0000000000000001E-4</v>
      </c>
      <c r="W58" s="23" t="e">
        <f>VLOOKUP($D58,Uncertainties!$B$35:$D$41,2,FALSE)</f>
        <v>#N/A</v>
      </c>
      <c r="X58" s="23"/>
      <c r="Y58" s="24">
        <f t="shared" si="94"/>
        <v>-1.4643923623311766E-5</v>
      </c>
      <c r="Z58" s="23" t="e">
        <f t="shared" si="95"/>
        <v>#VALUE!</v>
      </c>
      <c r="AA58" s="25" t="e">
        <f t="shared" si="96"/>
        <v>#VALUE!</v>
      </c>
      <c r="AB58" s="26" t="e">
        <f t="shared" si="97"/>
        <v>#VALUE!</v>
      </c>
      <c r="AC58" s="14"/>
      <c r="AD58" s="253" t="e">
        <f>0.0001*VLOOKUP($B58,'844400'!$M$171:$U$237,7,FALSE)/VLOOKUP($B58,'844400'!$M$171:$U$237,9,FALSE)</f>
        <v>#VALUE!</v>
      </c>
      <c r="AE58" s="368">
        <f>IF(ABS(VLOOKUP($A58,'5 A data'!$A$5:$AB$1017,6,FALSE))&lt;4.5,IF(ABS(VLOOKUP($A58,'5 A data'!$A$5:$AB$1017,6,FALSE))&lt;1.25,0.0008,0.002),0.004)*VLOOKUP($A58,'5 A data'!$A$5:$AB$1017,7,FALSE)*25*RADIANS(1/60)*100</f>
        <v>5.8177641733144327E-4</v>
      </c>
      <c r="AF58" s="23">
        <f t="shared" si="98"/>
        <v>-1.2799081181291744E-3</v>
      </c>
      <c r="AG58" s="29" t="e">
        <f t="shared" si="99"/>
        <v>#VALUE!</v>
      </c>
      <c r="AH58" s="4">
        <f t="shared" si="106"/>
        <v>8.1448698426402023E-4</v>
      </c>
      <c r="AI58" s="4" t="e">
        <f t="shared" si="100"/>
        <v>#VALUE!</v>
      </c>
      <c r="AJ58" s="4">
        <f t="shared" si="79"/>
        <v>5.0000000000000001E-4</v>
      </c>
      <c r="AK58" s="21" t="e">
        <f>VLOOKUP($D58,Uncertainties!$B$35:$D$41,3,FALSE)</f>
        <v>#N/A</v>
      </c>
      <c r="AL58" s="21"/>
      <c r="AM58" s="371">
        <f>SQRT((VLOOKUP($A58,'5 A data'!$A$5:$AB$1017,7,FALSE)*mutual_ind)^2+(aux_CT_phase*J58)^2)</f>
        <v>2.6179993686938491E-3</v>
      </c>
      <c r="AN58" s="29" t="e">
        <f t="shared" si="101"/>
        <v>#VALUE!</v>
      </c>
      <c r="AO58" s="14" t="e">
        <f t="shared" si="102"/>
        <v>#VALUE!</v>
      </c>
      <c r="AP58" s="27" t="e">
        <f t="shared" si="82"/>
        <v>#VALUE!</v>
      </c>
    </row>
    <row r="59" spans="1:42" ht="13.15" customHeight="1" x14ac:dyDescent="0.2">
      <c r="A59" s="69">
        <v>149</v>
      </c>
      <c r="B59" s="5" t="e">
        <f>B43&amp;D59</f>
        <v>#VALUE!</v>
      </c>
      <c r="C59" s="19">
        <f>VLOOKUP($A59,'5 A data'!$A$5:$AB$519,3,FALSE)</f>
        <v>0</v>
      </c>
      <c r="D59" s="166">
        <f>ROUND(VLOOKUP($A59,'5 A data'!$A$5:$AB$519,9,FALSE)/10,0)*10</f>
        <v>100</v>
      </c>
      <c r="E59" s="23">
        <f t="shared" si="83"/>
        <v>0.99936709902044762</v>
      </c>
      <c r="F59" s="23">
        <f t="shared" si="84"/>
        <v>1.0011822386327505</v>
      </c>
      <c r="G59" s="23" t="e">
        <f>VLOOKUP($B59,'844400'!$M$171:$U$237,4,FALSE)/10000</f>
        <v>#VALUE!</v>
      </c>
      <c r="H59" s="23" t="e">
        <f>VLOOKUP($B59,'844400'!$M$171:$U$237,5,FALSE)/10000</f>
        <v>#VALUE!</v>
      </c>
      <c r="I59" s="75">
        <f>VLOOKUP($A59,'5 A data'!$A$5:$AB$519,10,FALSE)</f>
        <v>-1.3400000000000002E-2</v>
      </c>
      <c r="J59" s="32">
        <f>VLOOKUP($A59,'5 A data'!$A$5:$AB$519,11,FALSE)</f>
        <v>2.3852833110589167E-2</v>
      </c>
      <c r="K59" s="31"/>
      <c r="L59" s="31"/>
      <c r="M59" s="31" t="e">
        <f t="shared" si="103"/>
        <v>#VALUE!</v>
      </c>
      <c r="N59" s="31" t="e">
        <f t="shared" si="104"/>
        <v>#VALUE!</v>
      </c>
      <c r="O59" s="20"/>
      <c r="P59" s="376" t="e">
        <f>0.0001*VLOOKUP($B59,'844400'!$M$171:$U$237,6,FALSE)/VLOOKUP($B59,'844400'!$M$171:$U$237,8,FALSE)</f>
        <v>#VALUE!</v>
      </c>
      <c r="Q59" s="59">
        <f>VLOOKUP($A59,'5 A data'!$A$5:$AB$519,7,FALSE)*slidewire_res</f>
        <v>2.0000000000000001E-4</v>
      </c>
      <c r="R59" s="349">
        <f t="shared" si="92"/>
        <v>0</v>
      </c>
      <c r="S59" s="4">
        <v>0</v>
      </c>
      <c r="T59" s="4">
        <f t="shared" si="105"/>
        <v>-1.498E-2</v>
      </c>
      <c r="U59" s="29" t="e">
        <f t="shared" si="93"/>
        <v>#VALUE!</v>
      </c>
      <c r="V59" s="29">
        <f t="shared" si="72"/>
        <v>5.0000000000000001E-4</v>
      </c>
      <c r="W59" s="23">
        <f>VLOOKUP($D59,Uncertainties!$B$35:$D$41,2,FALSE)</f>
        <v>0</v>
      </c>
      <c r="X59" s="23"/>
      <c r="Y59" s="24">
        <f t="shared" si="94"/>
        <v>-1.0664596551759657E-6</v>
      </c>
      <c r="Z59" s="23" t="e">
        <f t="shared" si="95"/>
        <v>#VALUE!</v>
      </c>
      <c r="AA59" s="25" t="e">
        <f t="shared" si="96"/>
        <v>#VALUE!</v>
      </c>
      <c r="AB59" s="26" t="e">
        <f t="shared" si="97"/>
        <v>#VALUE!</v>
      </c>
      <c r="AC59" s="14"/>
      <c r="AD59" s="253" t="e">
        <f>0.0001*VLOOKUP($B59,'844400'!$M$171:$U$237,7,FALSE)/VLOOKUP($B59,'844400'!$M$171:$U$237,9,FALSE)</f>
        <v>#VALUE!</v>
      </c>
      <c r="AE59" s="368">
        <f>IF(ABS(VLOOKUP($A59,'5 A data'!$A$5:$AB$1017,6,FALSE))&lt;4.5,IF(ABS(VLOOKUP($A59,'5 A data'!$A$5:$AB$1017,6,FALSE))&lt;1.25,0.0008,0.002),0.004)*VLOOKUP($A59,'5 A data'!$A$5:$AB$1017,7,FALSE)*25*RADIANS(1/60)*100</f>
        <v>2.9088820866572163E-4</v>
      </c>
      <c r="AF59" s="23">
        <f t="shared" si="98"/>
        <v>0</v>
      </c>
      <c r="AG59" s="29" t="e">
        <f t="shared" si="99"/>
        <v>#VALUE!</v>
      </c>
      <c r="AH59" s="4">
        <f t="shared" si="106"/>
        <v>-8.3194027678396391E-3</v>
      </c>
      <c r="AI59" s="4" t="e">
        <f t="shared" si="100"/>
        <v>#VALUE!</v>
      </c>
      <c r="AJ59" s="4">
        <f t="shared" si="79"/>
        <v>5.0000000000000001E-4</v>
      </c>
      <c r="AK59" s="21">
        <f>VLOOKUP($D59,Uncertainties!$B$35:$D$41,3,FALSE)</f>
        <v>0</v>
      </c>
      <c r="AL59" s="21"/>
      <c r="AM59" s="371">
        <f>SQRT((VLOOKUP($A59,'5 A data'!$A$5:$AB$1017,7,FALSE)*mutual_ind)^2+(aux_CT_phase*J59)^2)</f>
        <v>5.2365005020069241E-4</v>
      </c>
      <c r="AN59" s="29" t="e">
        <f t="shared" si="101"/>
        <v>#VALUE!</v>
      </c>
      <c r="AO59" s="14" t="e">
        <f t="shared" si="102"/>
        <v>#VALUE!</v>
      </c>
      <c r="AP59" s="27" t="e">
        <f t="shared" si="82"/>
        <v>#VALUE!</v>
      </c>
    </row>
    <row r="60" spans="1:42" ht="13.15" customHeight="1" x14ac:dyDescent="0.2">
      <c r="A60">
        <v>150</v>
      </c>
      <c r="P60" s="100"/>
      <c r="R60" s="42"/>
      <c r="Z60" s="29"/>
      <c r="AA60" s="25"/>
      <c r="AD60" s="252"/>
      <c r="AN60" s="29"/>
      <c r="AO60" s="14"/>
    </row>
    <row r="61" spans="1:42" ht="13.15" customHeight="1" x14ac:dyDescent="0.2">
      <c r="A61" s="69">
        <v>151</v>
      </c>
      <c r="B61" s="161" t="e">
        <f>MID(D61,FIND("AT range",D61,1)-5,4)</f>
        <v>#VALUE!</v>
      </c>
      <c r="C61" t="s">
        <v>114</v>
      </c>
      <c r="D61" s="163">
        <f>VLOOKUP($A61,'5 A data'!$A$5:$AB$519,2,FALSE)</f>
        <v>0</v>
      </c>
      <c r="E61" s="160"/>
      <c r="F61" s="160"/>
      <c r="G61" s="160"/>
      <c r="H61" s="160"/>
      <c r="I61" s="160"/>
      <c r="J61" s="160"/>
      <c r="K61" s="160"/>
      <c r="P61" s="100"/>
      <c r="R61" s="42"/>
      <c r="Z61" s="29"/>
      <c r="AA61" s="25"/>
      <c r="AD61" s="252"/>
      <c r="AN61" s="29"/>
      <c r="AO61" s="14"/>
    </row>
    <row r="62" spans="1:42" ht="13.15" customHeight="1" x14ac:dyDescent="0.2">
      <c r="A62">
        <v>152</v>
      </c>
      <c r="C62" s="2"/>
      <c r="D62" s="19"/>
      <c r="M62" s="533" t="s">
        <v>161</v>
      </c>
      <c r="N62" s="533"/>
      <c r="O62" s="19"/>
      <c r="P62" s="100"/>
      <c r="R62" s="42"/>
      <c r="Z62" s="29"/>
      <c r="AA62" s="25"/>
      <c r="AD62" s="252"/>
      <c r="AN62" s="29"/>
      <c r="AO62" s="14"/>
    </row>
    <row r="63" spans="1:42" ht="13.15" customHeight="1" x14ac:dyDescent="0.2">
      <c r="A63" s="69">
        <v>153</v>
      </c>
      <c r="B63" s="5" t="e">
        <f>B61&amp;D63</f>
        <v>#VALUE!</v>
      </c>
      <c r="C63" s="19" t="str">
        <f>VLOOKUP($A63,'5 A data'!$A$5:$AB$519,3,FALSE)</f>
        <v>No External Burden.</v>
      </c>
      <c r="D63" s="19">
        <f>ROUND(VLOOKUP($A63,'5 A data'!$A$5:$AB$519,9,FALSE),0)</f>
        <v>0</v>
      </c>
      <c r="E63" s="23">
        <f>TestSetRatioCor</f>
        <v>0.99936709902044762</v>
      </c>
      <c r="F63" s="23">
        <f>TestSetPhaseCor</f>
        <v>1.0011822386327505</v>
      </c>
      <c r="G63" s="23" t="e">
        <f>VLOOKUP($B63,'844400'!$M$171:$U$237,4,FALSE)/10000</f>
        <v>#VALUE!</v>
      </c>
      <c r="H63" s="23" t="e">
        <f>VLOOKUP($B63,'844400'!$M$171:$U$237,5,FALSE)/10000</f>
        <v>#VALUE!</v>
      </c>
      <c r="I63" s="75">
        <f>VLOOKUP($A63,'5 A data'!$A$5:$AB$519,10,FALSE)</f>
        <v>0</v>
      </c>
      <c r="J63" s="32">
        <f>VLOOKUP($A63,'5 A data'!$A$5:$AB$519,11,FALSE)</f>
        <v>0</v>
      </c>
      <c r="K63" s="22">
        <f t="shared" ref="K63:L66" si="107">I63-I71</f>
        <v>6.4000000000000003E-3</v>
      </c>
      <c r="L63" s="22">
        <f t="shared" si="107"/>
        <v>-1.3380857598623192E-2</v>
      </c>
      <c r="M63" s="31" t="e">
        <f t="shared" ref="M63:N69" si="108">I63*E63+G63-K63*($C63-high_burden)/($C63-$C71)</f>
        <v>#VALUE!</v>
      </c>
      <c r="N63" s="31" t="e">
        <f t="shared" si="108"/>
        <v>#VALUE!</v>
      </c>
      <c r="O63" s="20"/>
      <c r="P63" s="376" t="e">
        <f>0.0001*VLOOKUP($B63,'844400'!$M$171:$U$237,6,FALSE)/VLOOKUP($B63,'844400'!$M$171:$U$237,8,FALSE)</f>
        <v>#VALUE!</v>
      </c>
      <c r="Q63" s="59">
        <f>VLOOKUP($A63,'5 A data'!$A$5:$AB$519,7,FALSE)*slidewire_res</f>
        <v>0</v>
      </c>
      <c r="R63" s="349">
        <f t="shared" ref="R63:R69" si="109">current_coef*(I63-I64)*IF(I64=0,0,1)</f>
        <v>1.2800000000000001E-3</v>
      </c>
      <c r="S63" s="21">
        <v>0</v>
      </c>
      <c r="T63" s="21">
        <f>BurdenUnc*K63</f>
        <v>3.2000000000000003E-4</v>
      </c>
      <c r="U63" s="23" t="e">
        <f t="shared" ref="U63:U69" si="110">0.004*M63</f>
        <v>#VALUE!</v>
      </c>
      <c r="V63" s="23">
        <f t="shared" ref="V63:V77" si="111">earthing_Re</f>
        <v>5.0000000000000001E-4</v>
      </c>
      <c r="W63" s="23" t="e">
        <f>VLOOKUP($D63,Uncertainties!$B$35:$D$41,2,FALSE)</f>
        <v>#N/A</v>
      </c>
      <c r="X63" s="23"/>
      <c r="Y63" s="24">
        <f t="shared" ref="Y63:Y69" si="112">I63*aux_CT_ratio</f>
        <v>0</v>
      </c>
      <c r="Z63" s="23" t="e">
        <f t="shared" ref="Z63:Z69" si="113">SQRT(SUMSQ(P63:Y63))</f>
        <v>#VALUE!</v>
      </c>
      <c r="AA63" s="25" t="e">
        <f t="shared" ref="AA63:AA69" si="114">DoF_A(P63:Y63,$P$7:$Y$7)</f>
        <v>#VALUE!</v>
      </c>
      <c r="AB63" s="26" t="e">
        <f t="shared" ref="AB63:AB69" si="115">CoverFactor(AA63)</f>
        <v>#VALUE!</v>
      </c>
      <c r="AC63" s="14"/>
      <c r="AD63" s="253" t="e">
        <f>0.0001*VLOOKUP($B63,'844400'!$M$171:$U$237,7,FALSE)/VLOOKUP($B63,'844400'!$M$171:$U$237,9,FALSE)</f>
        <v>#VALUE!</v>
      </c>
      <c r="AE63" s="368">
        <f>IF(ABS(VLOOKUP($A63,'5 A data'!$A$5:$AB$1017,6,FALSE))&lt;4.5,IF(ABS(VLOOKUP($A63,'5 A data'!$A$5:$AB$1017,6,FALSE))&lt;1.25,0.0008,0.002),0.004)*VLOOKUP($A63,'5 A data'!$A$5:$AB$1017,7,FALSE)*25*RADIANS(1/60)*100</f>
        <v>0</v>
      </c>
      <c r="AF63" s="23">
        <f>current_coef*(J63-J64)*IF(J64=0,0,1)</f>
        <v>-2.6761715197246385E-3</v>
      </c>
      <c r="AG63" s="29" t="e">
        <f t="shared" ref="AG63:AG69" si="116">0.001*N63</f>
        <v>#VALUE!</v>
      </c>
      <c r="AH63" s="4">
        <f>BurdenUnc*L63</f>
        <v>-6.6904287993115963E-4</v>
      </c>
      <c r="AI63" s="4" t="e">
        <f t="shared" ref="AI63:AI69" si="117">0.004*N63</f>
        <v>#VALUE!</v>
      </c>
      <c r="AJ63" s="4">
        <f t="shared" ref="AJ63:AJ77" si="118">earthing_Im</f>
        <v>5.0000000000000001E-4</v>
      </c>
      <c r="AK63" s="21" t="e">
        <f>VLOOKUP($D63,Uncertainties!$B$35:$D$41,3,FALSE)</f>
        <v>#N/A</v>
      </c>
      <c r="AL63" s="21"/>
      <c r="AM63" s="371">
        <f>SQRT((VLOOKUP($A63,'5 A data'!$A$5:$AB$1017,7,FALSE)*mutual_ind)^2+(aux_CT_phase*J63)^2)</f>
        <v>0</v>
      </c>
      <c r="AN63" s="29" t="e">
        <f t="shared" ref="AN63:AN69" si="119">SQRT(SUMSQ(AD63:AM63))</f>
        <v>#VALUE!</v>
      </c>
      <c r="AO63" s="14" t="e">
        <f t="shared" ref="AO63:AO69" si="120">DoF_A(AD63:AM63,$AD$7:$AM$7)</f>
        <v>#VALUE!</v>
      </c>
      <c r="AP63" s="27" t="e">
        <f t="shared" ref="AP63:AP77" si="121">CoverFactor(AO63)</f>
        <v>#VALUE!</v>
      </c>
    </row>
    <row r="64" spans="1:42" ht="13.15" customHeight="1" x14ac:dyDescent="0.2">
      <c r="A64">
        <v>154</v>
      </c>
      <c r="B64" s="5" t="e">
        <f>B61&amp;D64</f>
        <v>#VALUE!</v>
      </c>
      <c r="C64" s="19">
        <f>VLOOKUP($A64,'5 A data'!$A$5:$AB$519,3,FALSE)</f>
        <v>0</v>
      </c>
      <c r="D64" s="165">
        <f>ROUND(VLOOKUP($A64,'5 A data'!$A$5:$AB$519,9,FALSE)/10,0)*10</f>
        <v>70</v>
      </c>
      <c r="E64" s="23">
        <f t="shared" ref="E64:E77" si="122">TestSetRatioCor</f>
        <v>0.99936709902044762</v>
      </c>
      <c r="F64" s="23">
        <f t="shared" ref="F64:F77" si="123">TestSetPhaseCor</f>
        <v>1.0011822386327505</v>
      </c>
      <c r="G64" s="23" t="e">
        <f>VLOOKUP($B64,'844400'!$M$171:$U$237,4,FALSE)/10000</f>
        <v>#VALUE!</v>
      </c>
      <c r="H64" s="23" t="e">
        <f>VLOOKUP($B64,'844400'!$M$171:$U$237,5,FALSE)/10000</f>
        <v>#VALUE!</v>
      </c>
      <c r="I64" s="75">
        <f>VLOOKUP($A64,'5 A data'!$A$5:$AB$519,10,FALSE)</f>
        <v>-6.4000000000000003E-3</v>
      </c>
      <c r="J64" s="32">
        <f>VLOOKUP($A64,'5 A data'!$A$5:$AB$519,11,FALSE)</f>
        <v>1.3380857598623192E-2</v>
      </c>
      <c r="K64" s="22">
        <f t="shared" si="107"/>
        <v>0.21960000000000002</v>
      </c>
      <c r="L64" s="22">
        <f t="shared" si="107"/>
        <v>3.0834150118566488E-2</v>
      </c>
      <c r="M64" s="31" t="e">
        <f t="shared" si="108"/>
        <v>#VALUE!</v>
      </c>
      <c r="N64" s="31" t="e">
        <f t="shared" si="108"/>
        <v>#VALUE!</v>
      </c>
      <c r="O64" s="20"/>
      <c r="P64" s="376" t="e">
        <f>0.0001*VLOOKUP($B64,'844400'!$M$171:$U$237,6,FALSE)/VLOOKUP($B64,'844400'!$M$171:$U$237,8,FALSE)</f>
        <v>#VALUE!</v>
      </c>
      <c r="Q64" s="59">
        <f>VLOOKUP($A64,'5 A data'!$A$5:$AB$519,7,FALSE)*slidewire_res</f>
        <v>1E-4</v>
      </c>
      <c r="R64" s="349">
        <f t="shared" si="109"/>
        <v>4.4400000000000004E-3</v>
      </c>
      <c r="S64" s="4">
        <v>0</v>
      </c>
      <c r="T64" s="21">
        <f t="shared" ref="T64:T69" si="124">BurdenUnc*K64</f>
        <v>1.0980000000000002E-2</v>
      </c>
      <c r="U64" s="29" t="e">
        <f t="shared" si="110"/>
        <v>#VALUE!</v>
      </c>
      <c r="V64" s="29">
        <f t="shared" si="111"/>
        <v>5.0000000000000001E-4</v>
      </c>
      <c r="W64" s="23" t="e">
        <f>VLOOKUP($D64,Uncertainties!$B$35:$D$41,2,FALSE)</f>
        <v>#N/A</v>
      </c>
      <c r="X64" s="23"/>
      <c r="Y64" s="24">
        <f t="shared" si="112"/>
        <v>-5.0935386515867011E-7</v>
      </c>
      <c r="Z64" s="23" t="e">
        <f t="shared" si="113"/>
        <v>#VALUE!</v>
      </c>
      <c r="AA64" s="25" t="e">
        <f t="shared" si="114"/>
        <v>#VALUE!</v>
      </c>
      <c r="AB64" s="26" t="e">
        <f t="shared" si="115"/>
        <v>#VALUE!</v>
      </c>
      <c r="AC64" s="14"/>
      <c r="AD64" s="253" t="e">
        <f>0.0001*VLOOKUP($B64,'844400'!$M$171:$U$237,7,FALSE)/VLOOKUP($B64,'844400'!$M$171:$U$237,9,FALSE)</f>
        <v>#VALUE!</v>
      </c>
      <c r="AE64" s="368">
        <f>IF(ABS(VLOOKUP($A64,'5 A data'!$A$5:$AB$1017,6,FALSE))&lt;4.5,IF(ABS(VLOOKUP($A64,'5 A data'!$A$5:$AB$1017,6,FALSE))&lt;1.25,0.0008,0.002),0.004)*VLOOKUP($A64,'5 A data'!$A$5:$AB$1017,7,FALSE)*25*RADIANS(1/60)*100</f>
        <v>2.9088820866572163E-4</v>
      </c>
      <c r="AF64" s="23">
        <f t="shared" ref="AF64:AF69" si="125">current_coef*(J64-J65)*IF(J65=0,0,1)</f>
        <v>2.327105669325768E-4</v>
      </c>
      <c r="AG64" s="29" t="e">
        <f t="shared" si="116"/>
        <v>#VALUE!</v>
      </c>
      <c r="AH64" s="4">
        <f t="shared" ref="AH64:AH69" si="126">BurdenUnc*L64</f>
        <v>1.5417075059283244E-3</v>
      </c>
      <c r="AI64" s="4" t="e">
        <f t="shared" si="117"/>
        <v>#VALUE!</v>
      </c>
      <c r="AJ64" s="4">
        <f t="shared" si="118"/>
        <v>5.0000000000000001E-4</v>
      </c>
      <c r="AK64" s="21" t="e">
        <f>VLOOKUP($D64,Uncertainties!$B$35:$D$41,3,FALSE)</f>
        <v>#N/A</v>
      </c>
      <c r="AL64" s="21"/>
      <c r="AM64" s="371">
        <f>SQRT((VLOOKUP($A64,'5 A data'!$A$5:$AB$1017,7,FALSE)*mutual_ind)^2+(aux_CT_phase*J64)^2)</f>
        <v>2.6183165897229559E-4</v>
      </c>
      <c r="AN64" s="29" t="e">
        <f t="shared" si="119"/>
        <v>#VALUE!</v>
      </c>
      <c r="AO64" s="14" t="e">
        <f t="shared" si="120"/>
        <v>#VALUE!</v>
      </c>
      <c r="AP64" s="27" t="e">
        <f t="shared" si="121"/>
        <v>#VALUE!</v>
      </c>
    </row>
    <row r="65" spans="1:42" ht="13.15" customHeight="1" x14ac:dyDescent="0.2">
      <c r="A65" s="69">
        <v>155</v>
      </c>
      <c r="B65" s="5" t="e">
        <f>B61&amp;D65</f>
        <v>#VALUE!</v>
      </c>
      <c r="C65" s="19">
        <f>VLOOKUP($A65,'5 A data'!$A$5:$AB$519,3,FALSE)</f>
        <v>0</v>
      </c>
      <c r="D65" s="165">
        <f>ROUND(VLOOKUP($A65,'5 A data'!$A$5:$AB$519,9,FALSE)/10,0)*10</f>
        <v>70</v>
      </c>
      <c r="E65" s="23">
        <f t="shared" si="122"/>
        <v>0.99936709902044762</v>
      </c>
      <c r="F65" s="23">
        <f t="shared" si="123"/>
        <v>1.0011822386327505</v>
      </c>
      <c r="G65" s="23" t="e">
        <f>VLOOKUP($B65,'844400'!$M$171:$U$237,4,FALSE)/10000</f>
        <v>#VALUE!</v>
      </c>
      <c r="H65" s="23" t="e">
        <f>VLOOKUP($B65,'844400'!$M$171:$U$237,5,FALSE)/10000</f>
        <v>#VALUE!</v>
      </c>
      <c r="I65" s="75">
        <f>VLOOKUP($A65,'5 A data'!$A$5:$AB$519,10,FALSE)</f>
        <v>-2.86E-2</v>
      </c>
      <c r="J65" s="32">
        <f>VLOOKUP($A65,'5 A data'!$A$5:$AB$519,11,FALSE)</f>
        <v>1.2217304763960308E-2</v>
      </c>
      <c r="K65" s="22">
        <f t="shared" si="107"/>
        <v>-2.1999999999999999E-2</v>
      </c>
      <c r="L65" s="22">
        <f t="shared" si="107"/>
        <v>-2.9088820866571968E-4</v>
      </c>
      <c r="M65" s="31" t="e">
        <f t="shared" si="108"/>
        <v>#VALUE!</v>
      </c>
      <c r="N65" s="31" t="e">
        <f t="shared" si="108"/>
        <v>#VALUE!</v>
      </c>
      <c r="O65" s="20"/>
      <c r="P65" s="376" t="e">
        <f>0.0001*VLOOKUP($B65,'844400'!$M$171:$U$237,6,FALSE)/VLOOKUP($B65,'844400'!$M$171:$U$237,8,FALSE)</f>
        <v>#VALUE!</v>
      </c>
      <c r="Q65" s="59">
        <f>VLOOKUP($A65,'5 A data'!$A$5:$AB$519,7,FALSE)*slidewire_res</f>
        <v>1E-4</v>
      </c>
      <c r="R65" s="349">
        <f t="shared" si="109"/>
        <v>-4.4200000000000003E-3</v>
      </c>
      <c r="S65" s="4">
        <v>0</v>
      </c>
      <c r="T65" s="21">
        <f t="shared" si="124"/>
        <v>-1.1000000000000001E-3</v>
      </c>
      <c r="U65" s="29" t="e">
        <f t="shared" si="110"/>
        <v>#VALUE!</v>
      </c>
      <c r="V65" s="29">
        <f t="shared" si="111"/>
        <v>5.0000000000000001E-4</v>
      </c>
      <c r="W65" s="23" t="e">
        <f>VLOOKUP($D65,Uncertainties!$B$35:$D$41,2,FALSE)</f>
        <v>#N/A</v>
      </c>
      <c r="X65" s="23"/>
      <c r="Y65" s="24">
        <f t="shared" si="112"/>
        <v>-2.276175084927807E-6</v>
      </c>
      <c r="Z65" s="23" t="e">
        <f t="shared" si="113"/>
        <v>#VALUE!</v>
      </c>
      <c r="AA65" s="25" t="e">
        <f t="shared" si="114"/>
        <v>#VALUE!</v>
      </c>
      <c r="AB65" s="26" t="e">
        <f t="shared" si="115"/>
        <v>#VALUE!</v>
      </c>
      <c r="AC65" s="14"/>
      <c r="AD65" s="253" t="e">
        <f>0.0001*VLOOKUP($B65,'844400'!$M$171:$U$237,7,FALSE)/VLOOKUP($B65,'844400'!$M$171:$U$237,9,FALSE)</f>
        <v>#VALUE!</v>
      </c>
      <c r="AE65" s="368">
        <f>IF(ABS(VLOOKUP($A65,'5 A data'!$A$5:$AB$1017,6,FALSE))&lt;4.5,IF(ABS(VLOOKUP($A65,'5 A data'!$A$5:$AB$1017,6,FALSE))&lt;1.25,0.0008,0.002),0.004)*VLOOKUP($A65,'5 A data'!$A$5:$AB$1017,7,FALSE)*25*RADIANS(1/60)*100</f>
        <v>1.4544410433286082E-4</v>
      </c>
      <c r="AF65" s="23">
        <f t="shared" si="125"/>
        <v>-1.1635528346628858E-4</v>
      </c>
      <c r="AG65" s="29" t="e">
        <f t="shared" si="116"/>
        <v>#VALUE!</v>
      </c>
      <c r="AH65" s="4">
        <f t="shared" si="126"/>
        <v>-1.4544410433285986E-5</v>
      </c>
      <c r="AI65" s="4" t="e">
        <f t="shared" si="117"/>
        <v>#VALUE!</v>
      </c>
      <c r="AJ65" s="4">
        <f t="shared" si="118"/>
        <v>5.0000000000000001E-4</v>
      </c>
      <c r="AK65" s="21" t="e">
        <f>VLOOKUP($D65,Uncertainties!$B$35:$D$41,3,FALSE)</f>
        <v>#N/A</v>
      </c>
      <c r="AL65" s="21"/>
      <c r="AM65" s="371">
        <f>SQRT((VLOOKUP($A65,'5 A data'!$A$5:$AB$1017,7,FALSE)*mutual_ind)^2+(aux_CT_phase*J65)^2)</f>
        <v>2.6182629088659047E-4</v>
      </c>
      <c r="AN65" s="29" t="e">
        <f t="shared" si="119"/>
        <v>#VALUE!</v>
      </c>
      <c r="AO65" s="14" t="e">
        <f t="shared" si="120"/>
        <v>#VALUE!</v>
      </c>
      <c r="AP65" s="27" t="e">
        <f t="shared" si="121"/>
        <v>#VALUE!</v>
      </c>
    </row>
    <row r="66" spans="1:42" ht="13.15" customHeight="1" x14ac:dyDescent="0.2">
      <c r="A66">
        <v>156</v>
      </c>
      <c r="B66" s="5" t="e">
        <f>B61&amp;D66</f>
        <v>#VALUE!</v>
      </c>
      <c r="C66" s="19">
        <f>VLOOKUP($A66,'5 A data'!$A$5:$AB$519,3,FALSE)</f>
        <v>0</v>
      </c>
      <c r="D66" s="165">
        <f>ROUND(VLOOKUP($A66,'5 A data'!$A$5:$AB$519,9,FALSE)/10,0)*10</f>
        <v>100</v>
      </c>
      <c r="E66" s="23">
        <f t="shared" si="122"/>
        <v>0.99936709902044762</v>
      </c>
      <c r="F66" s="23">
        <f t="shared" si="123"/>
        <v>1.0011822386327505</v>
      </c>
      <c r="G66" s="23" t="e">
        <f>VLOOKUP($B66,'844400'!$M$171:$U$237,4,FALSE)/10000</f>
        <v>#VALUE!</v>
      </c>
      <c r="H66" s="23" t="e">
        <f>VLOOKUP($B66,'844400'!$M$171:$U$237,5,FALSE)/10000</f>
        <v>#VALUE!</v>
      </c>
      <c r="I66" s="75">
        <f>VLOOKUP($A66,'5 A data'!$A$5:$AB$519,10,FALSE)</f>
        <v>-6.5000000000000006E-3</v>
      </c>
      <c r="J66" s="32">
        <f>VLOOKUP($A66,'5 A data'!$A$5:$AB$519,11,FALSE)</f>
        <v>1.2799081181291751E-2</v>
      </c>
      <c r="K66" s="22">
        <f t="shared" si="107"/>
        <v>0.2205</v>
      </c>
      <c r="L66" s="22">
        <f t="shared" si="107"/>
        <v>2.4434609527920613E-2</v>
      </c>
      <c r="M66" s="31" t="e">
        <f t="shared" si="108"/>
        <v>#VALUE!</v>
      </c>
      <c r="N66" s="31" t="e">
        <f t="shared" si="108"/>
        <v>#VALUE!</v>
      </c>
      <c r="O66" s="20"/>
      <c r="P66" s="376" t="e">
        <f>0.0001*VLOOKUP($B66,'844400'!$M$171:$U$237,6,FALSE)/VLOOKUP($B66,'844400'!$M$171:$U$237,8,FALSE)</f>
        <v>#VALUE!</v>
      </c>
      <c r="Q66" s="59">
        <f>VLOOKUP($A66,'5 A data'!$A$5:$AB$519,7,FALSE)*slidewire_res</f>
        <v>1E-4</v>
      </c>
      <c r="R66" s="349">
        <f t="shared" si="109"/>
        <v>4.4399999999999995E-3</v>
      </c>
      <c r="S66" s="4">
        <v>0</v>
      </c>
      <c r="T66" s="21">
        <f t="shared" si="124"/>
        <v>1.1025E-2</v>
      </c>
      <c r="U66" s="29" t="e">
        <f t="shared" si="110"/>
        <v>#VALUE!</v>
      </c>
      <c r="V66" s="29">
        <f t="shared" si="111"/>
        <v>5.0000000000000001E-4</v>
      </c>
      <c r="W66" s="23">
        <f>VLOOKUP($D66,Uncertainties!$B$35:$D$41,2,FALSE)</f>
        <v>0</v>
      </c>
      <c r="X66" s="23"/>
      <c r="Y66" s="24">
        <f t="shared" si="112"/>
        <v>-5.1731251930177433E-7</v>
      </c>
      <c r="Z66" s="23" t="e">
        <f t="shared" si="113"/>
        <v>#VALUE!</v>
      </c>
      <c r="AA66" s="25" t="e">
        <f t="shared" si="114"/>
        <v>#VALUE!</v>
      </c>
      <c r="AB66" s="26" t="e">
        <f t="shared" si="115"/>
        <v>#VALUE!</v>
      </c>
      <c r="AC66" s="14"/>
      <c r="AD66" s="253" t="e">
        <f>0.0001*VLOOKUP($B66,'844400'!$M$171:$U$237,7,FALSE)/VLOOKUP($B66,'844400'!$M$171:$U$237,9,FALSE)</f>
        <v>#VALUE!</v>
      </c>
      <c r="AE66" s="368">
        <f>IF(ABS(VLOOKUP($A66,'5 A data'!$A$5:$AB$1017,6,FALSE))&lt;4.5,IF(ABS(VLOOKUP($A66,'5 A data'!$A$5:$AB$1017,6,FALSE))&lt;1.25,0.0008,0.002),0.004)*VLOOKUP($A66,'5 A data'!$A$5:$AB$1017,7,FALSE)*25*RADIANS(1/60)*100</f>
        <v>1.4544410433286082E-4</v>
      </c>
      <c r="AF66" s="23">
        <f t="shared" si="125"/>
        <v>3.4906585039886642E-4</v>
      </c>
      <c r="AG66" s="29" t="e">
        <f t="shared" si="116"/>
        <v>#VALUE!</v>
      </c>
      <c r="AH66" s="4">
        <f t="shared" si="126"/>
        <v>1.2217304763960308E-3</v>
      </c>
      <c r="AI66" s="4" t="e">
        <f t="shared" si="117"/>
        <v>#VALUE!</v>
      </c>
      <c r="AJ66" s="4">
        <f t="shared" si="118"/>
        <v>5.0000000000000001E-4</v>
      </c>
      <c r="AK66" s="21">
        <f>VLOOKUP($D66,Uncertainties!$B$35:$D$41,3,FALSE)</f>
        <v>0</v>
      </c>
      <c r="AL66" s="21"/>
      <c r="AM66" s="371">
        <f>SQRT((VLOOKUP($A66,'5 A data'!$A$5:$AB$1017,7,FALSE)*mutual_ind)^2+(aux_CT_phase*J66)^2)</f>
        <v>2.6182891394221924E-4</v>
      </c>
      <c r="AN66" s="29" t="e">
        <f t="shared" si="119"/>
        <v>#VALUE!</v>
      </c>
      <c r="AO66" s="14" t="e">
        <f t="shared" si="120"/>
        <v>#VALUE!</v>
      </c>
      <c r="AP66" s="27" t="e">
        <f t="shared" si="121"/>
        <v>#VALUE!</v>
      </c>
    </row>
    <row r="67" spans="1:42" ht="13.15" customHeight="1" x14ac:dyDescent="0.2">
      <c r="A67" s="69">
        <v>157</v>
      </c>
      <c r="B67" s="5" t="e">
        <f>B61&amp;D67</f>
        <v>#VALUE!</v>
      </c>
      <c r="C67" s="19">
        <f>VLOOKUP($A67,'5 A data'!$A$5:$AB$519,3,FALSE)</f>
        <v>0</v>
      </c>
      <c r="D67" s="165">
        <f>ROUND(VLOOKUP($A67,'5 A data'!$A$5:$AB$519,9,FALSE)/10,0)*10</f>
        <v>100</v>
      </c>
      <c r="E67" s="23">
        <f t="shared" si="122"/>
        <v>0.99936709902044762</v>
      </c>
      <c r="F67" s="23">
        <f t="shared" si="123"/>
        <v>1.0011822386327505</v>
      </c>
      <c r="G67" s="23" t="e">
        <f>VLOOKUP($B67,'844400'!$M$171:$U$237,4,FALSE)/10000</f>
        <v>#VALUE!</v>
      </c>
      <c r="H67" s="23" t="e">
        <f>VLOOKUP($B67,'844400'!$M$171:$U$237,5,FALSE)/10000</f>
        <v>#VALUE!</v>
      </c>
      <c r="I67" s="75">
        <f>VLOOKUP($A67,'5 A data'!$A$5:$AB$519,10,FALSE)</f>
        <v>-2.87E-2</v>
      </c>
      <c r="J67" s="32">
        <f>VLOOKUP($A67,'5 A data'!$A$5:$AB$519,11,FALSE)</f>
        <v>1.1053751929297419E-2</v>
      </c>
      <c r="K67" s="22">
        <f t="shared" ref="K67:L69" si="127">I67-I75</f>
        <v>-2.87E-2</v>
      </c>
      <c r="L67" s="22">
        <f t="shared" si="127"/>
        <v>1.1053751929297419E-2</v>
      </c>
      <c r="M67" s="31" t="e">
        <f t="shared" si="108"/>
        <v>#VALUE!</v>
      </c>
      <c r="N67" s="31" t="e">
        <f t="shared" si="108"/>
        <v>#VALUE!</v>
      </c>
      <c r="O67" s="20"/>
      <c r="P67" s="376" t="e">
        <f>0.0001*VLOOKUP($B67,'844400'!$M$171:$U$237,6,FALSE)/VLOOKUP($B67,'844400'!$M$171:$U$237,8,FALSE)</f>
        <v>#VALUE!</v>
      </c>
      <c r="Q67" s="59">
        <f>VLOOKUP($A67,'5 A data'!$A$5:$AB$519,7,FALSE)*slidewire_res</f>
        <v>1E-4</v>
      </c>
      <c r="R67" s="349">
        <f t="shared" si="109"/>
        <v>0</v>
      </c>
      <c r="S67" s="4">
        <v>0</v>
      </c>
      <c r="T67" s="21">
        <f t="shared" si="124"/>
        <v>-1.4350000000000001E-3</v>
      </c>
      <c r="U67" s="29" t="e">
        <f t="shared" si="110"/>
        <v>#VALUE!</v>
      </c>
      <c r="V67" s="29">
        <f t="shared" si="111"/>
        <v>5.0000000000000001E-4</v>
      </c>
      <c r="W67" s="23">
        <f>VLOOKUP($D67,Uncertainties!$B$35:$D$41,2,FALSE)</f>
        <v>0</v>
      </c>
      <c r="X67" s="23"/>
      <c r="Y67" s="24">
        <f t="shared" si="112"/>
        <v>-2.2841337390709114E-6</v>
      </c>
      <c r="Z67" s="23" t="e">
        <f t="shared" si="113"/>
        <v>#VALUE!</v>
      </c>
      <c r="AA67" s="25" t="e">
        <f t="shared" si="114"/>
        <v>#VALUE!</v>
      </c>
      <c r="AB67" s="26" t="e">
        <f t="shared" si="115"/>
        <v>#VALUE!</v>
      </c>
      <c r="AC67" s="14"/>
      <c r="AD67" s="253" t="e">
        <f>0.0001*VLOOKUP($B67,'844400'!$M$171:$U$237,7,FALSE)/VLOOKUP($B67,'844400'!$M$171:$U$237,9,FALSE)</f>
        <v>#VALUE!</v>
      </c>
      <c r="AE67" s="368">
        <f>IF(ABS(VLOOKUP($A67,'5 A data'!$A$5:$AB$1017,6,FALSE))&lt;4.5,IF(ABS(VLOOKUP($A67,'5 A data'!$A$5:$AB$1017,6,FALSE))&lt;1.25,0.0008,0.002),0.004)*VLOOKUP($A67,'5 A data'!$A$5:$AB$1017,7,FALSE)*25*RADIANS(1/60)*100</f>
        <v>1.4544410433286082E-4</v>
      </c>
      <c r="AF67" s="23">
        <f t="shared" si="125"/>
        <v>0</v>
      </c>
      <c r="AG67" s="29" t="e">
        <f t="shared" si="116"/>
        <v>#VALUE!</v>
      </c>
      <c r="AH67" s="4">
        <f t="shared" si="126"/>
        <v>5.5268759646487093E-4</v>
      </c>
      <c r="AI67" s="4" t="e">
        <f t="shared" si="117"/>
        <v>#VALUE!</v>
      </c>
      <c r="AJ67" s="4">
        <f t="shared" si="118"/>
        <v>5.0000000000000001E-4</v>
      </c>
      <c r="AK67" s="21">
        <f>VLOOKUP($D67,Uncertainties!$B$35:$D$41,3,FALSE)</f>
        <v>0</v>
      </c>
      <c r="AL67" s="21"/>
      <c r="AM67" s="371">
        <f>SQRT((VLOOKUP($A67,'5 A data'!$A$5:$AB$1017,7,FALSE)*mutual_ind)^2+(aux_CT_phase*J67)^2)</f>
        <v>2.6182141071316918E-4</v>
      </c>
      <c r="AN67" s="29" t="e">
        <f t="shared" si="119"/>
        <v>#VALUE!</v>
      </c>
      <c r="AO67" s="14" t="e">
        <f t="shared" si="120"/>
        <v>#VALUE!</v>
      </c>
      <c r="AP67" s="27" t="e">
        <f t="shared" si="121"/>
        <v>#VALUE!</v>
      </c>
    </row>
    <row r="68" spans="1:42" ht="13.15" customHeight="1" x14ac:dyDescent="0.2">
      <c r="A68">
        <v>158</v>
      </c>
      <c r="B68" s="5" t="e">
        <f>B61&amp;D68</f>
        <v>#VALUE!</v>
      </c>
      <c r="C68" s="19">
        <f>VLOOKUP($A68,'5 A data'!$A$5:$AB$519,3,FALSE)</f>
        <v>0</v>
      </c>
      <c r="D68" s="166">
        <f>ROUND(VLOOKUP($A68,'5 A data'!$A$5:$AB$519,9,FALSE)/10,0)*10</f>
        <v>0</v>
      </c>
      <c r="E68" s="23">
        <f t="shared" si="122"/>
        <v>0.99936709902044762</v>
      </c>
      <c r="F68" s="23">
        <f t="shared" si="123"/>
        <v>1.0011822386327505</v>
      </c>
      <c r="G68" s="23" t="e">
        <f>VLOOKUP($B68,'844400'!$M$171:$U$237,4,FALSE)/10000</f>
        <v>#VALUE!</v>
      </c>
      <c r="H68" s="23" t="e">
        <f>VLOOKUP($B68,'844400'!$M$171:$U$237,5,FALSE)/10000</f>
        <v>#VALUE!</v>
      </c>
      <c r="I68" s="75">
        <f>VLOOKUP($A68,'5 A data'!$A$5:$AB$519,10,FALSE)</f>
        <v>0</v>
      </c>
      <c r="J68" s="32">
        <f>VLOOKUP($A68,'5 A data'!$A$5:$AB$519,11,FALSE)</f>
        <v>0</v>
      </c>
      <c r="K68" s="22">
        <f t="shared" si="127"/>
        <v>0</v>
      </c>
      <c r="L68" s="22">
        <f t="shared" si="127"/>
        <v>0</v>
      </c>
      <c r="M68" s="31" t="e">
        <f t="shared" si="108"/>
        <v>#VALUE!</v>
      </c>
      <c r="N68" s="31" t="e">
        <f t="shared" si="108"/>
        <v>#VALUE!</v>
      </c>
      <c r="O68" s="20"/>
      <c r="P68" s="376" t="e">
        <f>0.0001*VLOOKUP($B68,'844400'!$M$171:$U$237,6,FALSE)/VLOOKUP($B68,'844400'!$M$171:$U$237,8,FALSE)</f>
        <v>#VALUE!</v>
      </c>
      <c r="Q68" s="59">
        <f>VLOOKUP($A68,'5 A data'!$A$5:$AB$519,7,FALSE)*slidewire_res</f>
        <v>0</v>
      </c>
      <c r="R68" s="349">
        <f t="shared" si="109"/>
        <v>0</v>
      </c>
      <c r="S68" s="4">
        <v>0</v>
      </c>
      <c r="T68" s="21">
        <f t="shared" si="124"/>
        <v>0</v>
      </c>
      <c r="U68" s="29" t="e">
        <f t="shared" si="110"/>
        <v>#VALUE!</v>
      </c>
      <c r="V68" s="29">
        <f t="shared" si="111"/>
        <v>5.0000000000000001E-4</v>
      </c>
      <c r="W68" s="23" t="e">
        <f>VLOOKUP($D68,Uncertainties!$B$35:$D$41,2,FALSE)</f>
        <v>#N/A</v>
      </c>
      <c r="X68" s="23"/>
      <c r="Y68" s="24">
        <f t="shared" si="112"/>
        <v>0</v>
      </c>
      <c r="Z68" s="23" t="e">
        <f t="shared" si="113"/>
        <v>#VALUE!</v>
      </c>
      <c r="AA68" s="25" t="e">
        <f t="shared" si="114"/>
        <v>#VALUE!</v>
      </c>
      <c r="AB68" s="26" t="e">
        <f t="shared" si="115"/>
        <v>#VALUE!</v>
      </c>
      <c r="AC68" s="14"/>
      <c r="AD68" s="253" t="e">
        <f>0.0001*VLOOKUP($B68,'844400'!$M$171:$U$237,7,FALSE)/VLOOKUP($B68,'844400'!$M$171:$U$237,9,FALSE)</f>
        <v>#VALUE!</v>
      </c>
      <c r="AE68" s="368">
        <f>IF(ABS(VLOOKUP($A68,'5 A data'!$A$5:$AB$1017,6,FALSE))&lt;4.5,IF(ABS(VLOOKUP($A68,'5 A data'!$A$5:$AB$1017,6,FALSE))&lt;1.25,0.0008,0.002),0.004)*VLOOKUP($A68,'5 A data'!$A$5:$AB$1017,7,FALSE)*25*RADIANS(1/60)*100</f>
        <v>0</v>
      </c>
      <c r="AF68" s="23">
        <f t="shared" si="125"/>
        <v>0</v>
      </c>
      <c r="AG68" s="29" t="e">
        <f t="shared" si="116"/>
        <v>#VALUE!</v>
      </c>
      <c r="AH68" s="4">
        <f t="shared" si="126"/>
        <v>0</v>
      </c>
      <c r="AI68" s="4" t="e">
        <f t="shared" si="117"/>
        <v>#VALUE!</v>
      </c>
      <c r="AJ68" s="4">
        <f t="shared" si="118"/>
        <v>5.0000000000000001E-4</v>
      </c>
      <c r="AK68" s="21" t="e">
        <f>VLOOKUP($D68,Uncertainties!$B$35:$D$41,3,FALSE)</f>
        <v>#N/A</v>
      </c>
      <c r="AL68" s="21"/>
      <c r="AM68" s="371">
        <f>SQRT((VLOOKUP($A68,'5 A data'!$A$5:$AB$1017,7,FALSE)*mutual_ind)^2+(aux_CT_phase*J68)^2)</f>
        <v>0</v>
      </c>
      <c r="AN68" s="29" t="e">
        <f t="shared" si="119"/>
        <v>#VALUE!</v>
      </c>
      <c r="AO68" s="14" t="e">
        <f t="shared" si="120"/>
        <v>#VALUE!</v>
      </c>
      <c r="AP68" s="27" t="e">
        <f t="shared" si="121"/>
        <v>#VALUE!</v>
      </c>
    </row>
    <row r="69" spans="1:42" ht="13.15" customHeight="1" x14ac:dyDescent="0.2">
      <c r="A69" s="69">
        <v>159</v>
      </c>
      <c r="B69" s="5" t="e">
        <f>B61&amp;D69</f>
        <v>#VALUE!</v>
      </c>
      <c r="C69" s="19">
        <f>VLOOKUP($A69,'5 A data'!$A$5:$AB$519,3,FALSE)</f>
        <v>0</v>
      </c>
      <c r="D69" s="166">
        <f>ROUND(VLOOKUP($A69,'5 A data'!$A$5:$AB$519,9,FALSE)/10,0)*10</f>
        <v>0</v>
      </c>
      <c r="E69" s="23">
        <f t="shared" si="122"/>
        <v>0.99936709902044762</v>
      </c>
      <c r="F69" s="23">
        <f t="shared" si="123"/>
        <v>1.0011822386327505</v>
      </c>
      <c r="G69" s="23" t="e">
        <f>VLOOKUP($B69,'844400'!$M$171:$U$237,4,FALSE)/10000</f>
        <v>#VALUE!</v>
      </c>
      <c r="H69" s="23" t="e">
        <f>VLOOKUP($B69,'844400'!$M$171:$U$237,5,FALSE)/10000</f>
        <v>#VALUE!</v>
      </c>
      <c r="I69" s="75">
        <f>VLOOKUP($A69,'5 A data'!$A$5:$AB$519,10,FALSE)</f>
        <v>0</v>
      </c>
      <c r="J69" s="32">
        <f>VLOOKUP($A69,'5 A data'!$A$5:$AB$519,11,FALSE)</f>
        <v>0</v>
      </c>
      <c r="K69" s="22">
        <f t="shared" si="127"/>
        <v>0</v>
      </c>
      <c r="L69" s="22">
        <f t="shared" si="127"/>
        <v>0</v>
      </c>
      <c r="M69" s="31" t="e">
        <f t="shared" si="108"/>
        <v>#VALUE!</v>
      </c>
      <c r="N69" s="31" t="e">
        <f t="shared" si="108"/>
        <v>#VALUE!</v>
      </c>
      <c r="O69" s="20"/>
      <c r="P69" s="376" t="e">
        <f>0.0001*VLOOKUP($B69,'844400'!$M$171:$U$237,6,FALSE)/VLOOKUP($B69,'844400'!$M$171:$U$237,8,FALSE)</f>
        <v>#VALUE!</v>
      </c>
      <c r="Q69" s="59">
        <f>VLOOKUP($A69,'5 A data'!$A$5:$AB$519,7,FALSE)*slidewire_res</f>
        <v>0</v>
      </c>
      <c r="R69" s="349">
        <f t="shared" si="109"/>
        <v>0</v>
      </c>
      <c r="S69" s="4">
        <v>0</v>
      </c>
      <c r="T69" s="21">
        <f t="shared" si="124"/>
        <v>0</v>
      </c>
      <c r="U69" s="29" t="e">
        <f t="shared" si="110"/>
        <v>#VALUE!</v>
      </c>
      <c r="V69" s="29">
        <f t="shared" si="111"/>
        <v>5.0000000000000001E-4</v>
      </c>
      <c r="W69" s="23" t="e">
        <f>VLOOKUP($D69,Uncertainties!$B$35:$D$41,2,FALSE)</f>
        <v>#N/A</v>
      </c>
      <c r="X69" s="23"/>
      <c r="Y69" s="24">
        <f t="shared" si="112"/>
        <v>0</v>
      </c>
      <c r="Z69" s="23" t="e">
        <f t="shared" si="113"/>
        <v>#VALUE!</v>
      </c>
      <c r="AA69" s="25" t="e">
        <f t="shared" si="114"/>
        <v>#VALUE!</v>
      </c>
      <c r="AB69" s="26" t="e">
        <f t="shared" si="115"/>
        <v>#VALUE!</v>
      </c>
      <c r="AC69" s="14"/>
      <c r="AD69" s="253" t="e">
        <f>0.0001*VLOOKUP($B69,'844400'!$M$171:$U$237,7,FALSE)/VLOOKUP($B69,'844400'!$M$171:$U$237,9,FALSE)</f>
        <v>#VALUE!</v>
      </c>
      <c r="AE69" s="368">
        <f>IF(ABS(VLOOKUP($A69,'5 A data'!$A$5:$AB$1017,6,FALSE))&lt;4.5,IF(ABS(VLOOKUP($A69,'5 A data'!$A$5:$AB$1017,6,FALSE))&lt;1.25,0.0008,0.002),0.004)*VLOOKUP($A69,'5 A data'!$A$5:$AB$1017,7,FALSE)*25*RADIANS(1/60)*100</f>
        <v>0</v>
      </c>
      <c r="AF69" s="23">
        <f t="shared" si="125"/>
        <v>0</v>
      </c>
      <c r="AG69" s="29" t="e">
        <f t="shared" si="116"/>
        <v>#VALUE!</v>
      </c>
      <c r="AH69" s="4">
        <f t="shared" si="126"/>
        <v>0</v>
      </c>
      <c r="AI69" s="4" t="e">
        <f t="shared" si="117"/>
        <v>#VALUE!</v>
      </c>
      <c r="AJ69" s="4">
        <f t="shared" si="118"/>
        <v>5.0000000000000001E-4</v>
      </c>
      <c r="AK69" s="21" t="e">
        <f>VLOOKUP($D69,Uncertainties!$B$35:$D$41,3,FALSE)</f>
        <v>#N/A</v>
      </c>
      <c r="AL69" s="21"/>
      <c r="AM69" s="371">
        <f>SQRT((VLOOKUP($A69,'5 A data'!$A$5:$AB$1017,7,FALSE)*mutual_ind)^2+(aux_CT_phase*J69)^2)</f>
        <v>0</v>
      </c>
      <c r="AN69" s="29" t="e">
        <f t="shared" si="119"/>
        <v>#VALUE!</v>
      </c>
      <c r="AO69" s="14" t="e">
        <f t="shared" si="120"/>
        <v>#VALUE!</v>
      </c>
      <c r="AP69" s="27" t="e">
        <f t="shared" si="121"/>
        <v>#VALUE!</v>
      </c>
    </row>
    <row r="70" spans="1:42" ht="13.15" customHeight="1" x14ac:dyDescent="0.2">
      <c r="A70">
        <v>160</v>
      </c>
      <c r="B70" s="5"/>
      <c r="C70" s="19"/>
      <c r="D70" s="19"/>
      <c r="E70" s="23"/>
      <c r="F70" s="23"/>
      <c r="G70" s="23"/>
      <c r="H70" s="23"/>
      <c r="I70" s="75"/>
      <c r="J70" s="32"/>
      <c r="K70" s="31"/>
      <c r="L70" s="31"/>
      <c r="M70" s="533" t="s">
        <v>94</v>
      </c>
      <c r="N70" s="533"/>
      <c r="O70" s="20"/>
      <c r="P70" s="376"/>
      <c r="Q70" s="59"/>
      <c r="R70" s="349"/>
      <c r="S70" s="4"/>
      <c r="T70" s="4"/>
      <c r="U70" s="29"/>
      <c r="V70" s="29"/>
      <c r="W70" s="29"/>
      <c r="X70" s="29"/>
      <c r="Y70" s="24"/>
      <c r="Z70" s="29"/>
      <c r="AA70" s="25"/>
      <c r="AB70" s="26"/>
      <c r="AC70" s="14"/>
      <c r="AD70" s="253"/>
      <c r="AE70" s="35"/>
      <c r="AF70" s="28"/>
      <c r="AG70" s="29"/>
      <c r="AH70" s="4"/>
      <c r="AI70" s="4"/>
      <c r="AJ70" s="4"/>
      <c r="AK70" s="4"/>
      <c r="AL70" s="4"/>
      <c r="AM70" s="24"/>
      <c r="AN70" s="29"/>
      <c r="AO70" s="14"/>
      <c r="AP70" s="27"/>
    </row>
    <row r="71" spans="1:42" ht="13.15" customHeight="1" x14ac:dyDescent="0.2">
      <c r="A71" s="69">
        <v>161</v>
      </c>
      <c r="B71" s="5" t="e">
        <f>B61&amp;D71</f>
        <v>#VALUE!</v>
      </c>
      <c r="C71" s="19">
        <f>VLOOKUP($A71,'5 A data'!$A$5:$AB$519,3,FALSE)</f>
        <v>0</v>
      </c>
      <c r="D71" s="19">
        <f>ROUND(VLOOKUP($A71,'5 A data'!$A$5:$AB$519,9,FALSE),0)</f>
        <v>70</v>
      </c>
      <c r="E71" s="23">
        <f t="shared" si="122"/>
        <v>0.99936709902044762</v>
      </c>
      <c r="F71" s="23">
        <f t="shared" si="123"/>
        <v>1.0011822386327505</v>
      </c>
      <c r="G71" s="23" t="e">
        <f>VLOOKUP($B71,'844400'!$M$171:$U$237,4,FALSE)/10000</f>
        <v>#VALUE!</v>
      </c>
      <c r="H71" s="23" t="e">
        <f>VLOOKUP($B71,'844400'!$M$171:$U$237,5,FALSE)/10000</f>
        <v>#VALUE!</v>
      </c>
      <c r="I71" s="75">
        <f>VLOOKUP($A71,'5 A data'!$A$5:$AB$519,10,FALSE)</f>
        <v>-6.4000000000000003E-3</v>
      </c>
      <c r="J71" s="32">
        <f>VLOOKUP($A71,'5 A data'!$A$5:$AB$519,11,FALSE)</f>
        <v>1.3380857598623192E-2</v>
      </c>
      <c r="K71" s="31"/>
      <c r="L71" s="31"/>
      <c r="M71" s="31" t="e">
        <f t="shared" ref="M71:N77" si="128">I71*E71+G71+K63*(low__burden-$C71)/($C63-$C71)</f>
        <v>#VALUE!</v>
      </c>
      <c r="N71" s="31" t="e">
        <f t="shared" si="128"/>
        <v>#VALUE!</v>
      </c>
      <c r="O71" s="20"/>
      <c r="P71" s="376" t="e">
        <f>0.0001*VLOOKUP($B71,'844400'!$M$171:$U$237,6,FALSE)/VLOOKUP($B71,'844400'!$M$171:$U$237,8,FALSE)</f>
        <v>#VALUE!</v>
      </c>
      <c r="Q71" s="59">
        <f>VLOOKUP($A71,'5 A data'!$A$5:$AB$519,7,FALSE)*slidewire_res</f>
        <v>1E-4</v>
      </c>
      <c r="R71" s="349">
        <f t="shared" ref="R71:R77" si="129">current_coef*(I71-I72)*IF(I72=0,0,1)</f>
        <v>4.3920000000000008E-2</v>
      </c>
      <c r="S71" s="4">
        <v>0</v>
      </c>
      <c r="T71" s="4">
        <f>BurdenUnc*K63</f>
        <v>3.2000000000000003E-4</v>
      </c>
      <c r="U71" s="29" t="e">
        <f t="shared" ref="U71:U77" si="130">0.004*M71</f>
        <v>#VALUE!</v>
      </c>
      <c r="V71" s="29">
        <f t="shared" si="111"/>
        <v>5.0000000000000001E-4</v>
      </c>
      <c r="W71" s="23" t="e">
        <f>VLOOKUP($D71,Uncertainties!$B$35:$D$41,2,FALSE)</f>
        <v>#N/A</v>
      </c>
      <c r="X71" s="23"/>
      <c r="Y71" s="24">
        <f t="shared" ref="Y71:Y77" si="131">I71*aux_CT_ratio</f>
        <v>-5.0935386515867011E-7</v>
      </c>
      <c r="Z71" s="23" t="e">
        <f t="shared" ref="Z71:Z77" si="132">SQRT(SUMSQ(P71:Y71))</f>
        <v>#VALUE!</v>
      </c>
      <c r="AA71" s="25" t="e">
        <f t="shared" ref="AA71:AA77" si="133">DoF_A(P71:Y71,$P$7:$Y$7)</f>
        <v>#VALUE!</v>
      </c>
      <c r="AB71" s="26" t="e">
        <f t="shared" ref="AB71:AB77" si="134">CoverFactor(AA71)</f>
        <v>#VALUE!</v>
      </c>
      <c r="AC71" s="14"/>
      <c r="AD71" s="253" t="e">
        <f>0.0001*VLOOKUP($B71,'844400'!$M$171:$U$237,7,FALSE)/VLOOKUP($B71,'844400'!$M$171:$U$237,9,FALSE)</f>
        <v>#VALUE!</v>
      </c>
      <c r="AE71" s="368">
        <f>IF(ABS(VLOOKUP($A71,'5 A data'!$A$5:$AB$1017,6,FALSE))&lt;4.5,IF(ABS(VLOOKUP($A71,'5 A data'!$A$5:$AB$1017,6,FALSE))&lt;1.25,0.0008,0.002),0.004)*VLOOKUP($A71,'5 A data'!$A$5:$AB$1017,7,FALSE)*25*RADIANS(1/60)*100</f>
        <v>2.9088820866572163E-4</v>
      </c>
      <c r="AF71" s="23">
        <f t="shared" ref="AF71:AF77" si="135">current_coef*(J71-J72)*IF(J72=0,0,1)</f>
        <v>6.1668300237132977E-3</v>
      </c>
      <c r="AG71" s="29" t="e">
        <f t="shared" ref="AG71:AG77" si="136">0.001*N71</f>
        <v>#VALUE!</v>
      </c>
      <c r="AH71" s="4">
        <f>BurdenUnc*L63</f>
        <v>-6.6904287993115963E-4</v>
      </c>
      <c r="AI71" s="4" t="e">
        <f t="shared" ref="AI71:AI77" si="137">0.004*N71</f>
        <v>#VALUE!</v>
      </c>
      <c r="AJ71" s="4">
        <f t="shared" si="118"/>
        <v>5.0000000000000001E-4</v>
      </c>
      <c r="AK71" s="21" t="e">
        <f>VLOOKUP($D71,Uncertainties!$B$35:$D$41,3,FALSE)</f>
        <v>#N/A</v>
      </c>
      <c r="AL71" s="21"/>
      <c r="AM71" s="371">
        <f>SQRT((VLOOKUP($A71,'5 A data'!$A$5:$AB$1017,7,FALSE)*mutual_ind)^2+(aux_CT_phase*J71)^2)</f>
        <v>2.6183165897229559E-4</v>
      </c>
      <c r="AN71" s="29" t="e">
        <f t="shared" ref="AN71:AN77" si="138">SQRT(SUMSQ(AD71:AM71))</f>
        <v>#VALUE!</v>
      </c>
      <c r="AO71" s="14" t="e">
        <f t="shared" ref="AO71:AO77" si="139">DoF_A(AD71:AM71,$AD$7:$AM$7)</f>
        <v>#VALUE!</v>
      </c>
      <c r="AP71" s="27" t="e">
        <f t="shared" si="121"/>
        <v>#VALUE!</v>
      </c>
    </row>
    <row r="72" spans="1:42" ht="13.15" customHeight="1" x14ac:dyDescent="0.2">
      <c r="A72">
        <v>162</v>
      </c>
      <c r="B72" s="5" t="e">
        <f>B61&amp;D72</f>
        <v>#VALUE!</v>
      </c>
      <c r="C72" s="19">
        <f>VLOOKUP($A72,'5 A data'!$A$5:$AB$519,3,FALSE)</f>
        <v>0</v>
      </c>
      <c r="D72" s="165">
        <f>ROUND(VLOOKUP($A72,'5 A data'!$A$5:$AB$519,9,FALSE)/10,0)*10</f>
        <v>70</v>
      </c>
      <c r="E72" s="23">
        <f t="shared" si="122"/>
        <v>0.99936709902044762</v>
      </c>
      <c r="F72" s="23">
        <f t="shared" si="123"/>
        <v>1.0011822386327505</v>
      </c>
      <c r="G72" s="23" t="e">
        <f>VLOOKUP($B72,'844400'!$M$171:$U$237,4,FALSE)/10000</f>
        <v>#VALUE!</v>
      </c>
      <c r="H72" s="23" t="e">
        <f>VLOOKUP($B72,'844400'!$M$171:$U$237,5,FALSE)/10000</f>
        <v>#VALUE!</v>
      </c>
      <c r="I72" s="75">
        <f>VLOOKUP($A72,'5 A data'!$A$5:$AB$519,10,FALSE)</f>
        <v>-0.22600000000000001</v>
      </c>
      <c r="J72" s="32">
        <f>VLOOKUP($A72,'5 A data'!$A$5:$AB$519,11,FALSE)</f>
        <v>-1.7453292519943295E-2</v>
      </c>
      <c r="K72" s="31"/>
      <c r="L72" s="31"/>
      <c r="M72" s="31" t="e">
        <f t="shared" si="128"/>
        <v>#VALUE!</v>
      </c>
      <c r="N72" s="31" t="e">
        <f t="shared" si="128"/>
        <v>#VALUE!</v>
      </c>
      <c r="O72" s="20"/>
      <c r="P72" s="376" t="e">
        <f>0.0001*VLOOKUP($B72,'844400'!$M$171:$U$237,6,FALSE)/VLOOKUP($B72,'844400'!$M$171:$U$237,8,FALSE)</f>
        <v>#VALUE!</v>
      </c>
      <c r="Q72" s="59">
        <f>VLOOKUP($A72,'5 A data'!$A$5:$AB$519,7,FALSE)*slidewire_res</f>
        <v>1E-3</v>
      </c>
      <c r="R72" s="349">
        <f t="shared" si="129"/>
        <v>-4.3880000000000002E-2</v>
      </c>
      <c r="S72" s="4">
        <v>0</v>
      </c>
      <c r="T72" s="4">
        <f t="shared" ref="T72:T77" si="140">BurdenUnc*K64</f>
        <v>1.0980000000000002E-2</v>
      </c>
      <c r="U72" s="29" t="e">
        <f t="shared" si="130"/>
        <v>#VALUE!</v>
      </c>
      <c r="V72" s="29">
        <f t="shared" si="111"/>
        <v>5.0000000000000001E-4</v>
      </c>
      <c r="W72" s="23" t="e">
        <f>VLOOKUP($D72,Uncertainties!$B$35:$D$41,2,FALSE)</f>
        <v>#N/A</v>
      </c>
      <c r="X72" s="23"/>
      <c r="Y72" s="24">
        <f t="shared" si="131"/>
        <v>-1.7986558363415539E-5</v>
      </c>
      <c r="Z72" s="23" t="e">
        <f t="shared" si="132"/>
        <v>#VALUE!</v>
      </c>
      <c r="AA72" s="25" t="e">
        <f t="shared" si="133"/>
        <v>#VALUE!</v>
      </c>
      <c r="AB72" s="26" t="e">
        <f t="shared" si="134"/>
        <v>#VALUE!</v>
      </c>
      <c r="AC72" s="14"/>
      <c r="AD72" s="253" t="e">
        <f>0.0001*VLOOKUP($B72,'844400'!$M$171:$U$237,7,FALSE)/VLOOKUP($B72,'844400'!$M$171:$U$237,9,FALSE)</f>
        <v>#VALUE!</v>
      </c>
      <c r="AE72" s="368">
        <f>IF(ABS(VLOOKUP($A72,'5 A data'!$A$5:$AB$1017,6,FALSE))&lt;4.5,IF(ABS(VLOOKUP($A72,'5 A data'!$A$5:$AB$1017,6,FALSE))&lt;1.25,0.0008,0.002),0.004)*VLOOKUP($A72,'5 A data'!$A$5:$AB$1017,7,FALSE)*25*RADIANS(1/60)*100</f>
        <v>5.8177641733144327E-4</v>
      </c>
      <c r="AF72" s="23">
        <f t="shared" si="135"/>
        <v>-5.9922970985138643E-3</v>
      </c>
      <c r="AG72" s="29" t="e">
        <f t="shared" si="136"/>
        <v>#VALUE!</v>
      </c>
      <c r="AH72" s="4">
        <f t="shared" ref="AH72:AH77" si="141">BurdenUnc*L64</f>
        <v>1.5417075059283244E-3</v>
      </c>
      <c r="AI72" s="4" t="e">
        <f t="shared" si="137"/>
        <v>#VALUE!</v>
      </c>
      <c r="AJ72" s="4">
        <f t="shared" si="118"/>
        <v>5.0000000000000001E-4</v>
      </c>
      <c r="AK72" s="21" t="e">
        <f>VLOOKUP($D72,Uncertainties!$B$35:$D$41,3,FALSE)</f>
        <v>#N/A</v>
      </c>
      <c r="AL72" s="21"/>
      <c r="AM72" s="371">
        <f>SQRT((VLOOKUP($A72,'5 A data'!$A$5:$AB$1017,7,FALSE)*mutual_ind)^2+(aux_CT_phase*J72)^2)</f>
        <v>2.6179993686938491E-3</v>
      </c>
      <c r="AN72" s="29" t="e">
        <f t="shared" si="138"/>
        <v>#VALUE!</v>
      </c>
      <c r="AO72" s="14" t="e">
        <f t="shared" si="139"/>
        <v>#VALUE!</v>
      </c>
      <c r="AP72" s="27" t="e">
        <f t="shared" si="121"/>
        <v>#VALUE!</v>
      </c>
    </row>
    <row r="73" spans="1:42" ht="13.15" customHeight="1" x14ac:dyDescent="0.2">
      <c r="A73" s="69">
        <v>163</v>
      </c>
      <c r="B73" s="5" t="e">
        <f>B61&amp;D73</f>
        <v>#VALUE!</v>
      </c>
      <c r="C73" s="19">
        <f>VLOOKUP($A73,'5 A data'!$A$5:$AB$519,3,FALSE)</f>
        <v>0</v>
      </c>
      <c r="D73" s="165">
        <f>ROUND(VLOOKUP($A73,'5 A data'!$A$5:$AB$519,9,FALSE)/10,0)*10</f>
        <v>100</v>
      </c>
      <c r="E73" s="23">
        <f t="shared" si="122"/>
        <v>0.99936709902044762</v>
      </c>
      <c r="F73" s="23">
        <f t="shared" si="123"/>
        <v>1.0011822386327505</v>
      </c>
      <c r="G73" s="23" t="e">
        <f>VLOOKUP($B73,'844400'!$M$171:$U$237,4,FALSE)/10000</f>
        <v>#VALUE!</v>
      </c>
      <c r="H73" s="23" t="e">
        <f>VLOOKUP($B73,'844400'!$M$171:$U$237,5,FALSE)/10000</f>
        <v>#VALUE!</v>
      </c>
      <c r="I73" s="75">
        <f>VLOOKUP($A73,'5 A data'!$A$5:$AB$519,10,FALSE)</f>
        <v>-6.6000000000000008E-3</v>
      </c>
      <c r="J73" s="32">
        <f>VLOOKUP($A73,'5 A data'!$A$5:$AB$519,11,FALSE)</f>
        <v>1.2508192972626028E-2</v>
      </c>
      <c r="K73" s="31"/>
      <c r="L73" s="31"/>
      <c r="M73" s="31" t="e">
        <f t="shared" si="128"/>
        <v>#VALUE!</v>
      </c>
      <c r="N73" s="31" t="e">
        <f t="shared" si="128"/>
        <v>#VALUE!</v>
      </c>
      <c r="O73" s="20"/>
      <c r="P73" s="376" t="e">
        <f>0.0001*VLOOKUP($B73,'844400'!$M$171:$U$237,6,FALSE)/VLOOKUP($B73,'844400'!$M$171:$U$237,8,FALSE)</f>
        <v>#VALUE!</v>
      </c>
      <c r="Q73" s="59">
        <f>VLOOKUP($A73,'5 A data'!$A$5:$AB$519,7,FALSE)*slidewire_res</f>
        <v>1E-4</v>
      </c>
      <c r="R73" s="349">
        <f t="shared" si="129"/>
        <v>4.4080000000000008E-2</v>
      </c>
      <c r="S73" s="4">
        <v>0</v>
      </c>
      <c r="T73" s="4">
        <f t="shared" si="140"/>
        <v>-1.1000000000000001E-3</v>
      </c>
      <c r="U73" s="29" t="e">
        <f t="shared" si="130"/>
        <v>#VALUE!</v>
      </c>
      <c r="V73" s="29">
        <f t="shared" si="111"/>
        <v>5.0000000000000001E-4</v>
      </c>
      <c r="W73" s="23">
        <f>VLOOKUP($D73,Uncertainties!$B$35:$D$41,2,FALSE)</f>
        <v>0</v>
      </c>
      <c r="X73" s="23"/>
      <c r="Y73" s="24">
        <f t="shared" si="131"/>
        <v>-5.2527117344487866E-7</v>
      </c>
      <c r="Z73" s="23" t="e">
        <f t="shared" si="132"/>
        <v>#VALUE!</v>
      </c>
      <c r="AA73" s="25" t="e">
        <f t="shared" si="133"/>
        <v>#VALUE!</v>
      </c>
      <c r="AB73" s="26" t="e">
        <f t="shared" si="134"/>
        <v>#VALUE!</v>
      </c>
      <c r="AC73" s="14"/>
      <c r="AD73" s="253" t="e">
        <f>0.0001*VLOOKUP($B73,'844400'!$M$171:$U$237,7,FALSE)/VLOOKUP($B73,'844400'!$M$171:$U$237,9,FALSE)</f>
        <v>#VALUE!</v>
      </c>
      <c r="AE73" s="368">
        <f>IF(ABS(VLOOKUP($A73,'5 A data'!$A$5:$AB$1017,6,FALSE))&lt;4.5,IF(ABS(VLOOKUP($A73,'5 A data'!$A$5:$AB$1017,6,FALSE))&lt;1.25,0.0008,0.002),0.004)*VLOOKUP($A73,'5 A data'!$A$5:$AB$1017,7,FALSE)*25*RADIANS(1/60)*100</f>
        <v>1.4544410433286082E-4</v>
      </c>
      <c r="AF73" s="23">
        <f t="shared" si="135"/>
        <v>4.8287442638509787E-3</v>
      </c>
      <c r="AG73" s="29" t="e">
        <f t="shared" si="136"/>
        <v>#VALUE!</v>
      </c>
      <c r="AH73" s="4">
        <f t="shared" si="141"/>
        <v>-1.4544410433285986E-5</v>
      </c>
      <c r="AI73" s="4" t="e">
        <f t="shared" si="137"/>
        <v>#VALUE!</v>
      </c>
      <c r="AJ73" s="4">
        <f t="shared" si="118"/>
        <v>5.0000000000000001E-4</v>
      </c>
      <c r="AK73" s="21">
        <f>VLOOKUP($D73,Uncertainties!$B$35:$D$41,3,FALSE)</f>
        <v>0</v>
      </c>
      <c r="AL73" s="21"/>
      <c r="AM73" s="371">
        <f>SQRT((VLOOKUP($A73,'5 A data'!$A$5:$AB$1017,7,FALSE)*mutual_ind)^2+(aux_CT_phase*J73)^2)</f>
        <v>2.6182758716736579E-4</v>
      </c>
      <c r="AN73" s="29" t="e">
        <f t="shared" si="138"/>
        <v>#VALUE!</v>
      </c>
      <c r="AO73" s="14" t="e">
        <f t="shared" si="139"/>
        <v>#VALUE!</v>
      </c>
      <c r="AP73" s="27" t="e">
        <f t="shared" si="121"/>
        <v>#VALUE!</v>
      </c>
    </row>
    <row r="74" spans="1:42" ht="13.15" customHeight="1" x14ac:dyDescent="0.2">
      <c r="A74">
        <v>164</v>
      </c>
      <c r="B74" s="5" t="e">
        <f>B61&amp;D74</f>
        <v>#VALUE!</v>
      </c>
      <c r="C74" s="19">
        <f>VLOOKUP($A74,'5 A data'!$A$5:$AB$519,3,FALSE)</f>
        <v>0</v>
      </c>
      <c r="D74" s="165">
        <f>ROUND(VLOOKUP($A74,'5 A data'!$A$5:$AB$519,9,FALSE)/10,0)*10</f>
        <v>100</v>
      </c>
      <c r="E74" s="23">
        <f t="shared" si="122"/>
        <v>0.99936709902044762</v>
      </c>
      <c r="F74" s="23">
        <f t="shared" si="123"/>
        <v>1.0011822386327505</v>
      </c>
      <c r="G74" s="23" t="e">
        <f>VLOOKUP($B74,'844400'!$M$171:$U$237,4,FALSE)/10000</f>
        <v>#VALUE!</v>
      </c>
      <c r="H74" s="23" t="e">
        <f>VLOOKUP($B74,'844400'!$M$171:$U$237,5,FALSE)/10000</f>
        <v>#VALUE!</v>
      </c>
      <c r="I74" s="75">
        <f>VLOOKUP($A74,'5 A data'!$A$5:$AB$519,10,FALSE)</f>
        <v>-0.22700000000000001</v>
      </c>
      <c r="J74" s="32">
        <f>VLOOKUP($A74,'5 A data'!$A$5:$AB$519,11,FALSE)</f>
        <v>-1.1635528346628864E-2</v>
      </c>
      <c r="K74" s="31"/>
      <c r="L74" s="31"/>
      <c r="M74" s="31" t="e">
        <f t="shared" si="128"/>
        <v>#VALUE!</v>
      </c>
      <c r="N74" s="31" t="e">
        <f t="shared" si="128"/>
        <v>#VALUE!</v>
      </c>
      <c r="O74" s="20"/>
      <c r="P74" s="376" t="e">
        <f>0.0001*VLOOKUP($B74,'844400'!$M$171:$U$237,6,FALSE)/VLOOKUP($B74,'844400'!$M$171:$U$237,8,FALSE)</f>
        <v>#VALUE!</v>
      </c>
      <c r="Q74" s="59">
        <f>VLOOKUP($A74,'5 A data'!$A$5:$AB$519,7,FALSE)*slidewire_res</f>
        <v>1E-3</v>
      </c>
      <c r="R74" s="349">
        <f t="shared" si="129"/>
        <v>0</v>
      </c>
      <c r="S74" s="4">
        <v>0</v>
      </c>
      <c r="T74" s="4">
        <f t="shared" si="140"/>
        <v>1.1025E-2</v>
      </c>
      <c r="U74" s="29" t="e">
        <f t="shared" si="130"/>
        <v>#VALUE!</v>
      </c>
      <c r="V74" s="29">
        <f t="shared" si="111"/>
        <v>5.0000000000000001E-4</v>
      </c>
      <c r="W74" s="23">
        <f>VLOOKUP($D74,Uncertainties!$B$35:$D$41,2,FALSE)</f>
        <v>0</v>
      </c>
      <c r="X74" s="23"/>
      <c r="Y74" s="24">
        <f t="shared" si="131"/>
        <v>-1.8066144904846581E-5</v>
      </c>
      <c r="Z74" s="23" t="e">
        <f t="shared" si="132"/>
        <v>#VALUE!</v>
      </c>
      <c r="AA74" s="25" t="e">
        <f t="shared" si="133"/>
        <v>#VALUE!</v>
      </c>
      <c r="AB74" s="26" t="e">
        <f t="shared" si="134"/>
        <v>#VALUE!</v>
      </c>
      <c r="AC74" s="14"/>
      <c r="AD74" s="253" t="e">
        <f>0.0001*VLOOKUP($B74,'844400'!$M$171:$U$237,7,FALSE)/VLOOKUP($B74,'844400'!$M$171:$U$237,9,FALSE)</f>
        <v>#VALUE!</v>
      </c>
      <c r="AE74" s="368">
        <f>IF(ABS(VLOOKUP($A74,'5 A data'!$A$5:$AB$1017,6,FALSE))&lt;4.5,IF(ABS(VLOOKUP($A74,'5 A data'!$A$5:$AB$1017,6,FALSE))&lt;1.25,0.0008,0.002),0.004)*VLOOKUP($A74,'5 A data'!$A$5:$AB$1017,7,FALSE)*25*RADIANS(1/60)*100</f>
        <v>5.8177641733144327E-4</v>
      </c>
      <c r="AF74" s="23">
        <f t="shared" si="135"/>
        <v>0</v>
      </c>
      <c r="AG74" s="29" t="e">
        <f t="shared" si="136"/>
        <v>#VALUE!</v>
      </c>
      <c r="AH74" s="4">
        <f t="shared" si="141"/>
        <v>1.2217304763960308E-3</v>
      </c>
      <c r="AI74" s="4" t="e">
        <f t="shared" si="137"/>
        <v>#VALUE!</v>
      </c>
      <c r="AJ74" s="4">
        <f t="shared" si="118"/>
        <v>5.0000000000000001E-4</v>
      </c>
      <c r="AK74" s="21">
        <f>VLOOKUP($D74,Uncertainties!$B$35:$D$41,3,FALSE)</f>
        <v>0</v>
      </c>
      <c r="AL74" s="21"/>
      <c r="AM74" s="371">
        <f>SQRT((VLOOKUP($A74,'5 A data'!$A$5:$AB$1017,7,FALSE)*mutual_ind)^2+(aux_CT_phase*J74)^2)</f>
        <v>2.6179963183050737E-3</v>
      </c>
      <c r="AN74" s="29" t="e">
        <f t="shared" si="138"/>
        <v>#VALUE!</v>
      </c>
      <c r="AO74" s="14" t="e">
        <f t="shared" si="139"/>
        <v>#VALUE!</v>
      </c>
      <c r="AP74" s="27" t="e">
        <f t="shared" si="121"/>
        <v>#VALUE!</v>
      </c>
    </row>
    <row r="75" spans="1:42" ht="13.15" customHeight="1" x14ac:dyDescent="0.2">
      <c r="A75" s="69">
        <v>165</v>
      </c>
      <c r="B75" s="5" t="e">
        <f>B61&amp;D75</f>
        <v>#VALUE!</v>
      </c>
      <c r="C75" s="19">
        <f>VLOOKUP($A75,'5 A data'!$A$5:$AB$519,3,FALSE)</f>
        <v>0</v>
      </c>
      <c r="D75" s="165">
        <f>ROUND(VLOOKUP($A75,'5 A data'!$A$5:$AB$519,9,FALSE)/10,0)*10</f>
        <v>0</v>
      </c>
      <c r="E75" s="23">
        <f t="shared" si="122"/>
        <v>0.99936709902044762</v>
      </c>
      <c r="F75" s="23">
        <f t="shared" si="123"/>
        <v>1.0011822386327505</v>
      </c>
      <c r="G75" s="23" t="e">
        <f>VLOOKUP($B75,'844400'!$M$171:$U$237,4,FALSE)/10000</f>
        <v>#VALUE!</v>
      </c>
      <c r="H75" s="23" t="e">
        <f>VLOOKUP($B75,'844400'!$M$171:$U$237,5,FALSE)/10000</f>
        <v>#VALUE!</v>
      </c>
      <c r="I75" s="75">
        <f>VLOOKUP($A75,'5 A data'!$A$5:$AB$519,10,FALSE)</f>
        <v>0</v>
      </c>
      <c r="J75" s="32">
        <f>VLOOKUP($A75,'5 A data'!$A$5:$AB$519,11,FALSE)</f>
        <v>0</v>
      </c>
      <c r="K75" s="31"/>
      <c r="L75" s="31"/>
      <c r="M75" s="31" t="e">
        <f t="shared" si="128"/>
        <v>#VALUE!</v>
      </c>
      <c r="N75" s="31" t="e">
        <f t="shared" si="128"/>
        <v>#VALUE!</v>
      </c>
      <c r="O75" s="20"/>
      <c r="P75" s="376" t="e">
        <f>0.0001*VLOOKUP($B75,'844400'!$M$171:$U$237,6,FALSE)/VLOOKUP($B75,'844400'!$M$171:$U$237,8,FALSE)</f>
        <v>#VALUE!</v>
      </c>
      <c r="Q75" s="59">
        <f>VLOOKUP($A75,'5 A data'!$A$5:$AB$519,7,FALSE)*slidewire_res</f>
        <v>0</v>
      </c>
      <c r="R75" s="349">
        <f t="shared" si="129"/>
        <v>0</v>
      </c>
      <c r="S75" s="4">
        <v>0</v>
      </c>
      <c r="T75" s="4">
        <f t="shared" si="140"/>
        <v>-1.4350000000000001E-3</v>
      </c>
      <c r="U75" s="29" t="e">
        <f t="shared" si="130"/>
        <v>#VALUE!</v>
      </c>
      <c r="V75" s="29">
        <f t="shared" si="111"/>
        <v>5.0000000000000001E-4</v>
      </c>
      <c r="W75" s="23" t="e">
        <f>VLOOKUP($D75,Uncertainties!$B$35:$D$41,2,FALSE)</f>
        <v>#N/A</v>
      </c>
      <c r="X75" s="23"/>
      <c r="Y75" s="24">
        <f t="shared" si="131"/>
        <v>0</v>
      </c>
      <c r="Z75" s="23" t="e">
        <f t="shared" si="132"/>
        <v>#VALUE!</v>
      </c>
      <c r="AA75" s="25" t="e">
        <f t="shared" si="133"/>
        <v>#VALUE!</v>
      </c>
      <c r="AB75" s="26" t="e">
        <f t="shared" si="134"/>
        <v>#VALUE!</v>
      </c>
      <c r="AC75" s="14"/>
      <c r="AD75" s="253" t="e">
        <f>0.0001*VLOOKUP($B75,'844400'!$M$171:$U$237,7,FALSE)/VLOOKUP($B75,'844400'!$M$171:$U$237,9,FALSE)</f>
        <v>#VALUE!</v>
      </c>
      <c r="AE75" s="368">
        <f>IF(ABS(VLOOKUP($A75,'5 A data'!$A$5:$AB$1017,6,FALSE))&lt;4.5,IF(ABS(VLOOKUP($A75,'5 A data'!$A$5:$AB$1017,6,FALSE))&lt;1.25,0.0008,0.002),0.004)*VLOOKUP($A75,'5 A data'!$A$5:$AB$1017,7,FALSE)*25*RADIANS(1/60)*100</f>
        <v>0</v>
      </c>
      <c r="AF75" s="23">
        <f t="shared" si="135"/>
        <v>0</v>
      </c>
      <c r="AG75" s="29" t="e">
        <f t="shared" si="136"/>
        <v>#VALUE!</v>
      </c>
      <c r="AH75" s="4">
        <f t="shared" si="141"/>
        <v>5.5268759646487093E-4</v>
      </c>
      <c r="AI75" s="4" t="e">
        <f t="shared" si="137"/>
        <v>#VALUE!</v>
      </c>
      <c r="AJ75" s="4">
        <f t="shared" si="118"/>
        <v>5.0000000000000001E-4</v>
      </c>
      <c r="AK75" s="21" t="e">
        <f>VLOOKUP($D75,Uncertainties!$B$35:$D$41,3,FALSE)</f>
        <v>#N/A</v>
      </c>
      <c r="AL75" s="21"/>
      <c r="AM75" s="371">
        <f>SQRT((VLOOKUP($A75,'5 A data'!$A$5:$AB$1017,7,FALSE)*mutual_ind)^2+(aux_CT_phase*J75)^2)</f>
        <v>0</v>
      </c>
      <c r="AN75" s="29" t="e">
        <f t="shared" si="138"/>
        <v>#VALUE!</v>
      </c>
      <c r="AO75" s="14" t="e">
        <f t="shared" si="139"/>
        <v>#VALUE!</v>
      </c>
      <c r="AP75" s="27" t="e">
        <f t="shared" si="121"/>
        <v>#VALUE!</v>
      </c>
    </row>
    <row r="76" spans="1:42" ht="13.15" customHeight="1" x14ac:dyDescent="0.2">
      <c r="A76">
        <v>166</v>
      </c>
      <c r="B76" s="5" t="e">
        <f>B61&amp;D76</f>
        <v>#VALUE!</v>
      </c>
      <c r="C76" s="19">
        <f>VLOOKUP($A76,'5 A data'!$A$5:$AB$519,3,FALSE)</f>
        <v>0</v>
      </c>
      <c r="D76" s="166">
        <f>ROUND(VLOOKUP($A76,'5 A data'!$A$5:$AB$519,9,FALSE)/10,0)*10</f>
        <v>0</v>
      </c>
      <c r="E76" s="23">
        <f t="shared" si="122"/>
        <v>0.99936709902044762</v>
      </c>
      <c r="F76" s="23">
        <f t="shared" si="123"/>
        <v>1.0011822386327505</v>
      </c>
      <c r="G76" s="23" t="e">
        <f>VLOOKUP($B76,'844400'!$M$171:$U$237,4,FALSE)/10000</f>
        <v>#VALUE!</v>
      </c>
      <c r="H76" s="23" t="e">
        <f>VLOOKUP($B76,'844400'!$M$171:$U$237,5,FALSE)/10000</f>
        <v>#VALUE!</v>
      </c>
      <c r="I76" s="75">
        <f>VLOOKUP($A76,'5 A data'!$A$5:$AB$519,10,FALSE)</f>
        <v>0</v>
      </c>
      <c r="J76" s="32">
        <f>VLOOKUP($A76,'5 A data'!$A$5:$AB$519,11,FALSE)</f>
        <v>0</v>
      </c>
      <c r="K76" s="31"/>
      <c r="L76" s="31"/>
      <c r="M76" s="31" t="e">
        <f t="shared" si="128"/>
        <v>#VALUE!</v>
      </c>
      <c r="N76" s="31" t="e">
        <f t="shared" si="128"/>
        <v>#VALUE!</v>
      </c>
      <c r="O76" s="20"/>
      <c r="P76" s="376" t="e">
        <f>0.0001*VLOOKUP($B76,'844400'!$M$171:$U$237,6,FALSE)/VLOOKUP($B76,'844400'!$M$171:$U$237,8,FALSE)</f>
        <v>#VALUE!</v>
      </c>
      <c r="Q76" s="59">
        <f>VLOOKUP($A76,'5 A data'!$A$5:$AB$519,7,FALSE)*slidewire_res</f>
        <v>0</v>
      </c>
      <c r="R76" s="349">
        <f t="shared" si="129"/>
        <v>0</v>
      </c>
      <c r="S76" s="4">
        <v>0</v>
      </c>
      <c r="T76" s="4">
        <f t="shared" si="140"/>
        <v>0</v>
      </c>
      <c r="U76" s="29" t="e">
        <f t="shared" si="130"/>
        <v>#VALUE!</v>
      </c>
      <c r="V76" s="29">
        <f t="shared" si="111"/>
        <v>5.0000000000000001E-4</v>
      </c>
      <c r="W76" s="23" t="e">
        <f>VLOOKUP($D76,Uncertainties!$B$35:$D$41,2,FALSE)</f>
        <v>#N/A</v>
      </c>
      <c r="X76" s="23"/>
      <c r="Y76" s="24">
        <f t="shared" si="131"/>
        <v>0</v>
      </c>
      <c r="Z76" s="23" t="e">
        <f t="shared" si="132"/>
        <v>#VALUE!</v>
      </c>
      <c r="AA76" s="25" t="e">
        <f t="shared" si="133"/>
        <v>#VALUE!</v>
      </c>
      <c r="AB76" s="26" t="e">
        <f t="shared" si="134"/>
        <v>#VALUE!</v>
      </c>
      <c r="AC76" s="14"/>
      <c r="AD76" s="253" t="e">
        <f>0.0001*VLOOKUP($B76,'844400'!$M$171:$U$237,7,FALSE)/VLOOKUP($B76,'844400'!$M$171:$U$237,9,FALSE)</f>
        <v>#VALUE!</v>
      </c>
      <c r="AE76" s="368">
        <f>IF(ABS(VLOOKUP($A76,'5 A data'!$A$5:$AB$1017,6,FALSE))&lt;4.5,IF(ABS(VLOOKUP($A76,'5 A data'!$A$5:$AB$1017,6,FALSE))&lt;1.25,0.0008,0.002),0.004)*VLOOKUP($A76,'5 A data'!$A$5:$AB$1017,7,FALSE)*25*RADIANS(1/60)*100</f>
        <v>0</v>
      </c>
      <c r="AF76" s="23">
        <f t="shared" si="135"/>
        <v>0</v>
      </c>
      <c r="AG76" s="29" t="e">
        <f t="shared" si="136"/>
        <v>#VALUE!</v>
      </c>
      <c r="AH76" s="4">
        <f t="shared" si="141"/>
        <v>0</v>
      </c>
      <c r="AI76" s="4" t="e">
        <f t="shared" si="137"/>
        <v>#VALUE!</v>
      </c>
      <c r="AJ76" s="4">
        <f t="shared" si="118"/>
        <v>5.0000000000000001E-4</v>
      </c>
      <c r="AK76" s="21" t="e">
        <f>VLOOKUP($D76,Uncertainties!$B$35:$D$41,3,FALSE)</f>
        <v>#N/A</v>
      </c>
      <c r="AL76" s="21"/>
      <c r="AM76" s="371">
        <f>SQRT((VLOOKUP($A76,'5 A data'!$A$5:$AB$1017,7,FALSE)*mutual_ind)^2+(aux_CT_phase*J76)^2)</f>
        <v>0</v>
      </c>
      <c r="AN76" s="29" t="e">
        <f t="shared" si="138"/>
        <v>#VALUE!</v>
      </c>
      <c r="AO76" s="14" t="e">
        <f t="shared" si="139"/>
        <v>#VALUE!</v>
      </c>
      <c r="AP76" s="27" t="e">
        <f t="shared" si="121"/>
        <v>#VALUE!</v>
      </c>
    </row>
    <row r="77" spans="1:42" ht="13.15" customHeight="1" x14ac:dyDescent="0.2">
      <c r="A77" s="69">
        <v>167</v>
      </c>
      <c r="B77" s="5" t="e">
        <f>B61&amp;D77</f>
        <v>#VALUE!</v>
      </c>
      <c r="C77" s="19" t="str">
        <f>VLOOKUP($A77,'5 A data'!$A$5:$AB$519,3,FALSE)</f>
        <v>1.25VA unity</v>
      </c>
      <c r="D77" s="166">
        <f>ROUND(VLOOKUP($A77,'5 A data'!$A$5:$AB$519,9,FALSE)/10,0)*10</f>
        <v>0</v>
      </c>
      <c r="E77" s="23">
        <f t="shared" si="122"/>
        <v>0.99936709902044762</v>
      </c>
      <c r="F77" s="23">
        <f t="shared" si="123"/>
        <v>1.0011822386327505</v>
      </c>
      <c r="G77" s="23" t="e">
        <f>VLOOKUP($B77,'844400'!$M$171:$U$237,4,FALSE)/10000</f>
        <v>#VALUE!</v>
      </c>
      <c r="H77" s="23" t="e">
        <f>VLOOKUP($B77,'844400'!$M$171:$U$237,5,FALSE)/10000</f>
        <v>#VALUE!</v>
      </c>
      <c r="I77" s="75">
        <f>VLOOKUP($A77,'5 A data'!$A$5:$AB$519,10,FALSE)</f>
        <v>0</v>
      </c>
      <c r="J77" s="32">
        <f>VLOOKUP($A77,'5 A data'!$A$5:$AB$519,11,FALSE)</f>
        <v>0</v>
      </c>
      <c r="K77" s="31"/>
      <c r="L77" s="31"/>
      <c r="M77" s="31" t="e">
        <f t="shared" si="128"/>
        <v>#VALUE!</v>
      </c>
      <c r="N77" s="31" t="e">
        <f t="shared" si="128"/>
        <v>#VALUE!</v>
      </c>
      <c r="O77" s="20"/>
      <c r="P77" s="376" t="e">
        <f>0.0001*VLOOKUP($B77,'844400'!$M$171:$U$237,6,FALSE)/VLOOKUP($B77,'844400'!$M$171:$U$237,8,FALSE)</f>
        <v>#VALUE!</v>
      </c>
      <c r="Q77" s="59">
        <f>VLOOKUP($A77,'5 A data'!$A$5:$AB$519,7,FALSE)*slidewire_res</f>
        <v>0</v>
      </c>
      <c r="R77" s="349">
        <f t="shared" si="129"/>
        <v>0</v>
      </c>
      <c r="S77" s="4">
        <v>0</v>
      </c>
      <c r="T77" s="4">
        <f t="shared" si="140"/>
        <v>0</v>
      </c>
      <c r="U77" s="29" t="e">
        <f t="shared" si="130"/>
        <v>#VALUE!</v>
      </c>
      <c r="V77" s="29">
        <f t="shared" si="111"/>
        <v>5.0000000000000001E-4</v>
      </c>
      <c r="W77" s="23" t="e">
        <f>VLOOKUP($D77,Uncertainties!$B$35:$D$41,2,FALSE)</f>
        <v>#N/A</v>
      </c>
      <c r="X77" s="23"/>
      <c r="Y77" s="24">
        <f t="shared" si="131"/>
        <v>0</v>
      </c>
      <c r="Z77" s="23" t="e">
        <f t="shared" si="132"/>
        <v>#VALUE!</v>
      </c>
      <c r="AA77" s="25" t="e">
        <f t="shared" si="133"/>
        <v>#VALUE!</v>
      </c>
      <c r="AB77" s="26" t="e">
        <f t="shared" si="134"/>
        <v>#VALUE!</v>
      </c>
      <c r="AC77" s="14"/>
      <c r="AD77" s="253" t="e">
        <f>0.0001*VLOOKUP($B77,'844400'!$M$171:$U$237,7,FALSE)/VLOOKUP($B77,'844400'!$M$171:$U$237,9,FALSE)</f>
        <v>#VALUE!</v>
      </c>
      <c r="AE77" s="368">
        <f>IF(ABS(VLOOKUP($A77,'5 A data'!$A$5:$AB$1017,6,FALSE))&lt;4.5,IF(ABS(VLOOKUP($A77,'5 A data'!$A$5:$AB$1017,6,FALSE))&lt;1.25,0.0008,0.002),0.004)*VLOOKUP($A77,'5 A data'!$A$5:$AB$1017,7,FALSE)*25*RADIANS(1/60)*100</f>
        <v>0</v>
      </c>
      <c r="AF77" s="23">
        <f t="shared" si="135"/>
        <v>0</v>
      </c>
      <c r="AG77" s="29" t="e">
        <f t="shared" si="136"/>
        <v>#VALUE!</v>
      </c>
      <c r="AH77" s="4">
        <f t="shared" si="141"/>
        <v>0</v>
      </c>
      <c r="AI77" s="4" t="e">
        <f t="shared" si="137"/>
        <v>#VALUE!</v>
      </c>
      <c r="AJ77" s="4">
        <f t="shared" si="118"/>
        <v>5.0000000000000001E-4</v>
      </c>
      <c r="AK77" s="21" t="e">
        <f>VLOOKUP($D77,Uncertainties!$B$35:$D$41,3,FALSE)</f>
        <v>#N/A</v>
      </c>
      <c r="AL77" s="21"/>
      <c r="AM77" s="371">
        <f>SQRT((VLOOKUP($A77,'5 A data'!$A$5:$AB$1017,7,FALSE)*mutual_ind)^2+(aux_CT_phase*J77)^2)</f>
        <v>0</v>
      </c>
      <c r="AN77" s="29" t="e">
        <f t="shared" si="138"/>
        <v>#VALUE!</v>
      </c>
      <c r="AO77" s="14" t="e">
        <f t="shared" si="139"/>
        <v>#VALUE!</v>
      </c>
      <c r="AP77" s="27" t="e">
        <f t="shared" si="121"/>
        <v>#VALUE!</v>
      </c>
    </row>
    <row r="78" spans="1:42" ht="13.15" customHeight="1" x14ac:dyDescent="0.2">
      <c r="A78">
        <v>168</v>
      </c>
      <c r="P78" s="100"/>
      <c r="R78" s="42"/>
      <c r="Z78" s="29"/>
      <c r="AD78" s="252"/>
      <c r="AN78" s="29"/>
    </row>
    <row r="79" spans="1:42" ht="13.15" customHeight="1" x14ac:dyDescent="0.2">
      <c r="A79" s="69">
        <v>169</v>
      </c>
      <c r="B79" s="161" t="e">
        <f>MID(D79,FIND("AT range",D79,1)-5,4)</f>
        <v>#VALUE!</v>
      </c>
      <c r="C79" t="s">
        <v>114</v>
      </c>
      <c r="D79" s="163" t="str">
        <f>VLOOKUP($A79,'5 A data'!$A$5:$AB$418,2,FALSE)</f>
        <v>burden test, xx ohms, yy ohms on</v>
      </c>
      <c r="E79" s="160"/>
      <c r="F79" s="160"/>
      <c r="G79" s="160"/>
      <c r="H79" s="160"/>
      <c r="I79" s="160"/>
      <c r="J79" s="160"/>
      <c r="K79" s="160"/>
      <c r="P79" s="100"/>
      <c r="R79" s="42"/>
      <c r="Z79" s="29"/>
      <c r="AA79" s="25"/>
      <c r="AD79" s="252"/>
      <c r="AN79" s="29"/>
      <c r="AO79" s="14"/>
    </row>
    <row r="80" spans="1:42" ht="13.15" customHeight="1" x14ac:dyDescent="0.2">
      <c r="A80">
        <v>170</v>
      </c>
      <c r="C80" s="19"/>
      <c r="M80" s="533" t="s">
        <v>161</v>
      </c>
      <c r="N80" s="533"/>
      <c r="O80" s="19"/>
      <c r="P80" s="100"/>
      <c r="R80" s="42"/>
      <c r="Z80" s="29"/>
      <c r="AA80" s="25"/>
      <c r="AD80" s="252"/>
      <c r="AN80" s="29"/>
      <c r="AO80" s="14"/>
    </row>
    <row r="81" spans="1:42" ht="13.15" customHeight="1" x14ac:dyDescent="0.2">
      <c r="A81" s="69">
        <v>171</v>
      </c>
      <c r="B81" s="5" t="e">
        <f>B79&amp;D81</f>
        <v>#VALUE!</v>
      </c>
      <c r="C81" s="19">
        <f>VLOOKUP($A81,'5 A data'!$A$5:$AB$419,3,FALSE)</f>
        <v>0</v>
      </c>
      <c r="D81" s="19">
        <f>ROUND(VLOOKUP($A81,'5 A data'!$A$5:$AB$519,9,FALSE),0)</f>
        <v>100</v>
      </c>
      <c r="E81" s="23">
        <f>TestSetRatioCor</f>
        <v>0.99936709902044762</v>
      </c>
      <c r="F81" s="23">
        <f>TestSetPhaseCor</f>
        <v>1.0011822386327505</v>
      </c>
      <c r="G81" s="23" t="e">
        <f>VLOOKUP($B81,'844400'!$M$171:$U$237,4,FALSE)/10000</f>
        <v>#VALUE!</v>
      </c>
      <c r="H81" s="23" t="e">
        <f>VLOOKUP($B81,'844400'!$M$171:$U$237,5,FALSE)/10000</f>
        <v>#VALUE!</v>
      </c>
      <c r="I81" s="19">
        <f>VLOOKUP($A81,'5 A data'!$A$5:$AB$519,10,FALSE)</f>
        <v>-0.72599999999999998</v>
      </c>
      <c r="J81" s="32">
        <f>VLOOKUP($A81,'5 A data'!$A$5:$AB$519,11,FALSE)</f>
        <v>-2.0943951023931956E-2</v>
      </c>
      <c r="K81" s="22">
        <f t="shared" ref="K81:L83" si="142">I81-I89</f>
        <v>-0.72599999999999998</v>
      </c>
      <c r="L81" s="22">
        <f t="shared" si="142"/>
        <v>-2.0943951023931956E-2</v>
      </c>
      <c r="M81" s="31" t="e">
        <f t="shared" ref="M81:N83" si="143">I81*E81+G81-K81*($C81-high_burden)/($C81-$C89)</f>
        <v>#VALUE!</v>
      </c>
      <c r="N81" s="31" t="e">
        <f t="shared" si="143"/>
        <v>#VALUE!</v>
      </c>
      <c r="O81" s="20"/>
      <c r="P81" s="376" t="e">
        <f>0.0001*VLOOKUP($B81,'844400'!$M$171:$U$237,6,FALSE)/VLOOKUP($B81,'844400'!$M$171:$U$237,8,FALSE)</f>
        <v>#VALUE!</v>
      </c>
      <c r="Q81" s="59">
        <f>VLOOKUP($A81,'5 A data'!$A$5:$AB$519,7,FALSE)*slidewire_res</f>
        <v>2E-3</v>
      </c>
      <c r="R81" s="349">
        <f t="shared" ref="R81:R87" si="144">current_coef*(I81-I82)*IF(I82=0,0,1)</f>
        <v>0</v>
      </c>
      <c r="S81" s="21">
        <v>0</v>
      </c>
      <c r="T81" s="21">
        <f>BurdenUnc*K81</f>
        <v>-3.6299999999999999E-2</v>
      </c>
      <c r="U81" s="23" t="e">
        <f t="shared" ref="U81:U87" si="145">0.004*M81</f>
        <v>#VALUE!</v>
      </c>
      <c r="V81" s="23">
        <f t="shared" ref="V81:V95" si="146">earthing_Re</f>
        <v>5.0000000000000001E-4</v>
      </c>
      <c r="W81" s="23">
        <f>VLOOKUP($D81,Uncertainties!$B$35:$D$41,2,FALSE)</f>
        <v>0</v>
      </c>
      <c r="X81" s="23"/>
      <c r="Y81" s="24">
        <f t="shared" ref="Y81:Y87" si="147">I81*aux_CT_ratio</f>
        <v>-5.7779829078936638E-5</v>
      </c>
      <c r="Z81" s="23" t="e">
        <f t="shared" ref="Z81:Z87" si="148">SQRT(SUMSQ(P81:Y81))</f>
        <v>#VALUE!</v>
      </c>
      <c r="AA81" s="25" t="e">
        <f t="shared" ref="AA81:AA87" si="149">DoF_A(P81:Y81,$P$7:$Y$7)</f>
        <v>#VALUE!</v>
      </c>
      <c r="AB81" s="26" t="e">
        <f t="shared" ref="AB81:AB87" si="150">CoverFactor(AA81)</f>
        <v>#VALUE!</v>
      </c>
      <c r="AC81" s="14"/>
      <c r="AD81" s="253" t="e">
        <f>0.0001*VLOOKUP($B81,'844400'!$M$171:$U$237,7,FALSE)/VLOOKUP($B81,'844400'!$M$171:$U$237,9,FALSE)</f>
        <v>#VALUE!</v>
      </c>
      <c r="AE81" s="368">
        <f>IF(ABS(VLOOKUP($A81,'5 A data'!$A$5:$AB$1017,6,FALSE))&lt;4.5,IF(ABS(VLOOKUP($A81,'5 A data'!$A$5:$AB$1017,6,FALSE))&lt;1.25,0.0008,0.002),0.004)*VLOOKUP($A81,'5 A data'!$A$5:$AB$1017,7,FALSE)*25*RADIANS(1/60)*100</f>
        <v>1.1635528346628865E-3</v>
      </c>
      <c r="AF81" s="23">
        <f>current_coef*(J81-J82)*IF(J82=0,0,1)</f>
        <v>0</v>
      </c>
      <c r="AG81" s="29" t="e">
        <f t="shared" ref="AG81:AG87" si="151">0.001*N81</f>
        <v>#VALUE!</v>
      </c>
      <c r="AH81" s="4">
        <f>BurdenUnc*L81</f>
        <v>-1.0471975511965978E-3</v>
      </c>
      <c r="AI81" s="4" t="e">
        <f t="shared" ref="AI81:AI87" si="152">0.004*N81</f>
        <v>#VALUE!</v>
      </c>
      <c r="AJ81" s="4">
        <f t="shared" ref="AJ81:AJ95" si="153">earthing_Im</f>
        <v>5.0000000000000001E-4</v>
      </c>
      <c r="AK81" s="21">
        <f>VLOOKUP($D81,Uncertainties!$B$35:$D$41,3,FALSE)</f>
        <v>0</v>
      </c>
      <c r="AL81" s="21"/>
      <c r="AM81" s="371">
        <f>SQRT((VLOOKUP($A81,'5 A data'!$A$5:$AB$1017,7,FALSE)*mutual_ind)^2+(aux_CT_phase*J81)^2)</f>
        <v>5.2359917092913372E-3</v>
      </c>
      <c r="AN81" s="29" t="e">
        <f>SQRT(SUMSQ(AD81:AM81))</f>
        <v>#VALUE!</v>
      </c>
      <c r="AO81" s="14" t="e">
        <f>DoF_A(AD81:AM81,$AD$7:$AM$7)</f>
        <v>#VALUE!</v>
      </c>
      <c r="AP81" s="27" t="e">
        <f t="shared" ref="AP81:AP95" si="154">CoverFactor(AO81)</f>
        <v>#VALUE!</v>
      </c>
    </row>
    <row r="82" spans="1:42" ht="13.15" customHeight="1" x14ac:dyDescent="0.2">
      <c r="A82">
        <v>172</v>
      </c>
      <c r="B82" s="5" t="e">
        <f>B79&amp;D82</f>
        <v>#VALUE!</v>
      </c>
      <c r="C82" s="19">
        <f>VLOOKUP($A82,'5 A data'!$A$5:$AB$519,3,FALSE)</f>
        <v>0</v>
      </c>
      <c r="D82" s="165">
        <f>ROUND(VLOOKUP($A82,'5 A data'!$A$5:$AB$519,9,FALSE)/10,0)*10</f>
        <v>0</v>
      </c>
      <c r="E82" s="23">
        <f t="shared" ref="E82:E95" si="155">TestSetRatioCor</f>
        <v>0.99936709902044762</v>
      </c>
      <c r="F82" s="23">
        <f t="shared" ref="F82:F95" si="156">TestSetPhaseCor</f>
        <v>1.0011822386327505</v>
      </c>
      <c r="G82" s="23" t="e">
        <f>VLOOKUP($B82,'844400'!$M$171:$U$237,4,FALSE)/10000</f>
        <v>#VALUE!</v>
      </c>
      <c r="H82" s="23" t="e">
        <f>VLOOKUP($B82,'844400'!$M$171:$U$237,5,FALSE)/10000</f>
        <v>#VALUE!</v>
      </c>
      <c r="I82" s="19">
        <f>VLOOKUP($A82,'5 A data'!$A$5:$AB$519,10,FALSE)</f>
        <v>0</v>
      </c>
      <c r="J82" s="32">
        <f>VLOOKUP($A82,'5 A data'!$A$5:$AB$519,11,FALSE)</f>
        <v>0</v>
      </c>
      <c r="K82" s="22">
        <f t="shared" si="142"/>
        <v>0</v>
      </c>
      <c r="L82" s="22">
        <f t="shared" si="142"/>
        <v>0</v>
      </c>
      <c r="M82" s="31" t="e">
        <f t="shared" si="143"/>
        <v>#VALUE!</v>
      </c>
      <c r="N82" s="31" t="e">
        <f t="shared" si="143"/>
        <v>#VALUE!</v>
      </c>
      <c r="O82" s="20"/>
      <c r="P82" s="376" t="e">
        <f>0.0001*VLOOKUP($B82,'844400'!$M$171:$U$237,6,FALSE)/VLOOKUP($B82,'844400'!$M$171:$U$237,8,FALSE)</f>
        <v>#VALUE!</v>
      </c>
      <c r="Q82" s="59">
        <f>VLOOKUP($A82,'5 A data'!$A$5:$AB$519,7,FALSE)*slidewire_res</f>
        <v>0</v>
      </c>
      <c r="R82" s="349">
        <f t="shared" si="144"/>
        <v>0</v>
      </c>
      <c r="S82" s="4">
        <v>0</v>
      </c>
      <c r="T82" s="21">
        <f t="shared" ref="T82:T87" si="157">BurdenUnc*K82</f>
        <v>0</v>
      </c>
      <c r="U82" s="29" t="e">
        <f t="shared" si="145"/>
        <v>#VALUE!</v>
      </c>
      <c r="V82" s="29">
        <f t="shared" si="146"/>
        <v>5.0000000000000001E-4</v>
      </c>
      <c r="W82" s="23" t="e">
        <f>VLOOKUP($D82,Uncertainties!$B$35:$D$41,2,FALSE)</f>
        <v>#N/A</v>
      </c>
      <c r="X82" s="23"/>
      <c r="Y82" s="24">
        <f t="shared" si="147"/>
        <v>0</v>
      </c>
      <c r="Z82" s="23" t="e">
        <f t="shared" si="148"/>
        <v>#VALUE!</v>
      </c>
      <c r="AA82" s="25" t="e">
        <f t="shared" si="149"/>
        <v>#VALUE!</v>
      </c>
      <c r="AB82" s="26" t="e">
        <f t="shared" si="150"/>
        <v>#VALUE!</v>
      </c>
      <c r="AC82" s="14"/>
      <c r="AD82" s="253" t="e">
        <f>0.0001*VLOOKUP($B82,'844400'!$M$171:$U$237,7,FALSE)/VLOOKUP($B82,'844400'!$M$171:$U$237,9,FALSE)</f>
        <v>#VALUE!</v>
      </c>
      <c r="AE82" s="368">
        <f>IF(ABS(VLOOKUP($A82,'5 A data'!$A$5:$AB$1017,6,FALSE))&lt;4.5,IF(ABS(VLOOKUP($A82,'5 A data'!$A$5:$AB$1017,6,FALSE))&lt;1.25,0.0008,0.002),0.004)*VLOOKUP($A82,'5 A data'!$A$5:$AB$1017,7,FALSE)*25*RADIANS(1/60)*100</f>
        <v>0</v>
      </c>
      <c r="AF82" s="23">
        <f t="shared" ref="AF82:AF87" si="158">current_coef*(J82-J83)*IF(J83=0,0,1)</f>
        <v>0</v>
      </c>
      <c r="AG82" s="29" t="e">
        <f t="shared" si="151"/>
        <v>#VALUE!</v>
      </c>
      <c r="AH82" s="4">
        <f t="shared" ref="AH82:AH87" si="159">BurdenUnc*L82</f>
        <v>0</v>
      </c>
      <c r="AI82" s="4" t="e">
        <f t="shared" si="152"/>
        <v>#VALUE!</v>
      </c>
      <c r="AJ82" s="4">
        <f t="shared" si="153"/>
        <v>5.0000000000000001E-4</v>
      </c>
      <c r="AK82" s="21" t="e">
        <f>VLOOKUP($D82,Uncertainties!$B$35:$D$41,3,FALSE)</f>
        <v>#N/A</v>
      </c>
      <c r="AL82" s="21"/>
      <c r="AM82" s="371">
        <f>SQRT((VLOOKUP($A82,'5 A data'!$A$5:$AB$1017,7,FALSE)*mutual_ind)^2+(aux_CT_phase*J82)^2)</f>
        <v>0</v>
      </c>
      <c r="AN82" s="29" t="e">
        <f t="shared" ref="AN82:AN87" si="160">SQRT(SUMSQ(AD82:AM82))</f>
        <v>#VALUE!</v>
      </c>
      <c r="AO82" s="14" t="e">
        <f t="shared" ref="AO82:AO87" si="161">DoF_A(AD82:AM82,$AD$7:$AM$7)</f>
        <v>#VALUE!</v>
      </c>
      <c r="AP82" s="27" t="e">
        <f t="shared" si="154"/>
        <v>#VALUE!</v>
      </c>
    </row>
    <row r="83" spans="1:42" ht="13.15" customHeight="1" x14ac:dyDescent="0.2">
      <c r="A83" s="69">
        <v>173</v>
      </c>
      <c r="B83" s="5" t="e">
        <f>B79&amp;D83</f>
        <v>#VALUE!</v>
      </c>
      <c r="C83" s="19">
        <f>VLOOKUP($A83,'5 A data'!$A$5:$AB$519,3,FALSE)</f>
        <v>0</v>
      </c>
      <c r="D83" s="165">
        <f>ROUND(VLOOKUP($A83,'5 A data'!$A$5:$AB$519,9,FALSE)/10,0)*10</f>
        <v>0</v>
      </c>
      <c r="E83" s="23">
        <f t="shared" si="155"/>
        <v>0.99936709902044762</v>
      </c>
      <c r="F83" s="23">
        <f t="shared" si="156"/>
        <v>1.0011822386327505</v>
      </c>
      <c r="G83" s="23" t="e">
        <f>VLOOKUP($B83,'844400'!$M$171:$U$237,4,FALSE)/10000</f>
        <v>#VALUE!</v>
      </c>
      <c r="H83" s="23" t="e">
        <f>VLOOKUP($B83,'844400'!$M$171:$U$237,5,FALSE)/10000</f>
        <v>#VALUE!</v>
      </c>
      <c r="I83" s="19">
        <f>VLOOKUP($A83,'5 A data'!$A$5:$AB$519,10,FALSE)</f>
        <v>0</v>
      </c>
      <c r="J83" s="32">
        <f>VLOOKUP($A83,'5 A data'!$A$5:$AB$519,11,FALSE)</f>
        <v>0</v>
      </c>
      <c r="K83" s="22">
        <f t="shared" si="142"/>
        <v>0</v>
      </c>
      <c r="L83" s="22">
        <f t="shared" si="142"/>
        <v>0</v>
      </c>
      <c r="M83" s="31" t="e">
        <f t="shared" si="143"/>
        <v>#VALUE!</v>
      </c>
      <c r="N83" s="31" t="e">
        <f t="shared" si="143"/>
        <v>#VALUE!</v>
      </c>
      <c r="O83" s="20"/>
      <c r="P83" s="376" t="e">
        <f>0.0001*VLOOKUP($B83,'844400'!$M$171:$U$237,6,FALSE)/VLOOKUP($B83,'844400'!$M$171:$U$237,8,FALSE)</f>
        <v>#VALUE!</v>
      </c>
      <c r="Q83" s="59">
        <f>VLOOKUP($A83,'5 A data'!$A$5:$AB$519,7,FALSE)*slidewire_res</f>
        <v>0</v>
      </c>
      <c r="R83" s="349">
        <f t="shared" si="144"/>
        <v>0</v>
      </c>
      <c r="S83" s="4">
        <v>0</v>
      </c>
      <c r="T83" s="21">
        <f t="shared" si="157"/>
        <v>0</v>
      </c>
      <c r="U83" s="29" t="e">
        <f t="shared" si="145"/>
        <v>#VALUE!</v>
      </c>
      <c r="V83" s="29">
        <f t="shared" si="146"/>
        <v>5.0000000000000001E-4</v>
      </c>
      <c r="W83" s="23" t="e">
        <f>VLOOKUP($D83,Uncertainties!$B$35:$D$41,2,FALSE)</f>
        <v>#N/A</v>
      </c>
      <c r="X83" s="23"/>
      <c r="Y83" s="24">
        <f t="shared" si="147"/>
        <v>0</v>
      </c>
      <c r="Z83" s="23" t="e">
        <f t="shared" si="148"/>
        <v>#VALUE!</v>
      </c>
      <c r="AA83" s="25" t="e">
        <f t="shared" si="149"/>
        <v>#VALUE!</v>
      </c>
      <c r="AB83" s="26" t="e">
        <f t="shared" si="150"/>
        <v>#VALUE!</v>
      </c>
      <c r="AC83" s="14"/>
      <c r="AD83" s="253" t="e">
        <f>0.0001*VLOOKUP($B83,'844400'!$M$171:$U$237,7,FALSE)/VLOOKUP($B83,'844400'!$M$171:$U$237,9,FALSE)</f>
        <v>#VALUE!</v>
      </c>
      <c r="AE83" s="368">
        <f>IF(ABS(VLOOKUP($A83,'5 A data'!$A$5:$AB$1017,6,FALSE))&lt;4.5,IF(ABS(VLOOKUP($A83,'5 A data'!$A$5:$AB$1017,6,FALSE))&lt;1.25,0.0008,0.002),0.004)*VLOOKUP($A83,'5 A data'!$A$5:$AB$1017,7,FALSE)*25*RADIANS(1/60)*100</f>
        <v>0</v>
      </c>
      <c r="AF83" s="23">
        <f t="shared" si="158"/>
        <v>0</v>
      </c>
      <c r="AG83" s="29" t="e">
        <f t="shared" si="151"/>
        <v>#VALUE!</v>
      </c>
      <c r="AH83" s="4">
        <f t="shared" si="159"/>
        <v>0</v>
      </c>
      <c r="AI83" s="4" t="e">
        <f t="shared" si="152"/>
        <v>#VALUE!</v>
      </c>
      <c r="AJ83" s="4">
        <f t="shared" si="153"/>
        <v>5.0000000000000001E-4</v>
      </c>
      <c r="AK83" s="21" t="e">
        <f>VLOOKUP($D83,Uncertainties!$B$35:$D$41,3,FALSE)</f>
        <v>#N/A</v>
      </c>
      <c r="AL83" s="21"/>
      <c r="AM83" s="371">
        <f>SQRT((VLOOKUP($A83,'5 A data'!$A$5:$AB$1017,7,FALSE)*mutual_ind)^2+(aux_CT_phase*J83)^2)</f>
        <v>0</v>
      </c>
      <c r="AN83" s="29" t="e">
        <f t="shared" si="160"/>
        <v>#VALUE!</v>
      </c>
      <c r="AO83" s="14" t="e">
        <f t="shared" si="161"/>
        <v>#VALUE!</v>
      </c>
      <c r="AP83" s="27" t="e">
        <f t="shared" si="154"/>
        <v>#VALUE!</v>
      </c>
    </row>
    <row r="84" spans="1:42" ht="13.15" customHeight="1" x14ac:dyDescent="0.2">
      <c r="A84">
        <v>174</v>
      </c>
      <c r="B84" s="5" t="e">
        <f>B79&amp;D84</f>
        <v>#VALUE!</v>
      </c>
      <c r="C84" s="19" t="str">
        <f>VLOOKUP($A84,'5 A data'!$A$5:$AB$519,3,FALSE)</f>
        <v>No External Burden.</v>
      </c>
      <c r="D84" s="165">
        <f>ROUND(VLOOKUP($A84,'5 A data'!$A$5:$AB$519,9,FALSE)/10,0)*10</f>
        <v>0</v>
      </c>
      <c r="E84" s="23">
        <f t="shared" si="155"/>
        <v>0.99936709902044762</v>
      </c>
      <c r="F84" s="23">
        <f t="shared" si="156"/>
        <v>1.0011822386327505</v>
      </c>
      <c r="G84" s="23" t="e">
        <f>VLOOKUP($B84,'844400'!$M$171:$U$237,4,FALSE)/10000</f>
        <v>#VALUE!</v>
      </c>
      <c r="H84" s="23" t="e">
        <f>VLOOKUP($B84,'844400'!$M$171:$U$237,5,FALSE)/10000</f>
        <v>#VALUE!</v>
      </c>
      <c r="I84" s="19">
        <f>VLOOKUP($A84,'5 A data'!$A$5:$AB$519,10,FALSE)</f>
        <v>0</v>
      </c>
      <c r="J84" s="32">
        <f>VLOOKUP($A84,'5 A data'!$A$5:$AB$519,11,FALSE)</f>
        <v>0</v>
      </c>
      <c r="K84" s="22">
        <f>I84-I92</f>
        <v>8.6999999999999994E-3</v>
      </c>
      <c r="L84" s="22">
        <f>J84-J92</f>
        <v>-1.8035068937274742E-2</v>
      </c>
      <c r="M84" s="31" t="e">
        <f>I84*E84+G84-K84*($C84-high_burden)/($C84-$C92)</f>
        <v>#VALUE!</v>
      </c>
      <c r="N84" s="31" t="e">
        <f>J84*F84+H84-L84*($C84-high_burden)/($C84-$C92)</f>
        <v>#VALUE!</v>
      </c>
      <c r="O84" s="20"/>
      <c r="P84" s="376" t="e">
        <f>0.0001*VLOOKUP($B84,'844400'!$M$171:$U$237,6,FALSE)/VLOOKUP($B84,'844400'!$M$171:$U$237,8,FALSE)</f>
        <v>#VALUE!</v>
      </c>
      <c r="Q84" s="59">
        <f>VLOOKUP($A84,'5 A data'!$A$5:$AB$519,7,FALSE)*slidewire_res</f>
        <v>0</v>
      </c>
      <c r="R84" s="349">
        <f t="shared" si="144"/>
        <v>1.2800000000000001E-3</v>
      </c>
      <c r="S84" s="4">
        <v>0</v>
      </c>
      <c r="T84" s="21">
        <f t="shared" si="157"/>
        <v>4.35E-4</v>
      </c>
      <c r="U84" s="29" t="e">
        <f t="shared" si="145"/>
        <v>#VALUE!</v>
      </c>
      <c r="V84" s="29">
        <f t="shared" si="146"/>
        <v>5.0000000000000001E-4</v>
      </c>
      <c r="W84" s="23" t="e">
        <f>VLOOKUP($D84,Uncertainties!$B$35:$D$41,2,FALSE)</f>
        <v>#N/A</v>
      </c>
      <c r="X84" s="23"/>
      <c r="Y84" s="24">
        <f t="shared" si="147"/>
        <v>0</v>
      </c>
      <c r="Z84" s="23" t="e">
        <f t="shared" si="148"/>
        <v>#VALUE!</v>
      </c>
      <c r="AA84" s="25" t="e">
        <f t="shared" si="149"/>
        <v>#VALUE!</v>
      </c>
      <c r="AB84" s="26" t="e">
        <f t="shared" si="150"/>
        <v>#VALUE!</v>
      </c>
      <c r="AC84" s="14"/>
      <c r="AD84" s="253" t="e">
        <f>0.0001*VLOOKUP($B84,'844400'!$M$171:$U$237,7,FALSE)/VLOOKUP($B84,'844400'!$M$171:$U$237,9,FALSE)</f>
        <v>#VALUE!</v>
      </c>
      <c r="AE84" s="368">
        <f>IF(ABS(VLOOKUP($A84,'5 A data'!$A$5:$AB$1017,6,FALSE))&lt;4.5,IF(ABS(VLOOKUP($A84,'5 A data'!$A$5:$AB$1017,6,FALSE))&lt;1.25,0.0008,0.002),0.004)*VLOOKUP($A84,'5 A data'!$A$5:$AB$1017,7,FALSE)*25*RADIANS(1/60)*100</f>
        <v>0</v>
      </c>
      <c r="AF84" s="23">
        <f t="shared" si="158"/>
        <v>-2.6761715197246385E-3</v>
      </c>
      <c r="AG84" s="29" t="e">
        <f t="shared" si="151"/>
        <v>#VALUE!</v>
      </c>
      <c r="AH84" s="4">
        <f t="shared" si="159"/>
        <v>-9.0175344686373713E-4</v>
      </c>
      <c r="AI84" s="4" t="e">
        <f t="shared" si="152"/>
        <v>#VALUE!</v>
      </c>
      <c r="AJ84" s="4">
        <f t="shared" si="153"/>
        <v>5.0000000000000001E-4</v>
      </c>
      <c r="AK84" s="21" t="e">
        <f>VLOOKUP($D84,Uncertainties!$B$35:$D$41,3,FALSE)</f>
        <v>#N/A</v>
      </c>
      <c r="AL84" s="21"/>
      <c r="AM84" s="371">
        <f>SQRT((VLOOKUP($A84,'5 A data'!$A$5:$AB$1017,7,FALSE)*mutual_ind)^2+(aux_CT_phase*J84)^2)</f>
        <v>0</v>
      </c>
      <c r="AN84" s="29" t="e">
        <f t="shared" si="160"/>
        <v>#VALUE!</v>
      </c>
      <c r="AO84" s="14" t="e">
        <f t="shared" si="161"/>
        <v>#VALUE!</v>
      </c>
      <c r="AP84" s="27" t="e">
        <f t="shared" si="154"/>
        <v>#VALUE!</v>
      </c>
    </row>
    <row r="85" spans="1:42" ht="13.15" customHeight="1" x14ac:dyDescent="0.2">
      <c r="A85" s="69">
        <v>175</v>
      </c>
      <c r="B85" s="5" t="e">
        <f>B79&amp;D85</f>
        <v>#VALUE!</v>
      </c>
      <c r="C85" s="19">
        <f>VLOOKUP($A85,'5 A data'!$A$5:$AB$519,3,FALSE)</f>
        <v>0</v>
      </c>
      <c r="D85" s="165">
        <f>ROUND(VLOOKUP($A85,'5 A data'!$A$5:$AB$519,9,FALSE)/10,0)*10</f>
        <v>70</v>
      </c>
      <c r="E85" s="23">
        <f t="shared" si="155"/>
        <v>0.99936709902044762</v>
      </c>
      <c r="F85" s="23">
        <f t="shared" si="156"/>
        <v>1.0011822386327505</v>
      </c>
      <c r="G85" s="23" t="e">
        <f>VLOOKUP($B85,'844400'!$M$171:$U$237,4,FALSE)/10000</f>
        <v>#VALUE!</v>
      </c>
      <c r="H85" s="23" t="e">
        <f>VLOOKUP($B85,'844400'!$M$171:$U$237,5,FALSE)/10000</f>
        <v>#VALUE!</v>
      </c>
      <c r="I85" s="19">
        <f>VLOOKUP($A85,'5 A data'!$A$5:$AB$519,10,FALSE)</f>
        <v>-6.4000000000000003E-3</v>
      </c>
      <c r="J85" s="32">
        <f>VLOOKUP($A85,'5 A data'!$A$5:$AB$519,11,FALSE)</f>
        <v>1.3380857598623192E-2</v>
      </c>
      <c r="K85" s="22">
        <f t="shared" ref="K85:L87" si="162">I85-I93</f>
        <v>0.14560000000000001</v>
      </c>
      <c r="L85" s="22">
        <f t="shared" si="162"/>
        <v>4.6542113386515444E-3</v>
      </c>
      <c r="M85" s="31" t="e">
        <f t="shared" ref="M85:N87" si="163">I85*E85+G85-K85*($C85-high_burden)/($C85-$C93)</f>
        <v>#VALUE!</v>
      </c>
      <c r="N85" s="31" t="e">
        <f t="shared" si="163"/>
        <v>#VALUE!</v>
      </c>
      <c r="O85" s="20"/>
      <c r="P85" s="376" t="e">
        <f>0.0001*VLOOKUP($B85,'844400'!$M$171:$U$237,6,FALSE)/VLOOKUP($B85,'844400'!$M$171:$U$237,8,FALSE)</f>
        <v>#VALUE!</v>
      </c>
      <c r="Q85" s="59">
        <f>VLOOKUP($A85,'5 A data'!$A$5:$AB$519,7,FALSE)*slidewire_res</f>
        <v>1E-4</v>
      </c>
      <c r="R85" s="349">
        <f t="shared" si="144"/>
        <v>8.9200000000000008E-3</v>
      </c>
      <c r="S85" s="4">
        <v>0</v>
      </c>
      <c r="T85" s="21">
        <f t="shared" si="157"/>
        <v>7.2800000000000009E-3</v>
      </c>
      <c r="U85" s="29" t="e">
        <f t="shared" si="145"/>
        <v>#VALUE!</v>
      </c>
      <c r="V85" s="29">
        <f t="shared" si="146"/>
        <v>5.0000000000000001E-4</v>
      </c>
      <c r="W85" s="23" t="e">
        <f>VLOOKUP($D85,Uncertainties!$B$35:$D$41,2,FALSE)</f>
        <v>#N/A</v>
      </c>
      <c r="X85" s="23"/>
      <c r="Y85" s="24">
        <f t="shared" si="147"/>
        <v>-5.0935386515867011E-7</v>
      </c>
      <c r="Z85" s="23" t="e">
        <f t="shared" si="148"/>
        <v>#VALUE!</v>
      </c>
      <c r="AA85" s="25" t="e">
        <f t="shared" si="149"/>
        <v>#VALUE!</v>
      </c>
      <c r="AB85" s="26" t="e">
        <f t="shared" si="150"/>
        <v>#VALUE!</v>
      </c>
      <c r="AC85" s="14"/>
      <c r="AD85" s="253" t="e">
        <f>0.0001*VLOOKUP($B85,'844400'!$M$171:$U$237,7,FALSE)/VLOOKUP($B85,'844400'!$M$171:$U$237,9,FALSE)</f>
        <v>#VALUE!</v>
      </c>
      <c r="AE85" s="368">
        <f>IF(ABS(VLOOKUP($A85,'5 A data'!$A$5:$AB$1017,6,FALSE))&lt;4.5,IF(ABS(VLOOKUP($A85,'5 A data'!$A$5:$AB$1017,6,FALSE))&lt;1.25,0.0008,0.002),0.004)*VLOOKUP($A85,'5 A data'!$A$5:$AB$1017,7,FALSE)*25*RADIANS(1/60)*100</f>
        <v>2.9088820866572163E-4</v>
      </c>
      <c r="AF85" s="23">
        <f t="shared" si="158"/>
        <v>4.6542113386515463E-4</v>
      </c>
      <c r="AG85" s="29" t="e">
        <f t="shared" si="151"/>
        <v>#VALUE!</v>
      </c>
      <c r="AH85" s="4">
        <f t="shared" si="159"/>
        <v>2.3271056693257723E-4</v>
      </c>
      <c r="AI85" s="4" t="e">
        <f t="shared" si="152"/>
        <v>#VALUE!</v>
      </c>
      <c r="AJ85" s="4">
        <f t="shared" si="153"/>
        <v>5.0000000000000001E-4</v>
      </c>
      <c r="AK85" s="21" t="e">
        <f>VLOOKUP($D85,Uncertainties!$B$35:$D$41,3,FALSE)</f>
        <v>#N/A</v>
      </c>
      <c r="AL85" s="21"/>
      <c r="AM85" s="371">
        <f>SQRT((VLOOKUP($A85,'5 A data'!$A$5:$AB$1017,7,FALSE)*mutual_ind)^2+(aux_CT_phase*J85)^2)</f>
        <v>2.6183165897229559E-4</v>
      </c>
      <c r="AN85" s="29" t="e">
        <f t="shared" si="160"/>
        <v>#VALUE!</v>
      </c>
      <c r="AO85" s="14" t="e">
        <f t="shared" si="161"/>
        <v>#VALUE!</v>
      </c>
      <c r="AP85" s="27" t="e">
        <f t="shared" si="154"/>
        <v>#VALUE!</v>
      </c>
    </row>
    <row r="86" spans="1:42" ht="13.15" customHeight="1" x14ac:dyDescent="0.2">
      <c r="A86">
        <v>176</v>
      </c>
      <c r="B86" s="5" t="e">
        <f>B79&amp;D86</f>
        <v>#VALUE!</v>
      </c>
      <c r="C86" s="19">
        <f>VLOOKUP($A86,'5 A data'!$A$5:$AB$519,3,FALSE)</f>
        <v>0</v>
      </c>
      <c r="D86" s="166">
        <f>ROUND(VLOOKUP($A86,'5 A data'!$A$5:$AB$519,9,FALSE)/10,0)*10</f>
        <v>70</v>
      </c>
      <c r="E86" s="23">
        <f t="shared" si="155"/>
        <v>0.99936709902044762</v>
      </c>
      <c r="F86" s="23">
        <f t="shared" si="156"/>
        <v>1.0011822386327505</v>
      </c>
      <c r="G86" s="23" t="e">
        <f>VLOOKUP($B86,'844400'!$M$171:$U$237,4,FALSE)/10000</f>
        <v>#VALUE!</v>
      </c>
      <c r="H86" s="23" t="e">
        <f>VLOOKUP($B86,'844400'!$M$171:$U$237,5,FALSE)/10000</f>
        <v>#VALUE!</v>
      </c>
      <c r="I86" s="19">
        <f>VLOOKUP($A86,'5 A data'!$A$5:$AB$519,10,FALSE)</f>
        <v>-5.1000000000000004E-2</v>
      </c>
      <c r="J86" s="32">
        <f>VLOOKUP($A86,'5 A data'!$A$5:$AB$519,11,FALSE)</f>
        <v>1.1053751929297419E-2</v>
      </c>
      <c r="K86" s="22">
        <f t="shared" si="162"/>
        <v>-4.2100000000000005E-2</v>
      </c>
      <c r="L86" s="22">
        <f t="shared" si="162"/>
        <v>-5.6723200689815737E-3</v>
      </c>
      <c r="M86" s="31" t="e">
        <f t="shared" si="163"/>
        <v>#VALUE!</v>
      </c>
      <c r="N86" s="31" t="e">
        <f t="shared" si="163"/>
        <v>#VALUE!</v>
      </c>
      <c r="O86" s="20"/>
      <c r="P86" s="376" t="e">
        <f>0.0001*VLOOKUP($B86,'844400'!$M$171:$U$237,6,FALSE)/VLOOKUP($B86,'844400'!$M$171:$U$237,8,FALSE)</f>
        <v>#VALUE!</v>
      </c>
      <c r="Q86" s="59">
        <f>VLOOKUP($A86,'5 A data'!$A$5:$AB$519,7,FALSE)*slidewire_res</f>
        <v>2.0000000000000001E-4</v>
      </c>
      <c r="R86" s="349">
        <f t="shared" si="144"/>
        <v>-8.8800000000000007E-3</v>
      </c>
      <c r="S86" s="4">
        <v>0</v>
      </c>
      <c r="T86" s="21">
        <f t="shared" si="157"/>
        <v>-2.1050000000000005E-3</v>
      </c>
      <c r="U86" s="29" t="e">
        <f t="shared" si="145"/>
        <v>#VALUE!</v>
      </c>
      <c r="V86" s="29">
        <f t="shared" si="146"/>
        <v>5.0000000000000001E-4</v>
      </c>
      <c r="W86" s="23" t="e">
        <f>VLOOKUP($D86,Uncertainties!$B$35:$D$41,2,FALSE)</f>
        <v>#N/A</v>
      </c>
      <c r="X86" s="23"/>
      <c r="Y86" s="24">
        <f t="shared" si="147"/>
        <v>-4.0589136129831529E-6</v>
      </c>
      <c r="Z86" s="23" t="e">
        <f t="shared" si="148"/>
        <v>#VALUE!</v>
      </c>
      <c r="AA86" s="25" t="e">
        <f t="shared" si="149"/>
        <v>#VALUE!</v>
      </c>
      <c r="AB86" s="26" t="e">
        <f t="shared" si="150"/>
        <v>#VALUE!</v>
      </c>
      <c r="AC86" s="14"/>
      <c r="AD86" s="253" t="e">
        <f>0.0001*VLOOKUP($B86,'844400'!$M$171:$U$237,7,FALSE)/VLOOKUP($B86,'844400'!$M$171:$U$237,9,FALSE)</f>
        <v>#VALUE!</v>
      </c>
      <c r="AE86" s="368">
        <f>IF(ABS(VLOOKUP($A86,'5 A data'!$A$5:$AB$1017,6,FALSE))&lt;4.5,IF(ABS(VLOOKUP($A86,'5 A data'!$A$5:$AB$1017,6,FALSE))&lt;1.25,0.0008,0.002),0.004)*VLOOKUP($A86,'5 A data'!$A$5:$AB$1017,7,FALSE)*25*RADIANS(1/60)*100</f>
        <v>2.9088820866572163E-4</v>
      </c>
      <c r="AF86" s="23">
        <f t="shared" si="158"/>
        <v>-2.908882086657218E-4</v>
      </c>
      <c r="AG86" s="29" t="e">
        <f t="shared" si="151"/>
        <v>#VALUE!</v>
      </c>
      <c r="AH86" s="4">
        <f t="shared" si="159"/>
        <v>-2.8361600344907869E-4</v>
      </c>
      <c r="AI86" s="4" t="e">
        <f t="shared" si="152"/>
        <v>#VALUE!</v>
      </c>
      <c r="AJ86" s="4">
        <f t="shared" si="153"/>
        <v>5.0000000000000001E-4</v>
      </c>
      <c r="AK86" s="21" t="e">
        <f>VLOOKUP($D86,Uncertainties!$B$35:$D$41,3,FALSE)</f>
        <v>#N/A</v>
      </c>
      <c r="AL86" s="21"/>
      <c r="AM86" s="371">
        <f>SQRT((VLOOKUP($A86,'5 A data'!$A$5:$AB$1017,7,FALSE)*mutual_ind)^2+(aux_CT_phase*J86)^2)</f>
        <v>5.2360978740266344E-4</v>
      </c>
      <c r="AN86" s="29" t="e">
        <f t="shared" si="160"/>
        <v>#VALUE!</v>
      </c>
      <c r="AO86" s="14" t="e">
        <f t="shared" si="161"/>
        <v>#VALUE!</v>
      </c>
      <c r="AP86" s="27" t="e">
        <f t="shared" si="154"/>
        <v>#VALUE!</v>
      </c>
    </row>
    <row r="87" spans="1:42" ht="13.15" customHeight="1" x14ac:dyDescent="0.2">
      <c r="A87" s="69">
        <v>177</v>
      </c>
      <c r="B87" s="5" t="e">
        <f>B79&amp;D87</f>
        <v>#VALUE!</v>
      </c>
      <c r="C87" s="19">
        <f>VLOOKUP($A87,'5 A data'!$A$5:$AB$519,3,FALSE)</f>
        <v>0</v>
      </c>
      <c r="D87" s="166">
        <f>ROUND(VLOOKUP($A87,'5 A data'!$A$5:$AB$519,9,FALSE)/10,0)*10</f>
        <v>100</v>
      </c>
      <c r="E87" s="23">
        <f t="shared" si="155"/>
        <v>0.99936709902044762</v>
      </c>
      <c r="F87" s="23">
        <f t="shared" si="156"/>
        <v>1.0011822386327505</v>
      </c>
      <c r="G87" s="23" t="e">
        <f>VLOOKUP($B87,'844400'!$M$171:$U$237,4,FALSE)/10000</f>
        <v>#VALUE!</v>
      </c>
      <c r="H87" s="23" t="e">
        <f>VLOOKUP($B87,'844400'!$M$171:$U$237,5,FALSE)/10000</f>
        <v>#VALUE!</v>
      </c>
      <c r="I87" s="19">
        <f>VLOOKUP($A87,'5 A data'!$A$5:$AB$519,10,FALSE)</f>
        <v>-6.6000000000000008E-3</v>
      </c>
      <c r="J87" s="32">
        <f>VLOOKUP($A87,'5 A data'!$A$5:$AB$519,11,FALSE)</f>
        <v>1.2508192972626028E-2</v>
      </c>
      <c r="K87" s="22">
        <f t="shared" si="162"/>
        <v>0.1464</v>
      </c>
      <c r="L87" s="22">
        <f t="shared" si="162"/>
        <v>5.2359877559829881E-3</v>
      </c>
      <c r="M87" s="31" t="e">
        <f t="shared" si="163"/>
        <v>#VALUE!</v>
      </c>
      <c r="N87" s="31" t="e">
        <f t="shared" si="163"/>
        <v>#VALUE!</v>
      </c>
      <c r="O87" s="20"/>
      <c r="P87" s="376" t="e">
        <f>0.0001*VLOOKUP($B87,'844400'!$M$171:$U$237,6,FALSE)/VLOOKUP($B87,'844400'!$M$171:$U$237,8,FALSE)</f>
        <v>#VALUE!</v>
      </c>
      <c r="Q87" s="59">
        <f>VLOOKUP($A87,'5 A data'!$A$5:$AB$519,7,FALSE)*slidewire_res</f>
        <v>1E-4</v>
      </c>
      <c r="R87" s="349">
        <f t="shared" si="144"/>
        <v>0</v>
      </c>
      <c r="S87" s="4">
        <v>0</v>
      </c>
      <c r="T87" s="21">
        <f t="shared" si="157"/>
        <v>7.3200000000000001E-3</v>
      </c>
      <c r="U87" s="29" t="e">
        <f t="shared" si="145"/>
        <v>#VALUE!</v>
      </c>
      <c r="V87" s="29">
        <f t="shared" si="146"/>
        <v>5.0000000000000001E-4</v>
      </c>
      <c r="W87" s="23">
        <f>VLOOKUP($D87,Uncertainties!$B$35:$D$41,2,FALSE)</f>
        <v>0</v>
      </c>
      <c r="X87" s="23"/>
      <c r="Y87" s="24">
        <f t="shared" si="147"/>
        <v>-5.2527117344487866E-7</v>
      </c>
      <c r="Z87" s="23" t="e">
        <f t="shared" si="148"/>
        <v>#VALUE!</v>
      </c>
      <c r="AA87" s="25" t="e">
        <f t="shared" si="149"/>
        <v>#VALUE!</v>
      </c>
      <c r="AB87" s="26" t="e">
        <f t="shared" si="150"/>
        <v>#VALUE!</v>
      </c>
      <c r="AC87" s="14"/>
      <c r="AD87" s="253" t="e">
        <f>0.0001*VLOOKUP($B87,'844400'!$M$171:$U$237,7,FALSE)/VLOOKUP($B87,'844400'!$M$171:$U$237,9,FALSE)</f>
        <v>#VALUE!</v>
      </c>
      <c r="AE87" s="368">
        <f>IF(ABS(VLOOKUP($A87,'5 A data'!$A$5:$AB$1017,6,FALSE))&lt;4.5,IF(ABS(VLOOKUP($A87,'5 A data'!$A$5:$AB$1017,6,FALSE))&lt;1.25,0.0008,0.002),0.004)*VLOOKUP($A87,'5 A data'!$A$5:$AB$1017,7,FALSE)*25*RADIANS(1/60)*100</f>
        <v>1.4544410433286082E-4</v>
      </c>
      <c r="AF87" s="23">
        <f t="shared" si="158"/>
        <v>0</v>
      </c>
      <c r="AG87" s="29" t="e">
        <f t="shared" si="151"/>
        <v>#VALUE!</v>
      </c>
      <c r="AH87" s="4">
        <f t="shared" si="159"/>
        <v>2.6179938779914941E-4</v>
      </c>
      <c r="AI87" s="4" t="e">
        <f t="shared" si="152"/>
        <v>#VALUE!</v>
      </c>
      <c r="AJ87" s="4">
        <f t="shared" si="153"/>
        <v>5.0000000000000001E-4</v>
      </c>
      <c r="AK87" s="21">
        <f>VLOOKUP($D87,Uncertainties!$B$35:$D$41,3,FALSE)</f>
        <v>0</v>
      </c>
      <c r="AL87" s="21"/>
      <c r="AM87" s="371">
        <f>SQRT((VLOOKUP($A87,'5 A data'!$A$5:$AB$1017,7,FALSE)*mutual_ind)^2+(aux_CT_phase*J87)^2)</f>
        <v>2.6182758716736579E-4</v>
      </c>
      <c r="AN87" s="29" t="e">
        <f t="shared" si="160"/>
        <v>#VALUE!</v>
      </c>
      <c r="AO87" s="14" t="e">
        <f t="shared" si="161"/>
        <v>#VALUE!</v>
      </c>
      <c r="AP87" s="27" t="e">
        <f t="shared" si="154"/>
        <v>#VALUE!</v>
      </c>
    </row>
    <row r="88" spans="1:42" ht="13.15" customHeight="1" x14ac:dyDescent="0.2">
      <c r="A88">
        <v>178</v>
      </c>
      <c r="B88" s="5"/>
      <c r="C88" s="19"/>
      <c r="D88" s="19"/>
      <c r="E88" s="23"/>
      <c r="F88" s="23"/>
      <c r="G88" s="23"/>
      <c r="H88" s="23"/>
      <c r="I88" s="19"/>
      <c r="J88" s="32"/>
      <c r="K88" s="31"/>
      <c r="L88" s="31"/>
      <c r="M88" s="533" t="s">
        <v>94</v>
      </c>
      <c r="N88" s="533"/>
      <c r="O88" s="20"/>
      <c r="P88" s="376"/>
      <c r="Q88" s="59"/>
      <c r="R88" s="349"/>
      <c r="S88" s="4"/>
      <c r="T88" s="4"/>
      <c r="U88" s="29"/>
      <c r="V88" s="29"/>
      <c r="W88" s="29"/>
      <c r="X88" s="29"/>
      <c r="Y88" s="24"/>
      <c r="Z88" s="29"/>
      <c r="AA88" s="25"/>
      <c r="AB88" s="26"/>
      <c r="AC88" s="14"/>
      <c r="AD88" s="253"/>
      <c r="AE88" s="35"/>
      <c r="AF88" s="28"/>
      <c r="AG88" s="29"/>
      <c r="AH88" s="4"/>
      <c r="AI88" s="4"/>
      <c r="AJ88" s="4"/>
      <c r="AK88" s="4"/>
      <c r="AL88" s="4"/>
      <c r="AM88" s="24"/>
      <c r="AN88" s="29"/>
      <c r="AO88" s="14"/>
      <c r="AP88" s="27"/>
    </row>
    <row r="89" spans="1:42" ht="13.15" customHeight="1" x14ac:dyDescent="0.2">
      <c r="A89" s="69">
        <v>179</v>
      </c>
      <c r="B89" s="5" t="e">
        <f>B79&amp;D89</f>
        <v>#VALUE!</v>
      </c>
      <c r="C89" s="19">
        <f>VLOOKUP($A89,'5 A data'!$A$5:$AB$519,3,FALSE)</f>
        <v>0</v>
      </c>
      <c r="D89" s="19">
        <f>ROUND(VLOOKUP($A89,'5 A data'!$A$5:$AB$519,9,FALSE),0)</f>
        <v>0</v>
      </c>
      <c r="E89" s="23">
        <f t="shared" si="155"/>
        <v>0.99936709902044762</v>
      </c>
      <c r="F89" s="23">
        <f t="shared" si="156"/>
        <v>1.0011822386327505</v>
      </c>
      <c r="G89" s="23" t="e">
        <f>VLOOKUP($B89,'844400'!$M$171:$U$237,4,FALSE)/10000</f>
        <v>#VALUE!</v>
      </c>
      <c r="H89" s="23" t="e">
        <f>VLOOKUP($B89,'844400'!$M$171:$U$237,5,FALSE)/10000</f>
        <v>#VALUE!</v>
      </c>
      <c r="I89" s="19">
        <f>VLOOKUP($A89,'5 A data'!$A$5:$AB$519,10,FALSE)</f>
        <v>0</v>
      </c>
      <c r="J89" s="32">
        <f>VLOOKUP($A89,'5 A data'!$A$5:$AB$519,11,FALSE)</f>
        <v>0</v>
      </c>
      <c r="K89" s="31"/>
      <c r="L89" s="31"/>
      <c r="M89" s="31" t="e">
        <f t="shared" ref="M89:N91" si="164">I89*E89+G89+K81*(low__burden-$C89)/($C81-$C89)</f>
        <v>#VALUE!</v>
      </c>
      <c r="N89" s="31" t="e">
        <f t="shared" si="164"/>
        <v>#VALUE!</v>
      </c>
      <c r="O89" s="20"/>
      <c r="P89" s="376" t="e">
        <f>0.0001*VLOOKUP($B89,'844400'!$M$171:$U$237,6,FALSE)/VLOOKUP($B89,'844400'!$M$171:$U$237,8,FALSE)</f>
        <v>#VALUE!</v>
      </c>
      <c r="Q89" s="59">
        <f>VLOOKUP($A89,'5 A data'!$A$5:$AB$519,7,FALSE)*slidewire_res</f>
        <v>0</v>
      </c>
      <c r="R89" s="349">
        <f t="shared" ref="R89:R95" si="165">current_coef*(I89-I90)*IF(I90=0,0,1)</f>
        <v>0</v>
      </c>
      <c r="S89" s="4">
        <v>0</v>
      </c>
      <c r="T89" s="4">
        <f>BurdenUnc*K81</f>
        <v>-3.6299999999999999E-2</v>
      </c>
      <c r="U89" s="29" t="e">
        <f t="shared" ref="U89:U95" si="166">0.004*M89</f>
        <v>#VALUE!</v>
      </c>
      <c r="V89" s="29">
        <f t="shared" si="146"/>
        <v>5.0000000000000001E-4</v>
      </c>
      <c r="W89" s="23" t="e">
        <f>VLOOKUP($D89,Uncertainties!$B$35:$D$41,2,FALSE)</f>
        <v>#N/A</v>
      </c>
      <c r="X89" s="23"/>
      <c r="Y89" s="24">
        <f t="shared" ref="Y89:Y95" si="167">I89*aux_CT_ratio</f>
        <v>0</v>
      </c>
      <c r="Z89" s="23" t="e">
        <f t="shared" ref="Z89:Z95" si="168">SQRT(SUMSQ(P89:Y89))</f>
        <v>#VALUE!</v>
      </c>
      <c r="AA89" s="25" t="e">
        <f t="shared" ref="AA89:AA95" si="169">DoF_A(P89:Y89,$P$7:$Y$7)</f>
        <v>#VALUE!</v>
      </c>
      <c r="AB89" s="26" t="e">
        <f t="shared" ref="AB89:AB95" si="170">CoverFactor(AA89)</f>
        <v>#VALUE!</v>
      </c>
      <c r="AC89" s="14"/>
      <c r="AD89" s="253" t="e">
        <f>0.0001*VLOOKUP($B89,'844400'!$M$171:$U$237,7,FALSE)/VLOOKUP($B89,'844400'!$M$171:$U$237,9,FALSE)</f>
        <v>#VALUE!</v>
      </c>
      <c r="AE89" s="368">
        <f>IF(ABS(VLOOKUP($A89,'5 A data'!$A$5:$AB$1017,6,FALSE))&lt;4.5,IF(ABS(VLOOKUP($A89,'5 A data'!$A$5:$AB$1017,6,FALSE))&lt;1.25,0.0008,0.002),0.004)*VLOOKUP($A89,'5 A data'!$A$5:$AB$1017,7,FALSE)*25*RADIANS(1/60)*100</f>
        <v>0</v>
      </c>
      <c r="AF89" s="23">
        <f t="shared" ref="AF89:AF95" si="171">current_coef*(J89-J90)*IF(J90=0,0,1)</f>
        <v>0</v>
      </c>
      <c r="AG89" s="29" t="e">
        <f t="shared" ref="AG89:AG95" si="172">0.001*N89</f>
        <v>#VALUE!</v>
      </c>
      <c r="AH89" s="4">
        <f>BurdenUnc*L81</f>
        <v>-1.0471975511965978E-3</v>
      </c>
      <c r="AI89" s="4" t="e">
        <f t="shared" ref="AI89:AI95" si="173">0.004*N89</f>
        <v>#VALUE!</v>
      </c>
      <c r="AJ89" s="4">
        <f t="shared" si="153"/>
        <v>5.0000000000000001E-4</v>
      </c>
      <c r="AK89" s="21" t="e">
        <f>VLOOKUP($D89,Uncertainties!$B$35:$D$41,3,FALSE)</f>
        <v>#N/A</v>
      </c>
      <c r="AL89" s="21"/>
      <c r="AM89" s="371">
        <f>SQRT((VLOOKUP($A89,'5 A data'!$A$5:$AB$1017,7,FALSE)*mutual_ind)^2+(aux_CT_phase*J89)^2)</f>
        <v>0</v>
      </c>
      <c r="AN89" s="29" t="e">
        <f t="shared" ref="AN89:AN95" si="174">SQRT(SUMSQ(AD89:AM89))</f>
        <v>#VALUE!</v>
      </c>
      <c r="AO89" s="14" t="e">
        <f t="shared" ref="AO89:AO95" si="175">DoF_A(AD89:AM89,$AD$7:$AM$7)</f>
        <v>#VALUE!</v>
      </c>
      <c r="AP89" s="27" t="e">
        <f t="shared" si="154"/>
        <v>#VALUE!</v>
      </c>
    </row>
    <row r="90" spans="1:42" ht="13.15" customHeight="1" x14ac:dyDescent="0.2">
      <c r="A90">
        <v>180</v>
      </c>
      <c r="B90" s="5" t="e">
        <f>B79&amp;D90</f>
        <v>#VALUE!</v>
      </c>
      <c r="C90" s="19">
        <f>VLOOKUP($A90,'5 A data'!$A$5:$AB$519,3,FALSE)</f>
        <v>0</v>
      </c>
      <c r="D90" s="165">
        <f>ROUND(VLOOKUP($A90,'5 A data'!$A$5:$AB$519,9,FALSE)/10,0)*10</f>
        <v>0</v>
      </c>
      <c r="E90" s="23">
        <f t="shared" si="155"/>
        <v>0.99936709902044762</v>
      </c>
      <c r="F90" s="23">
        <f t="shared" si="156"/>
        <v>1.0011822386327505</v>
      </c>
      <c r="G90" s="23" t="e">
        <f>VLOOKUP($B90,'844400'!$M$171:$U$237,4,FALSE)/10000</f>
        <v>#VALUE!</v>
      </c>
      <c r="H90" s="23" t="e">
        <f>VLOOKUP($B90,'844400'!$M$171:$U$237,5,FALSE)/10000</f>
        <v>#VALUE!</v>
      </c>
      <c r="I90" s="19">
        <f>VLOOKUP($A90,'5 A data'!$A$5:$AB$519,10,FALSE)</f>
        <v>0</v>
      </c>
      <c r="J90" s="32">
        <f>VLOOKUP($A90,'5 A data'!$A$5:$AB$519,11,FALSE)</f>
        <v>0</v>
      </c>
      <c r="K90" s="31"/>
      <c r="L90" s="31"/>
      <c r="M90" s="31" t="e">
        <f t="shared" si="164"/>
        <v>#VALUE!</v>
      </c>
      <c r="N90" s="31" t="e">
        <f t="shared" si="164"/>
        <v>#VALUE!</v>
      </c>
      <c r="O90" s="20"/>
      <c r="P90" s="376" t="e">
        <f>0.0001*VLOOKUP($B90,'844400'!$M$171:$U$237,6,FALSE)/VLOOKUP($B90,'844400'!$M$171:$U$237,8,FALSE)</f>
        <v>#VALUE!</v>
      </c>
      <c r="Q90" s="59">
        <f>VLOOKUP($A90,'5 A data'!$A$5:$AB$519,7,FALSE)*slidewire_res</f>
        <v>0</v>
      </c>
      <c r="R90" s="349">
        <f t="shared" si="165"/>
        <v>0</v>
      </c>
      <c r="S90" s="4">
        <v>0</v>
      </c>
      <c r="T90" s="4">
        <f t="shared" ref="T90:T95" si="176">BurdenUnc*K82</f>
        <v>0</v>
      </c>
      <c r="U90" s="29" t="e">
        <f t="shared" si="166"/>
        <v>#VALUE!</v>
      </c>
      <c r="V90" s="29">
        <f t="shared" si="146"/>
        <v>5.0000000000000001E-4</v>
      </c>
      <c r="W90" s="23" t="e">
        <f>VLOOKUP($D90,Uncertainties!$B$35:$D$41,2,FALSE)</f>
        <v>#N/A</v>
      </c>
      <c r="X90" s="23"/>
      <c r="Y90" s="24">
        <f t="shared" si="167"/>
        <v>0</v>
      </c>
      <c r="Z90" s="23" t="e">
        <f t="shared" si="168"/>
        <v>#VALUE!</v>
      </c>
      <c r="AA90" s="25" t="e">
        <f t="shared" si="169"/>
        <v>#VALUE!</v>
      </c>
      <c r="AB90" s="26" t="e">
        <f t="shared" si="170"/>
        <v>#VALUE!</v>
      </c>
      <c r="AC90" s="14"/>
      <c r="AD90" s="253" t="e">
        <f>0.0001*VLOOKUP($B90,'844400'!$M$171:$U$237,7,FALSE)/VLOOKUP($B90,'844400'!$M$171:$U$237,9,FALSE)</f>
        <v>#VALUE!</v>
      </c>
      <c r="AE90" s="368">
        <f>IF(ABS(VLOOKUP($A90,'5 A data'!$A$5:$AB$1017,6,FALSE))&lt;4.5,IF(ABS(VLOOKUP($A90,'5 A data'!$A$5:$AB$1017,6,FALSE))&lt;1.25,0.0008,0.002),0.004)*VLOOKUP($A90,'5 A data'!$A$5:$AB$1017,7,FALSE)*25*RADIANS(1/60)*100</f>
        <v>0</v>
      </c>
      <c r="AF90" s="23">
        <f t="shared" si="171"/>
        <v>0</v>
      </c>
      <c r="AG90" s="29" t="e">
        <f t="shared" si="172"/>
        <v>#VALUE!</v>
      </c>
      <c r="AH90" s="4">
        <f t="shared" ref="AH90:AH95" si="177">BurdenUnc*L82</f>
        <v>0</v>
      </c>
      <c r="AI90" s="4" t="e">
        <f t="shared" si="173"/>
        <v>#VALUE!</v>
      </c>
      <c r="AJ90" s="4">
        <f t="shared" si="153"/>
        <v>5.0000000000000001E-4</v>
      </c>
      <c r="AK90" s="21" t="e">
        <f>VLOOKUP($D90,Uncertainties!$B$35:$D$41,3,FALSE)</f>
        <v>#N/A</v>
      </c>
      <c r="AL90" s="21"/>
      <c r="AM90" s="371">
        <f>SQRT((VLOOKUP($A90,'5 A data'!$A$5:$AB$1017,7,FALSE)*mutual_ind)^2+(aux_CT_phase*J90)^2)</f>
        <v>0</v>
      </c>
      <c r="AN90" s="29" t="e">
        <f t="shared" si="174"/>
        <v>#VALUE!</v>
      </c>
      <c r="AO90" s="14" t="e">
        <f t="shared" si="175"/>
        <v>#VALUE!</v>
      </c>
      <c r="AP90" s="27" t="e">
        <f t="shared" si="154"/>
        <v>#VALUE!</v>
      </c>
    </row>
    <row r="91" spans="1:42" ht="13.15" customHeight="1" x14ac:dyDescent="0.2">
      <c r="A91" s="69">
        <v>181</v>
      </c>
      <c r="B91" s="5" t="e">
        <f>B79&amp;D91</f>
        <v>#VALUE!</v>
      </c>
      <c r="C91" s="19" t="str">
        <f>VLOOKUP($A91,'5 A data'!$A$5:$AB$519,3,FALSE)</f>
        <v>1.25VA unity</v>
      </c>
      <c r="D91" s="165">
        <f>ROUND(VLOOKUP($A91,'5 A data'!$A$5:$AB$519,9,FALSE)/10,0)*10</f>
        <v>0</v>
      </c>
      <c r="E91" s="23">
        <f t="shared" si="155"/>
        <v>0.99936709902044762</v>
      </c>
      <c r="F91" s="23">
        <f t="shared" si="156"/>
        <v>1.0011822386327505</v>
      </c>
      <c r="G91" s="23" t="e">
        <f>VLOOKUP($B91,'844400'!$M$171:$U$237,4,FALSE)/10000</f>
        <v>#VALUE!</v>
      </c>
      <c r="H91" s="23" t="e">
        <f>VLOOKUP($B91,'844400'!$M$171:$U$237,5,FALSE)/10000</f>
        <v>#VALUE!</v>
      </c>
      <c r="I91" s="19">
        <f>VLOOKUP($A91,'5 A data'!$A$5:$AB$519,10,FALSE)</f>
        <v>0</v>
      </c>
      <c r="J91" s="32">
        <f>VLOOKUP($A91,'5 A data'!$A$5:$AB$519,11,FALSE)</f>
        <v>0</v>
      </c>
      <c r="K91" s="31"/>
      <c r="L91" s="31"/>
      <c r="M91" s="31" t="e">
        <f t="shared" si="164"/>
        <v>#VALUE!</v>
      </c>
      <c r="N91" s="31" t="e">
        <f t="shared" si="164"/>
        <v>#VALUE!</v>
      </c>
      <c r="O91" s="20"/>
      <c r="P91" s="376" t="e">
        <f>0.0001*VLOOKUP($B91,'844400'!$M$171:$U$237,6,FALSE)/VLOOKUP($B91,'844400'!$M$171:$U$237,8,FALSE)</f>
        <v>#VALUE!</v>
      </c>
      <c r="Q91" s="59">
        <f>VLOOKUP($A91,'5 A data'!$A$5:$AB$519,7,FALSE)*slidewire_res</f>
        <v>0</v>
      </c>
      <c r="R91" s="349">
        <f t="shared" si="165"/>
        <v>1.74E-3</v>
      </c>
      <c r="S91" s="4">
        <v>0</v>
      </c>
      <c r="T91" s="4">
        <f t="shared" si="176"/>
        <v>0</v>
      </c>
      <c r="U91" s="29" t="e">
        <f t="shared" si="166"/>
        <v>#VALUE!</v>
      </c>
      <c r="V91" s="29">
        <f t="shared" si="146"/>
        <v>5.0000000000000001E-4</v>
      </c>
      <c r="W91" s="23" t="e">
        <f>VLOOKUP($D91,Uncertainties!$B$35:$D$41,2,FALSE)</f>
        <v>#N/A</v>
      </c>
      <c r="X91" s="23"/>
      <c r="Y91" s="24">
        <f t="shared" si="167"/>
        <v>0</v>
      </c>
      <c r="Z91" s="23" t="e">
        <f t="shared" si="168"/>
        <v>#VALUE!</v>
      </c>
      <c r="AA91" s="25" t="e">
        <f t="shared" si="169"/>
        <v>#VALUE!</v>
      </c>
      <c r="AB91" s="26" t="e">
        <f t="shared" si="170"/>
        <v>#VALUE!</v>
      </c>
      <c r="AC91" s="14"/>
      <c r="AD91" s="253" t="e">
        <f>0.0001*VLOOKUP($B91,'844400'!$M$171:$U$237,7,FALSE)/VLOOKUP($B91,'844400'!$M$171:$U$237,9,FALSE)</f>
        <v>#VALUE!</v>
      </c>
      <c r="AE91" s="368">
        <f>IF(ABS(VLOOKUP($A91,'5 A data'!$A$5:$AB$1017,6,FALSE))&lt;4.5,IF(ABS(VLOOKUP($A91,'5 A data'!$A$5:$AB$1017,6,FALSE))&lt;1.25,0.0008,0.002),0.004)*VLOOKUP($A91,'5 A data'!$A$5:$AB$1017,7,FALSE)*25*RADIANS(1/60)*100</f>
        <v>0</v>
      </c>
      <c r="AF91" s="23">
        <f t="shared" si="171"/>
        <v>-3.6070137874549485E-3</v>
      </c>
      <c r="AG91" s="29" t="e">
        <f t="shared" si="172"/>
        <v>#VALUE!</v>
      </c>
      <c r="AH91" s="4">
        <f t="shared" si="177"/>
        <v>0</v>
      </c>
      <c r="AI91" s="4" t="e">
        <f t="shared" si="173"/>
        <v>#VALUE!</v>
      </c>
      <c r="AJ91" s="4">
        <f t="shared" si="153"/>
        <v>5.0000000000000001E-4</v>
      </c>
      <c r="AK91" s="21" t="e">
        <f>VLOOKUP($D91,Uncertainties!$B$35:$D$41,3,FALSE)</f>
        <v>#N/A</v>
      </c>
      <c r="AL91" s="21"/>
      <c r="AM91" s="371">
        <f>SQRT((VLOOKUP($A91,'5 A data'!$A$5:$AB$1017,7,FALSE)*mutual_ind)^2+(aux_CT_phase*J91)^2)</f>
        <v>0</v>
      </c>
      <c r="AN91" s="29" t="e">
        <f t="shared" si="174"/>
        <v>#VALUE!</v>
      </c>
      <c r="AO91" s="14" t="e">
        <f t="shared" si="175"/>
        <v>#VALUE!</v>
      </c>
      <c r="AP91" s="27" t="e">
        <f t="shared" si="154"/>
        <v>#VALUE!</v>
      </c>
    </row>
    <row r="92" spans="1:42" ht="13.15" customHeight="1" x14ac:dyDescent="0.2">
      <c r="A92">
        <v>182</v>
      </c>
      <c r="B92" s="5" t="e">
        <f>B79&amp;D92</f>
        <v>#VALUE!</v>
      </c>
      <c r="C92" s="19">
        <f>VLOOKUP($A92,'5 A data'!$A$5:$AB$519,3,FALSE)</f>
        <v>0</v>
      </c>
      <c r="D92" s="165">
        <f>ROUND(VLOOKUP($A92,'5 A data'!$A$5:$AB$519,9,FALSE)/10,0)*10</f>
        <v>70</v>
      </c>
      <c r="E92" s="23">
        <f t="shared" si="155"/>
        <v>0.99936709902044762</v>
      </c>
      <c r="F92" s="23">
        <f t="shared" si="156"/>
        <v>1.0011822386327505</v>
      </c>
      <c r="G92" s="23" t="e">
        <f>VLOOKUP($B92,'844400'!$M$171:$U$237,4,FALSE)/10000</f>
        <v>#VALUE!</v>
      </c>
      <c r="H92" s="23" t="e">
        <f>VLOOKUP($B92,'844400'!$M$171:$U$237,5,FALSE)/10000</f>
        <v>#VALUE!</v>
      </c>
      <c r="I92" s="19">
        <f>VLOOKUP($A92,'5 A data'!$A$5:$AB$519,10,FALSE)</f>
        <v>-8.6999999999999994E-3</v>
      </c>
      <c r="J92" s="32">
        <f>VLOOKUP($A92,'5 A data'!$A$5:$AB$519,11,FALSE)</f>
        <v>1.8035068937274742E-2</v>
      </c>
      <c r="K92" s="31"/>
      <c r="L92" s="31"/>
      <c r="M92" s="31" t="e">
        <f>I92*E92+G92+K84*(low__burden-$C92)/($C84-$C92)</f>
        <v>#VALUE!</v>
      </c>
      <c r="N92" s="31" t="e">
        <f>J92*F92+H92+L84*(low__burden-$C92)/($C84-$C92)</f>
        <v>#VALUE!</v>
      </c>
      <c r="O92" s="20"/>
      <c r="P92" s="376" t="e">
        <f>0.0001*VLOOKUP($B92,'844400'!$M$171:$U$237,6,FALSE)/VLOOKUP($B92,'844400'!$M$171:$U$237,8,FALSE)</f>
        <v>#VALUE!</v>
      </c>
      <c r="Q92" s="59">
        <f>VLOOKUP($A92,'5 A data'!$A$5:$AB$519,7,FALSE)*slidewire_res</f>
        <v>1E-4</v>
      </c>
      <c r="R92" s="349">
        <f t="shared" si="165"/>
        <v>2.8659999999999998E-2</v>
      </c>
      <c r="S92" s="4">
        <v>0</v>
      </c>
      <c r="T92" s="4">
        <f t="shared" si="176"/>
        <v>4.35E-4</v>
      </c>
      <c r="U92" s="29" t="e">
        <f t="shared" si="166"/>
        <v>#VALUE!</v>
      </c>
      <c r="V92" s="29">
        <f t="shared" si="146"/>
        <v>5.0000000000000001E-4</v>
      </c>
      <c r="W92" s="23" t="e">
        <f>VLOOKUP($D92,Uncertainties!$B$35:$D$41,2,FALSE)</f>
        <v>#N/A</v>
      </c>
      <c r="X92" s="23"/>
      <c r="Y92" s="24">
        <f t="shared" si="167"/>
        <v>-6.9240291045006715E-7</v>
      </c>
      <c r="Z92" s="23" t="e">
        <f t="shared" si="168"/>
        <v>#VALUE!</v>
      </c>
      <c r="AA92" s="25" t="e">
        <f t="shared" si="169"/>
        <v>#VALUE!</v>
      </c>
      <c r="AB92" s="26" t="e">
        <f t="shared" si="170"/>
        <v>#VALUE!</v>
      </c>
      <c r="AC92" s="14"/>
      <c r="AD92" s="253" t="e">
        <f>0.0001*VLOOKUP($B92,'844400'!$M$171:$U$237,7,FALSE)/VLOOKUP($B92,'844400'!$M$171:$U$237,9,FALSE)</f>
        <v>#VALUE!</v>
      </c>
      <c r="AE92" s="368">
        <f>IF(ABS(VLOOKUP($A92,'5 A data'!$A$5:$AB$1017,6,FALSE))&lt;4.5,IF(ABS(VLOOKUP($A92,'5 A data'!$A$5:$AB$1017,6,FALSE))&lt;1.25,0.0008,0.002),0.004)*VLOOKUP($A92,'5 A data'!$A$5:$AB$1017,7,FALSE)*25*RADIANS(1/60)*100</f>
        <v>2.9088820866572163E-4</v>
      </c>
      <c r="AF92" s="23">
        <f t="shared" si="171"/>
        <v>1.8616845354606189E-3</v>
      </c>
      <c r="AG92" s="29" t="e">
        <f t="shared" si="172"/>
        <v>#VALUE!</v>
      </c>
      <c r="AH92" s="4">
        <f t="shared" si="177"/>
        <v>-9.0175344686373713E-4</v>
      </c>
      <c r="AI92" s="4" t="e">
        <f t="shared" si="173"/>
        <v>#VALUE!</v>
      </c>
      <c r="AJ92" s="4">
        <f t="shared" si="153"/>
        <v>5.0000000000000001E-4</v>
      </c>
      <c r="AK92" s="21" t="e">
        <f>VLOOKUP($D92,Uncertainties!$B$35:$D$41,3,FALSE)</f>
        <v>#N/A</v>
      </c>
      <c r="AL92" s="21"/>
      <c r="AM92" s="371">
        <f>SQRT((VLOOKUP($A92,'5 A data'!$A$5:$AB$1017,7,FALSE)*mutual_ind)^2+(aux_CT_phase*J92)^2)</f>
        <v>2.6185800979691275E-4</v>
      </c>
      <c r="AN92" s="29" t="e">
        <f t="shared" si="174"/>
        <v>#VALUE!</v>
      </c>
      <c r="AO92" s="14" t="e">
        <f t="shared" si="175"/>
        <v>#VALUE!</v>
      </c>
      <c r="AP92" s="27" t="e">
        <f t="shared" si="154"/>
        <v>#VALUE!</v>
      </c>
    </row>
    <row r="93" spans="1:42" ht="13.15" customHeight="1" x14ac:dyDescent="0.2">
      <c r="A93" s="69">
        <v>183</v>
      </c>
      <c r="B93" s="5" t="e">
        <f>B79&amp;D93</f>
        <v>#VALUE!</v>
      </c>
      <c r="C93" s="19">
        <f>VLOOKUP($A93,'5 A data'!$A$5:$AB$519,3,FALSE)</f>
        <v>0</v>
      </c>
      <c r="D93" s="165">
        <f>ROUND(VLOOKUP($A93,'5 A data'!$A$5:$AB$519,9,FALSE)/10,0)*10</f>
        <v>70</v>
      </c>
      <c r="E93" s="23">
        <f t="shared" si="155"/>
        <v>0.99936709902044762</v>
      </c>
      <c r="F93" s="23">
        <f t="shared" si="156"/>
        <v>1.0011822386327505</v>
      </c>
      <c r="G93" s="23" t="e">
        <f>VLOOKUP($B93,'844400'!$M$171:$U$237,4,FALSE)/10000</f>
        <v>#VALUE!</v>
      </c>
      <c r="H93" s="23" t="e">
        <f>VLOOKUP($B93,'844400'!$M$171:$U$237,5,FALSE)/10000</f>
        <v>#VALUE!</v>
      </c>
      <c r="I93" s="19">
        <f>VLOOKUP($A93,'5 A data'!$A$5:$AB$519,10,FALSE)</f>
        <v>-0.152</v>
      </c>
      <c r="J93" s="32">
        <f>VLOOKUP($A93,'5 A data'!$A$5:$AB$519,11,FALSE)</f>
        <v>8.7266462599716477E-3</v>
      </c>
      <c r="K93" s="31"/>
      <c r="L93" s="31"/>
      <c r="M93" s="31" t="e">
        <f t="shared" ref="M93:N95" si="178">I93*E93+G93+K85*(low__burden-$C93)/($C85-$C93)</f>
        <v>#VALUE!</v>
      </c>
      <c r="N93" s="31" t="e">
        <f t="shared" si="178"/>
        <v>#VALUE!</v>
      </c>
      <c r="O93" s="20"/>
      <c r="P93" s="376" t="e">
        <f>0.0001*VLOOKUP($B93,'844400'!$M$171:$U$237,6,FALSE)/VLOOKUP($B93,'844400'!$M$171:$U$237,8,FALSE)</f>
        <v>#VALUE!</v>
      </c>
      <c r="Q93" s="59">
        <f>VLOOKUP($A93,'5 A data'!$A$5:$AB$519,7,FALSE)*slidewire_res</f>
        <v>1E-3</v>
      </c>
      <c r="R93" s="349">
        <f t="shared" si="165"/>
        <v>-2.8620000000000003E-2</v>
      </c>
      <c r="S93" s="4">
        <v>0</v>
      </c>
      <c r="T93" s="4">
        <f t="shared" si="176"/>
        <v>7.2800000000000009E-3</v>
      </c>
      <c r="U93" s="29" t="e">
        <f t="shared" si="166"/>
        <v>#VALUE!</v>
      </c>
      <c r="V93" s="29">
        <f t="shared" si="146"/>
        <v>5.0000000000000001E-4</v>
      </c>
      <c r="W93" s="23" t="e">
        <f>VLOOKUP($D93,Uncertainties!$B$35:$D$41,2,FALSE)</f>
        <v>#N/A</v>
      </c>
      <c r="X93" s="23"/>
      <c r="Y93" s="24">
        <f t="shared" si="167"/>
        <v>-1.2097154297518414E-5</v>
      </c>
      <c r="Z93" s="23" t="e">
        <f t="shared" si="168"/>
        <v>#VALUE!</v>
      </c>
      <c r="AA93" s="25" t="e">
        <f t="shared" si="169"/>
        <v>#VALUE!</v>
      </c>
      <c r="AB93" s="26" t="e">
        <f t="shared" si="170"/>
        <v>#VALUE!</v>
      </c>
      <c r="AC93" s="14"/>
      <c r="AD93" s="253" t="e">
        <f>0.0001*VLOOKUP($B93,'844400'!$M$171:$U$237,7,FALSE)/VLOOKUP($B93,'844400'!$M$171:$U$237,9,FALSE)</f>
        <v>#VALUE!</v>
      </c>
      <c r="AE93" s="368">
        <f>IF(ABS(VLOOKUP($A93,'5 A data'!$A$5:$AB$1017,6,FALSE))&lt;4.5,IF(ABS(VLOOKUP($A93,'5 A data'!$A$5:$AB$1017,6,FALSE))&lt;1.25,0.0008,0.002),0.004)*VLOOKUP($A93,'5 A data'!$A$5:$AB$1017,7,FALSE)*25*RADIANS(1/60)*100</f>
        <v>5.8177641733144327E-4</v>
      </c>
      <c r="AF93" s="23">
        <f t="shared" si="171"/>
        <v>-1.5998851476614691E-3</v>
      </c>
      <c r="AG93" s="29" t="e">
        <f t="shared" si="172"/>
        <v>#VALUE!</v>
      </c>
      <c r="AH93" s="4">
        <f t="shared" si="177"/>
        <v>2.3271056693257723E-4</v>
      </c>
      <c r="AI93" s="4" t="e">
        <f t="shared" si="173"/>
        <v>#VALUE!</v>
      </c>
      <c r="AJ93" s="4">
        <f t="shared" si="153"/>
        <v>5.0000000000000001E-4</v>
      </c>
      <c r="AK93" s="21" t="e">
        <f>VLOOKUP($D93,Uncertainties!$B$35:$D$41,3,FALSE)</f>
        <v>#N/A</v>
      </c>
      <c r="AL93" s="21"/>
      <c r="AM93" s="371">
        <f>SQRT((VLOOKUP($A93,'5 A data'!$A$5:$AB$1017,7,FALSE)*mutual_ind)^2+(aux_CT_phase*J93)^2)</f>
        <v>2.6179952506681626E-3</v>
      </c>
      <c r="AN93" s="29" t="e">
        <f t="shared" si="174"/>
        <v>#VALUE!</v>
      </c>
      <c r="AO93" s="14" t="e">
        <f t="shared" si="175"/>
        <v>#VALUE!</v>
      </c>
      <c r="AP93" s="27" t="e">
        <f t="shared" si="154"/>
        <v>#VALUE!</v>
      </c>
    </row>
    <row r="94" spans="1:42" ht="13.15" customHeight="1" x14ac:dyDescent="0.2">
      <c r="A94">
        <v>184</v>
      </c>
      <c r="B94" s="5" t="e">
        <f>B79&amp;D94</f>
        <v>#VALUE!</v>
      </c>
      <c r="C94" s="19">
        <f>VLOOKUP($A94,'5 A data'!$A$5:$AB$519,3,FALSE)</f>
        <v>0</v>
      </c>
      <c r="D94" s="166">
        <f>ROUND(VLOOKUP($A94,'5 A data'!$A$5:$AB$519,9,FALSE)/10,0)*10</f>
        <v>100</v>
      </c>
      <c r="E94" s="23">
        <f t="shared" si="155"/>
        <v>0.99936709902044762</v>
      </c>
      <c r="F94" s="23">
        <f t="shared" si="156"/>
        <v>1.0011822386327505</v>
      </c>
      <c r="G94" s="23" t="e">
        <f>VLOOKUP($B94,'844400'!$M$171:$U$237,4,FALSE)/10000</f>
        <v>#VALUE!</v>
      </c>
      <c r="H94" s="23" t="e">
        <f>VLOOKUP($B94,'844400'!$M$171:$U$237,5,FALSE)/10000</f>
        <v>#VALUE!</v>
      </c>
      <c r="I94" s="19">
        <f>VLOOKUP($A94,'5 A data'!$A$5:$AB$519,10,FALSE)</f>
        <v>-8.8999999999999999E-3</v>
      </c>
      <c r="J94" s="32">
        <f>VLOOKUP($A94,'5 A data'!$A$5:$AB$519,11,FALSE)</f>
        <v>1.6726071998278993E-2</v>
      </c>
      <c r="K94" s="31"/>
      <c r="L94" s="31"/>
      <c r="M94" s="31" t="e">
        <f t="shared" si="178"/>
        <v>#VALUE!</v>
      </c>
      <c r="N94" s="31" t="e">
        <f t="shared" si="178"/>
        <v>#VALUE!</v>
      </c>
      <c r="O94" s="20"/>
      <c r="P94" s="376" t="e">
        <f>0.0001*VLOOKUP($B94,'844400'!$M$171:$U$237,6,FALSE)/VLOOKUP($B94,'844400'!$M$171:$U$237,8,FALSE)</f>
        <v>#VALUE!</v>
      </c>
      <c r="Q94" s="59">
        <f>VLOOKUP($A94,'5 A data'!$A$5:$AB$519,7,FALSE)*slidewire_res</f>
        <v>1E-4</v>
      </c>
      <c r="R94" s="349">
        <f t="shared" si="165"/>
        <v>2.8820000000000002E-2</v>
      </c>
      <c r="S94" s="4">
        <v>0</v>
      </c>
      <c r="T94" s="4">
        <f t="shared" si="176"/>
        <v>-2.1050000000000005E-3</v>
      </c>
      <c r="U94" s="29" t="e">
        <f t="shared" si="166"/>
        <v>#VALUE!</v>
      </c>
      <c r="V94" s="29">
        <f t="shared" si="146"/>
        <v>5.0000000000000001E-4</v>
      </c>
      <c r="W94" s="23">
        <f>VLOOKUP($D94,Uncertainties!$B$35:$D$41,2,FALSE)</f>
        <v>0</v>
      </c>
      <c r="X94" s="23"/>
      <c r="Y94" s="24">
        <f t="shared" si="167"/>
        <v>-7.0832021873627558E-7</v>
      </c>
      <c r="Z94" s="23" t="e">
        <f t="shared" si="168"/>
        <v>#VALUE!</v>
      </c>
      <c r="AA94" s="25" t="e">
        <f t="shared" si="169"/>
        <v>#VALUE!</v>
      </c>
      <c r="AB94" s="26" t="e">
        <f t="shared" si="170"/>
        <v>#VALUE!</v>
      </c>
      <c r="AC94" s="14"/>
      <c r="AD94" s="253" t="e">
        <f>0.0001*VLOOKUP($B94,'844400'!$M$171:$U$237,7,FALSE)/VLOOKUP($B94,'844400'!$M$171:$U$237,9,FALSE)</f>
        <v>#VALUE!</v>
      </c>
      <c r="AE94" s="368">
        <f>IF(ABS(VLOOKUP($A94,'5 A data'!$A$5:$AB$1017,6,FALSE))&lt;4.5,IF(ABS(VLOOKUP($A94,'5 A data'!$A$5:$AB$1017,6,FALSE))&lt;1.25,0.0008,0.002),0.004)*VLOOKUP($A94,'5 A data'!$A$5:$AB$1017,7,FALSE)*25*RADIANS(1/60)*100</f>
        <v>2.9088820866572163E-4</v>
      </c>
      <c r="AF94" s="23">
        <f t="shared" si="171"/>
        <v>1.8907733563271905E-3</v>
      </c>
      <c r="AG94" s="29" t="e">
        <f t="shared" si="172"/>
        <v>#VALUE!</v>
      </c>
      <c r="AH94" s="4">
        <f t="shared" si="177"/>
        <v>-2.8361600344907869E-4</v>
      </c>
      <c r="AI94" s="4" t="e">
        <f t="shared" si="173"/>
        <v>#VALUE!</v>
      </c>
      <c r="AJ94" s="4">
        <f t="shared" si="153"/>
        <v>5.0000000000000001E-4</v>
      </c>
      <c r="AK94" s="21">
        <f>VLOOKUP($D94,Uncertainties!$B$35:$D$41,3,FALSE)</f>
        <v>0</v>
      </c>
      <c r="AL94" s="21"/>
      <c r="AM94" s="371">
        <f>SQRT((VLOOKUP($A94,'5 A data'!$A$5:$AB$1017,7,FALSE)*mutual_ind)^2+(aux_CT_phase*J94)^2)</f>
        <v>2.6184980975939813E-4</v>
      </c>
      <c r="AN94" s="29" t="e">
        <f t="shared" si="174"/>
        <v>#VALUE!</v>
      </c>
      <c r="AO94" s="14" t="e">
        <f t="shared" si="175"/>
        <v>#VALUE!</v>
      </c>
      <c r="AP94" s="27" t="e">
        <f t="shared" si="154"/>
        <v>#VALUE!</v>
      </c>
    </row>
    <row r="95" spans="1:42" ht="13.15" customHeight="1" x14ac:dyDescent="0.2">
      <c r="A95" s="69">
        <v>185</v>
      </c>
      <c r="B95" s="5" t="e">
        <f>B79&amp;D95</f>
        <v>#VALUE!</v>
      </c>
      <c r="C95" s="19">
        <f>VLOOKUP($A95,'5 A data'!$A$5:$AB$519,3,FALSE)</f>
        <v>0</v>
      </c>
      <c r="D95" s="166">
        <f>ROUND(VLOOKUP($A95,'5 A data'!$A$5:$AB$519,9,FALSE)/10,0)*10</f>
        <v>100</v>
      </c>
      <c r="E95" s="23">
        <f t="shared" si="155"/>
        <v>0.99936709902044762</v>
      </c>
      <c r="F95" s="23">
        <f t="shared" si="156"/>
        <v>1.0011822386327505</v>
      </c>
      <c r="G95" s="23" t="e">
        <f>VLOOKUP($B95,'844400'!$M$171:$U$237,4,FALSE)/10000</f>
        <v>#VALUE!</v>
      </c>
      <c r="H95" s="23" t="e">
        <f>VLOOKUP($B95,'844400'!$M$171:$U$237,5,FALSE)/10000</f>
        <v>#VALUE!</v>
      </c>
      <c r="I95" s="19">
        <f>VLOOKUP($A95,'5 A data'!$A$5:$AB$519,10,FALSE)</f>
        <v>-0.153</v>
      </c>
      <c r="J95" s="32">
        <f>VLOOKUP($A95,'5 A data'!$A$5:$AB$519,11,FALSE)</f>
        <v>7.2722052166430398E-3</v>
      </c>
      <c r="K95" s="31"/>
      <c r="L95" s="31"/>
      <c r="M95" s="31" t="e">
        <f t="shared" si="178"/>
        <v>#VALUE!</v>
      </c>
      <c r="N95" s="31" t="e">
        <f t="shared" si="178"/>
        <v>#VALUE!</v>
      </c>
      <c r="O95" s="20"/>
      <c r="P95" s="376" t="e">
        <f>0.0001*VLOOKUP($B95,'844400'!$M$171:$U$237,6,FALSE)/VLOOKUP($B95,'844400'!$M$171:$U$237,8,FALSE)</f>
        <v>#VALUE!</v>
      </c>
      <c r="Q95" s="59">
        <f>VLOOKUP($A95,'5 A data'!$A$5:$AB$519,7,FALSE)*slidewire_res</f>
        <v>1E-3</v>
      </c>
      <c r="R95" s="349">
        <f t="shared" si="165"/>
        <v>0</v>
      </c>
      <c r="S95" s="4">
        <v>0</v>
      </c>
      <c r="T95" s="4">
        <f t="shared" si="176"/>
        <v>7.3200000000000001E-3</v>
      </c>
      <c r="U95" s="29" t="e">
        <f t="shared" si="166"/>
        <v>#VALUE!</v>
      </c>
      <c r="V95" s="29">
        <f t="shared" si="146"/>
        <v>5.0000000000000001E-4</v>
      </c>
      <c r="W95" s="23">
        <f>VLOOKUP($D95,Uncertainties!$B$35:$D$41,2,FALSE)</f>
        <v>0</v>
      </c>
      <c r="X95" s="23"/>
      <c r="Y95" s="24">
        <f t="shared" si="167"/>
        <v>-1.2176740838949457E-5</v>
      </c>
      <c r="Z95" s="23" t="e">
        <f t="shared" si="168"/>
        <v>#VALUE!</v>
      </c>
      <c r="AA95" s="25" t="e">
        <f t="shared" si="169"/>
        <v>#VALUE!</v>
      </c>
      <c r="AB95" s="26" t="e">
        <f t="shared" si="170"/>
        <v>#VALUE!</v>
      </c>
      <c r="AC95" s="14"/>
      <c r="AD95" s="253" t="e">
        <f>0.0001*VLOOKUP($B95,'844400'!$M$171:$U$237,7,FALSE)/VLOOKUP($B95,'844400'!$M$171:$U$237,9,FALSE)</f>
        <v>#VALUE!</v>
      </c>
      <c r="AE95" s="368">
        <f>IF(ABS(VLOOKUP($A95,'5 A data'!$A$5:$AB$1017,6,FALSE))&lt;4.5,IF(ABS(VLOOKUP($A95,'5 A data'!$A$5:$AB$1017,6,FALSE))&lt;1.25,0.0008,0.002),0.004)*VLOOKUP($A95,'5 A data'!$A$5:$AB$1017,7,FALSE)*25*RADIANS(1/60)*100</f>
        <v>5.8177641733144327E-4</v>
      </c>
      <c r="AF95" s="23">
        <f t="shared" si="171"/>
        <v>0</v>
      </c>
      <c r="AG95" s="29" t="e">
        <f t="shared" si="172"/>
        <v>#VALUE!</v>
      </c>
      <c r="AH95" s="4">
        <f t="shared" si="177"/>
        <v>2.6179938779914941E-4</v>
      </c>
      <c r="AI95" s="4" t="e">
        <f t="shared" si="173"/>
        <v>#VALUE!</v>
      </c>
      <c r="AJ95" s="4">
        <f t="shared" si="153"/>
        <v>5.0000000000000001E-4</v>
      </c>
      <c r="AK95" s="21">
        <f>VLOOKUP($D95,Uncertainties!$B$35:$D$41,3,FALSE)</f>
        <v>0</v>
      </c>
      <c r="AL95" s="21"/>
      <c r="AM95" s="371">
        <f>SQRT((VLOOKUP($A95,'5 A data'!$A$5:$AB$1017,7,FALSE)*mutual_ind)^2+(aux_CT_phase*J95)^2)</f>
        <v>2.6179948312392573E-3</v>
      </c>
      <c r="AN95" s="29" t="e">
        <f t="shared" si="174"/>
        <v>#VALUE!</v>
      </c>
      <c r="AO95" s="14" t="e">
        <f t="shared" si="175"/>
        <v>#VALUE!</v>
      </c>
      <c r="AP95" s="27" t="e">
        <f t="shared" si="154"/>
        <v>#VALUE!</v>
      </c>
    </row>
    <row r="96" spans="1:42" ht="13.15" customHeight="1" x14ac:dyDescent="0.2">
      <c r="A96">
        <v>186</v>
      </c>
      <c r="P96" s="100"/>
      <c r="R96" s="42"/>
      <c r="AD96" s="252"/>
    </row>
    <row r="97" spans="1:42" ht="13.15" customHeight="1" x14ac:dyDescent="0.2">
      <c r="A97" s="69">
        <v>187</v>
      </c>
      <c r="B97" s="161" t="e">
        <f>MID(D97,FIND("AT range",D97,1)-5,4)</f>
        <v>#VALUE!</v>
      </c>
      <c r="C97" t="s">
        <v>114</v>
      </c>
      <c r="D97" s="163">
        <f>VLOOKUP($A97,'5 A data'!$A$5:$AB$418,2,FALSE)</f>
        <v>0</v>
      </c>
      <c r="E97" s="160"/>
      <c r="F97" s="160"/>
      <c r="G97" s="160"/>
      <c r="H97" s="160"/>
      <c r="I97" s="160"/>
      <c r="J97" s="160"/>
      <c r="K97" s="160"/>
      <c r="M97" s="4"/>
      <c r="N97" s="4"/>
      <c r="P97" s="100"/>
      <c r="R97" s="42"/>
      <c r="AD97" s="252"/>
    </row>
    <row r="98" spans="1:42" ht="13.15" customHeight="1" x14ac:dyDescent="0.2">
      <c r="A98">
        <v>188</v>
      </c>
      <c r="M98" s="533" t="s">
        <v>161</v>
      </c>
      <c r="N98" s="533"/>
      <c r="P98" s="100"/>
      <c r="R98" s="42"/>
      <c r="AD98" s="252"/>
    </row>
    <row r="99" spans="1:42" ht="13.15" customHeight="1" x14ac:dyDescent="0.2">
      <c r="A99" s="69">
        <v>189</v>
      </c>
      <c r="B99" s="5" t="e">
        <f>B97&amp;D99</f>
        <v>#VALUE!</v>
      </c>
      <c r="C99" s="19">
        <f>VLOOKUP($A99,'5 A data'!$A$5:$AB$419,3,FALSE)</f>
        <v>0</v>
      </c>
      <c r="D99" s="19">
        <f>ROUND(VLOOKUP($A99,'5 A data'!$A$5:$AB$519,9,FALSE),0)</f>
        <v>70</v>
      </c>
      <c r="E99" s="23">
        <f>TestSetRatioCor</f>
        <v>0.99936709902044762</v>
      </c>
      <c r="F99" s="23">
        <f>TestSetPhaseCor</f>
        <v>1.0011822386327505</v>
      </c>
      <c r="G99" s="23" t="e">
        <f>VLOOKUP($B99,'844400'!$M$171:$U$237,4,FALSE)/10000</f>
        <v>#VALUE!</v>
      </c>
      <c r="H99" s="23" t="e">
        <f>VLOOKUP($B99,'844400'!$M$171:$U$237,5,FALSE)/10000</f>
        <v>#VALUE!</v>
      </c>
      <c r="I99" s="19">
        <f>VLOOKUP($A99,'5 A data'!$A$5:$AB$519,10,FALSE)</f>
        <v>-1.09E-2</v>
      </c>
      <c r="J99" s="32">
        <f>VLOOKUP($A99,'5 A data'!$A$5:$AB$519,11,FALSE)</f>
        <v>2.2107503858594838E-2</v>
      </c>
      <c r="K99" s="22">
        <f t="shared" ref="K99:L102" si="179">I99-I107</f>
        <v>0.34509999999999996</v>
      </c>
      <c r="L99" s="22">
        <f t="shared" si="179"/>
        <v>1.338085759862319E-2</v>
      </c>
      <c r="M99" s="31" t="e">
        <f t="shared" ref="M99:N101" si="180">I99*E99+G99-K99*($C99-high_burden)/($C99-$C107)</f>
        <v>#VALUE!</v>
      </c>
      <c r="N99" s="31" t="e">
        <f t="shared" si="180"/>
        <v>#VALUE!</v>
      </c>
      <c r="P99" s="376" t="e">
        <f>0.0001*VLOOKUP($B99,'844400'!$M$171:$U$237,6,FALSE)/VLOOKUP($B99,'844400'!$M$171:$U$237,8,FALSE)</f>
        <v>#VALUE!</v>
      </c>
      <c r="Q99" s="59">
        <f>VLOOKUP($A99,'5 A data'!$A$5:$AB$519,7,FALSE)*slidewire_res</f>
        <v>1E-4</v>
      </c>
      <c r="R99" s="349">
        <f t="shared" ref="R99:R105" si="181">current_coef*(I99-I100)*IF(I100=0,0,1)</f>
        <v>4.8420000000000005E-2</v>
      </c>
      <c r="S99" s="21">
        <v>0</v>
      </c>
      <c r="T99" s="21">
        <f>BurdenUnc*K99</f>
        <v>1.7255E-2</v>
      </c>
      <c r="U99" s="23" t="e">
        <f t="shared" ref="U99:U105" si="182">0.004*M99</f>
        <v>#VALUE!</v>
      </c>
      <c r="V99" s="23">
        <f t="shared" ref="V99:V113" si="183">earthing_Re</f>
        <v>5.0000000000000001E-4</v>
      </c>
      <c r="W99" s="23" t="e">
        <f>VLOOKUP($D99,Uncertainties!$B$35:$D$41,2,FALSE)</f>
        <v>#N/A</v>
      </c>
      <c r="X99" s="23"/>
      <c r="Y99" s="24">
        <f t="shared" ref="Y99:Y105" si="184">I99*aux_CT_ratio</f>
        <v>-8.6749330159836007E-7</v>
      </c>
      <c r="Z99" s="23" t="e">
        <f t="shared" ref="Z99:Z105" si="185">SQRT(SUMSQ(P99:Y99))</f>
        <v>#VALUE!</v>
      </c>
      <c r="AA99" s="25" t="e">
        <f t="shared" ref="AA99:AA105" si="186">DoF_A(P99:Y99,$P$7:$Y$7)</f>
        <v>#VALUE!</v>
      </c>
      <c r="AB99" s="26" t="e">
        <f t="shared" ref="AB99:AB105" si="187">CoverFactor(AA99)</f>
        <v>#VALUE!</v>
      </c>
      <c r="AC99" s="14"/>
      <c r="AD99" s="253" t="e">
        <f>0.0001*VLOOKUP($B99,'844400'!$M$171:$U$237,7,FALSE)/VLOOKUP($B99,'844400'!$M$171:$U$237,9,FALSE)</f>
        <v>#VALUE!</v>
      </c>
      <c r="AE99" s="368">
        <f>IF(ABS(VLOOKUP($A99,'5 A data'!$A$5:$AB$1017,6,FALSE))&lt;4.5,IF(ABS(VLOOKUP($A99,'5 A data'!$A$5:$AB$1017,6,FALSE))&lt;1.25,0.0008,0.002),0.004)*VLOOKUP($A99,'5 A data'!$A$5:$AB$1017,7,FALSE)*25*RADIANS(1/60)*100</f>
        <v>2.9088820866572163E-4</v>
      </c>
      <c r="AF99" s="23">
        <f>current_coef*(J99-J100)*IF(J100=0,0,1)</f>
        <v>2.6761715197246381E-3</v>
      </c>
      <c r="AG99" s="29" t="e">
        <f t="shared" ref="AG99:AG105" si="188">0.001*N99</f>
        <v>#VALUE!</v>
      </c>
      <c r="AH99" s="4">
        <f>BurdenUnc*L99</f>
        <v>6.6904287993115952E-4</v>
      </c>
      <c r="AI99" s="4" t="e">
        <f t="shared" ref="AI99:AI105" si="189">0.004*N99</f>
        <v>#VALUE!</v>
      </c>
      <c r="AJ99" s="4">
        <f t="shared" ref="AJ99:AJ113" si="190">earthing_Im</f>
        <v>5.0000000000000001E-4</v>
      </c>
      <c r="AK99" s="21" t="e">
        <f>VLOOKUP($D99,Uncertainties!$B$35:$D$41,3,FALSE)</f>
        <v>#N/A</v>
      </c>
      <c r="AL99" s="21"/>
      <c r="AM99" s="371">
        <f>SQRT((VLOOKUP($A99,'5 A data'!$A$5:$AB$1017,7,FALSE)*mutual_ind)^2+(aux_CT_phase*J99)^2)</f>
        <v>2.6188746834338548E-4</v>
      </c>
      <c r="AN99" s="29" t="e">
        <f t="shared" ref="AN99:AN105" si="191">SQRT(SUMSQ(AD99:AM99))</f>
        <v>#VALUE!</v>
      </c>
      <c r="AO99" s="14" t="e">
        <f t="shared" ref="AO99:AO105" si="192">DoF_A(AD99:AM99,$AD$7:$AM$7)</f>
        <v>#VALUE!</v>
      </c>
      <c r="AP99" s="27" t="e">
        <f t="shared" ref="AP99:AP105" si="193">CoverFactor(AO99)</f>
        <v>#VALUE!</v>
      </c>
    </row>
    <row r="100" spans="1:42" ht="13.15" customHeight="1" x14ac:dyDescent="0.2">
      <c r="A100">
        <v>190</v>
      </c>
      <c r="B100" s="5" t="e">
        <f>B97&amp;D100</f>
        <v>#VALUE!</v>
      </c>
      <c r="C100" s="19">
        <f>VLOOKUP($A100,'5 A data'!$A$5:$AB$519,3,FALSE)</f>
        <v>0</v>
      </c>
      <c r="D100" s="165">
        <f>ROUND(VLOOKUP($A100,'5 A data'!$A$5:$AB$519,9,FALSE)/10,0)*10</f>
        <v>70</v>
      </c>
      <c r="E100" s="23">
        <f t="shared" ref="E100:E113" si="194">TestSetRatioCor</f>
        <v>0.99936709902044762</v>
      </c>
      <c r="F100" s="23">
        <f t="shared" ref="F100:F113" si="195">TestSetPhaseCor</f>
        <v>1.0011822386327505</v>
      </c>
      <c r="G100" s="23" t="e">
        <f>VLOOKUP($B100,'844400'!$M$171:$U$237,4,FALSE)/10000</f>
        <v>#VALUE!</v>
      </c>
      <c r="H100" s="23" t="e">
        <f>VLOOKUP($B100,'844400'!$M$171:$U$237,5,FALSE)/10000</f>
        <v>#VALUE!</v>
      </c>
      <c r="I100" s="19">
        <f>VLOOKUP($A100,'5 A data'!$A$5:$AB$519,10,FALSE)</f>
        <v>-0.253</v>
      </c>
      <c r="J100" s="32">
        <f>VLOOKUP($A100,'5 A data'!$A$5:$AB$519,11,FALSE)</f>
        <v>8.7266462599716477E-3</v>
      </c>
      <c r="K100" s="22">
        <f t="shared" si="179"/>
        <v>-0.2397</v>
      </c>
      <c r="L100" s="22">
        <f t="shared" si="179"/>
        <v>-1.4689854537618946E-2</v>
      </c>
      <c r="M100" s="31" t="e">
        <f t="shared" si="180"/>
        <v>#VALUE!</v>
      </c>
      <c r="N100" s="31" t="e">
        <f t="shared" si="180"/>
        <v>#VALUE!</v>
      </c>
      <c r="P100" s="376" t="e">
        <f>0.0001*VLOOKUP($B100,'844400'!$M$171:$U$237,6,FALSE)/VLOOKUP($B100,'844400'!$M$171:$U$237,8,FALSE)</f>
        <v>#VALUE!</v>
      </c>
      <c r="Q100" s="59">
        <f>VLOOKUP($A100,'5 A data'!$A$5:$AB$519,7,FALSE)*slidewire_res</f>
        <v>1E-3</v>
      </c>
      <c r="R100" s="349">
        <f t="shared" si="181"/>
        <v>-4.8380000000000006E-2</v>
      </c>
      <c r="S100" s="4">
        <v>0</v>
      </c>
      <c r="T100" s="21">
        <f t="shared" ref="T100:T105" si="196">BurdenUnc*K100</f>
        <v>-1.1985000000000001E-2</v>
      </c>
      <c r="U100" s="29" t="e">
        <f t="shared" si="182"/>
        <v>#VALUE!</v>
      </c>
      <c r="V100" s="29">
        <f t="shared" si="183"/>
        <v>5.0000000000000001E-4</v>
      </c>
      <c r="W100" s="23" t="e">
        <f>VLOOKUP($D100,Uncertainties!$B$35:$D$41,2,FALSE)</f>
        <v>#N/A</v>
      </c>
      <c r="X100" s="23"/>
      <c r="Y100" s="24">
        <f t="shared" si="184"/>
        <v>-2.0135394982053679E-5</v>
      </c>
      <c r="Z100" s="23" t="e">
        <f t="shared" si="185"/>
        <v>#VALUE!</v>
      </c>
      <c r="AA100" s="25" t="e">
        <f t="shared" si="186"/>
        <v>#VALUE!</v>
      </c>
      <c r="AB100" s="26" t="e">
        <f t="shared" si="187"/>
        <v>#VALUE!</v>
      </c>
      <c r="AC100" s="14"/>
      <c r="AD100" s="253" t="e">
        <f>0.0001*VLOOKUP($B100,'844400'!$M$171:$U$237,7,FALSE)/VLOOKUP($B100,'844400'!$M$171:$U$237,9,FALSE)</f>
        <v>#VALUE!</v>
      </c>
      <c r="AE100" s="368">
        <f>IF(ABS(VLOOKUP($A100,'5 A data'!$A$5:$AB$1017,6,FALSE))&lt;4.5,IF(ABS(VLOOKUP($A100,'5 A data'!$A$5:$AB$1017,6,FALSE))&lt;1.25,0.0008,0.002),0.004)*VLOOKUP($A100,'5 A data'!$A$5:$AB$1017,7,FALSE)*25*RADIANS(1/60)*100</f>
        <v>5.8177641733144327E-4</v>
      </c>
      <c r="AF100" s="23">
        <f t="shared" ref="AF100:AF105" si="197">current_coef*(J100-J101)*IF(J101=0,0,1)</f>
        <v>-2.3271056693257726E-3</v>
      </c>
      <c r="AG100" s="29" t="e">
        <f t="shared" si="188"/>
        <v>#VALUE!</v>
      </c>
      <c r="AH100" s="4">
        <f t="shared" ref="AH100:AH105" si="198">BurdenUnc*L100</f>
        <v>-7.3449272688094736E-4</v>
      </c>
      <c r="AI100" s="4" t="e">
        <f t="shared" si="189"/>
        <v>#VALUE!</v>
      </c>
      <c r="AJ100" s="4">
        <f t="shared" si="190"/>
        <v>5.0000000000000001E-4</v>
      </c>
      <c r="AK100" s="21" t="e">
        <f>VLOOKUP($D100,Uncertainties!$B$35:$D$41,3,FALSE)</f>
        <v>#N/A</v>
      </c>
      <c r="AL100" s="21"/>
      <c r="AM100" s="371">
        <f>SQRT((VLOOKUP($A100,'5 A data'!$A$5:$AB$1017,7,FALSE)*mutual_ind)^2+(aux_CT_phase*J100)^2)</f>
        <v>2.6179952506681626E-3</v>
      </c>
      <c r="AN100" s="29" t="e">
        <f t="shared" si="191"/>
        <v>#VALUE!</v>
      </c>
      <c r="AO100" s="14" t="e">
        <f t="shared" si="192"/>
        <v>#VALUE!</v>
      </c>
      <c r="AP100" s="27" t="e">
        <f t="shared" si="193"/>
        <v>#VALUE!</v>
      </c>
    </row>
    <row r="101" spans="1:42" ht="13.15" customHeight="1" x14ac:dyDescent="0.2">
      <c r="A101" s="69">
        <v>191</v>
      </c>
      <c r="B101" s="5" t="e">
        <f>B97&amp;D101</f>
        <v>#VALUE!</v>
      </c>
      <c r="C101" s="19">
        <f>VLOOKUP($A101,'5 A data'!$A$5:$AB$519,3,FALSE)</f>
        <v>0</v>
      </c>
      <c r="D101" s="165">
        <f>ROUND(VLOOKUP($A101,'5 A data'!$A$5:$AB$519,9,FALSE)/10,0)*10</f>
        <v>100</v>
      </c>
      <c r="E101" s="23">
        <f t="shared" si="194"/>
        <v>0.99936709902044762</v>
      </c>
      <c r="F101" s="23">
        <f t="shared" si="195"/>
        <v>1.0011822386327505</v>
      </c>
      <c r="G101" s="23" t="e">
        <f>VLOOKUP($B101,'844400'!$M$171:$U$237,4,FALSE)/10000</f>
        <v>#VALUE!</v>
      </c>
      <c r="H101" s="23" t="e">
        <f>VLOOKUP($B101,'844400'!$M$171:$U$237,5,FALSE)/10000</f>
        <v>#VALUE!</v>
      </c>
      <c r="I101" s="19">
        <f>VLOOKUP($A101,'5 A data'!$A$5:$AB$519,10,FALSE)</f>
        <v>-1.11E-2</v>
      </c>
      <c r="J101" s="32">
        <f>VLOOKUP($A101,'5 A data'!$A$5:$AB$519,11,FALSE)</f>
        <v>2.036217460660051E-2</v>
      </c>
      <c r="K101" s="22">
        <f t="shared" si="179"/>
        <v>0.34689999999999999</v>
      </c>
      <c r="L101" s="22">
        <f t="shared" si="179"/>
        <v>1.3089969389957469E-2</v>
      </c>
      <c r="M101" s="31" t="e">
        <f t="shared" si="180"/>
        <v>#VALUE!</v>
      </c>
      <c r="N101" s="31" t="e">
        <f t="shared" si="180"/>
        <v>#VALUE!</v>
      </c>
      <c r="P101" s="376" t="e">
        <f>0.0001*VLOOKUP($B101,'844400'!$M$171:$U$237,6,FALSE)/VLOOKUP($B101,'844400'!$M$171:$U$237,8,FALSE)</f>
        <v>#VALUE!</v>
      </c>
      <c r="Q101" s="59">
        <f>VLOOKUP($A101,'5 A data'!$A$5:$AB$519,7,FALSE)*slidewire_res</f>
        <v>1E-4</v>
      </c>
      <c r="R101" s="349">
        <f t="shared" si="181"/>
        <v>4.8980000000000003E-2</v>
      </c>
      <c r="S101" s="4">
        <v>0</v>
      </c>
      <c r="T101" s="21">
        <f t="shared" si="196"/>
        <v>1.7344999999999999E-2</v>
      </c>
      <c r="U101" s="29" t="e">
        <f t="shared" si="182"/>
        <v>#VALUE!</v>
      </c>
      <c r="V101" s="29">
        <f t="shared" si="183"/>
        <v>5.0000000000000001E-4</v>
      </c>
      <c r="W101" s="23">
        <f>VLOOKUP($D101,Uncertainties!$B$35:$D$41,2,FALSE)</f>
        <v>0</v>
      </c>
      <c r="X101" s="23"/>
      <c r="Y101" s="24">
        <f t="shared" si="184"/>
        <v>-8.834106098845685E-7</v>
      </c>
      <c r="Z101" s="23" t="e">
        <f t="shared" si="185"/>
        <v>#VALUE!</v>
      </c>
      <c r="AA101" s="25" t="e">
        <f t="shared" si="186"/>
        <v>#VALUE!</v>
      </c>
      <c r="AB101" s="26" t="e">
        <f t="shared" si="187"/>
        <v>#VALUE!</v>
      </c>
      <c r="AC101" s="14"/>
      <c r="AD101" s="253" t="e">
        <f>0.0001*VLOOKUP($B101,'844400'!$M$171:$U$237,7,FALSE)/VLOOKUP($B101,'844400'!$M$171:$U$237,9,FALSE)</f>
        <v>#VALUE!</v>
      </c>
      <c r="AE101" s="368">
        <f>IF(ABS(VLOOKUP($A101,'5 A data'!$A$5:$AB$1017,6,FALSE))&lt;4.5,IF(ABS(VLOOKUP($A101,'5 A data'!$A$5:$AB$1017,6,FALSE))&lt;1.25,0.0008,0.002),0.004)*VLOOKUP($A101,'5 A data'!$A$5:$AB$1017,7,FALSE)*25*RADIANS(1/60)*100</f>
        <v>2.9088820866572163E-4</v>
      </c>
      <c r="AF101" s="23">
        <f t="shared" si="197"/>
        <v>2.9088820866572159E-3</v>
      </c>
      <c r="AG101" s="29" t="e">
        <f t="shared" si="188"/>
        <v>#VALUE!</v>
      </c>
      <c r="AH101" s="4">
        <f t="shared" si="198"/>
        <v>6.5449846949787352E-4</v>
      </c>
      <c r="AI101" s="4" t="e">
        <f t="shared" si="189"/>
        <v>#VALUE!</v>
      </c>
      <c r="AJ101" s="4">
        <f t="shared" si="190"/>
        <v>5.0000000000000001E-4</v>
      </c>
      <c r="AK101" s="21">
        <f>VLOOKUP($D101,Uncertainties!$B$35:$D$41,3,FALSE)</f>
        <v>0</v>
      </c>
      <c r="AL101" s="21"/>
      <c r="AM101" s="371">
        <f>SQRT((VLOOKUP($A101,'5 A data'!$A$5:$AB$1017,7,FALSE)*mutual_ind)^2+(aux_CT_phase*J101)^2)</f>
        <v>2.6187411177331965E-4</v>
      </c>
      <c r="AN101" s="29" t="e">
        <f t="shared" si="191"/>
        <v>#VALUE!</v>
      </c>
      <c r="AO101" s="14" t="e">
        <f t="shared" si="192"/>
        <v>#VALUE!</v>
      </c>
      <c r="AP101" s="27" t="e">
        <f t="shared" si="193"/>
        <v>#VALUE!</v>
      </c>
    </row>
    <row r="102" spans="1:42" ht="13.15" customHeight="1" x14ac:dyDescent="0.2">
      <c r="A102">
        <v>192</v>
      </c>
      <c r="B102" s="5" t="e">
        <f>B97&amp;D102</f>
        <v>#VALUE!</v>
      </c>
      <c r="C102" s="19">
        <f>VLOOKUP($A102,'5 A data'!$A$5:$AB$519,3,FALSE)</f>
        <v>0</v>
      </c>
      <c r="D102" s="165">
        <f>ROUND(VLOOKUP($A102,'5 A data'!$A$5:$AB$519,9,FALSE)/10,0)*10</f>
        <v>100</v>
      </c>
      <c r="E102" s="23">
        <f t="shared" si="194"/>
        <v>0.99936709902044762</v>
      </c>
      <c r="F102" s="23">
        <f t="shared" si="195"/>
        <v>1.0011822386327505</v>
      </c>
      <c r="G102" s="23" t="e">
        <f>VLOOKUP($B102,'844400'!$M$171:$U$237,4,FALSE)/10000</f>
        <v>#VALUE!</v>
      </c>
      <c r="H102" s="23" t="e">
        <f>VLOOKUP($B102,'844400'!$M$171:$U$237,5,FALSE)/10000</f>
        <v>#VALUE!</v>
      </c>
      <c r="I102" s="19">
        <f>VLOOKUP($A102,'5 A data'!$A$5:$AB$519,10,FALSE)</f>
        <v>-0.25600000000000001</v>
      </c>
      <c r="J102" s="32">
        <f>VLOOKUP($A102,'5 A data'!$A$5:$AB$519,11,FALSE)</f>
        <v>5.8177641733144318E-3</v>
      </c>
      <c r="K102" s="22">
        <f t="shared" si="179"/>
        <v>-0.25600000000000001</v>
      </c>
      <c r="L102" s="22">
        <f t="shared" si="179"/>
        <v>5.8177641733144318E-3</v>
      </c>
      <c r="M102" s="31" t="e">
        <f>I102*E102+G102-K102*($C102-high_burden)/($C102-$C110)</f>
        <v>#VALUE!</v>
      </c>
      <c r="N102" s="31" t="e">
        <f>J102*F102+H102-L102*($C102-high_burden)/($C102-$C110)</f>
        <v>#VALUE!</v>
      </c>
      <c r="P102" s="376" t="e">
        <f>0.0001*VLOOKUP($B102,'844400'!$M$171:$U$237,6,FALSE)/VLOOKUP($B102,'844400'!$M$171:$U$237,8,FALSE)</f>
        <v>#VALUE!</v>
      </c>
      <c r="Q102" s="59">
        <f>VLOOKUP($A102,'5 A data'!$A$5:$AB$519,7,FALSE)*slidewire_res</f>
        <v>1E-3</v>
      </c>
      <c r="R102" s="349">
        <f t="shared" si="181"/>
        <v>0</v>
      </c>
      <c r="S102" s="4">
        <v>0</v>
      </c>
      <c r="T102" s="21">
        <f t="shared" si="196"/>
        <v>-1.2800000000000001E-2</v>
      </c>
      <c r="U102" s="29" t="e">
        <f t="shared" si="182"/>
        <v>#VALUE!</v>
      </c>
      <c r="V102" s="29">
        <f t="shared" si="183"/>
        <v>5.0000000000000001E-4</v>
      </c>
      <c r="W102" s="23">
        <f>VLOOKUP($D102,Uncertainties!$B$35:$D$41,2,FALSE)</f>
        <v>0</v>
      </c>
      <c r="X102" s="23"/>
      <c r="Y102" s="24">
        <f t="shared" si="184"/>
        <v>-2.0374154606346804E-5</v>
      </c>
      <c r="Z102" s="23" t="e">
        <f t="shared" si="185"/>
        <v>#VALUE!</v>
      </c>
      <c r="AA102" s="25" t="e">
        <f t="shared" si="186"/>
        <v>#VALUE!</v>
      </c>
      <c r="AB102" s="26" t="e">
        <f t="shared" si="187"/>
        <v>#VALUE!</v>
      </c>
      <c r="AC102" s="14"/>
      <c r="AD102" s="253" t="e">
        <f>0.0001*VLOOKUP($B102,'844400'!$M$171:$U$237,7,FALSE)/VLOOKUP($B102,'844400'!$M$171:$U$237,9,FALSE)</f>
        <v>#VALUE!</v>
      </c>
      <c r="AE102" s="368">
        <f>IF(ABS(VLOOKUP($A102,'5 A data'!$A$5:$AB$1017,6,FALSE))&lt;4.5,IF(ABS(VLOOKUP($A102,'5 A data'!$A$5:$AB$1017,6,FALSE))&lt;1.25,0.0008,0.002),0.004)*VLOOKUP($A102,'5 A data'!$A$5:$AB$1017,7,FALSE)*25*RADIANS(1/60)*100</f>
        <v>5.8177641733144327E-4</v>
      </c>
      <c r="AF102" s="23">
        <f t="shared" si="197"/>
        <v>0</v>
      </c>
      <c r="AG102" s="29" t="e">
        <f t="shared" si="188"/>
        <v>#VALUE!</v>
      </c>
      <c r="AH102" s="4">
        <f t="shared" si="198"/>
        <v>2.9088820866572158E-4</v>
      </c>
      <c r="AI102" s="4" t="e">
        <f t="shared" si="189"/>
        <v>#VALUE!</v>
      </c>
      <c r="AJ102" s="4">
        <f t="shared" si="190"/>
        <v>5.0000000000000001E-4</v>
      </c>
      <c r="AK102" s="21">
        <f>VLOOKUP($D102,Uncertainties!$B$35:$D$41,3,FALSE)</f>
        <v>0</v>
      </c>
      <c r="AL102" s="21"/>
      <c r="AM102" s="371">
        <f>SQRT((VLOOKUP($A102,'5 A data'!$A$5:$AB$1017,7,FALSE)*mutual_ind)^2+(aux_CT_phase*J102)^2)</f>
        <v>2.6179944880701028E-3</v>
      </c>
      <c r="AN102" s="29" t="e">
        <f t="shared" si="191"/>
        <v>#VALUE!</v>
      </c>
      <c r="AO102" s="14" t="e">
        <f t="shared" si="192"/>
        <v>#VALUE!</v>
      </c>
      <c r="AP102" s="27" t="e">
        <f t="shared" si="193"/>
        <v>#VALUE!</v>
      </c>
    </row>
    <row r="103" spans="1:42" ht="13.15" customHeight="1" x14ac:dyDescent="0.2">
      <c r="A103" s="69">
        <v>193</v>
      </c>
      <c r="B103" s="5" t="e">
        <f>B97&amp;D103</f>
        <v>#VALUE!</v>
      </c>
      <c r="C103" s="19">
        <f>VLOOKUP($A103,'5 A data'!$A$5:$AB$519,3,FALSE)</f>
        <v>0</v>
      </c>
      <c r="D103" s="165">
        <f>ROUND(VLOOKUP($A103,'5 A data'!$A$5:$AB$519,9,FALSE)/10,0)*10</f>
        <v>0</v>
      </c>
      <c r="E103" s="23">
        <f t="shared" si="194"/>
        <v>0.99936709902044762</v>
      </c>
      <c r="F103" s="23">
        <f t="shared" si="195"/>
        <v>1.0011822386327505</v>
      </c>
      <c r="G103" s="23" t="e">
        <f>VLOOKUP($B103,'844400'!$M$171:$U$237,4,FALSE)/10000</f>
        <v>#VALUE!</v>
      </c>
      <c r="H103" s="23" t="e">
        <f>VLOOKUP($B103,'844400'!$M$171:$U$237,5,FALSE)/10000</f>
        <v>#VALUE!</v>
      </c>
      <c r="I103" s="19">
        <f>VLOOKUP($A103,'5 A data'!$A$5:$AB$519,10,FALSE)</f>
        <v>0</v>
      </c>
      <c r="J103" s="32">
        <f>VLOOKUP($A103,'5 A data'!$A$5:$AB$519,11,FALSE)</f>
        <v>0</v>
      </c>
      <c r="K103" s="22">
        <f t="shared" ref="K103:L105" si="199">I103-I111</f>
        <v>0</v>
      </c>
      <c r="L103" s="22">
        <f t="shared" si="199"/>
        <v>0</v>
      </c>
      <c r="M103" s="31" t="e">
        <f t="shared" ref="M103:N105" si="200">I103*E103+G103-K103*($C103-high_burden)/($C103-$C111)</f>
        <v>#VALUE!</v>
      </c>
      <c r="N103" s="31" t="e">
        <f t="shared" si="200"/>
        <v>#VALUE!</v>
      </c>
      <c r="P103" s="376" t="e">
        <f>0.0001*VLOOKUP($B103,'844400'!$M$171:$U$237,6,FALSE)/VLOOKUP($B103,'844400'!$M$171:$U$237,8,FALSE)</f>
        <v>#VALUE!</v>
      </c>
      <c r="Q103" s="59">
        <f>VLOOKUP($A103,'5 A data'!$A$5:$AB$519,7,FALSE)*slidewire_res</f>
        <v>0</v>
      </c>
      <c r="R103" s="349">
        <f t="shared" si="181"/>
        <v>0</v>
      </c>
      <c r="S103" s="4">
        <v>0</v>
      </c>
      <c r="T103" s="21">
        <f t="shared" si="196"/>
        <v>0</v>
      </c>
      <c r="U103" s="29" t="e">
        <f t="shared" si="182"/>
        <v>#VALUE!</v>
      </c>
      <c r="V103" s="29">
        <f t="shared" si="183"/>
        <v>5.0000000000000001E-4</v>
      </c>
      <c r="W103" s="23" t="e">
        <f>VLOOKUP($D103,Uncertainties!$B$35:$D$41,2,FALSE)</f>
        <v>#N/A</v>
      </c>
      <c r="X103" s="23"/>
      <c r="Y103" s="24">
        <f t="shared" si="184"/>
        <v>0</v>
      </c>
      <c r="Z103" s="23" t="e">
        <f t="shared" si="185"/>
        <v>#VALUE!</v>
      </c>
      <c r="AA103" s="25" t="e">
        <f t="shared" si="186"/>
        <v>#VALUE!</v>
      </c>
      <c r="AB103" s="26" t="e">
        <f t="shared" si="187"/>
        <v>#VALUE!</v>
      </c>
      <c r="AC103" s="14"/>
      <c r="AD103" s="253" t="e">
        <f>0.0001*VLOOKUP($B103,'844400'!$M$171:$U$237,7,FALSE)/VLOOKUP($B103,'844400'!$M$171:$U$237,9,FALSE)</f>
        <v>#VALUE!</v>
      </c>
      <c r="AE103" s="368">
        <f>IF(ABS(VLOOKUP($A103,'5 A data'!$A$5:$AB$1017,6,FALSE))&lt;4.5,IF(ABS(VLOOKUP($A103,'5 A data'!$A$5:$AB$1017,6,FALSE))&lt;1.25,0.0008,0.002),0.004)*VLOOKUP($A103,'5 A data'!$A$5:$AB$1017,7,FALSE)*25*RADIANS(1/60)*100</f>
        <v>0</v>
      </c>
      <c r="AF103" s="23">
        <f t="shared" si="197"/>
        <v>0</v>
      </c>
      <c r="AG103" s="29" t="e">
        <f t="shared" si="188"/>
        <v>#VALUE!</v>
      </c>
      <c r="AH103" s="4">
        <f t="shared" si="198"/>
        <v>0</v>
      </c>
      <c r="AI103" s="4" t="e">
        <f t="shared" si="189"/>
        <v>#VALUE!</v>
      </c>
      <c r="AJ103" s="4">
        <f t="shared" si="190"/>
        <v>5.0000000000000001E-4</v>
      </c>
      <c r="AK103" s="21" t="e">
        <f>VLOOKUP($D103,Uncertainties!$B$35:$D$41,3,FALSE)</f>
        <v>#N/A</v>
      </c>
      <c r="AL103" s="21"/>
      <c r="AM103" s="371">
        <f>SQRT((VLOOKUP($A103,'5 A data'!$A$5:$AB$1017,7,FALSE)*mutual_ind)^2+(aux_CT_phase*J103)^2)</f>
        <v>0</v>
      </c>
      <c r="AN103" s="29" t="e">
        <f t="shared" si="191"/>
        <v>#VALUE!</v>
      </c>
      <c r="AO103" s="14" t="e">
        <f t="shared" si="192"/>
        <v>#VALUE!</v>
      </c>
      <c r="AP103" s="27" t="e">
        <f t="shared" si="193"/>
        <v>#VALUE!</v>
      </c>
    </row>
    <row r="104" spans="1:42" ht="13.15" customHeight="1" x14ac:dyDescent="0.2">
      <c r="A104">
        <v>194</v>
      </c>
      <c r="B104" s="5" t="e">
        <f>B97&amp;D104</f>
        <v>#VALUE!</v>
      </c>
      <c r="C104" s="19">
        <f>VLOOKUP($A104,'5 A data'!$A$5:$AB$519,3,FALSE)</f>
        <v>0</v>
      </c>
      <c r="D104" s="166">
        <f>ROUND(VLOOKUP($A104,'5 A data'!$A$5:$AB$519,9,FALSE)/10,0)*10</f>
        <v>0</v>
      </c>
      <c r="E104" s="23">
        <f t="shared" si="194"/>
        <v>0.99936709902044762</v>
      </c>
      <c r="F104" s="23">
        <f t="shared" si="195"/>
        <v>1.0011822386327505</v>
      </c>
      <c r="G104" s="23" t="e">
        <f>VLOOKUP($B104,'844400'!$M$171:$U$237,4,FALSE)/10000</f>
        <v>#VALUE!</v>
      </c>
      <c r="H104" s="23" t="e">
        <f>VLOOKUP($B104,'844400'!$M$171:$U$237,5,FALSE)/10000</f>
        <v>#VALUE!</v>
      </c>
      <c r="I104" s="19">
        <f>VLOOKUP($A104,'5 A data'!$A$5:$AB$519,10,FALSE)</f>
        <v>0</v>
      </c>
      <c r="J104" s="32">
        <f>VLOOKUP($A104,'5 A data'!$A$5:$AB$519,11,FALSE)</f>
        <v>0</v>
      </c>
      <c r="K104" s="22">
        <f t="shared" si="199"/>
        <v>0</v>
      </c>
      <c r="L104" s="22">
        <f t="shared" si="199"/>
        <v>0</v>
      </c>
      <c r="M104" s="31" t="e">
        <f t="shared" si="200"/>
        <v>#VALUE!</v>
      </c>
      <c r="N104" s="31" t="e">
        <f t="shared" si="200"/>
        <v>#VALUE!</v>
      </c>
      <c r="P104" s="376" t="e">
        <f>0.0001*VLOOKUP($B104,'844400'!$M$171:$U$237,6,FALSE)/VLOOKUP($B104,'844400'!$M$171:$U$237,8,FALSE)</f>
        <v>#VALUE!</v>
      </c>
      <c r="Q104" s="59">
        <f>VLOOKUP($A104,'5 A data'!$A$5:$AB$519,7,FALSE)*slidewire_res</f>
        <v>0</v>
      </c>
      <c r="R104" s="349">
        <f t="shared" si="181"/>
        <v>0</v>
      </c>
      <c r="S104" s="4">
        <v>0</v>
      </c>
      <c r="T104" s="21">
        <f t="shared" si="196"/>
        <v>0</v>
      </c>
      <c r="U104" s="29" t="e">
        <f t="shared" si="182"/>
        <v>#VALUE!</v>
      </c>
      <c r="V104" s="29">
        <f t="shared" si="183"/>
        <v>5.0000000000000001E-4</v>
      </c>
      <c r="W104" s="23" t="e">
        <f>VLOOKUP($D104,Uncertainties!$B$35:$D$41,2,FALSE)</f>
        <v>#N/A</v>
      </c>
      <c r="X104" s="23"/>
      <c r="Y104" s="24">
        <f t="shared" si="184"/>
        <v>0</v>
      </c>
      <c r="Z104" s="23" t="e">
        <f t="shared" si="185"/>
        <v>#VALUE!</v>
      </c>
      <c r="AA104" s="25" t="e">
        <f t="shared" si="186"/>
        <v>#VALUE!</v>
      </c>
      <c r="AB104" s="26" t="e">
        <f t="shared" si="187"/>
        <v>#VALUE!</v>
      </c>
      <c r="AC104" s="14"/>
      <c r="AD104" s="253" t="e">
        <f>0.0001*VLOOKUP($B104,'844400'!$M$171:$U$237,7,FALSE)/VLOOKUP($B104,'844400'!$M$171:$U$237,9,FALSE)</f>
        <v>#VALUE!</v>
      </c>
      <c r="AE104" s="368">
        <f>IF(ABS(VLOOKUP($A104,'5 A data'!$A$5:$AB$1017,6,FALSE))&lt;4.5,IF(ABS(VLOOKUP($A104,'5 A data'!$A$5:$AB$1017,6,FALSE))&lt;1.25,0.0008,0.002),0.004)*VLOOKUP($A104,'5 A data'!$A$5:$AB$1017,7,FALSE)*25*RADIANS(1/60)*100</f>
        <v>0</v>
      </c>
      <c r="AF104" s="23">
        <f t="shared" si="197"/>
        <v>0</v>
      </c>
      <c r="AG104" s="29" t="e">
        <f t="shared" si="188"/>
        <v>#VALUE!</v>
      </c>
      <c r="AH104" s="4">
        <f t="shared" si="198"/>
        <v>0</v>
      </c>
      <c r="AI104" s="4" t="e">
        <f t="shared" si="189"/>
        <v>#VALUE!</v>
      </c>
      <c r="AJ104" s="4">
        <f t="shared" si="190"/>
        <v>5.0000000000000001E-4</v>
      </c>
      <c r="AK104" s="21" t="e">
        <f>VLOOKUP($D104,Uncertainties!$B$35:$D$41,3,FALSE)</f>
        <v>#N/A</v>
      </c>
      <c r="AL104" s="21"/>
      <c r="AM104" s="371">
        <f>SQRT((VLOOKUP($A104,'5 A data'!$A$5:$AB$1017,7,FALSE)*mutual_ind)^2+(aux_CT_phase*J104)^2)</f>
        <v>0</v>
      </c>
      <c r="AN104" s="29" t="e">
        <f t="shared" si="191"/>
        <v>#VALUE!</v>
      </c>
      <c r="AO104" s="14" t="e">
        <f t="shared" si="192"/>
        <v>#VALUE!</v>
      </c>
      <c r="AP104" s="27" t="e">
        <f t="shared" si="193"/>
        <v>#VALUE!</v>
      </c>
    </row>
    <row r="105" spans="1:42" ht="13.15" customHeight="1" x14ac:dyDescent="0.2">
      <c r="A105" s="69">
        <v>195</v>
      </c>
      <c r="B105" s="5" t="e">
        <f>B97&amp;D105</f>
        <v>#VALUE!</v>
      </c>
      <c r="C105" s="19" t="str">
        <f>VLOOKUP($A105,'5 A data'!$A$5:$AB$519,3,FALSE)</f>
        <v>3.75VA unity</v>
      </c>
      <c r="D105" s="166">
        <f>ROUND(VLOOKUP($A105,'5 A data'!$A$5:$AB$519,9,FALSE)/10,0)*10</f>
        <v>0</v>
      </c>
      <c r="E105" s="23">
        <f t="shared" si="194"/>
        <v>0.99936709902044762</v>
      </c>
      <c r="F105" s="23">
        <f t="shared" si="195"/>
        <v>1.0011822386327505</v>
      </c>
      <c r="G105" s="23" t="e">
        <f>VLOOKUP($B105,'844400'!$M$171:$U$237,4,FALSE)/10000</f>
        <v>#VALUE!</v>
      </c>
      <c r="H105" s="23" t="e">
        <f>VLOOKUP($B105,'844400'!$M$171:$U$237,5,FALSE)/10000</f>
        <v>#VALUE!</v>
      </c>
      <c r="I105" s="19">
        <f>VLOOKUP($A105,'5 A data'!$A$5:$AB$519,10,FALSE)</f>
        <v>0</v>
      </c>
      <c r="J105" s="32">
        <f>VLOOKUP($A105,'5 A data'!$A$5:$AB$519,11,FALSE)</f>
        <v>0</v>
      </c>
      <c r="K105" s="22">
        <f t="shared" si="199"/>
        <v>2.4400000000000002E-2</v>
      </c>
      <c r="L105" s="22">
        <f t="shared" si="199"/>
        <v>-2.2107503858594838E-2</v>
      </c>
      <c r="M105" s="31" t="e">
        <f t="shared" si="200"/>
        <v>#VALUE!</v>
      </c>
      <c r="N105" s="31" t="e">
        <f t="shared" si="200"/>
        <v>#VALUE!</v>
      </c>
      <c r="P105" s="376" t="e">
        <f>0.0001*VLOOKUP($B105,'844400'!$M$171:$U$237,6,FALSE)/VLOOKUP($B105,'844400'!$M$171:$U$237,8,FALSE)</f>
        <v>#VALUE!</v>
      </c>
      <c r="Q105" s="59">
        <f>VLOOKUP($A105,'5 A data'!$A$5:$AB$519,7,FALSE)*slidewire_res</f>
        <v>0</v>
      </c>
      <c r="R105" s="349">
        <f t="shared" si="181"/>
        <v>0</v>
      </c>
      <c r="S105" s="4">
        <v>0</v>
      </c>
      <c r="T105" s="21">
        <f t="shared" si="196"/>
        <v>1.2200000000000002E-3</v>
      </c>
      <c r="U105" s="29" t="e">
        <f t="shared" si="182"/>
        <v>#VALUE!</v>
      </c>
      <c r="V105" s="29">
        <f t="shared" si="183"/>
        <v>5.0000000000000001E-4</v>
      </c>
      <c r="W105" s="23" t="e">
        <f>VLOOKUP($D105,Uncertainties!$B$35:$D$41,2,FALSE)</f>
        <v>#N/A</v>
      </c>
      <c r="X105" s="23"/>
      <c r="Y105" s="24">
        <f t="shared" si="184"/>
        <v>0</v>
      </c>
      <c r="Z105" s="23" t="e">
        <f t="shared" si="185"/>
        <v>#VALUE!</v>
      </c>
      <c r="AA105" s="25" t="e">
        <f t="shared" si="186"/>
        <v>#VALUE!</v>
      </c>
      <c r="AB105" s="26" t="e">
        <f t="shared" si="187"/>
        <v>#VALUE!</v>
      </c>
      <c r="AC105" s="14"/>
      <c r="AD105" s="253" t="e">
        <f>0.0001*VLOOKUP($B105,'844400'!$M$171:$U$237,7,FALSE)/VLOOKUP($B105,'844400'!$M$171:$U$237,9,FALSE)</f>
        <v>#VALUE!</v>
      </c>
      <c r="AE105" s="368">
        <f>IF(ABS(VLOOKUP($A105,'5 A data'!$A$5:$AB$1017,6,FALSE))&lt;4.5,IF(ABS(VLOOKUP($A105,'5 A data'!$A$5:$AB$1017,6,FALSE))&lt;1.25,0.0008,0.002),0.004)*VLOOKUP($A105,'5 A data'!$A$5:$AB$1017,7,FALSE)*25*RADIANS(1/60)*100</f>
        <v>0</v>
      </c>
      <c r="AF105" s="23">
        <f t="shared" si="197"/>
        <v>0</v>
      </c>
      <c r="AG105" s="29" t="e">
        <f t="shared" si="188"/>
        <v>#VALUE!</v>
      </c>
      <c r="AH105" s="4">
        <f t="shared" si="198"/>
        <v>-1.1053751929297419E-3</v>
      </c>
      <c r="AI105" s="4" t="e">
        <f t="shared" si="189"/>
        <v>#VALUE!</v>
      </c>
      <c r="AJ105" s="4">
        <f t="shared" si="190"/>
        <v>5.0000000000000001E-4</v>
      </c>
      <c r="AK105" s="21" t="e">
        <f>VLOOKUP($D105,Uncertainties!$B$35:$D$41,3,FALSE)</f>
        <v>#N/A</v>
      </c>
      <c r="AL105" s="21"/>
      <c r="AM105" s="371">
        <f>SQRT((VLOOKUP($A105,'5 A data'!$A$5:$AB$1017,7,FALSE)*mutual_ind)^2+(aux_CT_phase*J105)^2)</f>
        <v>0</v>
      </c>
      <c r="AN105" s="29" t="e">
        <f t="shared" si="191"/>
        <v>#VALUE!</v>
      </c>
      <c r="AO105" s="14" t="e">
        <f t="shared" si="192"/>
        <v>#VALUE!</v>
      </c>
      <c r="AP105" s="27" t="e">
        <f t="shared" si="193"/>
        <v>#VALUE!</v>
      </c>
    </row>
    <row r="106" spans="1:42" ht="13.15" customHeight="1" x14ac:dyDescent="0.2">
      <c r="A106">
        <v>196</v>
      </c>
      <c r="B106" s="5"/>
      <c r="C106" s="19"/>
      <c r="D106" s="19"/>
      <c r="E106" s="23"/>
      <c r="F106" s="23"/>
      <c r="G106" s="23"/>
      <c r="H106" s="23"/>
      <c r="I106" s="19"/>
      <c r="J106" s="32"/>
      <c r="K106" s="31"/>
      <c r="L106" s="31"/>
      <c r="M106" s="533" t="s">
        <v>94</v>
      </c>
      <c r="N106" s="533"/>
      <c r="P106" s="376"/>
      <c r="Q106" s="59"/>
      <c r="R106" s="349"/>
      <c r="S106" s="4"/>
      <c r="T106" s="4"/>
      <c r="U106" s="29"/>
      <c r="V106" s="29"/>
      <c r="W106" s="29"/>
      <c r="X106" s="29"/>
      <c r="Y106" s="24"/>
      <c r="Z106" s="29"/>
      <c r="AA106" s="25"/>
      <c r="AB106" s="26"/>
      <c r="AC106" s="14"/>
      <c r="AD106" s="253"/>
      <c r="AE106" s="35"/>
      <c r="AF106" s="28"/>
      <c r="AG106" s="29"/>
      <c r="AH106" s="4"/>
      <c r="AI106" s="4"/>
      <c r="AJ106" s="4"/>
      <c r="AK106" s="4"/>
      <c r="AL106" s="4"/>
      <c r="AM106" s="24"/>
      <c r="AN106" s="29"/>
      <c r="AO106" s="14"/>
      <c r="AP106" s="27"/>
    </row>
    <row r="107" spans="1:42" ht="13.15" customHeight="1" x14ac:dyDescent="0.2">
      <c r="A107" s="69">
        <v>197</v>
      </c>
      <c r="B107" s="5" t="e">
        <f>B97&amp;D107</f>
        <v>#VALUE!</v>
      </c>
      <c r="C107" s="19">
        <f>VLOOKUP($A107,'5 A data'!$A$5:$AB$519,3,FALSE)</f>
        <v>0</v>
      </c>
      <c r="D107" s="19">
        <f>ROUND(VLOOKUP($A107,'5 A data'!$A$5:$AB$519,9,FALSE),0)</f>
        <v>70</v>
      </c>
      <c r="E107" s="23">
        <f t="shared" si="194"/>
        <v>0.99936709902044762</v>
      </c>
      <c r="F107" s="23">
        <f t="shared" si="195"/>
        <v>1.0011822386327505</v>
      </c>
      <c r="G107" s="23" t="e">
        <f>VLOOKUP($B107,'844400'!$M$171:$U$237,4,FALSE)/10000</f>
        <v>#VALUE!</v>
      </c>
      <c r="H107" s="23" t="e">
        <f>VLOOKUP($B107,'844400'!$M$171:$U$237,5,FALSE)/10000</f>
        <v>#VALUE!</v>
      </c>
      <c r="I107" s="19">
        <f>VLOOKUP($A107,'5 A data'!$A$5:$AB$519,10,FALSE)</f>
        <v>-0.35599999999999998</v>
      </c>
      <c r="J107" s="32">
        <f>VLOOKUP($A107,'5 A data'!$A$5:$AB$519,11,FALSE)</f>
        <v>8.7266462599716477E-3</v>
      </c>
      <c r="K107" s="31"/>
      <c r="L107" s="31"/>
      <c r="M107" s="31" t="e">
        <f t="shared" ref="M107:N110" si="201">I107*E107+G107+K99*(low__burden-$C107)/($C99-$C107)</f>
        <v>#VALUE!</v>
      </c>
      <c r="N107" s="31" t="e">
        <f t="shared" si="201"/>
        <v>#VALUE!</v>
      </c>
      <c r="P107" s="376" t="e">
        <f>0.0001*VLOOKUP($B107,'844400'!$M$171:$U$237,6,FALSE)/VLOOKUP($B107,'844400'!$M$171:$U$237,8,FALSE)</f>
        <v>#VALUE!</v>
      </c>
      <c r="Q107" s="59">
        <f>VLOOKUP($A107,'5 A data'!$A$5:$AB$519,7,FALSE)*slidewire_res</f>
        <v>1E-3</v>
      </c>
      <c r="R107" s="349">
        <f t="shared" ref="R107:R113" si="202">current_coef*(I107-I108)*IF(I108=0,0,1)</f>
        <v>-6.8540000000000004E-2</v>
      </c>
      <c r="S107" s="4">
        <v>0</v>
      </c>
      <c r="T107" s="4">
        <f>BurdenUnc*K99</f>
        <v>1.7255E-2</v>
      </c>
      <c r="U107" s="29" t="e">
        <f t="shared" ref="U107:U113" si="203">0.004*M107</f>
        <v>#VALUE!</v>
      </c>
      <c r="V107" s="29">
        <f t="shared" si="183"/>
        <v>5.0000000000000001E-4</v>
      </c>
      <c r="W107" s="23" t="e">
        <f>VLOOKUP($D107,Uncertainties!$B$35:$D$41,2,FALSE)</f>
        <v>#N/A</v>
      </c>
      <c r="X107" s="23"/>
      <c r="Y107" s="24">
        <f t="shared" ref="Y107:Y113" si="204">I107*aux_CT_ratio</f>
        <v>-2.8332808749451024E-5</v>
      </c>
      <c r="Z107" s="23" t="e">
        <f t="shared" ref="Z107:Z113" si="205">SQRT(SUMSQ(P107:Y107))</f>
        <v>#VALUE!</v>
      </c>
      <c r="AA107" s="25" t="e">
        <f t="shared" ref="AA107:AA113" si="206">DoF_A(P107:Y107,$P$7:$Y$7)</f>
        <v>#VALUE!</v>
      </c>
      <c r="AB107" s="26" t="e">
        <f t="shared" ref="AB107:AB113" si="207">CoverFactor(AA107)</f>
        <v>#VALUE!</v>
      </c>
      <c r="AC107" s="14"/>
      <c r="AD107" s="253" t="e">
        <f>0.0001*VLOOKUP($B107,'844400'!$M$171:$U$237,7,FALSE)/VLOOKUP($B107,'844400'!$M$171:$U$237,9,FALSE)</f>
        <v>#VALUE!</v>
      </c>
      <c r="AE107" s="368">
        <f>IF(ABS(VLOOKUP($A107,'5 A data'!$A$5:$AB$1017,6,FALSE))&lt;4.5,IF(ABS(VLOOKUP($A107,'5 A data'!$A$5:$AB$1017,6,FALSE))&lt;1.25,0.0008,0.002),0.004)*VLOOKUP($A107,'5 A data'!$A$5:$AB$1017,7,FALSE)*25*RADIANS(1/60)*100</f>
        <v>5.8177641733144327E-4</v>
      </c>
      <c r="AF107" s="23">
        <f t="shared" ref="AF107:AF113" si="208">current_coef*(J107-J108)*IF(J108=0,0,1)</f>
        <v>-2.9379709075237894E-3</v>
      </c>
      <c r="AG107" s="29" t="e">
        <f t="shared" ref="AG107:AG113" si="209">0.001*N107</f>
        <v>#VALUE!</v>
      </c>
      <c r="AH107" s="4">
        <f>BurdenUnc*L99</f>
        <v>6.6904287993115952E-4</v>
      </c>
      <c r="AI107" s="4" t="e">
        <f t="shared" ref="AI107:AI113" si="210">0.004*N107</f>
        <v>#VALUE!</v>
      </c>
      <c r="AJ107" s="4">
        <f t="shared" si="190"/>
        <v>5.0000000000000001E-4</v>
      </c>
      <c r="AK107" s="21" t="e">
        <f>VLOOKUP($D107,Uncertainties!$B$35:$D$41,3,FALSE)</f>
        <v>#N/A</v>
      </c>
      <c r="AL107" s="21"/>
      <c r="AM107" s="371">
        <f>SQRT((VLOOKUP($A107,'5 A data'!$A$5:$AB$1017,7,FALSE)*mutual_ind)^2+(aux_CT_phase*J107)^2)</f>
        <v>2.6179952506681626E-3</v>
      </c>
      <c r="AN107" s="29" t="e">
        <f t="shared" ref="AN107:AN113" si="211">SQRT(SUMSQ(AD107:AM107))</f>
        <v>#VALUE!</v>
      </c>
      <c r="AO107" s="14" t="e">
        <f t="shared" ref="AO107:AO113" si="212">DoF_A(AD107:AM107,$AD$7:$AM$7)</f>
        <v>#VALUE!</v>
      </c>
      <c r="AP107" s="27" t="e">
        <f t="shared" ref="AP107:AP113" si="213">CoverFactor(AO107)</f>
        <v>#VALUE!</v>
      </c>
    </row>
    <row r="108" spans="1:42" ht="13.15" customHeight="1" x14ac:dyDescent="0.2">
      <c r="A108">
        <v>198</v>
      </c>
      <c r="B108" s="5" t="e">
        <f>B97&amp;D108</f>
        <v>#VALUE!</v>
      </c>
      <c r="C108" s="19">
        <f>VLOOKUP($A108,'5 A data'!$A$5:$AB$519,3,FALSE)</f>
        <v>0</v>
      </c>
      <c r="D108" s="165">
        <f>ROUND(VLOOKUP($A108,'5 A data'!$A$5:$AB$519,9,FALSE)/10,0)*10</f>
        <v>100</v>
      </c>
      <c r="E108" s="23">
        <f t="shared" si="194"/>
        <v>0.99936709902044762</v>
      </c>
      <c r="F108" s="23">
        <f t="shared" si="195"/>
        <v>1.0011822386327505</v>
      </c>
      <c r="G108" s="23" t="e">
        <f>VLOOKUP($B108,'844400'!$M$171:$U$237,4,FALSE)/10000</f>
        <v>#VALUE!</v>
      </c>
      <c r="H108" s="23" t="e">
        <f>VLOOKUP($B108,'844400'!$M$171:$U$237,5,FALSE)/10000</f>
        <v>#VALUE!</v>
      </c>
      <c r="I108" s="19">
        <f>VLOOKUP($A108,'5 A data'!$A$5:$AB$519,10,FALSE)</f>
        <v>-1.3300000000000001E-2</v>
      </c>
      <c r="J108" s="32">
        <f>VLOOKUP($A108,'5 A data'!$A$5:$AB$519,11,FALSE)</f>
        <v>2.3416500797590594E-2</v>
      </c>
      <c r="K108" s="31"/>
      <c r="L108" s="31"/>
      <c r="M108" s="31" t="e">
        <f t="shared" si="201"/>
        <v>#VALUE!</v>
      </c>
      <c r="N108" s="31" t="e">
        <f t="shared" si="201"/>
        <v>#VALUE!</v>
      </c>
      <c r="P108" s="376" t="e">
        <f>0.0001*VLOOKUP($B108,'844400'!$M$171:$U$237,6,FALSE)/VLOOKUP($B108,'844400'!$M$171:$U$237,8,FALSE)</f>
        <v>#VALUE!</v>
      </c>
      <c r="Q108" s="59">
        <f>VLOOKUP($A108,'5 A data'!$A$5:$AB$519,7,FALSE)*slidewire_res</f>
        <v>1E-4</v>
      </c>
      <c r="R108" s="349">
        <f t="shared" si="202"/>
        <v>6.8940000000000001E-2</v>
      </c>
      <c r="S108" s="4">
        <v>0</v>
      </c>
      <c r="T108" s="4">
        <f t="shared" ref="T108:T113" si="214">BurdenUnc*K100</f>
        <v>-1.1985000000000001E-2</v>
      </c>
      <c r="U108" s="29" t="e">
        <f t="shared" si="203"/>
        <v>#VALUE!</v>
      </c>
      <c r="V108" s="29">
        <f t="shared" si="183"/>
        <v>5.0000000000000001E-4</v>
      </c>
      <c r="W108" s="23">
        <f>VLOOKUP($D108,Uncertainties!$B$35:$D$41,2,FALSE)</f>
        <v>0</v>
      </c>
      <c r="X108" s="23"/>
      <c r="Y108" s="24">
        <f t="shared" si="204"/>
        <v>-1.0585010010328613E-6</v>
      </c>
      <c r="Z108" s="23" t="e">
        <f t="shared" si="205"/>
        <v>#VALUE!</v>
      </c>
      <c r="AA108" s="25" t="e">
        <f t="shared" si="206"/>
        <v>#VALUE!</v>
      </c>
      <c r="AB108" s="26" t="e">
        <f t="shared" si="207"/>
        <v>#VALUE!</v>
      </c>
      <c r="AC108" s="14"/>
      <c r="AD108" s="253" t="e">
        <f>0.0001*VLOOKUP($B108,'844400'!$M$171:$U$237,7,FALSE)/VLOOKUP($B108,'844400'!$M$171:$U$237,9,FALSE)</f>
        <v>#VALUE!</v>
      </c>
      <c r="AE108" s="368">
        <f>IF(ABS(VLOOKUP($A108,'5 A data'!$A$5:$AB$1017,6,FALSE))&lt;4.5,IF(ABS(VLOOKUP($A108,'5 A data'!$A$5:$AB$1017,6,FALSE))&lt;1.25,0.0008,0.002),0.004)*VLOOKUP($A108,'5 A data'!$A$5:$AB$1017,7,FALSE)*25*RADIANS(1/60)*100</f>
        <v>2.9088820866572163E-4</v>
      </c>
      <c r="AF108" s="23">
        <f t="shared" si="208"/>
        <v>3.2288591161895109E-3</v>
      </c>
      <c r="AG108" s="29" t="e">
        <f t="shared" si="209"/>
        <v>#VALUE!</v>
      </c>
      <c r="AH108" s="4">
        <f t="shared" ref="AH108:AH113" si="215">BurdenUnc*L100</f>
        <v>-7.3449272688094736E-4</v>
      </c>
      <c r="AI108" s="4" t="e">
        <f t="shared" si="210"/>
        <v>#VALUE!</v>
      </c>
      <c r="AJ108" s="4">
        <f t="shared" si="190"/>
        <v>5.0000000000000001E-4</v>
      </c>
      <c r="AK108" s="21">
        <f>VLOOKUP($D108,Uncertainties!$B$35:$D$41,3,FALSE)</f>
        <v>0</v>
      </c>
      <c r="AL108" s="21"/>
      <c r="AM108" s="371">
        <f>SQRT((VLOOKUP($A108,'5 A data'!$A$5:$AB$1017,7,FALSE)*mutual_ind)^2+(aux_CT_phase*J108)^2)</f>
        <v>2.6189820570843086E-4</v>
      </c>
      <c r="AN108" s="29" t="e">
        <f t="shared" si="211"/>
        <v>#VALUE!</v>
      </c>
      <c r="AO108" s="14" t="e">
        <f t="shared" si="212"/>
        <v>#VALUE!</v>
      </c>
      <c r="AP108" s="27" t="e">
        <f t="shared" si="213"/>
        <v>#VALUE!</v>
      </c>
    </row>
    <row r="109" spans="1:42" ht="13.15" customHeight="1" x14ac:dyDescent="0.2">
      <c r="A109" s="69">
        <v>199</v>
      </c>
      <c r="B109" s="5" t="e">
        <f>B97&amp;D109</f>
        <v>#VALUE!</v>
      </c>
      <c r="C109" s="19">
        <f>VLOOKUP($A109,'5 A data'!$A$5:$AB$519,3,FALSE)</f>
        <v>0</v>
      </c>
      <c r="D109" s="165">
        <f>ROUND(VLOOKUP($A109,'5 A data'!$A$5:$AB$519,9,FALSE)/10,0)*10</f>
        <v>100</v>
      </c>
      <c r="E109" s="23">
        <f t="shared" si="194"/>
        <v>0.99936709902044762</v>
      </c>
      <c r="F109" s="23">
        <f t="shared" si="195"/>
        <v>1.0011822386327505</v>
      </c>
      <c r="G109" s="23" t="e">
        <f>VLOOKUP($B109,'844400'!$M$171:$U$237,4,FALSE)/10000</f>
        <v>#VALUE!</v>
      </c>
      <c r="H109" s="23" t="e">
        <f>VLOOKUP($B109,'844400'!$M$171:$U$237,5,FALSE)/10000</f>
        <v>#VALUE!</v>
      </c>
      <c r="I109" s="19">
        <f>VLOOKUP($A109,'5 A data'!$A$5:$AB$519,10,FALSE)</f>
        <v>-0.35799999999999998</v>
      </c>
      <c r="J109" s="32">
        <f>VLOOKUP($A109,'5 A data'!$A$5:$AB$519,11,FALSE)</f>
        <v>7.2722052166430398E-3</v>
      </c>
      <c r="K109" s="31"/>
      <c r="L109" s="31"/>
      <c r="M109" s="31" t="e">
        <f t="shared" si="201"/>
        <v>#VALUE!</v>
      </c>
      <c r="N109" s="31" t="e">
        <f t="shared" si="201"/>
        <v>#VALUE!</v>
      </c>
      <c r="P109" s="376" t="e">
        <f>0.0001*VLOOKUP($B109,'844400'!$M$171:$U$237,6,FALSE)/VLOOKUP($B109,'844400'!$M$171:$U$237,8,FALSE)</f>
        <v>#VALUE!</v>
      </c>
      <c r="Q109" s="59">
        <f>VLOOKUP($A109,'5 A data'!$A$5:$AB$519,7,FALSE)*slidewire_res</f>
        <v>1E-3</v>
      </c>
      <c r="R109" s="349">
        <f t="shared" si="202"/>
        <v>0</v>
      </c>
      <c r="S109" s="4">
        <v>0</v>
      </c>
      <c r="T109" s="4">
        <f t="shared" si="214"/>
        <v>1.7344999999999999E-2</v>
      </c>
      <c r="U109" s="29" t="e">
        <f t="shared" si="203"/>
        <v>#VALUE!</v>
      </c>
      <c r="V109" s="29">
        <f t="shared" si="183"/>
        <v>5.0000000000000001E-4</v>
      </c>
      <c r="W109" s="23">
        <f>VLOOKUP($D109,Uncertainties!$B$35:$D$41,2,FALSE)</f>
        <v>0</v>
      </c>
      <c r="X109" s="23"/>
      <c r="Y109" s="24">
        <f t="shared" si="204"/>
        <v>-2.8491981832313109E-5</v>
      </c>
      <c r="Z109" s="23" t="e">
        <f t="shared" si="205"/>
        <v>#VALUE!</v>
      </c>
      <c r="AA109" s="25" t="e">
        <f t="shared" si="206"/>
        <v>#VALUE!</v>
      </c>
      <c r="AB109" s="26" t="e">
        <f t="shared" si="207"/>
        <v>#VALUE!</v>
      </c>
      <c r="AC109" s="14"/>
      <c r="AD109" s="253" t="e">
        <f>0.0001*VLOOKUP($B109,'844400'!$M$171:$U$237,7,FALSE)/VLOOKUP($B109,'844400'!$M$171:$U$237,9,FALSE)</f>
        <v>#VALUE!</v>
      </c>
      <c r="AE109" s="368">
        <f>IF(ABS(VLOOKUP($A109,'5 A data'!$A$5:$AB$1017,6,FALSE))&lt;4.5,IF(ABS(VLOOKUP($A109,'5 A data'!$A$5:$AB$1017,6,FALSE))&lt;1.25,0.0008,0.002),0.004)*VLOOKUP($A109,'5 A data'!$A$5:$AB$1017,7,FALSE)*25*RADIANS(1/60)*100</f>
        <v>5.8177641733144327E-4</v>
      </c>
      <c r="AF109" s="23">
        <f t="shared" si="208"/>
        <v>0</v>
      </c>
      <c r="AG109" s="29" t="e">
        <f t="shared" si="209"/>
        <v>#VALUE!</v>
      </c>
      <c r="AH109" s="4">
        <f t="shared" si="215"/>
        <v>6.5449846949787352E-4</v>
      </c>
      <c r="AI109" s="4" t="e">
        <f t="shared" si="210"/>
        <v>#VALUE!</v>
      </c>
      <c r="AJ109" s="4">
        <f t="shared" si="190"/>
        <v>5.0000000000000001E-4</v>
      </c>
      <c r="AK109" s="21">
        <f>VLOOKUP($D109,Uncertainties!$B$35:$D$41,3,FALSE)</f>
        <v>0</v>
      </c>
      <c r="AL109" s="21"/>
      <c r="AM109" s="371">
        <f>SQRT((VLOOKUP($A109,'5 A data'!$A$5:$AB$1017,7,FALSE)*mutual_ind)^2+(aux_CT_phase*J109)^2)</f>
        <v>2.6179948312392573E-3</v>
      </c>
      <c r="AN109" s="29" t="e">
        <f t="shared" si="211"/>
        <v>#VALUE!</v>
      </c>
      <c r="AO109" s="14" t="e">
        <f t="shared" si="212"/>
        <v>#VALUE!</v>
      </c>
      <c r="AP109" s="27" t="e">
        <f t="shared" si="213"/>
        <v>#VALUE!</v>
      </c>
    </row>
    <row r="110" spans="1:42" ht="13.15" customHeight="1" x14ac:dyDescent="0.2">
      <c r="A110">
        <v>200</v>
      </c>
      <c r="B110" s="5" t="e">
        <f>B97&amp;D110</f>
        <v>#VALUE!</v>
      </c>
      <c r="C110" s="19">
        <f>VLOOKUP($A110,'5 A data'!$A$5:$AB$519,3,FALSE)</f>
        <v>0</v>
      </c>
      <c r="D110" s="165">
        <f>ROUND(VLOOKUP($A110,'5 A data'!$A$5:$AB$519,9,FALSE)/10,0)*10</f>
        <v>0</v>
      </c>
      <c r="E110" s="23">
        <f t="shared" si="194"/>
        <v>0.99936709902044762</v>
      </c>
      <c r="F110" s="23">
        <f t="shared" si="195"/>
        <v>1.0011822386327505</v>
      </c>
      <c r="G110" s="23" t="e">
        <f>VLOOKUP($B110,'844400'!$M$171:$U$237,4,FALSE)/10000</f>
        <v>#VALUE!</v>
      </c>
      <c r="H110" s="23" t="e">
        <f>VLOOKUP($B110,'844400'!$M$171:$U$237,5,FALSE)/10000</f>
        <v>#VALUE!</v>
      </c>
      <c r="I110" s="19">
        <f>VLOOKUP($A110,'5 A data'!$A$5:$AB$519,10,FALSE)</f>
        <v>0</v>
      </c>
      <c r="J110" s="32">
        <f>VLOOKUP($A110,'5 A data'!$A$5:$AB$519,11,FALSE)</f>
        <v>0</v>
      </c>
      <c r="K110" s="31"/>
      <c r="L110" s="31"/>
      <c r="M110" s="31" t="e">
        <f t="shared" si="201"/>
        <v>#VALUE!</v>
      </c>
      <c r="N110" s="31" t="e">
        <f t="shared" si="201"/>
        <v>#VALUE!</v>
      </c>
      <c r="P110" s="376" t="e">
        <f>0.0001*VLOOKUP($B110,'844400'!$M$171:$U$237,6,FALSE)/VLOOKUP($B110,'844400'!$M$171:$U$237,8,FALSE)</f>
        <v>#VALUE!</v>
      </c>
      <c r="Q110" s="59">
        <f>VLOOKUP($A110,'5 A data'!$A$5:$AB$519,7,FALSE)*slidewire_res</f>
        <v>0</v>
      </c>
      <c r="R110" s="349">
        <f t="shared" si="202"/>
        <v>0</v>
      </c>
      <c r="S110" s="4">
        <v>0</v>
      </c>
      <c r="T110" s="4">
        <f t="shared" si="214"/>
        <v>-1.2800000000000001E-2</v>
      </c>
      <c r="U110" s="29" t="e">
        <f t="shared" si="203"/>
        <v>#VALUE!</v>
      </c>
      <c r="V110" s="29">
        <f t="shared" si="183"/>
        <v>5.0000000000000001E-4</v>
      </c>
      <c r="W110" s="23" t="e">
        <f>VLOOKUP($D110,Uncertainties!$B$35:$D$41,2,FALSE)</f>
        <v>#N/A</v>
      </c>
      <c r="X110" s="23"/>
      <c r="Y110" s="24">
        <f t="shared" si="204"/>
        <v>0</v>
      </c>
      <c r="Z110" s="23" t="e">
        <f t="shared" si="205"/>
        <v>#VALUE!</v>
      </c>
      <c r="AA110" s="25" t="e">
        <f t="shared" si="206"/>
        <v>#VALUE!</v>
      </c>
      <c r="AB110" s="26" t="e">
        <f t="shared" si="207"/>
        <v>#VALUE!</v>
      </c>
      <c r="AC110" s="14"/>
      <c r="AD110" s="253" t="e">
        <f>0.0001*VLOOKUP($B110,'844400'!$M$171:$U$237,7,FALSE)/VLOOKUP($B110,'844400'!$M$171:$U$237,9,FALSE)</f>
        <v>#VALUE!</v>
      </c>
      <c r="AE110" s="368">
        <f>IF(ABS(VLOOKUP($A110,'5 A data'!$A$5:$AB$1017,6,FALSE))&lt;4.5,IF(ABS(VLOOKUP($A110,'5 A data'!$A$5:$AB$1017,6,FALSE))&lt;1.25,0.0008,0.002),0.004)*VLOOKUP($A110,'5 A data'!$A$5:$AB$1017,7,FALSE)*25*RADIANS(1/60)*100</f>
        <v>0</v>
      </c>
      <c r="AF110" s="23">
        <f t="shared" si="208"/>
        <v>0</v>
      </c>
      <c r="AG110" s="29" t="e">
        <f t="shared" si="209"/>
        <v>#VALUE!</v>
      </c>
      <c r="AH110" s="4">
        <f t="shared" si="215"/>
        <v>2.9088820866572158E-4</v>
      </c>
      <c r="AI110" s="4" t="e">
        <f t="shared" si="210"/>
        <v>#VALUE!</v>
      </c>
      <c r="AJ110" s="4">
        <f t="shared" si="190"/>
        <v>5.0000000000000001E-4</v>
      </c>
      <c r="AK110" s="21" t="e">
        <f>VLOOKUP($D110,Uncertainties!$B$35:$D$41,3,FALSE)</f>
        <v>#N/A</v>
      </c>
      <c r="AL110" s="21"/>
      <c r="AM110" s="371">
        <f>SQRT((VLOOKUP($A110,'5 A data'!$A$5:$AB$1017,7,FALSE)*mutual_ind)^2+(aux_CT_phase*J110)^2)</f>
        <v>0</v>
      </c>
      <c r="AN110" s="29" t="e">
        <f t="shared" si="211"/>
        <v>#VALUE!</v>
      </c>
      <c r="AO110" s="14" t="e">
        <f t="shared" si="212"/>
        <v>#VALUE!</v>
      </c>
      <c r="AP110" s="27" t="e">
        <f t="shared" si="213"/>
        <v>#VALUE!</v>
      </c>
    </row>
    <row r="111" spans="1:42" ht="13.15" customHeight="1" x14ac:dyDescent="0.2">
      <c r="A111" s="69">
        <v>201</v>
      </c>
      <c r="B111" s="5" t="e">
        <f>B97&amp;D111</f>
        <v>#VALUE!</v>
      </c>
      <c r="C111" s="19">
        <f>VLOOKUP($A111,'5 A data'!$A$5:$AB$519,3,FALSE)</f>
        <v>0</v>
      </c>
      <c r="D111" s="165">
        <f>ROUND(VLOOKUP($A111,'5 A data'!$A$5:$AB$519,9,FALSE)/10,0)*10</f>
        <v>0</v>
      </c>
      <c r="E111" s="23">
        <f t="shared" si="194"/>
        <v>0.99936709902044762</v>
      </c>
      <c r="F111" s="23">
        <f t="shared" si="195"/>
        <v>1.0011822386327505</v>
      </c>
      <c r="G111" s="23" t="e">
        <f>VLOOKUP($B111,'844400'!$M$171:$U$237,4,FALSE)/10000</f>
        <v>#VALUE!</v>
      </c>
      <c r="H111" s="23" t="e">
        <f>VLOOKUP($B111,'844400'!$M$171:$U$237,5,FALSE)/10000</f>
        <v>#VALUE!</v>
      </c>
      <c r="I111" s="19">
        <f>VLOOKUP($A111,'5 A data'!$A$5:$AB$519,10,FALSE)</f>
        <v>0</v>
      </c>
      <c r="J111" s="32">
        <f>VLOOKUP($A111,'5 A data'!$A$5:$AB$519,11,FALSE)</f>
        <v>0</v>
      </c>
      <c r="K111" s="31"/>
      <c r="L111" s="31"/>
      <c r="M111" s="31" t="e">
        <f t="shared" ref="M111:N113" si="216">I111*E111+G111+K103*(low__burden-$C111)/($C103-$C111)</f>
        <v>#VALUE!</v>
      </c>
      <c r="N111" s="31" t="e">
        <f t="shared" si="216"/>
        <v>#VALUE!</v>
      </c>
      <c r="P111" s="376" t="e">
        <f>0.0001*VLOOKUP($B111,'844400'!$M$171:$U$237,6,FALSE)/VLOOKUP($B111,'844400'!$M$171:$U$237,8,FALSE)</f>
        <v>#VALUE!</v>
      </c>
      <c r="Q111" s="59">
        <f>VLOOKUP($A111,'5 A data'!$A$5:$AB$519,7,FALSE)*slidewire_res</f>
        <v>0</v>
      </c>
      <c r="R111" s="349">
        <f t="shared" si="202"/>
        <v>0</v>
      </c>
      <c r="S111" s="4">
        <v>0</v>
      </c>
      <c r="T111" s="4">
        <f t="shared" si="214"/>
        <v>0</v>
      </c>
      <c r="U111" s="29" t="e">
        <f t="shared" si="203"/>
        <v>#VALUE!</v>
      </c>
      <c r="V111" s="29">
        <f t="shared" si="183"/>
        <v>5.0000000000000001E-4</v>
      </c>
      <c r="W111" s="23" t="e">
        <f>VLOOKUP($D111,Uncertainties!$B$35:$D$41,2,FALSE)</f>
        <v>#N/A</v>
      </c>
      <c r="X111" s="23"/>
      <c r="Y111" s="24">
        <f t="shared" si="204"/>
        <v>0</v>
      </c>
      <c r="Z111" s="23" t="e">
        <f t="shared" si="205"/>
        <v>#VALUE!</v>
      </c>
      <c r="AA111" s="25" t="e">
        <f t="shared" si="206"/>
        <v>#VALUE!</v>
      </c>
      <c r="AB111" s="26" t="e">
        <f t="shared" si="207"/>
        <v>#VALUE!</v>
      </c>
      <c r="AC111" s="14"/>
      <c r="AD111" s="253" t="e">
        <f>0.0001*VLOOKUP($B111,'844400'!$M$171:$U$237,7,FALSE)/VLOOKUP($B111,'844400'!$M$171:$U$237,9,FALSE)</f>
        <v>#VALUE!</v>
      </c>
      <c r="AE111" s="368">
        <f>IF(ABS(VLOOKUP($A111,'5 A data'!$A$5:$AB$1017,6,FALSE))&lt;4.5,IF(ABS(VLOOKUP($A111,'5 A data'!$A$5:$AB$1017,6,FALSE))&lt;1.25,0.0008,0.002),0.004)*VLOOKUP($A111,'5 A data'!$A$5:$AB$1017,7,FALSE)*25*RADIANS(1/60)*100</f>
        <v>0</v>
      </c>
      <c r="AF111" s="23">
        <f t="shared" si="208"/>
        <v>0</v>
      </c>
      <c r="AG111" s="29" t="e">
        <f t="shared" si="209"/>
        <v>#VALUE!</v>
      </c>
      <c r="AH111" s="4">
        <f t="shared" si="215"/>
        <v>0</v>
      </c>
      <c r="AI111" s="4" t="e">
        <f t="shared" si="210"/>
        <v>#VALUE!</v>
      </c>
      <c r="AJ111" s="4">
        <f t="shared" si="190"/>
        <v>5.0000000000000001E-4</v>
      </c>
      <c r="AK111" s="21" t="e">
        <f>VLOOKUP($D111,Uncertainties!$B$35:$D$41,3,FALSE)</f>
        <v>#N/A</v>
      </c>
      <c r="AL111" s="21"/>
      <c r="AM111" s="371">
        <f>SQRT((VLOOKUP($A111,'5 A data'!$A$5:$AB$1017,7,FALSE)*mutual_ind)^2+(aux_CT_phase*J111)^2)</f>
        <v>0</v>
      </c>
      <c r="AN111" s="29" t="e">
        <f t="shared" si="211"/>
        <v>#VALUE!</v>
      </c>
      <c r="AO111" s="14" t="e">
        <f t="shared" si="212"/>
        <v>#VALUE!</v>
      </c>
      <c r="AP111" s="27" t="e">
        <f t="shared" si="213"/>
        <v>#VALUE!</v>
      </c>
    </row>
    <row r="112" spans="1:42" ht="13.15" customHeight="1" x14ac:dyDescent="0.2">
      <c r="A112">
        <v>202</v>
      </c>
      <c r="B112" s="5" t="e">
        <f>B97&amp;D112</f>
        <v>#VALUE!</v>
      </c>
      <c r="C112" s="19" t="str">
        <f>VLOOKUP($A112,'5 A data'!$A$5:$AB$519,3,FALSE)</f>
        <v>5.0VA 0.8 pf</v>
      </c>
      <c r="D112" s="166">
        <f>ROUND(VLOOKUP($A112,'5 A data'!$A$5:$AB$519,9,FALSE)/10,0)*10</f>
        <v>0</v>
      </c>
      <c r="E112" s="23">
        <f t="shared" si="194"/>
        <v>0.99936709902044762</v>
      </c>
      <c r="F112" s="23">
        <f t="shared" si="195"/>
        <v>1.0011822386327505</v>
      </c>
      <c r="G112" s="23" t="e">
        <f>VLOOKUP($B112,'844400'!$M$171:$U$237,4,FALSE)/10000</f>
        <v>#VALUE!</v>
      </c>
      <c r="H112" s="23" t="e">
        <f>VLOOKUP($B112,'844400'!$M$171:$U$237,5,FALSE)/10000</f>
        <v>#VALUE!</v>
      </c>
      <c r="I112" s="19">
        <f>VLOOKUP($A112,'5 A data'!$A$5:$AB$519,10,FALSE)</f>
        <v>0</v>
      </c>
      <c r="J112" s="32">
        <f>VLOOKUP($A112,'5 A data'!$A$5:$AB$519,11,FALSE)</f>
        <v>0</v>
      </c>
      <c r="K112" s="31"/>
      <c r="L112" s="31"/>
      <c r="M112" s="31" t="e">
        <f t="shared" si="216"/>
        <v>#VALUE!</v>
      </c>
      <c r="N112" s="31" t="e">
        <f t="shared" si="216"/>
        <v>#VALUE!</v>
      </c>
      <c r="P112" s="376" t="e">
        <f>0.0001*VLOOKUP($B112,'844400'!$M$171:$U$237,6,FALSE)/VLOOKUP($B112,'844400'!$M$171:$U$237,8,FALSE)</f>
        <v>#VALUE!</v>
      </c>
      <c r="Q112" s="59">
        <f>VLOOKUP($A112,'5 A data'!$A$5:$AB$519,7,FALSE)*slidewire_res</f>
        <v>0</v>
      </c>
      <c r="R112" s="349">
        <f t="shared" si="202"/>
        <v>4.8800000000000007E-3</v>
      </c>
      <c r="S112" s="4">
        <v>0</v>
      </c>
      <c r="T112" s="4">
        <f t="shared" si="214"/>
        <v>0</v>
      </c>
      <c r="U112" s="29" t="e">
        <f t="shared" si="203"/>
        <v>#VALUE!</v>
      </c>
      <c r="V112" s="29">
        <f t="shared" si="183"/>
        <v>5.0000000000000001E-4</v>
      </c>
      <c r="W112" s="23" t="e">
        <f>VLOOKUP($D112,Uncertainties!$B$35:$D$41,2,FALSE)</f>
        <v>#N/A</v>
      </c>
      <c r="X112" s="23"/>
      <c r="Y112" s="24">
        <f t="shared" si="204"/>
        <v>0</v>
      </c>
      <c r="Z112" s="23" t="e">
        <f t="shared" si="205"/>
        <v>#VALUE!</v>
      </c>
      <c r="AA112" s="25" t="e">
        <f t="shared" si="206"/>
        <v>#VALUE!</v>
      </c>
      <c r="AB112" s="26" t="e">
        <f t="shared" si="207"/>
        <v>#VALUE!</v>
      </c>
      <c r="AC112" s="14"/>
      <c r="AD112" s="253" t="e">
        <f>0.0001*VLOOKUP($B112,'844400'!$M$171:$U$237,7,FALSE)/VLOOKUP($B112,'844400'!$M$171:$U$237,9,FALSE)</f>
        <v>#VALUE!</v>
      </c>
      <c r="AE112" s="368">
        <f>IF(ABS(VLOOKUP($A112,'5 A data'!$A$5:$AB$1017,6,FALSE))&lt;4.5,IF(ABS(VLOOKUP($A112,'5 A data'!$A$5:$AB$1017,6,FALSE))&lt;1.25,0.0008,0.002),0.004)*VLOOKUP($A112,'5 A data'!$A$5:$AB$1017,7,FALSE)*25*RADIANS(1/60)*100</f>
        <v>0</v>
      </c>
      <c r="AF112" s="23">
        <f t="shared" si="208"/>
        <v>-4.4215007717189675E-3</v>
      </c>
      <c r="AG112" s="29" t="e">
        <f t="shared" si="209"/>
        <v>#VALUE!</v>
      </c>
      <c r="AH112" s="4">
        <f t="shared" si="215"/>
        <v>0</v>
      </c>
      <c r="AI112" s="4" t="e">
        <f t="shared" si="210"/>
        <v>#VALUE!</v>
      </c>
      <c r="AJ112" s="4">
        <f t="shared" si="190"/>
        <v>5.0000000000000001E-4</v>
      </c>
      <c r="AK112" s="21" t="e">
        <f>VLOOKUP($D112,Uncertainties!$B$35:$D$41,3,FALSE)</f>
        <v>#N/A</v>
      </c>
      <c r="AL112" s="21"/>
      <c r="AM112" s="371">
        <f>SQRT((VLOOKUP($A112,'5 A data'!$A$5:$AB$1017,7,FALSE)*mutual_ind)^2+(aux_CT_phase*J112)^2)</f>
        <v>0</v>
      </c>
      <c r="AN112" s="29" t="e">
        <f t="shared" si="211"/>
        <v>#VALUE!</v>
      </c>
      <c r="AO112" s="14" t="e">
        <f t="shared" si="212"/>
        <v>#VALUE!</v>
      </c>
      <c r="AP112" s="27" t="e">
        <f t="shared" si="213"/>
        <v>#VALUE!</v>
      </c>
    </row>
    <row r="113" spans="1:42" ht="13.15" customHeight="1" x14ac:dyDescent="0.2">
      <c r="A113" s="69">
        <v>203</v>
      </c>
      <c r="B113" s="5" t="e">
        <f>B97&amp;D113</f>
        <v>#VALUE!</v>
      </c>
      <c r="C113" s="19">
        <f>VLOOKUP($A113,'5 A data'!$A$5:$AB$519,3,FALSE)</f>
        <v>0</v>
      </c>
      <c r="D113" s="166">
        <f>ROUND(VLOOKUP($A113,'5 A data'!$A$5:$AB$519,9,FALSE)/10,0)*10</f>
        <v>70</v>
      </c>
      <c r="E113" s="23">
        <f t="shared" si="194"/>
        <v>0.99936709902044762</v>
      </c>
      <c r="F113" s="23">
        <f t="shared" si="195"/>
        <v>1.0011822386327505</v>
      </c>
      <c r="G113" s="23" t="e">
        <f>VLOOKUP($B113,'844400'!$M$171:$U$237,4,FALSE)/10000</f>
        <v>#VALUE!</v>
      </c>
      <c r="H113" s="23" t="e">
        <f>VLOOKUP($B113,'844400'!$M$171:$U$237,5,FALSE)/10000</f>
        <v>#VALUE!</v>
      </c>
      <c r="I113" s="19">
        <f>VLOOKUP($A113,'5 A data'!$A$5:$AB$519,10,FALSE)</f>
        <v>-2.4400000000000002E-2</v>
      </c>
      <c r="J113" s="32">
        <f>VLOOKUP($A113,'5 A data'!$A$5:$AB$519,11,FALSE)</f>
        <v>2.2107503858594838E-2</v>
      </c>
      <c r="K113" s="31"/>
      <c r="L113" s="31"/>
      <c r="M113" s="31" t="e">
        <f t="shared" si="216"/>
        <v>#VALUE!</v>
      </c>
      <c r="N113" s="31" t="e">
        <f t="shared" si="216"/>
        <v>#VALUE!</v>
      </c>
      <c r="P113" s="376" t="e">
        <f>0.0001*VLOOKUP($B113,'844400'!$M$171:$U$237,6,FALSE)/VLOOKUP($B113,'844400'!$M$171:$U$237,8,FALSE)</f>
        <v>#VALUE!</v>
      </c>
      <c r="Q113" s="59">
        <f>VLOOKUP($A113,'5 A data'!$A$5:$AB$519,7,FALSE)*slidewire_res</f>
        <v>1E-4</v>
      </c>
      <c r="R113" s="349">
        <f t="shared" si="202"/>
        <v>0</v>
      </c>
      <c r="S113" s="4">
        <v>0</v>
      </c>
      <c r="T113" s="4">
        <f t="shared" si="214"/>
        <v>1.2200000000000002E-3</v>
      </c>
      <c r="U113" s="29" t="e">
        <f t="shared" si="203"/>
        <v>#VALUE!</v>
      </c>
      <c r="V113" s="29">
        <f t="shared" si="183"/>
        <v>5.0000000000000001E-4</v>
      </c>
      <c r="W113" s="23" t="e">
        <f>VLOOKUP($D113,Uncertainties!$B$35:$D$41,2,FALSE)</f>
        <v>#N/A</v>
      </c>
      <c r="X113" s="23"/>
      <c r="Y113" s="24">
        <f t="shared" si="204"/>
        <v>-1.9419116109174298E-6</v>
      </c>
      <c r="Z113" s="23" t="e">
        <f t="shared" si="205"/>
        <v>#VALUE!</v>
      </c>
      <c r="AA113" s="25" t="e">
        <f t="shared" si="206"/>
        <v>#VALUE!</v>
      </c>
      <c r="AB113" s="26" t="e">
        <f t="shared" si="207"/>
        <v>#VALUE!</v>
      </c>
      <c r="AC113" s="14"/>
      <c r="AD113" s="253" t="e">
        <f>0.0001*VLOOKUP($B113,'844400'!$M$171:$U$237,7,FALSE)/VLOOKUP($B113,'844400'!$M$171:$U$237,9,FALSE)</f>
        <v>#VALUE!</v>
      </c>
      <c r="AE113" s="368">
        <f>IF(ABS(VLOOKUP($A113,'5 A data'!$A$5:$AB$1017,6,FALSE))&lt;4.5,IF(ABS(VLOOKUP($A113,'5 A data'!$A$5:$AB$1017,6,FALSE))&lt;1.25,0.0008,0.002),0.004)*VLOOKUP($A113,'5 A data'!$A$5:$AB$1017,7,FALSE)*25*RADIANS(1/60)*100</f>
        <v>2.9088820866572163E-4</v>
      </c>
      <c r="AF113" s="23">
        <f t="shared" si="208"/>
        <v>0</v>
      </c>
      <c r="AG113" s="29" t="e">
        <f t="shared" si="209"/>
        <v>#VALUE!</v>
      </c>
      <c r="AH113" s="4">
        <f t="shared" si="215"/>
        <v>-1.1053751929297419E-3</v>
      </c>
      <c r="AI113" s="4" t="e">
        <f t="shared" si="210"/>
        <v>#VALUE!</v>
      </c>
      <c r="AJ113" s="4">
        <f t="shared" si="190"/>
        <v>5.0000000000000001E-4</v>
      </c>
      <c r="AK113" s="21" t="e">
        <f>VLOOKUP($D113,Uncertainties!$B$35:$D$41,3,FALSE)</f>
        <v>#N/A</v>
      </c>
      <c r="AL113" s="21"/>
      <c r="AM113" s="371">
        <f>SQRT((VLOOKUP($A113,'5 A data'!$A$5:$AB$1017,7,FALSE)*mutual_ind)^2+(aux_CT_phase*J113)^2)</f>
        <v>2.6188746834338548E-4</v>
      </c>
      <c r="AN113" s="29" t="e">
        <f t="shared" si="211"/>
        <v>#VALUE!</v>
      </c>
      <c r="AO113" s="14" t="e">
        <f t="shared" si="212"/>
        <v>#VALUE!</v>
      </c>
      <c r="AP113" s="27" t="e">
        <f t="shared" si="213"/>
        <v>#VALUE!</v>
      </c>
    </row>
    <row r="114" spans="1:42" ht="13.15" customHeight="1" x14ac:dyDescent="0.2">
      <c r="A114">
        <v>204</v>
      </c>
      <c r="P114" s="100"/>
      <c r="R114" s="42"/>
      <c r="AD114" s="252"/>
    </row>
    <row r="115" spans="1:42" ht="13.15" customHeight="1" x14ac:dyDescent="0.2">
      <c r="A115" s="69">
        <v>205</v>
      </c>
      <c r="B115" s="161" t="e">
        <f>MID(D115,FIND("AT range",D115,1)-5,4)</f>
        <v>#VALUE!</v>
      </c>
      <c r="C115" t="s">
        <v>114</v>
      </c>
      <c r="D115" s="60" t="str">
        <f>VLOOKUP($A115,'5 A data'!$A$5:$AB$418,2,FALSE)</f>
        <v>burden test, 0 ohms, yy ohms off</v>
      </c>
      <c r="P115" s="100"/>
      <c r="R115" s="42"/>
      <c r="Z115" s="29"/>
      <c r="AA115" s="25"/>
      <c r="AD115" s="252"/>
      <c r="AN115" s="29"/>
      <c r="AO115" s="14"/>
    </row>
    <row r="116" spans="1:42" ht="13.15" customHeight="1" x14ac:dyDescent="0.2">
      <c r="A116">
        <v>206</v>
      </c>
      <c r="C116" s="19"/>
      <c r="M116" s="533" t="s">
        <v>161</v>
      </c>
      <c r="N116" s="533"/>
      <c r="O116" s="19"/>
      <c r="P116" s="100"/>
      <c r="R116" s="42"/>
      <c r="Z116" s="29"/>
      <c r="AA116" s="25"/>
      <c r="AD116" s="252"/>
      <c r="AN116" s="29"/>
      <c r="AO116" s="14"/>
    </row>
    <row r="117" spans="1:42" ht="13.15" customHeight="1" x14ac:dyDescent="0.2">
      <c r="A117" s="69">
        <v>207</v>
      </c>
      <c r="B117" s="5" t="e">
        <f>B115&amp;D117</f>
        <v>#VALUE!</v>
      </c>
      <c r="C117" s="19">
        <f>VLOOKUP($A117,'5 A data'!$A$5:$AB$419,3,FALSE)</f>
        <v>0</v>
      </c>
      <c r="D117" s="19">
        <f>ROUND(VLOOKUP($A117,'5 A data'!$A$5:$AB$519,9,FALSE),0)</f>
        <v>0</v>
      </c>
      <c r="E117" s="23">
        <f>TestSetRatioCor</f>
        <v>0.99936709902044762</v>
      </c>
      <c r="F117" s="23">
        <f>TestSetPhaseCor</f>
        <v>1.0011822386327505</v>
      </c>
      <c r="G117" s="23" t="e">
        <f>VLOOKUP($B117,'844400'!$M$171:$U$237,4,FALSE)/10000</f>
        <v>#VALUE!</v>
      </c>
      <c r="H117" s="23" t="e">
        <f>VLOOKUP($B117,'844400'!$M$171:$U$237,5,FALSE)/10000</f>
        <v>#VALUE!</v>
      </c>
      <c r="I117" s="19">
        <f>VLOOKUP($A117,'5 A data'!$A$5:$AB$519,10,FALSE)</f>
        <v>0</v>
      </c>
      <c r="J117" s="32">
        <f>VLOOKUP($A117,'5 A data'!$A$5:$AB$519,11,FALSE)</f>
        <v>0</v>
      </c>
      <c r="K117" s="22">
        <f t="shared" ref="K117:L119" si="217">I117-I125</f>
        <v>0</v>
      </c>
      <c r="L117" s="22">
        <f t="shared" si="217"/>
        <v>0</v>
      </c>
      <c r="M117" s="22" t="e">
        <f t="shared" ref="M117:N119" si="218">I117*E117+G117-K117*($C117-high_burden)/($C117-$C125)</f>
        <v>#VALUE!</v>
      </c>
      <c r="N117" s="22" t="e">
        <f t="shared" si="218"/>
        <v>#VALUE!</v>
      </c>
      <c r="O117" s="75"/>
      <c r="P117" s="376" t="e">
        <f>0.0001*VLOOKUP($B117,'844400'!$M$171:$U$237,6,FALSE)/VLOOKUP($B117,'844400'!$M$171:$U$237,8,FALSE)</f>
        <v>#VALUE!</v>
      </c>
      <c r="Q117" s="59">
        <f>VLOOKUP($A117,'5 A data'!$A$5:$AB$519,7,FALSE)*slidewire_res</f>
        <v>0</v>
      </c>
      <c r="R117" s="349">
        <f t="shared" ref="R117:R123" si="219">current_coef*(I117-I118)*IF(I118=0,0,1)</f>
        <v>0</v>
      </c>
      <c r="S117" s="21">
        <v>0</v>
      </c>
      <c r="T117" s="21">
        <f>BurdenUnc*K117</f>
        <v>0</v>
      </c>
      <c r="U117" s="23" t="e">
        <f t="shared" ref="U117:U123" si="220">0.004*M117</f>
        <v>#VALUE!</v>
      </c>
      <c r="V117" s="23">
        <f t="shared" ref="V117:V131" si="221">earthing_Re</f>
        <v>5.0000000000000001E-4</v>
      </c>
      <c r="W117" s="23" t="e">
        <f>VLOOKUP($D117,Uncertainties!$B$35:$D$41,2,FALSE)</f>
        <v>#N/A</v>
      </c>
      <c r="X117" s="23"/>
      <c r="Y117" s="24">
        <f t="shared" ref="Y117:Y123" si="222">I117*aux_CT_ratio</f>
        <v>0</v>
      </c>
      <c r="Z117" s="23" t="e">
        <f t="shared" ref="Z117:Z123" si="223">SQRT(SUMSQ(P117:Y117))</f>
        <v>#VALUE!</v>
      </c>
      <c r="AA117" s="25" t="e">
        <f t="shared" ref="AA117:AA123" si="224">DoF_A(P117:Y117,$P$7:$Y$7)</f>
        <v>#VALUE!</v>
      </c>
      <c r="AB117" s="26" t="e">
        <f t="shared" ref="AB117:AB123" si="225">CoverFactor(AA117)</f>
        <v>#VALUE!</v>
      </c>
      <c r="AC117" s="23"/>
      <c r="AD117" s="253" t="e">
        <f>0.0001*VLOOKUP($B117,'844400'!$M$171:$U$237,7,FALSE)/VLOOKUP($B117,'844400'!$M$171:$U$237,9,FALSE)</f>
        <v>#VALUE!</v>
      </c>
      <c r="AE117" s="368">
        <f>IF(ABS(VLOOKUP($A117,'5 A data'!$A$5:$AB$1017,6,FALSE))&lt;4.5,IF(ABS(VLOOKUP($A117,'5 A data'!$A$5:$AB$1017,6,FALSE))&lt;1.25,0.0008,0.002),0.004)*VLOOKUP($A117,'5 A data'!$A$5:$AB$1017,7,FALSE)*25*RADIANS(1/60)*100</f>
        <v>0</v>
      </c>
      <c r="AF117" s="23">
        <f>current_coef*(J117-J118)*IF(J118=0,0,1)</f>
        <v>0</v>
      </c>
      <c r="AG117" s="29" t="e">
        <f t="shared" ref="AG117:AG123" si="226">0.001*N117</f>
        <v>#VALUE!</v>
      </c>
      <c r="AH117" s="4">
        <f>BurdenUnc*L117</f>
        <v>0</v>
      </c>
      <c r="AI117" s="4" t="e">
        <f t="shared" ref="AI117:AI123" si="227">0.004*N117</f>
        <v>#VALUE!</v>
      </c>
      <c r="AJ117" s="4">
        <f t="shared" ref="AJ117:AJ131" si="228">earthing_Im</f>
        <v>5.0000000000000001E-4</v>
      </c>
      <c r="AK117" s="21" t="e">
        <f>VLOOKUP($D117,Uncertainties!$B$35:$D$41,3,FALSE)</f>
        <v>#N/A</v>
      </c>
      <c r="AL117" s="21"/>
      <c r="AM117" s="371">
        <f>SQRT((VLOOKUP($A117,'5 A data'!$A$5:$AB$1017,7,FALSE)*mutual_ind)^2+(aux_CT_phase*J117)^2)</f>
        <v>0</v>
      </c>
      <c r="AN117" s="29" t="e">
        <f t="shared" ref="AN117:AN123" si="229">SQRT(SUMSQ(AD117:AM117))</f>
        <v>#VALUE!</v>
      </c>
      <c r="AO117" s="14" t="e">
        <f t="shared" ref="AO117:AO123" si="230">DoF_A(AD117:AM117,$AD$7:$AM$7)</f>
        <v>#VALUE!</v>
      </c>
      <c r="AP117" s="27" t="e">
        <f t="shared" ref="AP117:AP123" si="231">CoverFactor(AO117)</f>
        <v>#VALUE!</v>
      </c>
    </row>
    <row r="118" spans="1:42" ht="13.15" customHeight="1" x14ac:dyDescent="0.2">
      <c r="A118">
        <v>208</v>
      </c>
      <c r="B118" s="5" t="e">
        <f>B115&amp;D118</f>
        <v>#VALUE!</v>
      </c>
      <c r="C118" s="19">
        <f>VLOOKUP($A118,'5 A data'!$A$5:$AB$519,3,FALSE)</f>
        <v>0</v>
      </c>
      <c r="D118" s="165">
        <f>ROUND(VLOOKUP($A118,'5 A data'!$A$5:$AB$519,9,FALSE)/10,0)*10</f>
        <v>0</v>
      </c>
      <c r="E118" s="23">
        <f t="shared" ref="E118:E131" si="232">TestSetRatioCor</f>
        <v>0.99936709902044762</v>
      </c>
      <c r="F118" s="23">
        <f t="shared" ref="F118:F131" si="233">TestSetPhaseCor</f>
        <v>1.0011822386327505</v>
      </c>
      <c r="G118" s="23" t="e">
        <f>VLOOKUP($B118,'844400'!$M$171:$U$237,4,FALSE)/10000</f>
        <v>#VALUE!</v>
      </c>
      <c r="H118" s="23" t="e">
        <f>VLOOKUP($B118,'844400'!$M$171:$U$237,5,FALSE)/10000</f>
        <v>#VALUE!</v>
      </c>
      <c r="I118" s="19">
        <f>VLOOKUP($A118,'5 A data'!$A$5:$AB$519,10,FALSE)</f>
        <v>0</v>
      </c>
      <c r="J118" s="32">
        <f>VLOOKUP($A118,'5 A data'!$A$5:$AB$519,11,FALSE)</f>
        <v>0</v>
      </c>
      <c r="K118" s="22">
        <f t="shared" si="217"/>
        <v>0</v>
      </c>
      <c r="L118" s="22">
        <f t="shared" si="217"/>
        <v>0</v>
      </c>
      <c r="M118" s="22" t="e">
        <f t="shared" si="218"/>
        <v>#VALUE!</v>
      </c>
      <c r="N118" s="22" t="e">
        <f t="shared" si="218"/>
        <v>#VALUE!</v>
      </c>
      <c r="O118" s="75"/>
      <c r="P118" s="376" t="e">
        <f>0.0001*VLOOKUP($B118,'844400'!$M$171:$U$237,6,FALSE)/VLOOKUP($B118,'844400'!$M$171:$U$237,8,FALSE)</f>
        <v>#VALUE!</v>
      </c>
      <c r="Q118" s="59">
        <f>VLOOKUP($A118,'5 A data'!$A$5:$AB$519,7,FALSE)*slidewire_res</f>
        <v>0</v>
      </c>
      <c r="R118" s="349">
        <f t="shared" si="219"/>
        <v>0</v>
      </c>
      <c r="S118" s="4">
        <v>0</v>
      </c>
      <c r="T118" s="21">
        <f t="shared" ref="T118:T123" si="234">BurdenUnc*K118</f>
        <v>0</v>
      </c>
      <c r="U118" s="29" t="e">
        <f t="shared" si="220"/>
        <v>#VALUE!</v>
      </c>
      <c r="V118" s="29">
        <f t="shared" si="221"/>
        <v>5.0000000000000001E-4</v>
      </c>
      <c r="W118" s="23" t="e">
        <f>VLOOKUP($D118,Uncertainties!$B$35:$D$41,2,FALSE)</f>
        <v>#N/A</v>
      </c>
      <c r="X118" s="23"/>
      <c r="Y118" s="24">
        <f t="shared" si="222"/>
        <v>0</v>
      </c>
      <c r="Z118" s="23" t="e">
        <f t="shared" si="223"/>
        <v>#VALUE!</v>
      </c>
      <c r="AA118" s="25" t="e">
        <f t="shared" si="224"/>
        <v>#VALUE!</v>
      </c>
      <c r="AB118" s="26" t="e">
        <f t="shared" si="225"/>
        <v>#VALUE!</v>
      </c>
      <c r="AC118" s="23"/>
      <c r="AD118" s="253" t="e">
        <f>0.0001*VLOOKUP($B118,'844400'!$M$171:$U$237,7,FALSE)/VLOOKUP($B118,'844400'!$M$171:$U$237,9,FALSE)</f>
        <v>#VALUE!</v>
      </c>
      <c r="AE118" s="368">
        <f>IF(ABS(VLOOKUP($A118,'5 A data'!$A$5:$AB$1017,6,FALSE))&lt;4.5,IF(ABS(VLOOKUP($A118,'5 A data'!$A$5:$AB$1017,6,FALSE))&lt;1.25,0.0008,0.002),0.004)*VLOOKUP($A118,'5 A data'!$A$5:$AB$1017,7,FALSE)*25*RADIANS(1/60)*100</f>
        <v>0</v>
      </c>
      <c r="AF118" s="23">
        <f t="shared" ref="AF118:AF123" si="235">current_coef*(J118-J119)*IF(J119=0,0,1)</f>
        <v>0</v>
      </c>
      <c r="AG118" s="29" t="e">
        <f t="shared" si="226"/>
        <v>#VALUE!</v>
      </c>
      <c r="AH118" s="4">
        <f t="shared" ref="AH118:AH123" si="236">BurdenUnc*L118</f>
        <v>0</v>
      </c>
      <c r="AI118" s="4" t="e">
        <f t="shared" si="227"/>
        <v>#VALUE!</v>
      </c>
      <c r="AJ118" s="4">
        <f t="shared" si="228"/>
        <v>5.0000000000000001E-4</v>
      </c>
      <c r="AK118" s="21" t="e">
        <f>VLOOKUP($D118,Uncertainties!$B$35:$D$41,3,FALSE)</f>
        <v>#N/A</v>
      </c>
      <c r="AL118" s="21"/>
      <c r="AM118" s="371">
        <f>SQRT((VLOOKUP($A118,'5 A data'!$A$5:$AB$1017,7,FALSE)*mutual_ind)^2+(aux_CT_phase*J118)^2)</f>
        <v>0</v>
      </c>
      <c r="AN118" s="29" t="e">
        <f t="shared" si="229"/>
        <v>#VALUE!</v>
      </c>
      <c r="AO118" s="14" t="e">
        <f t="shared" si="230"/>
        <v>#VALUE!</v>
      </c>
      <c r="AP118" s="27" t="e">
        <f t="shared" si="231"/>
        <v>#VALUE!</v>
      </c>
    </row>
    <row r="119" spans="1:42" ht="13.15" customHeight="1" x14ac:dyDescent="0.2">
      <c r="A119" s="69">
        <v>209</v>
      </c>
      <c r="B119" s="5" t="e">
        <f>B115&amp;D119</f>
        <v>#VALUE!</v>
      </c>
      <c r="C119" s="19" t="str">
        <f>VLOOKUP($A119,'5 A data'!$A$5:$AB$519,3,FALSE)</f>
        <v>7.5VA 0.8 pf</v>
      </c>
      <c r="D119" s="165">
        <f>ROUND(VLOOKUP($A119,'5 A data'!$A$5:$AB$519,9,FALSE)/10,0)*10</f>
        <v>0</v>
      </c>
      <c r="E119" s="23">
        <f t="shared" si="232"/>
        <v>0.99936709902044762</v>
      </c>
      <c r="F119" s="23">
        <f t="shared" si="233"/>
        <v>1.0011822386327505</v>
      </c>
      <c r="G119" s="23" t="e">
        <f>VLOOKUP($B119,'844400'!$M$171:$U$237,4,FALSE)/10000</f>
        <v>#VALUE!</v>
      </c>
      <c r="H119" s="23" t="e">
        <f>VLOOKUP($B119,'844400'!$M$171:$U$237,5,FALSE)/10000</f>
        <v>#VALUE!</v>
      </c>
      <c r="I119" s="19">
        <f>VLOOKUP($A119,'5 A data'!$A$5:$AB$519,10,FALSE)</f>
        <v>0</v>
      </c>
      <c r="J119" s="32">
        <f>VLOOKUP($A119,'5 A data'!$A$5:$AB$519,11,FALSE)</f>
        <v>0</v>
      </c>
      <c r="K119" s="22">
        <f t="shared" si="217"/>
        <v>0</v>
      </c>
      <c r="L119" s="22">
        <f t="shared" si="217"/>
        <v>0</v>
      </c>
      <c r="M119" s="22" t="e">
        <f t="shared" si="218"/>
        <v>#VALUE!</v>
      </c>
      <c r="N119" s="22" t="e">
        <f t="shared" si="218"/>
        <v>#VALUE!</v>
      </c>
      <c r="O119" s="75"/>
      <c r="P119" s="376" t="e">
        <f>0.0001*VLOOKUP($B119,'844400'!$M$171:$U$237,6,FALSE)/VLOOKUP($B119,'844400'!$M$171:$U$237,8,FALSE)</f>
        <v>#VALUE!</v>
      </c>
      <c r="Q119" s="59">
        <f>VLOOKUP($A119,'5 A data'!$A$5:$AB$519,7,FALSE)*slidewire_res</f>
        <v>0</v>
      </c>
      <c r="R119" s="349">
        <f t="shared" si="219"/>
        <v>6.5600000000000007E-3</v>
      </c>
      <c r="S119" s="4">
        <v>0</v>
      </c>
      <c r="T119" s="21">
        <f t="shared" si="234"/>
        <v>0</v>
      </c>
      <c r="U119" s="29" t="e">
        <f t="shared" si="220"/>
        <v>#VALUE!</v>
      </c>
      <c r="V119" s="29">
        <f t="shared" si="221"/>
        <v>5.0000000000000001E-4</v>
      </c>
      <c r="W119" s="23" t="e">
        <f>VLOOKUP($D119,Uncertainties!$B$35:$D$41,2,FALSE)</f>
        <v>#N/A</v>
      </c>
      <c r="X119" s="23"/>
      <c r="Y119" s="24">
        <f t="shared" si="222"/>
        <v>0</v>
      </c>
      <c r="Z119" s="23" t="e">
        <f t="shared" si="223"/>
        <v>#VALUE!</v>
      </c>
      <c r="AA119" s="25" t="e">
        <f t="shared" si="224"/>
        <v>#VALUE!</v>
      </c>
      <c r="AB119" s="26" t="e">
        <f t="shared" si="225"/>
        <v>#VALUE!</v>
      </c>
      <c r="AC119" s="23"/>
      <c r="AD119" s="253" t="e">
        <f>0.0001*VLOOKUP($B119,'844400'!$M$171:$U$237,7,FALSE)/VLOOKUP($B119,'844400'!$M$171:$U$237,9,FALSE)</f>
        <v>#VALUE!</v>
      </c>
      <c r="AE119" s="368">
        <f>IF(ABS(VLOOKUP($A119,'5 A data'!$A$5:$AB$1017,6,FALSE))&lt;4.5,IF(ABS(VLOOKUP($A119,'5 A data'!$A$5:$AB$1017,6,FALSE))&lt;1.25,0.0008,0.002),0.004)*VLOOKUP($A119,'5 A data'!$A$5:$AB$1017,7,FALSE)*25*RADIANS(1/60)*100</f>
        <v>0</v>
      </c>
      <c r="AF119" s="23">
        <f t="shared" si="235"/>
        <v>-5.1196324725167009E-3</v>
      </c>
      <c r="AG119" s="29" t="e">
        <f t="shared" si="226"/>
        <v>#VALUE!</v>
      </c>
      <c r="AH119" s="4">
        <f t="shared" si="236"/>
        <v>0</v>
      </c>
      <c r="AI119" s="4" t="e">
        <f t="shared" si="227"/>
        <v>#VALUE!</v>
      </c>
      <c r="AJ119" s="4">
        <f t="shared" si="228"/>
        <v>5.0000000000000001E-4</v>
      </c>
      <c r="AK119" s="21" t="e">
        <f>VLOOKUP($D119,Uncertainties!$B$35:$D$41,3,FALSE)</f>
        <v>#N/A</v>
      </c>
      <c r="AL119" s="21"/>
      <c r="AM119" s="371">
        <f>SQRT((VLOOKUP($A119,'5 A data'!$A$5:$AB$1017,7,FALSE)*mutual_ind)^2+(aux_CT_phase*J119)^2)</f>
        <v>0</v>
      </c>
      <c r="AN119" s="29" t="e">
        <f t="shared" si="229"/>
        <v>#VALUE!</v>
      </c>
      <c r="AO119" s="14" t="e">
        <f t="shared" si="230"/>
        <v>#VALUE!</v>
      </c>
      <c r="AP119" s="27" t="e">
        <f t="shared" si="231"/>
        <v>#VALUE!</v>
      </c>
    </row>
    <row r="120" spans="1:42" ht="13.15" customHeight="1" x14ac:dyDescent="0.2">
      <c r="A120">
        <v>210</v>
      </c>
      <c r="B120" s="5" t="e">
        <f>B115&amp;D120</f>
        <v>#VALUE!</v>
      </c>
      <c r="C120" s="19">
        <f>VLOOKUP($A120,'5 A data'!$A$5:$AB$519,3,FALSE)</f>
        <v>0</v>
      </c>
      <c r="D120" s="165">
        <f>ROUND(VLOOKUP($A120,'5 A data'!$A$5:$AB$519,9,FALSE)/10,0)*10</f>
        <v>70</v>
      </c>
      <c r="E120" s="23">
        <f t="shared" si="232"/>
        <v>0.99936709902044762</v>
      </c>
      <c r="F120" s="23">
        <f t="shared" si="233"/>
        <v>1.0011822386327505</v>
      </c>
      <c r="G120" s="23" t="e">
        <f>VLOOKUP($B120,'844400'!$M$171:$U$237,4,FALSE)/10000</f>
        <v>#VALUE!</v>
      </c>
      <c r="H120" s="23" t="e">
        <f>VLOOKUP($B120,'844400'!$M$171:$U$237,5,FALSE)/10000</f>
        <v>#VALUE!</v>
      </c>
      <c r="I120" s="19">
        <f>VLOOKUP($A120,'5 A data'!$A$5:$AB$519,10,FALSE)</f>
        <v>-3.2800000000000003E-2</v>
      </c>
      <c r="J120" s="32">
        <f>VLOOKUP($A120,'5 A data'!$A$5:$AB$519,11,FALSE)</f>
        <v>2.5598162362583502E-2</v>
      </c>
      <c r="K120" s="22">
        <f>I120-I128</f>
        <v>-3.2800000000000003E-2</v>
      </c>
      <c r="L120" s="22">
        <f>J120-J128</f>
        <v>2.5598162362583502E-2</v>
      </c>
      <c r="M120" s="22" t="e">
        <f>I120*E120+G120-K120*($C120-high_burden)/($C120-$C128)</f>
        <v>#VALUE!</v>
      </c>
      <c r="N120" s="22" t="e">
        <f>J120*F120+H120-L120*($C120-high_burden)/($C120-$C128)</f>
        <v>#VALUE!</v>
      </c>
      <c r="O120" s="75"/>
      <c r="P120" s="376" t="e">
        <f>0.0001*VLOOKUP($B120,'844400'!$M$171:$U$237,6,FALSE)/VLOOKUP($B120,'844400'!$M$171:$U$237,8,FALSE)</f>
        <v>#VALUE!</v>
      </c>
      <c r="Q120" s="59">
        <f>VLOOKUP($A120,'5 A data'!$A$5:$AB$519,7,FALSE)*slidewire_res</f>
        <v>1E-4</v>
      </c>
      <c r="R120" s="349">
        <f t="shared" si="219"/>
        <v>0.10983999999999999</v>
      </c>
      <c r="S120" s="4">
        <v>0</v>
      </c>
      <c r="T120" s="21">
        <f t="shared" si="234"/>
        <v>-1.6400000000000002E-3</v>
      </c>
      <c r="U120" s="29" t="e">
        <f t="shared" si="220"/>
        <v>#VALUE!</v>
      </c>
      <c r="V120" s="29">
        <f t="shared" si="221"/>
        <v>5.0000000000000001E-4</v>
      </c>
      <c r="W120" s="23" t="e">
        <f>VLOOKUP($D120,Uncertainties!$B$35:$D$41,2,FALSE)</f>
        <v>#N/A</v>
      </c>
      <c r="X120" s="23"/>
      <c r="Y120" s="24">
        <f t="shared" si="222"/>
        <v>-2.6104385589381846E-6</v>
      </c>
      <c r="Z120" s="23" t="e">
        <f t="shared" si="223"/>
        <v>#VALUE!</v>
      </c>
      <c r="AA120" s="25" t="e">
        <f t="shared" si="224"/>
        <v>#VALUE!</v>
      </c>
      <c r="AB120" s="26" t="e">
        <f t="shared" si="225"/>
        <v>#VALUE!</v>
      </c>
      <c r="AC120" s="23"/>
      <c r="AD120" s="253" t="e">
        <f>0.0001*VLOOKUP($B120,'844400'!$M$171:$U$237,7,FALSE)/VLOOKUP($B120,'844400'!$M$171:$U$237,9,FALSE)</f>
        <v>#VALUE!</v>
      </c>
      <c r="AE120" s="368">
        <f>IF(ABS(VLOOKUP($A120,'5 A data'!$A$5:$AB$1017,6,FALSE))&lt;4.5,IF(ABS(VLOOKUP($A120,'5 A data'!$A$5:$AB$1017,6,FALSE))&lt;1.25,0.0008,0.002),0.004)*VLOOKUP($A120,'5 A data'!$A$5:$AB$1017,7,FALSE)*25*RADIANS(1/60)*100</f>
        <v>2.9088820866572163E-4</v>
      </c>
      <c r="AF120" s="23">
        <f t="shared" si="235"/>
        <v>6.9115038378975452E-2</v>
      </c>
      <c r="AG120" s="29" t="e">
        <f t="shared" si="226"/>
        <v>#VALUE!</v>
      </c>
      <c r="AH120" s="4">
        <f t="shared" si="236"/>
        <v>1.2799081181291752E-3</v>
      </c>
      <c r="AI120" s="4" t="e">
        <f t="shared" si="227"/>
        <v>#VALUE!</v>
      </c>
      <c r="AJ120" s="4">
        <f t="shared" si="228"/>
        <v>5.0000000000000001E-4</v>
      </c>
      <c r="AK120" s="21" t="e">
        <f>VLOOKUP($D120,Uncertainties!$B$35:$D$41,3,FALSE)</f>
        <v>#N/A</v>
      </c>
      <c r="AL120" s="21"/>
      <c r="AM120" s="371">
        <f>SQRT((VLOOKUP($A120,'5 A data'!$A$5:$AB$1017,7,FALSE)*mutual_ind)^2+(aux_CT_phase*J120)^2)</f>
        <v>2.6191747240041064E-4</v>
      </c>
      <c r="AN120" s="29" t="e">
        <f t="shared" si="229"/>
        <v>#VALUE!</v>
      </c>
      <c r="AO120" s="14" t="e">
        <f t="shared" si="230"/>
        <v>#VALUE!</v>
      </c>
      <c r="AP120" s="27" t="e">
        <f t="shared" si="231"/>
        <v>#VALUE!</v>
      </c>
    </row>
    <row r="121" spans="1:42" ht="13.15" customHeight="1" x14ac:dyDescent="0.2">
      <c r="A121" s="69">
        <v>211</v>
      </c>
      <c r="B121" s="5" t="e">
        <f>B115&amp;D121</f>
        <v>#VALUE!</v>
      </c>
      <c r="C121" s="19">
        <f>VLOOKUP($A121,'5 A data'!$A$5:$AB$519,3,FALSE)</f>
        <v>0</v>
      </c>
      <c r="D121" s="165">
        <f>ROUND(VLOOKUP($A121,'5 A data'!$A$5:$AB$519,9,FALSE)/10,0)*10</f>
        <v>70</v>
      </c>
      <c r="E121" s="23">
        <f t="shared" si="232"/>
        <v>0.99936709902044762</v>
      </c>
      <c r="F121" s="23">
        <f t="shared" si="233"/>
        <v>1.0011822386327505</v>
      </c>
      <c r="G121" s="23" t="e">
        <f>VLOOKUP($B121,'844400'!$M$171:$U$237,4,FALSE)/10000</f>
        <v>#VALUE!</v>
      </c>
      <c r="H121" s="23" t="e">
        <f>VLOOKUP($B121,'844400'!$M$171:$U$237,5,FALSE)/10000</f>
        <v>#VALUE!</v>
      </c>
      <c r="I121" s="19">
        <f>VLOOKUP($A121,'5 A data'!$A$5:$AB$519,10,FALSE)</f>
        <v>-0.58199999999999996</v>
      </c>
      <c r="J121" s="32">
        <f>VLOOKUP($A121,'5 A data'!$A$5:$AB$519,11,FALSE)</f>
        <v>-0.31997702953229373</v>
      </c>
      <c r="K121" s="22">
        <f t="shared" ref="K121:L123" si="237">I121-I129</f>
        <v>-0.58199999999999996</v>
      </c>
      <c r="L121" s="22">
        <f t="shared" si="237"/>
        <v>-0.31997702953229373</v>
      </c>
      <c r="M121" s="22" t="e">
        <f t="shared" ref="M121:N123" si="238">I121*E121+G121-K121*($C121-high_burden)/($C121-$C129)</f>
        <v>#VALUE!</v>
      </c>
      <c r="N121" s="22" t="e">
        <f t="shared" si="238"/>
        <v>#VALUE!</v>
      </c>
      <c r="O121" s="75"/>
      <c r="P121" s="376" t="e">
        <f>0.0001*VLOOKUP($B121,'844400'!$M$171:$U$237,6,FALSE)/VLOOKUP($B121,'844400'!$M$171:$U$237,8,FALSE)</f>
        <v>#VALUE!</v>
      </c>
      <c r="Q121" s="59">
        <f>VLOOKUP($A121,'5 A data'!$A$5:$AB$519,7,FALSE)*slidewire_res</f>
        <v>2E-3</v>
      </c>
      <c r="R121" s="349">
        <f t="shared" si="219"/>
        <v>-0.11006000000000001</v>
      </c>
      <c r="S121" s="4">
        <v>0</v>
      </c>
      <c r="T121" s="21">
        <f t="shared" si="234"/>
        <v>-2.9100000000000001E-2</v>
      </c>
      <c r="U121" s="29" t="e">
        <f t="shared" si="220"/>
        <v>#VALUE!</v>
      </c>
      <c r="V121" s="29">
        <f t="shared" si="221"/>
        <v>5.0000000000000001E-4</v>
      </c>
      <c r="W121" s="23" t="e">
        <f>VLOOKUP($D121,Uncertainties!$B$35:$D$41,2,FALSE)</f>
        <v>#N/A</v>
      </c>
      <c r="X121" s="23"/>
      <c r="Y121" s="24">
        <f t="shared" si="222"/>
        <v>-4.6319367112866563E-5</v>
      </c>
      <c r="Z121" s="23" t="e">
        <f t="shared" si="223"/>
        <v>#VALUE!</v>
      </c>
      <c r="AA121" s="25" t="e">
        <f t="shared" si="224"/>
        <v>#VALUE!</v>
      </c>
      <c r="AB121" s="26" t="e">
        <f t="shared" si="225"/>
        <v>#VALUE!</v>
      </c>
      <c r="AC121" s="23"/>
      <c r="AD121" s="253" t="e">
        <f>0.0001*VLOOKUP($B121,'844400'!$M$171:$U$237,7,FALSE)/VLOOKUP($B121,'844400'!$M$171:$U$237,9,FALSE)</f>
        <v>#VALUE!</v>
      </c>
      <c r="AE121" s="368">
        <f>IF(ABS(VLOOKUP($A121,'5 A data'!$A$5:$AB$1017,6,FALSE))&lt;4.5,IF(ABS(VLOOKUP($A121,'5 A data'!$A$5:$AB$1017,6,FALSE))&lt;1.25,0.0008,0.002),0.004)*VLOOKUP($A121,'5 A data'!$A$5:$AB$1017,7,FALSE)*25*RADIANS(1/60)*100</f>
        <v>5.8177641733144318E-3</v>
      </c>
      <c r="AF121" s="23">
        <f t="shared" si="235"/>
        <v>-6.8416906678177722E-2</v>
      </c>
      <c r="AG121" s="29" t="e">
        <f t="shared" si="226"/>
        <v>#VALUE!</v>
      </c>
      <c r="AH121" s="4">
        <f t="shared" si="236"/>
        <v>-1.5998851476614687E-2</v>
      </c>
      <c r="AI121" s="4" t="e">
        <f t="shared" si="227"/>
        <v>#VALUE!</v>
      </c>
      <c r="AJ121" s="4">
        <f t="shared" si="228"/>
        <v>5.0000000000000001E-4</v>
      </c>
      <c r="AK121" s="21" t="e">
        <f>VLOOKUP($D121,Uncertainties!$B$35:$D$41,3,FALSE)</f>
        <v>#N/A</v>
      </c>
      <c r="AL121" s="21"/>
      <c r="AM121" s="371">
        <f>SQRT((VLOOKUP($A121,'5 A data'!$A$5:$AB$1017,7,FALSE)*mutual_ind)^2+(aux_CT_phase*J121)^2)</f>
        <v>5.2369104186914591E-3</v>
      </c>
      <c r="AN121" s="29" t="e">
        <f t="shared" si="229"/>
        <v>#VALUE!</v>
      </c>
      <c r="AO121" s="14" t="e">
        <f t="shared" si="230"/>
        <v>#VALUE!</v>
      </c>
      <c r="AP121" s="27" t="e">
        <f t="shared" si="231"/>
        <v>#VALUE!</v>
      </c>
    </row>
    <row r="122" spans="1:42" ht="13.15" customHeight="1" x14ac:dyDescent="0.2">
      <c r="A122">
        <v>212</v>
      </c>
      <c r="B122" s="5" t="e">
        <f>B115&amp;D122</f>
        <v>#VALUE!</v>
      </c>
      <c r="C122" s="19">
        <f>VLOOKUP($A122,'5 A data'!$A$5:$AB$519,3,FALSE)</f>
        <v>0</v>
      </c>
      <c r="D122" s="166">
        <f>ROUND(VLOOKUP($A122,'5 A data'!$A$5:$AB$519,9,FALSE)/10,0)*10</f>
        <v>100</v>
      </c>
      <c r="E122" s="23">
        <f t="shared" si="232"/>
        <v>0.99936709902044762</v>
      </c>
      <c r="F122" s="23">
        <f t="shared" si="233"/>
        <v>1.0011822386327505</v>
      </c>
      <c r="G122" s="23" t="e">
        <f>VLOOKUP($B122,'844400'!$M$171:$U$237,4,FALSE)/10000</f>
        <v>#VALUE!</v>
      </c>
      <c r="H122" s="23" t="e">
        <f>VLOOKUP($B122,'844400'!$M$171:$U$237,5,FALSE)/10000</f>
        <v>#VALUE!</v>
      </c>
      <c r="I122" s="19">
        <f>VLOOKUP($A122,'5 A data'!$A$5:$AB$519,10,FALSE)</f>
        <v>-3.1699999999999999E-2</v>
      </c>
      <c r="J122" s="32">
        <f>VLOOKUP($A122,'5 A data'!$A$5:$AB$519,11,FALSE)</f>
        <v>2.2107503858594838E-2</v>
      </c>
      <c r="K122" s="22">
        <f t="shared" si="237"/>
        <v>-3.1699999999999999E-2</v>
      </c>
      <c r="L122" s="22">
        <f t="shared" si="237"/>
        <v>2.2107503858594838E-2</v>
      </c>
      <c r="M122" s="22" t="e">
        <f t="shared" si="238"/>
        <v>#VALUE!</v>
      </c>
      <c r="N122" s="22" t="e">
        <f t="shared" si="238"/>
        <v>#VALUE!</v>
      </c>
      <c r="O122" s="75"/>
      <c r="P122" s="376" t="e">
        <f>0.0001*VLOOKUP($B122,'844400'!$M$171:$U$237,6,FALSE)/VLOOKUP($B122,'844400'!$M$171:$U$237,8,FALSE)</f>
        <v>#VALUE!</v>
      </c>
      <c r="Q122" s="59">
        <f>VLOOKUP($A122,'5 A data'!$A$5:$AB$519,7,FALSE)*slidewire_res</f>
        <v>1E-4</v>
      </c>
      <c r="R122" s="349">
        <f t="shared" si="219"/>
        <v>0.10966000000000001</v>
      </c>
      <c r="S122" s="4">
        <v>0</v>
      </c>
      <c r="T122" s="21">
        <f t="shared" si="234"/>
        <v>-1.585E-3</v>
      </c>
      <c r="U122" s="29" t="e">
        <f t="shared" si="220"/>
        <v>#VALUE!</v>
      </c>
      <c r="V122" s="29">
        <f t="shared" si="221"/>
        <v>5.0000000000000001E-4</v>
      </c>
      <c r="W122" s="23">
        <f>VLOOKUP($D122,Uncertainties!$B$35:$D$41,2,FALSE)</f>
        <v>0</v>
      </c>
      <c r="X122" s="23"/>
      <c r="Y122" s="24">
        <f t="shared" si="222"/>
        <v>-2.522893363364038E-6</v>
      </c>
      <c r="Z122" s="23" t="e">
        <f t="shared" si="223"/>
        <v>#VALUE!</v>
      </c>
      <c r="AA122" s="25" t="e">
        <f t="shared" si="224"/>
        <v>#VALUE!</v>
      </c>
      <c r="AB122" s="26" t="e">
        <f t="shared" si="225"/>
        <v>#VALUE!</v>
      </c>
      <c r="AC122" s="23"/>
      <c r="AD122" s="253" t="e">
        <f>0.0001*VLOOKUP($B122,'844400'!$M$171:$U$237,7,FALSE)/VLOOKUP($B122,'844400'!$M$171:$U$237,9,FALSE)</f>
        <v>#VALUE!</v>
      </c>
      <c r="AE122" s="368">
        <f>IF(ABS(VLOOKUP($A122,'5 A data'!$A$5:$AB$1017,6,FALSE))&lt;4.5,IF(ABS(VLOOKUP($A122,'5 A data'!$A$5:$AB$1017,6,FALSE))&lt;1.25,0.0008,0.002),0.004)*VLOOKUP($A122,'5 A data'!$A$5:$AB$1017,7,FALSE)*25*RADIANS(1/60)*100</f>
        <v>2.9088820866572163E-4</v>
      </c>
      <c r="AF122" s="23">
        <f t="shared" si="235"/>
        <v>6.8998683095509161E-2</v>
      </c>
      <c r="AG122" s="29" t="e">
        <f t="shared" si="226"/>
        <v>#VALUE!</v>
      </c>
      <c r="AH122" s="4">
        <f t="shared" si="236"/>
        <v>1.1053751929297419E-3</v>
      </c>
      <c r="AI122" s="4" t="e">
        <f t="shared" si="227"/>
        <v>#VALUE!</v>
      </c>
      <c r="AJ122" s="4">
        <f t="shared" si="228"/>
        <v>5.0000000000000001E-4</v>
      </c>
      <c r="AK122" s="21">
        <f>VLOOKUP($D122,Uncertainties!$B$35:$D$41,3,FALSE)</f>
        <v>0</v>
      </c>
      <c r="AL122" s="21"/>
      <c r="AM122" s="371">
        <f>SQRT((VLOOKUP($A122,'5 A data'!$A$5:$AB$1017,7,FALSE)*mutual_ind)^2+(aux_CT_phase*J122)^2)</f>
        <v>2.6188746834338548E-4</v>
      </c>
      <c r="AN122" s="29" t="e">
        <f t="shared" si="229"/>
        <v>#VALUE!</v>
      </c>
      <c r="AO122" s="14" t="e">
        <f t="shared" si="230"/>
        <v>#VALUE!</v>
      </c>
      <c r="AP122" s="27" t="e">
        <f t="shared" si="231"/>
        <v>#VALUE!</v>
      </c>
    </row>
    <row r="123" spans="1:42" ht="13.15" customHeight="1" x14ac:dyDescent="0.2">
      <c r="A123" s="69">
        <v>213</v>
      </c>
      <c r="B123" s="5" t="e">
        <f>B115&amp;D123</f>
        <v>#VALUE!</v>
      </c>
      <c r="C123" s="19">
        <f>VLOOKUP($A123,'5 A data'!$A$5:$AB$519,3,FALSE)</f>
        <v>0</v>
      </c>
      <c r="D123" s="166">
        <f>ROUND(VLOOKUP($A123,'5 A data'!$A$5:$AB$519,9,FALSE)/10,0)*10</f>
        <v>100</v>
      </c>
      <c r="E123" s="23">
        <f t="shared" si="232"/>
        <v>0.99936709902044762</v>
      </c>
      <c r="F123" s="23">
        <f t="shared" si="233"/>
        <v>1.0011822386327505</v>
      </c>
      <c r="G123" s="23" t="e">
        <f>VLOOKUP($B123,'844400'!$M$171:$U$237,4,FALSE)/10000</f>
        <v>#VALUE!</v>
      </c>
      <c r="H123" s="23" t="e">
        <f>VLOOKUP($B123,'844400'!$M$171:$U$237,5,FALSE)/10000</f>
        <v>#VALUE!</v>
      </c>
      <c r="I123" s="19">
        <f>VLOOKUP($A123,'5 A data'!$A$5:$AB$519,10,FALSE)</f>
        <v>-0.57999999999999996</v>
      </c>
      <c r="J123" s="32">
        <f>VLOOKUP($A123,'5 A data'!$A$5:$AB$519,11,FALSE)</f>
        <v>-0.32288591161895097</v>
      </c>
      <c r="K123" s="22">
        <f t="shared" si="237"/>
        <v>-0.57999999999999996</v>
      </c>
      <c r="L123" s="22">
        <f t="shared" si="237"/>
        <v>-0.32288591161895097</v>
      </c>
      <c r="M123" s="22" t="e">
        <f t="shared" si="238"/>
        <v>#VALUE!</v>
      </c>
      <c r="N123" s="22" t="e">
        <f t="shared" si="238"/>
        <v>#VALUE!</v>
      </c>
      <c r="O123" s="75"/>
      <c r="P123" s="376" t="e">
        <f>0.0001*VLOOKUP($B123,'844400'!$M$171:$U$237,6,FALSE)/VLOOKUP($B123,'844400'!$M$171:$U$237,8,FALSE)</f>
        <v>#VALUE!</v>
      </c>
      <c r="Q123" s="59">
        <f>VLOOKUP($A123,'5 A data'!$A$5:$AB$519,7,FALSE)*slidewire_res</f>
        <v>2E-3</v>
      </c>
      <c r="R123" s="349">
        <f t="shared" si="219"/>
        <v>0</v>
      </c>
      <c r="S123" s="4">
        <v>0</v>
      </c>
      <c r="T123" s="21">
        <f t="shared" si="234"/>
        <v>-2.8999999999999998E-2</v>
      </c>
      <c r="U123" s="29" t="e">
        <f t="shared" si="220"/>
        <v>#VALUE!</v>
      </c>
      <c r="V123" s="29">
        <f t="shared" si="221"/>
        <v>5.0000000000000001E-4</v>
      </c>
      <c r="W123" s="23">
        <f>VLOOKUP($D123,Uncertainties!$B$35:$D$41,2,FALSE)</f>
        <v>0</v>
      </c>
      <c r="X123" s="23"/>
      <c r="Y123" s="24">
        <f t="shared" si="222"/>
        <v>-4.6160194030004478E-5</v>
      </c>
      <c r="Z123" s="23" t="e">
        <f t="shared" si="223"/>
        <v>#VALUE!</v>
      </c>
      <c r="AA123" s="25" t="e">
        <f t="shared" si="224"/>
        <v>#VALUE!</v>
      </c>
      <c r="AB123" s="26" t="e">
        <f t="shared" si="225"/>
        <v>#VALUE!</v>
      </c>
      <c r="AC123" s="23"/>
      <c r="AD123" s="253" t="e">
        <f>0.0001*VLOOKUP($B123,'844400'!$M$171:$U$237,7,FALSE)/VLOOKUP($B123,'844400'!$M$171:$U$237,9,FALSE)</f>
        <v>#VALUE!</v>
      </c>
      <c r="AE123" s="368">
        <f>IF(ABS(VLOOKUP($A123,'5 A data'!$A$5:$AB$1017,6,FALSE))&lt;4.5,IF(ABS(VLOOKUP($A123,'5 A data'!$A$5:$AB$1017,6,FALSE))&lt;1.25,0.0008,0.002),0.004)*VLOOKUP($A123,'5 A data'!$A$5:$AB$1017,7,FALSE)*25*RADIANS(1/60)*100</f>
        <v>5.8177641733144318E-3</v>
      </c>
      <c r="AF123" s="23">
        <f t="shared" si="235"/>
        <v>0</v>
      </c>
      <c r="AG123" s="29" t="e">
        <f t="shared" si="226"/>
        <v>#VALUE!</v>
      </c>
      <c r="AH123" s="4">
        <f t="shared" si="236"/>
        <v>-1.614429558094755E-2</v>
      </c>
      <c r="AI123" s="4" t="e">
        <f t="shared" si="227"/>
        <v>#VALUE!</v>
      </c>
      <c r="AJ123" s="4">
        <f t="shared" si="228"/>
        <v>5.0000000000000001E-4</v>
      </c>
      <c r="AK123" s="21">
        <f>VLOOKUP($D123,Uncertainties!$B$35:$D$41,3,FALSE)</f>
        <v>0</v>
      </c>
      <c r="AL123" s="21"/>
      <c r="AM123" s="371">
        <f>SQRT((VLOOKUP($A123,'5 A data'!$A$5:$AB$1017,7,FALSE)*mutual_ind)^2+(aux_CT_phase*J123)^2)</f>
        <v>5.2369272691185492E-3</v>
      </c>
      <c r="AN123" s="29" t="e">
        <f t="shared" si="229"/>
        <v>#VALUE!</v>
      </c>
      <c r="AO123" s="14" t="e">
        <f t="shared" si="230"/>
        <v>#VALUE!</v>
      </c>
      <c r="AP123" s="27" t="e">
        <f t="shared" si="231"/>
        <v>#VALUE!</v>
      </c>
    </row>
    <row r="124" spans="1:42" ht="13.15" customHeight="1" x14ac:dyDescent="0.2">
      <c r="A124">
        <v>214</v>
      </c>
      <c r="B124" s="5"/>
      <c r="C124" s="19"/>
      <c r="D124" s="19"/>
      <c r="E124" s="23"/>
      <c r="F124" s="23"/>
      <c r="G124" s="23"/>
      <c r="H124" s="23"/>
      <c r="I124" s="19"/>
      <c r="J124" s="32"/>
      <c r="K124" s="31"/>
      <c r="L124" s="31"/>
      <c r="M124" s="533" t="s">
        <v>94</v>
      </c>
      <c r="N124" s="533"/>
      <c r="O124" s="20"/>
      <c r="P124" s="376"/>
      <c r="Q124" s="59"/>
      <c r="R124" s="349"/>
      <c r="S124" s="4"/>
      <c r="T124" s="4"/>
      <c r="U124" s="29"/>
      <c r="V124" s="29"/>
      <c r="W124" s="29"/>
      <c r="X124" s="29"/>
      <c r="Y124" s="24"/>
      <c r="Z124" s="29"/>
      <c r="AA124" s="25"/>
      <c r="AB124" s="26"/>
      <c r="AC124" s="14"/>
      <c r="AD124" s="253"/>
      <c r="AE124" s="35"/>
      <c r="AF124" s="28"/>
      <c r="AG124" s="29"/>
      <c r="AH124" s="4"/>
      <c r="AI124" s="4"/>
      <c r="AJ124" s="4"/>
      <c r="AK124" s="4"/>
      <c r="AL124" s="4"/>
      <c r="AM124" s="24"/>
      <c r="AN124" s="29"/>
      <c r="AO124" s="14"/>
      <c r="AP124" s="27"/>
    </row>
    <row r="125" spans="1:42" ht="13.15" customHeight="1" x14ac:dyDescent="0.2">
      <c r="A125" s="69">
        <v>215</v>
      </c>
      <c r="B125" s="5" t="e">
        <f>B115&amp;D125</f>
        <v>#VALUE!</v>
      </c>
      <c r="C125" s="19">
        <f>VLOOKUP($A125,'5 A data'!$A$5:$AB$519,3,FALSE)</f>
        <v>0</v>
      </c>
      <c r="D125" s="19">
        <f>ROUND(VLOOKUP($A125,'5 A data'!$A$5:$AB$519,9,FALSE),0)</f>
        <v>0</v>
      </c>
      <c r="E125" s="23">
        <f t="shared" si="232"/>
        <v>0.99936709902044762</v>
      </c>
      <c r="F125" s="23">
        <f t="shared" si="233"/>
        <v>1.0011822386327505</v>
      </c>
      <c r="G125" s="23" t="e">
        <f>VLOOKUP($B125,'844400'!$M$171:$U$237,4,FALSE)/10000</f>
        <v>#VALUE!</v>
      </c>
      <c r="H125" s="23" t="e">
        <f>VLOOKUP($B125,'844400'!$M$171:$U$237,5,FALSE)/10000</f>
        <v>#VALUE!</v>
      </c>
      <c r="I125" s="19">
        <f>VLOOKUP($A125,'5 A data'!$A$5:$AB$519,10,FALSE)</f>
        <v>0</v>
      </c>
      <c r="J125" s="32">
        <f>VLOOKUP($A125,'5 A data'!$A$5:$AB$519,11,FALSE)</f>
        <v>0</v>
      </c>
      <c r="K125" s="31"/>
      <c r="L125" s="31"/>
      <c r="M125" s="31" t="e">
        <f t="shared" ref="M125:N127" si="239">I125*E125+G125+K117*(low__burden-$C125)/($C117-$C125)</f>
        <v>#VALUE!</v>
      </c>
      <c r="N125" s="31" t="e">
        <f t="shared" si="239"/>
        <v>#VALUE!</v>
      </c>
      <c r="O125" s="20"/>
      <c r="P125" s="376" t="e">
        <f>0.0001*VLOOKUP($B125,'844400'!$M$171:$U$237,6,FALSE)/VLOOKUP($B125,'844400'!$M$171:$U$237,8,FALSE)</f>
        <v>#VALUE!</v>
      </c>
      <c r="Q125" s="59">
        <f>VLOOKUP($A125,'5 A data'!$A$5:$AB$519,7,FALSE)*slidewire_res</f>
        <v>0</v>
      </c>
      <c r="R125" s="349">
        <f t="shared" ref="R125:R131" si="240">current_coef*(I125-I126)*IF(I126=0,0,1)</f>
        <v>0</v>
      </c>
      <c r="S125" s="4">
        <v>0</v>
      </c>
      <c r="T125" s="4">
        <f>BurdenUnc*K117</f>
        <v>0</v>
      </c>
      <c r="U125" s="29" t="e">
        <f t="shared" ref="U125:U131" si="241">0.004*M125</f>
        <v>#VALUE!</v>
      </c>
      <c r="V125" s="29">
        <f t="shared" si="221"/>
        <v>5.0000000000000001E-4</v>
      </c>
      <c r="W125" s="23" t="e">
        <f>VLOOKUP($D125,Uncertainties!$B$35:$D$41,2,FALSE)</f>
        <v>#N/A</v>
      </c>
      <c r="X125" s="23"/>
      <c r="Y125" s="24">
        <f t="shared" ref="Y125:Y131" si="242">I125*aux_CT_ratio</f>
        <v>0</v>
      </c>
      <c r="Z125" s="23" t="e">
        <f t="shared" ref="Z125:Z131" si="243">SQRT(SUMSQ(P125:Y125))</f>
        <v>#VALUE!</v>
      </c>
      <c r="AA125" s="25" t="e">
        <f t="shared" ref="AA125:AA131" si="244">DoF_A(P125:Y125,$P$7:$Y$7)</f>
        <v>#VALUE!</v>
      </c>
      <c r="AB125" s="26" t="e">
        <f t="shared" ref="AB125:AB131" si="245">CoverFactor(AA125)</f>
        <v>#VALUE!</v>
      </c>
      <c r="AC125" s="14"/>
      <c r="AD125" s="253" t="e">
        <f>0.0001*VLOOKUP($B125,'844400'!$M$171:$U$237,7,FALSE)/VLOOKUP($B125,'844400'!$M$171:$U$237,9,FALSE)</f>
        <v>#VALUE!</v>
      </c>
      <c r="AE125" s="368">
        <f>IF(ABS(VLOOKUP($A125,'5 A data'!$A$5:$AB$1017,6,FALSE))&lt;4.5,IF(ABS(VLOOKUP($A125,'5 A data'!$A$5:$AB$1017,6,FALSE))&lt;1.25,0.0008,0.002),0.004)*VLOOKUP($A125,'5 A data'!$A$5:$AB$1017,7,FALSE)*25*RADIANS(1/60)*100</f>
        <v>0</v>
      </c>
      <c r="AF125" s="23">
        <f t="shared" ref="AF125:AF131" si="246">current_coef*(J125-J126)*IF(J126=0,0,1)</f>
        <v>0</v>
      </c>
      <c r="AG125" s="29" t="e">
        <f t="shared" ref="AG125:AG131" si="247">0.001*N125</f>
        <v>#VALUE!</v>
      </c>
      <c r="AH125" s="4">
        <f>BurdenUnc*L117</f>
        <v>0</v>
      </c>
      <c r="AI125" s="4" t="e">
        <f t="shared" ref="AI125:AI131" si="248">0.004*N125</f>
        <v>#VALUE!</v>
      </c>
      <c r="AJ125" s="4">
        <f t="shared" si="228"/>
        <v>5.0000000000000001E-4</v>
      </c>
      <c r="AK125" s="21" t="e">
        <f>VLOOKUP($D125,Uncertainties!$B$35:$D$41,3,FALSE)</f>
        <v>#N/A</v>
      </c>
      <c r="AL125" s="21"/>
      <c r="AM125" s="371">
        <f>SQRT((VLOOKUP($A125,'5 A data'!$A$5:$AB$1017,7,FALSE)*mutual_ind)^2+(aux_CT_phase*J125)^2)</f>
        <v>0</v>
      </c>
      <c r="AN125" s="29" t="e">
        <f t="shared" ref="AN125:AN131" si="249">SQRT(SUMSQ(AD125:AM125))</f>
        <v>#VALUE!</v>
      </c>
      <c r="AO125" s="14" t="e">
        <f t="shared" ref="AO125:AO131" si="250">DoF_A(AD125:AM125,$AD$7:$AM$7)</f>
        <v>#VALUE!</v>
      </c>
      <c r="AP125" s="27" t="e">
        <f t="shared" ref="AP125:AP131" si="251">CoverFactor(AO125)</f>
        <v>#VALUE!</v>
      </c>
    </row>
    <row r="126" spans="1:42" ht="13.15" customHeight="1" x14ac:dyDescent="0.2">
      <c r="A126">
        <v>216</v>
      </c>
      <c r="B126" s="5" t="e">
        <f>B115&amp;D126</f>
        <v>#VALUE!</v>
      </c>
      <c r="C126" s="19">
        <f>VLOOKUP($A126,'5 A data'!$A$5:$AB$519,3,FALSE)</f>
        <v>2.1700000000000001E-2</v>
      </c>
      <c r="D126" s="165">
        <f>ROUND(VLOOKUP($A126,'5 A data'!$A$5:$AB$519,9,FALSE)/10,0)*10</f>
        <v>10</v>
      </c>
      <c r="E126" s="23">
        <f t="shared" si="232"/>
        <v>0.99936709902044762</v>
      </c>
      <c r="F126" s="23">
        <f t="shared" si="233"/>
        <v>1.0011822386327505</v>
      </c>
      <c r="G126" s="23" t="e">
        <f>VLOOKUP($B126,'844400'!$M$171:$U$237,4,FALSE)/10000</f>
        <v>#VALUE!</v>
      </c>
      <c r="H126" s="23" t="e">
        <f>VLOOKUP($B126,'844400'!$M$171:$U$237,5,FALSE)/10000</f>
        <v>#VALUE!</v>
      </c>
      <c r="I126" s="19">
        <f>VLOOKUP($A126,'5 A data'!$A$5:$AB$519,10,FALSE)</f>
        <v>0</v>
      </c>
      <c r="J126" s="32">
        <f>VLOOKUP($A126,'5 A data'!$A$5:$AB$519,11,FALSE)</f>
        <v>0</v>
      </c>
      <c r="K126" s="31"/>
      <c r="L126" s="31"/>
      <c r="M126" s="31" t="e">
        <f t="shared" si="239"/>
        <v>#VALUE!</v>
      </c>
      <c r="N126" s="31" t="e">
        <f t="shared" si="239"/>
        <v>#VALUE!</v>
      </c>
      <c r="O126" s="20"/>
      <c r="P126" s="376" t="e">
        <f>0.0001*VLOOKUP($B126,'844400'!$M$171:$U$237,6,FALSE)/VLOOKUP($B126,'844400'!$M$171:$U$237,8,FALSE)</f>
        <v>#VALUE!</v>
      </c>
      <c r="Q126" s="59">
        <f>VLOOKUP($A126,'5 A data'!$A$5:$AB$519,7,FALSE)*slidewire_res</f>
        <v>0</v>
      </c>
      <c r="R126" s="349">
        <f t="shared" si="240"/>
        <v>0</v>
      </c>
      <c r="S126" s="4">
        <v>0</v>
      </c>
      <c r="T126" s="4">
        <f t="shared" ref="T126:T131" si="252">BurdenUnc*K118</f>
        <v>0</v>
      </c>
      <c r="U126" s="29" t="e">
        <f t="shared" si="241"/>
        <v>#VALUE!</v>
      </c>
      <c r="V126" s="29">
        <f t="shared" si="221"/>
        <v>5.0000000000000001E-4</v>
      </c>
      <c r="W126" s="23">
        <f>VLOOKUP($D126,Uncertainties!$B$35:$D$41,2,FALSE)</f>
        <v>0</v>
      </c>
      <c r="X126" s="23"/>
      <c r="Y126" s="24">
        <f t="shared" si="242"/>
        <v>0</v>
      </c>
      <c r="Z126" s="23" t="e">
        <f t="shared" si="243"/>
        <v>#VALUE!</v>
      </c>
      <c r="AA126" s="25" t="e">
        <f t="shared" si="244"/>
        <v>#VALUE!</v>
      </c>
      <c r="AB126" s="26" t="e">
        <f t="shared" si="245"/>
        <v>#VALUE!</v>
      </c>
      <c r="AC126" s="14"/>
      <c r="AD126" s="253" t="e">
        <f>0.0001*VLOOKUP($B126,'844400'!$M$171:$U$237,7,FALSE)/VLOOKUP($B126,'844400'!$M$171:$U$237,9,FALSE)</f>
        <v>#VALUE!</v>
      </c>
      <c r="AE126" s="368">
        <f>IF(ABS(VLOOKUP($A126,'5 A data'!$A$5:$AB$1017,6,FALSE))&lt;4.5,IF(ABS(VLOOKUP($A126,'5 A data'!$A$5:$AB$1017,6,FALSE))&lt;1.25,0.0008,0.002),0.004)*VLOOKUP($A126,'5 A data'!$A$5:$AB$1017,7,FALSE)*25*RADIANS(1/60)*100</f>
        <v>0</v>
      </c>
      <c r="AF126" s="23">
        <f t="shared" si="246"/>
        <v>0</v>
      </c>
      <c r="AG126" s="29" t="e">
        <f t="shared" si="247"/>
        <v>#VALUE!</v>
      </c>
      <c r="AH126" s="4">
        <f t="shared" ref="AH126:AH131" si="253">BurdenUnc*L118</f>
        <v>0</v>
      </c>
      <c r="AI126" s="4" t="e">
        <f t="shared" si="248"/>
        <v>#VALUE!</v>
      </c>
      <c r="AJ126" s="4">
        <f t="shared" si="228"/>
        <v>5.0000000000000001E-4</v>
      </c>
      <c r="AK126" s="21">
        <f>VLOOKUP($D126,Uncertainties!$B$35:$D$41,3,FALSE)</f>
        <v>0</v>
      </c>
      <c r="AL126" s="21"/>
      <c r="AM126" s="371">
        <f>SQRT((VLOOKUP($A126,'5 A data'!$A$5:$AB$1017,7,FALSE)*mutual_ind)^2+(aux_CT_phase*J126)^2)</f>
        <v>0</v>
      </c>
      <c r="AN126" s="29" t="e">
        <f t="shared" si="249"/>
        <v>#VALUE!</v>
      </c>
      <c r="AO126" s="14" t="e">
        <f t="shared" si="250"/>
        <v>#VALUE!</v>
      </c>
      <c r="AP126" s="27" t="e">
        <f t="shared" si="251"/>
        <v>#VALUE!</v>
      </c>
    </row>
    <row r="127" spans="1:42" ht="13.15" customHeight="1" x14ac:dyDescent="0.2">
      <c r="A127" s="69">
        <v>217</v>
      </c>
      <c r="B127" s="5" t="e">
        <f>B115&amp;D127</f>
        <v>#VALUE!</v>
      </c>
      <c r="C127" s="19">
        <f>VLOOKUP($A127,'5 A data'!$A$5:$AB$519,3,FALSE)</f>
        <v>2.1700000000000001E-2</v>
      </c>
      <c r="D127" s="165">
        <f>ROUND(VLOOKUP($A127,'5 A data'!$A$5:$AB$519,9,FALSE)/10,0)*10</f>
        <v>10</v>
      </c>
      <c r="E127" s="23">
        <f t="shared" si="232"/>
        <v>0.99936709902044762</v>
      </c>
      <c r="F127" s="23">
        <f t="shared" si="233"/>
        <v>1.0011822386327505</v>
      </c>
      <c r="G127" s="23" t="e">
        <f>VLOOKUP($B127,'844400'!$M$171:$U$237,4,FALSE)/10000</f>
        <v>#VALUE!</v>
      </c>
      <c r="H127" s="23" t="e">
        <f>VLOOKUP($B127,'844400'!$M$171:$U$237,5,FALSE)/10000</f>
        <v>#VALUE!</v>
      </c>
      <c r="I127" s="19">
        <f>VLOOKUP($A127,'5 A data'!$A$5:$AB$519,10,FALSE)</f>
        <v>0</v>
      </c>
      <c r="J127" s="32">
        <f>VLOOKUP($A127,'5 A data'!$A$5:$AB$519,11,FALSE)</f>
        <v>0</v>
      </c>
      <c r="K127" s="31"/>
      <c r="L127" s="31"/>
      <c r="M127" s="31" t="e">
        <f t="shared" si="239"/>
        <v>#VALUE!</v>
      </c>
      <c r="N127" s="31" t="e">
        <f t="shared" si="239"/>
        <v>#VALUE!</v>
      </c>
      <c r="O127" s="20"/>
      <c r="P127" s="376" t="e">
        <f>0.0001*VLOOKUP($B127,'844400'!$M$171:$U$237,6,FALSE)/VLOOKUP($B127,'844400'!$M$171:$U$237,8,FALSE)</f>
        <v>#VALUE!</v>
      </c>
      <c r="Q127" s="59">
        <f>VLOOKUP($A127,'5 A data'!$A$5:$AB$519,7,FALSE)*slidewire_res</f>
        <v>0</v>
      </c>
      <c r="R127" s="349">
        <f t="shared" si="240"/>
        <v>0</v>
      </c>
      <c r="S127" s="4">
        <v>0</v>
      </c>
      <c r="T127" s="4">
        <f t="shared" si="252"/>
        <v>0</v>
      </c>
      <c r="U127" s="29" t="e">
        <f t="shared" si="241"/>
        <v>#VALUE!</v>
      </c>
      <c r="V127" s="29">
        <f t="shared" si="221"/>
        <v>5.0000000000000001E-4</v>
      </c>
      <c r="W127" s="23">
        <f>VLOOKUP($D127,Uncertainties!$B$35:$D$41,2,FALSE)</f>
        <v>0</v>
      </c>
      <c r="X127" s="23"/>
      <c r="Y127" s="24">
        <f t="shared" si="242"/>
        <v>0</v>
      </c>
      <c r="Z127" s="23" t="e">
        <f t="shared" si="243"/>
        <v>#VALUE!</v>
      </c>
      <c r="AA127" s="25" t="e">
        <f t="shared" si="244"/>
        <v>#VALUE!</v>
      </c>
      <c r="AB127" s="26" t="e">
        <f t="shared" si="245"/>
        <v>#VALUE!</v>
      </c>
      <c r="AC127" s="14"/>
      <c r="AD127" s="253" t="e">
        <f>0.0001*VLOOKUP($B127,'844400'!$M$171:$U$237,7,FALSE)/VLOOKUP($B127,'844400'!$M$171:$U$237,9,FALSE)</f>
        <v>#VALUE!</v>
      </c>
      <c r="AE127" s="368">
        <f>IF(ABS(VLOOKUP($A127,'5 A data'!$A$5:$AB$1017,6,FALSE))&lt;4.5,IF(ABS(VLOOKUP($A127,'5 A data'!$A$5:$AB$1017,6,FALSE))&lt;1.25,0.0008,0.002),0.004)*VLOOKUP($A127,'5 A data'!$A$5:$AB$1017,7,FALSE)*25*RADIANS(1/60)*100</f>
        <v>0</v>
      </c>
      <c r="AF127" s="23">
        <f t="shared" si="246"/>
        <v>0</v>
      </c>
      <c r="AG127" s="29" t="e">
        <f t="shared" si="247"/>
        <v>#VALUE!</v>
      </c>
      <c r="AH127" s="4">
        <f t="shared" si="253"/>
        <v>0</v>
      </c>
      <c r="AI127" s="4" t="e">
        <f t="shared" si="248"/>
        <v>#VALUE!</v>
      </c>
      <c r="AJ127" s="4">
        <f t="shared" si="228"/>
        <v>5.0000000000000001E-4</v>
      </c>
      <c r="AK127" s="21">
        <f>VLOOKUP($D127,Uncertainties!$B$35:$D$41,3,FALSE)</f>
        <v>0</v>
      </c>
      <c r="AL127" s="21"/>
      <c r="AM127" s="371">
        <f>SQRT((VLOOKUP($A127,'5 A data'!$A$5:$AB$1017,7,FALSE)*mutual_ind)^2+(aux_CT_phase*J127)^2)</f>
        <v>0</v>
      </c>
      <c r="AN127" s="29" t="e">
        <f t="shared" si="249"/>
        <v>#VALUE!</v>
      </c>
      <c r="AO127" s="14" t="e">
        <f t="shared" si="250"/>
        <v>#VALUE!</v>
      </c>
      <c r="AP127" s="27" t="e">
        <f t="shared" si="251"/>
        <v>#VALUE!</v>
      </c>
    </row>
    <row r="128" spans="1:42" ht="13.15" customHeight="1" x14ac:dyDescent="0.2">
      <c r="A128">
        <v>218</v>
      </c>
      <c r="B128" s="5" t="e">
        <f>B115&amp;D128</f>
        <v>#VALUE!</v>
      </c>
      <c r="C128" s="19">
        <f>VLOOKUP($A128,'5 A data'!$A$5:$AB$519,3,FALSE)</f>
        <v>2.1700000000000001E-2</v>
      </c>
      <c r="D128" s="165">
        <f>ROUND(VLOOKUP($A128,'5 A data'!$A$5:$AB$519,9,FALSE)/10,0)*10</f>
        <v>20</v>
      </c>
      <c r="E128" s="23">
        <f t="shared" si="232"/>
        <v>0.99936709902044762</v>
      </c>
      <c r="F128" s="23">
        <f t="shared" si="233"/>
        <v>1.0011822386327505</v>
      </c>
      <c r="G128" s="23" t="e">
        <f>VLOOKUP($B128,'844400'!$M$171:$U$237,4,FALSE)/10000</f>
        <v>#VALUE!</v>
      </c>
      <c r="H128" s="23" t="e">
        <f>VLOOKUP($B128,'844400'!$M$171:$U$237,5,FALSE)/10000</f>
        <v>#VALUE!</v>
      </c>
      <c r="I128" s="19">
        <f>VLOOKUP($A128,'5 A data'!$A$5:$AB$519,10,FALSE)</f>
        <v>0</v>
      </c>
      <c r="J128" s="32">
        <f>VLOOKUP($A128,'5 A data'!$A$5:$AB$519,11,FALSE)</f>
        <v>0</v>
      </c>
      <c r="K128" s="31"/>
      <c r="L128" s="31"/>
      <c r="M128" s="31" t="e">
        <f>I128*E128+G128+K120*(low__burden-$C128)/($C120-$C128)</f>
        <v>#VALUE!</v>
      </c>
      <c r="N128" s="31" t="e">
        <f>J128*F128+H128+L120*(low__burden-$C128)/($C120-$C128)</f>
        <v>#VALUE!</v>
      </c>
      <c r="O128" s="20"/>
      <c r="P128" s="376" t="e">
        <f>0.0001*VLOOKUP($B128,'844400'!$M$171:$U$237,6,FALSE)/VLOOKUP($B128,'844400'!$M$171:$U$237,8,FALSE)</f>
        <v>#VALUE!</v>
      </c>
      <c r="Q128" s="59">
        <f>VLOOKUP($A128,'5 A data'!$A$5:$AB$519,7,FALSE)*slidewire_res</f>
        <v>0</v>
      </c>
      <c r="R128" s="349">
        <f t="shared" si="240"/>
        <v>0</v>
      </c>
      <c r="S128" s="4">
        <v>0</v>
      </c>
      <c r="T128" s="4">
        <f t="shared" si="252"/>
        <v>-1.6400000000000002E-3</v>
      </c>
      <c r="U128" s="29" t="e">
        <f t="shared" si="241"/>
        <v>#VALUE!</v>
      </c>
      <c r="V128" s="29">
        <f t="shared" si="221"/>
        <v>5.0000000000000001E-4</v>
      </c>
      <c r="W128" s="23">
        <f>VLOOKUP($D128,Uncertainties!$B$35:$D$41,2,FALSE)</f>
        <v>0</v>
      </c>
      <c r="X128" s="23"/>
      <c r="Y128" s="24">
        <f t="shared" si="242"/>
        <v>0</v>
      </c>
      <c r="Z128" s="23" t="e">
        <f t="shared" si="243"/>
        <v>#VALUE!</v>
      </c>
      <c r="AA128" s="25" t="e">
        <f t="shared" si="244"/>
        <v>#VALUE!</v>
      </c>
      <c r="AB128" s="26" t="e">
        <f t="shared" si="245"/>
        <v>#VALUE!</v>
      </c>
      <c r="AC128" s="14"/>
      <c r="AD128" s="253" t="e">
        <f>0.0001*VLOOKUP($B128,'844400'!$M$171:$U$237,7,FALSE)/VLOOKUP($B128,'844400'!$M$171:$U$237,9,FALSE)</f>
        <v>#VALUE!</v>
      </c>
      <c r="AE128" s="368">
        <f>IF(ABS(VLOOKUP($A128,'5 A data'!$A$5:$AB$1017,6,FALSE))&lt;4.5,IF(ABS(VLOOKUP($A128,'5 A data'!$A$5:$AB$1017,6,FALSE))&lt;1.25,0.0008,0.002),0.004)*VLOOKUP($A128,'5 A data'!$A$5:$AB$1017,7,FALSE)*25*RADIANS(1/60)*100</f>
        <v>0</v>
      </c>
      <c r="AF128" s="23">
        <f t="shared" si="246"/>
        <v>0</v>
      </c>
      <c r="AG128" s="29" t="e">
        <f t="shared" si="247"/>
        <v>#VALUE!</v>
      </c>
      <c r="AH128" s="4">
        <f t="shared" si="253"/>
        <v>1.2799081181291752E-3</v>
      </c>
      <c r="AI128" s="4" t="e">
        <f t="shared" si="248"/>
        <v>#VALUE!</v>
      </c>
      <c r="AJ128" s="4">
        <f t="shared" si="228"/>
        <v>5.0000000000000001E-4</v>
      </c>
      <c r="AK128" s="21">
        <f>VLOOKUP($D128,Uncertainties!$B$35:$D$41,3,FALSE)</f>
        <v>0</v>
      </c>
      <c r="AL128" s="21"/>
      <c r="AM128" s="371">
        <f>SQRT((VLOOKUP($A128,'5 A data'!$A$5:$AB$1017,7,FALSE)*mutual_ind)^2+(aux_CT_phase*J128)^2)</f>
        <v>0</v>
      </c>
      <c r="AN128" s="29" t="e">
        <f t="shared" si="249"/>
        <v>#VALUE!</v>
      </c>
      <c r="AO128" s="14" t="e">
        <f t="shared" si="250"/>
        <v>#VALUE!</v>
      </c>
      <c r="AP128" s="27" t="e">
        <f t="shared" si="251"/>
        <v>#VALUE!</v>
      </c>
    </row>
    <row r="129" spans="1:42" ht="13.15" customHeight="1" x14ac:dyDescent="0.2">
      <c r="A129" s="69">
        <v>219</v>
      </c>
      <c r="B129" s="5" t="e">
        <f>B115&amp;D129</f>
        <v>#VALUE!</v>
      </c>
      <c r="C129" s="19">
        <f>VLOOKUP($A129,'5 A data'!$A$5:$AB$519,3,FALSE)</f>
        <v>2.1700000000000001E-2</v>
      </c>
      <c r="D129" s="165">
        <f>ROUND(VLOOKUP($A129,'5 A data'!$A$5:$AB$519,9,FALSE)/10,0)*10</f>
        <v>40</v>
      </c>
      <c r="E129" s="23">
        <f t="shared" si="232"/>
        <v>0.99936709902044762</v>
      </c>
      <c r="F129" s="23">
        <f t="shared" si="233"/>
        <v>1.0011822386327505</v>
      </c>
      <c r="G129" s="23" t="e">
        <f>VLOOKUP($B129,'844400'!$M$171:$U$237,4,FALSE)/10000</f>
        <v>#VALUE!</v>
      </c>
      <c r="H129" s="23" t="e">
        <f>VLOOKUP($B129,'844400'!$M$171:$U$237,5,FALSE)/10000</f>
        <v>#VALUE!</v>
      </c>
      <c r="I129" s="19">
        <f>VLOOKUP($A129,'5 A data'!$A$5:$AB$519,10,FALSE)</f>
        <v>0</v>
      </c>
      <c r="J129" s="32">
        <f>VLOOKUP($A129,'5 A data'!$A$5:$AB$519,11,FALSE)</f>
        <v>0</v>
      </c>
      <c r="K129" s="31"/>
      <c r="L129" s="31"/>
      <c r="M129" s="31" t="e">
        <f t="shared" ref="M129:N131" si="254">I129*E129+G129+K121*(low__burden-$C129)/($C121-$C129)</f>
        <v>#VALUE!</v>
      </c>
      <c r="N129" s="31" t="e">
        <f t="shared" si="254"/>
        <v>#VALUE!</v>
      </c>
      <c r="O129" s="20"/>
      <c r="P129" s="376" t="e">
        <f>0.0001*VLOOKUP($B129,'844400'!$M$171:$U$237,6,FALSE)/VLOOKUP($B129,'844400'!$M$171:$U$237,8,FALSE)</f>
        <v>#VALUE!</v>
      </c>
      <c r="Q129" s="59">
        <f>VLOOKUP($A129,'5 A data'!$A$5:$AB$519,7,FALSE)*slidewire_res</f>
        <v>0</v>
      </c>
      <c r="R129" s="349">
        <f t="shared" si="240"/>
        <v>0</v>
      </c>
      <c r="S129" s="4">
        <v>0</v>
      </c>
      <c r="T129" s="4">
        <f t="shared" si="252"/>
        <v>-2.9100000000000001E-2</v>
      </c>
      <c r="U129" s="29" t="e">
        <f t="shared" si="241"/>
        <v>#VALUE!</v>
      </c>
      <c r="V129" s="29">
        <f t="shared" si="221"/>
        <v>5.0000000000000001E-4</v>
      </c>
      <c r="W129" s="23">
        <f>VLOOKUP($D129,Uncertainties!$B$35:$D$41,2,FALSE)</f>
        <v>0</v>
      </c>
      <c r="X129" s="23"/>
      <c r="Y129" s="24">
        <f t="shared" si="242"/>
        <v>0</v>
      </c>
      <c r="Z129" s="23" t="e">
        <f t="shared" si="243"/>
        <v>#VALUE!</v>
      </c>
      <c r="AA129" s="25" t="e">
        <f t="shared" si="244"/>
        <v>#VALUE!</v>
      </c>
      <c r="AB129" s="26" t="e">
        <f t="shared" si="245"/>
        <v>#VALUE!</v>
      </c>
      <c r="AC129" s="14"/>
      <c r="AD129" s="253" t="e">
        <f>0.0001*VLOOKUP($B129,'844400'!$M$171:$U$237,7,FALSE)/VLOOKUP($B129,'844400'!$M$171:$U$237,9,FALSE)</f>
        <v>#VALUE!</v>
      </c>
      <c r="AE129" s="368">
        <f>IF(ABS(VLOOKUP($A129,'5 A data'!$A$5:$AB$1017,6,FALSE))&lt;4.5,IF(ABS(VLOOKUP($A129,'5 A data'!$A$5:$AB$1017,6,FALSE))&lt;1.25,0.0008,0.002),0.004)*VLOOKUP($A129,'5 A data'!$A$5:$AB$1017,7,FALSE)*25*RADIANS(1/60)*100</f>
        <v>0</v>
      </c>
      <c r="AF129" s="23">
        <f t="shared" si="246"/>
        <v>0</v>
      </c>
      <c r="AG129" s="29" t="e">
        <f t="shared" si="247"/>
        <v>#VALUE!</v>
      </c>
      <c r="AH129" s="4">
        <f t="shared" si="253"/>
        <v>-1.5998851476614687E-2</v>
      </c>
      <c r="AI129" s="4" t="e">
        <f t="shared" si="248"/>
        <v>#VALUE!</v>
      </c>
      <c r="AJ129" s="4">
        <f t="shared" si="228"/>
        <v>5.0000000000000001E-4</v>
      </c>
      <c r="AK129" s="21">
        <f>VLOOKUP($D129,Uncertainties!$B$35:$D$41,3,FALSE)</f>
        <v>0</v>
      </c>
      <c r="AL129" s="21"/>
      <c r="AM129" s="371">
        <f>SQRT((VLOOKUP($A129,'5 A data'!$A$5:$AB$1017,7,FALSE)*mutual_ind)^2+(aux_CT_phase*J129)^2)</f>
        <v>0</v>
      </c>
      <c r="AN129" s="29" t="e">
        <f t="shared" si="249"/>
        <v>#VALUE!</v>
      </c>
      <c r="AO129" s="14" t="e">
        <f t="shared" si="250"/>
        <v>#VALUE!</v>
      </c>
      <c r="AP129" s="27" t="e">
        <f t="shared" si="251"/>
        <v>#VALUE!</v>
      </c>
    </row>
    <row r="130" spans="1:42" ht="13.15" customHeight="1" x14ac:dyDescent="0.2">
      <c r="A130">
        <v>220</v>
      </c>
      <c r="B130" s="5" t="e">
        <f>B115&amp;D130</f>
        <v>#VALUE!</v>
      </c>
      <c r="C130" s="19">
        <f>VLOOKUP($A130,'5 A data'!$A$5:$AB$519,3,FALSE)</f>
        <v>2.1700000000000001E-2</v>
      </c>
      <c r="D130" s="166">
        <f>ROUND(VLOOKUP($A130,'5 A data'!$A$5:$AB$519,9,FALSE)/10,0)*10</f>
        <v>60</v>
      </c>
      <c r="E130" s="23">
        <f t="shared" si="232"/>
        <v>0.99936709902044762</v>
      </c>
      <c r="F130" s="23">
        <f t="shared" si="233"/>
        <v>1.0011822386327505</v>
      </c>
      <c r="G130" s="23" t="e">
        <f>VLOOKUP($B130,'844400'!$M$171:$U$237,4,FALSE)/10000</f>
        <v>#VALUE!</v>
      </c>
      <c r="H130" s="23" t="e">
        <f>VLOOKUP($B130,'844400'!$M$171:$U$237,5,FALSE)/10000</f>
        <v>#VALUE!</v>
      </c>
      <c r="I130" s="19">
        <f>VLOOKUP($A130,'5 A data'!$A$5:$AB$519,10,FALSE)</f>
        <v>0</v>
      </c>
      <c r="J130" s="32">
        <f>VLOOKUP($A130,'5 A data'!$A$5:$AB$519,11,FALSE)</f>
        <v>0</v>
      </c>
      <c r="K130" s="31"/>
      <c r="L130" s="31"/>
      <c r="M130" s="31" t="e">
        <f t="shared" si="254"/>
        <v>#VALUE!</v>
      </c>
      <c r="N130" s="31" t="e">
        <f t="shared" si="254"/>
        <v>#VALUE!</v>
      </c>
      <c r="O130" s="20"/>
      <c r="P130" s="376" t="e">
        <f>0.0001*VLOOKUP($B130,'844400'!$M$171:$U$237,6,FALSE)/VLOOKUP($B130,'844400'!$M$171:$U$237,8,FALSE)</f>
        <v>#VALUE!</v>
      </c>
      <c r="Q130" s="59">
        <f>VLOOKUP($A130,'5 A data'!$A$5:$AB$519,7,FALSE)*slidewire_res</f>
        <v>0</v>
      </c>
      <c r="R130" s="349">
        <f t="shared" si="240"/>
        <v>0</v>
      </c>
      <c r="S130" s="4">
        <v>0</v>
      </c>
      <c r="T130" s="4">
        <f t="shared" si="252"/>
        <v>-1.585E-3</v>
      </c>
      <c r="U130" s="29" t="e">
        <f t="shared" si="241"/>
        <v>#VALUE!</v>
      </c>
      <c r="V130" s="29">
        <f t="shared" si="221"/>
        <v>5.0000000000000001E-4</v>
      </c>
      <c r="W130" s="23">
        <f>VLOOKUP($D130,Uncertainties!$B$35:$D$41,2,FALSE)</f>
        <v>0</v>
      </c>
      <c r="X130" s="23"/>
      <c r="Y130" s="24">
        <f t="shared" si="242"/>
        <v>0</v>
      </c>
      <c r="Z130" s="23" t="e">
        <f t="shared" si="243"/>
        <v>#VALUE!</v>
      </c>
      <c r="AA130" s="25" t="e">
        <f t="shared" si="244"/>
        <v>#VALUE!</v>
      </c>
      <c r="AB130" s="26" t="e">
        <f t="shared" si="245"/>
        <v>#VALUE!</v>
      </c>
      <c r="AC130" s="14"/>
      <c r="AD130" s="253" t="e">
        <f>0.0001*VLOOKUP($B130,'844400'!$M$171:$U$237,7,FALSE)/VLOOKUP($B130,'844400'!$M$171:$U$237,9,FALSE)</f>
        <v>#VALUE!</v>
      </c>
      <c r="AE130" s="368">
        <f>IF(ABS(VLOOKUP($A130,'5 A data'!$A$5:$AB$1017,6,FALSE))&lt;4.5,IF(ABS(VLOOKUP($A130,'5 A data'!$A$5:$AB$1017,6,FALSE))&lt;1.25,0.0008,0.002),0.004)*VLOOKUP($A130,'5 A data'!$A$5:$AB$1017,7,FALSE)*25*RADIANS(1/60)*100</f>
        <v>0</v>
      </c>
      <c r="AF130" s="23">
        <f t="shared" si="246"/>
        <v>0</v>
      </c>
      <c r="AG130" s="29" t="e">
        <f t="shared" si="247"/>
        <v>#VALUE!</v>
      </c>
      <c r="AH130" s="4">
        <f t="shared" si="253"/>
        <v>1.1053751929297419E-3</v>
      </c>
      <c r="AI130" s="4" t="e">
        <f t="shared" si="248"/>
        <v>#VALUE!</v>
      </c>
      <c r="AJ130" s="4">
        <f t="shared" si="228"/>
        <v>5.0000000000000001E-4</v>
      </c>
      <c r="AK130" s="21">
        <f>VLOOKUP($D130,Uncertainties!$B$35:$D$41,3,FALSE)</f>
        <v>0</v>
      </c>
      <c r="AL130" s="21"/>
      <c r="AM130" s="371">
        <f>SQRT((VLOOKUP($A130,'5 A data'!$A$5:$AB$1017,7,FALSE)*mutual_ind)^2+(aux_CT_phase*J130)^2)</f>
        <v>0</v>
      </c>
      <c r="AN130" s="29" t="e">
        <f t="shared" si="249"/>
        <v>#VALUE!</v>
      </c>
      <c r="AO130" s="14" t="e">
        <f t="shared" si="250"/>
        <v>#VALUE!</v>
      </c>
      <c r="AP130" s="27" t="e">
        <f t="shared" si="251"/>
        <v>#VALUE!</v>
      </c>
    </row>
    <row r="131" spans="1:42" ht="13.15" customHeight="1" x14ac:dyDescent="0.2">
      <c r="A131" s="69">
        <v>221</v>
      </c>
      <c r="B131" s="5" t="e">
        <f>B115&amp;D131</f>
        <v>#VALUE!</v>
      </c>
      <c r="C131" s="19">
        <f>VLOOKUP($A131,'5 A data'!$A$5:$AB$519,3,FALSE)</f>
        <v>2.1700000000000001E-2</v>
      </c>
      <c r="D131" s="166">
        <f>ROUND(VLOOKUP($A131,'5 A data'!$A$5:$AB$519,9,FALSE)/10,0)*10</f>
        <v>100</v>
      </c>
      <c r="E131" s="23">
        <f t="shared" si="232"/>
        <v>0.99936709902044762</v>
      </c>
      <c r="F131" s="23">
        <f t="shared" si="233"/>
        <v>1.0011822386327505</v>
      </c>
      <c r="G131" s="23" t="e">
        <f>VLOOKUP($B131,'844400'!$M$171:$U$237,4,FALSE)/10000</f>
        <v>#VALUE!</v>
      </c>
      <c r="H131" s="23" t="e">
        <f>VLOOKUP($B131,'844400'!$M$171:$U$237,5,FALSE)/10000</f>
        <v>#VALUE!</v>
      </c>
      <c r="I131" s="19">
        <f>VLOOKUP($A131,'5 A data'!$A$5:$AB$519,10,FALSE)</f>
        <v>0</v>
      </c>
      <c r="J131" s="32">
        <f>VLOOKUP($A131,'5 A data'!$A$5:$AB$519,11,FALSE)</f>
        <v>0</v>
      </c>
      <c r="K131" s="31"/>
      <c r="L131" s="31"/>
      <c r="M131" s="31" t="e">
        <f t="shared" si="254"/>
        <v>#VALUE!</v>
      </c>
      <c r="N131" s="31" t="e">
        <f t="shared" si="254"/>
        <v>#VALUE!</v>
      </c>
      <c r="O131" s="20"/>
      <c r="P131" s="376" t="e">
        <f>0.0001*VLOOKUP($B131,'844400'!$M$171:$U$237,6,FALSE)/VLOOKUP($B131,'844400'!$M$171:$U$237,8,FALSE)</f>
        <v>#VALUE!</v>
      </c>
      <c r="Q131" s="59">
        <f>VLOOKUP($A131,'5 A data'!$A$5:$AB$519,7,FALSE)*slidewire_res</f>
        <v>0</v>
      </c>
      <c r="R131" s="349">
        <f t="shared" si="240"/>
        <v>0</v>
      </c>
      <c r="S131" s="4">
        <v>0</v>
      </c>
      <c r="T131" s="4">
        <f t="shared" si="252"/>
        <v>-2.8999999999999998E-2</v>
      </c>
      <c r="U131" s="29" t="e">
        <f t="shared" si="241"/>
        <v>#VALUE!</v>
      </c>
      <c r="V131" s="29">
        <f t="shared" si="221"/>
        <v>5.0000000000000001E-4</v>
      </c>
      <c r="W131" s="23">
        <f>VLOOKUP($D131,Uncertainties!$B$35:$D$41,2,FALSE)</f>
        <v>0</v>
      </c>
      <c r="X131" s="23"/>
      <c r="Y131" s="24">
        <f t="shared" si="242"/>
        <v>0</v>
      </c>
      <c r="Z131" s="23" t="e">
        <f t="shared" si="243"/>
        <v>#VALUE!</v>
      </c>
      <c r="AA131" s="25" t="e">
        <f t="shared" si="244"/>
        <v>#VALUE!</v>
      </c>
      <c r="AB131" s="26" t="e">
        <f t="shared" si="245"/>
        <v>#VALUE!</v>
      </c>
      <c r="AC131" s="14"/>
      <c r="AD131" s="253" t="e">
        <f>0.0001*VLOOKUP($B131,'844400'!$M$171:$U$237,7,FALSE)/VLOOKUP($B131,'844400'!$M$171:$U$237,9,FALSE)</f>
        <v>#VALUE!</v>
      </c>
      <c r="AE131" s="368">
        <f>IF(ABS(VLOOKUP($A131,'5 A data'!$A$5:$AB$1017,6,FALSE))&lt;4.5,IF(ABS(VLOOKUP($A131,'5 A data'!$A$5:$AB$1017,6,FALSE))&lt;1.25,0.0008,0.002),0.004)*VLOOKUP($A131,'5 A data'!$A$5:$AB$1017,7,FALSE)*25*RADIANS(1/60)*100</f>
        <v>0</v>
      </c>
      <c r="AF131" s="23">
        <f t="shared" si="246"/>
        <v>0</v>
      </c>
      <c r="AG131" s="29" t="e">
        <f t="shared" si="247"/>
        <v>#VALUE!</v>
      </c>
      <c r="AH131" s="4">
        <f t="shared" si="253"/>
        <v>-1.614429558094755E-2</v>
      </c>
      <c r="AI131" s="4" t="e">
        <f t="shared" si="248"/>
        <v>#VALUE!</v>
      </c>
      <c r="AJ131" s="4">
        <f t="shared" si="228"/>
        <v>5.0000000000000001E-4</v>
      </c>
      <c r="AK131" s="21">
        <f>VLOOKUP($D131,Uncertainties!$B$35:$D$41,3,FALSE)</f>
        <v>0</v>
      </c>
      <c r="AL131" s="21"/>
      <c r="AM131" s="371">
        <f>SQRT((VLOOKUP($A131,'5 A data'!$A$5:$AB$1017,7,FALSE)*mutual_ind)^2+(aux_CT_phase*J131)^2)</f>
        <v>0</v>
      </c>
      <c r="AN131" s="29" t="e">
        <f t="shared" si="249"/>
        <v>#VALUE!</v>
      </c>
      <c r="AO131" s="14" t="e">
        <f t="shared" si="250"/>
        <v>#VALUE!</v>
      </c>
      <c r="AP131" s="27" t="e">
        <f t="shared" si="251"/>
        <v>#VALUE!</v>
      </c>
    </row>
    <row r="132" spans="1:42" ht="13.15" customHeight="1" x14ac:dyDescent="0.2">
      <c r="A132">
        <v>222</v>
      </c>
      <c r="P132" s="100"/>
      <c r="R132" s="42"/>
      <c r="AD132" s="252"/>
    </row>
    <row r="133" spans="1:42" ht="13.15" customHeight="1" x14ac:dyDescent="0.2">
      <c r="A133" s="69">
        <v>223</v>
      </c>
      <c r="B133" s="161" t="e">
        <f>MID(D133,FIND("AT range",D133,1)-5,4)</f>
        <v>#VALUE!</v>
      </c>
      <c r="C133" t="s">
        <v>114</v>
      </c>
      <c r="D133" s="60">
        <f>VLOOKUP($A133,'5 A data'!$A$5:$AB$418,2,FALSE)</f>
        <v>0</v>
      </c>
      <c r="P133" s="100"/>
      <c r="R133" s="42"/>
      <c r="Z133" s="29"/>
      <c r="AA133" s="25"/>
      <c r="AD133" s="252"/>
      <c r="AN133" s="29"/>
      <c r="AO133" s="14"/>
    </row>
    <row r="134" spans="1:42" ht="15.75" x14ac:dyDescent="0.25">
      <c r="A134">
        <v>224</v>
      </c>
      <c r="C134" s="19"/>
      <c r="M134" s="533" t="s">
        <v>161</v>
      </c>
      <c r="N134" s="533"/>
      <c r="O134" s="19"/>
      <c r="P134" s="100"/>
      <c r="R134" s="42"/>
      <c r="Z134" s="367"/>
      <c r="AA134" s="25"/>
      <c r="AD134" s="252"/>
      <c r="AN134" s="29"/>
      <c r="AO134" s="14"/>
    </row>
    <row r="135" spans="1:42" ht="51" x14ac:dyDescent="0.2">
      <c r="A135" s="69">
        <v>225</v>
      </c>
      <c r="B135" s="5" t="e">
        <f>B133&amp;D135</f>
        <v>#VALUE!</v>
      </c>
      <c r="C135" s="19" t="str">
        <f>VLOOKUP($A135,'5 A data'!$A$5:$AB$419,3,FALSE)</f>
        <v>UUT Secondary terminals</v>
      </c>
      <c r="D135" s="19">
        <f>ROUND(VLOOKUP($A135,'5 A data'!$A$5:$AB$519,9,FALSE),0)</f>
        <v>0</v>
      </c>
      <c r="E135" s="23">
        <f>TestSetRatioCor</f>
        <v>0.99936709902044762</v>
      </c>
      <c r="F135" s="23">
        <f>TestSetPhaseCor</f>
        <v>1.0011822386327505</v>
      </c>
      <c r="G135" s="23" t="e">
        <f>VLOOKUP($B135,'844400'!$M$171:$U$237,4,FALSE)/10000</f>
        <v>#VALUE!</v>
      </c>
      <c r="H135" s="23" t="e">
        <f>VLOOKUP($B135,'844400'!$M$171:$U$237,5,FALSE)/10000</f>
        <v>#VALUE!</v>
      </c>
      <c r="I135" s="19">
        <f>VLOOKUP($A135,'5 A data'!$A$5:$AB$519,10,FALSE)</f>
        <v>0</v>
      </c>
      <c r="J135" s="32">
        <f>VLOOKUP($A135,'5 A data'!$A$5:$AB$519,11,FALSE)</f>
        <v>0</v>
      </c>
      <c r="K135" s="22">
        <f>I135-I143</f>
        <v>0</v>
      </c>
      <c r="L135" s="22">
        <f>J135-J143</f>
        <v>0</v>
      </c>
      <c r="M135" s="22" t="e">
        <f>I135*E135+G135-K135*($C135-high_burden)/($C135-$C143)</f>
        <v>#VALUE!</v>
      </c>
      <c r="N135" s="22" t="e">
        <f>J135*F135+H135-L135*($C135-high_burden)/($C135-$C143)</f>
        <v>#VALUE!</v>
      </c>
      <c r="O135" s="20"/>
      <c r="P135" s="376" t="e">
        <f>0.0001*VLOOKUP($B135,'844400'!$M$171:$U$237,6,FALSE)/VLOOKUP($B135,'844400'!$M$171:$U$237,8,FALSE)</f>
        <v>#VALUE!</v>
      </c>
      <c r="Q135" s="59">
        <f>VLOOKUP($A135,'5 A data'!$A$5:$AB$519,7,FALSE)*slidewire_res</f>
        <v>0</v>
      </c>
      <c r="R135" s="349">
        <f t="shared" ref="R135:R141" si="255">current_coef*(I135-I136)*IF(I136=0,0,1)</f>
        <v>0</v>
      </c>
      <c r="S135" s="4">
        <v>0</v>
      </c>
      <c r="T135" s="21">
        <f>BurdenUnc*K135</f>
        <v>0</v>
      </c>
      <c r="U135" s="29" t="e">
        <f>0.004*M135</f>
        <v>#VALUE!</v>
      </c>
      <c r="V135" s="29">
        <f t="shared" ref="V135:V149" si="256">earthing_Re</f>
        <v>5.0000000000000001E-4</v>
      </c>
      <c r="W135" s="23" t="e">
        <f>VLOOKUP($D135,Uncertainties!$B$35:$D$41,2,FALSE)</f>
        <v>#N/A</v>
      </c>
      <c r="X135" s="23"/>
      <c r="Y135" s="24">
        <f t="shared" ref="Y135:Y141" si="257">I135*aux_CT_ratio</f>
        <v>0</v>
      </c>
      <c r="Z135" s="23" t="e">
        <f t="shared" ref="Z135:Z141" si="258">SQRT(SUMSQ(P135:Y135))</f>
        <v>#VALUE!</v>
      </c>
      <c r="AA135" s="25" t="e">
        <f t="shared" ref="AA135:AA141" si="259">DoF_A(P135:Y135,$P$7:$Y$7)</f>
        <v>#VALUE!</v>
      </c>
      <c r="AB135" s="26" t="e">
        <f t="shared" ref="AB135:AB141" si="260">CoverFactor(AA135)</f>
        <v>#VALUE!</v>
      </c>
      <c r="AC135" s="14"/>
      <c r="AD135" s="253" t="e">
        <f>0.0001*VLOOKUP($B135,'844400'!$M$171:$U$237,7,FALSE)/VLOOKUP($B135,'844400'!$M$171:$U$237,9,FALSE)</f>
        <v>#VALUE!</v>
      </c>
      <c r="AE135" s="368">
        <f>IF(ABS(VLOOKUP($A135,'5 A data'!$A$5:$AB$1017,6,FALSE))&lt;4.5,IF(ABS(VLOOKUP($A135,'5 A data'!$A$5:$AB$1017,6,FALSE))&lt;1.25,0.0008,0.002),0.004)*VLOOKUP($A135,'5 A data'!$A$5:$AB$1017,7,FALSE)*25*RADIANS(1/60)*100</f>
        <v>0</v>
      </c>
      <c r="AF135" s="23">
        <f>current_coef*(J135-J136)*IF(J136=0,0,1)</f>
        <v>0</v>
      </c>
      <c r="AG135" s="29" t="e">
        <f t="shared" ref="AG135:AG141" si="261">0.001*N135</f>
        <v>#VALUE!</v>
      </c>
      <c r="AH135" s="4">
        <f>BurdenUnc*L135</f>
        <v>0</v>
      </c>
      <c r="AI135" s="4" t="e">
        <f t="shared" ref="AI135:AI141" si="262">0.004*N135</f>
        <v>#VALUE!</v>
      </c>
      <c r="AJ135" s="4">
        <f t="shared" ref="AJ135:AJ149" si="263">earthing_Im</f>
        <v>5.0000000000000001E-4</v>
      </c>
      <c r="AK135" s="21" t="e">
        <f>VLOOKUP($D135,Uncertainties!$B$35:$D$41,3,FALSE)</f>
        <v>#N/A</v>
      </c>
      <c r="AL135" s="21"/>
      <c r="AM135" s="371">
        <f>SQRT((VLOOKUP($A135,'5 A data'!$A$5:$AB$1017,7,FALSE)*mutual_ind)^2+(aux_CT_phase*J135)^2)</f>
        <v>0</v>
      </c>
      <c r="AN135" s="29" t="e">
        <f t="shared" ref="AN135:AN141" si="264">SQRT(SUMSQ(AD135:AM135))</f>
        <v>#VALUE!</v>
      </c>
      <c r="AO135" s="14" t="e">
        <f t="shared" ref="AO135:AO141" si="265">DoF_A(AD135:AM135,$AD$7:$AM$7)</f>
        <v>#VALUE!</v>
      </c>
      <c r="AP135" s="27" t="e">
        <f t="shared" ref="AP135:AP141" si="266">CoverFactor(AO135)</f>
        <v>#VALUE!</v>
      </c>
    </row>
    <row r="136" spans="1:42" x14ac:dyDescent="0.2">
      <c r="A136">
        <v>226</v>
      </c>
      <c r="B136" s="5" t="e">
        <f>B133&amp;D136</f>
        <v>#VALUE!</v>
      </c>
      <c r="C136" s="19">
        <f>VLOOKUP($A136,'5 A data'!$A$5:$AB$519,3,FALSE)</f>
        <v>2.2000000000000006E-2</v>
      </c>
      <c r="D136" s="165">
        <f>ROUND(VLOOKUP($A136,'5 A data'!$A$5:$AB$519,9,FALSE)/10,0)*10</f>
        <v>10</v>
      </c>
      <c r="E136" s="23">
        <f t="shared" ref="E136:E149" si="267">TestSetRatioCor</f>
        <v>0.99936709902044762</v>
      </c>
      <c r="F136" s="23">
        <f t="shared" ref="F136:F149" si="268">TestSetPhaseCor</f>
        <v>1.0011822386327505</v>
      </c>
      <c r="G136" s="23" t="e">
        <f>VLOOKUP($B136,'844400'!$M$171:$U$237,4,FALSE)/10000</f>
        <v>#VALUE!</v>
      </c>
      <c r="H136" s="23" t="e">
        <f>VLOOKUP($B136,'844400'!$M$171:$U$237,5,FALSE)/10000</f>
        <v>#VALUE!</v>
      </c>
      <c r="I136" s="19">
        <f>VLOOKUP($A136,'5 A data'!$A$5:$AB$519,10,FALSE)</f>
        <v>0</v>
      </c>
      <c r="J136" s="32">
        <f>VLOOKUP($A136,'5 A data'!$A$5:$AB$519,11,FALSE)</f>
        <v>0</v>
      </c>
      <c r="K136" s="22">
        <f t="shared" ref="K136:K141" si="269">I136-I144</f>
        <v>0</v>
      </c>
      <c r="L136" s="22">
        <f t="shared" ref="L136:L141" si="270">J136-J144</f>
        <v>0</v>
      </c>
      <c r="M136" s="22" t="e">
        <f t="shared" ref="M136:M141" si="271">I136*E136+G136-K136*($C136-high_burden)/($C136-$C144)</f>
        <v>#VALUE!</v>
      </c>
      <c r="N136" s="22" t="e">
        <f t="shared" ref="N136:N141" si="272">J136*F136+H136-L136*($C136-high_burden)/($C136-$C144)</f>
        <v>#VALUE!</v>
      </c>
      <c r="O136" s="20"/>
      <c r="P136" s="376" t="e">
        <f>0.0001*VLOOKUP($B136,'844400'!$M$171:$U$237,6,FALSE)/VLOOKUP($B136,'844400'!$M$171:$U$237,8,FALSE)</f>
        <v>#VALUE!</v>
      </c>
      <c r="Q136" s="59">
        <f>VLOOKUP($A136,'5 A data'!$A$5:$AB$519,7,FALSE)*slidewire_res</f>
        <v>0</v>
      </c>
      <c r="R136" s="349">
        <f t="shared" si="255"/>
        <v>0</v>
      </c>
      <c r="S136" s="4">
        <v>0</v>
      </c>
      <c r="T136" s="21">
        <f t="shared" ref="T136:T141" si="273">BurdenUnc*K136</f>
        <v>0</v>
      </c>
      <c r="U136" s="29" t="e">
        <f t="shared" ref="U136:U141" si="274">0.004*M136</f>
        <v>#VALUE!</v>
      </c>
      <c r="V136" s="29">
        <f t="shared" si="256"/>
        <v>5.0000000000000001E-4</v>
      </c>
      <c r="W136" s="23">
        <f>VLOOKUP($D136,Uncertainties!$B$35:$D$41,2,FALSE)</f>
        <v>0</v>
      </c>
      <c r="X136" s="23"/>
      <c r="Y136" s="24">
        <f t="shared" si="257"/>
        <v>0</v>
      </c>
      <c r="Z136" s="23" t="e">
        <f t="shared" si="258"/>
        <v>#VALUE!</v>
      </c>
      <c r="AA136" s="25" t="e">
        <f t="shared" si="259"/>
        <v>#VALUE!</v>
      </c>
      <c r="AB136" s="26" t="e">
        <f t="shared" si="260"/>
        <v>#VALUE!</v>
      </c>
      <c r="AC136" s="14"/>
      <c r="AD136" s="253" t="e">
        <f>0.0001*VLOOKUP($B136,'844400'!$M$171:$U$237,7,FALSE)/VLOOKUP($B136,'844400'!$M$171:$U$237,9,FALSE)</f>
        <v>#VALUE!</v>
      </c>
      <c r="AE136" s="368">
        <f>IF(ABS(VLOOKUP($A136,'5 A data'!$A$5:$AB$1017,6,FALSE))&lt;4.5,IF(ABS(VLOOKUP($A136,'5 A data'!$A$5:$AB$1017,6,FALSE))&lt;1.25,0.0008,0.002),0.004)*VLOOKUP($A136,'5 A data'!$A$5:$AB$1017,7,FALSE)*25*RADIANS(1/60)*100</f>
        <v>0</v>
      </c>
      <c r="AF136" s="23">
        <f t="shared" ref="AF136:AF141" si="275">current_coef*(J136-J137)*IF(J137=0,0,1)</f>
        <v>0</v>
      </c>
      <c r="AG136" s="29" t="e">
        <f t="shared" si="261"/>
        <v>#VALUE!</v>
      </c>
      <c r="AH136" s="4">
        <f t="shared" ref="AH136:AH141" si="276">BurdenUnc*L136</f>
        <v>0</v>
      </c>
      <c r="AI136" s="4" t="e">
        <f t="shared" si="262"/>
        <v>#VALUE!</v>
      </c>
      <c r="AJ136" s="4">
        <f t="shared" si="263"/>
        <v>5.0000000000000001E-4</v>
      </c>
      <c r="AK136" s="21">
        <f>VLOOKUP($D136,Uncertainties!$B$35:$D$41,3,FALSE)</f>
        <v>0</v>
      </c>
      <c r="AL136" s="21"/>
      <c r="AM136" s="371">
        <f>SQRT((VLOOKUP($A136,'5 A data'!$A$5:$AB$1017,7,FALSE)*mutual_ind)^2+(aux_CT_phase*J136)^2)</f>
        <v>0</v>
      </c>
      <c r="AN136" s="29" t="e">
        <f t="shared" si="264"/>
        <v>#VALUE!</v>
      </c>
      <c r="AO136" s="14" t="e">
        <f t="shared" si="265"/>
        <v>#VALUE!</v>
      </c>
      <c r="AP136" s="27" t="e">
        <f t="shared" si="266"/>
        <v>#VALUE!</v>
      </c>
    </row>
    <row r="137" spans="1:42" x14ac:dyDescent="0.2">
      <c r="A137" s="69">
        <v>227</v>
      </c>
      <c r="B137" s="5" t="e">
        <f>B133&amp;D137</f>
        <v>#VALUE!</v>
      </c>
      <c r="C137" s="19">
        <f>VLOOKUP($A137,'5 A data'!$A$5:$AB$519,3,FALSE)</f>
        <v>2.2000000000000006E-2</v>
      </c>
      <c r="D137" s="165">
        <f>ROUND(VLOOKUP($A137,'5 A data'!$A$5:$AB$519,9,FALSE)/10,0)*10</f>
        <v>10</v>
      </c>
      <c r="E137" s="23">
        <f t="shared" si="267"/>
        <v>0.99936709902044762</v>
      </c>
      <c r="F137" s="23">
        <f t="shared" si="268"/>
        <v>1.0011822386327505</v>
      </c>
      <c r="G137" s="23" t="e">
        <f>VLOOKUP($B137,'844400'!$M$171:$U$237,4,FALSE)/10000</f>
        <v>#VALUE!</v>
      </c>
      <c r="H137" s="23" t="e">
        <f>VLOOKUP($B137,'844400'!$M$171:$U$237,5,FALSE)/10000</f>
        <v>#VALUE!</v>
      </c>
      <c r="I137" s="19">
        <f>VLOOKUP($A137,'5 A data'!$A$5:$AB$519,10,FALSE)</f>
        <v>0</v>
      </c>
      <c r="J137" s="32">
        <f>VLOOKUP($A137,'5 A data'!$A$5:$AB$519,11,FALSE)</f>
        <v>0</v>
      </c>
      <c r="K137" s="22">
        <f t="shared" si="269"/>
        <v>0</v>
      </c>
      <c r="L137" s="22">
        <f t="shared" si="270"/>
        <v>0</v>
      </c>
      <c r="M137" s="22" t="e">
        <f t="shared" si="271"/>
        <v>#VALUE!</v>
      </c>
      <c r="N137" s="22" t="e">
        <f t="shared" si="272"/>
        <v>#VALUE!</v>
      </c>
      <c r="O137" s="20"/>
      <c r="P137" s="376" t="e">
        <f>0.0001*VLOOKUP($B137,'844400'!$M$171:$U$237,6,FALSE)/VLOOKUP($B137,'844400'!$M$171:$U$237,8,FALSE)</f>
        <v>#VALUE!</v>
      </c>
      <c r="Q137" s="366">
        <f>VLOOKUP($A137,'5 A data'!$A$5:$AB$519,7,FALSE)*slidewire_res</f>
        <v>0</v>
      </c>
      <c r="R137" s="349">
        <f t="shared" si="255"/>
        <v>0</v>
      </c>
      <c r="S137" s="4">
        <v>0</v>
      </c>
      <c r="T137" s="21">
        <f t="shared" si="273"/>
        <v>0</v>
      </c>
      <c r="U137" s="29" t="e">
        <f t="shared" si="274"/>
        <v>#VALUE!</v>
      </c>
      <c r="V137" s="29">
        <f t="shared" si="256"/>
        <v>5.0000000000000001E-4</v>
      </c>
      <c r="W137" s="23">
        <f>VLOOKUP($D137,Uncertainties!$B$35:$D$41,2,FALSE)</f>
        <v>0</v>
      </c>
      <c r="X137" s="23"/>
      <c r="Y137" s="24">
        <f t="shared" si="257"/>
        <v>0</v>
      </c>
      <c r="Z137" s="23" t="e">
        <f t="shared" si="258"/>
        <v>#VALUE!</v>
      </c>
      <c r="AA137" s="25" t="e">
        <f t="shared" si="259"/>
        <v>#VALUE!</v>
      </c>
      <c r="AB137" s="26" t="e">
        <f t="shared" si="260"/>
        <v>#VALUE!</v>
      </c>
      <c r="AC137" s="14"/>
      <c r="AD137" s="253" t="e">
        <f>0.0001*VLOOKUP($B137,'844400'!$M$171:$U$237,7,FALSE)/VLOOKUP($B137,'844400'!$M$171:$U$237,9,FALSE)</f>
        <v>#VALUE!</v>
      </c>
      <c r="AE137" s="368">
        <f>IF(ABS(VLOOKUP($A137,'5 A data'!$A$5:$AB$1017,6,FALSE))&lt;4.5,IF(ABS(VLOOKUP($A137,'5 A data'!$A$5:$AB$1017,6,FALSE))&lt;1.25,0.0008,0.002),0.004)*VLOOKUP($A137,'5 A data'!$A$5:$AB$1017,7,FALSE)*25*RADIANS(1/60)*100</f>
        <v>0</v>
      </c>
      <c r="AF137" s="23">
        <f t="shared" si="275"/>
        <v>0</v>
      </c>
      <c r="AG137" s="29" t="e">
        <f t="shared" si="261"/>
        <v>#VALUE!</v>
      </c>
      <c r="AH137" s="4">
        <f t="shared" si="276"/>
        <v>0</v>
      </c>
      <c r="AI137" s="4" t="e">
        <f t="shared" si="262"/>
        <v>#VALUE!</v>
      </c>
      <c r="AJ137" s="4">
        <f t="shared" si="263"/>
        <v>5.0000000000000001E-4</v>
      </c>
      <c r="AK137" s="21">
        <f>VLOOKUP($D137,Uncertainties!$B$35:$D$41,3,FALSE)</f>
        <v>0</v>
      </c>
      <c r="AL137" s="21"/>
      <c r="AM137" s="371">
        <f>SQRT((VLOOKUP($A137,'5 A data'!$A$5:$AB$1017,7,FALSE)*mutual_ind)^2+(aux_CT_phase*J137)^2)</f>
        <v>0</v>
      </c>
      <c r="AN137" s="29" t="e">
        <f t="shared" si="264"/>
        <v>#VALUE!</v>
      </c>
      <c r="AO137" s="14" t="e">
        <f t="shared" si="265"/>
        <v>#VALUE!</v>
      </c>
      <c r="AP137" s="27" t="e">
        <f t="shared" si="266"/>
        <v>#VALUE!</v>
      </c>
    </row>
    <row r="138" spans="1:42" x14ac:dyDescent="0.2">
      <c r="A138">
        <v>228</v>
      </c>
      <c r="B138" s="5" t="e">
        <f>B133&amp;D138</f>
        <v>#VALUE!</v>
      </c>
      <c r="C138" s="19">
        <f>VLOOKUP($A138,'5 A data'!$A$5:$AB$519,3,FALSE)</f>
        <v>2.2000000000000006E-2</v>
      </c>
      <c r="D138" s="165">
        <f>ROUND(VLOOKUP($A138,'5 A data'!$A$5:$AB$519,9,FALSE)/10,0)*10</f>
        <v>20</v>
      </c>
      <c r="E138" s="23">
        <f t="shared" si="267"/>
        <v>0.99936709902044762</v>
      </c>
      <c r="F138" s="23">
        <f t="shared" si="268"/>
        <v>1.0011822386327505</v>
      </c>
      <c r="G138" s="23" t="e">
        <f>VLOOKUP($B138,'844400'!$M$171:$U$237,4,FALSE)/10000</f>
        <v>#VALUE!</v>
      </c>
      <c r="H138" s="23" t="e">
        <f>VLOOKUP($B138,'844400'!$M$171:$U$237,5,FALSE)/10000</f>
        <v>#VALUE!</v>
      </c>
      <c r="I138" s="19">
        <f>VLOOKUP($A138,'5 A data'!$A$5:$AB$519,10,FALSE)</f>
        <v>0</v>
      </c>
      <c r="J138" s="32">
        <f>VLOOKUP($A138,'5 A data'!$A$5:$AB$519,11,FALSE)</f>
        <v>0</v>
      </c>
      <c r="K138" s="22">
        <f t="shared" si="269"/>
        <v>0</v>
      </c>
      <c r="L138" s="22">
        <f t="shared" si="270"/>
        <v>0</v>
      </c>
      <c r="M138" s="22" t="e">
        <f t="shared" si="271"/>
        <v>#VALUE!</v>
      </c>
      <c r="N138" s="22" t="e">
        <f t="shared" si="272"/>
        <v>#VALUE!</v>
      </c>
      <c r="O138" s="20"/>
      <c r="P138" s="376" t="e">
        <f>0.0001*VLOOKUP($B138,'844400'!$M$171:$U$237,6,FALSE)/VLOOKUP($B138,'844400'!$M$171:$U$237,8,FALSE)</f>
        <v>#VALUE!</v>
      </c>
      <c r="Q138" s="59">
        <f>VLOOKUP($A138,'5 A data'!$A$5:$AB$519,7,FALSE)*slidewire_res</f>
        <v>0</v>
      </c>
      <c r="R138" s="349">
        <f t="shared" si="255"/>
        <v>0</v>
      </c>
      <c r="S138" s="4">
        <v>0</v>
      </c>
      <c r="T138" s="21">
        <f t="shared" si="273"/>
        <v>0</v>
      </c>
      <c r="U138" s="29" t="e">
        <f t="shared" si="274"/>
        <v>#VALUE!</v>
      </c>
      <c r="V138" s="29">
        <f t="shared" si="256"/>
        <v>5.0000000000000001E-4</v>
      </c>
      <c r="W138" s="23">
        <f>VLOOKUP($D138,Uncertainties!$B$35:$D$41,2,FALSE)</f>
        <v>0</v>
      </c>
      <c r="X138" s="23"/>
      <c r="Y138" s="24">
        <f t="shared" si="257"/>
        <v>0</v>
      </c>
      <c r="Z138" s="23" t="e">
        <f t="shared" si="258"/>
        <v>#VALUE!</v>
      </c>
      <c r="AA138" s="25" t="e">
        <f t="shared" si="259"/>
        <v>#VALUE!</v>
      </c>
      <c r="AB138" s="26" t="e">
        <f t="shared" si="260"/>
        <v>#VALUE!</v>
      </c>
      <c r="AC138" s="14"/>
      <c r="AD138" s="253" t="e">
        <f>0.0001*VLOOKUP($B138,'844400'!$M$171:$U$237,7,FALSE)/VLOOKUP($B138,'844400'!$M$171:$U$237,9,FALSE)</f>
        <v>#VALUE!</v>
      </c>
      <c r="AE138" s="368">
        <f>IF(ABS(VLOOKUP($A138,'5 A data'!$A$5:$AB$1017,6,FALSE))&lt;4.5,IF(ABS(VLOOKUP($A138,'5 A data'!$A$5:$AB$1017,6,FALSE))&lt;1.25,0.0008,0.002),0.004)*VLOOKUP($A138,'5 A data'!$A$5:$AB$1017,7,FALSE)*25*RADIANS(1/60)*100</f>
        <v>0</v>
      </c>
      <c r="AF138" s="23">
        <f t="shared" si="275"/>
        <v>0</v>
      </c>
      <c r="AG138" s="29" t="e">
        <f t="shared" si="261"/>
        <v>#VALUE!</v>
      </c>
      <c r="AH138" s="4">
        <f t="shared" si="276"/>
        <v>0</v>
      </c>
      <c r="AI138" s="4" t="e">
        <f t="shared" si="262"/>
        <v>#VALUE!</v>
      </c>
      <c r="AJ138" s="4">
        <f t="shared" si="263"/>
        <v>5.0000000000000001E-4</v>
      </c>
      <c r="AK138" s="21">
        <f>VLOOKUP($D138,Uncertainties!$B$35:$D$41,3,FALSE)</f>
        <v>0</v>
      </c>
      <c r="AL138" s="21"/>
      <c r="AM138" s="371">
        <f>SQRT((VLOOKUP($A138,'5 A data'!$A$5:$AB$1017,7,FALSE)*mutual_ind)^2+(aux_CT_phase*J138)^2)</f>
        <v>0</v>
      </c>
      <c r="AN138" s="29" t="e">
        <f t="shared" si="264"/>
        <v>#VALUE!</v>
      </c>
      <c r="AO138" s="14" t="e">
        <f t="shared" si="265"/>
        <v>#VALUE!</v>
      </c>
      <c r="AP138" s="27" t="e">
        <f t="shared" si="266"/>
        <v>#VALUE!</v>
      </c>
    </row>
    <row r="139" spans="1:42" x14ac:dyDescent="0.2">
      <c r="A139" s="69">
        <v>229</v>
      </c>
      <c r="B139" s="5" t="e">
        <f>B133&amp;D139</f>
        <v>#VALUE!</v>
      </c>
      <c r="C139" s="19">
        <f>VLOOKUP($A139,'5 A data'!$A$5:$AB$519,3,FALSE)</f>
        <v>2.2000000000000006E-2</v>
      </c>
      <c r="D139" s="165">
        <f>ROUND(VLOOKUP($A139,'5 A data'!$A$5:$AB$519,9,FALSE)/10,0)*10</f>
        <v>40</v>
      </c>
      <c r="E139" s="23">
        <f t="shared" si="267"/>
        <v>0.99936709902044762</v>
      </c>
      <c r="F139" s="23">
        <f t="shared" si="268"/>
        <v>1.0011822386327505</v>
      </c>
      <c r="G139" s="23" t="e">
        <f>VLOOKUP($B139,'844400'!$M$171:$U$237,4,FALSE)/10000</f>
        <v>#VALUE!</v>
      </c>
      <c r="H139" s="23" t="e">
        <f>VLOOKUP($B139,'844400'!$M$171:$U$237,5,FALSE)/10000</f>
        <v>#VALUE!</v>
      </c>
      <c r="I139" s="19">
        <f>VLOOKUP($A139,'5 A data'!$A$5:$AB$519,10,FALSE)</f>
        <v>0</v>
      </c>
      <c r="J139" s="32">
        <f>VLOOKUP($A139,'5 A data'!$A$5:$AB$519,11,FALSE)</f>
        <v>0</v>
      </c>
      <c r="K139" s="22">
        <f t="shared" si="269"/>
        <v>0</v>
      </c>
      <c r="L139" s="22">
        <f t="shared" si="270"/>
        <v>0</v>
      </c>
      <c r="M139" s="22" t="e">
        <f t="shared" si="271"/>
        <v>#VALUE!</v>
      </c>
      <c r="N139" s="22" t="e">
        <f t="shared" si="272"/>
        <v>#VALUE!</v>
      </c>
      <c r="O139" s="20"/>
      <c r="P139" s="376" t="e">
        <f>0.0001*VLOOKUP($B139,'844400'!$M$171:$U$237,6,FALSE)/VLOOKUP($B139,'844400'!$M$171:$U$237,8,FALSE)</f>
        <v>#VALUE!</v>
      </c>
      <c r="Q139" s="59">
        <f>VLOOKUP($A139,'5 A data'!$A$5:$AB$519,7,FALSE)*slidewire_res</f>
        <v>0</v>
      </c>
      <c r="R139" s="349">
        <f t="shared" si="255"/>
        <v>0</v>
      </c>
      <c r="S139" s="4">
        <v>0</v>
      </c>
      <c r="T139" s="21">
        <f t="shared" si="273"/>
        <v>0</v>
      </c>
      <c r="U139" s="29" t="e">
        <f t="shared" si="274"/>
        <v>#VALUE!</v>
      </c>
      <c r="V139" s="29">
        <f t="shared" si="256"/>
        <v>5.0000000000000001E-4</v>
      </c>
      <c r="W139" s="23">
        <f>VLOOKUP($D139,Uncertainties!$B$35:$D$41,2,FALSE)</f>
        <v>0</v>
      </c>
      <c r="X139" s="23"/>
      <c r="Y139" s="24">
        <f t="shared" si="257"/>
        <v>0</v>
      </c>
      <c r="Z139" s="23" t="e">
        <f t="shared" si="258"/>
        <v>#VALUE!</v>
      </c>
      <c r="AA139" s="25" t="e">
        <f t="shared" si="259"/>
        <v>#VALUE!</v>
      </c>
      <c r="AB139" s="26" t="e">
        <f t="shared" si="260"/>
        <v>#VALUE!</v>
      </c>
      <c r="AC139" s="14"/>
      <c r="AD139" s="253" t="e">
        <f>0.0001*VLOOKUP($B139,'844400'!$M$171:$U$237,7,FALSE)/VLOOKUP($B139,'844400'!$M$171:$U$237,9,FALSE)</f>
        <v>#VALUE!</v>
      </c>
      <c r="AE139" s="368">
        <f>IF(ABS(VLOOKUP($A139,'5 A data'!$A$5:$AB$1017,6,FALSE))&lt;4.5,IF(ABS(VLOOKUP($A139,'5 A data'!$A$5:$AB$1017,6,FALSE))&lt;1.25,0.0008,0.002),0.004)*VLOOKUP($A139,'5 A data'!$A$5:$AB$1017,7,FALSE)*25*RADIANS(1/60)*100</f>
        <v>0</v>
      </c>
      <c r="AF139" s="23">
        <f t="shared" si="275"/>
        <v>0</v>
      </c>
      <c r="AG139" s="29" t="e">
        <f t="shared" si="261"/>
        <v>#VALUE!</v>
      </c>
      <c r="AH139" s="4">
        <f t="shared" si="276"/>
        <v>0</v>
      </c>
      <c r="AI139" s="4" t="e">
        <f t="shared" si="262"/>
        <v>#VALUE!</v>
      </c>
      <c r="AJ139" s="4">
        <f t="shared" si="263"/>
        <v>5.0000000000000001E-4</v>
      </c>
      <c r="AK139" s="21">
        <f>VLOOKUP($D139,Uncertainties!$B$35:$D$41,3,FALSE)</f>
        <v>0</v>
      </c>
      <c r="AL139" s="21"/>
      <c r="AM139" s="371">
        <f>SQRT((VLOOKUP($A139,'5 A data'!$A$5:$AB$1017,7,FALSE)*mutual_ind)^2+(aux_CT_phase*J139)^2)</f>
        <v>0</v>
      </c>
      <c r="AN139" s="29" t="e">
        <f t="shared" si="264"/>
        <v>#VALUE!</v>
      </c>
      <c r="AO139" s="14" t="e">
        <f t="shared" si="265"/>
        <v>#VALUE!</v>
      </c>
      <c r="AP139" s="27" t="e">
        <f t="shared" si="266"/>
        <v>#VALUE!</v>
      </c>
    </row>
    <row r="140" spans="1:42" x14ac:dyDescent="0.2">
      <c r="A140">
        <v>230</v>
      </c>
      <c r="B140" s="5" t="e">
        <f>B133&amp;D140</f>
        <v>#VALUE!</v>
      </c>
      <c r="C140" s="19">
        <f>VLOOKUP($A140,'5 A data'!$A$5:$AB$519,3,FALSE)</f>
        <v>2.2000000000000006E-2</v>
      </c>
      <c r="D140" s="166">
        <f>ROUND(VLOOKUP($A140,'5 A data'!$A$5:$AB$519,9,FALSE)/10,0)*10</f>
        <v>60</v>
      </c>
      <c r="E140" s="23">
        <f t="shared" si="267"/>
        <v>0.99936709902044762</v>
      </c>
      <c r="F140" s="23">
        <f t="shared" si="268"/>
        <v>1.0011822386327505</v>
      </c>
      <c r="G140" s="23" t="e">
        <f>VLOOKUP($B140,'844400'!$M$171:$U$237,4,FALSE)/10000</f>
        <v>#VALUE!</v>
      </c>
      <c r="H140" s="23" t="e">
        <f>VLOOKUP($B140,'844400'!$M$171:$U$237,5,FALSE)/10000</f>
        <v>#VALUE!</v>
      </c>
      <c r="I140" s="19">
        <f>VLOOKUP($A140,'5 A data'!$A$5:$AB$519,10,FALSE)</f>
        <v>0</v>
      </c>
      <c r="J140" s="32">
        <f>VLOOKUP($A140,'5 A data'!$A$5:$AB$519,11,FALSE)</f>
        <v>0</v>
      </c>
      <c r="K140" s="22">
        <f t="shared" si="269"/>
        <v>0</v>
      </c>
      <c r="L140" s="22">
        <f t="shared" si="270"/>
        <v>0</v>
      </c>
      <c r="M140" s="22" t="e">
        <f t="shared" si="271"/>
        <v>#VALUE!</v>
      </c>
      <c r="N140" s="22" t="e">
        <f t="shared" si="272"/>
        <v>#VALUE!</v>
      </c>
      <c r="O140" s="20"/>
      <c r="P140" s="376" t="e">
        <f>0.0001*VLOOKUP($B140,'844400'!$M$171:$U$237,6,FALSE)/VLOOKUP($B140,'844400'!$M$171:$U$237,8,FALSE)</f>
        <v>#VALUE!</v>
      </c>
      <c r="Q140" s="59">
        <f>VLOOKUP($A140,'5 A data'!$A$5:$AB$519,7,FALSE)*slidewire_res</f>
        <v>0</v>
      </c>
      <c r="R140" s="349">
        <f t="shared" si="255"/>
        <v>0</v>
      </c>
      <c r="S140" s="4">
        <v>0</v>
      </c>
      <c r="T140" s="21">
        <f t="shared" si="273"/>
        <v>0</v>
      </c>
      <c r="U140" s="29" t="e">
        <f t="shared" si="274"/>
        <v>#VALUE!</v>
      </c>
      <c r="V140" s="29">
        <f t="shared" si="256"/>
        <v>5.0000000000000001E-4</v>
      </c>
      <c r="W140" s="23">
        <f>VLOOKUP($D140,Uncertainties!$B$35:$D$41,2,FALSE)</f>
        <v>0</v>
      </c>
      <c r="X140" s="23"/>
      <c r="Y140" s="24">
        <f t="shared" si="257"/>
        <v>0</v>
      </c>
      <c r="Z140" s="23" t="e">
        <f t="shared" si="258"/>
        <v>#VALUE!</v>
      </c>
      <c r="AA140" s="25" t="e">
        <f t="shared" si="259"/>
        <v>#VALUE!</v>
      </c>
      <c r="AB140" s="26" t="e">
        <f t="shared" si="260"/>
        <v>#VALUE!</v>
      </c>
      <c r="AC140" s="14"/>
      <c r="AD140" s="253" t="e">
        <f>0.0001*VLOOKUP($B140,'844400'!$M$171:$U$237,7,FALSE)/VLOOKUP($B140,'844400'!$M$171:$U$237,9,FALSE)</f>
        <v>#VALUE!</v>
      </c>
      <c r="AE140" s="368">
        <f>IF(ABS(VLOOKUP($A140,'5 A data'!$A$5:$AB$1017,6,FALSE))&lt;4.5,IF(ABS(VLOOKUP($A140,'5 A data'!$A$5:$AB$1017,6,FALSE))&lt;1.25,0.0008,0.002),0.004)*VLOOKUP($A140,'5 A data'!$A$5:$AB$1017,7,FALSE)*25*RADIANS(1/60)*100</f>
        <v>0</v>
      </c>
      <c r="AF140" s="23">
        <f t="shared" si="275"/>
        <v>0</v>
      </c>
      <c r="AG140" s="29" t="e">
        <f t="shared" si="261"/>
        <v>#VALUE!</v>
      </c>
      <c r="AH140" s="4">
        <f t="shared" si="276"/>
        <v>0</v>
      </c>
      <c r="AI140" s="4" t="e">
        <f t="shared" si="262"/>
        <v>#VALUE!</v>
      </c>
      <c r="AJ140" s="4">
        <f t="shared" si="263"/>
        <v>5.0000000000000001E-4</v>
      </c>
      <c r="AK140" s="21">
        <f>VLOOKUP($D140,Uncertainties!$B$35:$D$41,3,FALSE)</f>
        <v>0</v>
      </c>
      <c r="AL140" s="21"/>
      <c r="AM140" s="371">
        <f>SQRT((VLOOKUP($A140,'5 A data'!$A$5:$AB$1017,7,FALSE)*mutual_ind)^2+(aux_CT_phase*J140)^2)</f>
        <v>0</v>
      </c>
      <c r="AN140" s="29" t="e">
        <f t="shared" si="264"/>
        <v>#VALUE!</v>
      </c>
      <c r="AO140" s="14" t="e">
        <f t="shared" si="265"/>
        <v>#VALUE!</v>
      </c>
      <c r="AP140" s="27" t="e">
        <f t="shared" si="266"/>
        <v>#VALUE!</v>
      </c>
    </row>
    <row r="141" spans="1:42" x14ac:dyDescent="0.2">
      <c r="A141" s="69">
        <v>231</v>
      </c>
      <c r="B141" s="5" t="e">
        <f>B133&amp;D141</f>
        <v>#VALUE!</v>
      </c>
      <c r="C141" s="19">
        <f>VLOOKUP($A141,'5 A data'!$A$5:$AB$519,3,FALSE)</f>
        <v>2.2000000000000006E-2</v>
      </c>
      <c r="D141" s="166">
        <f>ROUND(VLOOKUP($A141,'5 A data'!$A$5:$AB$519,9,FALSE)/10,0)*10</f>
        <v>100</v>
      </c>
      <c r="E141" s="23">
        <f t="shared" si="267"/>
        <v>0.99936709902044762</v>
      </c>
      <c r="F141" s="23">
        <f t="shared" si="268"/>
        <v>1.0011822386327505</v>
      </c>
      <c r="G141" s="23" t="e">
        <f>VLOOKUP($B141,'844400'!$M$171:$U$237,4,FALSE)/10000</f>
        <v>#VALUE!</v>
      </c>
      <c r="H141" s="23" t="e">
        <f>VLOOKUP($B141,'844400'!$M$171:$U$237,5,FALSE)/10000</f>
        <v>#VALUE!</v>
      </c>
      <c r="I141" s="19">
        <f>VLOOKUP($A141,'5 A data'!$A$5:$AB$519,10,FALSE)</f>
        <v>0</v>
      </c>
      <c r="J141" s="32">
        <f>VLOOKUP($A141,'5 A data'!$A$5:$AB$519,11,FALSE)</f>
        <v>0</v>
      </c>
      <c r="K141" s="22">
        <f t="shared" si="269"/>
        <v>0</v>
      </c>
      <c r="L141" s="22">
        <f t="shared" si="270"/>
        <v>0</v>
      </c>
      <c r="M141" s="22" t="e">
        <f t="shared" si="271"/>
        <v>#VALUE!</v>
      </c>
      <c r="N141" s="22" t="e">
        <f t="shared" si="272"/>
        <v>#VALUE!</v>
      </c>
      <c r="O141" s="20"/>
      <c r="P141" s="376" t="e">
        <f>0.0001*VLOOKUP($B141,'844400'!$M$171:$U$237,6,FALSE)/VLOOKUP($B141,'844400'!$M$171:$U$237,8,FALSE)</f>
        <v>#VALUE!</v>
      </c>
      <c r="Q141" s="59">
        <f>VLOOKUP($A141,'5 A data'!$A$5:$AB$519,7,FALSE)*slidewire_res</f>
        <v>0</v>
      </c>
      <c r="R141" s="349">
        <f t="shared" si="255"/>
        <v>0</v>
      </c>
      <c r="S141" s="4">
        <v>0</v>
      </c>
      <c r="T141" s="21">
        <f t="shared" si="273"/>
        <v>0</v>
      </c>
      <c r="U141" s="29" t="e">
        <f t="shared" si="274"/>
        <v>#VALUE!</v>
      </c>
      <c r="V141" s="29">
        <f t="shared" si="256"/>
        <v>5.0000000000000001E-4</v>
      </c>
      <c r="W141" s="23">
        <f>VLOOKUP($D141,Uncertainties!$B$35:$D$41,2,FALSE)</f>
        <v>0</v>
      </c>
      <c r="X141" s="23"/>
      <c r="Y141" s="24">
        <f t="shared" si="257"/>
        <v>0</v>
      </c>
      <c r="Z141" s="23" t="e">
        <f t="shared" si="258"/>
        <v>#VALUE!</v>
      </c>
      <c r="AA141" s="25" t="e">
        <f t="shared" si="259"/>
        <v>#VALUE!</v>
      </c>
      <c r="AB141" s="26" t="e">
        <f t="shared" si="260"/>
        <v>#VALUE!</v>
      </c>
      <c r="AC141" s="14"/>
      <c r="AD141" s="253" t="e">
        <f>0.0001*VLOOKUP($B141,'844400'!$M$171:$U$237,7,FALSE)/VLOOKUP($B141,'844400'!$M$171:$U$237,9,FALSE)</f>
        <v>#VALUE!</v>
      </c>
      <c r="AE141" s="368">
        <f>IF(ABS(VLOOKUP($A141,'5 A data'!$A$5:$AB$1017,6,FALSE))&lt;4.5,IF(ABS(VLOOKUP($A141,'5 A data'!$A$5:$AB$1017,6,FALSE))&lt;1.25,0.0008,0.002),0.004)*VLOOKUP($A141,'5 A data'!$A$5:$AB$1017,7,FALSE)*25*RADIANS(1/60)*100</f>
        <v>0</v>
      </c>
      <c r="AF141" s="23">
        <f t="shared" si="275"/>
        <v>0</v>
      </c>
      <c r="AG141" s="29" t="e">
        <f t="shared" si="261"/>
        <v>#VALUE!</v>
      </c>
      <c r="AH141" s="4">
        <f t="shared" si="276"/>
        <v>0</v>
      </c>
      <c r="AI141" s="4" t="e">
        <f t="shared" si="262"/>
        <v>#VALUE!</v>
      </c>
      <c r="AJ141" s="4">
        <f t="shared" si="263"/>
        <v>5.0000000000000001E-4</v>
      </c>
      <c r="AK141" s="21">
        <f>VLOOKUP($D141,Uncertainties!$B$35:$D$41,3,FALSE)</f>
        <v>0</v>
      </c>
      <c r="AL141" s="21"/>
      <c r="AM141" s="371">
        <f>SQRT((VLOOKUP($A141,'5 A data'!$A$5:$AB$1017,7,FALSE)*mutual_ind)^2+(aux_CT_phase*J141)^2)</f>
        <v>0</v>
      </c>
      <c r="AN141" s="29" t="e">
        <f t="shared" si="264"/>
        <v>#VALUE!</v>
      </c>
      <c r="AO141" s="14" t="e">
        <f t="shared" si="265"/>
        <v>#VALUE!</v>
      </c>
      <c r="AP141" s="27" t="e">
        <f t="shared" si="266"/>
        <v>#VALUE!</v>
      </c>
    </row>
    <row r="142" spans="1:42" x14ac:dyDescent="0.2">
      <c r="A142">
        <v>232</v>
      </c>
      <c r="B142" s="5"/>
      <c r="C142" s="19"/>
      <c r="D142" s="19"/>
      <c r="E142" s="23"/>
      <c r="F142" s="23"/>
      <c r="G142" s="23"/>
      <c r="H142" s="23"/>
      <c r="I142" s="19"/>
      <c r="J142" s="32"/>
      <c r="K142" s="31"/>
      <c r="L142" s="31"/>
      <c r="M142" s="533" t="s">
        <v>94</v>
      </c>
      <c r="N142" s="533"/>
      <c r="O142" s="20"/>
      <c r="P142" s="376"/>
      <c r="Q142" s="59"/>
      <c r="R142" s="349"/>
      <c r="S142" s="4"/>
      <c r="T142" s="4"/>
      <c r="U142" s="29"/>
      <c r="V142" s="29"/>
      <c r="W142" s="29"/>
      <c r="X142" s="29"/>
      <c r="Y142" s="24"/>
      <c r="Z142" s="29"/>
      <c r="AA142" s="25"/>
      <c r="AB142" s="26"/>
      <c r="AC142" s="14"/>
      <c r="AD142" s="253"/>
      <c r="AE142" s="35"/>
      <c r="AF142" s="28"/>
      <c r="AG142" s="29"/>
      <c r="AH142" s="4"/>
      <c r="AI142" s="4"/>
      <c r="AJ142" s="4"/>
      <c r="AK142" s="4"/>
      <c r="AL142" s="4"/>
      <c r="AM142" s="24"/>
      <c r="AN142" s="29"/>
      <c r="AO142" s="14"/>
      <c r="AP142" s="27"/>
    </row>
    <row r="143" spans="1:42" x14ac:dyDescent="0.2">
      <c r="A143" s="69">
        <v>233</v>
      </c>
      <c r="B143" s="5" t="e">
        <f>B133&amp;D143</f>
        <v>#VALUE!</v>
      </c>
      <c r="C143" s="19">
        <f>VLOOKUP($A143,'5 A data'!$A$5:$AB$519,3,FALSE)</f>
        <v>0</v>
      </c>
      <c r="D143" s="19">
        <f>ROUND(VLOOKUP($A143,'5 A data'!$A$5:$AB$519,9,FALSE),0)</f>
        <v>0</v>
      </c>
      <c r="E143" s="23">
        <f t="shared" si="267"/>
        <v>0.99936709902044762</v>
      </c>
      <c r="F143" s="23">
        <f t="shared" si="268"/>
        <v>1.0011822386327505</v>
      </c>
      <c r="G143" s="23" t="e">
        <f>VLOOKUP($B143,'844400'!$M$171:$U$237,4,FALSE)/10000</f>
        <v>#VALUE!</v>
      </c>
      <c r="H143" s="23" t="e">
        <f>VLOOKUP($B143,'844400'!$M$171:$U$237,5,FALSE)/10000</f>
        <v>#VALUE!</v>
      </c>
      <c r="I143" s="19">
        <f>VLOOKUP($A143,'5 A data'!$A$5:$AB$519,10,FALSE)</f>
        <v>0</v>
      </c>
      <c r="J143" s="32">
        <f>VLOOKUP($A143,'5 A data'!$A$5:$AB$519,11,FALSE)</f>
        <v>0</v>
      </c>
      <c r="K143" s="31"/>
      <c r="L143" s="31"/>
      <c r="M143" s="31" t="e">
        <f t="shared" ref="M143:N145" si="277">I143*E143+G143+K135*(low__burden-$C143)/($C135-$C143)</f>
        <v>#VALUE!</v>
      </c>
      <c r="N143" s="31" t="e">
        <f t="shared" si="277"/>
        <v>#VALUE!</v>
      </c>
      <c r="O143" s="20"/>
      <c r="P143" s="376" t="e">
        <f>0.0001*VLOOKUP($B143,'844400'!$M$171:$U$237,6,FALSE)/VLOOKUP($B143,'844400'!$M$171:$U$237,8,FALSE)</f>
        <v>#VALUE!</v>
      </c>
      <c r="Q143" s="59">
        <f>VLOOKUP($A143,'5 A data'!$A$5:$AB$519,7,FALSE)*slidewire_res</f>
        <v>0</v>
      </c>
      <c r="R143" s="349">
        <f t="shared" ref="R143:R149" si="278">current_coef*(I143-I144)*IF(I144=0,0,1)</f>
        <v>0</v>
      </c>
      <c r="S143" s="4">
        <v>0</v>
      </c>
      <c r="T143" s="4">
        <f>BurdenUnc*K135</f>
        <v>0</v>
      </c>
      <c r="U143" s="29" t="e">
        <f t="shared" ref="U143:U149" si="279">0.004*M143</f>
        <v>#VALUE!</v>
      </c>
      <c r="V143" s="29">
        <f t="shared" si="256"/>
        <v>5.0000000000000001E-4</v>
      </c>
      <c r="W143" s="23" t="e">
        <f>VLOOKUP($D143,Uncertainties!$B$35:$D$41,2,FALSE)</f>
        <v>#N/A</v>
      </c>
      <c r="X143" s="23"/>
      <c r="Y143" s="24">
        <f t="shared" ref="Y143:Y149" si="280">I143*aux_CT_ratio</f>
        <v>0</v>
      </c>
      <c r="Z143" s="23" t="e">
        <f t="shared" ref="Z143:Z149" si="281">SQRT(SUMSQ(P143:Y143))</f>
        <v>#VALUE!</v>
      </c>
      <c r="AA143" s="25" t="e">
        <f t="shared" ref="AA143:AA149" si="282">DoF_A(P143:Y143,$P$7:$Y$7)</f>
        <v>#VALUE!</v>
      </c>
      <c r="AB143" s="26" t="e">
        <f t="shared" ref="AB143:AB149" si="283">CoverFactor(AA143)</f>
        <v>#VALUE!</v>
      </c>
      <c r="AC143" s="14"/>
      <c r="AD143" s="253" t="e">
        <f>0.0001*VLOOKUP($B143,'844400'!$M$171:$U$237,7,FALSE)/VLOOKUP($B143,'844400'!$M$171:$U$237,9,FALSE)</f>
        <v>#VALUE!</v>
      </c>
      <c r="AE143" s="368">
        <f>IF(ABS(VLOOKUP($A143,'5 A data'!$A$5:$AB$1017,6,FALSE))&lt;4.5,IF(ABS(VLOOKUP($A143,'5 A data'!$A$5:$AB$1017,6,FALSE))&lt;1.25,0.0008,0.002),0.004)*VLOOKUP($A143,'5 A data'!$A$5:$AB$1017,7,FALSE)*25*RADIANS(1/60)*100</f>
        <v>0</v>
      </c>
      <c r="AF143" s="23">
        <f t="shared" ref="AF143:AF149" si="284">current_coef*(J143-J144)*IF(J144=0,0,1)</f>
        <v>0</v>
      </c>
      <c r="AG143" s="29" t="e">
        <f t="shared" ref="AG143:AG149" si="285">0.001*N143</f>
        <v>#VALUE!</v>
      </c>
      <c r="AH143" s="4">
        <f>BurdenUnc*L135</f>
        <v>0</v>
      </c>
      <c r="AI143" s="4" t="e">
        <f t="shared" ref="AI143:AI149" si="286">0.004*N143</f>
        <v>#VALUE!</v>
      </c>
      <c r="AJ143" s="4">
        <f t="shared" si="263"/>
        <v>5.0000000000000001E-4</v>
      </c>
      <c r="AK143" s="21" t="e">
        <f>VLOOKUP($D143,Uncertainties!$B$35:$D$41,3,FALSE)</f>
        <v>#N/A</v>
      </c>
      <c r="AL143" s="21"/>
      <c r="AM143" s="371">
        <f>SQRT((VLOOKUP($A143,'5 A data'!$A$5:$AB$1017,7,FALSE)*mutual_ind)^2+(aux_CT_phase*J143)^2)</f>
        <v>0</v>
      </c>
      <c r="AN143" s="29" t="e">
        <f t="shared" ref="AN143:AN149" si="287">SQRT(SUMSQ(AD143:AM143))</f>
        <v>#VALUE!</v>
      </c>
      <c r="AO143" s="14" t="e">
        <f t="shared" ref="AO143:AO149" si="288">DoF_A(AD143:AM143,$AD$7:$AM$7)</f>
        <v>#VALUE!</v>
      </c>
      <c r="AP143" s="27" t="e">
        <f t="shared" ref="AP143:AP149" si="289">CoverFactor(AO143)</f>
        <v>#VALUE!</v>
      </c>
    </row>
    <row r="144" spans="1:42" x14ac:dyDescent="0.2">
      <c r="A144">
        <v>234</v>
      </c>
      <c r="B144" s="5" t="e">
        <f>B133&amp;D144</f>
        <v>#VALUE!</v>
      </c>
      <c r="C144" s="19">
        <f>VLOOKUP($A144,'5 A data'!$A$5:$AB$519,3,FALSE)</f>
        <v>2.1700000000000001E-2</v>
      </c>
      <c r="D144" s="165">
        <f>ROUND(VLOOKUP($A144,'5 A data'!$A$5:$AB$519,9,FALSE)/10,0)*10</f>
        <v>10</v>
      </c>
      <c r="E144" s="23">
        <f t="shared" si="267"/>
        <v>0.99936709902044762</v>
      </c>
      <c r="F144" s="23">
        <f t="shared" si="268"/>
        <v>1.0011822386327505</v>
      </c>
      <c r="G144" s="23" t="e">
        <f>VLOOKUP($B144,'844400'!$M$171:$U$237,4,FALSE)/10000</f>
        <v>#VALUE!</v>
      </c>
      <c r="H144" s="23" t="e">
        <f>VLOOKUP($B144,'844400'!$M$171:$U$237,5,FALSE)/10000</f>
        <v>#VALUE!</v>
      </c>
      <c r="I144" s="19">
        <f>VLOOKUP($A144,'5 A data'!$A$5:$AB$519,10,FALSE)</f>
        <v>0</v>
      </c>
      <c r="J144" s="32">
        <f>VLOOKUP($A144,'5 A data'!$A$5:$AB$519,11,FALSE)</f>
        <v>0</v>
      </c>
      <c r="K144" s="31"/>
      <c r="L144" s="31"/>
      <c r="M144" s="31" t="e">
        <f t="shared" si="277"/>
        <v>#VALUE!</v>
      </c>
      <c r="N144" s="31" t="e">
        <f t="shared" si="277"/>
        <v>#VALUE!</v>
      </c>
      <c r="O144" s="20"/>
      <c r="P144" s="376" t="e">
        <f>0.0001*VLOOKUP($B144,'844400'!$M$171:$U$237,6,FALSE)/VLOOKUP($B144,'844400'!$M$171:$U$237,8,FALSE)</f>
        <v>#VALUE!</v>
      </c>
      <c r="Q144" s="59">
        <f>VLOOKUP($A144,'5 A data'!$A$5:$AB$519,7,FALSE)*slidewire_res</f>
        <v>0</v>
      </c>
      <c r="R144" s="349">
        <f t="shared" si="278"/>
        <v>0</v>
      </c>
      <c r="S144" s="4">
        <v>0</v>
      </c>
      <c r="T144" s="4">
        <f t="shared" ref="T144:T149" si="290">BurdenUnc*K136</f>
        <v>0</v>
      </c>
      <c r="U144" s="29" t="e">
        <f t="shared" si="279"/>
        <v>#VALUE!</v>
      </c>
      <c r="V144" s="29">
        <f t="shared" si="256"/>
        <v>5.0000000000000001E-4</v>
      </c>
      <c r="W144" s="23">
        <f>VLOOKUP($D144,Uncertainties!$B$35:$D$41,2,FALSE)</f>
        <v>0</v>
      </c>
      <c r="X144" s="23"/>
      <c r="Y144" s="24">
        <f t="shared" si="280"/>
        <v>0</v>
      </c>
      <c r="Z144" s="23" t="e">
        <f t="shared" si="281"/>
        <v>#VALUE!</v>
      </c>
      <c r="AA144" s="25" t="e">
        <f t="shared" si="282"/>
        <v>#VALUE!</v>
      </c>
      <c r="AB144" s="26" t="e">
        <f t="shared" si="283"/>
        <v>#VALUE!</v>
      </c>
      <c r="AC144" s="14"/>
      <c r="AD144" s="253" t="e">
        <f>0.0001*VLOOKUP($B144,'844400'!$M$171:$U$237,7,FALSE)/VLOOKUP($B144,'844400'!$M$171:$U$237,9,FALSE)</f>
        <v>#VALUE!</v>
      </c>
      <c r="AE144" s="368">
        <f>IF(ABS(VLOOKUP($A144,'5 A data'!$A$5:$AB$1017,6,FALSE))&lt;4.5,IF(ABS(VLOOKUP($A144,'5 A data'!$A$5:$AB$1017,6,FALSE))&lt;1.25,0.0008,0.002),0.004)*VLOOKUP($A144,'5 A data'!$A$5:$AB$1017,7,FALSE)*25*RADIANS(1/60)*100</f>
        <v>0</v>
      </c>
      <c r="AF144" s="23">
        <f t="shared" si="284"/>
        <v>0</v>
      </c>
      <c r="AG144" s="29" t="e">
        <f t="shared" si="285"/>
        <v>#VALUE!</v>
      </c>
      <c r="AH144" s="4">
        <f t="shared" ref="AH144:AH149" si="291">BurdenUnc*L136</f>
        <v>0</v>
      </c>
      <c r="AI144" s="4" t="e">
        <f t="shared" si="286"/>
        <v>#VALUE!</v>
      </c>
      <c r="AJ144" s="4">
        <f t="shared" si="263"/>
        <v>5.0000000000000001E-4</v>
      </c>
      <c r="AK144" s="21">
        <f>VLOOKUP($D144,Uncertainties!$B$35:$D$41,3,FALSE)</f>
        <v>0</v>
      </c>
      <c r="AL144" s="21"/>
      <c r="AM144" s="371">
        <f>SQRT((VLOOKUP($A144,'5 A data'!$A$5:$AB$1017,7,FALSE)*mutual_ind)^2+(aux_CT_phase*J144)^2)</f>
        <v>0</v>
      </c>
      <c r="AN144" s="29" t="e">
        <f t="shared" si="287"/>
        <v>#VALUE!</v>
      </c>
      <c r="AO144" s="14" t="e">
        <f t="shared" si="288"/>
        <v>#VALUE!</v>
      </c>
      <c r="AP144" s="27" t="e">
        <f t="shared" si="289"/>
        <v>#VALUE!</v>
      </c>
    </row>
    <row r="145" spans="1:42" x14ac:dyDescent="0.2">
      <c r="A145" s="69">
        <v>235</v>
      </c>
      <c r="B145" s="5" t="e">
        <f>B133&amp;D145</f>
        <v>#VALUE!</v>
      </c>
      <c r="C145" s="19">
        <f>VLOOKUP($A145,'5 A data'!$A$5:$AB$519,3,FALSE)</f>
        <v>2.1700000000000001E-2</v>
      </c>
      <c r="D145" s="165">
        <f>ROUND(VLOOKUP($A145,'5 A data'!$A$5:$AB$519,9,FALSE)/10,0)*10</f>
        <v>10</v>
      </c>
      <c r="E145" s="23">
        <f t="shared" si="267"/>
        <v>0.99936709902044762</v>
      </c>
      <c r="F145" s="23">
        <f t="shared" si="268"/>
        <v>1.0011822386327505</v>
      </c>
      <c r="G145" s="23" t="e">
        <f>VLOOKUP($B145,'844400'!$M$171:$U$237,4,FALSE)/10000</f>
        <v>#VALUE!</v>
      </c>
      <c r="H145" s="23" t="e">
        <f>VLOOKUP($B145,'844400'!$M$171:$U$237,5,FALSE)/10000</f>
        <v>#VALUE!</v>
      </c>
      <c r="I145" s="19">
        <f>VLOOKUP($A145,'5 A data'!$A$5:$AB$519,10,FALSE)</f>
        <v>0</v>
      </c>
      <c r="J145" s="32">
        <f>VLOOKUP($A145,'5 A data'!$A$5:$AB$519,11,FALSE)</f>
        <v>0</v>
      </c>
      <c r="K145" s="31"/>
      <c r="L145" s="31"/>
      <c r="M145" s="31" t="e">
        <f t="shared" si="277"/>
        <v>#VALUE!</v>
      </c>
      <c r="N145" s="31" t="e">
        <f t="shared" si="277"/>
        <v>#VALUE!</v>
      </c>
      <c r="O145" s="20"/>
      <c r="P145" s="376" t="e">
        <f>0.0001*VLOOKUP($B145,'844400'!$M$171:$U$237,6,FALSE)/VLOOKUP($B145,'844400'!$M$171:$U$237,8,FALSE)</f>
        <v>#VALUE!</v>
      </c>
      <c r="Q145" s="59">
        <f>VLOOKUP($A145,'5 A data'!$A$5:$AB$519,7,FALSE)*slidewire_res</f>
        <v>0</v>
      </c>
      <c r="R145" s="349">
        <f t="shared" si="278"/>
        <v>0</v>
      </c>
      <c r="S145" s="4">
        <v>0</v>
      </c>
      <c r="T145" s="4">
        <f t="shared" si="290"/>
        <v>0</v>
      </c>
      <c r="U145" s="29" t="e">
        <f t="shared" si="279"/>
        <v>#VALUE!</v>
      </c>
      <c r="V145" s="29">
        <f t="shared" si="256"/>
        <v>5.0000000000000001E-4</v>
      </c>
      <c r="W145" s="23">
        <f>VLOOKUP($D145,Uncertainties!$B$35:$D$41,2,FALSE)</f>
        <v>0</v>
      </c>
      <c r="X145" s="23"/>
      <c r="Y145" s="24">
        <f t="shared" si="280"/>
        <v>0</v>
      </c>
      <c r="Z145" s="23" t="e">
        <f t="shared" si="281"/>
        <v>#VALUE!</v>
      </c>
      <c r="AA145" s="25" t="e">
        <f t="shared" si="282"/>
        <v>#VALUE!</v>
      </c>
      <c r="AB145" s="26" t="e">
        <f t="shared" si="283"/>
        <v>#VALUE!</v>
      </c>
      <c r="AC145" s="14"/>
      <c r="AD145" s="253" t="e">
        <f>0.0001*VLOOKUP($B145,'844400'!$M$171:$U$237,7,FALSE)/VLOOKUP($B145,'844400'!$M$171:$U$237,9,FALSE)</f>
        <v>#VALUE!</v>
      </c>
      <c r="AE145" s="368">
        <f>IF(ABS(VLOOKUP($A145,'5 A data'!$A$5:$AB$1017,6,FALSE))&lt;4.5,IF(ABS(VLOOKUP($A145,'5 A data'!$A$5:$AB$1017,6,FALSE))&lt;1.25,0.0008,0.002),0.004)*VLOOKUP($A145,'5 A data'!$A$5:$AB$1017,7,FALSE)*25*RADIANS(1/60)*100</f>
        <v>0</v>
      </c>
      <c r="AF145" s="23">
        <f t="shared" si="284"/>
        <v>0</v>
      </c>
      <c r="AG145" s="29" t="e">
        <f t="shared" si="285"/>
        <v>#VALUE!</v>
      </c>
      <c r="AH145" s="4">
        <f t="shared" si="291"/>
        <v>0</v>
      </c>
      <c r="AI145" s="4" t="e">
        <f t="shared" si="286"/>
        <v>#VALUE!</v>
      </c>
      <c r="AJ145" s="4">
        <f t="shared" si="263"/>
        <v>5.0000000000000001E-4</v>
      </c>
      <c r="AK145" s="21">
        <f>VLOOKUP($D145,Uncertainties!$B$35:$D$41,3,FALSE)</f>
        <v>0</v>
      </c>
      <c r="AL145" s="21"/>
      <c r="AM145" s="371">
        <f>SQRT((VLOOKUP($A145,'5 A data'!$A$5:$AB$1017,7,FALSE)*mutual_ind)^2+(aux_CT_phase*J145)^2)</f>
        <v>0</v>
      </c>
      <c r="AN145" s="29" t="e">
        <f t="shared" si="287"/>
        <v>#VALUE!</v>
      </c>
      <c r="AO145" s="14" t="e">
        <f t="shared" si="288"/>
        <v>#VALUE!</v>
      </c>
      <c r="AP145" s="27" t="e">
        <f t="shared" si="289"/>
        <v>#VALUE!</v>
      </c>
    </row>
    <row r="146" spans="1:42" x14ac:dyDescent="0.2">
      <c r="A146">
        <v>236</v>
      </c>
      <c r="B146" s="5" t="e">
        <f>B133&amp;D146</f>
        <v>#VALUE!</v>
      </c>
      <c r="C146" s="19">
        <f>VLOOKUP($A146,'5 A data'!$A$5:$AB$519,3,FALSE)</f>
        <v>2.1700000000000001E-2</v>
      </c>
      <c r="D146" s="165">
        <f>ROUND(VLOOKUP($A146,'5 A data'!$A$5:$AB$519,9,FALSE)/10,0)*10</f>
        <v>20</v>
      </c>
      <c r="E146" s="23">
        <f t="shared" si="267"/>
        <v>0.99936709902044762</v>
      </c>
      <c r="F146" s="23">
        <f t="shared" si="268"/>
        <v>1.0011822386327505</v>
      </c>
      <c r="G146" s="23" t="e">
        <f>VLOOKUP($B146,'844400'!$M$171:$U$237,4,FALSE)/10000</f>
        <v>#VALUE!</v>
      </c>
      <c r="H146" s="23" t="e">
        <f>VLOOKUP($B146,'844400'!$M$171:$U$237,5,FALSE)/10000</f>
        <v>#VALUE!</v>
      </c>
      <c r="I146" s="19">
        <f>VLOOKUP($A146,'5 A data'!$A$5:$AB$519,10,FALSE)</f>
        <v>0</v>
      </c>
      <c r="J146" s="32">
        <f>VLOOKUP($A146,'5 A data'!$A$5:$AB$519,11,FALSE)</f>
        <v>0</v>
      </c>
      <c r="K146" s="31"/>
      <c r="L146" s="31"/>
      <c r="M146" s="31" t="e">
        <f>I146*E146+G146+K138*(low__burden-$C146)/($C138-$C146)</f>
        <v>#VALUE!</v>
      </c>
      <c r="N146" s="31" t="e">
        <f>J146*F146+H146+L138*(low__burden-$C146)/($C138-$C146)</f>
        <v>#VALUE!</v>
      </c>
      <c r="O146" s="20"/>
      <c r="P146" s="376" t="e">
        <f>0.0001*VLOOKUP($B146,'844400'!$M$171:$U$237,6,FALSE)/VLOOKUP($B146,'844400'!$M$171:$U$237,8,FALSE)</f>
        <v>#VALUE!</v>
      </c>
      <c r="Q146" s="59">
        <f>VLOOKUP($A146,'5 A data'!$A$5:$AB$519,7,FALSE)*slidewire_res</f>
        <v>0</v>
      </c>
      <c r="R146" s="349">
        <f t="shared" si="278"/>
        <v>0</v>
      </c>
      <c r="S146" s="4">
        <v>0</v>
      </c>
      <c r="T146" s="4">
        <f t="shared" si="290"/>
        <v>0</v>
      </c>
      <c r="U146" s="29" t="e">
        <f t="shared" si="279"/>
        <v>#VALUE!</v>
      </c>
      <c r="V146" s="29">
        <f t="shared" si="256"/>
        <v>5.0000000000000001E-4</v>
      </c>
      <c r="W146" s="23">
        <f>VLOOKUP($D146,Uncertainties!$B$35:$D$41,2,FALSE)</f>
        <v>0</v>
      </c>
      <c r="X146" s="23"/>
      <c r="Y146" s="24">
        <f t="shared" si="280"/>
        <v>0</v>
      </c>
      <c r="Z146" s="23" t="e">
        <f t="shared" si="281"/>
        <v>#VALUE!</v>
      </c>
      <c r="AA146" s="25" t="e">
        <f t="shared" si="282"/>
        <v>#VALUE!</v>
      </c>
      <c r="AB146" s="26" t="e">
        <f t="shared" si="283"/>
        <v>#VALUE!</v>
      </c>
      <c r="AC146" s="14"/>
      <c r="AD146" s="253" t="e">
        <f>0.0001*VLOOKUP($B146,'844400'!$M$171:$U$237,7,FALSE)/VLOOKUP($B146,'844400'!$M$171:$U$237,9,FALSE)</f>
        <v>#VALUE!</v>
      </c>
      <c r="AE146" s="368">
        <f>IF(ABS(VLOOKUP($A146,'5 A data'!$A$5:$AB$1017,6,FALSE))&lt;4.5,IF(ABS(VLOOKUP($A146,'5 A data'!$A$5:$AB$1017,6,FALSE))&lt;1.25,0.0008,0.002),0.004)*VLOOKUP($A146,'5 A data'!$A$5:$AB$1017,7,FALSE)*25*RADIANS(1/60)*100</f>
        <v>0</v>
      </c>
      <c r="AF146" s="23">
        <f t="shared" si="284"/>
        <v>0</v>
      </c>
      <c r="AG146" s="29" t="e">
        <f t="shared" si="285"/>
        <v>#VALUE!</v>
      </c>
      <c r="AH146" s="4">
        <f t="shared" si="291"/>
        <v>0</v>
      </c>
      <c r="AI146" s="4" t="e">
        <f t="shared" si="286"/>
        <v>#VALUE!</v>
      </c>
      <c r="AJ146" s="4">
        <f t="shared" si="263"/>
        <v>5.0000000000000001E-4</v>
      </c>
      <c r="AK146" s="21">
        <f>VLOOKUP($D146,Uncertainties!$B$35:$D$41,3,FALSE)</f>
        <v>0</v>
      </c>
      <c r="AL146" s="21"/>
      <c r="AM146" s="371">
        <f>SQRT((VLOOKUP($A146,'5 A data'!$A$5:$AB$1017,7,FALSE)*mutual_ind)^2+(aux_CT_phase*J146)^2)</f>
        <v>0</v>
      </c>
      <c r="AN146" s="29" t="e">
        <f t="shared" si="287"/>
        <v>#VALUE!</v>
      </c>
      <c r="AO146" s="14" t="e">
        <f t="shared" si="288"/>
        <v>#VALUE!</v>
      </c>
      <c r="AP146" s="27" t="e">
        <f t="shared" si="289"/>
        <v>#VALUE!</v>
      </c>
    </row>
    <row r="147" spans="1:42" x14ac:dyDescent="0.2">
      <c r="A147" s="69">
        <v>237</v>
      </c>
      <c r="B147" s="5" t="e">
        <f>B133&amp;D147</f>
        <v>#VALUE!</v>
      </c>
      <c r="C147" s="19">
        <f>VLOOKUP($A147,'5 A data'!$A$5:$AB$519,3,FALSE)</f>
        <v>2.1700000000000001E-2</v>
      </c>
      <c r="D147" s="165">
        <f>ROUND(VLOOKUP($A147,'5 A data'!$A$5:$AB$519,9,FALSE)/10,0)*10</f>
        <v>40</v>
      </c>
      <c r="E147" s="23">
        <f t="shared" si="267"/>
        <v>0.99936709902044762</v>
      </c>
      <c r="F147" s="23">
        <f t="shared" si="268"/>
        <v>1.0011822386327505</v>
      </c>
      <c r="G147" s="23" t="e">
        <f>VLOOKUP($B147,'844400'!$M$171:$U$237,4,FALSE)/10000</f>
        <v>#VALUE!</v>
      </c>
      <c r="H147" s="23" t="e">
        <f>VLOOKUP($B147,'844400'!$M$171:$U$237,5,FALSE)/10000</f>
        <v>#VALUE!</v>
      </c>
      <c r="I147" s="19">
        <f>VLOOKUP($A147,'5 A data'!$A$5:$AB$519,10,FALSE)</f>
        <v>0</v>
      </c>
      <c r="J147" s="32">
        <f>VLOOKUP($A147,'5 A data'!$A$5:$AB$519,11,FALSE)</f>
        <v>0</v>
      </c>
      <c r="K147" s="31"/>
      <c r="L147" s="31"/>
      <c r="M147" s="31" t="e">
        <f t="shared" ref="M147:N149" si="292">I147*E147+G147+K139*(low__burden-$C147)/($C139-$C147)</f>
        <v>#VALUE!</v>
      </c>
      <c r="N147" s="31" t="e">
        <f t="shared" si="292"/>
        <v>#VALUE!</v>
      </c>
      <c r="O147" s="20"/>
      <c r="P147" s="376" t="e">
        <f>0.0001*VLOOKUP($B147,'844400'!$M$171:$U$237,6,FALSE)/VLOOKUP($B147,'844400'!$M$171:$U$237,8,FALSE)</f>
        <v>#VALUE!</v>
      </c>
      <c r="Q147" s="59">
        <f>VLOOKUP($A147,'5 A data'!$A$5:$AB$519,7,FALSE)*slidewire_res</f>
        <v>0</v>
      </c>
      <c r="R147" s="349">
        <f t="shared" si="278"/>
        <v>0</v>
      </c>
      <c r="S147" s="4">
        <v>0</v>
      </c>
      <c r="T147" s="4">
        <f t="shared" si="290"/>
        <v>0</v>
      </c>
      <c r="U147" s="29" t="e">
        <f t="shared" si="279"/>
        <v>#VALUE!</v>
      </c>
      <c r="V147" s="29">
        <f t="shared" si="256"/>
        <v>5.0000000000000001E-4</v>
      </c>
      <c r="W147" s="23">
        <f>VLOOKUP($D147,Uncertainties!$B$35:$D$41,2,FALSE)</f>
        <v>0</v>
      </c>
      <c r="X147" s="23"/>
      <c r="Y147" s="24">
        <f t="shared" si="280"/>
        <v>0</v>
      </c>
      <c r="Z147" s="23" t="e">
        <f t="shared" si="281"/>
        <v>#VALUE!</v>
      </c>
      <c r="AA147" s="25" t="e">
        <f t="shared" si="282"/>
        <v>#VALUE!</v>
      </c>
      <c r="AB147" s="26" t="e">
        <f t="shared" si="283"/>
        <v>#VALUE!</v>
      </c>
      <c r="AC147" s="14"/>
      <c r="AD147" s="253" t="e">
        <f>0.0001*VLOOKUP($B147,'844400'!$M$171:$U$237,7,FALSE)/VLOOKUP($B147,'844400'!$M$171:$U$237,9,FALSE)</f>
        <v>#VALUE!</v>
      </c>
      <c r="AE147" s="368">
        <f>IF(ABS(VLOOKUP($A147,'5 A data'!$A$5:$AB$1017,6,FALSE))&lt;4.5,IF(ABS(VLOOKUP($A147,'5 A data'!$A$5:$AB$1017,6,FALSE))&lt;1.25,0.0008,0.002),0.004)*VLOOKUP($A147,'5 A data'!$A$5:$AB$1017,7,FALSE)*25*RADIANS(1/60)*100</f>
        <v>0</v>
      </c>
      <c r="AF147" s="23">
        <f t="shared" si="284"/>
        <v>0</v>
      </c>
      <c r="AG147" s="29" t="e">
        <f t="shared" si="285"/>
        <v>#VALUE!</v>
      </c>
      <c r="AH147" s="4">
        <f t="shared" si="291"/>
        <v>0</v>
      </c>
      <c r="AI147" s="4" t="e">
        <f t="shared" si="286"/>
        <v>#VALUE!</v>
      </c>
      <c r="AJ147" s="4">
        <f t="shared" si="263"/>
        <v>5.0000000000000001E-4</v>
      </c>
      <c r="AK147" s="21">
        <f>VLOOKUP($D147,Uncertainties!$B$35:$D$41,3,FALSE)</f>
        <v>0</v>
      </c>
      <c r="AL147" s="21"/>
      <c r="AM147" s="371">
        <f>SQRT((VLOOKUP($A147,'5 A data'!$A$5:$AB$1017,7,FALSE)*mutual_ind)^2+(aux_CT_phase*J147)^2)</f>
        <v>0</v>
      </c>
      <c r="AN147" s="29" t="e">
        <f t="shared" si="287"/>
        <v>#VALUE!</v>
      </c>
      <c r="AO147" s="14" t="e">
        <f t="shared" si="288"/>
        <v>#VALUE!</v>
      </c>
      <c r="AP147" s="27" t="e">
        <f t="shared" si="289"/>
        <v>#VALUE!</v>
      </c>
    </row>
    <row r="148" spans="1:42" x14ac:dyDescent="0.2">
      <c r="A148">
        <v>238</v>
      </c>
      <c r="B148" s="5" t="e">
        <f>B133&amp;D148</f>
        <v>#VALUE!</v>
      </c>
      <c r="C148" s="19">
        <f>VLOOKUP($A148,'5 A data'!$A$5:$AB$519,3,FALSE)</f>
        <v>2.1700000000000001E-2</v>
      </c>
      <c r="D148" s="166">
        <f>ROUND(VLOOKUP($A148,'5 A data'!$A$5:$AB$519,9,FALSE)/10,0)*10</f>
        <v>60</v>
      </c>
      <c r="E148" s="23">
        <f t="shared" si="267"/>
        <v>0.99936709902044762</v>
      </c>
      <c r="F148" s="23">
        <f t="shared" si="268"/>
        <v>1.0011822386327505</v>
      </c>
      <c r="G148" s="23" t="e">
        <f>VLOOKUP($B148,'844400'!$M$171:$U$237,4,FALSE)/10000</f>
        <v>#VALUE!</v>
      </c>
      <c r="H148" s="23" t="e">
        <f>VLOOKUP($B148,'844400'!$M$171:$U$237,5,FALSE)/10000</f>
        <v>#VALUE!</v>
      </c>
      <c r="I148" s="19">
        <f>VLOOKUP($A148,'5 A data'!$A$5:$AB$519,10,FALSE)</f>
        <v>0</v>
      </c>
      <c r="J148" s="32">
        <f>VLOOKUP($A148,'5 A data'!$A$5:$AB$519,11,FALSE)</f>
        <v>0</v>
      </c>
      <c r="K148" s="31"/>
      <c r="L148" s="31"/>
      <c r="M148" s="31" t="e">
        <f t="shared" si="292"/>
        <v>#VALUE!</v>
      </c>
      <c r="N148" s="31" t="e">
        <f t="shared" si="292"/>
        <v>#VALUE!</v>
      </c>
      <c r="O148" s="20"/>
      <c r="P148" s="376" t="e">
        <f>0.0001*VLOOKUP($B148,'844400'!$M$171:$U$237,6,FALSE)/VLOOKUP($B148,'844400'!$M$171:$U$237,8,FALSE)</f>
        <v>#VALUE!</v>
      </c>
      <c r="Q148" s="59">
        <f>VLOOKUP($A148,'5 A data'!$A$5:$AB$519,7,FALSE)*slidewire_res</f>
        <v>0</v>
      </c>
      <c r="R148" s="349">
        <f t="shared" si="278"/>
        <v>0</v>
      </c>
      <c r="S148" s="4">
        <v>0</v>
      </c>
      <c r="T148" s="4">
        <f t="shared" si="290"/>
        <v>0</v>
      </c>
      <c r="U148" s="29" t="e">
        <f t="shared" si="279"/>
        <v>#VALUE!</v>
      </c>
      <c r="V148" s="29">
        <f t="shared" si="256"/>
        <v>5.0000000000000001E-4</v>
      </c>
      <c r="W148" s="23">
        <f>VLOOKUP($D148,Uncertainties!$B$35:$D$41,2,FALSE)</f>
        <v>0</v>
      </c>
      <c r="X148" s="23"/>
      <c r="Y148" s="24">
        <f t="shared" si="280"/>
        <v>0</v>
      </c>
      <c r="Z148" s="23" t="e">
        <f t="shared" si="281"/>
        <v>#VALUE!</v>
      </c>
      <c r="AA148" s="25" t="e">
        <f t="shared" si="282"/>
        <v>#VALUE!</v>
      </c>
      <c r="AB148" s="26" t="e">
        <f t="shared" si="283"/>
        <v>#VALUE!</v>
      </c>
      <c r="AC148" s="14"/>
      <c r="AD148" s="253" t="e">
        <f>0.0001*VLOOKUP($B148,'844400'!$M$171:$U$237,7,FALSE)/VLOOKUP($B148,'844400'!$M$171:$U$237,9,FALSE)</f>
        <v>#VALUE!</v>
      </c>
      <c r="AE148" s="368">
        <f>IF(ABS(VLOOKUP($A148,'5 A data'!$A$5:$AB$1017,6,FALSE))&lt;4.5,IF(ABS(VLOOKUP($A148,'5 A data'!$A$5:$AB$1017,6,FALSE))&lt;1.25,0.0008,0.002),0.004)*VLOOKUP($A148,'5 A data'!$A$5:$AB$1017,7,FALSE)*25*RADIANS(1/60)*100</f>
        <v>0</v>
      </c>
      <c r="AF148" s="23">
        <f t="shared" si="284"/>
        <v>0</v>
      </c>
      <c r="AG148" s="29" t="e">
        <f t="shared" si="285"/>
        <v>#VALUE!</v>
      </c>
      <c r="AH148" s="4">
        <f t="shared" si="291"/>
        <v>0</v>
      </c>
      <c r="AI148" s="4" t="e">
        <f t="shared" si="286"/>
        <v>#VALUE!</v>
      </c>
      <c r="AJ148" s="4">
        <f t="shared" si="263"/>
        <v>5.0000000000000001E-4</v>
      </c>
      <c r="AK148" s="21">
        <f>VLOOKUP($D148,Uncertainties!$B$35:$D$41,3,FALSE)</f>
        <v>0</v>
      </c>
      <c r="AL148" s="21"/>
      <c r="AM148" s="371">
        <f>SQRT((VLOOKUP($A148,'5 A data'!$A$5:$AB$1017,7,FALSE)*mutual_ind)^2+(aux_CT_phase*J148)^2)</f>
        <v>0</v>
      </c>
      <c r="AN148" s="29" t="e">
        <f t="shared" si="287"/>
        <v>#VALUE!</v>
      </c>
      <c r="AO148" s="14" t="e">
        <f t="shared" si="288"/>
        <v>#VALUE!</v>
      </c>
      <c r="AP148" s="27" t="e">
        <f t="shared" si="289"/>
        <v>#VALUE!</v>
      </c>
    </row>
    <row r="149" spans="1:42" x14ac:dyDescent="0.2">
      <c r="A149" s="69">
        <v>239</v>
      </c>
      <c r="B149" s="5" t="e">
        <f>B133&amp;D149</f>
        <v>#VALUE!</v>
      </c>
      <c r="C149" s="19">
        <f>VLOOKUP($A149,'5 A data'!$A$5:$AB$519,3,FALSE)</f>
        <v>2.1700000000000001E-2</v>
      </c>
      <c r="D149" s="166">
        <f>ROUND(VLOOKUP($A149,'5 A data'!$A$5:$AB$519,9,FALSE)/10,0)*10</f>
        <v>100</v>
      </c>
      <c r="E149" s="23">
        <f t="shared" si="267"/>
        <v>0.99936709902044762</v>
      </c>
      <c r="F149" s="23">
        <f t="shared" si="268"/>
        <v>1.0011822386327505</v>
      </c>
      <c r="G149" s="23" t="e">
        <f>VLOOKUP($B149,'844400'!$M$171:$U$237,4,FALSE)/10000</f>
        <v>#VALUE!</v>
      </c>
      <c r="H149" s="23" t="e">
        <f>VLOOKUP($B149,'844400'!$M$171:$U$237,5,FALSE)/10000</f>
        <v>#VALUE!</v>
      </c>
      <c r="I149" s="19">
        <f>VLOOKUP($A149,'5 A data'!$A$5:$AB$519,10,FALSE)</f>
        <v>0</v>
      </c>
      <c r="J149" s="32">
        <f>VLOOKUP($A149,'5 A data'!$A$5:$AB$519,11,FALSE)</f>
        <v>0</v>
      </c>
      <c r="K149" s="31"/>
      <c r="L149" s="31"/>
      <c r="M149" s="31" t="e">
        <f t="shared" si="292"/>
        <v>#VALUE!</v>
      </c>
      <c r="N149" s="31" t="e">
        <f t="shared" si="292"/>
        <v>#VALUE!</v>
      </c>
      <c r="O149" s="20"/>
      <c r="P149" s="376" t="e">
        <f>0.0001*VLOOKUP($B149,'844400'!$M$171:$U$237,6,FALSE)/VLOOKUP($B149,'844400'!$M$171:$U$237,8,FALSE)</f>
        <v>#VALUE!</v>
      </c>
      <c r="Q149" s="59">
        <f>VLOOKUP($A149,'5 A data'!$A$5:$AB$519,7,FALSE)*slidewire_res</f>
        <v>0</v>
      </c>
      <c r="R149" s="349">
        <f t="shared" si="278"/>
        <v>0</v>
      </c>
      <c r="S149" s="4">
        <v>0</v>
      </c>
      <c r="T149" s="4">
        <f t="shared" si="290"/>
        <v>0</v>
      </c>
      <c r="U149" s="29" t="e">
        <f t="shared" si="279"/>
        <v>#VALUE!</v>
      </c>
      <c r="V149" s="29">
        <f t="shared" si="256"/>
        <v>5.0000000000000001E-4</v>
      </c>
      <c r="W149" s="23">
        <f>VLOOKUP($D149,Uncertainties!$B$35:$D$41,2,FALSE)</f>
        <v>0</v>
      </c>
      <c r="X149" s="23"/>
      <c r="Y149" s="24">
        <f t="shared" si="280"/>
        <v>0</v>
      </c>
      <c r="Z149" s="23" t="e">
        <f t="shared" si="281"/>
        <v>#VALUE!</v>
      </c>
      <c r="AA149" s="25" t="e">
        <f t="shared" si="282"/>
        <v>#VALUE!</v>
      </c>
      <c r="AB149" s="26" t="e">
        <f t="shared" si="283"/>
        <v>#VALUE!</v>
      </c>
      <c r="AC149" s="14"/>
      <c r="AD149" s="253" t="e">
        <f>0.0001*VLOOKUP($B149,'844400'!$M$171:$U$237,7,FALSE)/VLOOKUP($B149,'844400'!$M$171:$U$237,9,FALSE)</f>
        <v>#VALUE!</v>
      </c>
      <c r="AE149" s="368">
        <f>IF(ABS(VLOOKUP($A149,'5 A data'!$A$5:$AB$1017,6,FALSE))&lt;4.5,IF(ABS(VLOOKUP($A149,'5 A data'!$A$5:$AB$1017,6,FALSE))&lt;1.25,0.0008,0.002),0.004)*VLOOKUP($A149,'5 A data'!$A$5:$AB$1017,7,FALSE)*25*RADIANS(1/60)*100</f>
        <v>0</v>
      </c>
      <c r="AF149" s="23">
        <f t="shared" si="284"/>
        <v>0</v>
      </c>
      <c r="AG149" s="29" t="e">
        <f t="shared" si="285"/>
        <v>#VALUE!</v>
      </c>
      <c r="AH149" s="4">
        <f t="shared" si="291"/>
        <v>0</v>
      </c>
      <c r="AI149" s="4" t="e">
        <f t="shared" si="286"/>
        <v>#VALUE!</v>
      </c>
      <c r="AJ149" s="4">
        <f t="shared" si="263"/>
        <v>5.0000000000000001E-4</v>
      </c>
      <c r="AK149" s="21">
        <f>VLOOKUP($D149,Uncertainties!$B$35:$D$41,3,FALSE)</f>
        <v>0</v>
      </c>
      <c r="AL149" s="21"/>
      <c r="AM149" s="371">
        <f>SQRT((VLOOKUP($A149,'5 A data'!$A$5:$AB$1017,7,FALSE)*mutual_ind)^2+(aux_CT_phase*J149)^2)</f>
        <v>0</v>
      </c>
      <c r="AN149" s="29" t="e">
        <f t="shared" si="287"/>
        <v>#VALUE!</v>
      </c>
      <c r="AO149" s="14" t="e">
        <f t="shared" si="288"/>
        <v>#VALUE!</v>
      </c>
      <c r="AP149" s="27" t="e">
        <f t="shared" si="289"/>
        <v>#VALUE!</v>
      </c>
    </row>
    <row r="150" spans="1:42" x14ac:dyDescent="0.2">
      <c r="A150">
        <v>240</v>
      </c>
      <c r="P150" s="100"/>
      <c r="R150" s="42"/>
      <c r="AD150" s="252"/>
    </row>
    <row r="151" spans="1:42" x14ac:dyDescent="0.2">
      <c r="A151" s="69">
        <v>241</v>
      </c>
      <c r="B151" s="101" t="e">
        <f>MID(D151,FIND("AT range",D151,1)-5,4)</f>
        <v>#VALUE!</v>
      </c>
      <c r="C151" t="s">
        <v>114</v>
      </c>
      <c r="D151" s="60">
        <f>VLOOKUP($A151,'5 A data'!$A$5:$AB$418,2,FALSE)</f>
        <v>0</v>
      </c>
      <c r="P151" s="100"/>
      <c r="R151" s="42"/>
      <c r="Z151" s="29"/>
      <c r="AA151" s="25"/>
      <c r="AD151" s="252"/>
      <c r="AN151" s="29"/>
      <c r="AO151" s="14"/>
    </row>
    <row r="152" spans="1:42" x14ac:dyDescent="0.2">
      <c r="A152">
        <v>242</v>
      </c>
      <c r="C152" s="19"/>
      <c r="M152" s="533" t="s">
        <v>161</v>
      </c>
      <c r="N152" s="533"/>
      <c r="O152" s="19"/>
      <c r="P152" s="100"/>
      <c r="R152" s="42"/>
      <c r="Z152" s="29"/>
      <c r="AA152" s="25"/>
      <c r="AD152" s="252"/>
      <c r="AN152" s="29"/>
      <c r="AO152" s="14"/>
    </row>
    <row r="153" spans="1:42" ht="51" x14ac:dyDescent="0.2">
      <c r="A153" s="69">
        <v>243</v>
      </c>
      <c r="B153" s="5" t="e">
        <f>B151&amp;D153</f>
        <v>#VALUE!</v>
      </c>
      <c r="C153" s="19" t="str">
        <f>VLOOKUP($A153,'5 A data'!$A$5:$AB$419,3,FALSE)</f>
        <v>UUT Secondary terminals</v>
      </c>
      <c r="D153" s="19">
        <f>ROUND(VLOOKUP($A153,'5 A data'!$A$5:$AB$519,9,FALSE),0)</f>
        <v>0</v>
      </c>
      <c r="E153" s="23">
        <f>TestSetRatioCor</f>
        <v>0.99936709902044762</v>
      </c>
      <c r="F153" s="23">
        <f>TestSetPhaseCor</f>
        <v>1.0011822386327505</v>
      </c>
      <c r="G153" s="23" t="e">
        <f>VLOOKUP($B153,'844400'!$M$171:$U$237,4,FALSE)/10000</f>
        <v>#VALUE!</v>
      </c>
      <c r="H153" s="23" t="e">
        <f>VLOOKUP($B153,'844400'!$M$171:$U$237,5,FALSE)/10000</f>
        <v>#VALUE!</v>
      </c>
      <c r="I153" s="19">
        <f>VLOOKUP($A153,'5 A data'!$A$5:$AB$519,10,FALSE)</f>
        <v>0</v>
      </c>
      <c r="J153" s="32">
        <f>VLOOKUP($A153,'5 A data'!$A$5:$AB$519,11,FALSE)</f>
        <v>0</v>
      </c>
      <c r="K153" s="22">
        <f t="shared" ref="K153:L155" si="293">I153-I161</f>
        <v>0</v>
      </c>
      <c r="L153" s="22">
        <f t="shared" si="293"/>
        <v>0</v>
      </c>
      <c r="M153" s="31" t="e">
        <f t="shared" ref="M153:N155" si="294">I153*E153+G153-K153*($C153-high_burden)/($C153-$C161)</f>
        <v>#VALUE!</v>
      </c>
      <c r="N153" s="31" t="e">
        <f t="shared" si="294"/>
        <v>#VALUE!</v>
      </c>
      <c r="O153" s="20"/>
      <c r="P153" s="376" t="e">
        <f>0.0001*VLOOKUP($B153,'844400'!$M$171:$U$237,6,FALSE)/VLOOKUP($B153,'844400'!$M$171:$U$237,8,FALSE)</f>
        <v>#VALUE!</v>
      </c>
      <c r="Q153" s="59">
        <f>VLOOKUP($A153,'5 A data'!$A$5:$AB$519,7,FALSE)*slidewire_res</f>
        <v>0</v>
      </c>
      <c r="R153" s="349">
        <f t="shared" ref="R153:R159" si="295">current_coef*(I153-I154)*IF(I154=0,0,1)</f>
        <v>0</v>
      </c>
      <c r="S153" s="21">
        <v>0</v>
      </c>
      <c r="T153" s="21">
        <f>BurdenUnc*K153</f>
        <v>0</v>
      </c>
      <c r="U153" s="23" t="e">
        <f t="shared" ref="U153:U159" si="296">0.004*M153</f>
        <v>#VALUE!</v>
      </c>
      <c r="V153" s="23">
        <f t="shared" ref="V153:V167" si="297">earthing_Re</f>
        <v>5.0000000000000001E-4</v>
      </c>
      <c r="W153" s="23" t="e">
        <f>VLOOKUP($D153,Uncertainties!$B$35:$D$41,2,FALSE)</f>
        <v>#N/A</v>
      </c>
      <c r="X153" s="23"/>
      <c r="Y153" s="24">
        <f t="shared" ref="Y153:Y159" si="298">I153*aux_CT_ratio</f>
        <v>0</v>
      </c>
      <c r="Z153" s="23" t="e">
        <f t="shared" ref="Z153:Z159" si="299">SQRT(SUMSQ(P153:Y153))</f>
        <v>#VALUE!</v>
      </c>
      <c r="AA153" s="25" t="e">
        <f t="shared" ref="AA153:AA159" si="300">DoF_A(P153:Y153,$P$7:$Y$7)</f>
        <v>#VALUE!</v>
      </c>
      <c r="AB153" s="26" t="e">
        <f t="shared" ref="AB153:AB159" si="301">CoverFactor(AA153)</f>
        <v>#VALUE!</v>
      </c>
      <c r="AC153" s="14"/>
      <c r="AD153" s="253" t="e">
        <f>0.0001*VLOOKUP($B153,'844400'!$M$171:$U$237,7,FALSE)/VLOOKUP($B153,'844400'!$M$171:$U$237,9,FALSE)</f>
        <v>#VALUE!</v>
      </c>
      <c r="AE153" s="368">
        <f>IF(ABS(VLOOKUP($A153,'5 A data'!$A$5:$AB$1017,6,FALSE))&lt;4.5,IF(ABS(VLOOKUP($A153,'5 A data'!$A$5:$AB$1017,6,FALSE))&lt;1.25,0.0008,0.002),0.004)*VLOOKUP($A153,'5 A data'!$A$5:$AB$1017,7,FALSE)*25*RADIANS(1/60)*100</f>
        <v>0</v>
      </c>
      <c r="AF153" s="23">
        <f>current_coef*(J153-J154)*IF(J154=0,0,1)</f>
        <v>0</v>
      </c>
      <c r="AG153" s="29" t="e">
        <f t="shared" ref="AG153:AG159" si="302">0.001*N153</f>
        <v>#VALUE!</v>
      </c>
      <c r="AH153" s="4">
        <f>BurdenUnc*L153</f>
        <v>0</v>
      </c>
      <c r="AI153" s="4" t="e">
        <f t="shared" ref="AI153:AI159" si="303">0.004*N153</f>
        <v>#VALUE!</v>
      </c>
      <c r="AJ153" s="4">
        <f t="shared" ref="AJ153:AJ167" si="304">earthing_Im</f>
        <v>5.0000000000000001E-4</v>
      </c>
      <c r="AK153" s="21" t="e">
        <f>VLOOKUP($D153,Uncertainties!$B$35:$D$41,3,FALSE)</f>
        <v>#N/A</v>
      </c>
      <c r="AL153" s="21"/>
      <c r="AM153" s="371">
        <f>SQRT((VLOOKUP($A153,'5 A data'!$A$5:$AB$1017,7,FALSE)*mutual_ind)^2+(aux_CT_phase*J153)^2)</f>
        <v>0</v>
      </c>
      <c r="AN153" s="29" t="e">
        <f t="shared" ref="AN153:AN159" si="305">SQRT(SUMSQ(AD153:AM153))</f>
        <v>#VALUE!</v>
      </c>
      <c r="AO153" s="14" t="e">
        <f t="shared" ref="AO153:AO159" si="306">DoF_A(AD153:AM153,$AD$7:$AM$7)</f>
        <v>#VALUE!</v>
      </c>
      <c r="AP153" s="27" t="e">
        <f t="shared" ref="AP153:AP159" si="307">CoverFactor(AO153)</f>
        <v>#VALUE!</v>
      </c>
    </row>
    <row r="154" spans="1:42" x14ac:dyDescent="0.2">
      <c r="A154">
        <v>244</v>
      </c>
      <c r="B154" s="5" t="e">
        <f>B151&amp;D154</f>
        <v>#VALUE!</v>
      </c>
      <c r="C154" s="19">
        <f>VLOOKUP($A154,'5 A data'!$A$5:$AB$519,3,FALSE)</f>
        <v>2.2000000000000006E-2</v>
      </c>
      <c r="D154" s="165">
        <f>ROUND(VLOOKUP($A154,'5 A data'!$A$5:$AB$519,9,FALSE)/10,0)*10</f>
        <v>10</v>
      </c>
      <c r="E154" s="23">
        <f t="shared" ref="E154:E167" si="308">TestSetRatioCor</f>
        <v>0.99936709902044762</v>
      </c>
      <c r="F154" s="23">
        <f t="shared" ref="F154:F167" si="309">TestSetPhaseCor</f>
        <v>1.0011822386327505</v>
      </c>
      <c r="G154" s="23" t="e">
        <f>VLOOKUP($B154,'844400'!$M$171:$U$237,4,FALSE)/10000</f>
        <v>#VALUE!</v>
      </c>
      <c r="H154" s="23" t="e">
        <f>VLOOKUP($B154,'844400'!$M$171:$U$237,5,FALSE)/10000</f>
        <v>#VALUE!</v>
      </c>
      <c r="I154" s="19">
        <f>VLOOKUP($A154,'5 A data'!$A$5:$AB$519,10,FALSE)</f>
        <v>0</v>
      </c>
      <c r="J154" s="32">
        <f>VLOOKUP($A154,'5 A data'!$A$5:$AB$519,11,FALSE)</f>
        <v>0</v>
      </c>
      <c r="K154" s="22">
        <f t="shared" si="293"/>
        <v>0</v>
      </c>
      <c r="L154" s="22">
        <f t="shared" si="293"/>
        <v>0</v>
      </c>
      <c r="M154" s="31" t="e">
        <f t="shared" si="294"/>
        <v>#VALUE!</v>
      </c>
      <c r="N154" s="31" t="e">
        <f t="shared" si="294"/>
        <v>#VALUE!</v>
      </c>
      <c r="O154" s="20"/>
      <c r="P154" s="376" t="e">
        <f>0.0001*VLOOKUP($B154,'844400'!$M$171:$U$237,6,FALSE)/VLOOKUP($B154,'844400'!$M$171:$U$237,8,FALSE)</f>
        <v>#VALUE!</v>
      </c>
      <c r="Q154" s="59">
        <f>VLOOKUP($A154,'5 A data'!$A$5:$AB$519,7,FALSE)*slidewire_res</f>
        <v>0</v>
      </c>
      <c r="R154" s="349">
        <f t="shared" si="295"/>
        <v>0</v>
      </c>
      <c r="S154" s="4">
        <v>0</v>
      </c>
      <c r="T154" s="21">
        <f t="shared" ref="T154:T159" si="310">BurdenUnc*K154</f>
        <v>0</v>
      </c>
      <c r="U154" s="29" t="e">
        <f t="shared" si="296"/>
        <v>#VALUE!</v>
      </c>
      <c r="V154" s="29">
        <f t="shared" si="297"/>
        <v>5.0000000000000001E-4</v>
      </c>
      <c r="W154" s="23">
        <f>VLOOKUP($D154,Uncertainties!$B$35:$D$41,2,FALSE)</f>
        <v>0</v>
      </c>
      <c r="X154" s="23"/>
      <c r="Y154" s="24">
        <f t="shared" si="298"/>
        <v>0</v>
      </c>
      <c r="Z154" s="23" t="e">
        <f t="shared" si="299"/>
        <v>#VALUE!</v>
      </c>
      <c r="AA154" s="25" t="e">
        <f t="shared" si="300"/>
        <v>#VALUE!</v>
      </c>
      <c r="AB154" s="26" t="e">
        <f t="shared" si="301"/>
        <v>#VALUE!</v>
      </c>
      <c r="AC154" s="14"/>
      <c r="AD154" s="253" t="e">
        <f>0.0001*VLOOKUP($B154,'844400'!$M$171:$U$237,7,FALSE)/VLOOKUP($B154,'844400'!$M$171:$U$237,9,FALSE)</f>
        <v>#VALUE!</v>
      </c>
      <c r="AE154" s="368">
        <f>IF(ABS(VLOOKUP($A154,'5 A data'!$A$5:$AB$1017,6,FALSE))&lt;4.5,IF(ABS(VLOOKUP($A154,'5 A data'!$A$5:$AB$1017,6,FALSE))&lt;1.25,0.0008,0.002),0.004)*VLOOKUP($A154,'5 A data'!$A$5:$AB$1017,7,FALSE)*25*RADIANS(1/60)*100</f>
        <v>0</v>
      </c>
      <c r="AF154" s="23">
        <f t="shared" ref="AF154:AF159" si="311">current_coef*(J154-J155)*IF(J155=0,0,1)</f>
        <v>0</v>
      </c>
      <c r="AG154" s="29" t="e">
        <f t="shared" si="302"/>
        <v>#VALUE!</v>
      </c>
      <c r="AH154" s="4">
        <f t="shared" ref="AH154:AH159" si="312">BurdenUnc*L154</f>
        <v>0</v>
      </c>
      <c r="AI154" s="4" t="e">
        <f t="shared" si="303"/>
        <v>#VALUE!</v>
      </c>
      <c r="AJ154" s="4">
        <f t="shared" si="304"/>
        <v>5.0000000000000001E-4</v>
      </c>
      <c r="AK154" s="21">
        <f>VLOOKUP($D154,Uncertainties!$B$35:$D$41,3,FALSE)</f>
        <v>0</v>
      </c>
      <c r="AL154" s="21"/>
      <c r="AM154" s="371">
        <f>SQRT((VLOOKUP($A154,'5 A data'!$A$5:$AB$1017,7,FALSE)*mutual_ind)^2+(aux_CT_phase*J154)^2)</f>
        <v>0</v>
      </c>
      <c r="AN154" s="29" t="e">
        <f t="shared" si="305"/>
        <v>#VALUE!</v>
      </c>
      <c r="AO154" s="14" t="e">
        <f t="shared" si="306"/>
        <v>#VALUE!</v>
      </c>
      <c r="AP154" s="27" t="e">
        <f t="shared" si="307"/>
        <v>#VALUE!</v>
      </c>
    </row>
    <row r="155" spans="1:42" x14ac:dyDescent="0.2">
      <c r="A155" s="69">
        <v>245</v>
      </c>
      <c r="B155" s="5" t="e">
        <f>B151&amp;D155</f>
        <v>#VALUE!</v>
      </c>
      <c r="C155" s="19">
        <f>VLOOKUP($A155,'5 A data'!$A$5:$AB$519,3,FALSE)</f>
        <v>2.2000000000000006E-2</v>
      </c>
      <c r="D155" s="165">
        <f>ROUND(VLOOKUP($A155,'5 A data'!$A$5:$AB$519,9,FALSE)/10,0)*10</f>
        <v>10</v>
      </c>
      <c r="E155" s="23">
        <f t="shared" si="308"/>
        <v>0.99936709902044762</v>
      </c>
      <c r="F155" s="23">
        <f t="shared" si="309"/>
        <v>1.0011822386327505</v>
      </c>
      <c r="G155" s="23" t="e">
        <f>VLOOKUP($B155,'844400'!$M$171:$U$237,4,FALSE)/10000</f>
        <v>#VALUE!</v>
      </c>
      <c r="H155" s="23" t="e">
        <f>VLOOKUP($B155,'844400'!$M$171:$U$237,5,FALSE)/10000</f>
        <v>#VALUE!</v>
      </c>
      <c r="I155" s="19">
        <f>VLOOKUP($A155,'5 A data'!$A$5:$AB$519,10,FALSE)</f>
        <v>0</v>
      </c>
      <c r="J155" s="32">
        <f>VLOOKUP($A155,'5 A data'!$A$5:$AB$519,11,FALSE)</f>
        <v>0</v>
      </c>
      <c r="K155" s="22">
        <f t="shared" si="293"/>
        <v>0</v>
      </c>
      <c r="L155" s="22">
        <f t="shared" si="293"/>
        <v>0</v>
      </c>
      <c r="M155" s="31" t="e">
        <f t="shared" si="294"/>
        <v>#VALUE!</v>
      </c>
      <c r="N155" s="31" t="e">
        <f t="shared" si="294"/>
        <v>#VALUE!</v>
      </c>
      <c r="O155" s="20"/>
      <c r="P155" s="376" t="e">
        <f>0.0001*VLOOKUP($B155,'844400'!$M$171:$U$237,6,FALSE)/VLOOKUP($B155,'844400'!$M$171:$U$237,8,FALSE)</f>
        <v>#VALUE!</v>
      </c>
      <c r="Q155" s="59">
        <f>VLOOKUP($A155,'5 A data'!$A$5:$AB$519,7,FALSE)*slidewire_res</f>
        <v>0</v>
      </c>
      <c r="R155" s="349">
        <f t="shared" si="295"/>
        <v>0</v>
      </c>
      <c r="S155" s="4">
        <v>0</v>
      </c>
      <c r="T155" s="21">
        <f t="shared" si="310"/>
        <v>0</v>
      </c>
      <c r="U155" s="29" t="e">
        <f t="shared" si="296"/>
        <v>#VALUE!</v>
      </c>
      <c r="V155" s="29">
        <f t="shared" si="297"/>
        <v>5.0000000000000001E-4</v>
      </c>
      <c r="W155" s="23">
        <f>VLOOKUP($D155,Uncertainties!$B$35:$D$41,2,FALSE)</f>
        <v>0</v>
      </c>
      <c r="X155" s="23"/>
      <c r="Y155" s="24">
        <f t="shared" si="298"/>
        <v>0</v>
      </c>
      <c r="Z155" s="23" t="e">
        <f t="shared" si="299"/>
        <v>#VALUE!</v>
      </c>
      <c r="AA155" s="25" t="e">
        <f t="shared" si="300"/>
        <v>#VALUE!</v>
      </c>
      <c r="AB155" s="26" t="e">
        <f t="shared" si="301"/>
        <v>#VALUE!</v>
      </c>
      <c r="AC155" s="14"/>
      <c r="AD155" s="253" t="e">
        <f>0.0001*VLOOKUP($B155,'844400'!$M$171:$U$237,7,FALSE)/VLOOKUP($B155,'844400'!$M$171:$U$237,9,FALSE)</f>
        <v>#VALUE!</v>
      </c>
      <c r="AE155" s="368">
        <f>IF(ABS(VLOOKUP($A155,'5 A data'!$A$5:$AB$1017,6,FALSE))&lt;4.5,IF(ABS(VLOOKUP($A155,'5 A data'!$A$5:$AB$1017,6,FALSE))&lt;1.25,0.0008,0.002),0.004)*VLOOKUP($A155,'5 A data'!$A$5:$AB$1017,7,FALSE)*25*RADIANS(1/60)*100</f>
        <v>0</v>
      </c>
      <c r="AF155" s="23">
        <f t="shared" si="311"/>
        <v>0</v>
      </c>
      <c r="AG155" s="29" t="e">
        <f t="shared" si="302"/>
        <v>#VALUE!</v>
      </c>
      <c r="AH155" s="4">
        <f t="shared" si="312"/>
        <v>0</v>
      </c>
      <c r="AI155" s="4" t="e">
        <f t="shared" si="303"/>
        <v>#VALUE!</v>
      </c>
      <c r="AJ155" s="4">
        <f t="shared" si="304"/>
        <v>5.0000000000000001E-4</v>
      </c>
      <c r="AK155" s="21">
        <f>VLOOKUP($D155,Uncertainties!$B$35:$D$41,3,FALSE)</f>
        <v>0</v>
      </c>
      <c r="AL155" s="21"/>
      <c r="AM155" s="371">
        <f>SQRT((VLOOKUP($A155,'5 A data'!$A$5:$AB$1017,7,FALSE)*mutual_ind)^2+(aux_CT_phase*J155)^2)</f>
        <v>0</v>
      </c>
      <c r="AN155" s="29" t="e">
        <f t="shared" si="305"/>
        <v>#VALUE!</v>
      </c>
      <c r="AO155" s="14" t="e">
        <f t="shared" si="306"/>
        <v>#VALUE!</v>
      </c>
      <c r="AP155" s="27" t="e">
        <f t="shared" si="307"/>
        <v>#VALUE!</v>
      </c>
    </row>
    <row r="156" spans="1:42" x14ac:dyDescent="0.2">
      <c r="A156">
        <v>246</v>
      </c>
      <c r="B156" s="5" t="e">
        <f>B151&amp;D156</f>
        <v>#VALUE!</v>
      </c>
      <c r="C156" s="19">
        <f>VLOOKUP($A156,'5 A data'!$A$5:$AB$519,3,FALSE)</f>
        <v>2.2000000000000006E-2</v>
      </c>
      <c r="D156" s="165">
        <f>ROUND(VLOOKUP($A156,'5 A data'!$A$5:$AB$519,9,FALSE)/10,0)*10</f>
        <v>20</v>
      </c>
      <c r="E156" s="23">
        <f t="shared" si="308"/>
        <v>0.99936709902044762</v>
      </c>
      <c r="F156" s="23">
        <f t="shared" si="309"/>
        <v>1.0011822386327505</v>
      </c>
      <c r="G156" s="23" t="e">
        <f>VLOOKUP($B156,'844400'!$M$171:$U$237,4,FALSE)/10000</f>
        <v>#VALUE!</v>
      </c>
      <c r="H156" s="23" t="e">
        <f>VLOOKUP($B156,'844400'!$M$171:$U$237,5,FALSE)/10000</f>
        <v>#VALUE!</v>
      </c>
      <c r="I156" s="19">
        <f>VLOOKUP($A156,'5 A data'!$A$5:$AB$519,10,FALSE)</f>
        <v>0</v>
      </c>
      <c r="J156" s="32">
        <f>VLOOKUP($A156,'5 A data'!$A$5:$AB$519,11,FALSE)</f>
        <v>0</v>
      </c>
      <c r="K156" s="22">
        <f>I156-I164</f>
        <v>0</v>
      </c>
      <c r="L156" s="22">
        <f>J156-J164</f>
        <v>0</v>
      </c>
      <c r="M156" s="31" t="e">
        <f>I156*E156+G156-K156*($C156-high_burden)/($C156-$C164)</f>
        <v>#VALUE!</v>
      </c>
      <c r="N156" s="31" t="e">
        <f>J156*F156+H156-L156*($C156-high_burden)/($C156-$C164)</f>
        <v>#VALUE!</v>
      </c>
      <c r="O156" s="20"/>
      <c r="P156" s="376" t="e">
        <f>0.0001*VLOOKUP($B156,'844400'!$M$171:$U$237,6,FALSE)/VLOOKUP($B156,'844400'!$M$171:$U$237,8,FALSE)</f>
        <v>#VALUE!</v>
      </c>
      <c r="Q156" s="59">
        <f>VLOOKUP($A156,'5 A data'!$A$5:$AB$519,7,FALSE)*slidewire_res</f>
        <v>0</v>
      </c>
      <c r="R156" s="349">
        <f t="shared" si="295"/>
        <v>0</v>
      </c>
      <c r="S156" s="4">
        <v>0</v>
      </c>
      <c r="T156" s="21">
        <f t="shared" si="310"/>
        <v>0</v>
      </c>
      <c r="U156" s="29" t="e">
        <f t="shared" si="296"/>
        <v>#VALUE!</v>
      </c>
      <c r="V156" s="29">
        <f t="shared" si="297"/>
        <v>5.0000000000000001E-4</v>
      </c>
      <c r="W156" s="23">
        <f>VLOOKUP($D156,Uncertainties!$B$35:$D$41,2,FALSE)</f>
        <v>0</v>
      </c>
      <c r="X156" s="23"/>
      <c r="Y156" s="24">
        <f t="shared" si="298"/>
        <v>0</v>
      </c>
      <c r="Z156" s="23" t="e">
        <f t="shared" si="299"/>
        <v>#VALUE!</v>
      </c>
      <c r="AA156" s="25" t="e">
        <f t="shared" si="300"/>
        <v>#VALUE!</v>
      </c>
      <c r="AB156" s="26" t="e">
        <f t="shared" si="301"/>
        <v>#VALUE!</v>
      </c>
      <c r="AC156" s="14"/>
      <c r="AD156" s="253" t="e">
        <f>0.0001*VLOOKUP($B156,'844400'!$M$171:$U$237,7,FALSE)/VLOOKUP($B156,'844400'!$M$171:$U$237,9,FALSE)</f>
        <v>#VALUE!</v>
      </c>
      <c r="AE156" s="368">
        <f>IF(ABS(VLOOKUP($A156,'5 A data'!$A$5:$AB$1017,6,FALSE))&lt;4.5,IF(ABS(VLOOKUP($A156,'5 A data'!$A$5:$AB$1017,6,FALSE))&lt;1.25,0.0008,0.002),0.004)*VLOOKUP($A156,'5 A data'!$A$5:$AB$1017,7,FALSE)*25*RADIANS(1/60)*100</f>
        <v>0</v>
      </c>
      <c r="AF156" s="23">
        <f t="shared" si="311"/>
        <v>0</v>
      </c>
      <c r="AG156" s="29" t="e">
        <f t="shared" si="302"/>
        <v>#VALUE!</v>
      </c>
      <c r="AH156" s="4">
        <f t="shared" si="312"/>
        <v>0</v>
      </c>
      <c r="AI156" s="4" t="e">
        <f t="shared" si="303"/>
        <v>#VALUE!</v>
      </c>
      <c r="AJ156" s="4">
        <f t="shared" si="304"/>
        <v>5.0000000000000001E-4</v>
      </c>
      <c r="AK156" s="21">
        <f>VLOOKUP($D156,Uncertainties!$B$35:$D$41,3,FALSE)</f>
        <v>0</v>
      </c>
      <c r="AL156" s="21"/>
      <c r="AM156" s="371">
        <f>SQRT((VLOOKUP($A156,'5 A data'!$A$5:$AB$1017,7,FALSE)*mutual_ind)^2+(aux_CT_phase*J156)^2)</f>
        <v>0</v>
      </c>
      <c r="AN156" s="29" t="e">
        <f t="shared" si="305"/>
        <v>#VALUE!</v>
      </c>
      <c r="AO156" s="14" t="e">
        <f t="shared" si="306"/>
        <v>#VALUE!</v>
      </c>
      <c r="AP156" s="27" t="e">
        <f t="shared" si="307"/>
        <v>#VALUE!</v>
      </c>
    </row>
    <row r="157" spans="1:42" x14ac:dyDescent="0.2">
      <c r="A157" s="69">
        <v>247</v>
      </c>
      <c r="B157" s="5" t="e">
        <f>B151&amp;D157</f>
        <v>#VALUE!</v>
      </c>
      <c r="C157" s="19">
        <f>VLOOKUP($A157,'5 A data'!$A$5:$AB$519,3,FALSE)</f>
        <v>2.2000000000000006E-2</v>
      </c>
      <c r="D157" s="165">
        <f>ROUND(VLOOKUP($A157,'5 A data'!$A$5:$AB$519,9,FALSE)/10,0)*10</f>
        <v>40</v>
      </c>
      <c r="E157" s="23">
        <f t="shared" si="308"/>
        <v>0.99936709902044762</v>
      </c>
      <c r="F157" s="23">
        <f t="shared" si="309"/>
        <v>1.0011822386327505</v>
      </c>
      <c r="G157" s="23" t="e">
        <f>VLOOKUP($B157,'844400'!$M$171:$U$237,4,FALSE)/10000</f>
        <v>#VALUE!</v>
      </c>
      <c r="H157" s="23" t="e">
        <f>VLOOKUP($B157,'844400'!$M$171:$U$237,5,FALSE)/10000</f>
        <v>#VALUE!</v>
      </c>
      <c r="I157" s="19">
        <f>VLOOKUP($A157,'5 A data'!$A$5:$AB$519,10,FALSE)</f>
        <v>0</v>
      </c>
      <c r="J157" s="32">
        <f>VLOOKUP($A157,'5 A data'!$A$5:$AB$519,11,FALSE)</f>
        <v>0</v>
      </c>
      <c r="K157" s="22">
        <f t="shared" ref="K157:L159" si="313">I157-I165</f>
        <v>0</v>
      </c>
      <c r="L157" s="22">
        <f t="shared" si="313"/>
        <v>0</v>
      </c>
      <c r="M157" s="31" t="e">
        <f t="shared" ref="M157:N159" si="314">I157*E157+G157-K157*($C157-high_burden)/($C157-$C165)</f>
        <v>#VALUE!</v>
      </c>
      <c r="N157" s="31" t="e">
        <f t="shared" si="314"/>
        <v>#VALUE!</v>
      </c>
      <c r="O157" s="20"/>
      <c r="P157" s="376" t="e">
        <f>0.0001*VLOOKUP($B157,'844400'!$M$171:$U$237,6,FALSE)/VLOOKUP($B157,'844400'!$M$171:$U$237,8,FALSE)</f>
        <v>#VALUE!</v>
      </c>
      <c r="Q157" s="59">
        <f>VLOOKUP($A157,'5 A data'!$A$5:$AB$519,7,FALSE)*slidewire_res</f>
        <v>0</v>
      </c>
      <c r="R157" s="349">
        <f t="shared" si="295"/>
        <v>0</v>
      </c>
      <c r="S157" s="4">
        <v>0</v>
      </c>
      <c r="T157" s="21">
        <f t="shared" si="310"/>
        <v>0</v>
      </c>
      <c r="U157" s="29" t="e">
        <f t="shared" si="296"/>
        <v>#VALUE!</v>
      </c>
      <c r="V157" s="29">
        <f t="shared" si="297"/>
        <v>5.0000000000000001E-4</v>
      </c>
      <c r="W157" s="23">
        <f>VLOOKUP($D157,Uncertainties!$B$35:$D$41,2,FALSE)</f>
        <v>0</v>
      </c>
      <c r="X157" s="23"/>
      <c r="Y157" s="24">
        <f t="shared" si="298"/>
        <v>0</v>
      </c>
      <c r="Z157" s="23" t="e">
        <f t="shared" si="299"/>
        <v>#VALUE!</v>
      </c>
      <c r="AA157" s="25" t="e">
        <f t="shared" si="300"/>
        <v>#VALUE!</v>
      </c>
      <c r="AB157" s="26" t="e">
        <f t="shared" si="301"/>
        <v>#VALUE!</v>
      </c>
      <c r="AC157" s="14"/>
      <c r="AD157" s="253" t="e">
        <f>0.0001*VLOOKUP($B157,'844400'!$M$171:$U$237,7,FALSE)/VLOOKUP($B157,'844400'!$M$171:$U$237,9,FALSE)</f>
        <v>#VALUE!</v>
      </c>
      <c r="AE157" s="368">
        <f>IF(ABS(VLOOKUP($A157,'5 A data'!$A$5:$AB$1017,6,FALSE))&lt;4.5,IF(ABS(VLOOKUP($A157,'5 A data'!$A$5:$AB$1017,6,FALSE))&lt;1.25,0.0008,0.002),0.004)*VLOOKUP($A157,'5 A data'!$A$5:$AB$1017,7,FALSE)*25*RADIANS(1/60)*100</f>
        <v>0</v>
      </c>
      <c r="AF157" s="23">
        <f t="shared" si="311"/>
        <v>0</v>
      </c>
      <c r="AG157" s="29" t="e">
        <f t="shared" si="302"/>
        <v>#VALUE!</v>
      </c>
      <c r="AH157" s="4">
        <f t="shared" si="312"/>
        <v>0</v>
      </c>
      <c r="AI157" s="4" t="e">
        <f t="shared" si="303"/>
        <v>#VALUE!</v>
      </c>
      <c r="AJ157" s="4">
        <f t="shared" si="304"/>
        <v>5.0000000000000001E-4</v>
      </c>
      <c r="AK157" s="21">
        <f>VLOOKUP($D157,Uncertainties!$B$35:$D$41,3,FALSE)</f>
        <v>0</v>
      </c>
      <c r="AL157" s="21"/>
      <c r="AM157" s="371">
        <f>SQRT((VLOOKUP($A157,'5 A data'!$A$5:$AB$1017,7,FALSE)*mutual_ind)^2+(aux_CT_phase*J157)^2)</f>
        <v>0</v>
      </c>
      <c r="AN157" s="29" t="e">
        <f t="shared" si="305"/>
        <v>#VALUE!</v>
      </c>
      <c r="AO157" s="14" t="e">
        <f t="shared" si="306"/>
        <v>#VALUE!</v>
      </c>
      <c r="AP157" s="27" t="e">
        <f t="shared" si="307"/>
        <v>#VALUE!</v>
      </c>
    </row>
    <row r="158" spans="1:42" x14ac:dyDescent="0.2">
      <c r="A158">
        <v>248</v>
      </c>
      <c r="B158" s="5" t="e">
        <f>B151&amp;D158</f>
        <v>#VALUE!</v>
      </c>
      <c r="C158" s="19">
        <f>VLOOKUP($A158,'5 A data'!$A$5:$AB$519,3,FALSE)</f>
        <v>2.2000000000000006E-2</v>
      </c>
      <c r="D158" s="166">
        <f>ROUND(VLOOKUP($A158,'5 A data'!$A$5:$AB$519,9,FALSE)/10,0)*10</f>
        <v>60</v>
      </c>
      <c r="E158" s="23">
        <f t="shared" si="308"/>
        <v>0.99936709902044762</v>
      </c>
      <c r="F158" s="23">
        <f t="shared" si="309"/>
        <v>1.0011822386327505</v>
      </c>
      <c r="G158" s="23" t="e">
        <f>VLOOKUP($B158,'844400'!$M$171:$U$237,4,FALSE)/10000</f>
        <v>#VALUE!</v>
      </c>
      <c r="H158" s="23" t="e">
        <f>VLOOKUP($B158,'844400'!$M$171:$U$237,5,FALSE)/10000</f>
        <v>#VALUE!</v>
      </c>
      <c r="I158" s="19">
        <f>VLOOKUP($A158,'5 A data'!$A$5:$AB$519,10,FALSE)</f>
        <v>0</v>
      </c>
      <c r="J158" s="32">
        <f>VLOOKUP($A158,'5 A data'!$A$5:$AB$519,11,FALSE)</f>
        <v>0</v>
      </c>
      <c r="K158" s="22">
        <f t="shared" si="313"/>
        <v>0</v>
      </c>
      <c r="L158" s="22">
        <f t="shared" si="313"/>
        <v>0</v>
      </c>
      <c r="M158" s="31" t="e">
        <f t="shared" si="314"/>
        <v>#VALUE!</v>
      </c>
      <c r="N158" s="31" t="e">
        <f t="shared" si="314"/>
        <v>#VALUE!</v>
      </c>
      <c r="O158" s="20"/>
      <c r="P158" s="376" t="e">
        <f>0.0001*VLOOKUP($B158,'844400'!$M$171:$U$237,6,FALSE)/VLOOKUP($B158,'844400'!$M$171:$U$237,8,FALSE)</f>
        <v>#VALUE!</v>
      </c>
      <c r="Q158" s="59">
        <f>VLOOKUP($A158,'5 A data'!$A$5:$AB$519,7,FALSE)*slidewire_res</f>
        <v>0</v>
      </c>
      <c r="R158" s="349">
        <f t="shared" si="295"/>
        <v>0</v>
      </c>
      <c r="S158" s="4">
        <v>0</v>
      </c>
      <c r="T158" s="21">
        <f t="shared" si="310"/>
        <v>0</v>
      </c>
      <c r="U158" s="29" t="e">
        <f t="shared" si="296"/>
        <v>#VALUE!</v>
      </c>
      <c r="V158" s="29">
        <f t="shared" si="297"/>
        <v>5.0000000000000001E-4</v>
      </c>
      <c r="W158" s="23">
        <f>VLOOKUP($D158,Uncertainties!$B$35:$D$41,2,FALSE)</f>
        <v>0</v>
      </c>
      <c r="X158" s="23"/>
      <c r="Y158" s="24">
        <f t="shared" si="298"/>
        <v>0</v>
      </c>
      <c r="Z158" s="23" t="e">
        <f t="shared" si="299"/>
        <v>#VALUE!</v>
      </c>
      <c r="AA158" s="25" t="e">
        <f t="shared" si="300"/>
        <v>#VALUE!</v>
      </c>
      <c r="AB158" s="26" t="e">
        <f t="shared" si="301"/>
        <v>#VALUE!</v>
      </c>
      <c r="AC158" s="14"/>
      <c r="AD158" s="253" t="e">
        <f>0.0001*VLOOKUP($B158,'844400'!$M$171:$U$237,7,FALSE)/VLOOKUP($B158,'844400'!$M$171:$U$237,9,FALSE)</f>
        <v>#VALUE!</v>
      </c>
      <c r="AE158" s="368">
        <f>IF(ABS(VLOOKUP($A158,'5 A data'!$A$5:$AB$1017,6,FALSE))&lt;4.5,IF(ABS(VLOOKUP($A158,'5 A data'!$A$5:$AB$1017,6,FALSE))&lt;1.25,0.0008,0.002),0.004)*VLOOKUP($A158,'5 A data'!$A$5:$AB$1017,7,FALSE)*25*RADIANS(1/60)*100</f>
        <v>0</v>
      </c>
      <c r="AF158" s="23">
        <f t="shared" si="311"/>
        <v>0</v>
      </c>
      <c r="AG158" s="29" t="e">
        <f t="shared" si="302"/>
        <v>#VALUE!</v>
      </c>
      <c r="AH158" s="4">
        <f t="shared" si="312"/>
        <v>0</v>
      </c>
      <c r="AI158" s="4" t="e">
        <f t="shared" si="303"/>
        <v>#VALUE!</v>
      </c>
      <c r="AJ158" s="4">
        <f t="shared" si="304"/>
        <v>5.0000000000000001E-4</v>
      </c>
      <c r="AK158" s="21">
        <f>VLOOKUP($D158,Uncertainties!$B$35:$D$41,3,FALSE)</f>
        <v>0</v>
      </c>
      <c r="AL158" s="21"/>
      <c r="AM158" s="371">
        <f>SQRT((VLOOKUP($A158,'5 A data'!$A$5:$AB$1017,7,FALSE)*mutual_ind)^2+(aux_CT_phase*J158)^2)</f>
        <v>0</v>
      </c>
      <c r="AN158" s="29" t="e">
        <f t="shared" si="305"/>
        <v>#VALUE!</v>
      </c>
      <c r="AO158" s="14" t="e">
        <f t="shared" si="306"/>
        <v>#VALUE!</v>
      </c>
      <c r="AP158" s="27" t="e">
        <f t="shared" si="307"/>
        <v>#VALUE!</v>
      </c>
    </row>
    <row r="159" spans="1:42" x14ac:dyDescent="0.2">
      <c r="A159" s="69">
        <v>249</v>
      </c>
      <c r="B159" s="5" t="e">
        <f>B151&amp;D159</f>
        <v>#VALUE!</v>
      </c>
      <c r="C159" s="19">
        <f>VLOOKUP($A159,'5 A data'!$A$5:$AB$519,3,FALSE)</f>
        <v>2.2000000000000006E-2</v>
      </c>
      <c r="D159" s="166">
        <f>ROUND(VLOOKUP($A159,'5 A data'!$A$5:$AB$519,9,FALSE)/10,0)*10</f>
        <v>100</v>
      </c>
      <c r="E159" s="23">
        <f t="shared" si="308"/>
        <v>0.99936709902044762</v>
      </c>
      <c r="F159" s="23">
        <f t="shared" si="309"/>
        <v>1.0011822386327505</v>
      </c>
      <c r="G159" s="23" t="e">
        <f>VLOOKUP($B159,'844400'!$M$171:$U$237,4,FALSE)/10000</f>
        <v>#VALUE!</v>
      </c>
      <c r="H159" s="23" t="e">
        <f>VLOOKUP($B159,'844400'!$M$171:$U$237,5,FALSE)/10000</f>
        <v>#VALUE!</v>
      </c>
      <c r="I159" s="19">
        <f>VLOOKUP($A159,'5 A data'!$A$5:$AB$519,10,FALSE)</f>
        <v>0</v>
      </c>
      <c r="J159" s="32">
        <f>VLOOKUP($A159,'5 A data'!$A$5:$AB$519,11,FALSE)</f>
        <v>0</v>
      </c>
      <c r="K159" s="22">
        <f t="shared" si="313"/>
        <v>0</v>
      </c>
      <c r="L159" s="22">
        <f t="shared" si="313"/>
        <v>0</v>
      </c>
      <c r="M159" s="31" t="e">
        <f t="shared" si="314"/>
        <v>#VALUE!</v>
      </c>
      <c r="N159" s="31" t="e">
        <f t="shared" si="314"/>
        <v>#VALUE!</v>
      </c>
      <c r="O159" s="20"/>
      <c r="P159" s="376" t="e">
        <f>0.0001*VLOOKUP($B159,'844400'!$M$171:$U$237,6,FALSE)/VLOOKUP($B159,'844400'!$M$171:$U$237,8,FALSE)</f>
        <v>#VALUE!</v>
      </c>
      <c r="Q159" s="59">
        <f>VLOOKUP($A159,'5 A data'!$A$5:$AB$519,7,FALSE)*slidewire_res</f>
        <v>0</v>
      </c>
      <c r="R159" s="349">
        <f t="shared" si="295"/>
        <v>0</v>
      </c>
      <c r="S159" s="4">
        <v>0</v>
      </c>
      <c r="T159" s="21">
        <f t="shared" si="310"/>
        <v>0</v>
      </c>
      <c r="U159" s="29" t="e">
        <f t="shared" si="296"/>
        <v>#VALUE!</v>
      </c>
      <c r="V159" s="29">
        <f t="shared" si="297"/>
        <v>5.0000000000000001E-4</v>
      </c>
      <c r="W159" s="23">
        <f>VLOOKUP($D159,Uncertainties!$B$35:$D$41,2,FALSE)</f>
        <v>0</v>
      </c>
      <c r="X159" s="23"/>
      <c r="Y159" s="24">
        <f t="shared" si="298"/>
        <v>0</v>
      </c>
      <c r="Z159" s="23" t="e">
        <f t="shared" si="299"/>
        <v>#VALUE!</v>
      </c>
      <c r="AA159" s="25" t="e">
        <f t="shared" si="300"/>
        <v>#VALUE!</v>
      </c>
      <c r="AB159" s="26" t="e">
        <f t="shared" si="301"/>
        <v>#VALUE!</v>
      </c>
      <c r="AC159" s="14"/>
      <c r="AD159" s="253" t="e">
        <f>0.0001*VLOOKUP($B159,'844400'!$M$171:$U$237,7,FALSE)/VLOOKUP($B159,'844400'!$M$171:$U$237,9,FALSE)</f>
        <v>#VALUE!</v>
      </c>
      <c r="AE159" s="368">
        <f>IF(ABS(VLOOKUP($A159,'5 A data'!$A$5:$AB$1017,6,FALSE))&lt;4.5,IF(ABS(VLOOKUP($A159,'5 A data'!$A$5:$AB$1017,6,FALSE))&lt;1.25,0.0008,0.002),0.004)*VLOOKUP($A159,'5 A data'!$A$5:$AB$1017,7,FALSE)*25*RADIANS(1/60)*100</f>
        <v>0</v>
      </c>
      <c r="AF159" s="23">
        <f t="shared" si="311"/>
        <v>0</v>
      </c>
      <c r="AG159" s="29" t="e">
        <f t="shared" si="302"/>
        <v>#VALUE!</v>
      </c>
      <c r="AH159" s="4">
        <f t="shared" si="312"/>
        <v>0</v>
      </c>
      <c r="AI159" s="4" t="e">
        <f t="shared" si="303"/>
        <v>#VALUE!</v>
      </c>
      <c r="AJ159" s="4">
        <f t="shared" si="304"/>
        <v>5.0000000000000001E-4</v>
      </c>
      <c r="AK159" s="21">
        <f>VLOOKUP($D159,Uncertainties!$B$35:$D$41,3,FALSE)</f>
        <v>0</v>
      </c>
      <c r="AL159" s="21"/>
      <c r="AM159" s="371">
        <f>SQRT((VLOOKUP($A159,'5 A data'!$A$5:$AB$1017,7,FALSE)*mutual_ind)^2+(aux_CT_phase*J159)^2)</f>
        <v>0</v>
      </c>
      <c r="AN159" s="29" t="e">
        <f t="shared" si="305"/>
        <v>#VALUE!</v>
      </c>
      <c r="AO159" s="14" t="e">
        <f t="shared" si="306"/>
        <v>#VALUE!</v>
      </c>
      <c r="AP159" s="27" t="e">
        <f t="shared" si="307"/>
        <v>#VALUE!</v>
      </c>
    </row>
    <row r="160" spans="1:42" x14ac:dyDescent="0.2">
      <c r="A160">
        <v>250</v>
      </c>
      <c r="B160" s="5"/>
      <c r="C160" s="19"/>
      <c r="D160" s="19"/>
      <c r="E160" s="23"/>
      <c r="F160" s="23"/>
      <c r="G160" s="23"/>
      <c r="H160" s="23"/>
      <c r="I160" s="19"/>
      <c r="J160" s="32"/>
      <c r="K160" s="31"/>
      <c r="L160" s="31"/>
      <c r="M160" s="533" t="s">
        <v>94</v>
      </c>
      <c r="N160" s="533"/>
      <c r="O160" s="20"/>
      <c r="P160" s="376"/>
      <c r="Q160" s="59"/>
      <c r="R160" s="349"/>
      <c r="S160" s="4"/>
      <c r="T160" s="4"/>
      <c r="U160" s="29"/>
      <c r="V160" s="29"/>
      <c r="W160" s="29"/>
      <c r="X160" s="29"/>
      <c r="Y160" s="24"/>
      <c r="Z160" s="29"/>
      <c r="AA160" s="25"/>
      <c r="AB160" s="26"/>
      <c r="AC160" s="14"/>
      <c r="AD160" s="253"/>
      <c r="AE160" s="35"/>
      <c r="AF160" s="28"/>
      <c r="AG160" s="29"/>
      <c r="AH160" s="4"/>
      <c r="AI160" s="4"/>
      <c r="AJ160" s="4"/>
      <c r="AK160" s="4"/>
      <c r="AL160" s="4"/>
      <c r="AM160" s="24"/>
      <c r="AN160" s="29"/>
      <c r="AO160" s="14"/>
      <c r="AP160" s="27"/>
    </row>
    <row r="161" spans="1:42" x14ac:dyDescent="0.2">
      <c r="A161" s="69">
        <v>251</v>
      </c>
      <c r="B161" s="5" t="e">
        <f>B151&amp;D161</f>
        <v>#VALUE!</v>
      </c>
      <c r="C161" s="19">
        <f>VLOOKUP($A161,'5 A data'!$A$5:$AB$519,3,FALSE)</f>
        <v>0</v>
      </c>
      <c r="D161" s="19">
        <f>ROUND(VLOOKUP($A161,'5 A data'!$A$5:$AB$519,9,FALSE),0)</f>
        <v>0</v>
      </c>
      <c r="E161" s="23">
        <f t="shared" si="308"/>
        <v>0.99936709902044762</v>
      </c>
      <c r="F161" s="23">
        <f t="shared" si="309"/>
        <v>1.0011822386327505</v>
      </c>
      <c r="G161" s="23" t="e">
        <f>VLOOKUP($B161,'844400'!$M$171:$U$237,4,FALSE)/10000</f>
        <v>#VALUE!</v>
      </c>
      <c r="H161" s="23" t="e">
        <f>VLOOKUP($B161,'844400'!$M$171:$U$237,5,FALSE)/10000</f>
        <v>#VALUE!</v>
      </c>
      <c r="I161" s="19">
        <f>VLOOKUP($A161,'5 A data'!$A$5:$AB$519,10,FALSE)</f>
        <v>0</v>
      </c>
      <c r="J161" s="32">
        <f>VLOOKUP($A161,'5 A data'!$A$5:$AB$519,11,FALSE)</f>
        <v>0</v>
      </c>
      <c r="K161" s="31"/>
      <c r="L161" s="31"/>
      <c r="M161" s="31" t="e">
        <f t="shared" ref="M161:N163" si="315">I161*E161+G161+K153*(low__burden-$C161)/($C153-$C161)</f>
        <v>#VALUE!</v>
      </c>
      <c r="N161" s="31" t="e">
        <f t="shared" si="315"/>
        <v>#VALUE!</v>
      </c>
      <c r="O161" s="20"/>
      <c r="P161" s="376" t="e">
        <f>0.0001*VLOOKUP($B161,'844400'!$M$171:$U$237,6,FALSE)/VLOOKUP($B161,'844400'!$M$171:$U$237,8,FALSE)</f>
        <v>#VALUE!</v>
      </c>
      <c r="Q161" s="59">
        <f>VLOOKUP($A161,'5 A data'!$A$5:$AB$519,7,FALSE)*slidewire_res</f>
        <v>0</v>
      </c>
      <c r="R161" s="349">
        <f t="shared" ref="R161:R167" si="316">current_coef*(I161-I162)*IF(I162=0,0,1)</f>
        <v>0</v>
      </c>
      <c r="S161" s="4">
        <v>0</v>
      </c>
      <c r="T161" s="4">
        <f>BurdenUnc*K153</f>
        <v>0</v>
      </c>
      <c r="U161" s="29" t="e">
        <f t="shared" ref="U161:U167" si="317">0.004*M161</f>
        <v>#VALUE!</v>
      </c>
      <c r="V161" s="29">
        <f t="shared" si="297"/>
        <v>5.0000000000000001E-4</v>
      </c>
      <c r="W161" s="23" t="e">
        <f>VLOOKUP($D161,Uncertainties!$B$35:$D$41,2,FALSE)</f>
        <v>#N/A</v>
      </c>
      <c r="X161" s="23"/>
      <c r="Y161" s="24">
        <f t="shared" ref="Y161:Y167" si="318">I161*aux_CT_ratio</f>
        <v>0</v>
      </c>
      <c r="Z161" s="23" t="e">
        <f t="shared" ref="Z161:Z167" si="319">SQRT(SUMSQ(P161:Y161))</f>
        <v>#VALUE!</v>
      </c>
      <c r="AA161" s="25" t="e">
        <f t="shared" ref="AA161:AA167" si="320">DoF_A(P161:Y161,$P$7:$Y$7)</f>
        <v>#VALUE!</v>
      </c>
      <c r="AB161" s="26" t="e">
        <f t="shared" ref="AB161:AB167" si="321">CoverFactor(AA161)</f>
        <v>#VALUE!</v>
      </c>
      <c r="AC161" s="14"/>
      <c r="AD161" s="253" t="e">
        <f>0.0001*VLOOKUP($B161,'844400'!$M$171:$U$237,7,FALSE)/VLOOKUP($B161,'844400'!$M$171:$U$237,9,FALSE)</f>
        <v>#VALUE!</v>
      </c>
      <c r="AE161" s="368">
        <f>IF(ABS(VLOOKUP($A161,'5 A data'!$A$5:$AB$1017,6,FALSE))&lt;4.5,IF(ABS(VLOOKUP($A161,'5 A data'!$A$5:$AB$1017,6,FALSE))&lt;1.25,0.0008,0.002),0.004)*VLOOKUP($A161,'5 A data'!$A$5:$AB$1017,7,FALSE)*25*RADIANS(1/60)*100</f>
        <v>0</v>
      </c>
      <c r="AF161" s="23">
        <f t="shared" ref="AF161:AF167" si="322">current_coef*(J161-J162)*IF(J162=0,0,1)</f>
        <v>0</v>
      </c>
      <c r="AG161" s="29" t="e">
        <f t="shared" ref="AG161:AG167" si="323">0.001*N161</f>
        <v>#VALUE!</v>
      </c>
      <c r="AH161" s="4">
        <f>BurdenUnc*L153</f>
        <v>0</v>
      </c>
      <c r="AI161" s="4" t="e">
        <f t="shared" ref="AI161:AI167" si="324">0.004*N161</f>
        <v>#VALUE!</v>
      </c>
      <c r="AJ161" s="4">
        <f t="shared" si="304"/>
        <v>5.0000000000000001E-4</v>
      </c>
      <c r="AK161" s="21" t="e">
        <f>VLOOKUP($D161,Uncertainties!$B$35:$D$41,3,FALSE)</f>
        <v>#N/A</v>
      </c>
      <c r="AL161" s="21"/>
      <c r="AM161" s="371">
        <f>SQRT((VLOOKUP($A161,'5 A data'!$A$5:$AB$1017,7,FALSE)*mutual_ind)^2+(aux_CT_phase*J161)^2)</f>
        <v>0</v>
      </c>
      <c r="AN161" s="29" t="e">
        <f t="shared" ref="AN161:AN167" si="325">SQRT(SUMSQ(AD161:AM161))</f>
        <v>#VALUE!</v>
      </c>
      <c r="AO161" s="14" t="e">
        <f t="shared" ref="AO161:AO167" si="326">DoF_A(AD161:AM161,$AD$7:$AM$7)</f>
        <v>#VALUE!</v>
      </c>
      <c r="AP161" s="27" t="e">
        <f t="shared" ref="AP161:AP167" si="327">CoverFactor(AO161)</f>
        <v>#VALUE!</v>
      </c>
    </row>
    <row r="162" spans="1:42" x14ac:dyDescent="0.2">
      <c r="A162">
        <v>252</v>
      </c>
      <c r="B162" s="5" t="e">
        <f>B151&amp;D162</f>
        <v>#VALUE!</v>
      </c>
      <c r="C162" s="19">
        <f>VLOOKUP($A162,'5 A data'!$A$5:$AB$519,3,FALSE)</f>
        <v>2.1700000000000001E-2</v>
      </c>
      <c r="D162" s="165">
        <f>ROUND(VLOOKUP($A162,'5 A data'!$A$5:$AB$519,9,FALSE)/10,0)*10</f>
        <v>10</v>
      </c>
      <c r="E162" s="23">
        <f t="shared" si="308"/>
        <v>0.99936709902044762</v>
      </c>
      <c r="F162" s="23">
        <f t="shared" si="309"/>
        <v>1.0011822386327505</v>
      </c>
      <c r="G162" s="23" t="e">
        <f>VLOOKUP($B162,'844400'!$M$171:$U$237,4,FALSE)/10000</f>
        <v>#VALUE!</v>
      </c>
      <c r="H162" s="23" t="e">
        <f>VLOOKUP($B162,'844400'!$M$171:$U$237,5,FALSE)/10000</f>
        <v>#VALUE!</v>
      </c>
      <c r="I162" s="19">
        <f>VLOOKUP($A162,'5 A data'!$A$5:$AB$519,10,FALSE)</f>
        <v>0</v>
      </c>
      <c r="J162" s="32">
        <f>VLOOKUP($A162,'5 A data'!$A$5:$AB$519,11,FALSE)</f>
        <v>0</v>
      </c>
      <c r="K162" s="31"/>
      <c r="L162" s="31"/>
      <c r="M162" s="31" t="e">
        <f t="shared" si="315"/>
        <v>#VALUE!</v>
      </c>
      <c r="N162" s="31" t="e">
        <f t="shared" si="315"/>
        <v>#VALUE!</v>
      </c>
      <c r="O162" s="20"/>
      <c r="P162" s="376" t="e">
        <f>0.0001*VLOOKUP($B162,'844400'!$M$171:$U$237,6,FALSE)/VLOOKUP($B162,'844400'!$M$171:$U$237,8,FALSE)</f>
        <v>#VALUE!</v>
      </c>
      <c r="Q162" s="59">
        <f>VLOOKUP($A162,'5 A data'!$A$5:$AB$519,7,FALSE)*slidewire_res</f>
        <v>0</v>
      </c>
      <c r="R162" s="349">
        <f t="shared" si="316"/>
        <v>0</v>
      </c>
      <c r="S162" s="4">
        <v>0</v>
      </c>
      <c r="T162" s="4">
        <f t="shared" ref="T162:T167" si="328">BurdenUnc*K154</f>
        <v>0</v>
      </c>
      <c r="U162" s="29" t="e">
        <f t="shared" si="317"/>
        <v>#VALUE!</v>
      </c>
      <c r="V162" s="29">
        <f t="shared" si="297"/>
        <v>5.0000000000000001E-4</v>
      </c>
      <c r="W162" s="23">
        <f>VLOOKUP($D162,Uncertainties!$B$35:$D$41,2,FALSE)</f>
        <v>0</v>
      </c>
      <c r="X162" s="23"/>
      <c r="Y162" s="24">
        <f t="shared" si="318"/>
        <v>0</v>
      </c>
      <c r="Z162" s="23" t="e">
        <f t="shared" si="319"/>
        <v>#VALUE!</v>
      </c>
      <c r="AA162" s="25" t="e">
        <f t="shared" si="320"/>
        <v>#VALUE!</v>
      </c>
      <c r="AB162" s="26" t="e">
        <f t="shared" si="321"/>
        <v>#VALUE!</v>
      </c>
      <c r="AC162" s="14"/>
      <c r="AD162" s="253" t="e">
        <f>0.0001*VLOOKUP($B162,'844400'!$M$171:$U$237,7,FALSE)/VLOOKUP($B162,'844400'!$M$171:$U$237,9,FALSE)</f>
        <v>#VALUE!</v>
      </c>
      <c r="AE162" s="368">
        <f>IF(ABS(VLOOKUP($A162,'5 A data'!$A$5:$AB$1017,6,FALSE))&lt;4.5,IF(ABS(VLOOKUP($A162,'5 A data'!$A$5:$AB$1017,6,FALSE))&lt;1.25,0.0008,0.002),0.004)*VLOOKUP($A162,'5 A data'!$A$5:$AB$1017,7,FALSE)*25*RADIANS(1/60)*100</f>
        <v>0</v>
      </c>
      <c r="AF162" s="23">
        <f t="shared" si="322"/>
        <v>0</v>
      </c>
      <c r="AG162" s="29" t="e">
        <f t="shared" si="323"/>
        <v>#VALUE!</v>
      </c>
      <c r="AH162" s="4">
        <f t="shared" ref="AH162:AH167" si="329">BurdenUnc*L154</f>
        <v>0</v>
      </c>
      <c r="AI162" s="4" t="e">
        <f t="shared" si="324"/>
        <v>#VALUE!</v>
      </c>
      <c r="AJ162" s="4">
        <f t="shared" si="304"/>
        <v>5.0000000000000001E-4</v>
      </c>
      <c r="AK162" s="21">
        <f>VLOOKUP($D162,Uncertainties!$B$35:$D$41,3,FALSE)</f>
        <v>0</v>
      </c>
      <c r="AL162" s="21"/>
      <c r="AM162" s="371">
        <f>SQRT((VLOOKUP($A162,'5 A data'!$A$5:$AB$1017,7,FALSE)*mutual_ind)^2+(aux_CT_phase*J162)^2)</f>
        <v>0</v>
      </c>
      <c r="AN162" s="29" t="e">
        <f t="shared" si="325"/>
        <v>#VALUE!</v>
      </c>
      <c r="AO162" s="14" t="e">
        <f t="shared" si="326"/>
        <v>#VALUE!</v>
      </c>
      <c r="AP162" s="27" t="e">
        <f t="shared" si="327"/>
        <v>#VALUE!</v>
      </c>
    </row>
    <row r="163" spans="1:42" x14ac:dyDescent="0.2">
      <c r="A163" s="69">
        <v>253</v>
      </c>
      <c r="B163" s="5" t="e">
        <f>B151&amp;D163</f>
        <v>#VALUE!</v>
      </c>
      <c r="C163" s="19">
        <f>VLOOKUP($A163,'5 A data'!$A$5:$AB$519,3,FALSE)</f>
        <v>2.1700000000000001E-2</v>
      </c>
      <c r="D163" s="165">
        <f>ROUND(VLOOKUP($A163,'5 A data'!$A$5:$AB$519,9,FALSE)/10,0)*10</f>
        <v>10</v>
      </c>
      <c r="E163" s="23">
        <f t="shared" si="308"/>
        <v>0.99936709902044762</v>
      </c>
      <c r="F163" s="23">
        <f t="shared" si="309"/>
        <v>1.0011822386327505</v>
      </c>
      <c r="G163" s="23" t="e">
        <f>VLOOKUP($B163,'844400'!$M$171:$U$237,4,FALSE)/10000</f>
        <v>#VALUE!</v>
      </c>
      <c r="H163" s="23" t="e">
        <f>VLOOKUP($B163,'844400'!$M$171:$U$237,5,FALSE)/10000</f>
        <v>#VALUE!</v>
      </c>
      <c r="I163" s="19">
        <f>VLOOKUP($A163,'5 A data'!$A$5:$AB$519,10,FALSE)</f>
        <v>0</v>
      </c>
      <c r="J163" s="32">
        <f>VLOOKUP($A163,'5 A data'!$A$5:$AB$519,11,FALSE)</f>
        <v>0</v>
      </c>
      <c r="K163" s="31"/>
      <c r="L163" s="31"/>
      <c r="M163" s="31" t="e">
        <f t="shared" si="315"/>
        <v>#VALUE!</v>
      </c>
      <c r="N163" s="31" t="e">
        <f t="shared" si="315"/>
        <v>#VALUE!</v>
      </c>
      <c r="O163" s="20"/>
      <c r="P163" s="376" t="e">
        <f>0.0001*VLOOKUP($B163,'844400'!$M$171:$U$237,6,FALSE)/VLOOKUP($B163,'844400'!$M$171:$U$237,8,FALSE)</f>
        <v>#VALUE!</v>
      </c>
      <c r="Q163" s="59">
        <f>VLOOKUP($A163,'5 A data'!$A$5:$AB$519,7,FALSE)*slidewire_res</f>
        <v>0</v>
      </c>
      <c r="R163" s="349">
        <f t="shared" si="316"/>
        <v>0</v>
      </c>
      <c r="S163" s="4">
        <v>0</v>
      </c>
      <c r="T163" s="4">
        <f t="shared" si="328"/>
        <v>0</v>
      </c>
      <c r="U163" s="29" t="e">
        <f t="shared" si="317"/>
        <v>#VALUE!</v>
      </c>
      <c r="V163" s="29">
        <f t="shared" si="297"/>
        <v>5.0000000000000001E-4</v>
      </c>
      <c r="W163" s="23">
        <f>VLOOKUP($D163,Uncertainties!$B$35:$D$41,2,FALSE)</f>
        <v>0</v>
      </c>
      <c r="X163" s="23"/>
      <c r="Y163" s="24">
        <f t="shared" si="318"/>
        <v>0</v>
      </c>
      <c r="Z163" s="23" t="e">
        <f t="shared" si="319"/>
        <v>#VALUE!</v>
      </c>
      <c r="AA163" s="25" t="e">
        <f t="shared" si="320"/>
        <v>#VALUE!</v>
      </c>
      <c r="AB163" s="26" t="e">
        <f t="shared" si="321"/>
        <v>#VALUE!</v>
      </c>
      <c r="AC163" s="14"/>
      <c r="AD163" s="253" t="e">
        <f>0.0001*VLOOKUP($B163,'844400'!$M$171:$U$237,7,FALSE)/VLOOKUP($B163,'844400'!$M$171:$U$237,9,FALSE)</f>
        <v>#VALUE!</v>
      </c>
      <c r="AE163" s="368">
        <f>IF(ABS(VLOOKUP($A163,'5 A data'!$A$5:$AB$1017,6,FALSE))&lt;4.5,IF(ABS(VLOOKUP($A163,'5 A data'!$A$5:$AB$1017,6,FALSE))&lt;1.25,0.0008,0.002),0.004)*VLOOKUP($A163,'5 A data'!$A$5:$AB$1017,7,FALSE)*25*RADIANS(1/60)*100</f>
        <v>0</v>
      </c>
      <c r="AF163" s="23">
        <f t="shared" si="322"/>
        <v>0</v>
      </c>
      <c r="AG163" s="29" t="e">
        <f t="shared" si="323"/>
        <v>#VALUE!</v>
      </c>
      <c r="AH163" s="4">
        <f t="shared" si="329"/>
        <v>0</v>
      </c>
      <c r="AI163" s="4" t="e">
        <f t="shared" si="324"/>
        <v>#VALUE!</v>
      </c>
      <c r="AJ163" s="4">
        <f t="shared" si="304"/>
        <v>5.0000000000000001E-4</v>
      </c>
      <c r="AK163" s="21">
        <f>VLOOKUP($D163,Uncertainties!$B$35:$D$41,3,FALSE)</f>
        <v>0</v>
      </c>
      <c r="AL163" s="21"/>
      <c r="AM163" s="371">
        <f>SQRT((VLOOKUP($A163,'5 A data'!$A$5:$AB$1017,7,FALSE)*mutual_ind)^2+(aux_CT_phase*J163)^2)</f>
        <v>0</v>
      </c>
      <c r="AN163" s="29" t="e">
        <f t="shared" si="325"/>
        <v>#VALUE!</v>
      </c>
      <c r="AO163" s="14" t="e">
        <f t="shared" si="326"/>
        <v>#VALUE!</v>
      </c>
      <c r="AP163" s="27" t="e">
        <f t="shared" si="327"/>
        <v>#VALUE!</v>
      </c>
    </row>
    <row r="164" spans="1:42" x14ac:dyDescent="0.2">
      <c r="A164">
        <v>254</v>
      </c>
      <c r="B164" s="5" t="e">
        <f>B151&amp;D164</f>
        <v>#VALUE!</v>
      </c>
      <c r="C164" s="19">
        <f>VLOOKUP($A164,'5 A data'!$A$5:$AB$519,3,FALSE)</f>
        <v>2.1700000000000001E-2</v>
      </c>
      <c r="D164" s="165">
        <f>ROUND(VLOOKUP($A164,'5 A data'!$A$5:$AB$519,9,FALSE)/10,0)*10</f>
        <v>20</v>
      </c>
      <c r="E164" s="23">
        <f t="shared" si="308"/>
        <v>0.99936709902044762</v>
      </c>
      <c r="F164" s="23">
        <f t="shared" si="309"/>
        <v>1.0011822386327505</v>
      </c>
      <c r="G164" s="23" t="e">
        <f>VLOOKUP($B164,'844400'!$M$171:$U$237,4,FALSE)/10000</f>
        <v>#VALUE!</v>
      </c>
      <c r="H164" s="23" t="e">
        <f>VLOOKUP($B164,'844400'!$M$171:$U$237,5,FALSE)/10000</f>
        <v>#VALUE!</v>
      </c>
      <c r="I164" s="19">
        <f>VLOOKUP($A164,'5 A data'!$A$5:$AB$519,10,FALSE)</f>
        <v>0</v>
      </c>
      <c r="J164" s="32">
        <f>VLOOKUP($A164,'5 A data'!$A$5:$AB$519,11,FALSE)</f>
        <v>0</v>
      </c>
      <c r="K164" s="31"/>
      <c r="L164" s="31"/>
      <c r="M164" s="31" t="e">
        <f>I164*E164+G164+K156*(low__burden-$C164)/($C156-$C164)</f>
        <v>#VALUE!</v>
      </c>
      <c r="N164" s="31" t="e">
        <f>J164*F164+H164+L156*(low__burden-$C164)/($C156-$C164)</f>
        <v>#VALUE!</v>
      </c>
      <c r="O164" s="20"/>
      <c r="P164" s="376" t="e">
        <f>0.0001*VLOOKUP($B164,'844400'!$M$171:$U$237,6,FALSE)/VLOOKUP($B164,'844400'!$M$171:$U$237,8,FALSE)</f>
        <v>#VALUE!</v>
      </c>
      <c r="Q164" s="59">
        <f>VLOOKUP($A164,'5 A data'!$A$5:$AB$519,7,FALSE)*slidewire_res</f>
        <v>0</v>
      </c>
      <c r="R164" s="349">
        <f t="shared" si="316"/>
        <v>0</v>
      </c>
      <c r="S164" s="4">
        <v>0</v>
      </c>
      <c r="T164" s="4">
        <f t="shared" si="328"/>
        <v>0</v>
      </c>
      <c r="U164" s="29" t="e">
        <f t="shared" si="317"/>
        <v>#VALUE!</v>
      </c>
      <c r="V164" s="29">
        <f t="shared" si="297"/>
        <v>5.0000000000000001E-4</v>
      </c>
      <c r="W164" s="23">
        <f>VLOOKUP($D164,Uncertainties!$B$35:$D$41,2,FALSE)</f>
        <v>0</v>
      </c>
      <c r="X164" s="23"/>
      <c r="Y164" s="24">
        <f t="shared" si="318"/>
        <v>0</v>
      </c>
      <c r="Z164" s="23" t="e">
        <f t="shared" si="319"/>
        <v>#VALUE!</v>
      </c>
      <c r="AA164" s="25" t="e">
        <f t="shared" si="320"/>
        <v>#VALUE!</v>
      </c>
      <c r="AB164" s="26" t="e">
        <f t="shared" si="321"/>
        <v>#VALUE!</v>
      </c>
      <c r="AC164" s="14"/>
      <c r="AD164" s="253" t="e">
        <f>0.0001*VLOOKUP($B164,'844400'!$M$171:$U$237,7,FALSE)/VLOOKUP($B164,'844400'!$M$171:$U$237,9,FALSE)</f>
        <v>#VALUE!</v>
      </c>
      <c r="AE164" s="368">
        <f>IF(ABS(VLOOKUP($A164,'5 A data'!$A$5:$AB$1017,6,FALSE))&lt;4.5,IF(ABS(VLOOKUP($A164,'5 A data'!$A$5:$AB$1017,6,FALSE))&lt;1.25,0.0008,0.002),0.004)*VLOOKUP($A164,'5 A data'!$A$5:$AB$1017,7,FALSE)*25*RADIANS(1/60)*100</f>
        <v>0</v>
      </c>
      <c r="AF164" s="23">
        <f t="shared" si="322"/>
        <v>0</v>
      </c>
      <c r="AG164" s="29" t="e">
        <f t="shared" si="323"/>
        <v>#VALUE!</v>
      </c>
      <c r="AH164" s="4">
        <f t="shared" si="329"/>
        <v>0</v>
      </c>
      <c r="AI164" s="4" t="e">
        <f t="shared" si="324"/>
        <v>#VALUE!</v>
      </c>
      <c r="AJ164" s="4">
        <f t="shared" si="304"/>
        <v>5.0000000000000001E-4</v>
      </c>
      <c r="AK164" s="21">
        <f>VLOOKUP($D164,Uncertainties!$B$35:$D$41,3,FALSE)</f>
        <v>0</v>
      </c>
      <c r="AL164" s="21"/>
      <c r="AM164" s="371">
        <f>SQRT((VLOOKUP($A164,'5 A data'!$A$5:$AB$1017,7,FALSE)*mutual_ind)^2+(aux_CT_phase*J164)^2)</f>
        <v>0</v>
      </c>
      <c r="AN164" s="29" t="e">
        <f t="shared" si="325"/>
        <v>#VALUE!</v>
      </c>
      <c r="AO164" s="14" t="e">
        <f t="shared" si="326"/>
        <v>#VALUE!</v>
      </c>
      <c r="AP164" s="27" t="e">
        <f t="shared" si="327"/>
        <v>#VALUE!</v>
      </c>
    </row>
    <row r="165" spans="1:42" x14ac:dyDescent="0.2">
      <c r="A165" s="69">
        <v>255</v>
      </c>
      <c r="B165" s="5" t="e">
        <f>B151&amp;D165</f>
        <v>#VALUE!</v>
      </c>
      <c r="C165" s="19">
        <f>VLOOKUP($A165,'5 A data'!$A$5:$AB$519,3,FALSE)</f>
        <v>2.1700000000000001E-2</v>
      </c>
      <c r="D165" s="165">
        <f>ROUND(VLOOKUP($A165,'5 A data'!$A$5:$AB$519,9,FALSE)/10,0)*10</f>
        <v>40</v>
      </c>
      <c r="E165" s="23">
        <f t="shared" si="308"/>
        <v>0.99936709902044762</v>
      </c>
      <c r="F165" s="23">
        <f t="shared" si="309"/>
        <v>1.0011822386327505</v>
      </c>
      <c r="G165" s="23" t="e">
        <f>VLOOKUP($B165,'844400'!$M$171:$U$237,4,FALSE)/10000</f>
        <v>#VALUE!</v>
      </c>
      <c r="H165" s="23" t="e">
        <f>VLOOKUP($B165,'844400'!$M$171:$U$237,5,FALSE)/10000</f>
        <v>#VALUE!</v>
      </c>
      <c r="I165" s="19">
        <f>VLOOKUP($A165,'5 A data'!$A$5:$AB$519,10,FALSE)</f>
        <v>0</v>
      </c>
      <c r="J165" s="32">
        <f>VLOOKUP($A165,'5 A data'!$A$5:$AB$519,11,FALSE)</f>
        <v>0</v>
      </c>
      <c r="K165" s="31"/>
      <c r="L165" s="31"/>
      <c r="M165" s="31" t="e">
        <f t="shared" ref="M165:N167" si="330">I165*E165+G165+K157*(low__burden-$C165)/($C157-$C165)</f>
        <v>#VALUE!</v>
      </c>
      <c r="N165" s="31" t="e">
        <f t="shared" si="330"/>
        <v>#VALUE!</v>
      </c>
      <c r="O165" s="20"/>
      <c r="P165" s="376" t="e">
        <f>0.0001*VLOOKUP($B165,'844400'!$M$171:$U$237,6,FALSE)/VLOOKUP($B165,'844400'!$M$171:$U$237,8,FALSE)</f>
        <v>#VALUE!</v>
      </c>
      <c r="Q165" s="59">
        <f>VLOOKUP($A165,'5 A data'!$A$5:$AB$519,7,FALSE)*slidewire_res</f>
        <v>0</v>
      </c>
      <c r="R165" s="349">
        <f t="shared" si="316"/>
        <v>0</v>
      </c>
      <c r="S165" s="4">
        <v>0</v>
      </c>
      <c r="T165" s="4">
        <f t="shared" si="328"/>
        <v>0</v>
      </c>
      <c r="U165" s="29" t="e">
        <f t="shared" si="317"/>
        <v>#VALUE!</v>
      </c>
      <c r="V165" s="29">
        <f t="shared" si="297"/>
        <v>5.0000000000000001E-4</v>
      </c>
      <c r="W165" s="23">
        <f>VLOOKUP($D165,Uncertainties!$B$35:$D$41,2,FALSE)</f>
        <v>0</v>
      </c>
      <c r="X165" s="23"/>
      <c r="Y165" s="24">
        <f t="shared" si="318"/>
        <v>0</v>
      </c>
      <c r="Z165" s="23" t="e">
        <f t="shared" si="319"/>
        <v>#VALUE!</v>
      </c>
      <c r="AA165" s="25" t="e">
        <f t="shared" si="320"/>
        <v>#VALUE!</v>
      </c>
      <c r="AB165" s="26" t="e">
        <f t="shared" si="321"/>
        <v>#VALUE!</v>
      </c>
      <c r="AC165" s="14"/>
      <c r="AD165" s="253" t="e">
        <f>0.0001*VLOOKUP($B165,'844400'!$M$171:$U$237,7,FALSE)/VLOOKUP($B165,'844400'!$M$171:$U$237,9,FALSE)</f>
        <v>#VALUE!</v>
      </c>
      <c r="AE165" s="368">
        <f>IF(ABS(VLOOKUP($A165,'5 A data'!$A$5:$AB$1017,6,FALSE))&lt;4.5,IF(ABS(VLOOKUP($A165,'5 A data'!$A$5:$AB$1017,6,FALSE))&lt;1.25,0.0008,0.002),0.004)*VLOOKUP($A165,'5 A data'!$A$5:$AB$1017,7,FALSE)*25*RADIANS(1/60)*100</f>
        <v>0</v>
      </c>
      <c r="AF165" s="23">
        <f t="shared" si="322"/>
        <v>0</v>
      </c>
      <c r="AG165" s="29" t="e">
        <f t="shared" si="323"/>
        <v>#VALUE!</v>
      </c>
      <c r="AH165" s="4">
        <f t="shared" si="329"/>
        <v>0</v>
      </c>
      <c r="AI165" s="4" t="e">
        <f t="shared" si="324"/>
        <v>#VALUE!</v>
      </c>
      <c r="AJ165" s="4">
        <f t="shared" si="304"/>
        <v>5.0000000000000001E-4</v>
      </c>
      <c r="AK165" s="21">
        <f>VLOOKUP($D165,Uncertainties!$B$35:$D$41,3,FALSE)</f>
        <v>0</v>
      </c>
      <c r="AL165" s="21"/>
      <c r="AM165" s="371">
        <f>SQRT((VLOOKUP($A165,'5 A data'!$A$5:$AB$1017,7,FALSE)*mutual_ind)^2+(aux_CT_phase*J165)^2)</f>
        <v>0</v>
      </c>
      <c r="AN165" s="29" t="e">
        <f t="shared" si="325"/>
        <v>#VALUE!</v>
      </c>
      <c r="AO165" s="14" t="e">
        <f t="shared" si="326"/>
        <v>#VALUE!</v>
      </c>
      <c r="AP165" s="27" t="e">
        <f t="shared" si="327"/>
        <v>#VALUE!</v>
      </c>
    </row>
    <row r="166" spans="1:42" x14ac:dyDescent="0.2">
      <c r="A166">
        <v>256</v>
      </c>
      <c r="B166" s="5" t="e">
        <f>B151&amp;D166</f>
        <v>#VALUE!</v>
      </c>
      <c r="C166" s="19">
        <f>VLOOKUP($A166,'5 A data'!$A$5:$AB$519,3,FALSE)</f>
        <v>2.1700000000000001E-2</v>
      </c>
      <c r="D166" s="166">
        <f>ROUND(VLOOKUP($A166,'5 A data'!$A$5:$AB$519,9,FALSE)/10,0)*10</f>
        <v>60</v>
      </c>
      <c r="E166" s="23">
        <f t="shared" si="308"/>
        <v>0.99936709902044762</v>
      </c>
      <c r="F166" s="23">
        <f t="shared" si="309"/>
        <v>1.0011822386327505</v>
      </c>
      <c r="G166" s="23" t="e">
        <f>VLOOKUP($B166,'844400'!$M$171:$U$237,4,FALSE)/10000</f>
        <v>#VALUE!</v>
      </c>
      <c r="H166" s="23" t="e">
        <f>VLOOKUP($B166,'844400'!$M$171:$U$237,5,FALSE)/10000</f>
        <v>#VALUE!</v>
      </c>
      <c r="I166" s="19">
        <f>VLOOKUP($A166,'5 A data'!$A$5:$AB$519,10,FALSE)</f>
        <v>0</v>
      </c>
      <c r="J166" s="32">
        <f>VLOOKUP($A166,'5 A data'!$A$5:$AB$519,11,FALSE)</f>
        <v>0</v>
      </c>
      <c r="K166" s="31"/>
      <c r="L166" s="31"/>
      <c r="M166" s="31" t="e">
        <f t="shared" si="330"/>
        <v>#VALUE!</v>
      </c>
      <c r="N166" s="31" t="e">
        <f t="shared" si="330"/>
        <v>#VALUE!</v>
      </c>
      <c r="O166" s="20"/>
      <c r="P166" s="376" t="e">
        <f>0.0001*VLOOKUP($B166,'844400'!$M$171:$U$237,6,FALSE)/VLOOKUP($B166,'844400'!$M$171:$U$237,8,FALSE)</f>
        <v>#VALUE!</v>
      </c>
      <c r="Q166" s="59">
        <f>VLOOKUP($A166,'5 A data'!$A$5:$AB$519,7,FALSE)*slidewire_res</f>
        <v>0</v>
      </c>
      <c r="R166" s="349">
        <f t="shared" si="316"/>
        <v>0</v>
      </c>
      <c r="S166" s="4">
        <v>0</v>
      </c>
      <c r="T166" s="4">
        <f t="shared" si="328"/>
        <v>0</v>
      </c>
      <c r="U166" s="29" t="e">
        <f t="shared" si="317"/>
        <v>#VALUE!</v>
      </c>
      <c r="V166" s="29">
        <f t="shared" si="297"/>
        <v>5.0000000000000001E-4</v>
      </c>
      <c r="W166" s="23">
        <f>VLOOKUP($D166,Uncertainties!$B$35:$D$41,2,FALSE)</f>
        <v>0</v>
      </c>
      <c r="X166" s="23"/>
      <c r="Y166" s="24">
        <f t="shared" si="318"/>
        <v>0</v>
      </c>
      <c r="Z166" s="23" t="e">
        <f t="shared" si="319"/>
        <v>#VALUE!</v>
      </c>
      <c r="AA166" s="25" t="e">
        <f t="shared" si="320"/>
        <v>#VALUE!</v>
      </c>
      <c r="AB166" s="26" t="e">
        <f t="shared" si="321"/>
        <v>#VALUE!</v>
      </c>
      <c r="AC166" s="14"/>
      <c r="AD166" s="253" t="e">
        <f>0.0001*VLOOKUP($B166,'844400'!$M$171:$U$237,7,FALSE)/VLOOKUP($B166,'844400'!$M$171:$U$237,9,FALSE)</f>
        <v>#VALUE!</v>
      </c>
      <c r="AE166" s="368">
        <f>IF(ABS(VLOOKUP($A166,'5 A data'!$A$5:$AB$1017,6,FALSE))&lt;4.5,IF(ABS(VLOOKUP($A166,'5 A data'!$A$5:$AB$1017,6,FALSE))&lt;1.25,0.0008,0.002),0.004)*VLOOKUP($A166,'5 A data'!$A$5:$AB$1017,7,FALSE)*25*RADIANS(1/60)*100</f>
        <v>0</v>
      </c>
      <c r="AF166" s="23">
        <f t="shared" si="322"/>
        <v>0</v>
      </c>
      <c r="AG166" s="29" t="e">
        <f t="shared" si="323"/>
        <v>#VALUE!</v>
      </c>
      <c r="AH166" s="4">
        <f t="shared" si="329"/>
        <v>0</v>
      </c>
      <c r="AI166" s="4" t="e">
        <f t="shared" si="324"/>
        <v>#VALUE!</v>
      </c>
      <c r="AJ166" s="4">
        <f t="shared" si="304"/>
        <v>5.0000000000000001E-4</v>
      </c>
      <c r="AK166" s="21">
        <f>VLOOKUP($D166,Uncertainties!$B$35:$D$41,3,FALSE)</f>
        <v>0</v>
      </c>
      <c r="AL166" s="21"/>
      <c r="AM166" s="371">
        <f>SQRT((VLOOKUP($A166,'5 A data'!$A$5:$AB$1017,7,FALSE)*mutual_ind)^2+(aux_CT_phase*J166)^2)</f>
        <v>0</v>
      </c>
      <c r="AN166" s="29" t="e">
        <f t="shared" si="325"/>
        <v>#VALUE!</v>
      </c>
      <c r="AO166" s="14" t="e">
        <f t="shared" si="326"/>
        <v>#VALUE!</v>
      </c>
      <c r="AP166" s="27" t="e">
        <f t="shared" si="327"/>
        <v>#VALUE!</v>
      </c>
    </row>
    <row r="167" spans="1:42" x14ac:dyDescent="0.2">
      <c r="A167" s="69">
        <v>257</v>
      </c>
      <c r="B167" s="5" t="e">
        <f>B151&amp;D167</f>
        <v>#VALUE!</v>
      </c>
      <c r="C167" s="19">
        <f>VLOOKUP($A167,'5 A data'!$A$5:$AB$519,3,FALSE)</f>
        <v>2.1700000000000001E-2</v>
      </c>
      <c r="D167" s="166">
        <f>ROUND(VLOOKUP($A167,'5 A data'!$A$5:$AB$519,9,FALSE)/10,0)*10</f>
        <v>100</v>
      </c>
      <c r="E167" s="23">
        <f t="shared" si="308"/>
        <v>0.99936709902044762</v>
      </c>
      <c r="F167" s="23">
        <f t="shared" si="309"/>
        <v>1.0011822386327505</v>
      </c>
      <c r="G167" s="23" t="e">
        <f>VLOOKUP($B167,'844400'!$M$171:$U$237,4,FALSE)/10000</f>
        <v>#VALUE!</v>
      </c>
      <c r="H167" s="23" t="e">
        <f>VLOOKUP($B167,'844400'!$M$171:$U$237,5,FALSE)/10000</f>
        <v>#VALUE!</v>
      </c>
      <c r="I167" s="19">
        <f>VLOOKUP($A167,'5 A data'!$A$5:$AB$519,10,FALSE)</f>
        <v>0</v>
      </c>
      <c r="J167" s="32">
        <f>VLOOKUP($A167,'5 A data'!$A$5:$AB$519,11,FALSE)</f>
        <v>0</v>
      </c>
      <c r="K167" s="31"/>
      <c r="L167" s="31"/>
      <c r="M167" s="31" t="e">
        <f t="shared" si="330"/>
        <v>#VALUE!</v>
      </c>
      <c r="N167" s="31" t="e">
        <f t="shared" si="330"/>
        <v>#VALUE!</v>
      </c>
      <c r="O167" s="20"/>
      <c r="P167" s="376" t="e">
        <f>0.0001*VLOOKUP($B167,'844400'!$M$171:$U$237,6,FALSE)/VLOOKUP($B167,'844400'!$M$171:$U$237,8,FALSE)</f>
        <v>#VALUE!</v>
      </c>
      <c r="Q167" s="59">
        <f>VLOOKUP($A167,'5 A data'!$A$5:$AB$519,7,FALSE)*slidewire_res</f>
        <v>0</v>
      </c>
      <c r="R167" s="349">
        <f t="shared" si="316"/>
        <v>0</v>
      </c>
      <c r="S167" s="4">
        <v>0</v>
      </c>
      <c r="T167" s="4">
        <f t="shared" si="328"/>
        <v>0</v>
      </c>
      <c r="U167" s="29" t="e">
        <f t="shared" si="317"/>
        <v>#VALUE!</v>
      </c>
      <c r="V167" s="29">
        <f t="shared" si="297"/>
        <v>5.0000000000000001E-4</v>
      </c>
      <c r="W167" s="23">
        <f>VLOOKUP($D167,Uncertainties!$B$35:$D$41,2,FALSE)</f>
        <v>0</v>
      </c>
      <c r="X167" s="23"/>
      <c r="Y167" s="24">
        <f t="shared" si="318"/>
        <v>0</v>
      </c>
      <c r="Z167" s="23" t="e">
        <f t="shared" si="319"/>
        <v>#VALUE!</v>
      </c>
      <c r="AA167" s="25" t="e">
        <f t="shared" si="320"/>
        <v>#VALUE!</v>
      </c>
      <c r="AB167" s="26" t="e">
        <f t="shared" si="321"/>
        <v>#VALUE!</v>
      </c>
      <c r="AC167" s="14"/>
      <c r="AD167" s="253" t="e">
        <f>0.0001*VLOOKUP($B167,'844400'!$M$171:$U$237,7,FALSE)/VLOOKUP($B167,'844400'!$M$171:$U$237,9,FALSE)</f>
        <v>#VALUE!</v>
      </c>
      <c r="AE167" s="368">
        <f>IF(ABS(VLOOKUP($A167,'5 A data'!$A$5:$AB$1017,6,FALSE))&lt;4.5,IF(ABS(VLOOKUP($A167,'5 A data'!$A$5:$AB$1017,6,FALSE))&lt;1.25,0.0008,0.002),0.004)*VLOOKUP($A167,'5 A data'!$A$5:$AB$1017,7,FALSE)*25*RADIANS(1/60)*100</f>
        <v>0</v>
      </c>
      <c r="AF167" s="23">
        <f t="shared" si="322"/>
        <v>0</v>
      </c>
      <c r="AG167" s="29" t="e">
        <f t="shared" si="323"/>
        <v>#VALUE!</v>
      </c>
      <c r="AH167" s="4">
        <f t="shared" si="329"/>
        <v>0</v>
      </c>
      <c r="AI167" s="4" t="e">
        <f t="shared" si="324"/>
        <v>#VALUE!</v>
      </c>
      <c r="AJ167" s="4">
        <f t="shared" si="304"/>
        <v>5.0000000000000001E-4</v>
      </c>
      <c r="AK167" s="21">
        <f>VLOOKUP($D167,Uncertainties!$B$35:$D$41,3,FALSE)</f>
        <v>0</v>
      </c>
      <c r="AL167" s="21"/>
      <c r="AM167" s="371">
        <f>SQRT((VLOOKUP($A167,'5 A data'!$A$5:$AB$1017,7,FALSE)*mutual_ind)^2+(aux_CT_phase*J167)^2)</f>
        <v>0</v>
      </c>
      <c r="AN167" s="29" t="e">
        <f t="shared" si="325"/>
        <v>#VALUE!</v>
      </c>
      <c r="AO167" s="14" t="e">
        <f t="shared" si="326"/>
        <v>#VALUE!</v>
      </c>
      <c r="AP167" s="27" t="e">
        <f t="shared" si="327"/>
        <v>#VALUE!</v>
      </c>
    </row>
    <row r="168" spans="1:42" x14ac:dyDescent="0.2">
      <c r="A168">
        <v>258</v>
      </c>
      <c r="P168" s="100"/>
      <c r="R168" s="42"/>
      <c r="AD168" s="252"/>
    </row>
    <row r="169" spans="1:42" x14ac:dyDescent="0.2">
      <c r="A169" s="69">
        <v>259</v>
      </c>
      <c r="B169" s="101" t="e">
        <f>MID(D169,FIND("AT range",D169,1)-5,4)</f>
        <v>#VALUE!</v>
      </c>
      <c r="C169" t="s">
        <v>114</v>
      </c>
      <c r="D169" s="60">
        <f>VLOOKUP($A169,'5 A data'!$A$5:$AB$418,2,FALSE)</f>
        <v>0</v>
      </c>
      <c r="P169" s="100"/>
      <c r="R169" s="42"/>
      <c r="Z169" s="29"/>
      <c r="AA169" s="25"/>
      <c r="AD169" s="252"/>
      <c r="AN169" s="29"/>
      <c r="AO169" s="14"/>
    </row>
    <row r="170" spans="1:42" x14ac:dyDescent="0.2">
      <c r="A170">
        <v>260</v>
      </c>
      <c r="C170" s="19"/>
      <c r="M170" s="533" t="s">
        <v>161</v>
      </c>
      <c r="N170" s="533"/>
      <c r="O170" s="19"/>
      <c r="P170" s="100"/>
      <c r="R170" s="42"/>
      <c r="Z170" s="29"/>
      <c r="AA170" s="25"/>
      <c r="AD170" s="252"/>
      <c r="AN170" s="29"/>
      <c r="AO170" s="14"/>
    </row>
    <row r="171" spans="1:42" ht="51" x14ac:dyDescent="0.2">
      <c r="A171" s="69">
        <v>261</v>
      </c>
      <c r="B171" s="5" t="e">
        <f>B169&amp;D171</f>
        <v>#VALUE!</v>
      </c>
      <c r="C171" s="19" t="str">
        <f>VLOOKUP($A171,'5 A data'!$A$5:$AB$419,3,FALSE)</f>
        <v>UUT Secondary terminals</v>
      </c>
      <c r="D171" s="19">
        <f>ROUND(VLOOKUP($A171,'5 A data'!$A$5:$AB$519,9,FALSE),0)</f>
        <v>0</v>
      </c>
      <c r="E171" s="23">
        <f>TestSetRatioCor</f>
        <v>0.99936709902044762</v>
      </c>
      <c r="F171" s="23">
        <f>TestSetPhaseCor</f>
        <v>1.0011822386327505</v>
      </c>
      <c r="G171" s="23" t="e">
        <f>VLOOKUP($B171,'844400'!$M$171:$U$237,4,FALSE)/10000</f>
        <v>#VALUE!</v>
      </c>
      <c r="H171" s="23" t="e">
        <f>VLOOKUP($B171,'844400'!$M$171:$U$237,5,FALSE)/10000</f>
        <v>#VALUE!</v>
      </c>
      <c r="I171" s="19">
        <f>VLOOKUP($A171,'5 A data'!$A$5:$AB$519,10,FALSE)</f>
        <v>0</v>
      </c>
      <c r="J171" s="32">
        <f>VLOOKUP($A171,'5 A data'!$A$5:$AB$519,11,FALSE)</f>
        <v>0</v>
      </c>
      <c r="K171" s="22">
        <f t="shared" ref="K171:L173" si="331">I171-I179</f>
        <v>0</v>
      </c>
      <c r="L171" s="22">
        <f t="shared" si="331"/>
        <v>0</v>
      </c>
      <c r="M171" s="31" t="e">
        <f t="shared" ref="M171:N173" si="332">I171*E171+G171-K171*($C171-high_burden)/($C171-$C179)</f>
        <v>#VALUE!</v>
      </c>
      <c r="N171" s="31" t="e">
        <f t="shared" si="332"/>
        <v>#VALUE!</v>
      </c>
      <c r="O171" s="20"/>
      <c r="P171" s="376" t="e">
        <f>0.0001*VLOOKUP($B171,'844400'!$M$171:$U$237,6,FALSE)/VLOOKUP($B171,'844400'!$M$171:$U$237,8,FALSE)</f>
        <v>#VALUE!</v>
      </c>
      <c r="Q171" s="59">
        <f>VLOOKUP($A171,'5 A data'!$A$5:$AB$519,7,FALSE)*slidewire_res</f>
        <v>0</v>
      </c>
      <c r="R171" s="349">
        <f t="shared" ref="R171:R177" si="333">current_coef*(I171-I172)*IF(I172=0,0,1)</f>
        <v>0</v>
      </c>
      <c r="S171" s="21">
        <v>0</v>
      </c>
      <c r="T171" s="21">
        <f>BurdenUnc*K171</f>
        <v>0</v>
      </c>
      <c r="U171" s="23" t="e">
        <f t="shared" ref="U171:U177" si="334">0.004*M171</f>
        <v>#VALUE!</v>
      </c>
      <c r="V171" s="23">
        <f t="shared" ref="V171:V185" si="335">earthing_Re</f>
        <v>5.0000000000000001E-4</v>
      </c>
      <c r="W171" s="23" t="e">
        <f>VLOOKUP($D171,Uncertainties!$B$35:$D$41,2,FALSE)</f>
        <v>#N/A</v>
      </c>
      <c r="X171" s="23"/>
      <c r="Y171" s="24">
        <f t="shared" ref="Y171:Y177" si="336">I171*aux_CT_ratio</f>
        <v>0</v>
      </c>
      <c r="Z171" s="23" t="e">
        <f t="shared" ref="Z171:Z177" si="337">SQRT(SUMSQ(P171:Y171))</f>
        <v>#VALUE!</v>
      </c>
      <c r="AA171" s="25" t="e">
        <f t="shared" ref="AA171:AA177" si="338">DoF_A(P171:Y171,$P$7:$Y$7)</f>
        <v>#VALUE!</v>
      </c>
      <c r="AB171" s="26" t="e">
        <f t="shared" ref="AB171:AB177" si="339">CoverFactor(AA171)</f>
        <v>#VALUE!</v>
      </c>
      <c r="AC171" s="14"/>
      <c r="AD171" s="253" t="e">
        <f>0.0001*VLOOKUP($B171,'844400'!$M$171:$U$237,7,FALSE)/VLOOKUP($B171,'844400'!$M$171:$U$237,9,FALSE)</f>
        <v>#VALUE!</v>
      </c>
      <c r="AE171" s="368">
        <f>IF(ABS(VLOOKUP($A171,'5 A data'!$A$5:$AB$1017,6,FALSE))&lt;4.5,IF(ABS(VLOOKUP($A171,'5 A data'!$A$5:$AB$1017,6,FALSE))&lt;1.25,0.0008,0.002),0.004)*VLOOKUP($A171,'5 A data'!$A$5:$AB$1017,7,FALSE)*25*RADIANS(1/60)*100</f>
        <v>0</v>
      </c>
      <c r="AF171" s="23">
        <f>current_coef*(J171-J172)*IF(J172=0,0,1)</f>
        <v>0</v>
      </c>
      <c r="AG171" s="29" t="e">
        <f t="shared" ref="AG171:AG177" si="340">0.001*N171</f>
        <v>#VALUE!</v>
      </c>
      <c r="AH171" s="4">
        <f>BurdenUnc*L171</f>
        <v>0</v>
      </c>
      <c r="AI171" s="4" t="e">
        <f t="shared" ref="AI171:AI177" si="341">0.004*N171</f>
        <v>#VALUE!</v>
      </c>
      <c r="AJ171" s="4">
        <f t="shared" ref="AJ171:AJ185" si="342">earthing_Im</f>
        <v>5.0000000000000001E-4</v>
      </c>
      <c r="AK171" s="21" t="e">
        <f>VLOOKUP($D171,Uncertainties!$B$35:$D$41,3,FALSE)</f>
        <v>#N/A</v>
      </c>
      <c r="AL171" s="21"/>
      <c r="AM171" s="371">
        <f>SQRT((VLOOKUP($A171,'5 A data'!$A$5:$AB$1017,7,FALSE)*mutual_ind)^2+(aux_CT_phase*J171)^2)</f>
        <v>0</v>
      </c>
      <c r="AN171" s="29" t="e">
        <f t="shared" ref="AN171:AN177" si="343">SQRT(SUMSQ(AD171:AM171))</f>
        <v>#VALUE!</v>
      </c>
      <c r="AO171" s="14" t="e">
        <f t="shared" ref="AO171:AO177" si="344">DoF_A(AD171:AM171,$AD$7:$AM$7)</f>
        <v>#VALUE!</v>
      </c>
      <c r="AP171" s="27" t="e">
        <f t="shared" ref="AP171:AP177" si="345">CoverFactor(AO171)</f>
        <v>#VALUE!</v>
      </c>
    </row>
    <row r="172" spans="1:42" x14ac:dyDescent="0.2">
      <c r="A172">
        <v>262</v>
      </c>
      <c r="B172" s="5" t="e">
        <f>B169&amp;D172</f>
        <v>#VALUE!</v>
      </c>
      <c r="C172" s="19">
        <f>VLOOKUP($A172,'5 A data'!$A$5:$AB$519,3,FALSE)</f>
        <v>2.2000000000000006E-2</v>
      </c>
      <c r="D172" s="165">
        <f>ROUND(VLOOKUP($A172,'5 A data'!$A$5:$AB$519,9,FALSE)/10,0)*10</f>
        <v>10</v>
      </c>
      <c r="E172" s="23">
        <f t="shared" ref="E172:E185" si="346">TestSetRatioCor</f>
        <v>0.99936709902044762</v>
      </c>
      <c r="F172" s="23">
        <f t="shared" ref="F172:F185" si="347">TestSetPhaseCor</f>
        <v>1.0011822386327505</v>
      </c>
      <c r="G172" s="23" t="e">
        <f>VLOOKUP($B172,'844400'!$M$171:$U$237,4,FALSE)/10000</f>
        <v>#VALUE!</v>
      </c>
      <c r="H172" s="23" t="e">
        <f>VLOOKUP($B172,'844400'!$M$171:$U$237,5,FALSE)/10000</f>
        <v>#VALUE!</v>
      </c>
      <c r="I172" s="19">
        <f>VLOOKUP($A172,'5 A data'!$A$5:$AB$519,10,FALSE)</f>
        <v>0</v>
      </c>
      <c r="J172" s="32">
        <f>VLOOKUP($A172,'5 A data'!$A$5:$AB$519,11,FALSE)</f>
        <v>0</v>
      </c>
      <c r="K172" s="22">
        <f t="shared" si="331"/>
        <v>0</v>
      </c>
      <c r="L172" s="22">
        <f t="shared" si="331"/>
        <v>0</v>
      </c>
      <c r="M172" s="31" t="e">
        <f t="shared" si="332"/>
        <v>#VALUE!</v>
      </c>
      <c r="N172" s="31" t="e">
        <f t="shared" si="332"/>
        <v>#VALUE!</v>
      </c>
      <c r="O172" s="20"/>
      <c r="P172" s="376" t="e">
        <f>0.0001*VLOOKUP($B172,'844400'!$M$171:$U$237,6,FALSE)/VLOOKUP($B172,'844400'!$M$171:$U$237,8,FALSE)</f>
        <v>#VALUE!</v>
      </c>
      <c r="Q172" s="59">
        <f>VLOOKUP($A172,'5 A data'!$A$5:$AB$519,7,FALSE)*slidewire_res</f>
        <v>0</v>
      </c>
      <c r="R172" s="349">
        <f t="shared" si="333"/>
        <v>0</v>
      </c>
      <c r="S172" s="4">
        <v>0</v>
      </c>
      <c r="T172" s="21">
        <f t="shared" ref="T172:T177" si="348">BurdenUnc*K172</f>
        <v>0</v>
      </c>
      <c r="U172" s="29" t="e">
        <f t="shared" si="334"/>
        <v>#VALUE!</v>
      </c>
      <c r="V172" s="29">
        <f t="shared" si="335"/>
        <v>5.0000000000000001E-4</v>
      </c>
      <c r="W172" s="23">
        <f>VLOOKUP($D172,Uncertainties!$B$35:$D$41,2,FALSE)</f>
        <v>0</v>
      </c>
      <c r="X172" s="23"/>
      <c r="Y172" s="24">
        <f t="shared" si="336"/>
        <v>0</v>
      </c>
      <c r="Z172" s="23" t="e">
        <f t="shared" si="337"/>
        <v>#VALUE!</v>
      </c>
      <c r="AA172" s="25" t="e">
        <f t="shared" si="338"/>
        <v>#VALUE!</v>
      </c>
      <c r="AB172" s="26" t="e">
        <f t="shared" si="339"/>
        <v>#VALUE!</v>
      </c>
      <c r="AC172" s="14"/>
      <c r="AD172" s="253" t="e">
        <f>0.0001*VLOOKUP($B172,'844400'!$M$171:$U$237,7,FALSE)/VLOOKUP($B172,'844400'!$M$171:$U$237,9,FALSE)</f>
        <v>#VALUE!</v>
      </c>
      <c r="AE172" s="368">
        <f>IF(ABS(VLOOKUP($A172,'5 A data'!$A$5:$AB$1017,6,FALSE))&lt;4.5,IF(ABS(VLOOKUP($A172,'5 A data'!$A$5:$AB$1017,6,FALSE))&lt;1.25,0.0008,0.002),0.004)*VLOOKUP($A172,'5 A data'!$A$5:$AB$1017,7,FALSE)*25*RADIANS(1/60)*100</f>
        <v>0</v>
      </c>
      <c r="AF172" s="23">
        <f t="shared" ref="AF172:AF177" si="349">current_coef*(J172-J173)*IF(J173=0,0,1)</f>
        <v>0</v>
      </c>
      <c r="AG172" s="29" t="e">
        <f t="shared" si="340"/>
        <v>#VALUE!</v>
      </c>
      <c r="AH172" s="4">
        <f t="shared" ref="AH172:AH177" si="350">BurdenUnc*L172</f>
        <v>0</v>
      </c>
      <c r="AI172" s="4" t="e">
        <f t="shared" si="341"/>
        <v>#VALUE!</v>
      </c>
      <c r="AJ172" s="4">
        <f t="shared" si="342"/>
        <v>5.0000000000000001E-4</v>
      </c>
      <c r="AK172" s="21">
        <f>VLOOKUP($D172,Uncertainties!$B$35:$D$41,3,FALSE)</f>
        <v>0</v>
      </c>
      <c r="AL172" s="21"/>
      <c r="AM172" s="371">
        <f>SQRT((VLOOKUP($A172,'5 A data'!$A$5:$AB$1017,7,FALSE)*mutual_ind)^2+(aux_CT_phase*J172)^2)</f>
        <v>0</v>
      </c>
      <c r="AN172" s="29" t="e">
        <f t="shared" si="343"/>
        <v>#VALUE!</v>
      </c>
      <c r="AO172" s="14" t="e">
        <f t="shared" si="344"/>
        <v>#VALUE!</v>
      </c>
      <c r="AP172" s="27" t="e">
        <f t="shared" si="345"/>
        <v>#VALUE!</v>
      </c>
    </row>
    <row r="173" spans="1:42" x14ac:dyDescent="0.2">
      <c r="A173" s="69">
        <v>263</v>
      </c>
      <c r="B173" s="5" t="e">
        <f>B169&amp;D173</f>
        <v>#VALUE!</v>
      </c>
      <c r="C173" s="19">
        <f>VLOOKUP($A173,'5 A data'!$A$5:$AB$519,3,FALSE)</f>
        <v>2.2000000000000006E-2</v>
      </c>
      <c r="D173" s="165">
        <f>ROUND(VLOOKUP($A173,'5 A data'!$A$5:$AB$519,9,FALSE)/10,0)*10</f>
        <v>10</v>
      </c>
      <c r="E173" s="23">
        <f t="shared" si="346"/>
        <v>0.99936709902044762</v>
      </c>
      <c r="F173" s="23">
        <f t="shared" si="347"/>
        <v>1.0011822386327505</v>
      </c>
      <c r="G173" s="23" t="e">
        <f>VLOOKUP($B173,'844400'!$M$171:$U$237,4,FALSE)/10000</f>
        <v>#VALUE!</v>
      </c>
      <c r="H173" s="23" t="e">
        <f>VLOOKUP($B173,'844400'!$M$171:$U$237,5,FALSE)/10000</f>
        <v>#VALUE!</v>
      </c>
      <c r="I173" s="19">
        <f>VLOOKUP($A173,'5 A data'!$A$5:$AB$519,10,FALSE)</f>
        <v>0</v>
      </c>
      <c r="J173" s="32">
        <f>VLOOKUP($A173,'5 A data'!$A$5:$AB$519,11,FALSE)</f>
        <v>0</v>
      </c>
      <c r="K173" s="22">
        <f t="shared" si="331"/>
        <v>0</v>
      </c>
      <c r="L173" s="22">
        <f t="shared" si="331"/>
        <v>0</v>
      </c>
      <c r="M173" s="31" t="e">
        <f t="shared" si="332"/>
        <v>#VALUE!</v>
      </c>
      <c r="N173" s="31" t="e">
        <f t="shared" si="332"/>
        <v>#VALUE!</v>
      </c>
      <c r="O173" s="20"/>
      <c r="P173" s="376" t="e">
        <f>0.0001*VLOOKUP($B173,'844400'!$M$171:$U$237,6,FALSE)/VLOOKUP($B173,'844400'!$M$171:$U$237,8,FALSE)</f>
        <v>#VALUE!</v>
      </c>
      <c r="Q173" s="59">
        <f>VLOOKUP($A173,'5 A data'!$A$5:$AB$519,7,FALSE)*slidewire_res</f>
        <v>0</v>
      </c>
      <c r="R173" s="349">
        <f t="shared" si="333"/>
        <v>0</v>
      </c>
      <c r="S173" s="4">
        <v>0</v>
      </c>
      <c r="T173" s="21">
        <f t="shared" si="348"/>
        <v>0</v>
      </c>
      <c r="U173" s="29" t="e">
        <f t="shared" si="334"/>
        <v>#VALUE!</v>
      </c>
      <c r="V173" s="29">
        <f t="shared" si="335"/>
        <v>5.0000000000000001E-4</v>
      </c>
      <c r="W173" s="23">
        <f>VLOOKUP($D173,Uncertainties!$B$35:$D$41,2,FALSE)</f>
        <v>0</v>
      </c>
      <c r="X173" s="23"/>
      <c r="Y173" s="24">
        <f t="shared" si="336"/>
        <v>0</v>
      </c>
      <c r="Z173" s="23" t="e">
        <f t="shared" si="337"/>
        <v>#VALUE!</v>
      </c>
      <c r="AA173" s="25" t="e">
        <f t="shared" si="338"/>
        <v>#VALUE!</v>
      </c>
      <c r="AB173" s="26" t="e">
        <f t="shared" si="339"/>
        <v>#VALUE!</v>
      </c>
      <c r="AC173" s="14"/>
      <c r="AD173" s="253" t="e">
        <f>0.0001*VLOOKUP($B173,'844400'!$M$171:$U$237,7,FALSE)/VLOOKUP($B173,'844400'!$M$171:$U$237,9,FALSE)</f>
        <v>#VALUE!</v>
      </c>
      <c r="AE173" s="368">
        <f>IF(ABS(VLOOKUP($A173,'5 A data'!$A$5:$AB$1017,6,FALSE))&lt;4.5,IF(ABS(VLOOKUP($A173,'5 A data'!$A$5:$AB$1017,6,FALSE))&lt;1.25,0.0008,0.002),0.004)*VLOOKUP($A173,'5 A data'!$A$5:$AB$1017,7,FALSE)*25*RADIANS(1/60)*100</f>
        <v>0</v>
      </c>
      <c r="AF173" s="23">
        <f t="shared" si="349"/>
        <v>0</v>
      </c>
      <c r="AG173" s="29" t="e">
        <f t="shared" si="340"/>
        <v>#VALUE!</v>
      </c>
      <c r="AH173" s="4">
        <f t="shared" si="350"/>
        <v>0</v>
      </c>
      <c r="AI173" s="4" t="e">
        <f t="shared" si="341"/>
        <v>#VALUE!</v>
      </c>
      <c r="AJ173" s="4">
        <f t="shared" si="342"/>
        <v>5.0000000000000001E-4</v>
      </c>
      <c r="AK173" s="21">
        <f>VLOOKUP($D173,Uncertainties!$B$35:$D$41,3,FALSE)</f>
        <v>0</v>
      </c>
      <c r="AL173" s="21"/>
      <c r="AM173" s="371">
        <f>SQRT((VLOOKUP($A173,'5 A data'!$A$5:$AB$1017,7,FALSE)*mutual_ind)^2+(aux_CT_phase*J173)^2)</f>
        <v>0</v>
      </c>
      <c r="AN173" s="29" t="e">
        <f t="shared" si="343"/>
        <v>#VALUE!</v>
      </c>
      <c r="AO173" s="14" t="e">
        <f t="shared" si="344"/>
        <v>#VALUE!</v>
      </c>
      <c r="AP173" s="27" t="e">
        <f t="shared" si="345"/>
        <v>#VALUE!</v>
      </c>
    </row>
    <row r="174" spans="1:42" x14ac:dyDescent="0.2">
      <c r="A174">
        <v>264</v>
      </c>
      <c r="B174" s="5" t="e">
        <f>B169&amp;D174</f>
        <v>#VALUE!</v>
      </c>
      <c r="C174" s="19">
        <f>VLOOKUP($A174,'5 A data'!$A$5:$AB$519,3,FALSE)</f>
        <v>2.2000000000000006E-2</v>
      </c>
      <c r="D174" s="165">
        <f>ROUND(VLOOKUP($A174,'5 A data'!$A$5:$AB$519,9,FALSE)/10,0)*10</f>
        <v>20</v>
      </c>
      <c r="E174" s="23">
        <f t="shared" si="346"/>
        <v>0.99936709902044762</v>
      </c>
      <c r="F174" s="23">
        <f t="shared" si="347"/>
        <v>1.0011822386327505</v>
      </c>
      <c r="G174" s="23" t="e">
        <f>VLOOKUP($B174,'844400'!$M$171:$U$237,4,FALSE)/10000</f>
        <v>#VALUE!</v>
      </c>
      <c r="H174" s="23" t="e">
        <f>VLOOKUP($B174,'844400'!$M$171:$U$237,5,FALSE)/10000</f>
        <v>#VALUE!</v>
      </c>
      <c r="I174" s="19">
        <f>VLOOKUP($A174,'5 A data'!$A$5:$AB$519,10,FALSE)</f>
        <v>0</v>
      </c>
      <c r="J174" s="32">
        <f>VLOOKUP($A174,'5 A data'!$A$5:$AB$519,11,FALSE)</f>
        <v>0</v>
      </c>
      <c r="K174" s="22">
        <f>I174-I182</f>
        <v>0</v>
      </c>
      <c r="L174" s="22">
        <f>J174-J182</f>
        <v>0</v>
      </c>
      <c r="M174" s="31" t="e">
        <f>I174*E174+G174-K174*($C174-high_burden)/($C174-$C182)</f>
        <v>#VALUE!</v>
      </c>
      <c r="N174" s="31" t="e">
        <f>J174*F174+H174-L174*($C174-high_burden)/($C174-$C182)</f>
        <v>#VALUE!</v>
      </c>
      <c r="O174" s="20"/>
      <c r="P174" s="376" t="e">
        <f>0.0001*VLOOKUP($B174,'844400'!$M$171:$U$237,6,FALSE)/VLOOKUP($B174,'844400'!$M$171:$U$237,8,FALSE)</f>
        <v>#VALUE!</v>
      </c>
      <c r="Q174" s="59">
        <f>VLOOKUP($A174,'5 A data'!$A$5:$AB$519,7,FALSE)*slidewire_res</f>
        <v>0</v>
      </c>
      <c r="R174" s="349">
        <f t="shared" si="333"/>
        <v>0</v>
      </c>
      <c r="S174" s="4">
        <v>0</v>
      </c>
      <c r="T174" s="21">
        <f t="shared" si="348"/>
        <v>0</v>
      </c>
      <c r="U174" s="29" t="e">
        <f t="shared" si="334"/>
        <v>#VALUE!</v>
      </c>
      <c r="V174" s="29">
        <f t="shared" si="335"/>
        <v>5.0000000000000001E-4</v>
      </c>
      <c r="W174" s="23">
        <f>VLOOKUP($D174,Uncertainties!$B$35:$D$41,2,FALSE)</f>
        <v>0</v>
      </c>
      <c r="X174" s="23"/>
      <c r="Y174" s="24">
        <f t="shared" si="336"/>
        <v>0</v>
      </c>
      <c r="Z174" s="23" t="e">
        <f t="shared" si="337"/>
        <v>#VALUE!</v>
      </c>
      <c r="AA174" s="25" t="e">
        <f t="shared" si="338"/>
        <v>#VALUE!</v>
      </c>
      <c r="AB174" s="26" t="e">
        <f t="shared" si="339"/>
        <v>#VALUE!</v>
      </c>
      <c r="AC174" s="14"/>
      <c r="AD174" s="253" t="e">
        <f>0.0001*VLOOKUP($B174,'844400'!$M$171:$U$237,7,FALSE)/VLOOKUP($B174,'844400'!$M$171:$U$237,9,FALSE)</f>
        <v>#VALUE!</v>
      </c>
      <c r="AE174" s="368">
        <f>IF(ABS(VLOOKUP($A174,'5 A data'!$A$5:$AB$1017,6,FALSE))&lt;4.5,IF(ABS(VLOOKUP($A174,'5 A data'!$A$5:$AB$1017,6,FALSE))&lt;1.25,0.0008,0.002),0.004)*VLOOKUP($A174,'5 A data'!$A$5:$AB$1017,7,FALSE)*25*RADIANS(1/60)*100</f>
        <v>0</v>
      </c>
      <c r="AF174" s="23">
        <f t="shared" si="349"/>
        <v>0</v>
      </c>
      <c r="AG174" s="29" t="e">
        <f t="shared" si="340"/>
        <v>#VALUE!</v>
      </c>
      <c r="AH174" s="4">
        <f t="shared" si="350"/>
        <v>0</v>
      </c>
      <c r="AI174" s="4" t="e">
        <f t="shared" si="341"/>
        <v>#VALUE!</v>
      </c>
      <c r="AJ174" s="4">
        <f t="shared" si="342"/>
        <v>5.0000000000000001E-4</v>
      </c>
      <c r="AK174" s="21">
        <f>VLOOKUP($D174,Uncertainties!$B$35:$D$41,3,FALSE)</f>
        <v>0</v>
      </c>
      <c r="AL174" s="21"/>
      <c r="AM174" s="371">
        <f>SQRT((VLOOKUP($A174,'5 A data'!$A$5:$AB$1017,7,FALSE)*mutual_ind)^2+(aux_CT_phase*J174)^2)</f>
        <v>0</v>
      </c>
      <c r="AN174" s="29" t="e">
        <f t="shared" si="343"/>
        <v>#VALUE!</v>
      </c>
      <c r="AO174" s="14" t="e">
        <f t="shared" si="344"/>
        <v>#VALUE!</v>
      </c>
      <c r="AP174" s="27" t="e">
        <f t="shared" si="345"/>
        <v>#VALUE!</v>
      </c>
    </row>
    <row r="175" spans="1:42" x14ac:dyDescent="0.2">
      <c r="A175" s="69">
        <v>265</v>
      </c>
      <c r="B175" s="5" t="e">
        <f>B169&amp;D175</f>
        <v>#VALUE!</v>
      </c>
      <c r="C175" s="19">
        <f>VLOOKUP($A175,'5 A data'!$A$5:$AB$519,3,FALSE)</f>
        <v>2.2000000000000006E-2</v>
      </c>
      <c r="D175" s="165">
        <f>ROUND(VLOOKUP($A175,'5 A data'!$A$5:$AB$519,9,FALSE)/10,0)*10</f>
        <v>40</v>
      </c>
      <c r="E175" s="23">
        <f t="shared" si="346"/>
        <v>0.99936709902044762</v>
      </c>
      <c r="F175" s="23">
        <f t="shared" si="347"/>
        <v>1.0011822386327505</v>
      </c>
      <c r="G175" s="23" t="e">
        <f>VLOOKUP($B175,'844400'!$M$171:$U$237,4,FALSE)/10000</f>
        <v>#VALUE!</v>
      </c>
      <c r="H175" s="23" t="e">
        <f>VLOOKUP($B175,'844400'!$M$171:$U$237,5,FALSE)/10000</f>
        <v>#VALUE!</v>
      </c>
      <c r="I175" s="19">
        <f>VLOOKUP($A175,'5 A data'!$A$5:$AB$519,10,FALSE)</f>
        <v>0</v>
      </c>
      <c r="J175" s="32">
        <f>VLOOKUP($A175,'5 A data'!$A$5:$AB$519,11,FALSE)</f>
        <v>0</v>
      </c>
      <c r="K175" s="22">
        <f t="shared" ref="K175:L177" si="351">I175-I183</f>
        <v>0</v>
      </c>
      <c r="L175" s="22">
        <f t="shared" si="351"/>
        <v>0</v>
      </c>
      <c r="M175" s="31" t="e">
        <f t="shared" ref="M175:N177" si="352">I175*E175+G175-K175*($C175-high_burden)/($C175-$C183)</f>
        <v>#VALUE!</v>
      </c>
      <c r="N175" s="31" t="e">
        <f t="shared" si="352"/>
        <v>#VALUE!</v>
      </c>
      <c r="O175" s="20"/>
      <c r="P175" s="376" t="e">
        <f>0.0001*VLOOKUP($B175,'844400'!$M$171:$U$237,6,FALSE)/VLOOKUP($B175,'844400'!$M$171:$U$237,8,FALSE)</f>
        <v>#VALUE!</v>
      </c>
      <c r="Q175" s="59">
        <f>VLOOKUP($A175,'5 A data'!$A$5:$AB$519,7,FALSE)*slidewire_res</f>
        <v>0</v>
      </c>
      <c r="R175" s="349">
        <f t="shared" si="333"/>
        <v>0</v>
      </c>
      <c r="S175" s="4">
        <v>0</v>
      </c>
      <c r="T175" s="21">
        <f t="shared" si="348"/>
        <v>0</v>
      </c>
      <c r="U175" s="29" t="e">
        <f t="shared" si="334"/>
        <v>#VALUE!</v>
      </c>
      <c r="V175" s="29">
        <f t="shared" si="335"/>
        <v>5.0000000000000001E-4</v>
      </c>
      <c r="W175" s="23">
        <f>VLOOKUP($D175,Uncertainties!$B$35:$D$41,2,FALSE)</f>
        <v>0</v>
      </c>
      <c r="X175" s="23"/>
      <c r="Y175" s="24">
        <f t="shared" si="336"/>
        <v>0</v>
      </c>
      <c r="Z175" s="23" t="e">
        <f t="shared" si="337"/>
        <v>#VALUE!</v>
      </c>
      <c r="AA175" s="25" t="e">
        <f t="shared" si="338"/>
        <v>#VALUE!</v>
      </c>
      <c r="AB175" s="26" t="e">
        <f t="shared" si="339"/>
        <v>#VALUE!</v>
      </c>
      <c r="AC175" s="14"/>
      <c r="AD175" s="253" t="e">
        <f>0.0001*VLOOKUP($B175,'844400'!$M$171:$U$237,7,FALSE)/VLOOKUP($B175,'844400'!$M$171:$U$237,9,FALSE)</f>
        <v>#VALUE!</v>
      </c>
      <c r="AE175" s="368">
        <f>IF(ABS(VLOOKUP($A175,'5 A data'!$A$5:$AB$1017,6,FALSE))&lt;4.5,IF(ABS(VLOOKUP($A175,'5 A data'!$A$5:$AB$1017,6,FALSE))&lt;1.25,0.0008,0.002),0.004)*VLOOKUP($A175,'5 A data'!$A$5:$AB$1017,7,FALSE)*25*RADIANS(1/60)*100</f>
        <v>0</v>
      </c>
      <c r="AF175" s="23">
        <f t="shared" si="349"/>
        <v>0</v>
      </c>
      <c r="AG175" s="29" t="e">
        <f t="shared" si="340"/>
        <v>#VALUE!</v>
      </c>
      <c r="AH175" s="4">
        <f t="shared" si="350"/>
        <v>0</v>
      </c>
      <c r="AI175" s="4" t="e">
        <f t="shared" si="341"/>
        <v>#VALUE!</v>
      </c>
      <c r="AJ175" s="4">
        <f t="shared" si="342"/>
        <v>5.0000000000000001E-4</v>
      </c>
      <c r="AK175" s="21">
        <f>VLOOKUP($D175,Uncertainties!$B$35:$D$41,3,FALSE)</f>
        <v>0</v>
      </c>
      <c r="AL175" s="21"/>
      <c r="AM175" s="371">
        <f>SQRT((VLOOKUP($A175,'5 A data'!$A$5:$AB$1017,7,FALSE)*mutual_ind)^2+(aux_CT_phase*J175)^2)</f>
        <v>0</v>
      </c>
      <c r="AN175" s="29" t="e">
        <f t="shared" si="343"/>
        <v>#VALUE!</v>
      </c>
      <c r="AO175" s="14" t="e">
        <f t="shared" si="344"/>
        <v>#VALUE!</v>
      </c>
      <c r="AP175" s="27" t="e">
        <f t="shared" si="345"/>
        <v>#VALUE!</v>
      </c>
    </row>
    <row r="176" spans="1:42" x14ac:dyDescent="0.2">
      <c r="A176">
        <v>266</v>
      </c>
      <c r="B176" s="5" t="e">
        <f>B169&amp;D176</f>
        <v>#VALUE!</v>
      </c>
      <c r="C176" s="19">
        <f>VLOOKUP($A176,'5 A data'!$A$5:$AB$519,3,FALSE)</f>
        <v>2.2000000000000006E-2</v>
      </c>
      <c r="D176" s="166">
        <f>ROUND(VLOOKUP($A176,'5 A data'!$A$5:$AB$519,9,FALSE)/10,0)*10</f>
        <v>60</v>
      </c>
      <c r="E176" s="23">
        <f t="shared" si="346"/>
        <v>0.99936709902044762</v>
      </c>
      <c r="F176" s="23">
        <f t="shared" si="347"/>
        <v>1.0011822386327505</v>
      </c>
      <c r="G176" s="23" t="e">
        <f>VLOOKUP($B176,'844400'!$M$171:$U$237,4,FALSE)/10000</f>
        <v>#VALUE!</v>
      </c>
      <c r="H176" s="23" t="e">
        <f>VLOOKUP($B176,'844400'!$M$171:$U$237,5,FALSE)/10000</f>
        <v>#VALUE!</v>
      </c>
      <c r="I176" s="19">
        <f>VLOOKUP($A176,'5 A data'!$A$5:$AB$519,10,FALSE)</f>
        <v>0</v>
      </c>
      <c r="J176" s="32">
        <f>VLOOKUP($A176,'5 A data'!$A$5:$AB$519,11,FALSE)</f>
        <v>0</v>
      </c>
      <c r="K176" s="22">
        <f t="shared" si="351"/>
        <v>0</v>
      </c>
      <c r="L176" s="22">
        <f t="shared" si="351"/>
        <v>0</v>
      </c>
      <c r="M176" s="31" t="e">
        <f t="shared" si="352"/>
        <v>#VALUE!</v>
      </c>
      <c r="N176" s="31" t="e">
        <f t="shared" si="352"/>
        <v>#VALUE!</v>
      </c>
      <c r="O176" s="20"/>
      <c r="P176" s="376" t="e">
        <f>0.0001*VLOOKUP($B176,'844400'!$M$171:$U$237,6,FALSE)/VLOOKUP($B176,'844400'!$M$171:$U$237,8,FALSE)</f>
        <v>#VALUE!</v>
      </c>
      <c r="Q176" s="59">
        <f>VLOOKUP($A176,'5 A data'!$A$5:$AB$519,7,FALSE)*slidewire_res</f>
        <v>0</v>
      </c>
      <c r="R176" s="349">
        <f t="shared" si="333"/>
        <v>0</v>
      </c>
      <c r="S176" s="4">
        <v>0</v>
      </c>
      <c r="T176" s="21">
        <f t="shared" si="348"/>
        <v>0</v>
      </c>
      <c r="U176" s="29" t="e">
        <f t="shared" si="334"/>
        <v>#VALUE!</v>
      </c>
      <c r="V176" s="29">
        <f t="shared" si="335"/>
        <v>5.0000000000000001E-4</v>
      </c>
      <c r="W176" s="23">
        <f>VLOOKUP($D176,Uncertainties!$B$35:$D$41,2,FALSE)</f>
        <v>0</v>
      </c>
      <c r="X176" s="23"/>
      <c r="Y176" s="24">
        <f t="shared" si="336"/>
        <v>0</v>
      </c>
      <c r="Z176" s="23" t="e">
        <f t="shared" si="337"/>
        <v>#VALUE!</v>
      </c>
      <c r="AA176" s="25" t="e">
        <f t="shared" si="338"/>
        <v>#VALUE!</v>
      </c>
      <c r="AB176" s="26" t="e">
        <f t="shared" si="339"/>
        <v>#VALUE!</v>
      </c>
      <c r="AC176" s="14"/>
      <c r="AD176" s="253" t="e">
        <f>0.0001*VLOOKUP($B176,'844400'!$M$171:$U$237,7,FALSE)/VLOOKUP($B176,'844400'!$M$171:$U$237,9,FALSE)</f>
        <v>#VALUE!</v>
      </c>
      <c r="AE176" s="368">
        <f>IF(ABS(VLOOKUP($A176,'5 A data'!$A$5:$AB$1017,6,FALSE))&lt;4.5,IF(ABS(VLOOKUP($A176,'5 A data'!$A$5:$AB$1017,6,FALSE))&lt;1.25,0.0008,0.002),0.004)*VLOOKUP($A176,'5 A data'!$A$5:$AB$1017,7,FALSE)*25*RADIANS(1/60)*100</f>
        <v>0</v>
      </c>
      <c r="AF176" s="23">
        <f t="shared" si="349"/>
        <v>0</v>
      </c>
      <c r="AG176" s="29" t="e">
        <f t="shared" si="340"/>
        <v>#VALUE!</v>
      </c>
      <c r="AH176" s="4">
        <f t="shared" si="350"/>
        <v>0</v>
      </c>
      <c r="AI176" s="4" t="e">
        <f t="shared" si="341"/>
        <v>#VALUE!</v>
      </c>
      <c r="AJ176" s="4">
        <f t="shared" si="342"/>
        <v>5.0000000000000001E-4</v>
      </c>
      <c r="AK176" s="21">
        <f>VLOOKUP($D176,Uncertainties!$B$35:$D$41,3,FALSE)</f>
        <v>0</v>
      </c>
      <c r="AL176" s="21"/>
      <c r="AM176" s="371">
        <f>SQRT((VLOOKUP($A176,'5 A data'!$A$5:$AB$1017,7,FALSE)*mutual_ind)^2+(aux_CT_phase*J176)^2)</f>
        <v>0</v>
      </c>
      <c r="AN176" s="29" t="e">
        <f t="shared" si="343"/>
        <v>#VALUE!</v>
      </c>
      <c r="AO176" s="14" t="e">
        <f t="shared" si="344"/>
        <v>#VALUE!</v>
      </c>
      <c r="AP176" s="27" t="e">
        <f t="shared" si="345"/>
        <v>#VALUE!</v>
      </c>
    </row>
    <row r="177" spans="1:42" x14ac:dyDescent="0.2">
      <c r="A177" s="69">
        <v>267</v>
      </c>
      <c r="B177" s="5" t="e">
        <f>B169&amp;D177</f>
        <v>#VALUE!</v>
      </c>
      <c r="C177" s="19">
        <f>VLOOKUP($A177,'5 A data'!$A$5:$AB$519,3,FALSE)</f>
        <v>2.2000000000000006E-2</v>
      </c>
      <c r="D177" s="166">
        <f>ROUND(VLOOKUP($A177,'5 A data'!$A$5:$AB$519,9,FALSE)/10,0)*10</f>
        <v>100</v>
      </c>
      <c r="E177" s="23">
        <f t="shared" si="346"/>
        <v>0.99936709902044762</v>
      </c>
      <c r="F177" s="23">
        <f t="shared" si="347"/>
        <v>1.0011822386327505</v>
      </c>
      <c r="G177" s="23" t="e">
        <f>VLOOKUP($B177,'844400'!$M$171:$U$237,4,FALSE)/10000</f>
        <v>#VALUE!</v>
      </c>
      <c r="H177" s="23" t="e">
        <f>VLOOKUP($B177,'844400'!$M$171:$U$237,5,FALSE)/10000</f>
        <v>#VALUE!</v>
      </c>
      <c r="I177" s="19">
        <f>VLOOKUP($A177,'5 A data'!$A$5:$AB$519,10,FALSE)</f>
        <v>0</v>
      </c>
      <c r="J177" s="32">
        <f>VLOOKUP($A177,'5 A data'!$A$5:$AB$519,11,FALSE)</f>
        <v>0</v>
      </c>
      <c r="K177" s="22">
        <f t="shared" si="351"/>
        <v>0</v>
      </c>
      <c r="L177" s="22">
        <f t="shared" si="351"/>
        <v>0</v>
      </c>
      <c r="M177" s="31" t="e">
        <f t="shared" si="352"/>
        <v>#VALUE!</v>
      </c>
      <c r="N177" s="31" t="e">
        <f t="shared" si="352"/>
        <v>#VALUE!</v>
      </c>
      <c r="O177" s="20"/>
      <c r="P177" s="376" t="e">
        <f>0.0001*VLOOKUP($B177,'844400'!$M$171:$U$237,6,FALSE)/VLOOKUP($B177,'844400'!$M$171:$U$237,8,FALSE)</f>
        <v>#VALUE!</v>
      </c>
      <c r="Q177" s="59">
        <f>VLOOKUP($A177,'5 A data'!$A$5:$AB$519,7,FALSE)*slidewire_res</f>
        <v>0</v>
      </c>
      <c r="R177" s="349">
        <f t="shared" si="333"/>
        <v>0</v>
      </c>
      <c r="S177" s="4">
        <v>0</v>
      </c>
      <c r="T177" s="21">
        <f t="shared" si="348"/>
        <v>0</v>
      </c>
      <c r="U177" s="29" t="e">
        <f t="shared" si="334"/>
        <v>#VALUE!</v>
      </c>
      <c r="V177" s="29">
        <f t="shared" si="335"/>
        <v>5.0000000000000001E-4</v>
      </c>
      <c r="W177" s="23">
        <f>VLOOKUP($D177,Uncertainties!$B$35:$D$41,2,FALSE)</f>
        <v>0</v>
      </c>
      <c r="X177" s="23"/>
      <c r="Y177" s="24">
        <f t="shared" si="336"/>
        <v>0</v>
      </c>
      <c r="Z177" s="23" t="e">
        <f t="shared" si="337"/>
        <v>#VALUE!</v>
      </c>
      <c r="AA177" s="25" t="e">
        <f t="shared" si="338"/>
        <v>#VALUE!</v>
      </c>
      <c r="AB177" s="26" t="e">
        <f t="shared" si="339"/>
        <v>#VALUE!</v>
      </c>
      <c r="AC177" s="14"/>
      <c r="AD177" s="253" t="e">
        <f>0.0001*VLOOKUP($B177,'844400'!$M$171:$U$237,7,FALSE)/VLOOKUP($B177,'844400'!$M$171:$U$237,9,FALSE)</f>
        <v>#VALUE!</v>
      </c>
      <c r="AE177" s="368">
        <f>IF(ABS(VLOOKUP($A177,'5 A data'!$A$5:$AB$1017,6,FALSE))&lt;4.5,IF(ABS(VLOOKUP($A177,'5 A data'!$A$5:$AB$1017,6,FALSE))&lt;1.25,0.0008,0.002),0.004)*VLOOKUP($A177,'5 A data'!$A$5:$AB$1017,7,FALSE)*25*RADIANS(1/60)*100</f>
        <v>0</v>
      </c>
      <c r="AF177" s="23">
        <f t="shared" si="349"/>
        <v>0</v>
      </c>
      <c r="AG177" s="29" t="e">
        <f t="shared" si="340"/>
        <v>#VALUE!</v>
      </c>
      <c r="AH177" s="4">
        <f t="shared" si="350"/>
        <v>0</v>
      </c>
      <c r="AI177" s="4" t="e">
        <f t="shared" si="341"/>
        <v>#VALUE!</v>
      </c>
      <c r="AJ177" s="4">
        <f t="shared" si="342"/>
        <v>5.0000000000000001E-4</v>
      </c>
      <c r="AK177" s="21">
        <f>VLOOKUP($D177,Uncertainties!$B$35:$D$41,3,FALSE)</f>
        <v>0</v>
      </c>
      <c r="AL177" s="21"/>
      <c r="AM177" s="371">
        <f>SQRT((VLOOKUP($A177,'5 A data'!$A$5:$AB$1017,7,FALSE)*mutual_ind)^2+(aux_CT_phase*J177)^2)</f>
        <v>0</v>
      </c>
      <c r="AN177" s="29" t="e">
        <f t="shared" si="343"/>
        <v>#VALUE!</v>
      </c>
      <c r="AO177" s="14" t="e">
        <f t="shared" si="344"/>
        <v>#VALUE!</v>
      </c>
      <c r="AP177" s="27" t="e">
        <f t="shared" si="345"/>
        <v>#VALUE!</v>
      </c>
    </row>
    <row r="178" spans="1:42" x14ac:dyDescent="0.2">
      <c r="A178">
        <v>268</v>
      </c>
      <c r="B178" s="5"/>
      <c r="C178" s="19"/>
      <c r="D178" s="19"/>
      <c r="E178" s="23"/>
      <c r="F178" s="23"/>
      <c r="G178" s="23"/>
      <c r="H178" s="23"/>
      <c r="I178" s="19"/>
      <c r="J178" s="32"/>
      <c r="K178" s="31"/>
      <c r="L178" s="31"/>
      <c r="M178" s="533" t="s">
        <v>94</v>
      </c>
      <c r="N178" s="533"/>
      <c r="O178" s="20"/>
      <c r="P178" s="376"/>
      <c r="Q178" s="59"/>
      <c r="R178" s="349"/>
      <c r="S178" s="4"/>
      <c r="T178" s="4"/>
      <c r="U178" s="29"/>
      <c r="V178" s="29"/>
      <c r="W178" s="29"/>
      <c r="X178" s="29"/>
      <c r="Y178" s="24"/>
      <c r="Z178" s="29"/>
      <c r="AA178" s="25"/>
      <c r="AB178" s="26"/>
      <c r="AC178" s="14"/>
      <c r="AD178" s="253"/>
      <c r="AE178" s="35"/>
      <c r="AF178" s="28"/>
      <c r="AG178" s="29"/>
      <c r="AH178" s="4"/>
      <c r="AI178" s="4"/>
      <c r="AJ178" s="4"/>
      <c r="AK178" s="4"/>
      <c r="AL178" s="4"/>
      <c r="AM178" s="24"/>
      <c r="AN178" s="29"/>
      <c r="AO178" s="14"/>
      <c r="AP178" s="27"/>
    </row>
    <row r="179" spans="1:42" x14ac:dyDescent="0.2">
      <c r="A179" s="69">
        <v>269</v>
      </c>
      <c r="B179" s="5" t="e">
        <f>B169&amp;D179</f>
        <v>#VALUE!</v>
      </c>
      <c r="C179" s="19">
        <f>VLOOKUP($A179,'5 A data'!$A$5:$AB$519,3,FALSE)</f>
        <v>0</v>
      </c>
      <c r="D179" s="19">
        <f>ROUND(VLOOKUP($A179,'5 A data'!$A$5:$AB$519,9,FALSE),0)</f>
        <v>0</v>
      </c>
      <c r="E179" s="23">
        <f t="shared" si="346"/>
        <v>0.99936709902044762</v>
      </c>
      <c r="F179" s="23">
        <f t="shared" si="347"/>
        <v>1.0011822386327505</v>
      </c>
      <c r="G179" s="23" t="e">
        <f>VLOOKUP($B179,'844400'!$M$171:$U$237,4,FALSE)/10000</f>
        <v>#VALUE!</v>
      </c>
      <c r="H179" s="23" t="e">
        <f>VLOOKUP($B179,'844400'!$M$171:$U$237,5,FALSE)/10000</f>
        <v>#VALUE!</v>
      </c>
      <c r="I179" s="19">
        <f>VLOOKUP($A179,'5 A data'!$A$5:$AB$519,10,FALSE)</f>
        <v>0</v>
      </c>
      <c r="J179" s="32">
        <f>VLOOKUP($A179,'5 A data'!$A$5:$AB$519,11,FALSE)</f>
        <v>0</v>
      </c>
      <c r="K179" s="31"/>
      <c r="L179" s="31"/>
      <c r="M179" s="31" t="e">
        <f t="shared" ref="M179:N181" si="353">I179*E179+G179+K171*(low__burden-$C179)/($C171-$C179)</f>
        <v>#VALUE!</v>
      </c>
      <c r="N179" s="31" t="e">
        <f t="shared" si="353"/>
        <v>#VALUE!</v>
      </c>
      <c r="O179" s="20"/>
      <c r="P179" s="376" t="e">
        <f>0.0001*VLOOKUP($B179,'844400'!$M$171:$U$237,6,FALSE)/VLOOKUP($B179,'844400'!$M$171:$U$237,8,FALSE)</f>
        <v>#VALUE!</v>
      </c>
      <c r="Q179" s="59">
        <f>VLOOKUP($A179,'5 A data'!$A$5:$AB$519,7,FALSE)*slidewire_res</f>
        <v>0</v>
      </c>
      <c r="R179" s="349">
        <f t="shared" ref="R179:R185" si="354">current_coef*(I179-I180)*IF(I180=0,0,1)</f>
        <v>0</v>
      </c>
      <c r="S179" s="4">
        <v>0</v>
      </c>
      <c r="T179" s="4">
        <f>BurdenUnc*K171</f>
        <v>0</v>
      </c>
      <c r="U179" s="29" t="e">
        <f t="shared" ref="U179:U185" si="355">0.004*M179</f>
        <v>#VALUE!</v>
      </c>
      <c r="V179" s="29">
        <f t="shared" si="335"/>
        <v>5.0000000000000001E-4</v>
      </c>
      <c r="W179" s="23" t="e">
        <f>VLOOKUP($D179,Uncertainties!$B$35:$D$41,2,FALSE)</f>
        <v>#N/A</v>
      </c>
      <c r="X179" s="23"/>
      <c r="Y179" s="24">
        <f t="shared" ref="Y179:Y185" si="356">I179*aux_CT_ratio</f>
        <v>0</v>
      </c>
      <c r="Z179" s="23" t="e">
        <f t="shared" ref="Z179:Z185" si="357">SQRT(SUMSQ(P179:Y179))</f>
        <v>#VALUE!</v>
      </c>
      <c r="AA179" s="25" t="e">
        <f t="shared" ref="AA179:AA185" si="358">DoF_A(P179:Y179,$P$7:$Y$7)</f>
        <v>#VALUE!</v>
      </c>
      <c r="AB179" s="26" t="e">
        <f t="shared" ref="AB179:AB185" si="359">CoverFactor(AA179)</f>
        <v>#VALUE!</v>
      </c>
      <c r="AC179" s="14"/>
      <c r="AD179" s="253" t="e">
        <f>0.0001*VLOOKUP($B179,'844400'!$M$171:$U$237,7,FALSE)/VLOOKUP($B179,'844400'!$M$171:$U$237,9,FALSE)</f>
        <v>#VALUE!</v>
      </c>
      <c r="AE179" s="368">
        <f>IF(ABS(VLOOKUP($A179,'5 A data'!$A$5:$AB$1017,6,FALSE))&lt;4.5,IF(ABS(VLOOKUP($A179,'5 A data'!$A$5:$AB$1017,6,FALSE))&lt;1.25,0.0008,0.002),0.004)*VLOOKUP($A179,'5 A data'!$A$5:$AB$1017,7,FALSE)*25*RADIANS(1/60)*100</f>
        <v>0</v>
      </c>
      <c r="AF179" s="23">
        <f t="shared" ref="AF179:AF185" si="360">current_coef*(J179-J180)*IF(J180=0,0,1)</f>
        <v>0</v>
      </c>
      <c r="AG179" s="29" t="e">
        <f t="shared" ref="AG179:AG185" si="361">0.001*N179</f>
        <v>#VALUE!</v>
      </c>
      <c r="AH179" s="4">
        <f>BurdenUnc*L171</f>
        <v>0</v>
      </c>
      <c r="AI179" s="4" t="e">
        <f t="shared" ref="AI179:AI185" si="362">0.004*N179</f>
        <v>#VALUE!</v>
      </c>
      <c r="AJ179" s="4">
        <f t="shared" si="342"/>
        <v>5.0000000000000001E-4</v>
      </c>
      <c r="AK179" s="21" t="e">
        <f>VLOOKUP($D179,Uncertainties!$B$35:$D$41,3,FALSE)</f>
        <v>#N/A</v>
      </c>
      <c r="AL179" s="21"/>
      <c r="AM179" s="371">
        <f>SQRT((VLOOKUP($A179,'5 A data'!$A$5:$AB$1017,7,FALSE)*mutual_ind)^2+(aux_CT_phase*J179)^2)</f>
        <v>0</v>
      </c>
      <c r="AN179" s="29" t="e">
        <f t="shared" ref="AN179:AN185" si="363">SQRT(SUMSQ(AD179:AM179))</f>
        <v>#VALUE!</v>
      </c>
      <c r="AO179" s="14" t="e">
        <f t="shared" ref="AO179:AO185" si="364">DoF_A(AD179:AM179,$AD$7:$AM$7)</f>
        <v>#VALUE!</v>
      </c>
      <c r="AP179" s="27" t="e">
        <f t="shared" ref="AP179:AP185" si="365">CoverFactor(AO179)</f>
        <v>#VALUE!</v>
      </c>
    </row>
    <row r="180" spans="1:42" x14ac:dyDescent="0.2">
      <c r="A180">
        <v>270</v>
      </c>
      <c r="B180" s="5" t="e">
        <f>B169&amp;D180</f>
        <v>#VALUE!</v>
      </c>
      <c r="C180" s="19">
        <f>VLOOKUP($A180,'5 A data'!$A$5:$AB$519,3,FALSE)</f>
        <v>2.1700000000000001E-2</v>
      </c>
      <c r="D180" s="165">
        <f>ROUND(VLOOKUP($A180,'5 A data'!$A$5:$AB$519,9,FALSE)/10,0)*10</f>
        <v>10</v>
      </c>
      <c r="E180" s="23">
        <f t="shared" si="346"/>
        <v>0.99936709902044762</v>
      </c>
      <c r="F180" s="23">
        <f t="shared" si="347"/>
        <v>1.0011822386327505</v>
      </c>
      <c r="G180" s="23" t="e">
        <f>VLOOKUP($B180,'844400'!$M$171:$U$237,4,FALSE)/10000</f>
        <v>#VALUE!</v>
      </c>
      <c r="H180" s="23" t="e">
        <f>VLOOKUP($B180,'844400'!$M$171:$U$237,5,FALSE)/10000</f>
        <v>#VALUE!</v>
      </c>
      <c r="I180" s="19">
        <f>VLOOKUP($A180,'5 A data'!$A$5:$AB$519,10,FALSE)</f>
        <v>0</v>
      </c>
      <c r="J180" s="32">
        <f>VLOOKUP($A180,'5 A data'!$A$5:$AB$519,11,FALSE)</f>
        <v>0</v>
      </c>
      <c r="K180" s="31"/>
      <c r="L180" s="31"/>
      <c r="M180" s="31" t="e">
        <f t="shared" si="353"/>
        <v>#VALUE!</v>
      </c>
      <c r="N180" s="31" t="e">
        <f t="shared" si="353"/>
        <v>#VALUE!</v>
      </c>
      <c r="O180" s="20"/>
      <c r="P180" s="376" t="e">
        <f>0.0001*VLOOKUP($B180,'844400'!$M$171:$U$237,6,FALSE)/VLOOKUP($B180,'844400'!$M$171:$U$237,8,FALSE)</f>
        <v>#VALUE!</v>
      </c>
      <c r="Q180" s="59">
        <f>VLOOKUP($A180,'5 A data'!$A$5:$AB$519,7,FALSE)*slidewire_res</f>
        <v>0</v>
      </c>
      <c r="R180" s="349">
        <f t="shared" si="354"/>
        <v>0</v>
      </c>
      <c r="S180" s="4">
        <v>0</v>
      </c>
      <c r="T180" s="4">
        <f t="shared" ref="T180:T185" si="366">BurdenUnc*K172</f>
        <v>0</v>
      </c>
      <c r="U180" s="29" t="e">
        <f t="shared" si="355"/>
        <v>#VALUE!</v>
      </c>
      <c r="V180" s="29">
        <f t="shared" si="335"/>
        <v>5.0000000000000001E-4</v>
      </c>
      <c r="W180" s="23">
        <f>VLOOKUP($D180,Uncertainties!$B$35:$D$41,2,FALSE)</f>
        <v>0</v>
      </c>
      <c r="X180" s="23"/>
      <c r="Y180" s="24">
        <f t="shared" si="356"/>
        <v>0</v>
      </c>
      <c r="Z180" s="23" t="e">
        <f t="shared" si="357"/>
        <v>#VALUE!</v>
      </c>
      <c r="AA180" s="25" t="e">
        <f t="shared" si="358"/>
        <v>#VALUE!</v>
      </c>
      <c r="AB180" s="26" t="e">
        <f t="shared" si="359"/>
        <v>#VALUE!</v>
      </c>
      <c r="AC180" s="14"/>
      <c r="AD180" s="253" t="e">
        <f>0.0001*VLOOKUP($B180,'844400'!$M$171:$U$237,7,FALSE)/VLOOKUP($B180,'844400'!$M$171:$U$237,9,FALSE)</f>
        <v>#VALUE!</v>
      </c>
      <c r="AE180" s="368">
        <f>IF(ABS(VLOOKUP($A180,'5 A data'!$A$5:$AB$1017,6,FALSE))&lt;4.5,IF(ABS(VLOOKUP($A180,'5 A data'!$A$5:$AB$1017,6,FALSE))&lt;1.25,0.0008,0.002),0.004)*VLOOKUP($A180,'5 A data'!$A$5:$AB$1017,7,FALSE)*25*RADIANS(1/60)*100</f>
        <v>0</v>
      </c>
      <c r="AF180" s="23">
        <f t="shared" si="360"/>
        <v>0</v>
      </c>
      <c r="AG180" s="29" t="e">
        <f t="shared" si="361"/>
        <v>#VALUE!</v>
      </c>
      <c r="AH180" s="4">
        <f t="shared" ref="AH180:AH185" si="367">BurdenUnc*L172</f>
        <v>0</v>
      </c>
      <c r="AI180" s="4" t="e">
        <f t="shared" si="362"/>
        <v>#VALUE!</v>
      </c>
      <c r="AJ180" s="4">
        <f t="shared" si="342"/>
        <v>5.0000000000000001E-4</v>
      </c>
      <c r="AK180" s="21">
        <f>VLOOKUP($D180,Uncertainties!$B$35:$D$41,3,FALSE)</f>
        <v>0</v>
      </c>
      <c r="AL180" s="21"/>
      <c r="AM180" s="371">
        <f>SQRT((VLOOKUP($A180,'5 A data'!$A$5:$AB$1017,7,FALSE)*mutual_ind)^2+(aux_CT_phase*J180)^2)</f>
        <v>0</v>
      </c>
      <c r="AN180" s="29" t="e">
        <f t="shared" si="363"/>
        <v>#VALUE!</v>
      </c>
      <c r="AO180" s="14" t="e">
        <f t="shared" si="364"/>
        <v>#VALUE!</v>
      </c>
      <c r="AP180" s="27" t="e">
        <f t="shared" si="365"/>
        <v>#VALUE!</v>
      </c>
    </row>
    <row r="181" spans="1:42" x14ac:dyDescent="0.2">
      <c r="A181" s="69">
        <v>271</v>
      </c>
      <c r="B181" s="5" t="e">
        <f>B169&amp;D181</f>
        <v>#VALUE!</v>
      </c>
      <c r="C181" s="19">
        <f>VLOOKUP($A181,'5 A data'!$A$5:$AB$519,3,FALSE)</f>
        <v>2.1700000000000001E-2</v>
      </c>
      <c r="D181" s="165">
        <f>ROUND(VLOOKUP($A181,'5 A data'!$A$5:$AB$519,9,FALSE)/10,0)*10</f>
        <v>10</v>
      </c>
      <c r="E181" s="23">
        <f t="shared" si="346"/>
        <v>0.99936709902044762</v>
      </c>
      <c r="F181" s="23">
        <f t="shared" si="347"/>
        <v>1.0011822386327505</v>
      </c>
      <c r="G181" s="23" t="e">
        <f>VLOOKUP($B181,'844400'!$M$171:$U$237,4,FALSE)/10000</f>
        <v>#VALUE!</v>
      </c>
      <c r="H181" s="23" t="e">
        <f>VLOOKUP($B181,'844400'!$M$171:$U$237,5,FALSE)/10000</f>
        <v>#VALUE!</v>
      </c>
      <c r="I181" s="19">
        <f>VLOOKUP($A181,'5 A data'!$A$5:$AB$519,10,FALSE)</f>
        <v>0</v>
      </c>
      <c r="J181" s="32">
        <f>VLOOKUP($A181,'5 A data'!$A$5:$AB$519,11,FALSE)</f>
        <v>0</v>
      </c>
      <c r="K181" s="31"/>
      <c r="L181" s="31"/>
      <c r="M181" s="31" t="e">
        <f t="shared" si="353"/>
        <v>#VALUE!</v>
      </c>
      <c r="N181" s="31" t="e">
        <f t="shared" si="353"/>
        <v>#VALUE!</v>
      </c>
      <c r="O181" s="20"/>
      <c r="P181" s="376" t="e">
        <f>0.0001*VLOOKUP($B181,'844400'!$M$171:$U$237,6,FALSE)/VLOOKUP($B181,'844400'!$M$171:$U$237,8,FALSE)</f>
        <v>#VALUE!</v>
      </c>
      <c r="Q181" s="59">
        <f>VLOOKUP($A181,'5 A data'!$A$5:$AB$519,7,FALSE)*slidewire_res</f>
        <v>0</v>
      </c>
      <c r="R181" s="349">
        <f t="shared" si="354"/>
        <v>0</v>
      </c>
      <c r="S181" s="4">
        <v>0</v>
      </c>
      <c r="T181" s="4">
        <f t="shared" si="366"/>
        <v>0</v>
      </c>
      <c r="U181" s="29" t="e">
        <f t="shared" si="355"/>
        <v>#VALUE!</v>
      </c>
      <c r="V181" s="29">
        <f t="shared" si="335"/>
        <v>5.0000000000000001E-4</v>
      </c>
      <c r="W181" s="23">
        <f>VLOOKUP($D181,Uncertainties!$B$35:$D$41,2,FALSE)</f>
        <v>0</v>
      </c>
      <c r="X181" s="23"/>
      <c r="Y181" s="24">
        <f t="shared" si="356"/>
        <v>0</v>
      </c>
      <c r="Z181" s="23" t="e">
        <f t="shared" si="357"/>
        <v>#VALUE!</v>
      </c>
      <c r="AA181" s="25" t="e">
        <f t="shared" si="358"/>
        <v>#VALUE!</v>
      </c>
      <c r="AB181" s="26" t="e">
        <f t="shared" si="359"/>
        <v>#VALUE!</v>
      </c>
      <c r="AC181" s="14"/>
      <c r="AD181" s="253" t="e">
        <f>0.0001*VLOOKUP($B181,'844400'!$M$171:$U$237,7,FALSE)/VLOOKUP($B181,'844400'!$M$171:$U$237,9,FALSE)</f>
        <v>#VALUE!</v>
      </c>
      <c r="AE181" s="368">
        <f>IF(ABS(VLOOKUP($A181,'5 A data'!$A$5:$AB$1017,6,FALSE))&lt;4.5,IF(ABS(VLOOKUP($A181,'5 A data'!$A$5:$AB$1017,6,FALSE))&lt;1.25,0.0008,0.002),0.004)*VLOOKUP($A181,'5 A data'!$A$5:$AB$1017,7,FALSE)*25*RADIANS(1/60)*100</f>
        <v>0</v>
      </c>
      <c r="AF181" s="23">
        <f t="shared" si="360"/>
        <v>0</v>
      </c>
      <c r="AG181" s="29" t="e">
        <f t="shared" si="361"/>
        <v>#VALUE!</v>
      </c>
      <c r="AH181" s="4">
        <f t="shared" si="367"/>
        <v>0</v>
      </c>
      <c r="AI181" s="4" t="e">
        <f t="shared" si="362"/>
        <v>#VALUE!</v>
      </c>
      <c r="AJ181" s="4">
        <f t="shared" si="342"/>
        <v>5.0000000000000001E-4</v>
      </c>
      <c r="AK181" s="21">
        <f>VLOOKUP($D181,Uncertainties!$B$35:$D$41,3,FALSE)</f>
        <v>0</v>
      </c>
      <c r="AL181" s="21"/>
      <c r="AM181" s="371">
        <f>SQRT((VLOOKUP($A181,'5 A data'!$A$5:$AB$1017,7,FALSE)*mutual_ind)^2+(aux_CT_phase*J181)^2)</f>
        <v>0</v>
      </c>
      <c r="AN181" s="29" t="e">
        <f t="shared" si="363"/>
        <v>#VALUE!</v>
      </c>
      <c r="AO181" s="14" t="e">
        <f t="shared" si="364"/>
        <v>#VALUE!</v>
      </c>
      <c r="AP181" s="27" t="e">
        <f t="shared" si="365"/>
        <v>#VALUE!</v>
      </c>
    </row>
    <row r="182" spans="1:42" x14ac:dyDescent="0.2">
      <c r="A182">
        <v>272</v>
      </c>
      <c r="B182" s="5" t="e">
        <f>B169&amp;D182</f>
        <v>#VALUE!</v>
      </c>
      <c r="C182" s="19">
        <f>VLOOKUP($A182,'5 A data'!$A$5:$AB$519,3,FALSE)</f>
        <v>2.1700000000000001E-2</v>
      </c>
      <c r="D182" s="165">
        <f>ROUND(VLOOKUP($A182,'5 A data'!$A$5:$AB$519,9,FALSE)/10,0)*10</f>
        <v>20</v>
      </c>
      <c r="E182" s="23">
        <f t="shared" si="346"/>
        <v>0.99936709902044762</v>
      </c>
      <c r="F182" s="23">
        <f t="shared" si="347"/>
        <v>1.0011822386327505</v>
      </c>
      <c r="G182" s="23" t="e">
        <f>VLOOKUP($B182,'844400'!$M$171:$U$237,4,FALSE)/10000</f>
        <v>#VALUE!</v>
      </c>
      <c r="H182" s="23" t="e">
        <f>VLOOKUP($B182,'844400'!$M$171:$U$237,5,FALSE)/10000</f>
        <v>#VALUE!</v>
      </c>
      <c r="I182" s="19">
        <f>VLOOKUP($A182,'5 A data'!$A$5:$AB$519,10,FALSE)</f>
        <v>0</v>
      </c>
      <c r="J182" s="32">
        <f>VLOOKUP($A182,'5 A data'!$A$5:$AB$519,11,FALSE)</f>
        <v>0</v>
      </c>
      <c r="K182" s="31"/>
      <c r="L182" s="31"/>
      <c r="M182" s="31" t="e">
        <f>I182*E182+G182+K174*(low__burden-$C182)/($C174-$C182)</f>
        <v>#VALUE!</v>
      </c>
      <c r="N182" s="31" t="e">
        <f>J182*F182+H182+L174*(low__burden-$C182)/($C174-$C182)</f>
        <v>#VALUE!</v>
      </c>
      <c r="O182" s="20"/>
      <c r="P182" s="376" t="e">
        <f>0.0001*VLOOKUP($B182,'844400'!$M$171:$U$237,6,FALSE)/VLOOKUP($B182,'844400'!$M$171:$U$237,8,FALSE)</f>
        <v>#VALUE!</v>
      </c>
      <c r="Q182" s="59">
        <f>VLOOKUP($A182,'5 A data'!$A$5:$AB$519,7,FALSE)*slidewire_res</f>
        <v>0</v>
      </c>
      <c r="R182" s="349">
        <f t="shared" si="354"/>
        <v>0</v>
      </c>
      <c r="S182" s="4">
        <v>0</v>
      </c>
      <c r="T182" s="4">
        <f t="shared" si="366"/>
        <v>0</v>
      </c>
      <c r="U182" s="29" t="e">
        <f t="shared" si="355"/>
        <v>#VALUE!</v>
      </c>
      <c r="V182" s="29">
        <f t="shared" si="335"/>
        <v>5.0000000000000001E-4</v>
      </c>
      <c r="W182" s="23">
        <f>VLOOKUP($D182,Uncertainties!$B$35:$D$41,2,FALSE)</f>
        <v>0</v>
      </c>
      <c r="X182" s="23"/>
      <c r="Y182" s="24">
        <f t="shared" si="356"/>
        <v>0</v>
      </c>
      <c r="Z182" s="23" t="e">
        <f t="shared" si="357"/>
        <v>#VALUE!</v>
      </c>
      <c r="AA182" s="25" t="e">
        <f t="shared" si="358"/>
        <v>#VALUE!</v>
      </c>
      <c r="AB182" s="26" t="e">
        <f t="shared" si="359"/>
        <v>#VALUE!</v>
      </c>
      <c r="AC182" s="14"/>
      <c r="AD182" s="253" t="e">
        <f>0.0001*VLOOKUP($B182,'844400'!$M$171:$U$237,7,FALSE)/VLOOKUP($B182,'844400'!$M$171:$U$237,9,FALSE)</f>
        <v>#VALUE!</v>
      </c>
      <c r="AE182" s="368">
        <f>IF(ABS(VLOOKUP($A182,'5 A data'!$A$5:$AB$1017,6,FALSE))&lt;4.5,IF(ABS(VLOOKUP($A182,'5 A data'!$A$5:$AB$1017,6,FALSE))&lt;1.25,0.0008,0.002),0.004)*VLOOKUP($A182,'5 A data'!$A$5:$AB$1017,7,FALSE)*25*RADIANS(1/60)*100</f>
        <v>0</v>
      </c>
      <c r="AF182" s="23">
        <f t="shared" si="360"/>
        <v>0</v>
      </c>
      <c r="AG182" s="29" t="e">
        <f t="shared" si="361"/>
        <v>#VALUE!</v>
      </c>
      <c r="AH182" s="4">
        <f t="shared" si="367"/>
        <v>0</v>
      </c>
      <c r="AI182" s="4" t="e">
        <f t="shared" si="362"/>
        <v>#VALUE!</v>
      </c>
      <c r="AJ182" s="4">
        <f t="shared" si="342"/>
        <v>5.0000000000000001E-4</v>
      </c>
      <c r="AK182" s="21">
        <f>VLOOKUP($D182,Uncertainties!$B$35:$D$41,3,FALSE)</f>
        <v>0</v>
      </c>
      <c r="AL182" s="21"/>
      <c r="AM182" s="371">
        <f>SQRT((VLOOKUP($A182,'5 A data'!$A$5:$AB$1017,7,FALSE)*mutual_ind)^2+(aux_CT_phase*J182)^2)</f>
        <v>0</v>
      </c>
      <c r="AN182" s="29" t="e">
        <f t="shared" si="363"/>
        <v>#VALUE!</v>
      </c>
      <c r="AO182" s="14" t="e">
        <f t="shared" si="364"/>
        <v>#VALUE!</v>
      </c>
      <c r="AP182" s="27" t="e">
        <f t="shared" si="365"/>
        <v>#VALUE!</v>
      </c>
    </row>
    <row r="183" spans="1:42" x14ac:dyDescent="0.2">
      <c r="A183" s="69">
        <v>273</v>
      </c>
      <c r="B183" s="5" t="e">
        <f>B169&amp;D183</f>
        <v>#VALUE!</v>
      </c>
      <c r="C183" s="19">
        <f>VLOOKUP($A183,'5 A data'!$A$5:$AB$519,3,FALSE)</f>
        <v>2.1700000000000001E-2</v>
      </c>
      <c r="D183" s="165">
        <f>ROUND(VLOOKUP($A183,'5 A data'!$A$5:$AB$519,9,FALSE)/10,0)*10</f>
        <v>40</v>
      </c>
      <c r="E183" s="23">
        <f t="shared" si="346"/>
        <v>0.99936709902044762</v>
      </c>
      <c r="F183" s="23">
        <f t="shared" si="347"/>
        <v>1.0011822386327505</v>
      </c>
      <c r="G183" s="23" t="e">
        <f>VLOOKUP($B183,'844400'!$M$171:$U$237,4,FALSE)/10000</f>
        <v>#VALUE!</v>
      </c>
      <c r="H183" s="23" t="e">
        <f>VLOOKUP($B183,'844400'!$M$171:$U$237,5,FALSE)/10000</f>
        <v>#VALUE!</v>
      </c>
      <c r="I183" s="19">
        <f>VLOOKUP($A183,'5 A data'!$A$5:$AB$519,10,FALSE)</f>
        <v>0</v>
      </c>
      <c r="J183" s="32">
        <f>VLOOKUP($A183,'5 A data'!$A$5:$AB$519,11,FALSE)</f>
        <v>0</v>
      </c>
      <c r="K183" s="31"/>
      <c r="L183" s="31"/>
      <c r="M183" s="31" t="e">
        <f t="shared" ref="M183:N185" si="368">I183*E183+G183+K175*(low__burden-$C183)/($C175-$C183)</f>
        <v>#VALUE!</v>
      </c>
      <c r="N183" s="31" t="e">
        <f t="shared" si="368"/>
        <v>#VALUE!</v>
      </c>
      <c r="O183" s="20"/>
      <c r="P183" s="376" t="e">
        <f>0.0001*VLOOKUP($B183,'844400'!$M$171:$U$237,6,FALSE)/VLOOKUP($B183,'844400'!$M$171:$U$237,8,FALSE)</f>
        <v>#VALUE!</v>
      </c>
      <c r="Q183" s="59">
        <f>VLOOKUP($A183,'5 A data'!$A$5:$AB$519,7,FALSE)*slidewire_res</f>
        <v>0</v>
      </c>
      <c r="R183" s="349">
        <f t="shared" si="354"/>
        <v>0</v>
      </c>
      <c r="S183" s="4">
        <v>0</v>
      </c>
      <c r="T183" s="4">
        <f t="shared" si="366"/>
        <v>0</v>
      </c>
      <c r="U183" s="29" t="e">
        <f t="shared" si="355"/>
        <v>#VALUE!</v>
      </c>
      <c r="V183" s="29">
        <f t="shared" si="335"/>
        <v>5.0000000000000001E-4</v>
      </c>
      <c r="W183" s="23">
        <f>VLOOKUP($D183,Uncertainties!$B$35:$D$41,2,FALSE)</f>
        <v>0</v>
      </c>
      <c r="X183" s="23"/>
      <c r="Y183" s="24">
        <f t="shared" si="356"/>
        <v>0</v>
      </c>
      <c r="Z183" s="23" t="e">
        <f t="shared" si="357"/>
        <v>#VALUE!</v>
      </c>
      <c r="AA183" s="25" t="e">
        <f t="shared" si="358"/>
        <v>#VALUE!</v>
      </c>
      <c r="AB183" s="26" t="e">
        <f t="shared" si="359"/>
        <v>#VALUE!</v>
      </c>
      <c r="AC183" s="14"/>
      <c r="AD183" s="253" t="e">
        <f>0.0001*VLOOKUP($B183,'844400'!$M$171:$U$237,7,FALSE)/VLOOKUP($B183,'844400'!$M$171:$U$237,9,FALSE)</f>
        <v>#VALUE!</v>
      </c>
      <c r="AE183" s="368">
        <f>IF(ABS(VLOOKUP($A183,'5 A data'!$A$5:$AB$1017,6,FALSE))&lt;4.5,IF(ABS(VLOOKUP($A183,'5 A data'!$A$5:$AB$1017,6,FALSE))&lt;1.25,0.0008,0.002),0.004)*VLOOKUP($A183,'5 A data'!$A$5:$AB$1017,7,FALSE)*25*RADIANS(1/60)*100</f>
        <v>0</v>
      </c>
      <c r="AF183" s="23">
        <f t="shared" si="360"/>
        <v>0</v>
      </c>
      <c r="AG183" s="29" t="e">
        <f t="shared" si="361"/>
        <v>#VALUE!</v>
      </c>
      <c r="AH183" s="4">
        <f t="shared" si="367"/>
        <v>0</v>
      </c>
      <c r="AI183" s="4" t="e">
        <f t="shared" si="362"/>
        <v>#VALUE!</v>
      </c>
      <c r="AJ183" s="4">
        <f t="shared" si="342"/>
        <v>5.0000000000000001E-4</v>
      </c>
      <c r="AK183" s="21">
        <f>VLOOKUP($D183,Uncertainties!$B$35:$D$41,3,FALSE)</f>
        <v>0</v>
      </c>
      <c r="AL183" s="21"/>
      <c r="AM183" s="371">
        <f>SQRT((VLOOKUP($A183,'5 A data'!$A$5:$AB$1017,7,FALSE)*mutual_ind)^2+(aux_CT_phase*J183)^2)</f>
        <v>0</v>
      </c>
      <c r="AN183" s="29" t="e">
        <f t="shared" si="363"/>
        <v>#VALUE!</v>
      </c>
      <c r="AO183" s="14" t="e">
        <f t="shared" si="364"/>
        <v>#VALUE!</v>
      </c>
      <c r="AP183" s="27" t="e">
        <f t="shared" si="365"/>
        <v>#VALUE!</v>
      </c>
    </row>
    <row r="184" spans="1:42" x14ac:dyDescent="0.2">
      <c r="A184">
        <v>274</v>
      </c>
      <c r="B184" s="5" t="e">
        <f>B169&amp;D184</f>
        <v>#VALUE!</v>
      </c>
      <c r="C184" s="19">
        <f>VLOOKUP($A184,'5 A data'!$A$5:$AB$519,3,FALSE)</f>
        <v>2.1700000000000001E-2</v>
      </c>
      <c r="D184" s="166">
        <f>ROUND(VLOOKUP($A184,'5 A data'!$A$5:$AB$519,9,FALSE)/10,0)*10</f>
        <v>60</v>
      </c>
      <c r="E184" s="23">
        <f t="shared" si="346"/>
        <v>0.99936709902044762</v>
      </c>
      <c r="F184" s="23">
        <f t="shared" si="347"/>
        <v>1.0011822386327505</v>
      </c>
      <c r="G184" s="23" t="e">
        <f>VLOOKUP($B184,'844400'!$M$171:$U$237,4,FALSE)/10000</f>
        <v>#VALUE!</v>
      </c>
      <c r="H184" s="23" t="e">
        <f>VLOOKUP($B184,'844400'!$M$171:$U$237,5,FALSE)/10000</f>
        <v>#VALUE!</v>
      </c>
      <c r="I184" s="19">
        <f>VLOOKUP($A184,'5 A data'!$A$5:$AB$519,10,FALSE)</f>
        <v>0</v>
      </c>
      <c r="J184" s="32">
        <f>VLOOKUP($A184,'5 A data'!$A$5:$AB$519,11,FALSE)</f>
        <v>0</v>
      </c>
      <c r="K184" s="31"/>
      <c r="L184" s="31"/>
      <c r="M184" s="31" t="e">
        <f t="shared" si="368"/>
        <v>#VALUE!</v>
      </c>
      <c r="N184" s="31" t="e">
        <f t="shared" si="368"/>
        <v>#VALUE!</v>
      </c>
      <c r="O184" s="20"/>
      <c r="P184" s="376" t="e">
        <f>0.0001*VLOOKUP($B184,'844400'!$M$171:$U$237,6,FALSE)/VLOOKUP($B184,'844400'!$M$171:$U$237,8,FALSE)</f>
        <v>#VALUE!</v>
      </c>
      <c r="Q184" s="59">
        <f>VLOOKUP($A184,'5 A data'!$A$5:$AB$519,7,FALSE)*slidewire_res</f>
        <v>0</v>
      </c>
      <c r="R184" s="349">
        <f t="shared" si="354"/>
        <v>0</v>
      </c>
      <c r="S184" s="4">
        <v>0</v>
      </c>
      <c r="T184" s="4">
        <f t="shared" si="366"/>
        <v>0</v>
      </c>
      <c r="U184" s="29" t="e">
        <f t="shared" si="355"/>
        <v>#VALUE!</v>
      </c>
      <c r="V184" s="29">
        <f t="shared" si="335"/>
        <v>5.0000000000000001E-4</v>
      </c>
      <c r="W184" s="23">
        <f>VLOOKUP($D184,Uncertainties!$B$35:$D$41,2,FALSE)</f>
        <v>0</v>
      </c>
      <c r="X184" s="23"/>
      <c r="Y184" s="24">
        <f t="shared" si="356"/>
        <v>0</v>
      </c>
      <c r="Z184" s="23" t="e">
        <f t="shared" si="357"/>
        <v>#VALUE!</v>
      </c>
      <c r="AA184" s="25" t="e">
        <f t="shared" si="358"/>
        <v>#VALUE!</v>
      </c>
      <c r="AB184" s="26" t="e">
        <f t="shared" si="359"/>
        <v>#VALUE!</v>
      </c>
      <c r="AC184" s="14"/>
      <c r="AD184" s="253" t="e">
        <f>0.0001*VLOOKUP($B184,'844400'!$M$171:$U$237,7,FALSE)/VLOOKUP($B184,'844400'!$M$171:$U$237,9,FALSE)</f>
        <v>#VALUE!</v>
      </c>
      <c r="AE184" s="368">
        <f>IF(ABS(VLOOKUP($A184,'5 A data'!$A$5:$AB$1017,6,FALSE))&lt;4.5,IF(ABS(VLOOKUP($A184,'5 A data'!$A$5:$AB$1017,6,FALSE))&lt;1.25,0.0008,0.002),0.004)*VLOOKUP($A184,'5 A data'!$A$5:$AB$1017,7,FALSE)*25*RADIANS(1/60)*100</f>
        <v>0</v>
      </c>
      <c r="AF184" s="23">
        <f t="shared" si="360"/>
        <v>0</v>
      </c>
      <c r="AG184" s="29" t="e">
        <f t="shared" si="361"/>
        <v>#VALUE!</v>
      </c>
      <c r="AH184" s="4">
        <f t="shared" si="367"/>
        <v>0</v>
      </c>
      <c r="AI184" s="4" t="e">
        <f t="shared" si="362"/>
        <v>#VALUE!</v>
      </c>
      <c r="AJ184" s="4">
        <f t="shared" si="342"/>
        <v>5.0000000000000001E-4</v>
      </c>
      <c r="AK184" s="21">
        <f>VLOOKUP($D184,Uncertainties!$B$35:$D$41,3,FALSE)</f>
        <v>0</v>
      </c>
      <c r="AL184" s="21"/>
      <c r="AM184" s="371">
        <f>SQRT((VLOOKUP($A184,'5 A data'!$A$5:$AB$1017,7,FALSE)*mutual_ind)^2+(aux_CT_phase*J184)^2)</f>
        <v>0</v>
      </c>
      <c r="AN184" s="29" t="e">
        <f t="shared" si="363"/>
        <v>#VALUE!</v>
      </c>
      <c r="AO184" s="14" t="e">
        <f t="shared" si="364"/>
        <v>#VALUE!</v>
      </c>
      <c r="AP184" s="27" t="e">
        <f t="shared" si="365"/>
        <v>#VALUE!</v>
      </c>
    </row>
    <row r="185" spans="1:42" x14ac:dyDescent="0.2">
      <c r="A185" s="69">
        <v>275</v>
      </c>
      <c r="B185" s="5" t="e">
        <f>B169&amp;D185</f>
        <v>#VALUE!</v>
      </c>
      <c r="C185" s="19">
        <f>VLOOKUP($A185,'5 A data'!$A$5:$AB$519,3,FALSE)</f>
        <v>2.1700000000000001E-2</v>
      </c>
      <c r="D185" s="166">
        <f>ROUND(VLOOKUP($A185,'5 A data'!$A$5:$AB$519,9,FALSE)/10,0)*10</f>
        <v>100</v>
      </c>
      <c r="E185" s="23">
        <f t="shared" si="346"/>
        <v>0.99936709902044762</v>
      </c>
      <c r="F185" s="23">
        <f t="shared" si="347"/>
        <v>1.0011822386327505</v>
      </c>
      <c r="G185" s="23" t="e">
        <f>VLOOKUP($B185,'844400'!$M$171:$U$237,4,FALSE)/10000</f>
        <v>#VALUE!</v>
      </c>
      <c r="H185" s="23" t="e">
        <f>VLOOKUP($B185,'844400'!$M$171:$U$237,5,FALSE)/10000</f>
        <v>#VALUE!</v>
      </c>
      <c r="I185" s="19">
        <f>VLOOKUP($A185,'5 A data'!$A$5:$AB$519,10,FALSE)</f>
        <v>0</v>
      </c>
      <c r="J185" s="32">
        <f>VLOOKUP($A185,'5 A data'!$A$5:$AB$519,11,FALSE)</f>
        <v>0</v>
      </c>
      <c r="K185" s="31"/>
      <c r="L185" s="31"/>
      <c r="M185" s="31" t="e">
        <f t="shared" si="368"/>
        <v>#VALUE!</v>
      </c>
      <c r="N185" s="31" t="e">
        <f t="shared" si="368"/>
        <v>#VALUE!</v>
      </c>
      <c r="O185" s="20"/>
      <c r="P185" s="376" t="e">
        <f>0.0001*VLOOKUP($B185,'844400'!$M$171:$U$237,6,FALSE)/VLOOKUP($B185,'844400'!$M$171:$U$237,8,FALSE)</f>
        <v>#VALUE!</v>
      </c>
      <c r="Q185" s="59">
        <f>VLOOKUP($A185,'5 A data'!$A$5:$AB$519,7,FALSE)*slidewire_res</f>
        <v>0</v>
      </c>
      <c r="R185" s="349">
        <f t="shared" si="354"/>
        <v>0</v>
      </c>
      <c r="S185" s="4">
        <v>0</v>
      </c>
      <c r="T185" s="4">
        <f t="shared" si="366"/>
        <v>0</v>
      </c>
      <c r="U185" s="29" t="e">
        <f t="shared" si="355"/>
        <v>#VALUE!</v>
      </c>
      <c r="V185" s="29">
        <f t="shared" si="335"/>
        <v>5.0000000000000001E-4</v>
      </c>
      <c r="W185" s="23">
        <f>VLOOKUP($D185,Uncertainties!$B$35:$D$41,2,FALSE)</f>
        <v>0</v>
      </c>
      <c r="X185" s="23"/>
      <c r="Y185" s="24">
        <f t="shared" si="356"/>
        <v>0</v>
      </c>
      <c r="Z185" s="23" t="e">
        <f t="shared" si="357"/>
        <v>#VALUE!</v>
      </c>
      <c r="AA185" s="25" t="e">
        <f t="shared" si="358"/>
        <v>#VALUE!</v>
      </c>
      <c r="AB185" s="26" t="e">
        <f t="shared" si="359"/>
        <v>#VALUE!</v>
      </c>
      <c r="AC185" s="14"/>
      <c r="AD185" s="253" t="e">
        <f>0.0001*VLOOKUP($B185,'844400'!$M$171:$U$237,7,FALSE)/VLOOKUP($B185,'844400'!$M$171:$U$237,9,FALSE)</f>
        <v>#VALUE!</v>
      </c>
      <c r="AE185" s="368">
        <f>IF(ABS(VLOOKUP($A185,'5 A data'!$A$5:$AB$1017,6,FALSE))&lt;4.5,IF(ABS(VLOOKUP($A185,'5 A data'!$A$5:$AB$1017,6,FALSE))&lt;1.25,0.0008,0.002),0.004)*VLOOKUP($A185,'5 A data'!$A$5:$AB$1017,7,FALSE)*25*RADIANS(1/60)*100</f>
        <v>0</v>
      </c>
      <c r="AF185" s="23">
        <f t="shared" si="360"/>
        <v>0</v>
      </c>
      <c r="AG185" s="29" t="e">
        <f t="shared" si="361"/>
        <v>#VALUE!</v>
      </c>
      <c r="AH185" s="4">
        <f t="shared" si="367"/>
        <v>0</v>
      </c>
      <c r="AI185" s="4" t="e">
        <f t="shared" si="362"/>
        <v>#VALUE!</v>
      </c>
      <c r="AJ185" s="4">
        <f t="shared" si="342"/>
        <v>5.0000000000000001E-4</v>
      </c>
      <c r="AK185" s="21">
        <f>VLOOKUP($D185,Uncertainties!$B$35:$D$41,3,FALSE)</f>
        <v>0</v>
      </c>
      <c r="AL185" s="21"/>
      <c r="AM185" s="371">
        <f>SQRT((VLOOKUP($A185,'5 A data'!$A$5:$AB$1017,7,FALSE)*mutual_ind)^2+(aux_CT_phase*J185)^2)</f>
        <v>0</v>
      </c>
      <c r="AN185" s="29" t="e">
        <f t="shared" si="363"/>
        <v>#VALUE!</v>
      </c>
      <c r="AO185" s="14" t="e">
        <f t="shared" si="364"/>
        <v>#VALUE!</v>
      </c>
      <c r="AP185" s="27" t="e">
        <f t="shared" si="365"/>
        <v>#VALUE!</v>
      </c>
    </row>
    <row r="186" spans="1:42" x14ac:dyDescent="0.2">
      <c r="R186" s="42"/>
    </row>
    <row r="187" spans="1:42" x14ac:dyDescent="0.2">
      <c r="R187" s="42"/>
    </row>
    <row r="188" spans="1:42" x14ac:dyDescent="0.2">
      <c r="P188" s="29"/>
      <c r="Q188" s="29"/>
      <c r="R188" s="42"/>
      <c r="S188" s="29"/>
      <c r="T188" s="29"/>
    </row>
    <row r="189" spans="1:42" x14ac:dyDescent="0.2">
      <c r="P189" s="29"/>
      <c r="Q189" s="29"/>
      <c r="R189" s="42"/>
      <c r="S189" s="29"/>
      <c r="T189" s="29"/>
    </row>
    <row r="190" spans="1:42" x14ac:dyDescent="0.2">
      <c r="P190" s="29"/>
      <c r="Q190" s="29"/>
      <c r="R190" s="42"/>
      <c r="S190" s="29"/>
      <c r="T190" s="29"/>
    </row>
    <row r="191" spans="1:42" x14ac:dyDescent="0.2">
      <c r="P191" s="29"/>
      <c r="Q191" s="29"/>
      <c r="R191" s="42"/>
      <c r="S191" s="29"/>
      <c r="T191" s="29"/>
    </row>
    <row r="192" spans="1:42" x14ac:dyDescent="0.2">
      <c r="P192" s="29"/>
      <c r="Q192" s="29"/>
      <c r="R192" s="42"/>
      <c r="S192" s="29"/>
      <c r="T192" s="29"/>
    </row>
    <row r="193" spans="16:30" x14ac:dyDescent="0.2">
      <c r="P193" s="29"/>
      <c r="Q193" s="29"/>
      <c r="R193" s="42"/>
      <c r="S193" s="29"/>
      <c r="T193" s="29"/>
    </row>
    <row r="194" spans="16:30" x14ac:dyDescent="0.2">
      <c r="P194" s="29"/>
      <c r="Q194" s="29"/>
      <c r="R194" s="42"/>
      <c r="S194" s="29"/>
      <c r="T194" s="29"/>
    </row>
    <row r="195" spans="16:30" x14ac:dyDescent="0.2">
      <c r="P195" s="29"/>
      <c r="Q195" s="29"/>
      <c r="R195" s="42"/>
      <c r="S195" s="29"/>
      <c r="T195" s="29"/>
    </row>
    <row r="196" spans="16:30" x14ac:dyDescent="0.2">
      <c r="P196" s="29"/>
      <c r="Q196" s="29"/>
      <c r="R196" s="42"/>
      <c r="S196" s="29"/>
      <c r="T196" s="29"/>
    </row>
    <row r="197" spans="16:30" x14ac:dyDescent="0.2">
      <c r="P197" s="29"/>
      <c r="Q197" s="29"/>
      <c r="R197" s="42"/>
      <c r="S197" s="29"/>
      <c r="T197" s="29"/>
    </row>
    <row r="198" spans="16:30" x14ac:dyDescent="0.2">
      <c r="P198" s="29"/>
      <c r="Q198" s="29"/>
      <c r="R198" s="42"/>
      <c r="S198" s="29"/>
      <c r="T198" s="29"/>
    </row>
    <row r="199" spans="16:30" x14ac:dyDescent="0.2">
      <c r="P199" s="29"/>
      <c r="Q199" s="29"/>
      <c r="R199" s="42"/>
      <c r="S199" s="29"/>
      <c r="T199" s="29"/>
    </row>
    <row r="200" spans="16:30" x14ac:dyDescent="0.2">
      <c r="P200" s="29"/>
      <c r="Q200" s="29"/>
      <c r="R200" s="42"/>
      <c r="S200" s="29"/>
      <c r="T200" s="29"/>
    </row>
    <row r="201" spans="16:30" x14ac:dyDescent="0.2">
      <c r="P201" s="29"/>
      <c r="Q201" s="29"/>
      <c r="R201" s="42"/>
      <c r="S201" s="29"/>
      <c r="T201" s="29"/>
    </row>
    <row r="202" spans="16:30" x14ac:dyDescent="0.2">
      <c r="P202" s="29"/>
      <c r="Q202" s="29"/>
      <c r="R202" s="42"/>
      <c r="S202" s="29"/>
      <c r="T202" s="29"/>
    </row>
    <row r="203" spans="16:30" x14ac:dyDescent="0.2">
      <c r="R203" s="42"/>
    </row>
    <row r="204" spans="16:30" x14ac:dyDescent="0.2">
      <c r="R204" s="42"/>
    </row>
    <row r="205" spans="16:30" x14ac:dyDescent="0.2">
      <c r="R205" s="42"/>
    </row>
    <row r="206" spans="16:30" x14ac:dyDescent="0.2">
      <c r="P206" s="252" t="s">
        <v>383</v>
      </c>
      <c r="R206" s="42"/>
      <c r="AD206" s="252" t="s">
        <v>383</v>
      </c>
    </row>
    <row r="207" spans="16:30" x14ac:dyDescent="0.2">
      <c r="P207" s="252" t="s">
        <v>384</v>
      </c>
      <c r="R207" s="42"/>
      <c r="AD207" s="252" t="s">
        <v>384</v>
      </c>
    </row>
    <row r="208" spans="16:30" x14ac:dyDescent="0.2">
      <c r="R208" s="42"/>
    </row>
    <row r="209" spans="18:18" x14ac:dyDescent="0.2">
      <c r="R209" s="42"/>
    </row>
    <row r="210" spans="18:18" x14ac:dyDescent="0.2">
      <c r="R210" s="42"/>
    </row>
  </sheetData>
  <mergeCells count="24">
    <mergeCell ref="E5:F5"/>
    <mergeCell ref="M70:N70"/>
    <mergeCell ref="K6:L6"/>
    <mergeCell ref="M34:N34"/>
    <mergeCell ref="M44:N44"/>
    <mergeCell ref="M52:N52"/>
    <mergeCell ref="M62:N62"/>
    <mergeCell ref="M16:N16"/>
    <mergeCell ref="M8:N8"/>
    <mergeCell ref="G5:H5"/>
    <mergeCell ref="M26:N26"/>
    <mergeCell ref="I5:J5"/>
    <mergeCell ref="M116:N116"/>
    <mergeCell ref="M124:N124"/>
    <mergeCell ref="M80:N80"/>
    <mergeCell ref="M88:N88"/>
    <mergeCell ref="M106:N106"/>
    <mergeCell ref="M98:N98"/>
    <mergeCell ref="M170:N170"/>
    <mergeCell ref="M178:N178"/>
    <mergeCell ref="M134:N134"/>
    <mergeCell ref="M142:N142"/>
    <mergeCell ref="M152:N152"/>
    <mergeCell ref="M160:N160"/>
  </mergeCells>
  <phoneticPr fontId="0" type="noConversion"/>
  <pageMargins left="0.75" right="0.75" top="1" bottom="1" header="0.5" footer="0.5"/>
  <pageSetup paperSize="9"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J166"/>
  <sheetViews>
    <sheetView showGridLines="0" zoomScale="75" workbookViewId="0">
      <selection activeCell="J9" sqref="J9"/>
    </sheetView>
  </sheetViews>
  <sheetFormatPr defaultRowHeight="12.75" x14ac:dyDescent="0.2"/>
  <cols>
    <col min="1" max="1" width="18.140625" customWidth="1"/>
    <col min="4" max="4" width="11.42578125" customWidth="1"/>
    <col min="5" max="6" width="10.28515625" customWidth="1"/>
    <col min="7" max="10" width="11.28515625" bestFit="1" customWidth="1"/>
    <col min="11" max="11" width="16.85546875" customWidth="1"/>
    <col min="12" max="12" width="9.5703125" customWidth="1"/>
    <col min="13" max="13" width="20.140625" customWidth="1"/>
  </cols>
  <sheetData>
    <row r="1" spans="1:35" x14ac:dyDescent="0.2">
      <c r="A1" s="161" t="str">
        <f>'5 A data'!A1</f>
        <v>5ACT Template V4.0.xls</v>
      </c>
      <c r="B1" s="161"/>
      <c r="C1" s="161" t="str">
        <f>'5 A data'!A2</f>
        <v>Created 11 Dec. 2012</v>
      </c>
      <c r="D1" s="161"/>
    </row>
    <row r="2" spans="1:35" ht="25.5" x14ac:dyDescent="0.2">
      <c r="A2" s="99" t="s">
        <v>348</v>
      </c>
      <c r="B2" s="99" t="s">
        <v>177</v>
      </c>
      <c r="C2" s="99"/>
      <c r="D2" s="99"/>
      <c r="E2" s="100"/>
      <c r="F2" s="161" t="str">
        <f>'5 A data'!B1</f>
        <v>Model</v>
      </c>
      <c r="G2" s="161">
        <f>'5 A data'!C1</f>
        <v>0</v>
      </c>
      <c r="H2" s="161" t="str">
        <f>'5 A data'!B2</f>
        <v>S/N</v>
      </c>
      <c r="I2" s="161">
        <f>'5 A data'!C2</f>
        <v>0</v>
      </c>
      <c r="K2" s="96" t="s">
        <v>123</v>
      </c>
      <c r="L2" s="96" t="s">
        <v>120</v>
      </c>
      <c r="M2" s="97" t="s">
        <v>121</v>
      </c>
    </row>
    <row r="3" spans="1:35" ht="21.4" customHeight="1" x14ac:dyDescent="0.2">
      <c r="A3" s="100"/>
      <c r="C3" s="61" t="e">
        <f>"Table "&amp;L3&amp;". Ratio "&amp;LEFT(M3,FIND("/",M3)-1)&amp;":5."&amp;"  Secondary: "&amp;K3</f>
        <v>#N/A</v>
      </c>
      <c r="D3" s="18"/>
      <c r="E3" s="18"/>
      <c r="F3" s="18"/>
      <c r="G3" s="18"/>
      <c r="H3" s="10"/>
      <c r="I3" s="10"/>
      <c r="J3" s="11"/>
      <c r="K3" s="98" t="e">
        <f>VLOOKUP($A3+1,'5 A data'!$A$2:$AW$259,2,FALSE)</f>
        <v>#N/A</v>
      </c>
      <c r="L3" s="100" t="s">
        <v>241</v>
      </c>
      <c r="M3" s="98" t="e">
        <f>VLOOKUP($A3,'5 A calc'!$A$2:$AR$172,4,FALSE)</f>
        <v>#N/A</v>
      </c>
    </row>
    <row r="4" spans="1:35" ht="21.4" customHeight="1" x14ac:dyDescent="0.2">
      <c r="A4" s="3"/>
      <c r="B4" s="3"/>
      <c r="C4" s="12"/>
      <c r="D4" s="13"/>
      <c r="E4" s="543" t="s">
        <v>19</v>
      </c>
      <c r="F4" s="544"/>
      <c r="G4" s="543" t="s">
        <v>20</v>
      </c>
      <c r="H4" s="544"/>
      <c r="I4" s="543" t="s">
        <v>8</v>
      </c>
      <c r="J4" s="544"/>
      <c r="L4" s="99" t="s">
        <v>130</v>
      </c>
      <c r="M4" s="100"/>
      <c r="N4" s="100"/>
    </row>
    <row r="5" spans="1:35" ht="63" customHeight="1" x14ac:dyDescent="0.2">
      <c r="A5" s="3"/>
      <c r="B5" s="3"/>
      <c r="C5" s="12" t="s">
        <v>170</v>
      </c>
      <c r="D5" s="54" t="s">
        <v>242</v>
      </c>
      <c r="E5" s="54" t="s">
        <v>295</v>
      </c>
      <c r="F5" s="13" t="s">
        <v>240</v>
      </c>
      <c r="G5" s="54" t="s">
        <v>295</v>
      </c>
      <c r="H5" s="13" t="s">
        <v>240</v>
      </c>
      <c r="I5" s="54" t="s">
        <v>159</v>
      </c>
      <c r="J5" s="13" t="s">
        <v>160</v>
      </c>
      <c r="L5" s="158"/>
      <c r="M5" s="158"/>
    </row>
    <row r="6" spans="1:35" x14ac:dyDescent="0.2">
      <c r="A6" s="100"/>
      <c r="C6" s="53">
        <f t="shared" ref="C6:C11" si="0">high_burden</f>
        <v>0.2</v>
      </c>
      <c r="D6" s="57" t="e">
        <f>VLOOKUP($A6,'5 A calc'!$A$2:$AR$203,4,FALSE)</f>
        <v>#N/A</v>
      </c>
      <c r="E6" s="393" t="e">
        <f>VLOOKUP($A6,'5 A calc'!$A$2:$AR$203,13,FALSE)</f>
        <v>#N/A</v>
      </c>
      <c r="F6" s="394" t="e">
        <f>VLOOKUP($A6,'5 A calc'!$A$2:$AR$203,14,FALSE)</f>
        <v>#N/A</v>
      </c>
      <c r="G6" s="393" t="e">
        <f>VLOOKUP($A6,'5 A calc'!$A$2:$AR$203,26,FALSE)*I6</f>
        <v>#N/A</v>
      </c>
      <c r="H6" s="394" t="e">
        <f>VLOOKUP($A6,'5 A calc'!$A$2:$AR$203,40,FALSE)*J6</f>
        <v>#N/A</v>
      </c>
      <c r="I6" s="56" t="e">
        <f>VLOOKUP($A6,'5 A calc'!$A$2:$AR$203,28,FALSE)</f>
        <v>#N/A</v>
      </c>
      <c r="J6" s="49" t="e">
        <f>VLOOKUP($A6,'5 A calc'!$A$2:$AR$203,42,FALSE)</f>
        <v>#N/A</v>
      </c>
      <c r="L6" s="4"/>
      <c r="M6" s="4"/>
      <c r="N6" s="4"/>
      <c r="Q6" s="27"/>
      <c r="R6" s="27"/>
    </row>
    <row r="7" spans="1:35" x14ac:dyDescent="0.2">
      <c r="A7" s="100"/>
      <c r="C7" s="53">
        <f t="shared" si="0"/>
        <v>0.2</v>
      </c>
      <c r="D7" s="57" t="e">
        <f>VLOOKUP($A7,'5 A calc'!$A$2:$AR$203,4,FALSE)</f>
        <v>#N/A</v>
      </c>
      <c r="E7" s="393" t="e">
        <f>VLOOKUP($A7,'5 A calc'!$A$2:$AR$203,13,FALSE)</f>
        <v>#N/A</v>
      </c>
      <c r="F7" s="394" t="e">
        <f>VLOOKUP($A7,'5 A calc'!$A$2:$AR$203,14,FALSE)</f>
        <v>#N/A</v>
      </c>
      <c r="G7" s="393" t="e">
        <f>VLOOKUP($A7,'5 A calc'!$A$2:$AR$203,26,FALSE)*I7</f>
        <v>#N/A</v>
      </c>
      <c r="H7" s="394" t="e">
        <f>VLOOKUP($A7,'5 A calc'!$A$2:$AR$203,40,FALSE)*J7</f>
        <v>#N/A</v>
      </c>
      <c r="I7" s="56" t="e">
        <f>VLOOKUP($A7,'5 A calc'!$A$2:$AR$203,28,FALSE)</f>
        <v>#N/A</v>
      </c>
      <c r="J7" s="49" t="e">
        <f>VLOOKUP($A7,'5 A calc'!$A$2:$AR$203,42,FALSE)</f>
        <v>#N/A</v>
      </c>
      <c r="L7" s="4"/>
      <c r="M7" s="4"/>
      <c r="N7" s="4"/>
      <c r="Q7" s="27"/>
      <c r="R7" s="27"/>
    </row>
    <row r="8" spans="1:35" x14ac:dyDescent="0.2">
      <c r="A8" s="100"/>
      <c r="C8" s="53">
        <f t="shared" si="0"/>
        <v>0.2</v>
      </c>
      <c r="D8" s="57" t="e">
        <f>VLOOKUP($A8,'5 A calc'!$A$2:$AR$203,4,FALSE)</f>
        <v>#N/A</v>
      </c>
      <c r="E8" s="393" t="e">
        <f>VLOOKUP($A8,'5 A calc'!$A$2:$AR$203,13,FALSE)</f>
        <v>#N/A</v>
      </c>
      <c r="F8" s="394" t="e">
        <f>VLOOKUP($A8,'5 A calc'!$A$2:$AR$203,14,FALSE)</f>
        <v>#N/A</v>
      </c>
      <c r="G8" s="393" t="e">
        <f>VLOOKUP($A8,'5 A calc'!$A$2:$AR$203,26,FALSE)*I8</f>
        <v>#N/A</v>
      </c>
      <c r="H8" s="394" t="e">
        <f>VLOOKUP($A8,'5 A calc'!$A$2:$AR$203,40,FALSE)*J8</f>
        <v>#N/A</v>
      </c>
      <c r="I8" s="56" t="e">
        <f>VLOOKUP($A8,'5 A calc'!$A$2:$AR$203,28,FALSE)</f>
        <v>#N/A</v>
      </c>
      <c r="J8" s="49" t="e">
        <f>VLOOKUP($A8,'5 A calc'!$A$2:$AR$203,42,FALSE)</f>
        <v>#N/A</v>
      </c>
      <c r="L8" s="4"/>
      <c r="M8" s="4"/>
      <c r="N8" s="4"/>
      <c r="Q8" s="27"/>
      <c r="R8" s="27"/>
    </row>
    <row r="9" spans="1:35" ht="13.7" customHeight="1" x14ac:dyDescent="0.2">
      <c r="A9" s="100"/>
      <c r="C9" s="53">
        <f t="shared" si="0"/>
        <v>0.2</v>
      </c>
      <c r="D9" s="57" t="e">
        <f>VLOOKUP($A9,'5 A calc'!$A$2:$AR$203,4,FALSE)</f>
        <v>#N/A</v>
      </c>
      <c r="E9" s="393" t="e">
        <f>VLOOKUP($A9,'5 A calc'!$A$2:$AR$203,13,FALSE)</f>
        <v>#N/A</v>
      </c>
      <c r="F9" s="394" t="e">
        <f>VLOOKUP($A9,'5 A calc'!$A$2:$AR$203,14,FALSE)</f>
        <v>#N/A</v>
      </c>
      <c r="G9" s="393" t="e">
        <f>VLOOKUP($A9,'5 A calc'!$A$2:$AR$203,26,FALSE)*I9</f>
        <v>#N/A</v>
      </c>
      <c r="H9" s="394" t="e">
        <f>VLOOKUP($A9,'5 A calc'!$A$2:$AR$203,40,FALSE)*J9</f>
        <v>#N/A</v>
      </c>
      <c r="I9" s="56" t="e">
        <f>VLOOKUP($A9,'5 A calc'!$A$2:$AR$203,28,FALSE)</f>
        <v>#N/A</v>
      </c>
      <c r="J9" s="49" t="e">
        <f>VLOOKUP($A9,'5 A calc'!$A$2:$AR$203,42,FALSE)</f>
        <v>#N/A</v>
      </c>
      <c r="L9" s="4"/>
      <c r="M9" s="4"/>
      <c r="N9" s="4"/>
      <c r="Q9" s="27"/>
      <c r="R9" s="27"/>
      <c r="AA9" s="14"/>
      <c r="AB9" s="4"/>
      <c r="AC9" s="4"/>
      <c r="AD9" s="4"/>
      <c r="AE9" s="4"/>
      <c r="AF9" s="4"/>
      <c r="AG9" s="4"/>
      <c r="AH9" s="4"/>
      <c r="AI9" s="4"/>
    </row>
    <row r="10" spans="1:35" x14ac:dyDescent="0.2">
      <c r="A10" s="100"/>
      <c r="C10" s="53">
        <f t="shared" si="0"/>
        <v>0.2</v>
      </c>
      <c r="D10" s="51" t="e">
        <f>VLOOKUP($A10,'5 A calc'!$A$2:$AR$203,4,FALSE)</f>
        <v>#N/A</v>
      </c>
      <c r="E10" s="393" t="e">
        <f>VLOOKUP($A10,'5 A calc'!$A$2:$AR$203,13,FALSE)</f>
        <v>#N/A</v>
      </c>
      <c r="F10" s="394" t="e">
        <f>VLOOKUP($A10,'5 A calc'!$A$2:$AR$203,14,FALSE)</f>
        <v>#N/A</v>
      </c>
      <c r="G10" s="393" t="e">
        <f>VLOOKUP($A10,'5 A calc'!$A$2:$AR$203,26,FALSE)*I10</f>
        <v>#N/A</v>
      </c>
      <c r="H10" s="394" t="e">
        <f>VLOOKUP($A10,'5 A calc'!$A$2:$AR$203,40,FALSE)*J10</f>
        <v>#N/A</v>
      </c>
      <c r="I10" s="56" t="e">
        <f>VLOOKUP($A10,'5 A calc'!$A$2:$AR$203,28,FALSE)</f>
        <v>#N/A</v>
      </c>
      <c r="J10" s="49" t="e">
        <f>VLOOKUP($A10,'5 A calc'!$A$2:$AR$203,42,FALSE)</f>
        <v>#N/A</v>
      </c>
      <c r="L10" s="4"/>
      <c r="M10" s="4"/>
      <c r="N10" s="4"/>
      <c r="Q10" s="27"/>
      <c r="R10" s="27"/>
      <c r="AA10" s="156"/>
      <c r="AB10" s="4"/>
      <c r="AC10" s="4"/>
      <c r="AD10" s="4"/>
      <c r="AE10" s="4"/>
      <c r="AF10" s="4"/>
      <c r="AG10" s="4"/>
      <c r="AH10" s="4"/>
      <c r="AI10" s="4"/>
    </row>
    <row r="11" spans="1:35" x14ac:dyDescent="0.2">
      <c r="A11" s="100"/>
      <c r="C11" s="53">
        <f t="shared" si="0"/>
        <v>0.2</v>
      </c>
      <c r="D11" s="51" t="e">
        <f>VLOOKUP($A11,'5 A calc'!$A$2:$AR$203,4,FALSE)</f>
        <v>#N/A</v>
      </c>
      <c r="E11" s="393" t="e">
        <f>VLOOKUP($A11,'5 A calc'!$A$2:$AR$203,13,FALSE)</f>
        <v>#N/A</v>
      </c>
      <c r="F11" s="394" t="e">
        <f>VLOOKUP($A11,'5 A calc'!$A$2:$AR$203,14,FALSE)</f>
        <v>#N/A</v>
      </c>
      <c r="G11" s="393" t="e">
        <f>VLOOKUP($A11,'5 A calc'!$A$2:$AR$203,26,FALSE)*I11</f>
        <v>#N/A</v>
      </c>
      <c r="H11" s="394" t="e">
        <f>VLOOKUP($A11,'5 A calc'!$A$2:$AR$203,40,FALSE)*J11</f>
        <v>#N/A</v>
      </c>
      <c r="I11" s="56" t="e">
        <f>VLOOKUP($A11,'5 A calc'!$A$2:$AR$203,28,FALSE)</f>
        <v>#N/A</v>
      </c>
      <c r="J11" s="49" t="e">
        <f>VLOOKUP($A11,'5 A calc'!$A$2:$AR$203,42,FALSE)</f>
        <v>#N/A</v>
      </c>
      <c r="L11" s="4"/>
      <c r="M11" s="4"/>
      <c r="N11" s="4"/>
      <c r="Q11" s="27"/>
      <c r="R11" s="27"/>
      <c r="AA11" s="14"/>
      <c r="AB11" s="4"/>
      <c r="AC11" s="4"/>
      <c r="AD11" s="4"/>
      <c r="AE11" s="4"/>
      <c r="AF11" s="4"/>
      <c r="AG11" s="4"/>
      <c r="AH11" s="4"/>
      <c r="AI11" s="4"/>
    </row>
    <row r="12" spans="1:35" x14ac:dyDescent="0.2">
      <c r="C12" s="122"/>
      <c r="D12" s="116"/>
      <c r="E12" s="395"/>
      <c r="F12" s="396"/>
      <c r="G12" s="395"/>
      <c r="H12" s="396"/>
      <c r="I12" s="119"/>
      <c r="J12" s="120"/>
      <c r="L12" s="4"/>
      <c r="M12" s="4"/>
      <c r="N12" s="4"/>
      <c r="AA12" s="14"/>
      <c r="AB12" s="4"/>
      <c r="AC12" s="4"/>
      <c r="AD12" s="4"/>
      <c r="AE12" s="4"/>
      <c r="AF12" s="4"/>
      <c r="AG12" s="4"/>
      <c r="AH12" s="4"/>
      <c r="AI12" s="4"/>
    </row>
    <row r="13" spans="1:35" x14ac:dyDescent="0.2">
      <c r="A13" s="100"/>
      <c r="C13" s="53">
        <f t="shared" ref="C13:C18" si="1">low__burden</f>
        <v>0</v>
      </c>
      <c r="D13" s="51" t="e">
        <f>VLOOKUP($A13,'5 A calc'!$A$2:$AR$203,4,FALSE)</f>
        <v>#N/A</v>
      </c>
      <c r="E13" s="393" t="e">
        <f>VLOOKUP($A13,'5 A calc'!$A$2:$AR$203,13,FALSE)</f>
        <v>#N/A</v>
      </c>
      <c r="F13" s="394" t="e">
        <f>VLOOKUP($A13,'5 A calc'!$A$2:$AR$203,14,FALSE)</f>
        <v>#N/A</v>
      </c>
      <c r="G13" s="393" t="e">
        <f>VLOOKUP($A13,'5 A calc'!$A$2:$AR$203,26,FALSE)*I13</f>
        <v>#N/A</v>
      </c>
      <c r="H13" s="394" t="e">
        <f>VLOOKUP($A13,'5 A calc'!$A$2:$AR$203,40,FALSE)*J13</f>
        <v>#N/A</v>
      </c>
      <c r="I13" s="56" t="e">
        <f>VLOOKUP($A13,'5 A calc'!$A$2:$AR$203,28,FALSE)</f>
        <v>#N/A</v>
      </c>
      <c r="J13" s="49" t="e">
        <f>VLOOKUP($A13,'5 A calc'!$A$2:$AR$203,42,FALSE)</f>
        <v>#N/A</v>
      </c>
      <c r="L13" s="4"/>
      <c r="M13" s="4"/>
      <c r="N13" s="4"/>
      <c r="AA13" s="14"/>
      <c r="AB13" s="4"/>
      <c r="AC13" s="4"/>
      <c r="AD13" s="4"/>
      <c r="AE13" s="4"/>
      <c r="AF13" s="4"/>
      <c r="AG13" s="4"/>
      <c r="AH13" s="4"/>
      <c r="AI13" s="4"/>
    </row>
    <row r="14" spans="1:35" x14ac:dyDescent="0.2">
      <c r="A14" s="100"/>
      <c r="C14" s="53">
        <f t="shared" si="1"/>
        <v>0</v>
      </c>
      <c r="D14" s="51" t="e">
        <f>VLOOKUP($A14,'5 A calc'!$A$2:$AR$203,4,FALSE)</f>
        <v>#N/A</v>
      </c>
      <c r="E14" s="393" t="e">
        <f>VLOOKUP($A14,'5 A calc'!$A$2:$AR$203,13,FALSE)</f>
        <v>#N/A</v>
      </c>
      <c r="F14" s="394" t="e">
        <f>VLOOKUP($A14,'5 A calc'!$A$2:$AR$203,14,FALSE)</f>
        <v>#N/A</v>
      </c>
      <c r="G14" s="393" t="e">
        <f>VLOOKUP($A14,'5 A calc'!$A$2:$AR$203,26,FALSE)*I14</f>
        <v>#N/A</v>
      </c>
      <c r="H14" s="394" t="e">
        <f>VLOOKUP($A14,'5 A calc'!$A$2:$AR$203,40,FALSE)*J14</f>
        <v>#N/A</v>
      </c>
      <c r="I14" s="56" t="e">
        <f>VLOOKUP($A14,'5 A calc'!$A$2:$AR$203,28,FALSE)</f>
        <v>#N/A</v>
      </c>
      <c r="J14" s="49" t="e">
        <f>VLOOKUP($A14,'5 A calc'!$A$2:$AR$203,42,FALSE)</f>
        <v>#N/A</v>
      </c>
      <c r="L14" s="4"/>
      <c r="M14" s="4"/>
      <c r="N14" s="4"/>
      <c r="AA14" s="14"/>
      <c r="AB14" s="4"/>
      <c r="AC14" s="4"/>
      <c r="AD14" s="4"/>
      <c r="AE14" s="4"/>
      <c r="AF14" s="4"/>
      <c r="AG14" s="4"/>
      <c r="AH14" s="4"/>
      <c r="AI14" s="4"/>
    </row>
    <row r="15" spans="1:35" x14ac:dyDescent="0.2">
      <c r="A15" s="100"/>
      <c r="C15" s="53">
        <f t="shared" si="1"/>
        <v>0</v>
      </c>
      <c r="D15" s="51" t="e">
        <f>VLOOKUP($A15,'5 A calc'!$A$2:$AR$203,4,FALSE)</f>
        <v>#N/A</v>
      </c>
      <c r="E15" s="393" t="e">
        <f>VLOOKUP($A15,'5 A calc'!$A$2:$AR$203,13,FALSE)</f>
        <v>#N/A</v>
      </c>
      <c r="F15" s="394" t="e">
        <f>VLOOKUP($A15,'5 A calc'!$A$2:$AR$203,14,FALSE)</f>
        <v>#N/A</v>
      </c>
      <c r="G15" s="393" t="e">
        <f>VLOOKUP($A15,'5 A calc'!$A$2:$AR$203,26,FALSE)*I15</f>
        <v>#N/A</v>
      </c>
      <c r="H15" s="394" t="e">
        <f>VLOOKUP($A15,'5 A calc'!$A$2:$AR$203,40,FALSE)*J15</f>
        <v>#N/A</v>
      </c>
      <c r="I15" s="56" t="e">
        <f>VLOOKUP($A15,'5 A calc'!$A$2:$AR$203,28,FALSE)</f>
        <v>#N/A</v>
      </c>
      <c r="J15" s="49" t="e">
        <f>VLOOKUP($A15,'5 A calc'!$A$2:$AR$203,42,FALSE)</f>
        <v>#N/A</v>
      </c>
      <c r="L15" s="4"/>
      <c r="M15" s="4"/>
      <c r="N15" s="4"/>
      <c r="AA15" s="14"/>
      <c r="AB15" s="4"/>
      <c r="AC15" s="4"/>
      <c r="AD15" s="4"/>
      <c r="AE15" s="4"/>
      <c r="AF15" s="4"/>
      <c r="AG15" s="4"/>
      <c r="AH15" s="4"/>
      <c r="AI15" s="4"/>
    </row>
    <row r="16" spans="1:35" x14ac:dyDescent="0.2">
      <c r="A16" s="100"/>
      <c r="C16" s="53">
        <f t="shared" si="1"/>
        <v>0</v>
      </c>
      <c r="D16" s="51" t="e">
        <f>VLOOKUP($A16,'5 A calc'!$A$2:$AR$203,4,FALSE)</f>
        <v>#N/A</v>
      </c>
      <c r="E16" s="393" t="e">
        <f>VLOOKUP($A16,'5 A calc'!$A$2:$AR$203,13,FALSE)</f>
        <v>#N/A</v>
      </c>
      <c r="F16" s="394" t="e">
        <f>VLOOKUP($A16,'5 A calc'!$A$2:$AR$203,14,FALSE)</f>
        <v>#N/A</v>
      </c>
      <c r="G16" s="393" t="e">
        <f>VLOOKUP($A16,'5 A calc'!$A$2:$AR$203,26,FALSE)*I16</f>
        <v>#N/A</v>
      </c>
      <c r="H16" s="394" t="e">
        <f>VLOOKUP($A16,'5 A calc'!$A$2:$AR$203,40,FALSE)*J16</f>
        <v>#N/A</v>
      </c>
      <c r="I16" s="56" t="e">
        <f>VLOOKUP($A16,'5 A calc'!$A$2:$AR$203,28,FALSE)</f>
        <v>#N/A</v>
      </c>
      <c r="J16" s="49" t="e">
        <f>VLOOKUP($A16,'5 A calc'!$A$2:$AR$203,42,FALSE)</f>
        <v>#N/A</v>
      </c>
      <c r="L16" s="4"/>
      <c r="M16" s="4"/>
      <c r="N16" s="4"/>
    </row>
    <row r="17" spans="1:14" x14ac:dyDescent="0.2">
      <c r="A17" s="100"/>
      <c r="C17" s="53">
        <f t="shared" si="1"/>
        <v>0</v>
      </c>
      <c r="D17" s="51" t="e">
        <f>VLOOKUP($A17,'5 A calc'!$A$2:$AR$203,4,FALSE)</f>
        <v>#N/A</v>
      </c>
      <c r="E17" s="393" t="e">
        <f>VLOOKUP($A17,'5 A calc'!$A$2:$AR$203,13,FALSE)</f>
        <v>#N/A</v>
      </c>
      <c r="F17" s="394" t="e">
        <f>VLOOKUP($A17,'5 A calc'!$A$2:$AR$203,14,FALSE)</f>
        <v>#N/A</v>
      </c>
      <c r="G17" s="393" t="e">
        <f>VLOOKUP($A17,'5 A calc'!$A$2:$AR$203,26,FALSE)*I17</f>
        <v>#N/A</v>
      </c>
      <c r="H17" s="394" t="e">
        <f>VLOOKUP($A17,'5 A calc'!$A$2:$AR$203,40,FALSE)*J17</f>
        <v>#N/A</v>
      </c>
      <c r="I17" s="56" t="e">
        <f>VLOOKUP($A17,'5 A calc'!$A$2:$AR$203,28,FALSE)</f>
        <v>#N/A</v>
      </c>
      <c r="J17" s="49" t="e">
        <f>VLOOKUP($A17,'5 A calc'!$A$2:$AR$203,42,FALSE)</f>
        <v>#N/A</v>
      </c>
      <c r="L17" s="4"/>
      <c r="M17" s="4"/>
      <c r="N17" s="4"/>
    </row>
    <row r="18" spans="1:14" x14ac:dyDescent="0.2">
      <c r="A18" s="100"/>
      <c r="C18" s="53">
        <f t="shared" si="1"/>
        <v>0</v>
      </c>
      <c r="D18" s="51" t="e">
        <f>VLOOKUP($A18,'5 A calc'!$A$2:$AR$203,4,FALSE)</f>
        <v>#N/A</v>
      </c>
      <c r="E18" s="393" t="e">
        <f>VLOOKUP($A18,'5 A calc'!$A$2:$AR$203,13,FALSE)</f>
        <v>#N/A</v>
      </c>
      <c r="F18" s="394" t="e">
        <f>VLOOKUP($A18,'5 A calc'!$A$2:$AR$203,14,FALSE)</f>
        <v>#N/A</v>
      </c>
      <c r="G18" s="393" t="e">
        <f>VLOOKUP($A18,'5 A calc'!$A$2:$AR$203,26,FALSE)*I18</f>
        <v>#N/A</v>
      </c>
      <c r="H18" s="394" t="e">
        <f>VLOOKUP($A18,'5 A calc'!$A$2:$AR$203,40,FALSE)*J18</f>
        <v>#N/A</v>
      </c>
      <c r="I18" s="56" t="e">
        <f>VLOOKUP($A18,'5 A calc'!$A$2:$AR$203,28,FALSE)</f>
        <v>#N/A</v>
      </c>
      <c r="J18" s="49" t="e">
        <f>VLOOKUP($A18,'5 A calc'!$A$2:$AR$203,42,FALSE)</f>
        <v>#N/A</v>
      </c>
      <c r="L18" s="4"/>
      <c r="M18" s="4"/>
      <c r="N18" s="4"/>
    </row>
    <row r="19" spans="1:14" x14ac:dyDescent="0.2">
      <c r="C19" s="39"/>
      <c r="D19" s="52"/>
      <c r="E19" s="38"/>
      <c r="F19" s="52"/>
      <c r="G19" s="38"/>
      <c r="H19" s="52"/>
      <c r="I19" s="52"/>
      <c r="J19" s="40"/>
      <c r="L19" s="4"/>
      <c r="M19" s="4"/>
    </row>
    <row r="21" spans="1:14" ht="21.4" customHeight="1" x14ac:dyDescent="0.2">
      <c r="A21" s="100"/>
      <c r="C21" s="61" t="e">
        <f>"Table "&amp;L21&amp;". Ratio "&amp;LEFT(M21,FIND("/",M21)-1)&amp;":5."&amp;"  Secondary: "&amp;K21</f>
        <v>#N/A</v>
      </c>
      <c r="D21" s="18"/>
      <c r="E21" s="18"/>
      <c r="F21" s="18"/>
      <c r="G21" s="18"/>
      <c r="H21" s="10"/>
      <c r="I21" s="10"/>
      <c r="J21" s="11"/>
      <c r="K21" s="98" t="e">
        <f>VLOOKUP($A21+1,'5 A data'!$A$2:$AW$259,2,FALSE)</f>
        <v>#N/A</v>
      </c>
      <c r="L21" s="100"/>
      <c r="M21" s="98" t="e">
        <f>VLOOKUP($A21,'5 A calc'!$A$2:$AR$172,4,FALSE)</f>
        <v>#N/A</v>
      </c>
    </row>
    <row r="22" spans="1:14" ht="21.4" customHeight="1" x14ac:dyDescent="0.2">
      <c r="A22" s="69"/>
      <c r="C22" s="12"/>
      <c r="D22" s="13"/>
      <c r="E22" s="543" t="s">
        <v>19</v>
      </c>
      <c r="F22" s="544"/>
      <c r="G22" s="543" t="s">
        <v>20</v>
      </c>
      <c r="H22" s="544"/>
      <c r="I22" s="543" t="s">
        <v>8</v>
      </c>
      <c r="J22" s="544"/>
      <c r="L22" s="68"/>
    </row>
    <row r="23" spans="1:14" ht="63" customHeight="1" x14ac:dyDescent="0.2">
      <c r="A23" s="69"/>
      <c r="C23" s="12" t="s">
        <v>170</v>
      </c>
      <c r="D23" s="54" t="s">
        <v>242</v>
      </c>
      <c r="E23" s="54" t="s">
        <v>295</v>
      </c>
      <c r="F23" s="13" t="s">
        <v>240</v>
      </c>
      <c r="G23" s="54" t="s">
        <v>295</v>
      </c>
      <c r="H23" s="13" t="s">
        <v>240</v>
      </c>
      <c r="I23" s="54" t="s">
        <v>159</v>
      </c>
      <c r="J23" s="13" t="s">
        <v>160</v>
      </c>
      <c r="L23" s="158"/>
      <c r="M23" s="158"/>
    </row>
    <row r="24" spans="1:14" ht="13.5" customHeight="1" x14ac:dyDescent="0.2">
      <c r="A24" s="100"/>
      <c r="C24" s="53">
        <f t="shared" ref="C24:C29" si="2">high_burden</f>
        <v>0.2</v>
      </c>
      <c r="D24" s="57" t="e">
        <f>VLOOKUP($A24,'5 A calc'!$A$2:$AR$203,4,FALSE)</f>
        <v>#N/A</v>
      </c>
      <c r="E24" s="393" t="e">
        <f>VLOOKUP($A24,'5 A calc'!$A$2:$AR$203,13,FALSE)</f>
        <v>#N/A</v>
      </c>
      <c r="F24" s="394" t="e">
        <f>VLOOKUP($A24,'5 A calc'!$A$2:$AR$203,14,FALSE)</f>
        <v>#N/A</v>
      </c>
      <c r="G24" s="393" t="e">
        <f>VLOOKUP($A24,'5 A calc'!$A$2:$AR$203,26,FALSE)*I24</f>
        <v>#N/A</v>
      </c>
      <c r="H24" s="394" t="e">
        <f>VLOOKUP($A24,'5 A calc'!$A$2:$AR$203,40,FALSE)*J24</f>
        <v>#N/A</v>
      </c>
      <c r="I24" s="56" t="e">
        <f>VLOOKUP($A24,'5 A calc'!$A$2:$AR$203,28,FALSE)</f>
        <v>#N/A</v>
      </c>
      <c r="J24" s="49" t="e">
        <f>VLOOKUP($A24,'5 A calc'!$A$2:$AR$203,42,FALSE)</f>
        <v>#N/A</v>
      </c>
      <c r="L24" s="4"/>
      <c r="M24" s="4"/>
    </row>
    <row r="25" spans="1:14" ht="13.5" customHeight="1" x14ac:dyDescent="0.2">
      <c r="A25" s="100"/>
      <c r="C25" s="53">
        <f t="shared" si="2"/>
        <v>0.2</v>
      </c>
      <c r="D25" s="57" t="e">
        <f>VLOOKUP($A25,'5 A calc'!$A$2:$AR$203,4,FALSE)</f>
        <v>#N/A</v>
      </c>
      <c r="E25" s="393" t="e">
        <f>VLOOKUP($A25,'5 A calc'!$A$2:$AR$203,13,FALSE)</f>
        <v>#N/A</v>
      </c>
      <c r="F25" s="394" t="e">
        <f>VLOOKUP($A25,'5 A calc'!$A$2:$AR$203,14,FALSE)</f>
        <v>#N/A</v>
      </c>
      <c r="G25" s="393" t="e">
        <f>VLOOKUP($A25,'5 A calc'!$A$2:$AR$203,26,FALSE)*I25</f>
        <v>#N/A</v>
      </c>
      <c r="H25" s="394" t="e">
        <f>VLOOKUP($A25,'5 A calc'!$A$2:$AR$203,40,FALSE)*J25</f>
        <v>#N/A</v>
      </c>
      <c r="I25" s="56" t="e">
        <f>VLOOKUP($A25,'5 A calc'!$A$2:$AR$203,28,FALSE)</f>
        <v>#N/A</v>
      </c>
      <c r="J25" s="49" t="e">
        <f>VLOOKUP($A25,'5 A calc'!$A$2:$AR$203,42,FALSE)</f>
        <v>#N/A</v>
      </c>
      <c r="L25" s="4"/>
      <c r="M25" s="4"/>
    </row>
    <row r="26" spans="1:14" ht="13.5" customHeight="1" x14ac:dyDescent="0.2">
      <c r="A26" s="100"/>
      <c r="C26" s="53">
        <f t="shared" si="2"/>
        <v>0.2</v>
      </c>
      <c r="D26" s="57" t="e">
        <f>VLOOKUP($A26,'5 A calc'!$A$2:$AR$203,4,FALSE)</f>
        <v>#N/A</v>
      </c>
      <c r="E26" s="393" t="e">
        <f>VLOOKUP($A26,'5 A calc'!$A$2:$AR$203,13,FALSE)</f>
        <v>#N/A</v>
      </c>
      <c r="F26" s="394" t="e">
        <f>VLOOKUP($A26,'5 A calc'!$A$2:$AR$203,14,FALSE)</f>
        <v>#N/A</v>
      </c>
      <c r="G26" s="393" t="e">
        <f>VLOOKUP($A26,'5 A calc'!$A$2:$AR$203,26,FALSE)*I26</f>
        <v>#N/A</v>
      </c>
      <c r="H26" s="394" t="e">
        <f>VLOOKUP($A26,'5 A calc'!$A$2:$AR$203,40,FALSE)*J26</f>
        <v>#N/A</v>
      </c>
      <c r="I26" s="56" t="e">
        <f>VLOOKUP($A26,'5 A calc'!$A$2:$AR$203,28,FALSE)</f>
        <v>#N/A</v>
      </c>
      <c r="J26" s="49" t="e">
        <f>VLOOKUP($A26,'5 A calc'!$A$2:$AR$203,42,FALSE)</f>
        <v>#N/A</v>
      </c>
      <c r="L26" s="4"/>
      <c r="M26" s="4"/>
    </row>
    <row r="27" spans="1:14" ht="13.7" customHeight="1" x14ac:dyDescent="0.2">
      <c r="A27" s="100"/>
      <c r="C27" s="53">
        <f t="shared" si="2"/>
        <v>0.2</v>
      </c>
      <c r="D27" s="57" t="e">
        <f>VLOOKUP($A27,'5 A calc'!$A$2:$AR$203,4,FALSE)</f>
        <v>#N/A</v>
      </c>
      <c r="E27" s="393" t="e">
        <f>VLOOKUP($A27,'5 A calc'!$A$2:$AR$203,13,FALSE)</f>
        <v>#N/A</v>
      </c>
      <c r="F27" s="394" t="e">
        <f>VLOOKUP($A27,'5 A calc'!$A$2:$AR$203,14,FALSE)</f>
        <v>#N/A</v>
      </c>
      <c r="G27" s="393" t="e">
        <f>VLOOKUP($A27,'5 A calc'!$A$2:$AR$203,26,FALSE)*I27</f>
        <v>#N/A</v>
      </c>
      <c r="H27" s="394" t="e">
        <f>VLOOKUP($A27,'5 A calc'!$A$2:$AR$203,40,FALSE)*J27</f>
        <v>#N/A</v>
      </c>
      <c r="I27" s="56" t="e">
        <f>VLOOKUP($A27,'5 A calc'!$A$2:$AR$203,28,FALSE)</f>
        <v>#N/A</v>
      </c>
      <c r="J27" s="49" t="e">
        <f>VLOOKUP($A27,'5 A calc'!$A$2:$AR$203,42,FALSE)</f>
        <v>#N/A</v>
      </c>
      <c r="L27" s="4"/>
      <c r="M27" s="4"/>
    </row>
    <row r="28" spans="1:14" ht="13.7" customHeight="1" x14ac:dyDescent="0.2">
      <c r="A28" s="100"/>
      <c r="C28" s="53">
        <f t="shared" si="2"/>
        <v>0.2</v>
      </c>
      <c r="D28" s="51" t="e">
        <f>VLOOKUP($A28,'5 A calc'!$A$2:$AR$203,4,FALSE)</f>
        <v>#N/A</v>
      </c>
      <c r="E28" s="393" t="e">
        <f>VLOOKUP($A28,'5 A calc'!$A$2:$AR$203,13,FALSE)</f>
        <v>#N/A</v>
      </c>
      <c r="F28" s="394" t="e">
        <f>VLOOKUP($A28,'5 A calc'!$A$2:$AR$203,14,FALSE)</f>
        <v>#N/A</v>
      </c>
      <c r="G28" s="393" t="e">
        <f>VLOOKUP($A28,'5 A calc'!$A$2:$AR$203,26,FALSE)*I28</f>
        <v>#N/A</v>
      </c>
      <c r="H28" s="394" t="e">
        <f>VLOOKUP($A28,'5 A calc'!$A$2:$AR$203,40,FALSE)*J28</f>
        <v>#N/A</v>
      </c>
      <c r="I28" s="56" t="e">
        <f>VLOOKUP($A28,'5 A calc'!$A$2:$AR$203,28,FALSE)</f>
        <v>#N/A</v>
      </c>
      <c r="J28" s="49" t="e">
        <f>VLOOKUP($A28,'5 A calc'!$A$2:$AR$203,42,FALSE)</f>
        <v>#N/A</v>
      </c>
      <c r="L28" s="4"/>
      <c r="M28" s="4"/>
    </row>
    <row r="29" spans="1:14" ht="13.7" customHeight="1" x14ac:dyDescent="0.2">
      <c r="A29" s="100"/>
      <c r="C29" s="53">
        <f t="shared" si="2"/>
        <v>0.2</v>
      </c>
      <c r="D29" s="51" t="e">
        <f>VLOOKUP($A29,'5 A calc'!$A$2:$AR$203,4,FALSE)</f>
        <v>#N/A</v>
      </c>
      <c r="E29" s="393" t="e">
        <f>VLOOKUP($A29,'5 A calc'!$A$2:$AR$203,13,FALSE)</f>
        <v>#N/A</v>
      </c>
      <c r="F29" s="394" t="e">
        <f>VLOOKUP($A29,'5 A calc'!$A$2:$AR$203,14,FALSE)</f>
        <v>#N/A</v>
      </c>
      <c r="G29" s="393" t="e">
        <f>VLOOKUP($A29,'5 A calc'!$A$2:$AR$203,26,FALSE)*I29</f>
        <v>#N/A</v>
      </c>
      <c r="H29" s="394" t="e">
        <f>VLOOKUP($A29,'5 A calc'!$A$2:$AR$203,40,FALSE)*J29</f>
        <v>#N/A</v>
      </c>
      <c r="I29" s="56" t="e">
        <f>VLOOKUP($A29,'5 A calc'!$A$2:$AR$203,28,FALSE)</f>
        <v>#N/A</v>
      </c>
      <c r="J29" s="49" t="e">
        <f>VLOOKUP($A29,'5 A calc'!$A$2:$AR$203,42,FALSE)</f>
        <v>#N/A</v>
      </c>
      <c r="L29" s="4"/>
      <c r="M29" s="4"/>
    </row>
    <row r="30" spans="1:14" ht="13.7" customHeight="1" x14ac:dyDescent="0.2">
      <c r="A30" s="69"/>
      <c r="C30" s="122"/>
      <c r="D30" s="116"/>
      <c r="E30" s="395"/>
      <c r="F30" s="396"/>
      <c r="G30" s="395"/>
      <c r="H30" s="396"/>
      <c r="I30" s="119"/>
      <c r="J30" s="120"/>
      <c r="L30" s="4"/>
      <c r="M30" s="4"/>
    </row>
    <row r="31" spans="1:14" ht="13.7" customHeight="1" x14ac:dyDescent="0.2">
      <c r="A31" s="100"/>
      <c r="C31" s="53">
        <f t="shared" ref="C31:C36" si="3">low__burden</f>
        <v>0</v>
      </c>
      <c r="D31" s="51" t="e">
        <f>VLOOKUP($A31,'5 A calc'!$A$2:$AR$203,4,FALSE)</f>
        <v>#N/A</v>
      </c>
      <c r="E31" s="393" t="e">
        <f>VLOOKUP($A31,'5 A calc'!$A$2:$AR$203,13,FALSE)</f>
        <v>#N/A</v>
      </c>
      <c r="F31" s="394" t="e">
        <f>VLOOKUP($A31,'5 A calc'!$A$2:$AR$203,14,FALSE)</f>
        <v>#N/A</v>
      </c>
      <c r="G31" s="393" t="e">
        <f>VLOOKUP($A31,'5 A calc'!$A$2:$AR$203,26,FALSE)*I31</f>
        <v>#N/A</v>
      </c>
      <c r="H31" s="394" t="e">
        <f>VLOOKUP($A31,'5 A calc'!$A$2:$AR$203,40,FALSE)*J31</f>
        <v>#N/A</v>
      </c>
      <c r="I31" s="56" t="e">
        <f>VLOOKUP($A31,'5 A calc'!$A$2:$AR$203,28,FALSE)</f>
        <v>#N/A</v>
      </c>
      <c r="J31" s="49" t="e">
        <f>VLOOKUP($A31,'5 A calc'!$A$2:$AR$203,42,FALSE)</f>
        <v>#N/A</v>
      </c>
      <c r="L31" s="4"/>
      <c r="M31" s="4"/>
    </row>
    <row r="32" spans="1:14" ht="13.7" customHeight="1" x14ac:dyDescent="0.2">
      <c r="A32" s="100"/>
      <c r="C32" s="53">
        <f t="shared" si="3"/>
        <v>0</v>
      </c>
      <c r="D32" s="51" t="e">
        <f>VLOOKUP($A32,'5 A calc'!$A$2:$AR$203,4,FALSE)</f>
        <v>#N/A</v>
      </c>
      <c r="E32" s="393" t="e">
        <f>VLOOKUP($A32,'5 A calc'!$A$2:$AR$203,13,FALSE)</f>
        <v>#N/A</v>
      </c>
      <c r="F32" s="394" t="e">
        <f>VLOOKUP($A32,'5 A calc'!$A$2:$AR$203,14,FALSE)</f>
        <v>#N/A</v>
      </c>
      <c r="G32" s="393" t="e">
        <f>VLOOKUP($A32,'5 A calc'!$A$2:$AR$203,26,FALSE)*I32</f>
        <v>#N/A</v>
      </c>
      <c r="H32" s="394" t="e">
        <f>VLOOKUP($A32,'5 A calc'!$A$2:$AR$203,40,FALSE)*J32</f>
        <v>#N/A</v>
      </c>
      <c r="I32" s="56" t="e">
        <f>VLOOKUP($A32,'5 A calc'!$A$2:$AR$203,28,FALSE)</f>
        <v>#N/A</v>
      </c>
      <c r="J32" s="49" t="e">
        <f>VLOOKUP($A32,'5 A calc'!$A$2:$AR$203,42,FALSE)</f>
        <v>#N/A</v>
      </c>
      <c r="L32" s="4"/>
      <c r="M32" s="4"/>
    </row>
    <row r="33" spans="1:36" ht="13.7" customHeight="1" x14ac:dyDescent="0.2">
      <c r="A33" s="100"/>
      <c r="C33" s="53">
        <f t="shared" si="3"/>
        <v>0</v>
      </c>
      <c r="D33" s="51" t="e">
        <f>VLOOKUP($A33,'5 A calc'!$A$2:$AR$203,4,FALSE)</f>
        <v>#N/A</v>
      </c>
      <c r="E33" s="393" t="e">
        <f>VLOOKUP($A33,'5 A calc'!$A$2:$AR$203,13,FALSE)</f>
        <v>#N/A</v>
      </c>
      <c r="F33" s="394" t="e">
        <f>VLOOKUP($A33,'5 A calc'!$A$2:$AR$203,14,FALSE)</f>
        <v>#N/A</v>
      </c>
      <c r="G33" s="393" t="e">
        <f>VLOOKUP($A33,'5 A calc'!$A$2:$AR$203,26,FALSE)*I33</f>
        <v>#N/A</v>
      </c>
      <c r="H33" s="394" t="e">
        <f>VLOOKUP($A33,'5 A calc'!$A$2:$AR$203,40,FALSE)*J33</f>
        <v>#N/A</v>
      </c>
      <c r="I33" s="56" t="e">
        <f>VLOOKUP($A33,'5 A calc'!$A$2:$AR$203,28,FALSE)</f>
        <v>#N/A</v>
      </c>
      <c r="J33" s="49" t="e">
        <f>VLOOKUP($A33,'5 A calc'!$A$2:$AR$203,42,FALSE)</f>
        <v>#N/A</v>
      </c>
      <c r="L33" s="4"/>
      <c r="M33" s="4"/>
    </row>
    <row r="34" spans="1:36" ht="13.7" customHeight="1" x14ac:dyDescent="0.2">
      <c r="A34" s="100"/>
      <c r="C34" s="53">
        <f t="shared" si="3"/>
        <v>0</v>
      </c>
      <c r="D34" s="51" t="e">
        <f>VLOOKUP($A34,'5 A calc'!$A$2:$AR$203,4,FALSE)</f>
        <v>#N/A</v>
      </c>
      <c r="E34" s="393" t="e">
        <f>VLOOKUP($A34,'5 A calc'!$A$2:$AR$203,13,FALSE)</f>
        <v>#N/A</v>
      </c>
      <c r="F34" s="394" t="e">
        <f>VLOOKUP($A34,'5 A calc'!$A$2:$AR$203,14,FALSE)</f>
        <v>#N/A</v>
      </c>
      <c r="G34" s="393" t="e">
        <f>VLOOKUP($A34,'5 A calc'!$A$2:$AR$203,26,FALSE)*I34</f>
        <v>#N/A</v>
      </c>
      <c r="H34" s="394" t="e">
        <f>VLOOKUP($A34,'5 A calc'!$A$2:$AR$203,40,FALSE)*J34</f>
        <v>#N/A</v>
      </c>
      <c r="I34" s="56" t="e">
        <f>VLOOKUP($A34,'5 A calc'!$A$2:$AR$203,28,FALSE)</f>
        <v>#N/A</v>
      </c>
      <c r="J34" s="49" t="e">
        <f>VLOOKUP($A34,'5 A calc'!$A$2:$AR$203,42,FALSE)</f>
        <v>#N/A</v>
      </c>
      <c r="L34" s="4"/>
      <c r="M34" s="4"/>
    </row>
    <row r="35" spans="1:36" ht="13.7" customHeight="1" x14ac:dyDescent="0.2">
      <c r="A35" s="100"/>
      <c r="C35" s="53">
        <f t="shared" si="3"/>
        <v>0</v>
      </c>
      <c r="D35" s="51" t="e">
        <f>VLOOKUP($A35,'5 A calc'!$A$2:$AR$203,4,FALSE)</f>
        <v>#N/A</v>
      </c>
      <c r="E35" s="393" t="e">
        <f>VLOOKUP($A35,'5 A calc'!$A$2:$AR$203,13,FALSE)</f>
        <v>#N/A</v>
      </c>
      <c r="F35" s="394" t="e">
        <f>VLOOKUP($A35,'5 A calc'!$A$2:$AR$203,14,FALSE)</f>
        <v>#N/A</v>
      </c>
      <c r="G35" s="393" t="e">
        <f>VLOOKUP($A35,'5 A calc'!$A$2:$AR$203,26,FALSE)*I35</f>
        <v>#N/A</v>
      </c>
      <c r="H35" s="394" t="e">
        <f>VLOOKUP($A35,'5 A calc'!$A$2:$AR$203,40,FALSE)*J35</f>
        <v>#N/A</v>
      </c>
      <c r="I35" s="56" t="e">
        <f>VLOOKUP($A35,'5 A calc'!$A$2:$AR$203,28,FALSE)</f>
        <v>#N/A</v>
      </c>
      <c r="J35" s="49" t="e">
        <f>VLOOKUP($A35,'5 A calc'!$A$2:$AR$203,42,FALSE)</f>
        <v>#N/A</v>
      </c>
      <c r="L35" s="4"/>
      <c r="M35" s="4"/>
    </row>
    <row r="36" spans="1:36" ht="13.7" customHeight="1" x14ac:dyDescent="0.2">
      <c r="A36" s="100"/>
      <c r="C36" s="53">
        <f t="shared" si="3"/>
        <v>0</v>
      </c>
      <c r="D36" s="51" t="e">
        <f>VLOOKUP($A36,'5 A calc'!$A$2:$AR$203,4,FALSE)</f>
        <v>#N/A</v>
      </c>
      <c r="E36" s="393" t="e">
        <f>VLOOKUP($A36,'5 A calc'!$A$2:$AR$203,13,FALSE)</f>
        <v>#N/A</v>
      </c>
      <c r="F36" s="394" t="e">
        <f>VLOOKUP($A36,'5 A calc'!$A$2:$AR$203,14,FALSE)</f>
        <v>#N/A</v>
      </c>
      <c r="G36" s="393" t="e">
        <f>VLOOKUP($A36,'5 A calc'!$A$2:$AR$203,26,FALSE)*I36</f>
        <v>#N/A</v>
      </c>
      <c r="H36" s="394" t="e">
        <f>VLOOKUP($A36,'5 A calc'!$A$2:$AR$203,40,FALSE)*J36</f>
        <v>#N/A</v>
      </c>
      <c r="I36" s="56" t="e">
        <f>VLOOKUP($A36,'5 A calc'!$A$2:$AR$203,28,FALSE)</f>
        <v>#N/A</v>
      </c>
      <c r="J36" s="49" t="e">
        <f>VLOOKUP($A36,'5 A calc'!$A$2:$AR$203,42,FALSE)</f>
        <v>#N/A</v>
      </c>
      <c r="L36" s="4"/>
      <c r="M36" s="4"/>
      <c r="AB36" s="14"/>
      <c r="AC36" s="4"/>
      <c r="AD36" s="4"/>
      <c r="AE36" s="4"/>
      <c r="AF36" s="4"/>
      <c r="AG36" s="121"/>
      <c r="AH36" s="4"/>
      <c r="AI36" s="4"/>
      <c r="AJ36" s="4"/>
    </row>
    <row r="37" spans="1:36" ht="13.7" customHeight="1" x14ac:dyDescent="0.2">
      <c r="C37" s="39"/>
      <c r="D37" s="52"/>
      <c r="E37" s="38"/>
      <c r="F37" s="52"/>
      <c r="G37" s="38"/>
      <c r="H37" s="52"/>
      <c r="I37" s="52"/>
      <c r="J37" s="40"/>
      <c r="AB37" s="14"/>
      <c r="AC37" s="4"/>
      <c r="AD37" s="4"/>
      <c r="AE37" s="4"/>
      <c r="AF37" s="4"/>
      <c r="AG37" s="121"/>
      <c r="AH37" s="4"/>
      <c r="AI37" s="4"/>
      <c r="AJ37" s="4"/>
    </row>
    <row r="38" spans="1:36" x14ac:dyDescent="0.2">
      <c r="AB38" s="14"/>
      <c r="AC38" s="4"/>
      <c r="AD38" s="4"/>
      <c r="AE38" s="4"/>
      <c r="AF38" s="4"/>
      <c r="AG38" s="121"/>
      <c r="AH38" s="4"/>
      <c r="AI38" s="4"/>
      <c r="AJ38" s="4"/>
    </row>
    <row r="39" spans="1:36" ht="21.4" customHeight="1" x14ac:dyDescent="0.2">
      <c r="A39" s="100"/>
      <c r="C39" s="61" t="e">
        <f>"Table "&amp;L39&amp;". Ratio "&amp;LEFT(M39,FIND("/",M39)-1)&amp;":5."&amp;"  Secondary: "&amp;K39</f>
        <v>#N/A</v>
      </c>
      <c r="D39" s="133"/>
      <c r="E39" s="133"/>
      <c r="F39" s="133"/>
      <c r="G39" s="133"/>
      <c r="H39" s="79"/>
      <c r="I39" s="79"/>
      <c r="J39" s="80"/>
      <c r="K39" s="98" t="e">
        <f>VLOOKUP($A39+1,'5 A data'!$A$2:$AW$259,2,FALSE)</f>
        <v>#N/A</v>
      </c>
      <c r="L39" s="100"/>
      <c r="M39" s="98" t="e">
        <f>VLOOKUP($A39,'5 A calc'!$A$2:$AR$172,4,FALSE)</f>
        <v>#N/A</v>
      </c>
      <c r="AC39" s="4"/>
      <c r="AD39" s="4"/>
      <c r="AE39" s="4"/>
      <c r="AF39" s="4"/>
      <c r="AG39" s="121"/>
      <c r="AH39" s="4"/>
      <c r="AI39" s="4"/>
      <c r="AJ39" s="4"/>
    </row>
    <row r="40" spans="1:36" ht="21.4" customHeight="1" x14ac:dyDescent="0.2">
      <c r="A40" s="69"/>
      <c r="C40" s="129"/>
      <c r="D40" s="130"/>
      <c r="E40" s="537" t="s">
        <v>19</v>
      </c>
      <c r="F40" s="538"/>
      <c r="G40" s="537" t="s">
        <v>20</v>
      </c>
      <c r="H40" s="538"/>
      <c r="I40" s="539" t="s">
        <v>8</v>
      </c>
      <c r="J40" s="540"/>
      <c r="L40" s="68"/>
      <c r="AB40" s="14"/>
      <c r="AC40" s="4"/>
      <c r="AD40" s="4"/>
      <c r="AE40" s="4"/>
      <c r="AF40" s="4"/>
      <c r="AG40" s="121"/>
      <c r="AH40" s="4"/>
      <c r="AI40" s="4"/>
      <c r="AJ40" s="4"/>
    </row>
    <row r="41" spans="1:36" ht="63" customHeight="1" x14ac:dyDescent="0.2">
      <c r="A41" s="69"/>
      <c r="C41" s="12" t="s">
        <v>170</v>
      </c>
      <c r="D41" s="54" t="s">
        <v>242</v>
      </c>
      <c r="E41" s="54" t="s">
        <v>295</v>
      </c>
      <c r="F41" s="13" t="s">
        <v>240</v>
      </c>
      <c r="G41" s="54" t="s">
        <v>295</v>
      </c>
      <c r="H41" s="13" t="s">
        <v>240</v>
      </c>
      <c r="I41" s="54" t="s">
        <v>159</v>
      </c>
      <c r="J41" s="13" t="s">
        <v>160</v>
      </c>
      <c r="K41" t="s">
        <v>154</v>
      </c>
      <c r="L41" s="158"/>
      <c r="M41" s="158"/>
      <c r="AB41" s="14"/>
      <c r="AC41" s="4"/>
      <c r="AD41" s="4"/>
      <c r="AE41" s="4"/>
      <c r="AF41" s="4"/>
      <c r="AG41" s="121"/>
      <c r="AH41" s="4"/>
      <c r="AI41" s="4"/>
      <c r="AJ41" s="4"/>
    </row>
    <row r="42" spans="1:36" x14ac:dyDescent="0.2">
      <c r="A42" s="100"/>
      <c r="C42" s="132">
        <f t="shared" ref="C42:C47" si="4">high_burden</f>
        <v>0.2</v>
      </c>
      <c r="D42" s="131" t="e">
        <f>VLOOKUP($A42,'5 A calc'!$A$2:$AR$203,4,FALSE)</f>
        <v>#N/A</v>
      </c>
      <c r="E42" s="393" t="e">
        <f>VLOOKUP($A42,'5 A calc'!$A$2:$AR$203,13,FALSE)</f>
        <v>#N/A</v>
      </c>
      <c r="F42" s="394" t="e">
        <f>VLOOKUP($A42,'5 A calc'!$A$2:$AR$203,14,FALSE)</f>
        <v>#N/A</v>
      </c>
      <c r="G42" s="393" t="e">
        <f>VLOOKUP($A42,'5 A calc'!$A$2:$AR$203,26,FALSE)*I42</f>
        <v>#N/A</v>
      </c>
      <c r="H42" s="394" t="e">
        <f>VLOOKUP($A42,'5 A calc'!$A$2:$AR$203,40,FALSE)*J42</f>
        <v>#N/A</v>
      </c>
      <c r="I42" s="134" t="e">
        <f>VLOOKUP($A42,'5 A calc'!$A$2:$AR$203,28,FALSE)</f>
        <v>#N/A</v>
      </c>
      <c r="J42" s="135" t="e">
        <f>VLOOKUP($A42,'5 A calc'!$A$2:$AR$203,42,FALSE)</f>
        <v>#N/A</v>
      </c>
      <c r="L42" s="4"/>
      <c r="M42" s="4"/>
      <c r="AB42" s="14"/>
      <c r="AC42" s="4"/>
      <c r="AD42" s="4"/>
      <c r="AE42" s="4"/>
      <c r="AF42" s="4"/>
      <c r="AG42" s="121"/>
      <c r="AH42" s="4"/>
      <c r="AI42" s="4"/>
      <c r="AJ42" s="4"/>
    </row>
    <row r="43" spans="1:36" x14ac:dyDescent="0.2">
      <c r="A43" s="100"/>
      <c r="C43" s="132">
        <f t="shared" si="4"/>
        <v>0.2</v>
      </c>
      <c r="D43" s="131" t="e">
        <f>VLOOKUP($A43,'5 A calc'!$A$2:$AR$203,4,FALSE)</f>
        <v>#N/A</v>
      </c>
      <c r="E43" s="393" t="e">
        <f>VLOOKUP($A43,'5 A calc'!$A$2:$AR$203,13,FALSE)</f>
        <v>#N/A</v>
      </c>
      <c r="F43" s="394" t="e">
        <f>VLOOKUP($A43,'5 A calc'!$A$2:$AR$203,14,FALSE)</f>
        <v>#N/A</v>
      </c>
      <c r="G43" s="393" t="e">
        <f>VLOOKUP($A43,'5 A calc'!$A$2:$AR$203,26,FALSE)*I43</f>
        <v>#N/A</v>
      </c>
      <c r="H43" s="394" t="e">
        <f>VLOOKUP($A43,'5 A calc'!$A$2:$AR$203,40,FALSE)*J43</f>
        <v>#N/A</v>
      </c>
      <c r="I43" s="134" t="e">
        <f>VLOOKUP($A43,'5 A calc'!$A$2:$AR$203,28,FALSE)</f>
        <v>#N/A</v>
      </c>
      <c r="J43" s="135" t="e">
        <f>VLOOKUP($A43,'5 A calc'!$A$2:$AR$203,42,FALSE)</f>
        <v>#N/A</v>
      </c>
      <c r="L43" s="4"/>
      <c r="M43" s="4"/>
      <c r="AB43" s="14"/>
      <c r="AC43" s="4"/>
      <c r="AD43" s="4"/>
      <c r="AE43" s="4"/>
      <c r="AF43" s="4"/>
      <c r="AG43" s="121"/>
      <c r="AH43" s="4"/>
      <c r="AI43" s="4"/>
      <c r="AJ43" s="4"/>
    </row>
    <row r="44" spans="1:36" x14ac:dyDescent="0.2">
      <c r="A44" s="100"/>
      <c r="C44" s="132">
        <f t="shared" si="4"/>
        <v>0.2</v>
      </c>
      <c r="D44" s="131" t="e">
        <f>VLOOKUP($A44,'5 A calc'!$A$2:$AR$203,4,FALSE)</f>
        <v>#N/A</v>
      </c>
      <c r="E44" s="393" t="e">
        <f>VLOOKUP($A44,'5 A calc'!$A$2:$AR$203,13,FALSE)</f>
        <v>#N/A</v>
      </c>
      <c r="F44" s="394" t="e">
        <f>VLOOKUP($A44,'5 A calc'!$A$2:$AR$203,14,FALSE)</f>
        <v>#N/A</v>
      </c>
      <c r="G44" s="393" t="e">
        <f>VLOOKUP($A44,'5 A calc'!$A$2:$AR$203,26,FALSE)*I44</f>
        <v>#N/A</v>
      </c>
      <c r="H44" s="394" t="e">
        <f>VLOOKUP($A44,'5 A calc'!$A$2:$AR$203,40,FALSE)*J44</f>
        <v>#N/A</v>
      </c>
      <c r="I44" s="134" t="e">
        <f>VLOOKUP($A44,'5 A calc'!$A$2:$AR$203,28,FALSE)</f>
        <v>#N/A</v>
      </c>
      <c r="J44" s="135" t="e">
        <f>VLOOKUP($A44,'5 A calc'!$A$2:$AR$203,42,FALSE)</f>
        <v>#N/A</v>
      </c>
      <c r="L44" s="4"/>
      <c r="M44" s="4"/>
      <c r="AB44" s="14"/>
      <c r="AC44" s="4"/>
      <c r="AD44" s="4"/>
      <c r="AE44" s="4"/>
      <c r="AF44" s="4"/>
      <c r="AG44" s="121"/>
      <c r="AH44" s="4"/>
      <c r="AI44" s="4"/>
      <c r="AJ44" s="4"/>
    </row>
    <row r="45" spans="1:36" x14ac:dyDescent="0.2">
      <c r="A45" s="100"/>
      <c r="C45" s="132">
        <f t="shared" si="4"/>
        <v>0.2</v>
      </c>
      <c r="D45" s="131" t="e">
        <f>VLOOKUP($A45,'5 A calc'!$A$2:$AR$203,4,FALSE)</f>
        <v>#N/A</v>
      </c>
      <c r="E45" s="393" t="e">
        <f>VLOOKUP($A45,'5 A calc'!$A$2:$AR$203,13,FALSE)</f>
        <v>#N/A</v>
      </c>
      <c r="F45" s="394" t="e">
        <f>VLOOKUP($A45,'5 A calc'!$A$2:$AR$203,14,FALSE)</f>
        <v>#N/A</v>
      </c>
      <c r="G45" s="393" t="e">
        <f>VLOOKUP($A45,'5 A calc'!$A$2:$AR$203,26,FALSE)*I45</f>
        <v>#N/A</v>
      </c>
      <c r="H45" s="394" t="e">
        <f>VLOOKUP($A45,'5 A calc'!$A$2:$AR$203,40,FALSE)*J45</f>
        <v>#N/A</v>
      </c>
      <c r="I45" s="134" t="e">
        <f>VLOOKUP($A45,'5 A calc'!$A$2:$AR$203,28,FALSE)</f>
        <v>#N/A</v>
      </c>
      <c r="J45" s="135" t="e">
        <f>VLOOKUP($A45,'5 A calc'!$A$2:$AR$203,42,FALSE)</f>
        <v>#N/A</v>
      </c>
      <c r="L45" s="4"/>
      <c r="M45" s="4"/>
    </row>
    <row r="46" spans="1:36" x14ac:dyDescent="0.2">
      <c r="A46" s="100"/>
      <c r="C46" s="132">
        <f t="shared" si="4"/>
        <v>0.2</v>
      </c>
      <c r="D46" s="136" t="e">
        <f>VLOOKUP($A46,'5 A calc'!$A$2:$AR$203,4,FALSE)</f>
        <v>#N/A</v>
      </c>
      <c r="E46" s="393" t="e">
        <f>VLOOKUP($A46,'5 A calc'!$A$2:$AR$203,13,FALSE)</f>
        <v>#N/A</v>
      </c>
      <c r="F46" s="394" t="e">
        <f>VLOOKUP($A46,'5 A calc'!$A$2:$AR$203,14,FALSE)</f>
        <v>#N/A</v>
      </c>
      <c r="G46" s="393" t="e">
        <f>VLOOKUP($A46,'5 A calc'!$A$2:$AR$203,26,FALSE)*I46</f>
        <v>#N/A</v>
      </c>
      <c r="H46" s="394" t="e">
        <f>VLOOKUP($A46,'5 A calc'!$A$2:$AR$203,40,FALSE)*J46</f>
        <v>#N/A</v>
      </c>
      <c r="I46" s="134" t="e">
        <f>VLOOKUP($A46,'5 A calc'!$A$2:$AR$203,28,FALSE)</f>
        <v>#N/A</v>
      </c>
      <c r="J46" s="135" t="e">
        <f>VLOOKUP($A46,'5 A calc'!$A$2:$AR$203,42,FALSE)</f>
        <v>#N/A</v>
      </c>
      <c r="L46" s="4"/>
      <c r="M46" s="4"/>
    </row>
    <row r="47" spans="1:36" x14ac:dyDescent="0.2">
      <c r="A47" s="100"/>
      <c r="C47" s="132">
        <f t="shared" si="4"/>
        <v>0.2</v>
      </c>
      <c r="D47" s="136" t="e">
        <f>VLOOKUP($A47,'5 A calc'!$A$2:$AR$203,4,FALSE)</f>
        <v>#N/A</v>
      </c>
      <c r="E47" s="393" t="e">
        <f>VLOOKUP($A47,'5 A calc'!$A$2:$AR$203,13,FALSE)</f>
        <v>#N/A</v>
      </c>
      <c r="F47" s="394" t="e">
        <f>VLOOKUP($A47,'5 A calc'!$A$2:$AR$203,14,FALSE)</f>
        <v>#N/A</v>
      </c>
      <c r="G47" s="393" t="e">
        <f>VLOOKUP($A47,'5 A calc'!$A$2:$AR$203,26,FALSE)*I47</f>
        <v>#N/A</v>
      </c>
      <c r="H47" s="394" t="e">
        <f>VLOOKUP($A47,'5 A calc'!$A$2:$AR$203,40,FALSE)*J47</f>
        <v>#N/A</v>
      </c>
      <c r="I47" s="134" t="e">
        <f>VLOOKUP($A47,'5 A calc'!$A$2:$AR$203,28,FALSE)</f>
        <v>#N/A</v>
      </c>
      <c r="J47" s="135" t="e">
        <f>VLOOKUP($A47,'5 A calc'!$A$2:$AR$203,42,FALSE)</f>
        <v>#N/A</v>
      </c>
      <c r="L47" s="4"/>
      <c r="M47" s="4"/>
    </row>
    <row r="48" spans="1:36" x14ac:dyDescent="0.2">
      <c r="A48" s="69"/>
      <c r="C48" s="137"/>
      <c r="D48" s="138"/>
      <c r="E48" s="395"/>
      <c r="F48" s="396"/>
      <c r="G48" s="395"/>
      <c r="H48" s="396"/>
      <c r="I48" s="139"/>
      <c r="J48" s="140"/>
      <c r="L48" s="4"/>
      <c r="M48" s="4"/>
    </row>
    <row r="49" spans="1:13" x14ac:dyDescent="0.2">
      <c r="A49" s="100"/>
      <c r="C49" s="132">
        <f t="shared" ref="C49:C54" si="5">low__burden</f>
        <v>0</v>
      </c>
      <c r="D49" s="136" t="e">
        <f>VLOOKUP($A49,'5 A calc'!$A$2:$AR$203,4,FALSE)</f>
        <v>#N/A</v>
      </c>
      <c r="E49" s="393" t="e">
        <f>VLOOKUP($A49,'5 A calc'!$A$2:$AR$203,13,FALSE)</f>
        <v>#N/A</v>
      </c>
      <c r="F49" s="394" t="e">
        <f>VLOOKUP($A49,'5 A calc'!$A$2:$AR$203,14,FALSE)</f>
        <v>#N/A</v>
      </c>
      <c r="G49" s="393" t="e">
        <f>VLOOKUP($A49,'5 A calc'!$A$2:$AR$203,26,FALSE)*I49</f>
        <v>#N/A</v>
      </c>
      <c r="H49" s="394" t="e">
        <f>VLOOKUP($A49,'5 A calc'!$A$2:$AR$203,40,FALSE)*J49</f>
        <v>#N/A</v>
      </c>
      <c r="I49" s="134" t="e">
        <f>VLOOKUP($A49,'5 A calc'!$A$2:$AR$203,28,FALSE)</f>
        <v>#N/A</v>
      </c>
      <c r="J49" s="135" t="e">
        <f>VLOOKUP($A49,'5 A calc'!$A$2:$AR$203,42,FALSE)</f>
        <v>#N/A</v>
      </c>
      <c r="L49" s="4"/>
      <c r="M49" s="4"/>
    </row>
    <row r="50" spans="1:13" x14ac:dyDescent="0.2">
      <c r="A50" s="100"/>
      <c r="C50" s="132">
        <f t="shared" si="5"/>
        <v>0</v>
      </c>
      <c r="D50" s="136" t="e">
        <f>VLOOKUP($A50,'5 A calc'!$A$2:$AR$203,4,FALSE)</f>
        <v>#N/A</v>
      </c>
      <c r="E50" s="393" t="e">
        <f>VLOOKUP($A50,'5 A calc'!$A$2:$AR$203,13,FALSE)</f>
        <v>#N/A</v>
      </c>
      <c r="F50" s="394" t="e">
        <f>VLOOKUP($A50,'5 A calc'!$A$2:$AR$203,14,FALSE)</f>
        <v>#N/A</v>
      </c>
      <c r="G50" s="393" t="e">
        <f>VLOOKUP($A50,'5 A calc'!$A$2:$AR$203,26,FALSE)*I50</f>
        <v>#N/A</v>
      </c>
      <c r="H50" s="394" t="e">
        <f>VLOOKUP($A50,'5 A calc'!$A$2:$AR$203,40,FALSE)*J50</f>
        <v>#N/A</v>
      </c>
      <c r="I50" s="134" t="e">
        <f>VLOOKUP($A50,'5 A calc'!$A$2:$AR$203,28,FALSE)</f>
        <v>#N/A</v>
      </c>
      <c r="J50" s="135" t="e">
        <f>VLOOKUP($A50,'5 A calc'!$A$2:$AR$203,42,FALSE)</f>
        <v>#N/A</v>
      </c>
      <c r="L50" s="4"/>
      <c r="M50" s="4"/>
    </row>
    <row r="51" spans="1:13" x14ac:dyDescent="0.2">
      <c r="A51" s="100"/>
      <c r="C51" s="132">
        <f t="shared" si="5"/>
        <v>0</v>
      </c>
      <c r="D51" s="136" t="e">
        <f>VLOOKUP($A51,'5 A calc'!$A$2:$AR$203,4,FALSE)</f>
        <v>#N/A</v>
      </c>
      <c r="E51" s="393" t="e">
        <f>VLOOKUP($A51,'5 A calc'!$A$2:$AR$203,13,FALSE)</f>
        <v>#N/A</v>
      </c>
      <c r="F51" s="394" t="e">
        <f>VLOOKUP($A51,'5 A calc'!$A$2:$AR$203,14,FALSE)</f>
        <v>#N/A</v>
      </c>
      <c r="G51" s="393" t="e">
        <f>VLOOKUP($A51,'5 A calc'!$A$2:$AR$203,26,FALSE)*I51</f>
        <v>#N/A</v>
      </c>
      <c r="H51" s="394" t="e">
        <f>VLOOKUP($A51,'5 A calc'!$A$2:$AR$203,40,FALSE)*J51</f>
        <v>#N/A</v>
      </c>
      <c r="I51" s="134" t="e">
        <f>VLOOKUP($A51,'5 A calc'!$A$2:$AR$203,28,FALSE)</f>
        <v>#N/A</v>
      </c>
      <c r="J51" s="135" t="e">
        <f>VLOOKUP($A51,'5 A calc'!$A$2:$AR$203,42,FALSE)</f>
        <v>#N/A</v>
      </c>
      <c r="L51" s="4"/>
      <c r="M51" s="4"/>
    </row>
    <row r="52" spans="1:13" x14ac:dyDescent="0.2">
      <c r="A52" s="100"/>
      <c r="C52" s="132">
        <f t="shared" si="5"/>
        <v>0</v>
      </c>
      <c r="D52" s="136" t="e">
        <f>VLOOKUP($A52,'5 A calc'!$A$2:$AR$203,4,FALSE)</f>
        <v>#N/A</v>
      </c>
      <c r="E52" s="393" t="e">
        <f>VLOOKUP($A52,'5 A calc'!$A$2:$AR$203,13,FALSE)</f>
        <v>#N/A</v>
      </c>
      <c r="F52" s="394" t="e">
        <f>VLOOKUP($A52,'5 A calc'!$A$2:$AR$203,14,FALSE)</f>
        <v>#N/A</v>
      </c>
      <c r="G52" s="393" t="e">
        <f>VLOOKUP($A52,'5 A calc'!$A$2:$AR$203,26,FALSE)*I52</f>
        <v>#N/A</v>
      </c>
      <c r="H52" s="394" t="e">
        <f>VLOOKUP($A52,'5 A calc'!$A$2:$AR$203,40,FALSE)*J52</f>
        <v>#N/A</v>
      </c>
      <c r="I52" s="134" t="e">
        <f>VLOOKUP($A52,'5 A calc'!$A$2:$AR$203,28,FALSE)</f>
        <v>#N/A</v>
      </c>
      <c r="J52" s="135" t="e">
        <f>VLOOKUP($A52,'5 A calc'!$A$2:$AR$203,42,FALSE)</f>
        <v>#N/A</v>
      </c>
      <c r="L52" s="4"/>
      <c r="M52" s="4"/>
    </row>
    <row r="53" spans="1:13" x14ac:dyDescent="0.2">
      <c r="A53" s="100"/>
      <c r="C53" s="132">
        <f t="shared" si="5"/>
        <v>0</v>
      </c>
      <c r="D53" s="136" t="e">
        <f>VLOOKUP($A53,'5 A calc'!$A$2:$AR$203,4,FALSE)</f>
        <v>#N/A</v>
      </c>
      <c r="E53" s="393" t="e">
        <f>VLOOKUP($A53,'5 A calc'!$A$2:$AR$203,13,FALSE)</f>
        <v>#N/A</v>
      </c>
      <c r="F53" s="394" t="e">
        <f>VLOOKUP($A53,'5 A calc'!$A$2:$AR$203,14,FALSE)</f>
        <v>#N/A</v>
      </c>
      <c r="G53" s="393" t="e">
        <f>VLOOKUP($A53,'5 A calc'!$A$2:$AR$203,26,FALSE)*I53</f>
        <v>#N/A</v>
      </c>
      <c r="H53" s="394" t="e">
        <f>VLOOKUP($A53,'5 A calc'!$A$2:$AR$203,40,FALSE)*J53</f>
        <v>#N/A</v>
      </c>
      <c r="I53" s="134" t="e">
        <f>VLOOKUP($A53,'5 A calc'!$A$2:$AR$203,28,FALSE)</f>
        <v>#N/A</v>
      </c>
      <c r="J53" s="135" t="e">
        <f>VLOOKUP($A53,'5 A calc'!$A$2:$AR$203,42,FALSE)</f>
        <v>#N/A</v>
      </c>
      <c r="L53" s="4"/>
      <c r="M53" s="4"/>
    </row>
    <row r="54" spans="1:13" x14ac:dyDescent="0.2">
      <c r="A54" s="100"/>
      <c r="C54" s="132">
        <f t="shared" si="5"/>
        <v>0</v>
      </c>
      <c r="D54" s="136" t="e">
        <f>VLOOKUP($A54,'5 A calc'!$A$2:$AR$203,4,FALSE)</f>
        <v>#N/A</v>
      </c>
      <c r="E54" s="393" t="e">
        <f>VLOOKUP($A54,'5 A calc'!$A$2:$AR$203,13,FALSE)</f>
        <v>#N/A</v>
      </c>
      <c r="F54" s="394" t="e">
        <f>VLOOKUP($A54,'5 A calc'!$A$2:$AR$203,14,FALSE)</f>
        <v>#N/A</v>
      </c>
      <c r="G54" s="393" t="e">
        <f>VLOOKUP($A54,'5 A calc'!$A$2:$AR$203,26,FALSE)*I54</f>
        <v>#N/A</v>
      </c>
      <c r="H54" s="394" t="e">
        <f>VLOOKUP($A54,'5 A calc'!$A$2:$AR$203,40,FALSE)*J54</f>
        <v>#N/A</v>
      </c>
      <c r="I54" s="134" t="e">
        <f>VLOOKUP($A54,'5 A calc'!$A$2:$AR$203,28,FALSE)</f>
        <v>#N/A</v>
      </c>
      <c r="J54" s="135" t="e">
        <f>VLOOKUP($A54,'5 A calc'!$A$2:$AR$203,42,FALSE)</f>
        <v>#N/A</v>
      </c>
      <c r="L54" s="4"/>
      <c r="M54" s="4"/>
    </row>
    <row r="55" spans="1:13" x14ac:dyDescent="0.2">
      <c r="C55" s="95"/>
      <c r="D55" s="141"/>
      <c r="E55" s="38"/>
      <c r="F55" s="52"/>
      <c r="G55" s="85"/>
      <c r="H55" s="141"/>
      <c r="I55" s="141"/>
      <c r="J55" s="142"/>
    </row>
    <row r="57" spans="1:13" ht="21.4" customHeight="1" x14ac:dyDescent="0.2">
      <c r="A57" s="100"/>
      <c r="C57" s="61" t="e">
        <f>"Table "&amp;L57&amp;". Ratio "&amp;LEFT(M57,FIND("/",M57)-1)&amp;":5."&amp;"  Secondary: "&amp;K57</f>
        <v>#N/A</v>
      </c>
      <c r="D57" s="18"/>
      <c r="E57" s="18"/>
      <c r="F57" s="18"/>
      <c r="G57" s="18"/>
      <c r="H57" s="10"/>
      <c r="I57" s="10"/>
      <c r="J57" s="11"/>
      <c r="K57" s="98" t="e">
        <f>VLOOKUP($A57+1,'5 A data'!$A$2:$AW$259,2,FALSE)</f>
        <v>#N/A</v>
      </c>
      <c r="L57" s="100"/>
      <c r="M57" s="98" t="e">
        <f>VLOOKUP($A57,'5 A calc'!$A$2:$AR$172,4,FALSE)</f>
        <v>#N/A</v>
      </c>
    </row>
    <row r="58" spans="1:13" ht="21.4" customHeight="1" x14ac:dyDescent="0.2">
      <c r="A58" s="69"/>
      <c r="C58" s="12"/>
      <c r="D58" s="13"/>
      <c r="E58" s="541" t="s">
        <v>19</v>
      </c>
      <c r="F58" s="542"/>
      <c r="G58" s="541" t="s">
        <v>20</v>
      </c>
      <c r="H58" s="542"/>
      <c r="I58" s="543" t="s">
        <v>8</v>
      </c>
      <c r="J58" s="544"/>
      <c r="L58" s="68"/>
    </row>
    <row r="59" spans="1:13" ht="63" customHeight="1" x14ac:dyDescent="0.2">
      <c r="A59" s="69"/>
      <c r="C59" s="12" t="s">
        <v>170</v>
      </c>
      <c r="D59" s="54" t="s">
        <v>242</v>
      </c>
      <c r="E59" s="54" t="s">
        <v>295</v>
      </c>
      <c r="F59" s="13" t="s">
        <v>240</v>
      </c>
      <c r="G59" s="54" t="s">
        <v>295</v>
      </c>
      <c r="H59" s="13" t="s">
        <v>240</v>
      </c>
      <c r="I59" s="54" t="s">
        <v>159</v>
      </c>
      <c r="J59" s="13" t="s">
        <v>160</v>
      </c>
      <c r="L59" s="158"/>
      <c r="M59" s="158"/>
    </row>
    <row r="60" spans="1:13" ht="13.7" customHeight="1" x14ac:dyDescent="0.2">
      <c r="A60" s="100"/>
      <c r="C60" s="53">
        <f t="shared" ref="C60:C65" si="6">high_burden</f>
        <v>0.2</v>
      </c>
      <c r="D60" s="57" t="e">
        <f>VLOOKUP($A60,'5 A calc'!$A$2:$AR$203,4,FALSE)</f>
        <v>#N/A</v>
      </c>
      <c r="E60" s="393" t="e">
        <f>VLOOKUP($A60,'5 A calc'!$A$2:$AR$203,13,FALSE)</f>
        <v>#N/A</v>
      </c>
      <c r="F60" s="394" t="e">
        <f>VLOOKUP($A60,'5 A calc'!$A$2:$AR$203,14,FALSE)</f>
        <v>#N/A</v>
      </c>
      <c r="G60" s="393" t="e">
        <f>VLOOKUP($A60,'5 A calc'!$A$2:$AR$203,26,FALSE)*I60</f>
        <v>#N/A</v>
      </c>
      <c r="H60" s="394" t="e">
        <f>VLOOKUP($A60,'5 A calc'!$A$2:$AR$203,40,FALSE)*J60</f>
        <v>#N/A</v>
      </c>
      <c r="I60" s="56" t="e">
        <f>VLOOKUP($A60,'5 A calc'!$A$2:$AR$203,28,FALSE)</f>
        <v>#N/A</v>
      </c>
      <c r="J60" s="49" t="e">
        <f>VLOOKUP($A60,'5 A calc'!$A$2:$AR$203,42,FALSE)</f>
        <v>#N/A</v>
      </c>
      <c r="L60" s="4"/>
      <c r="M60" s="4"/>
    </row>
    <row r="61" spans="1:13" ht="13.7" customHeight="1" x14ac:dyDescent="0.2">
      <c r="A61" s="100"/>
      <c r="C61" s="53">
        <f t="shared" si="6"/>
        <v>0.2</v>
      </c>
      <c r="D61" s="57" t="e">
        <f>VLOOKUP($A61,'5 A calc'!$A$2:$AR$203,4,FALSE)</f>
        <v>#N/A</v>
      </c>
      <c r="E61" s="393" t="e">
        <f>VLOOKUP($A61,'5 A calc'!$A$2:$AR$203,13,FALSE)</f>
        <v>#N/A</v>
      </c>
      <c r="F61" s="394" t="e">
        <f>VLOOKUP($A61,'5 A calc'!$A$2:$AR$203,14,FALSE)</f>
        <v>#N/A</v>
      </c>
      <c r="G61" s="393" t="e">
        <f>VLOOKUP($A61,'5 A calc'!$A$2:$AR$203,26,FALSE)*I61</f>
        <v>#N/A</v>
      </c>
      <c r="H61" s="394" t="e">
        <f>VLOOKUP($A61,'5 A calc'!$A$2:$AR$203,40,FALSE)*J61</f>
        <v>#N/A</v>
      </c>
      <c r="I61" s="56" t="e">
        <f>VLOOKUP($A61,'5 A calc'!$A$2:$AR$203,28,FALSE)</f>
        <v>#N/A</v>
      </c>
      <c r="J61" s="49" t="e">
        <f>VLOOKUP($A61,'5 A calc'!$A$2:$AR$203,42,FALSE)</f>
        <v>#N/A</v>
      </c>
      <c r="L61" s="4"/>
      <c r="M61" s="4"/>
    </row>
    <row r="62" spans="1:13" ht="13.7" customHeight="1" x14ac:dyDescent="0.2">
      <c r="A62" s="100"/>
      <c r="C62" s="53">
        <f t="shared" si="6"/>
        <v>0.2</v>
      </c>
      <c r="D62" s="57" t="e">
        <f>VLOOKUP($A62,'5 A calc'!$A$2:$AR$203,4,FALSE)</f>
        <v>#N/A</v>
      </c>
      <c r="E62" s="393" t="e">
        <f>VLOOKUP($A62,'5 A calc'!$A$2:$AR$203,13,FALSE)</f>
        <v>#N/A</v>
      </c>
      <c r="F62" s="394" t="e">
        <f>VLOOKUP($A62,'5 A calc'!$A$2:$AR$203,14,FALSE)</f>
        <v>#N/A</v>
      </c>
      <c r="G62" s="393" t="e">
        <f>VLOOKUP($A62,'5 A calc'!$A$2:$AR$203,26,FALSE)*I62</f>
        <v>#N/A</v>
      </c>
      <c r="H62" s="394" t="e">
        <f>VLOOKUP($A62,'5 A calc'!$A$2:$AR$203,40,FALSE)*J62</f>
        <v>#N/A</v>
      </c>
      <c r="I62" s="56" t="e">
        <f>VLOOKUP($A62,'5 A calc'!$A$2:$AR$203,28,FALSE)</f>
        <v>#N/A</v>
      </c>
      <c r="J62" s="49" t="e">
        <f>VLOOKUP($A62,'5 A calc'!$A$2:$AR$203,42,FALSE)</f>
        <v>#N/A</v>
      </c>
      <c r="L62" s="4"/>
      <c r="M62" s="4"/>
    </row>
    <row r="63" spans="1:13" ht="13.7" customHeight="1" x14ac:dyDescent="0.2">
      <c r="A63" s="100"/>
      <c r="C63" s="53">
        <f t="shared" si="6"/>
        <v>0.2</v>
      </c>
      <c r="D63" s="57" t="e">
        <f>VLOOKUP($A63,'5 A calc'!$A$2:$AR$203,4,FALSE)</f>
        <v>#N/A</v>
      </c>
      <c r="E63" s="393" t="e">
        <f>VLOOKUP($A63,'5 A calc'!$A$2:$AR$203,13,FALSE)</f>
        <v>#N/A</v>
      </c>
      <c r="F63" s="394" t="e">
        <f>VLOOKUP($A63,'5 A calc'!$A$2:$AR$203,14,FALSE)</f>
        <v>#N/A</v>
      </c>
      <c r="G63" s="393" t="e">
        <f>VLOOKUP($A63,'5 A calc'!$A$2:$AR$203,26,FALSE)*I63</f>
        <v>#N/A</v>
      </c>
      <c r="H63" s="394" t="e">
        <f>VLOOKUP($A63,'5 A calc'!$A$2:$AR$203,40,FALSE)*J63</f>
        <v>#N/A</v>
      </c>
      <c r="I63" s="56" t="e">
        <f>VLOOKUP($A63,'5 A calc'!$A$2:$AR$203,28,FALSE)</f>
        <v>#N/A</v>
      </c>
      <c r="J63" s="49" t="e">
        <f>VLOOKUP($A63,'5 A calc'!$A$2:$AR$203,42,FALSE)</f>
        <v>#N/A</v>
      </c>
      <c r="L63" s="4"/>
      <c r="M63" s="4"/>
    </row>
    <row r="64" spans="1:13" ht="13.7" customHeight="1" x14ac:dyDescent="0.2">
      <c r="A64" s="100"/>
      <c r="C64" s="53">
        <f t="shared" si="6"/>
        <v>0.2</v>
      </c>
      <c r="D64" s="51" t="e">
        <f>VLOOKUP($A64,'5 A calc'!$A$2:$AR$203,4,FALSE)</f>
        <v>#N/A</v>
      </c>
      <c r="E64" s="393" t="e">
        <f>VLOOKUP($A64,'5 A calc'!$A$2:$AR$203,13,FALSE)</f>
        <v>#N/A</v>
      </c>
      <c r="F64" s="394" t="e">
        <f>VLOOKUP($A64,'5 A calc'!$A$2:$AR$203,14,FALSE)</f>
        <v>#N/A</v>
      </c>
      <c r="G64" s="393" t="e">
        <f>VLOOKUP($A64,'5 A calc'!$A$2:$AR$203,26,FALSE)*I64</f>
        <v>#N/A</v>
      </c>
      <c r="H64" s="394" t="e">
        <f>VLOOKUP($A64,'5 A calc'!$A$2:$AR$203,40,FALSE)*J64</f>
        <v>#N/A</v>
      </c>
      <c r="I64" s="56" t="e">
        <f>VLOOKUP($A64,'5 A calc'!$A$2:$AR$203,28,FALSE)</f>
        <v>#N/A</v>
      </c>
      <c r="J64" s="49" t="e">
        <f>VLOOKUP($A64,'5 A calc'!$A$2:$AR$203,42,FALSE)</f>
        <v>#N/A</v>
      </c>
      <c r="L64" s="4"/>
      <c r="M64" s="4"/>
    </row>
    <row r="65" spans="1:13" ht="13.7" customHeight="1" x14ac:dyDescent="0.2">
      <c r="A65" s="100"/>
      <c r="C65" s="53">
        <f t="shared" si="6"/>
        <v>0.2</v>
      </c>
      <c r="D65" s="51" t="e">
        <f>VLOOKUP($A65,'5 A calc'!$A$2:$AR$203,4,FALSE)</f>
        <v>#N/A</v>
      </c>
      <c r="E65" s="393" t="e">
        <f>VLOOKUP($A65,'5 A calc'!$A$2:$AR$203,13,FALSE)</f>
        <v>#N/A</v>
      </c>
      <c r="F65" s="394" t="e">
        <f>VLOOKUP($A65,'5 A calc'!$A$2:$AR$203,14,FALSE)</f>
        <v>#N/A</v>
      </c>
      <c r="G65" s="393" t="e">
        <f>VLOOKUP($A65,'5 A calc'!$A$2:$AR$203,26,FALSE)*I65</f>
        <v>#N/A</v>
      </c>
      <c r="H65" s="394" t="e">
        <f>VLOOKUP($A65,'5 A calc'!$A$2:$AR$203,40,FALSE)*J65</f>
        <v>#N/A</v>
      </c>
      <c r="I65" s="56" t="e">
        <f>VLOOKUP($A65,'5 A calc'!$A$2:$AR$203,28,FALSE)</f>
        <v>#N/A</v>
      </c>
      <c r="J65" s="49" t="e">
        <f>VLOOKUP($A65,'5 A calc'!$A$2:$AR$203,42,FALSE)</f>
        <v>#N/A</v>
      </c>
      <c r="L65" s="4"/>
      <c r="M65" s="4"/>
    </row>
    <row r="66" spans="1:13" ht="13.7" customHeight="1" x14ac:dyDescent="0.2">
      <c r="A66" s="69"/>
      <c r="C66" s="122"/>
      <c r="D66" s="116"/>
      <c r="E66" s="395"/>
      <c r="F66" s="396"/>
      <c r="G66" s="395"/>
      <c r="H66" s="396"/>
      <c r="I66" s="119"/>
      <c r="J66" s="120"/>
      <c r="L66" s="4"/>
      <c r="M66" s="4"/>
    </row>
    <row r="67" spans="1:13" ht="13.7" customHeight="1" x14ac:dyDescent="0.2">
      <c r="A67" s="100"/>
      <c r="C67" s="53">
        <f t="shared" ref="C67:C72" si="7">low__burden</f>
        <v>0</v>
      </c>
      <c r="D67" s="51" t="e">
        <f>VLOOKUP($A67,'5 A calc'!$A$2:$AR$203,4,FALSE)</f>
        <v>#N/A</v>
      </c>
      <c r="E67" s="393" t="e">
        <f>VLOOKUP($A67,'5 A calc'!$A$2:$AR$203,13,FALSE)</f>
        <v>#N/A</v>
      </c>
      <c r="F67" s="394" t="e">
        <f>VLOOKUP($A67,'5 A calc'!$A$2:$AR$203,14,FALSE)</f>
        <v>#N/A</v>
      </c>
      <c r="G67" s="393" t="e">
        <f>VLOOKUP($A67,'5 A calc'!$A$2:$AR$203,26,FALSE)*I67</f>
        <v>#N/A</v>
      </c>
      <c r="H67" s="394" t="e">
        <f>VLOOKUP($A67,'5 A calc'!$A$2:$AR$203,40,FALSE)*J67</f>
        <v>#N/A</v>
      </c>
      <c r="I67" s="56" t="e">
        <f>VLOOKUP($A67,'5 A calc'!$A$2:$AR$203,28,FALSE)</f>
        <v>#N/A</v>
      </c>
      <c r="J67" s="49" t="e">
        <f>VLOOKUP($A67,'5 A calc'!$A$2:$AR$203,42,FALSE)</f>
        <v>#N/A</v>
      </c>
      <c r="L67" s="4"/>
      <c r="M67" s="4"/>
    </row>
    <row r="68" spans="1:13" ht="13.7" customHeight="1" x14ac:dyDescent="0.2">
      <c r="A68" s="100"/>
      <c r="C68" s="53">
        <f t="shared" si="7"/>
        <v>0</v>
      </c>
      <c r="D68" s="51" t="e">
        <f>VLOOKUP($A68,'5 A calc'!$A$2:$AR$203,4,FALSE)</f>
        <v>#N/A</v>
      </c>
      <c r="E68" s="393" t="e">
        <f>VLOOKUP($A68,'5 A calc'!$A$2:$AR$203,13,FALSE)</f>
        <v>#N/A</v>
      </c>
      <c r="F68" s="394" t="e">
        <f>VLOOKUP($A68,'5 A calc'!$A$2:$AR$203,14,FALSE)</f>
        <v>#N/A</v>
      </c>
      <c r="G68" s="393" t="e">
        <f>VLOOKUP($A68,'5 A calc'!$A$2:$AR$203,26,FALSE)*I68</f>
        <v>#N/A</v>
      </c>
      <c r="H68" s="394" t="e">
        <f>VLOOKUP($A68,'5 A calc'!$A$2:$AR$203,40,FALSE)*J68</f>
        <v>#N/A</v>
      </c>
      <c r="I68" s="56" t="e">
        <f>VLOOKUP($A68,'5 A calc'!$A$2:$AR$203,28,FALSE)</f>
        <v>#N/A</v>
      </c>
      <c r="J68" s="49" t="e">
        <f>VLOOKUP($A68,'5 A calc'!$A$2:$AR$203,42,FALSE)</f>
        <v>#N/A</v>
      </c>
      <c r="L68" s="4"/>
      <c r="M68" s="4"/>
    </row>
    <row r="69" spans="1:13" ht="13.7" customHeight="1" x14ac:dyDescent="0.2">
      <c r="A69" s="100"/>
      <c r="C69" s="53">
        <f t="shared" si="7"/>
        <v>0</v>
      </c>
      <c r="D69" s="51" t="e">
        <f>VLOOKUP($A69,'5 A calc'!$A$2:$AR$203,4,FALSE)</f>
        <v>#N/A</v>
      </c>
      <c r="E69" s="393" t="e">
        <f>VLOOKUP($A69,'5 A calc'!$A$2:$AR$203,13,FALSE)</f>
        <v>#N/A</v>
      </c>
      <c r="F69" s="394" t="e">
        <f>VLOOKUP($A69,'5 A calc'!$A$2:$AR$203,14,FALSE)</f>
        <v>#N/A</v>
      </c>
      <c r="G69" s="393" t="e">
        <f>VLOOKUP($A69,'5 A calc'!$A$2:$AR$203,26,FALSE)*I69</f>
        <v>#N/A</v>
      </c>
      <c r="H69" s="394" t="e">
        <f>VLOOKUP($A69,'5 A calc'!$A$2:$AR$203,40,FALSE)*J69</f>
        <v>#N/A</v>
      </c>
      <c r="I69" s="56" t="e">
        <f>VLOOKUP($A69,'5 A calc'!$A$2:$AR$203,28,FALSE)</f>
        <v>#N/A</v>
      </c>
      <c r="J69" s="49" t="e">
        <f>VLOOKUP($A69,'5 A calc'!$A$2:$AR$203,42,FALSE)</f>
        <v>#N/A</v>
      </c>
      <c r="L69" s="4"/>
      <c r="M69" s="4"/>
    </row>
    <row r="70" spans="1:13" ht="13.7" customHeight="1" x14ac:dyDescent="0.2">
      <c r="A70" s="100"/>
      <c r="C70" s="53">
        <f t="shared" si="7"/>
        <v>0</v>
      </c>
      <c r="D70" s="51" t="e">
        <f>VLOOKUP($A70,'5 A calc'!$A$2:$AR$203,4,FALSE)</f>
        <v>#N/A</v>
      </c>
      <c r="E70" s="393" t="e">
        <f>VLOOKUP($A70,'5 A calc'!$A$2:$AR$203,13,FALSE)</f>
        <v>#N/A</v>
      </c>
      <c r="F70" s="394" t="e">
        <f>VLOOKUP($A70,'5 A calc'!$A$2:$AR$203,14,FALSE)</f>
        <v>#N/A</v>
      </c>
      <c r="G70" s="393" t="e">
        <f>VLOOKUP($A70,'5 A calc'!$A$2:$AR$203,26,FALSE)*I70</f>
        <v>#N/A</v>
      </c>
      <c r="H70" s="394" t="e">
        <f>VLOOKUP($A70,'5 A calc'!$A$2:$AR$203,40,FALSE)*J70</f>
        <v>#N/A</v>
      </c>
      <c r="I70" s="56" t="e">
        <f>VLOOKUP($A70,'5 A calc'!$A$2:$AR$203,28,FALSE)</f>
        <v>#N/A</v>
      </c>
      <c r="J70" s="49" t="e">
        <f>VLOOKUP($A70,'5 A calc'!$A$2:$AR$203,42,FALSE)</f>
        <v>#N/A</v>
      </c>
      <c r="L70" s="4"/>
      <c r="M70" s="4"/>
    </row>
    <row r="71" spans="1:13" ht="13.7" customHeight="1" x14ac:dyDescent="0.2">
      <c r="A71" s="100"/>
      <c r="C71" s="53">
        <f t="shared" si="7"/>
        <v>0</v>
      </c>
      <c r="D71" s="51" t="e">
        <f>VLOOKUP($A71,'5 A calc'!$A$2:$AR$203,4,FALSE)</f>
        <v>#N/A</v>
      </c>
      <c r="E71" s="393" t="e">
        <f>VLOOKUP($A71,'5 A calc'!$A$2:$AR$203,13,FALSE)</f>
        <v>#N/A</v>
      </c>
      <c r="F71" s="394" t="e">
        <f>VLOOKUP($A71,'5 A calc'!$A$2:$AR$203,14,FALSE)</f>
        <v>#N/A</v>
      </c>
      <c r="G71" s="393" t="e">
        <f>VLOOKUP($A71,'5 A calc'!$A$2:$AR$203,26,FALSE)*I71</f>
        <v>#N/A</v>
      </c>
      <c r="H71" s="394" t="e">
        <f>VLOOKUP($A71,'5 A calc'!$A$2:$AR$203,40,FALSE)*J71</f>
        <v>#N/A</v>
      </c>
      <c r="I71" s="56" t="e">
        <f>VLOOKUP($A71,'5 A calc'!$A$2:$AR$203,28,FALSE)</f>
        <v>#N/A</v>
      </c>
      <c r="J71" s="49" t="e">
        <f>VLOOKUP($A71,'5 A calc'!$A$2:$AR$203,42,FALSE)</f>
        <v>#N/A</v>
      </c>
      <c r="L71" s="4"/>
      <c r="M71" s="4"/>
    </row>
    <row r="72" spans="1:13" ht="13.7" customHeight="1" x14ac:dyDescent="0.2">
      <c r="A72" s="100"/>
      <c r="C72" s="53">
        <f t="shared" si="7"/>
        <v>0</v>
      </c>
      <c r="D72" s="51" t="e">
        <f>VLOOKUP($A72,'5 A calc'!$A$2:$AR$203,4,FALSE)</f>
        <v>#N/A</v>
      </c>
      <c r="E72" s="393" t="e">
        <f>VLOOKUP($A72,'5 A calc'!$A$2:$AR$203,13,FALSE)</f>
        <v>#N/A</v>
      </c>
      <c r="F72" s="394" t="e">
        <f>VLOOKUP($A72,'5 A calc'!$A$2:$AR$203,14,FALSE)</f>
        <v>#N/A</v>
      </c>
      <c r="G72" s="393" t="e">
        <f>VLOOKUP($A72,'5 A calc'!$A$2:$AR$203,26,FALSE)*I72</f>
        <v>#N/A</v>
      </c>
      <c r="H72" s="394" t="e">
        <f>VLOOKUP($A72,'5 A calc'!$A$2:$AR$203,40,FALSE)*J72</f>
        <v>#N/A</v>
      </c>
      <c r="I72" s="56" t="e">
        <f>VLOOKUP($A72,'5 A calc'!$A$2:$AR$203,28,FALSE)</f>
        <v>#N/A</v>
      </c>
      <c r="J72" s="49" t="e">
        <f>VLOOKUP($A72,'5 A calc'!$A$2:$AR$203,42,FALSE)</f>
        <v>#N/A</v>
      </c>
      <c r="L72" s="4"/>
      <c r="M72" s="4"/>
    </row>
    <row r="73" spans="1:13" ht="13.7" customHeight="1" x14ac:dyDescent="0.2">
      <c r="C73" s="39"/>
      <c r="D73" s="52"/>
      <c r="E73" s="38"/>
      <c r="F73" s="52"/>
      <c r="G73" s="38"/>
      <c r="H73" s="283"/>
      <c r="I73" s="52"/>
      <c r="J73" s="40"/>
    </row>
    <row r="75" spans="1:13" ht="21.4" customHeight="1" x14ac:dyDescent="0.2">
      <c r="A75" s="100"/>
      <c r="C75" s="61" t="e">
        <f>"Table "&amp;L75&amp;". Ratio "&amp;LEFT(M75,FIND("/",M75)-1)&amp;":5."&amp;"  Secondary: "&amp;K75</f>
        <v>#N/A</v>
      </c>
      <c r="D75" s="133"/>
      <c r="E75" s="133"/>
      <c r="F75" s="133"/>
      <c r="G75" s="133"/>
      <c r="H75" s="79"/>
      <c r="I75" s="79"/>
      <c r="J75" s="80"/>
      <c r="K75" s="98" t="e">
        <f>VLOOKUP($A75+1,'5 A data'!$A$2:$AW$259,2,FALSE)</f>
        <v>#N/A</v>
      </c>
      <c r="L75" s="100"/>
      <c r="M75" s="98" t="e">
        <f>VLOOKUP($A75,'5 A calc'!$A$2:$AR$172,4,FALSE)</f>
        <v>#N/A</v>
      </c>
    </row>
    <row r="76" spans="1:13" ht="21.4" customHeight="1" x14ac:dyDescent="0.2">
      <c r="A76" s="69"/>
      <c r="C76" s="129"/>
      <c r="D76" s="130"/>
      <c r="E76" s="537" t="s">
        <v>19</v>
      </c>
      <c r="F76" s="538"/>
      <c r="G76" s="537" t="s">
        <v>20</v>
      </c>
      <c r="H76" s="538"/>
      <c r="I76" s="539" t="s">
        <v>8</v>
      </c>
      <c r="J76" s="540"/>
      <c r="L76" s="68"/>
    </row>
    <row r="77" spans="1:13" ht="63" customHeight="1" x14ac:dyDescent="0.2">
      <c r="A77" s="69"/>
      <c r="C77" s="12" t="s">
        <v>170</v>
      </c>
      <c r="D77" s="54" t="s">
        <v>242</v>
      </c>
      <c r="E77" s="54" t="s">
        <v>295</v>
      </c>
      <c r="F77" s="13" t="s">
        <v>240</v>
      </c>
      <c r="G77" s="54" t="s">
        <v>295</v>
      </c>
      <c r="H77" s="13" t="s">
        <v>240</v>
      </c>
      <c r="I77" s="54" t="s">
        <v>159</v>
      </c>
      <c r="J77" s="13" t="s">
        <v>160</v>
      </c>
      <c r="L77" s="158"/>
      <c r="M77" s="158"/>
    </row>
    <row r="78" spans="1:13" x14ac:dyDescent="0.2">
      <c r="A78" s="100"/>
      <c r="C78" s="132">
        <f t="shared" ref="C78:C83" si="8">high_burden</f>
        <v>0.2</v>
      </c>
      <c r="D78" s="131" t="e">
        <f>VLOOKUP($A78,'5 A calc'!$A$2:$AR$203,4,FALSE)</f>
        <v>#N/A</v>
      </c>
      <c r="E78" s="393" t="e">
        <f>VLOOKUP($A78,'5 A calc'!$A$2:$AR$203,13,FALSE)</f>
        <v>#N/A</v>
      </c>
      <c r="F78" s="394" t="e">
        <f>VLOOKUP($A78,'5 A calc'!$A$2:$AR$203,14,FALSE)</f>
        <v>#N/A</v>
      </c>
      <c r="G78" s="393" t="e">
        <f>VLOOKUP($A78,'5 A calc'!$A$2:$AR$203,26,FALSE)*I78</f>
        <v>#N/A</v>
      </c>
      <c r="H78" s="394" t="e">
        <f>VLOOKUP($A78,'5 A calc'!$A$2:$AR$203,40,FALSE)*J78</f>
        <v>#N/A</v>
      </c>
      <c r="I78" s="134" t="e">
        <f>VLOOKUP($A78,'5 A calc'!$A$2:$AR$203,28,FALSE)</f>
        <v>#N/A</v>
      </c>
      <c r="J78" s="135" t="e">
        <f>VLOOKUP($A78,'5 A calc'!$A$2:$AR$203,42,FALSE)</f>
        <v>#N/A</v>
      </c>
      <c r="L78" s="4"/>
      <c r="M78" s="4"/>
    </row>
    <row r="79" spans="1:13" x14ac:dyDescent="0.2">
      <c r="A79" s="100"/>
      <c r="C79" s="132">
        <f t="shared" si="8"/>
        <v>0.2</v>
      </c>
      <c r="D79" s="131" t="e">
        <f>VLOOKUP($A79,'5 A calc'!$A$2:$AR$203,4,FALSE)</f>
        <v>#N/A</v>
      </c>
      <c r="E79" s="393" t="e">
        <f>VLOOKUP($A79,'5 A calc'!$A$2:$AR$203,13,FALSE)</f>
        <v>#N/A</v>
      </c>
      <c r="F79" s="394" t="e">
        <f>VLOOKUP($A79,'5 A calc'!$A$2:$AR$203,14,FALSE)</f>
        <v>#N/A</v>
      </c>
      <c r="G79" s="393" t="e">
        <f>VLOOKUP($A79,'5 A calc'!$A$2:$AR$203,26,FALSE)*I79</f>
        <v>#N/A</v>
      </c>
      <c r="H79" s="394" t="e">
        <f>VLOOKUP($A79,'5 A calc'!$A$2:$AR$203,40,FALSE)*J79</f>
        <v>#N/A</v>
      </c>
      <c r="I79" s="134" t="e">
        <f>VLOOKUP($A79,'5 A calc'!$A$2:$AR$203,28,FALSE)</f>
        <v>#N/A</v>
      </c>
      <c r="J79" s="135" t="e">
        <f>VLOOKUP($A79,'5 A calc'!$A$2:$AR$203,42,FALSE)</f>
        <v>#N/A</v>
      </c>
      <c r="L79" s="4"/>
      <c r="M79" s="4"/>
    </row>
    <row r="80" spans="1:13" x14ac:dyDescent="0.2">
      <c r="A80" s="100"/>
      <c r="C80" s="132">
        <f t="shared" si="8"/>
        <v>0.2</v>
      </c>
      <c r="D80" s="131" t="e">
        <f>VLOOKUP($A80,'5 A calc'!$A$2:$AR$203,4,FALSE)</f>
        <v>#N/A</v>
      </c>
      <c r="E80" s="393" t="e">
        <f>VLOOKUP($A80,'5 A calc'!$A$2:$AR$203,13,FALSE)</f>
        <v>#N/A</v>
      </c>
      <c r="F80" s="394" t="e">
        <f>VLOOKUP($A80,'5 A calc'!$A$2:$AR$203,14,FALSE)</f>
        <v>#N/A</v>
      </c>
      <c r="G80" s="393" t="e">
        <f>VLOOKUP($A80,'5 A calc'!$A$2:$AR$203,26,FALSE)*I80</f>
        <v>#N/A</v>
      </c>
      <c r="H80" s="394" t="e">
        <f>VLOOKUP($A80,'5 A calc'!$A$2:$AR$203,40,FALSE)*J80</f>
        <v>#N/A</v>
      </c>
      <c r="I80" s="134" t="e">
        <f>VLOOKUP($A80,'5 A calc'!$A$2:$AR$203,28,FALSE)</f>
        <v>#N/A</v>
      </c>
      <c r="J80" s="135" t="e">
        <f>VLOOKUP($A80,'5 A calc'!$A$2:$AR$203,42,FALSE)</f>
        <v>#N/A</v>
      </c>
      <c r="L80" s="4"/>
      <c r="M80" s="4"/>
    </row>
    <row r="81" spans="1:13" x14ac:dyDescent="0.2">
      <c r="A81" s="100"/>
      <c r="C81" s="132">
        <f t="shared" si="8"/>
        <v>0.2</v>
      </c>
      <c r="D81" s="131" t="e">
        <f>VLOOKUP($A81,'5 A calc'!$A$2:$AR$203,4,FALSE)</f>
        <v>#N/A</v>
      </c>
      <c r="E81" s="393" t="e">
        <f>VLOOKUP($A81,'5 A calc'!$A$2:$AR$203,13,FALSE)</f>
        <v>#N/A</v>
      </c>
      <c r="F81" s="394" t="e">
        <f>VLOOKUP($A81,'5 A calc'!$A$2:$AR$203,14,FALSE)</f>
        <v>#N/A</v>
      </c>
      <c r="G81" s="393" t="e">
        <f>VLOOKUP($A81,'5 A calc'!$A$2:$AR$203,26,FALSE)*I81</f>
        <v>#N/A</v>
      </c>
      <c r="H81" s="394" t="e">
        <f>VLOOKUP($A81,'5 A calc'!$A$2:$AR$203,40,FALSE)*J81</f>
        <v>#N/A</v>
      </c>
      <c r="I81" s="134" t="e">
        <f>VLOOKUP($A81,'5 A calc'!$A$2:$AR$203,28,FALSE)</f>
        <v>#N/A</v>
      </c>
      <c r="J81" s="135" t="e">
        <f>VLOOKUP($A81,'5 A calc'!$A$2:$AR$203,42,FALSE)</f>
        <v>#N/A</v>
      </c>
      <c r="L81" s="4"/>
      <c r="M81" s="4"/>
    </row>
    <row r="82" spans="1:13" x14ac:dyDescent="0.2">
      <c r="A82" s="100"/>
      <c r="C82" s="132">
        <f t="shared" si="8"/>
        <v>0.2</v>
      </c>
      <c r="D82" s="136" t="e">
        <f>VLOOKUP($A82,'5 A calc'!$A$2:$AR$203,4,FALSE)</f>
        <v>#N/A</v>
      </c>
      <c r="E82" s="393" t="e">
        <f>VLOOKUP($A82,'5 A calc'!$A$2:$AR$203,13,FALSE)</f>
        <v>#N/A</v>
      </c>
      <c r="F82" s="394" t="e">
        <f>VLOOKUP($A82,'5 A calc'!$A$2:$AR$203,14,FALSE)</f>
        <v>#N/A</v>
      </c>
      <c r="G82" s="393" t="e">
        <f>VLOOKUP($A82,'5 A calc'!$A$2:$AR$203,26,FALSE)*I82</f>
        <v>#N/A</v>
      </c>
      <c r="H82" s="394" t="e">
        <f>VLOOKUP($A82,'5 A calc'!$A$2:$AR$203,40,FALSE)*J82</f>
        <v>#N/A</v>
      </c>
      <c r="I82" s="134" t="e">
        <f>VLOOKUP($A82,'5 A calc'!$A$2:$AR$203,28,FALSE)</f>
        <v>#N/A</v>
      </c>
      <c r="J82" s="135" t="e">
        <f>VLOOKUP($A82,'5 A calc'!$A$2:$AR$203,42,FALSE)</f>
        <v>#N/A</v>
      </c>
      <c r="L82" s="4"/>
      <c r="M82" s="4"/>
    </row>
    <row r="83" spans="1:13" x14ac:dyDescent="0.2">
      <c r="A83" s="100"/>
      <c r="C83" s="132">
        <f t="shared" si="8"/>
        <v>0.2</v>
      </c>
      <c r="D83" s="136" t="e">
        <f>VLOOKUP($A83,'5 A calc'!$A$2:$AR$203,4,FALSE)</f>
        <v>#N/A</v>
      </c>
      <c r="E83" s="393" t="e">
        <f>VLOOKUP($A83,'5 A calc'!$A$2:$AR$203,13,FALSE)</f>
        <v>#N/A</v>
      </c>
      <c r="F83" s="394" t="e">
        <f>VLOOKUP($A83,'5 A calc'!$A$2:$AR$203,14,FALSE)</f>
        <v>#N/A</v>
      </c>
      <c r="G83" s="393" t="e">
        <f>VLOOKUP($A83,'5 A calc'!$A$2:$AR$203,26,FALSE)*I83</f>
        <v>#N/A</v>
      </c>
      <c r="H83" s="394" t="e">
        <f>VLOOKUP($A83,'5 A calc'!$A$2:$AR$203,40,FALSE)*J83</f>
        <v>#N/A</v>
      </c>
      <c r="I83" s="134" t="e">
        <f>VLOOKUP($A83,'5 A calc'!$A$2:$AR$203,28,FALSE)</f>
        <v>#N/A</v>
      </c>
      <c r="J83" s="135" t="e">
        <f>VLOOKUP($A83,'5 A calc'!$A$2:$AR$203,42,FALSE)</f>
        <v>#N/A</v>
      </c>
      <c r="L83" s="4"/>
      <c r="M83" s="4"/>
    </row>
    <row r="84" spans="1:13" x14ac:dyDescent="0.2">
      <c r="A84" s="69"/>
      <c r="C84" s="143"/>
      <c r="D84" s="138"/>
      <c r="E84" s="395"/>
      <c r="F84" s="396"/>
      <c r="G84" s="395"/>
      <c r="H84" s="396"/>
      <c r="I84" s="139"/>
      <c r="J84" s="140"/>
      <c r="L84" s="4"/>
      <c r="M84" s="4"/>
    </row>
    <row r="85" spans="1:13" x14ac:dyDescent="0.2">
      <c r="A85" s="100"/>
      <c r="C85" s="132">
        <f t="shared" ref="C85:C90" si="9">low__burden</f>
        <v>0</v>
      </c>
      <c r="D85" s="136" t="e">
        <f>VLOOKUP($A85,'5 A calc'!$A$2:$AR$203,4,FALSE)</f>
        <v>#N/A</v>
      </c>
      <c r="E85" s="393" t="e">
        <f>VLOOKUP($A85,'5 A calc'!$A$2:$AR$203,13,FALSE)</f>
        <v>#N/A</v>
      </c>
      <c r="F85" s="394" t="e">
        <f>VLOOKUP($A85,'5 A calc'!$A$2:$AR$203,14,FALSE)</f>
        <v>#N/A</v>
      </c>
      <c r="G85" s="393" t="e">
        <f>VLOOKUP($A85,'5 A calc'!$A$2:$AR$203,26,FALSE)*I85</f>
        <v>#N/A</v>
      </c>
      <c r="H85" s="394" t="e">
        <f>VLOOKUP($A85,'5 A calc'!$A$2:$AR$203,40,FALSE)*J85</f>
        <v>#N/A</v>
      </c>
      <c r="I85" s="134" t="e">
        <f>VLOOKUP($A85,'5 A calc'!$A$2:$AR$203,28,FALSE)</f>
        <v>#N/A</v>
      </c>
      <c r="J85" s="135" t="e">
        <f>VLOOKUP($A85,'5 A calc'!$A$2:$AR$203,42,FALSE)</f>
        <v>#N/A</v>
      </c>
      <c r="L85" s="4"/>
      <c r="M85" s="4"/>
    </row>
    <row r="86" spans="1:13" x14ac:dyDescent="0.2">
      <c r="A86" s="100"/>
      <c r="C86" s="132">
        <f t="shared" si="9"/>
        <v>0</v>
      </c>
      <c r="D86" s="136" t="e">
        <f>VLOOKUP($A86,'5 A calc'!$A$2:$AR$203,4,FALSE)</f>
        <v>#N/A</v>
      </c>
      <c r="E86" s="393" t="e">
        <f>VLOOKUP($A86,'5 A calc'!$A$2:$AR$203,13,FALSE)</f>
        <v>#N/A</v>
      </c>
      <c r="F86" s="394" t="e">
        <f>VLOOKUP($A86,'5 A calc'!$A$2:$AR$203,14,FALSE)</f>
        <v>#N/A</v>
      </c>
      <c r="G86" s="393" t="e">
        <f>VLOOKUP($A86,'5 A calc'!$A$2:$AR$203,26,FALSE)*I86</f>
        <v>#N/A</v>
      </c>
      <c r="H86" s="394" t="e">
        <f>VLOOKUP($A86,'5 A calc'!$A$2:$AR$203,40,FALSE)*J86</f>
        <v>#N/A</v>
      </c>
      <c r="I86" s="134" t="e">
        <f>VLOOKUP($A86,'5 A calc'!$A$2:$AR$203,28,FALSE)</f>
        <v>#N/A</v>
      </c>
      <c r="J86" s="135" t="e">
        <f>VLOOKUP($A86,'5 A calc'!$A$2:$AR$203,42,FALSE)</f>
        <v>#N/A</v>
      </c>
      <c r="L86" s="4"/>
      <c r="M86" s="4"/>
    </row>
    <row r="87" spans="1:13" x14ac:dyDescent="0.2">
      <c r="A87" s="100"/>
      <c r="C87" s="132">
        <f t="shared" si="9"/>
        <v>0</v>
      </c>
      <c r="D87" s="136" t="e">
        <f>VLOOKUP($A87,'5 A calc'!$A$2:$AR$203,4,FALSE)</f>
        <v>#N/A</v>
      </c>
      <c r="E87" s="393" t="e">
        <f>VLOOKUP($A87,'5 A calc'!$A$2:$AR$203,13,FALSE)</f>
        <v>#N/A</v>
      </c>
      <c r="F87" s="394" t="e">
        <f>VLOOKUP($A87,'5 A calc'!$A$2:$AR$203,14,FALSE)</f>
        <v>#N/A</v>
      </c>
      <c r="G87" s="393" t="e">
        <f>VLOOKUP($A87,'5 A calc'!$A$2:$AR$203,26,FALSE)*I87</f>
        <v>#N/A</v>
      </c>
      <c r="H87" s="394" t="e">
        <f>VLOOKUP($A87,'5 A calc'!$A$2:$AR$203,40,FALSE)*J87</f>
        <v>#N/A</v>
      </c>
      <c r="I87" s="134" t="e">
        <f>VLOOKUP($A87,'5 A calc'!$A$2:$AR$203,28,FALSE)</f>
        <v>#N/A</v>
      </c>
      <c r="J87" s="135" t="e">
        <f>VLOOKUP($A87,'5 A calc'!$A$2:$AR$203,42,FALSE)</f>
        <v>#N/A</v>
      </c>
      <c r="L87" s="4"/>
      <c r="M87" s="4"/>
    </row>
    <row r="88" spans="1:13" x14ac:dyDescent="0.2">
      <c r="A88" s="100"/>
      <c r="C88" s="132">
        <f t="shared" si="9"/>
        <v>0</v>
      </c>
      <c r="D88" s="136" t="e">
        <f>VLOOKUP($A88,'5 A calc'!$A$2:$AR$203,4,FALSE)</f>
        <v>#N/A</v>
      </c>
      <c r="E88" s="393" t="e">
        <f>VLOOKUP($A88,'5 A calc'!$A$2:$AR$203,13,FALSE)</f>
        <v>#N/A</v>
      </c>
      <c r="F88" s="394" t="e">
        <f>VLOOKUP($A88,'5 A calc'!$A$2:$AR$203,14,FALSE)</f>
        <v>#N/A</v>
      </c>
      <c r="G88" s="393" t="e">
        <f>VLOOKUP($A88,'5 A calc'!$A$2:$AR$203,26,FALSE)*I88</f>
        <v>#N/A</v>
      </c>
      <c r="H88" s="394" t="e">
        <f>VLOOKUP($A88,'5 A calc'!$A$2:$AR$203,40,FALSE)*J88</f>
        <v>#N/A</v>
      </c>
      <c r="I88" s="134" t="e">
        <f>VLOOKUP($A88,'5 A calc'!$A$2:$AR$203,28,FALSE)</f>
        <v>#N/A</v>
      </c>
      <c r="J88" s="135" t="e">
        <f>VLOOKUP($A88,'5 A calc'!$A$2:$AR$203,42,FALSE)</f>
        <v>#N/A</v>
      </c>
      <c r="L88" s="4"/>
      <c r="M88" s="4"/>
    </row>
    <row r="89" spans="1:13" x14ac:dyDescent="0.2">
      <c r="A89" s="100"/>
      <c r="C89" s="132">
        <f t="shared" si="9"/>
        <v>0</v>
      </c>
      <c r="D89" s="136" t="e">
        <f>VLOOKUP($A89,'5 A calc'!$A$2:$AR$203,4,FALSE)</f>
        <v>#N/A</v>
      </c>
      <c r="E89" s="393" t="e">
        <f>VLOOKUP($A89,'5 A calc'!$A$2:$AR$203,13,FALSE)</f>
        <v>#N/A</v>
      </c>
      <c r="F89" s="394" t="e">
        <f>VLOOKUP($A89,'5 A calc'!$A$2:$AR$203,14,FALSE)</f>
        <v>#N/A</v>
      </c>
      <c r="G89" s="393" t="e">
        <f>VLOOKUP($A89,'5 A calc'!$A$2:$AR$203,26,FALSE)*I89</f>
        <v>#N/A</v>
      </c>
      <c r="H89" s="394" t="e">
        <f>VLOOKUP($A89,'5 A calc'!$A$2:$AR$203,40,FALSE)*J89</f>
        <v>#N/A</v>
      </c>
      <c r="I89" s="134" t="e">
        <f>VLOOKUP($A89,'5 A calc'!$A$2:$AR$203,28,FALSE)</f>
        <v>#N/A</v>
      </c>
      <c r="J89" s="135" t="e">
        <f>VLOOKUP($A89,'5 A calc'!$A$2:$AR$203,42,FALSE)</f>
        <v>#N/A</v>
      </c>
      <c r="L89" s="4"/>
      <c r="M89" s="4"/>
    </row>
    <row r="90" spans="1:13" x14ac:dyDescent="0.2">
      <c r="A90" s="100"/>
      <c r="C90" s="132">
        <f t="shared" si="9"/>
        <v>0</v>
      </c>
      <c r="D90" s="136" t="e">
        <f>VLOOKUP($A90,'5 A calc'!$A$2:$AR$203,4,FALSE)</f>
        <v>#N/A</v>
      </c>
      <c r="E90" s="393" t="e">
        <f>VLOOKUP($A90,'5 A calc'!$A$2:$AR$203,13,FALSE)</f>
        <v>#N/A</v>
      </c>
      <c r="F90" s="394" t="e">
        <f>VLOOKUP($A90,'5 A calc'!$A$2:$AR$203,14,FALSE)</f>
        <v>#N/A</v>
      </c>
      <c r="G90" s="393" t="e">
        <f>VLOOKUP($A90,'5 A calc'!$A$2:$AR$203,26,FALSE)*I90</f>
        <v>#N/A</v>
      </c>
      <c r="H90" s="394" t="e">
        <f>VLOOKUP($A90,'5 A calc'!$A$2:$AR$203,40,FALSE)*J90</f>
        <v>#N/A</v>
      </c>
      <c r="I90" s="134" t="e">
        <f>VLOOKUP($A90,'5 A calc'!$A$2:$AR$203,28,FALSE)</f>
        <v>#N/A</v>
      </c>
      <c r="J90" s="135" t="e">
        <f>VLOOKUP($A90,'5 A calc'!$A$2:$AR$203,42,FALSE)</f>
        <v>#N/A</v>
      </c>
      <c r="L90" s="4"/>
      <c r="M90" s="4"/>
    </row>
    <row r="91" spans="1:13" x14ac:dyDescent="0.2">
      <c r="C91" s="95"/>
      <c r="D91" s="141"/>
      <c r="E91" s="38"/>
      <c r="F91" s="52"/>
      <c r="G91" s="85"/>
      <c r="H91" s="141"/>
      <c r="I91" s="141"/>
      <c r="J91" s="142"/>
    </row>
    <row r="93" spans="1:13" ht="20.45" customHeight="1" x14ac:dyDescent="0.2">
      <c r="A93" s="100"/>
      <c r="C93" s="61" t="e">
        <f>"Table "&amp;L93&amp;". Ratio "&amp;LEFT(M93,FIND("/",M93)-1)&amp;":5."&amp;"  Secondary: "&amp;K93</f>
        <v>#N/A</v>
      </c>
      <c r="D93" s="18"/>
      <c r="E93" s="18"/>
      <c r="F93" s="18"/>
      <c r="G93" s="18"/>
      <c r="H93" s="10"/>
      <c r="I93" s="10"/>
      <c r="J93" s="11"/>
      <c r="K93" s="98" t="e">
        <f>VLOOKUP($A93+1,'5 A data'!$A$2:$AW$259,2,FALSE)</f>
        <v>#N/A</v>
      </c>
      <c r="L93" s="100"/>
      <c r="M93" s="98" t="e">
        <f>VLOOKUP($A93,'5 A calc'!$A$2:$AR$172,4,FALSE)</f>
        <v>#N/A</v>
      </c>
    </row>
    <row r="94" spans="1:13" ht="20.45" customHeight="1" x14ac:dyDescent="0.2">
      <c r="A94" s="69"/>
      <c r="C94" s="12"/>
      <c r="D94" s="13"/>
      <c r="E94" s="541" t="s">
        <v>19</v>
      </c>
      <c r="F94" s="542"/>
      <c r="G94" s="541" t="s">
        <v>20</v>
      </c>
      <c r="H94" s="542"/>
      <c r="I94" s="543" t="s">
        <v>8</v>
      </c>
      <c r="J94" s="544"/>
      <c r="L94" s="68"/>
    </row>
    <row r="95" spans="1:13" ht="51" x14ac:dyDescent="0.2">
      <c r="A95" s="69"/>
      <c r="C95" s="12" t="s">
        <v>170</v>
      </c>
      <c r="D95" s="54" t="s">
        <v>242</v>
      </c>
      <c r="E95" s="54" t="s">
        <v>295</v>
      </c>
      <c r="F95" s="13" t="s">
        <v>240</v>
      </c>
      <c r="G95" s="54" t="s">
        <v>295</v>
      </c>
      <c r="H95" s="13" t="s">
        <v>240</v>
      </c>
      <c r="I95" s="54" t="s">
        <v>159</v>
      </c>
      <c r="J95" s="13" t="s">
        <v>160</v>
      </c>
      <c r="L95" s="158"/>
      <c r="M95" s="158"/>
    </row>
    <row r="96" spans="1:13" x14ac:dyDescent="0.2">
      <c r="A96" s="100"/>
      <c r="C96" s="53">
        <f t="shared" ref="C96:C101" si="10">high_burden</f>
        <v>0.2</v>
      </c>
      <c r="D96" s="57" t="e">
        <f>VLOOKUP($A96,'5 A calc'!$A$2:$AR$203,4,FALSE)</f>
        <v>#N/A</v>
      </c>
      <c r="E96" s="393" t="e">
        <f>VLOOKUP($A96,'5 A calc'!$A$2:$AR$203,13,FALSE)</f>
        <v>#N/A</v>
      </c>
      <c r="F96" s="394" t="e">
        <f>VLOOKUP($A96,'5 A calc'!$A$2:$AR$203,14,FALSE)</f>
        <v>#N/A</v>
      </c>
      <c r="G96" s="393" t="e">
        <f>VLOOKUP($A96,'5 A calc'!$A$2:$AR$203,26,FALSE)*I96</f>
        <v>#N/A</v>
      </c>
      <c r="H96" s="394" t="e">
        <f>VLOOKUP($A96,'5 A calc'!$A$2:$AR$203,40,FALSE)*J96</f>
        <v>#N/A</v>
      </c>
      <c r="I96" s="56" t="e">
        <f>VLOOKUP($A96,'5 A calc'!$A$2:$AR$203,28,FALSE)</f>
        <v>#N/A</v>
      </c>
      <c r="J96" s="49" t="e">
        <f>VLOOKUP($A96,'5 A calc'!$A$2:$AR$203,42,FALSE)</f>
        <v>#N/A</v>
      </c>
      <c r="L96" s="4"/>
      <c r="M96" s="4"/>
    </row>
    <row r="97" spans="1:13" x14ac:dyDescent="0.2">
      <c r="A97" s="100"/>
      <c r="C97" s="53">
        <f t="shared" si="10"/>
        <v>0.2</v>
      </c>
      <c r="D97" s="57" t="e">
        <f>VLOOKUP($A97,'5 A calc'!$A$2:$AR$203,4,FALSE)</f>
        <v>#N/A</v>
      </c>
      <c r="E97" s="393" t="e">
        <f>VLOOKUP($A97,'5 A calc'!$A$2:$AR$203,13,FALSE)</f>
        <v>#N/A</v>
      </c>
      <c r="F97" s="394" t="e">
        <f>VLOOKUP($A97,'5 A calc'!$A$2:$AR$203,14,FALSE)</f>
        <v>#N/A</v>
      </c>
      <c r="G97" s="393" t="e">
        <f>VLOOKUP($A97,'5 A calc'!$A$2:$AR$203,26,FALSE)*I97</f>
        <v>#N/A</v>
      </c>
      <c r="H97" s="394" t="e">
        <f>VLOOKUP($A97,'5 A calc'!$A$2:$AR$203,40,FALSE)*J97</f>
        <v>#N/A</v>
      </c>
      <c r="I97" s="56" t="e">
        <f>VLOOKUP($A97,'5 A calc'!$A$2:$AR$203,28,FALSE)</f>
        <v>#N/A</v>
      </c>
      <c r="J97" s="49" t="e">
        <f>VLOOKUP($A97,'5 A calc'!$A$2:$AR$203,42,FALSE)</f>
        <v>#N/A</v>
      </c>
      <c r="L97" s="4"/>
      <c r="M97" s="4"/>
    </row>
    <row r="98" spans="1:13" x14ac:dyDescent="0.2">
      <c r="A98" s="100"/>
      <c r="C98" s="53">
        <f t="shared" si="10"/>
        <v>0.2</v>
      </c>
      <c r="D98" s="57" t="e">
        <f>VLOOKUP($A98,'5 A calc'!$A$2:$AR$203,4,FALSE)</f>
        <v>#N/A</v>
      </c>
      <c r="E98" s="393" t="e">
        <f>VLOOKUP($A98,'5 A calc'!$A$2:$AR$203,13,FALSE)</f>
        <v>#N/A</v>
      </c>
      <c r="F98" s="394" t="e">
        <f>VLOOKUP($A98,'5 A calc'!$A$2:$AR$203,14,FALSE)</f>
        <v>#N/A</v>
      </c>
      <c r="G98" s="393" t="e">
        <f>VLOOKUP($A98,'5 A calc'!$A$2:$AR$203,26,FALSE)*I98</f>
        <v>#N/A</v>
      </c>
      <c r="H98" s="394" t="e">
        <f>VLOOKUP($A98,'5 A calc'!$A$2:$AR$203,40,FALSE)*J98</f>
        <v>#N/A</v>
      </c>
      <c r="I98" s="56" t="e">
        <f>VLOOKUP($A98,'5 A calc'!$A$2:$AR$203,28,FALSE)</f>
        <v>#N/A</v>
      </c>
      <c r="J98" s="49" t="e">
        <f>VLOOKUP($A98,'5 A calc'!$A$2:$AR$203,42,FALSE)</f>
        <v>#N/A</v>
      </c>
      <c r="L98" s="4"/>
      <c r="M98" s="4"/>
    </row>
    <row r="99" spans="1:13" x14ac:dyDescent="0.2">
      <c r="A99" s="100"/>
      <c r="C99" s="53">
        <f t="shared" si="10"/>
        <v>0.2</v>
      </c>
      <c r="D99" s="57" t="e">
        <f>VLOOKUP($A99,'5 A calc'!$A$2:$AR$203,4,FALSE)</f>
        <v>#N/A</v>
      </c>
      <c r="E99" s="393" t="e">
        <f>VLOOKUP($A99,'5 A calc'!$A$2:$AR$203,13,FALSE)</f>
        <v>#N/A</v>
      </c>
      <c r="F99" s="394" t="e">
        <f>VLOOKUP($A99,'5 A calc'!$A$2:$AR$203,14,FALSE)</f>
        <v>#N/A</v>
      </c>
      <c r="G99" s="393" t="e">
        <f>VLOOKUP($A99,'5 A calc'!$A$2:$AR$203,26,FALSE)*I99</f>
        <v>#N/A</v>
      </c>
      <c r="H99" s="394" t="e">
        <f>VLOOKUP($A99,'5 A calc'!$A$2:$AR$203,40,FALSE)*J99</f>
        <v>#N/A</v>
      </c>
      <c r="I99" s="56" t="e">
        <f>VLOOKUP($A99,'5 A calc'!$A$2:$AR$203,28,FALSE)</f>
        <v>#N/A</v>
      </c>
      <c r="J99" s="49" t="e">
        <f>VLOOKUP($A99,'5 A calc'!$A$2:$AR$203,42,FALSE)</f>
        <v>#N/A</v>
      </c>
      <c r="L99" s="4"/>
      <c r="M99" s="4"/>
    </row>
    <row r="100" spans="1:13" x14ac:dyDescent="0.2">
      <c r="A100" s="100"/>
      <c r="C100" s="53">
        <f t="shared" si="10"/>
        <v>0.2</v>
      </c>
      <c r="D100" s="51" t="e">
        <f>VLOOKUP($A100,'5 A calc'!$A$2:$AR$203,4,FALSE)</f>
        <v>#N/A</v>
      </c>
      <c r="E100" s="393" t="e">
        <f>VLOOKUP($A100,'5 A calc'!$A$2:$AR$203,13,FALSE)</f>
        <v>#N/A</v>
      </c>
      <c r="F100" s="394" t="e">
        <f>VLOOKUP($A100,'5 A calc'!$A$2:$AR$203,14,FALSE)</f>
        <v>#N/A</v>
      </c>
      <c r="G100" s="393" t="e">
        <f>VLOOKUP($A100,'5 A calc'!$A$2:$AR$203,26,FALSE)*I100</f>
        <v>#N/A</v>
      </c>
      <c r="H100" s="394" t="e">
        <f>VLOOKUP($A100,'5 A calc'!$A$2:$AR$203,40,FALSE)*J100</f>
        <v>#N/A</v>
      </c>
      <c r="I100" s="56" t="e">
        <f>VLOOKUP($A100,'5 A calc'!$A$2:$AR$203,28,FALSE)</f>
        <v>#N/A</v>
      </c>
      <c r="J100" s="49" t="e">
        <f>VLOOKUP($A100,'5 A calc'!$A$2:$AR$203,42,FALSE)</f>
        <v>#N/A</v>
      </c>
      <c r="L100" s="4"/>
      <c r="M100" s="4"/>
    </row>
    <row r="101" spans="1:13" x14ac:dyDescent="0.2">
      <c r="A101" s="100"/>
      <c r="C101" s="53">
        <f t="shared" si="10"/>
        <v>0.2</v>
      </c>
      <c r="D101" s="51" t="e">
        <f>VLOOKUP($A101,'5 A calc'!$A$2:$AR$203,4,FALSE)</f>
        <v>#N/A</v>
      </c>
      <c r="E101" s="393" t="e">
        <f>VLOOKUP($A101,'5 A calc'!$A$2:$AR$203,13,FALSE)</f>
        <v>#N/A</v>
      </c>
      <c r="F101" s="394" t="e">
        <f>VLOOKUP($A101,'5 A calc'!$A$2:$AR$203,14,FALSE)</f>
        <v>#N/A</v>
      </c>
      <c r="G101" s="393" t="e">
        <f>VLOOKUP($A101,'5 A calc'!$A$2:$AR$203,26,FALSE)*I101</f>
        <v>#N/A</v>
      </c>
      <c r="H101" s="394" t="e">
        <f>VLOOKUP($A101,'5 A calc'!$A$2:$AR$203,40,FALSE)*J101</f>
        <v>#N/A</v>
      </c>
      <c r="I101" s="56" t="e">
        <f>VLOOKUP($A101,'5 A calc'!$A$2:$AR$203,28,FALSE)</f>
        <v>#N/A</v>
      </c>
      <c r="J101" s="49" t="e">
        <f>VLOOKUP($A101,'5 A calc'!$A$2:$AR$203,42,FALSE)</f>
        <v>#N/A</v>
      </c>
      <c r="L101" s="4"/>
      <c r="M101" s="4"/>
    </row>
    <row r="102" spans="1:13" ht="13.15" customHeight="1" x14ac:dyDescent="0.2">
      <c r="A102" s="69"/>
      <c r="C102" s="118"/>
      <c r="D102" s="116"/>
      <c r="E102" s="395"/>
      <c r="F102" s="396"/>
      <c r="G102" s="395"/>
      <c r="H102" s="396"/>
      <c r="I102" s="119"/>
      <c r="J102" s="119"/>
      <c r="L102" s="4"/>
      <c r="M102" s="4"/>
    </row>
    <row r="103" spans="1:13" x14ac:dyDescent="0.2">
      <c r="A103" s="100"/>
      <c r="C103" s="53">
        <f t="shared" ref="C103:C108" si="11">low__burden</f>
        <v>0</v>
      </c>
      <c r="D103" s="51" t="e">
        <f>VLOOKUP($A103,'5 A calc'!$A$2:$AR$203,4,FALSE)</f>
        <v>#N/A</v>
      </c>
      <c r="E103" s="393" t="e">
        <f>VLOOKUP($A103,'5 A calc'!$A$2:$AR$203,13,FALSE)</f>
        <v>#N/A</v>
      </c>
      <c r="F103" s="394" t="e">
        <f>VLOOKUP($A103,'5 A calc'!$A$2:$AR$203,14,FALSE)</f>
        <v>#N/A</v>
      </c>
      <c r="G103" s="393" t="e">
        <f>VLOOKUP($A103,'5 A calc'!$A$2:$AR$203,26,FALSE)*I103</f>
        <v>#N/A</v>
      </c>
      <c r="H103" s="394" t="e">
        <f>VLOOKUP($A103,'5 A calc'!$A$2:$AR$203,40,FALSE)*J103</f>
        <v>#N/A</v>
      </c>
      <c r="I103" s="56" t="e">
        <f>VLOOKUP($A103,'5 A calc'!$A$2:$AR$203,28,FALSE)</f>
        <v>#N/A</v>
      </c>
      <c r="J103" s="49" t="e">
        <f>VLOOKUP($A103,'5 A calc'!$A$2:$AR$203,42,FALSE)</f>
        <v>#N/A</v>
      </c>
      <c r="L103" s="4"/>
      <c r="M103" s="4"/>
    </row>
    <row r="104" spans="1:13" x14ac:dyDescent="0.2">
      <c r="A104" s="100"/>
      <c r="C104" s="53">
        <f t="shared" si="11"/>
        <v>0</v>
      </c>
      <c r="D104" s="51" t="e">
        <f>VLOOKUP($A104,'5 A calc'!$A$2:$AR$203,4,FALSE)</f>
        <v>#N/A</v>
      </c>
      <c r="E104" s="393" t="e">
        <f>VLOOKUP($A104,'5 A calc'!$A$2:$AR$203,13,FALSE)</f>
        <v>#N/A</v>
      </c>
      <c r="F104" s="394" t="e">
        <f>VLOOKUP($A104,'5 A calc'!$A$2:$AR$203,14,FALSE)</f>
        <v>#N/A</v>
      </c>
      <c r="G104" s="393" t="e">
        <f>VLOOKUP($A104,'5 A calc'!$A$2:$AR$203,26,FALSE)*I104</f>
        <v>#N/A</v>
      </c>
      <c r="H104" s="394" t="e">
        <f>VLOOKUP($A104,'5 A calc'!$A$2:$AR$203,40,FALSE)*J104</f>
        <v>#N/A</v>
      </c>
      <c r="I104" s="56" t="e">
        <f>VLOOKUP($A104,'5 A calc'!$A$2:$AR$203,28,FALSE)</f>
        <v>#N/A</v>
      </c>
      <c r="J104" s="49" t="e">
        <f>VLOOKUP($A104,'5 A calc'!$A$2:$AR$203,42,FALSE)</f>
        <v>#N/A</v>
      </c>
      <c r="L104" s="4"/>
      <c r="M104" s="4"/>
    </row>
    <row r="105" spans="1:13" x14ac:dyDescent="0.2">
      <c r="A105" s="100"/>
      <c r="C105" s="53">
        <f t="shared" si="11"/>
        <v>0</v>
      </c>
      <c r="D105" s="51" t="e">
        <f>VLOOKUP($A105,'5 A calc'!$A$2:$AR$203,4,FALSE)</f>
        <v>#N/A</v>
      </c>
      <c r="E105" s="393" t="e">
        <f>VLOOKUP($A105,'5 A calc'!$A$2:$AR$203,13,FALSE)</f>
        <v>#N/A</v>
      </c>
      <c r="F105" s="394" t="e">
        <f>VLOOKUP($A105,'5 A calc'!$A$2:$AR$203,14,FALSE)</f>
        <v>#N/A</v>
      </c>
      <c r="G105" s="393" t="e">
        <f>VLOOKUP($A105,'5 A calc'!$A$2:$AR$203,26,FALSE)*I105</f>
        <v>#N/A</v>
      </c>
      <c r="H105" s="394" t="e">
        <f>VLOOKUP($A105,'5 A calc'!$A$2:$AR$203,40,FALSE)*J105</f>
        <v>#N/A</v>
      </c>
      <c r="I105" s="56" t="e">
        <f>VLOOKUP($A105,'5 A calc'!$A$2:$AR$203,28,FALSE)</f>
        <v>#N/A</v>
      </c>
      <c r="J105" s="49" t="e">
        <f>VLOOKUP($A105,'5 A calc'!$A$2:$AR$203,42,FALSE)</f>
        <v>#N/A</v>
      </c>
      <c r="L105" s="4"/>
      <c r="M105" s="4"/>
    </row>
    <row r="106" spans="1:13" x14ac:dyDescent="0.2">
      <c r="A106" s="100"/>
      <c r="C106" s="53">
        <f t="shared" si="11"/>
        <v>0</v>
      </c>
      <c r="D106" s="51" t="e">
        <f>VLOOKUP($A106,'5 A calc'!$A$2:$AR$203,4,FALSE)</f>
        <v>#N/A</v>
      </c>
      <c r="E106" s="393" t="e">
        <f>VLOOKUP($A106,'5 A calc'!$A$2:$AR$203,13,FALSE)</f>
        <v>#N/A</v>
      </c>
      <c r="F106" s="394" t="e">
        <f>VLOOKUP($A106,'5 A calc'!$A$2:$AR$203,14,FALSE)</f>
        <v>#N/A</v>
      </c>
      <c r="G106" s="393" t="e">
        <f>VLOOKUP($A106,'5 A calc'!$A$2:$AR$203,26,FALSE)*I106</f>
        <v>#N/A</v>
      </c>
      <c r="H106" s="394" t="e">
        <f>VLOOKUP($A106,'5 A calc'!$A$2:$AR$203,40,FALSE)*J106</f>
        <v>#N/A</v>
      </c>
      <c r="I106" s="56" t="e">
        <f>VLOOKUP($A106,'5 A calc'!$A$2:$AR$203,28,FALSE)</f>
        <v>#N/A</v>
      </c>
      <c r="J106" s="49" t="e">
        <f>VLOOKUP($A106,'5 A calc'!$A$2:$AR$203,42,FALSE)</f>
        <v>#N/A</v>
      </c>
      <c r="L106" s="4"/>
      <c r="M106" s="4"/>
    </row>
    <row r="107" spans="1:13" x14ac:dyDescent="0.2">
      <c r="A107" s="100"/>
      <c r="C107" s="53">
        <f t="shared" si="11"/>
        <v>0</v>
      </c>
      <c r="D107" s="51" t="e">
        <f>VLOOKUP($A107,'5 A calc'!$A$2:$AR$203,4,FALSE)</f>
        <v>#N/A</v>
      </c>
      <c r="E107" s="393" t="e">
        <f>VLOOKUP($A107,'5 A calc'!$A$2:$AR$203,13,FALSE)</f>
        <v>#N/A</v>
      </c>
      <c r="F107" s="394" t="e">
        <f>VLOOKUP($A107,'5 A calc'!$A$2:$AR$203,14,FALSE)</f>
        <v>#N/A</v>
      </c>
      <c r="G107" s="393" t="e">
        <f>VLOOKUP($A107,'5 A calc'!$A$2:$AR$203,26,FALSE)*I107</f>
        <v>#N/A</v>
      </c>
      <c r="H107" s="394" t="e">
        <f>VLOOKUP($A107,'5 A calc'!$A$2:$AR$203,40,FALSE)*J107</f>
        <v>#N/A</v>
      </c>
      <c r="I107" s="56" t="e">
        <f>VLOOKUP($A107,'5 A calc'!$A$2:$AR$203,28,FALSE)</f>
        <v>#N/A</v>
      </c>
      <c r="J107" s="49" t="e">
        <f>VLOOKUP($A107,'5 A calc'!$A$2:$AR$203,42,FALSE)</f>
        <v>#N/A</v>
      </c>
      <c r="L107" s="4"/>
      <c r="M107" s="4"/>
    </row>
    <row r="108" spans="1:13" x14ac:dyDescent="0.2">
      <c r="A108" s="100"/>
      <c r="C108" s="53">
        <f t="shared" si="11"/>
        <v>0</v>
      </c>
      <c r="D108" s="51" t="e">
        <f>VLOOKUP($A108,'5 A calc'!$A$2:$AR$203,4,FALSE)</f>
        <v>#N/A</v>
      </c>
      <c r="E108" s="393" t="e">
        <f>VLOOKUP($A108,'5 A calc'!$A$2:$AR$203,13,FALSE)</f>
        <v>#N/A</v>
      </c>
      <c r="F108" s="394" t="e">
        <f>VLOOKUP($A108,'5 A calc'!$A$2:$AR$203,14,FALSE)</f>
        <v>#N/A</v>
      </c>
      <c r="G108" s="393" t="e">
        <f>VLOOKUP($A108,'5 A calc'!$A$2:$AR$203,26,FALSE)*I108</f>
        <v>#N/A</v>
      </c>
      <c r="H108" s="394" t="e">
        <f>VLOOKUP($A108,'5 A calc'!$A$2:$AR$203,40,FALSE)*J108</f>
        <v>#N/A</v>
      </c>
      <c r="I108" s="56" t="e">
        <f>VLOOKUP($A108,'5 A calc'!$A$2:$AR$203,28,FALSE)</f>
        <v>#N/A</v>
      </c>
      <c r="J108" s="49" t="e">
        <f>VLOOKUP($A108,'5 A calc'!$A$2:$AR$203,42,FALSE)</f>
        <v>#N/A</v>
      </c>
      <c r="L108" s="4"/>
      <c r="M108" s="4"/>
    </row>
    <row r="109" spans="1:13" x14ac:dyDescent="0.2">
      <c r="C109" s="39"/>
      <c r="D109" s="52"/>
      <c r="E109" s="38"/>
      <c r="F109" s="52"/>
      <c r="G109" s="38"/>
      <c r="H109" s="52"/>
      <c r="I109" s="52"/>
      <c r="J109" s="40"/>
    </row>
    <row r="111" spans="1:13" ht="21.2" customHeight="1" x14ac:dyDescent="0.2">
      <c r="A111" s="100"/>
      <c r="C111" s="61" t="e">
        <f>"Table "&amp;L111&amp;". Ratio "&amp;LEFT(M111,FIND("/",M111)-1)&amp;":5."&amp;"  Secondary: "&amp;K111</f>
        <v>#N/A</v>
      </c>
      <c r="D111" s="18"/>
      <c r="E111" s="18"/>
      <c r="F111" s="18"/>
      <c r="G111" s="18"/>
      <c r="H111" s="10"/>
      <c r="I111" s="10"/>
      <c r="J111" s="11"/>
      <c r="K111" s="98" t="e">
        <f>VLOOKUP($A111+1,'5 A data'!$A$2:$AW$259,2,FALSE)</f>
        <v>#N/A</v>
      </c>
      <c r="L111" s="100"/>
      <c r="M111" s="98" t="e">
        <f>VLOOKUP($A111,'5 A calc'!$A$2:$AR$172,4,FALSE)</f>
        <v>#N/A</v>
      </c>
    </row>
    <row r="112" spans="1:13" ht="21.2" customHeight="1" x14ac:dyDescent="0.2">
      <c r="A112" s="69"/>
      <c r="C112" s="12"/>
      <c r="D112" s="13"/>
      <c r="E112" s="541" t="s">
        <v>19</v>
      </c>
      <c r="F112" s="542"/>
      <c r="G112" s="541" t="s">
        <v>20</v>
      </c>
      <c r="H112" s="542"/>
      <c r="I112" s="543" t="s">
        <v>8</v>
      </c>
      <c r="J112" s="544"/>
      <c r="L112" s="68"/>
    </row>
    <row r="113" spans="1:13" ht="51" x14ac:dyDescent="0.2">
      <c r="A113" s="69"/>
      <c r="C113" s="12" t="s">
        <v>170</v>
      </c>
      <c r="D113" s="54" t="s">
        <v>242</v>
      </c>
      <c r="E113" s="54" t="s">
        <v>295</v>
      </c>
      <c r="F113" s="13" t="s">
        <v>240</v>
      </c>
      <c r="G113" s="54" t="s">
        <v>295</v>
      </c>
      <c r="H113" s="13" t="s">
        <v>240</v>
      </c>
      <c r="I113" s="54" t="s">
        <v>159</v>
      </c>
      <c r="J113" s="13" t="s">
        <v>160</v>
      </c>
      <c r="L113" s="158"/>
      <c r="M113" s="158"/>
    </row>
    <row r="114" spans="1:13" x14ac:dyDescent="0.2">
      <c r="A114" s="100"/>
      <c r="C114" s="53">
        <f t="shared" ref="C114:C119" si="12">high_burden</f>
        <v>0.2</v>
      </c>
      <c r="D114" s="57" t="e">
        <f>VLOOKUP($A114,'5 A calc'!$A$2:$AR$203,4,FALSE)</f>
        <v>#N/A</v>
      </c>
      <c r="E114" s="393" t="e">
        <f>VLOOKUP($A114,'5 A calc'!$A$2:$AR$203,13,FALSE)</f>
        <v>#N/A</v>
      </c>
      <c r="F114" s="394" t="e">
        <f>VLOOKUP($A114,'5 A calc'!$A$2:$AR$203,14,FALSE)</f>
        <v>#N/A</v>
      </c>
      <c r="G114" s="393" t="e">
        <f>VLOOKUP($A114,'5 A calc'!$A$2:$AR$203,26,FALSE)*I114</f>
        <v>#N/A</v>
      </c>
      <c r="H114" s="394" t="e">
        <f>VLOOKUP($A114,'5 A calc'!$A$2:$AR$203,40,FALSE)*J114</f>
        <v>#N/A</v>
      </c>
      <c r="I114" s="56" t="e">
        <f>VLOOKUP($A114,'5 A calc'!$A$2:$AR$203,28,FALSE)</f>
        <v>#N/A</v>
      </c>
      <c r="J114" s="49" t="e">
        <f>VLOOKUP($A114,'5 A calc'!$A$2:$AR$203,42,FALSE)</f>
        <v>#N/A</v>
      </c>
      <c r="L114" s="4"/>
      <c r="M114" s="4"/>
    </row>
    <row r="115" spans="1:13" x14ac:dyDescent="0.2">
      <c r="A115" s="100"/>
      <c r="C115" s="53">
        <f t="shared" si="12"/>
        <v>0.2</v>
      </c>
      <c r="D115" s="57" t="e">
        <f>VLOOKUP($A115,'5 A calc'!$A$2:$AR$203,4,FALSE)</f>
        <v>#N/A</v>
      </c>
      <c r="E115" s="393" t="e">
        <f>VLOOKUP($A115,'5 A calc'!$A$2:$AR$203,13,FALSE)</f>
        <v>#N/A</v>
      </c>
      <c r="F115" s="394" t="e">
        <f>VLOOKUP($A115,'5 A calc'!$A$2:$AR$203,14,FALSE)</f>
        <v>#N/A</v>
      </c>
      <c r="G115" s="393" t="e">
        <f>VLOOKUP($A115,'5 A calc'!$A$2:$AR$203,26,FALSE)*I115</f>
        <v>#N/A</v>
      </c>
      <c r="H115" s="394" t="e">
        <f>VLOOKUP($A115,'5 A calc'!$A$2:$AR$203,40,FALSE)*J115</f>
        <v>#N/A</v>
      </c>
      <c r="I115" s="56" t="e">
        <f>VLOOKUP($A115,'5 A calc'!$A$2:$AR$203,28,FALSE)</f>
        <v>#N/A</v>
      </c>
      <c r="J115" s="49" t="e">
        <f>VLOOKUP($A115,'5 A calc'!$A$2:$AR$203,42,FALSE)</f>
        <v>#N/A</v>
      </c>
      <c r="L115" s="4"/>
      <c r="M115" s="4"/>
    </row>
    <row r="116" spans="1:13" x14ac:dyDescent="0.2">
      <c r="A116" s="100"/>
      <c r="C116" s="53">
        <f t="shared" si="12"/>
        <v>0.2</v>
      </c>
      <c r="D116" s="57" t="e">
        <f>VLOOKUP($A116,'5 A calc'!$A$2:$AR$203,4,FALSE)</f>
        <v>#N/A</v>
      </c>
      <c r="E116" s="393" t="e">
        <f>VLOOKUP($A116,'5 A calc'!$A$2:$AR$203,13,FALSE)</f>
        <v>#N/A</v>
      </c>
      <c r="F116" s="394" t="e">
        <f>VLOOKUP($A116,'5 A calc'!$A$2:$AR$203,14,FALSE)</f>
        <v>#N/A</v>
      </c>
      <c r="G116" s="393" t="e">
        <f>VLOOKUP($A116,'5 A calc'!$A$2:$AR$203,26,FALSE)*I116</f>
        <v>#N/A</v>
      </c>
      <c r="H116" s="394" t="e">
        <f>VLOOKUP($A116,'5 A calc'!$A$2:$AR$203,40,FALSE)*J116</f>
        <v>#N/A</v>
      </c>
      <c r="I116" s="56" t="e">
        <f>VLOOKUP($A116,'5 A calc'!$A$2:$AR$203,28,FALSE)</f>
        <v>#N/A</v>
      </c>
      <c r="J116" s="49" t="e">
        <f>VLOOKUP($A116,'5 A calc'!$A$2:$AR$203,42,FALSE)</f>
        <v>#N/A</v>
      </c>
      <c r="L116" s="4"/>
      <c r="M116" s="4"/>
    </row>
    <row r="117" spans="1:13" x14ac:dyDescent="0.2">
      <c r="A117" s="100"/>
      <c r="C117" s="53">
        <f t="shared" si="12"/>
        <v>0.2</v>
      </c>
      <c r="D117" s="57" t="e">
        <f>VLOOKUP($A117,'5 A calc'!$A$2:$AR$203,4,FALSE)</f>
        <v>#N/A</v>
      </c>
      <c r="E117" s="393" t="e">
        <f>VLOOKUP($A117,'5 A calc'!$A$2:$AR$203,13,FALSE)</f>
        <v>#N/A</v>
      </c>
      <c r="F117" s="394" t="e">
        <f>VLOOKUP($A117,'5 A calc'!$A$2:$AR$203,14,FALSE)</f>
        <v>#N/A</v>
      </c>
      <c r="G117" s="393" t="e">
        <f>VLOOKUP($A117,'5 A calc'!$A$2:$AR$203,26,FALSE)*I117</f>
        <v>#N/A</v>
      </c>
      <c r="H117" s="394" t="e">
        <f>VLOOKUP($A117,'5 A calc'!$A$2:$AR$203,40,FALSE)*J117</f>
        <v>#N/A</v>
      </c>
      <c r="I117" s="56" t="e">
        <f>VLOOKUP($A117,'5 A calc'!$A$2:$AR$203,28,FALSE)</f>
        <v>#N/A</v>
      </c>
      <c r="J117" s="49" t="e">
        <f>VLOOKUP($A117,'5 A calc'!$A$2:$AR$203,42,FALSE)</f>
        <v>#N/A</v>
      </c>
      <c r="L117" s="4"/>
      <c r="M117" s="4"/>
    </row>
    <row r="118" spans="1:13" x14ac:dyDescent="0.2">
      <c r="A118" s="100"/>
      <c r="C118" s="53">
        <f t="shared" si="12"/>
        <v>0.2</v>
      </c>
      <c r="D118" s="51" t="e">
        <f>VLOOKUP($A118,'5 A calc'!$A$2:$AR$203,4,FALSE)</f>
        <v>#N/A</v>
      </c>
      <c r="E118" s="393" t="e">
        <f>VLOOKUP($A118,'5 A calc'!$A$2:$AR$203,13,FALSE)</f>
        <v>#N/A</v>
      </c>
      <c r="F118" s="394" t="e">
        <f>VLOOKUP($A118,'5 A calc'!$A$2:$AR$203,14,FALSE)</f>
        <v>#N/A</v>
      </c>
      <c r="G118" s="393" t="e">
        <f>VLOOKUP($A118,'5 A calc'!$A$2:$AR$203,26,FALSE)*I118</f>
        <v>#N/A</v>
      </c>
      <c r="H118" s="394" t="e">
        <f>VLOOKUP($A118,'5 A calc'!$A$2:$AR$203,40,FALSE)*J118</f>
        <v>#N/A</v>
      </c>
      <c r="I118" s="56" t="e">
        <f>VLOOKUP($A118,'5 A calc'!$A$2:$AR$203,28,FALSE)</f>
        <v>#N/A</v>
      </c>
      <c r="J118" s="49" t="e">
        <f>VLOOKUP($A118,'5 A calc'!$A$2:$AR$203,42,FALSE)</f>
        <v>#N/A</v>
      </c>
      <c r="L118" s="4"/>
      <c r="M118" s="4"/>
    </row>
    <row r="119" spans="1:13" x14ac:dyDescent="0.2">
      <c r="A119" s="100"/>
      <c r="C119" s="53">
        <f t="shared" si="12"/>
        <v>0.2</v>
      </c>
      <c r="D119" s="51" t="e">
        <f>VLOOKUP($A119,'5 A calc'!$A$2:$AR$203,4,FALSE)</f>
        <v>#N/A</v>
      </c>
      <c r="E119" s="393" t="e">
        <f>VLOOKUP($A119,'5 A calc'!$A$2:$AR$203,13,FALSE)</f>
        <v>#N/A</v>
      </c>
      <c r="F119" s="394" t="e">
        <f>VLOOKUP($A119,'5 A calc'!$A$2:$AR$203,14,FALSE)</f>
        <v>#N/A</v>
      </c>
      <c r="G119" s="393" t="e">
        <f>VLOOKUP($A119,'5 A calc'!$A$2:$AR$203,26,FALSE)*I119</f>
        <v>#N/A</v>
      </c>
      <c r="H119" s="394" t="e">
        <f>VLOOKUP($A119,'5 A calc'!$A$2:$AR$203,40,FALSE)*J119</f>
        <v>#N/A</v>
      </c>
      <c r="I119" s="56" t="e">
        <f>VLOOKUP($A119,'5 A calc'!$A$2:$AR$203,28,FALSE)</f>
        <v>#N/A</v>
      </c>
      <c r="J119" s="49" t="e">
        <f>VLOOKUP($A119,'5 A calc'!$A$2:$AR$203,42,FALSE)</f>
        <v>#N/A</v>
      </c>
      <c r="L119" s="4"/>
      <c r="M119" s="4"/>
    </row>
    <row r="120" spans="1:13" x14ac:dyDescent="0.2">
      <c r="A120" s="69"/>
      <c r="C120" s="122"/>
      <c r="D120" s="116"/>
      <c r="E120" s="395"/>
      <c r="F120" s="396"/>
      <c r="G120" s="395"/>
      <c r="H120" s="396"/>
      <c r="I120" s="119"/>
      <c r="J120" s="120"/>
      <c r="L120" s="4"/>
      <c r="M120" s="4"/>
    </row>
    <row r="121" spans="1:13" x14ac:dyDescent="0.2">
      <c r="A121" s="100"/>
      <c r="C121" s="53">
        <f t="shared" ref="C121:C126" si="13">low__burden</f>
        <v>0</v>
      </c>
      <c r="D121" s="51" t="e">
        <f>VLOOKUP($A121,'5 A calc'!$A$2:$AR$203,4,FALSE)</f>
        <v>#N/A</v>
      </c>
      <c r="E121" s="393" t="e">
        <f>VLOOKUP($A121,'5 A calc'!$A$2:$AR$203,13,FALSE)</f>
        <v>#N/A</v>
      </c>
      <c r="F121" s="394" t="e">
        <f>VLOOKUP($A121,'5 A calc'!$A$2:$AR$203,14,FALSE)</f>
        <v>#N/A</v>
      </c>
      <c r="G121" s="393" t="e">
        <f>VLOOKUP($A121,'5 A calc'!$A$2:$AR$203,26,FALSE)*I121</f>
        <v>#N/A</v>
      </c>
      <c r="H121" s="394" t="e">
        <f>VLOOKUP($A121,'5 A calc'!$A$2:$AR$203,40,FALSE)*J121</f>
        <v>#N/A</v>
      </c>
      <c r="I121" s="56" t="e">
        <f>VLOOKUP($A121,'5 A calc'!$A$2:$AR$203,28,FALSE)</f>
        <v>#N/A</v>
      </c>
      <c r="J121" s="49" t="e">
        <f>VLOOKUP($A121,'5 A calc'!$A$2:$AR$203,42,FALSE)</f>
        <v>#N/A</v>
      </c>
      <c r="L121" s="4"/>
      <c r="M121" s="4"/>
    </row>
    <row r="122" spans="1:13" x14ac:dyDescent="0.2">
      <c r="A122" s="100"/>
      <c r="C122" s="53">
        <f t="shared" si="13"/>
        <v>0</v>
      </c>
      <c r="D122" s="51" t="e">
        <f>VLOOKUP($A122,'5 A calc'!$A$2:$AR$203,4,FALSE)</f>
        <v>#N/A</v>
      </c>
      <c r="E122" s="393" t="e">
        <f>VLOOKUP($A122,'5 A calc'!$A$2:$AR$203,13,FALSE)</f>
        <v>#N/A</v>
      </c>
      <c r="F122" s="394" t="e">
        <f>VLOOKUP($A122,'5 A calc'!$A$2:$AR$203,14,FALSE)</f>
        <v>#N/A</v>
      </c>
      <c r="G122" s="393" t="e">
        <f>VLOOKUP($A122,'5 A calc'!$A$2:$AR$203,26,FALSE)*I122</f>
        <v>#N/A</v>
      </c>
      <c r="H122" s="394" t="e">
        <f>VLOOKUP($A122,'5 A calc'!$A$2:$AR$203,40,FALSE)*J122</f>
        <v>#N/A</v>
      </c>
      <c r="I122" s="56" t="e">
        <f>VLOOKUP($A122,'5 A calc'!$A$2:$AR$203,28,FALSE)</f>
        <v>#N/A</v>
      </c>
      <c r="J122" s="49" t="e">
        <f>VLOOKUP($A122,'5 A calc'!$A$2:$AR$203,42,FALSE)</f>
        <v>#N/A</v>
      </c>
      <c r="L122" s="4"/>
      <c r="M122" s="4"/>
    </row>
    <row r="123" spans="1:13" x14ac:dyDescent="0.2">
      <c r="A123" s="100"/>
      <c r="C123" s="53">
        <f t="shared" si="13"/>
        <v>0</v>
      </c>
      <c r="D123" s="51" t="e">
        <f>VLOOKUP($A123,'5 A calc'!$A$2:$AR$203,4,FALSE)</f>
        <v>#N/A</v>
      </c>
      <c r="E123" s="393" t="e">
        <f>VLOOKUP($A123,'5 A calc'!$A$2:$AR$203,13,FALSE)</f>
        <v>#N/A</v>
      </c>
      <c r="F123" s="394" t="e">
        <f>VLOOKUP($A123,'5 A calc'!$A$2:$AR$203,14,FALSE)</f>
        <v>#N/A</v>
      </c>
      <c r="G123" s="393" t="e">
        <f>VLOOKUP($A123,'5 A calc'!$A$2:$AR$203,26,FALSE)*I123</f>
        <v>#N/A</v>
      </c>
      <c r="H123" s="394" t="e">
        <f>VLOOKUP($A123,'5 A calc'!$A$2:$AR$203,40,FALSE)*J123</f>
        <v>#N/A</v>
      </c>
      <c r="I123" s="56" t="e">
        <f>VLOOKUP($A123,'5 A calc'!$A$2:$AR$203,28,FALSE)</f>
        <v>#N/A</v>
      </c>
      <c r="J123" s="49" t="e">
        <f>VLOOKUP($A123,'5 A calc'!$A$2:$AR$203,42,FALSE)</f>
        <v>#N/A</v>
      </c>
      <c r="L123" s="4"/>
      <c r="M123" s="4"/>
    </row>
    <row r="124" spans="1:13" x14ac:dyDescent="0.2">
      <c r="A124" s="100"/>
      <c r="C124" s="53">
        <f t="shared" si="13"/>
        <v>0</v>
      </c>
      <c r="D124" s="51" t="e">
        <f>VLOOKUP($A124,'5 A calc'!$A$2:$AR$203,4,FALSE)</f>
        <v>#N/A</v>
      </c>
      <c r="E124" s="393" t="e">
        <f>VLOOKUP($A124,'5 A calc'!$A$2:$AR$203,13,FALSE)</f>
        <v>#N/A</v>
      </c>
      <c r="F124" s="394" t="e">
        <f>VLOOKUP($A124,'5 A calc'!$A$2:$AR$203,14,FALSE)</f>
        <v>#N/A</v>
      </c>
      <c r="G124" s="393" t="e">
        <f>VLOOKUP($A124,'5 A calc'!$A$2:$AR$203,26,FALSE)*I124</f>
        <v>#N/A</v>
      </c>
      <c r="H124" s="394" t="e">
        <f>VLOOKUP($A124,'5 A calc'!$A$2:$AR$203,40,FALSE)*J124</f>
        <v>#N/A</v>
      </c>
      <c r="I124" s="56" t="e">
        <f>VLOOKUP($A124,'5 A calc'!$A$2:$AR$203,28,FALSE)</f>
        <v>#N/A</v>
      </c>
      <c r="J124" s="49" t="e">
        <f>VLOOKUP($A124,'5 A calc'!$A$2:$AR$203,42,FALSE)</f>
        <v>#N/A</v>
      </c>
      <c r="L124" s="4"/>
      <c r="M124" s="4"/>
    </row>
    <row r="125" spans="1:13" x14ac:dyDescent="0.2">
      <c r="A125" s="100"/>
      <c r="C125" s="53">
        <f t="shared" si="13"/>
        <v>0</v>
      </c>
      <c r="D125" s="51" t="e">
        <f>VLOOKUP($A125,'5 A calc'!$A$2:$AR$203,4,FALSE)</f>
        <v>#N/A</v>
      </c>
      <c r="E125" s="393" t="e">
        <f>VLOOKUP($A125,'5 A calc'!$A$2:$AR$203,13,FALSE)</f>
        <v>#N/A</v>
      </c>
      <c r="F125" s="394" t="e">
        <f>VLOOKUP($A125,'5 A calc'!$A$2:$AR$203,14,FALSE)</f>
        <v>#N/A</v>
      </c>
      <c r="G125" s="393" t="e">
        <f>VLOOKUP($A125,'5 A calc'!$A$2:$AR$203,26,FALSE)*I125</f>
        <v>#N/A</v>
      </c>
      <c r="H125" s="394" t="e">
        <f>VLOOKUP($A125,'5 A calc'!$A$2:$AR$203,40,FALSE)*J125</f>
        <v>#N/A</v>
      </c>
      <c r="I125" s="56" t="e">
        <f>VLOOKUP($A125,'5 A calc'!$A$2:$AR$203,28,FALSE)</f>
        <v>#N/A</v>
      </c>
      <c r="J125" s="49" t="e">
        <f>VLOOKUP($A125,'5 A calc'!$A$2:$AR$203,42,FALSE)</f>
        <v>#N/A</v>
      </c>
      <c r="L125" s="4"/>
      <c r="M125" s="4"/>
    </row>
    <row r="126" spans="1:13" x14ac:dyDescent="0.2">
      <c r="A126" s="100"/>
      <c r="C126" s="53">
        <f t="shared" si="13"/>
        <v>0</v>
      </c>
      <c r="D126" s="51" t="e">
        <f>VLOOKUP($A126,'5 A calc'!$A$2:$AR$203,4,FALSE)</f>
        <v>#N/A</v>
      </c>
      <c r="E126" s="393" t="e">
        <f>VLOOKUP($A126,'5 A calc'!$A$2:$AR$203,13,FALSE)</f>
        <v>#N/A</v>
      </c>
      <c r="F126" s="394" t="e">
        <f>VLOOKUP($A126,'5 A calc'!$A$2:$AR$203,14,FALSE)</f>
        <v>#N/A</v>
      </c>
      <c r="G126" s="393" t="e">
        <f>VLOOKUP($A126,'5 A calc'!$A$2:$AR$203,26,FALSE)*I126</f>
        <v>#N/A</v>
      </c>
      <c r="H126" s="394" t="e">
        <f>VLOOKUP($A126,'5 A calc'!$A$2:$AR$203,40,FALSE)*J126</f>
        <v>#N/A</v>
      </c>
      <c r="I126" s="56" t="e">
        <f>VLOOKUP($A126,'5 A calc'!$A$2:$AR$203,28,FALSE)</f>
        <v>#N/A</v>
      </c>
      <c r="J126" s="49" t="e">
        <f>VLOOKUP($A126,'5 A calc'!$A$2:$AR$203,42,FALSE)</f>
        <v>#N/A</v>
      </c>
      <c r="L126" s="4"/>
      <c r="M126" s="4"/>
    </row>
    <row r="127" spans="1:13" x14ac:dyDescent="0.2">
      <c r="C127" s="123"/>
      <c r="D127" s="52"/>
      <c r="E127" s="38"/>
      <c r="F127" s="52"/>
      <c r="G127" s="38"/>
      <c r="H127" s="52"/>
      <c r="I127" s="52"/>
      <c r="J127" s="40"/>
    </row>
    <row r="129" spans="1:13" ht="21.2" customHeight="1" x14ac:dyDescent="0.2">
      <c r="A129" s="100"/>
      <c r="C129" s="61" t="e">
        <f>"Table "&amp;L129&amp;". Ratio "&amp;LEFT(M129,FIND("/",M129)-1)&amp;":5."&amp;"  Secondary: "&amp;K129</f>
        <v>#N/A</v>
      </c>
      <c r="D129" s="18"/>
      <c r="E129" s="18"/>
      <c r="F129" s="18"/>
      <c r="G129" s="18"/>
      <c r="H129" s="10"/>
      <c r="I129" s="10"/>
      <c r="J129" s="11"/>
      <c r="K129" s="98" t="e">
        <f>VLOOKUP($A129+1,'5 A data'!$A$2:$AW$259,2,FALSE)</f>
        <v>#N/A</v>
      </c>
      <c r="L129" s="100"/>
      <c r="M129" s="98" t="e">
        <f>VLOOKUP($A129,'5 A calc'!$A$2:$AR$172,4,FALSE)</f>
        <v>#N/A</v>
      </c>
    </row>
    <row r="130" spans="1:13" ht="21.2" customHeight="1" x14ac:dyDescent="0.2">
      <c r="A130" s="69"/>
      <c r="C130" s="12"/>
      <c r="D130" s="13"/>
      <c r="E130" s="541" t="s">
        <v>19</v>
      </c>
      <c r="F130" s="542"/>
      <c r="G130" s="541" t="s">
        <v>20</v>
      </c>
      <c r="H130" s="542"/>
      <c r="I130" s="543" t="s">
        <v>8</v>
      </c>
      <c r="J130" s="544"/>
      <c r="L130" s="68"/>
    </row>
    <row r="131" spans="1:13" ht="51" x14ac:dyDescent="0.2">
      <c r="A131" s="69"/>
      <c r="C131" s="12" t="s">
        <v>170</v>
      </c>
      <c r="D131" s="54" t="s">
        <v>242</v>
      </c>
      <c r="E131" s="54" t="s">
        <v>295</v>
      </c>
      <c r="F131" s="13" t="s">
        <v>240</v>
      </c>
      <c r="G131" s="54" t="s">
        <v>295</v>
      </c>
      <c r="H131" s="13" t="s">
        <v>240</v>
      </c>
      <c r="I131" s="54" t="s">
        <v>159</v>
      </c>
      <c r="J131" s="13" t="s">
        <v>160</v>
      </c>
      <c r="L131" s="158"/>
      <c r="M131" s="158"/>
    </row>
    <row r="132" spans="1:13" x14ac:dyDescent="0.2">
      <c r="A132" s="100"/>
      <c r="C132" s="53">
        <f t="shared" ref="C132:C137" si="14">high_burden</f>
        <v>0.2</v>
      </c>
      <c r="D132" s="57" t="e">
        <f>VLOOKUP($A132,'5 A calc'!$A$2:$AR$203,4,FALSE)</f>
        <v>#N/A</v>
      </c>
      <c r="E132" s="393" t="e">
        <f>VLOOKUP($A132,'5 A calc'!$A$2:$AR$203,13,FALSE)</f>
        <v>#N/A</v>
      </c>
      <c r="F132" s="394" t="e">
        <f>VLOOKUP($A132,'5 A calc'!$A$2:$AR$203,14,FALSE)</f>
        <v>#N/A</v>
      </c>
      <c r="G132" s="393" t="e">
        <f>VLOOKUP($A132,'5 A calc'!$A$2:$AR$203,26,FALSE)*I132</f>
        <v>#N/A</v>
      </c>
      <c r="H132" s="394" t="e">
        <f>VLOOKUP($A132,'5 A calc'!$A$2:$AR$203,40,FALSE)*J132</f>
        <v>#N/A</v>
      </c>
      <c r="I132" s="56" t="e">
        <f>VLOOKUP($A132,'5 A calc'!$A$2:$AR$203,28,FALSE)</f>
        <v>#N/A</v>
      </c>
      <c r="J132" s="49" t="e">
        <f>VLOOKUP($A132,'5 A calc'!$A$2:$AR$203,42,FALSE)</f>
        <v>#N/A</v>
      </c>
      <c r="L132" s="4"/>
      <c r="M132" s="4"/>
    </row>
    <row r="133" spans="1:13" x14ac:dyDescent="0.2">
      <c r="A133" s="100"/>
      <c r="C133" s="53">
        <f t="shared" si="14"/>
        <v>0.2</v>
      </c>
      <c r="D133" s="57" t="e">
        <f>VLOOKUP($A133,'5 A calc'!$A$2:$AR$203,4,FALSE)</f>
        <v>#N/A</v>
      </c>
      <c r="E133" s="393" t="e">
        <f>VLOOKUP($A133,'5 A calc'!$A$2:$AR$203,13,FALSE)</f>
        <v>#N/A</v>
      </c>
      <c r="F133" s="394" t="e">
        <f>VLOOKUP($A133,'5 A calc'!$A$2:$AR$203,14,FALSE)</f>
        <v>#N/A</v>
      </c>
      <c r="G133" s="393" t="e">
        <f>VLOOKUP($A133,'5 A calc'!$A$2:$AR$203,26,FALSE)*I133</f>
        <v>#N/A</v>
      </c>
      <c r="H133" s="394" t="e">
        <f>VLOOKUP($A133,'5 A calc'!$A$2:$AR$203,40,FALSE)*J133</f>
        <v>#N/A</v>
      </c>
      <c r="I133" s="56" t="e">
        <f>VLOOKUP($A133,'5 A calc'!$A$2:$AR$203,28,FALSE)</f>
        <v>#N/A</v>
      </c>
      <c r="J133" s="49" t="e">
        <f>VLOOKUP($A133,'5 A calc'!$A$2:$AR$203,42,FALSE)</f>
        <v>#N/A</v>
      </c>
      <c r="L133" s="4"/>
      <c r="M133" s="4"/>
    </row>
    <row r="134" spans="1:13" x14ac:dyDescent="0.2">
      <c r="A134" s="100"/>
      <c r="C134" s="53">
        <f t="shared" si="14"/>
        <v>0.2</v>
      </c>
      <c r="D134" s="57" t="e">
        <f>VLOOKUP($A134,'5 A calc'!$A$2:$AR$203,4,FALSE)</f>
        <v>#N/A</v>
      </c>
      <c r="E134" s="393" t="e">
        <f>VLOOKUP($A134,'5 A calc'!$A$2:$AR$203,13,FALSE)</f>
        <v>#N/A</v>
      </c>
      <c r="F134" s="394" t="e">
        <f>VLOOKUP($A134,'5 A calc'!$A$2:$AR$203,14,FALSE)</f>
        <v>#N/A</v>
      </c>
      <c r="G134" s="393" t="e">
        <f>VLOOKUP($A134,'5 A calc'!$A$2:$AR$203,26,FALSE)*I134</f>
        <v>#N/A</v>
      </c>
      <c r="H134" s="394" t="e">
        <f>VLOOKUP($A134,'5 A calc'!$A$2:$AR$203,40,FALSE)*J134</f>
        <v>#N/A</v>
      </c>
      <c r="I134" s="56" t="e">
        <f>VLOOKUP($A134,'5 A calc'!$A$2:$AR$203,28,FALSE)</f>
        <v>#N/A</v>
      </c>
      <c r="J134" s="49" t="e">
        <f>VLOOKUP($A134,'5 A calc'!$A$2:$AR$203,42,FALSE)</f>
        <v>#N/A</v>
      </c>
      <c r="L134" s="4"/>
      <c r="M134" s="4"/>
    </row>
    <row r="135" spans="1:13" x14ac:dyDescent="0.2">
      <c r="A135" s="100"/>
      <c r="C135" s="53">
        <f t="shared" si="14"/>
        <v>0.2</v>
      </c>
      <c r="D135" s="57" t="e">
        <f>VLOOKUP($A135,'5 A calc'!$A$2:$AR$203,4,FALSE)</f>
        <v>#N/A</v>
      </c>
      <c r="E135" s="393" t="e">
        <f>VLOOKUP($A135,'5 A calc'!$A$2:$AR$203,13,FALSE)</f>
        <v>#N/A</v>
      </c>
      <c r="F135" s="394" t="e">
        <f>VLOOKUP($A135,'5 A calc'!$A$2:$AR$203,14,FALSE)</f>
        <v>#N/A</v>
      </c>
      <c r="G135" s="393" t="e">
        <f>VLOOKUP($A135,'5 A calc'!$A$2:$AR$203,26,FALSE)*I135</f>
        <v>#N/A</v>
      </c>
      <c r="H135" s="394" t="e">
        <f>VLOOKUP($A135,'5 A calc'!$A$2:$AR$203,40,FALSE)*J135</f>
        <v>#N/A</v>
      </c>
      <c r="I135" s="56" t="e">
        <f>VLOOKUP($A135,'5 A calc'!$A$2:$AR$203,28,FALSE)</f>
        <v>#N/A</v>
      </c>
      <c r="J135" s="49" t="e">
        <f>VLOOKUP($A135,'5 A calc'!$A$2:$AR$203,42,FALSE)</f>
        <v>#N/A</v>
      </c>
      <c r="L135" s="4"/>
      <c r="M135" s="4"/>
    </row>
    <row r="136" spans="1:13" x14ac:dyDescent="0.2">
      <c r="A136" s="100"/>
      <c r="C136" s="53">
        <f t="shared" si="14"/>
        <v>0.2</v>
      </c>
      <c r="D136" s="51" t="e">
        <f>VLOOKUP($A136,'5 A calc'!$A$2:$AR$203,4,FALSE)</f>
        <v>#N/A</v>
      </c>
      <c r="E136" s="393" t="e">
        <f>VLOOKUP($A136,'5 A calc'!$A$2:$AR$203,13,FALSE)</f>
        <v>#N/A</v>
      </c>
      <c r="F136" s="394" t="e">
        <f>VLOOKUP($A136,'5 A calc'!$A$2:$AR$203,14,FALSE)</f>
        <v>#N/A</v>
      </c>
      <c r="G136" s="393" t="e">
        <f>VLOOKUP($A136,'5 A calc'!$A$2:$AR$203,26,FALSE)*I136</f>
        <v>#N/A</v>
      </c>
      <c r="H136" s="394" t="e">
        <f>VLOOKUP($A136,'5 A calc'!$A$2:$AR$203,40,FALSE)*J136</f>
        <v>#N/A</v>
      </c>
      <c r="I136" s="56" t="e">
        <f>VLOOKUP($A136,'5 A calc'!$A$2:$AR$203,28,FALSE)</f>
        <v>#N/A</v>
      </c>
      <c r="J136" s="49" t="e">
        <f>VLOOKUP($A136,'5 A calc'!$A$2:$AR$203,42,FALSE)</f>
        <v>#N/A</v>
      </c>
      <c r="L136" s="4"/>
      <c r="M136" s="4"/>
    </row>
    <row r="137" spans="1:13" x14ac:dyDescent="0.2">
      <c r="A137" s="100"/>
      <c r="C137" s="53">
        <f t="shared" si="14"/>
        <v>0.2</v>
      </c>
      <c r="D137" s="51" t="e">
        <f>VLOOKUP($A137,'5 A calc'!$A$2:$AR$203,4,FALSE)</f>
        <v>#N/A</v>
      </c>
      <c r="E137" s="393" t="e">
        <f>VLOOKUP($A137,'5 A calc'!$A$2:$AR$203,13,FALSE)</f>
        <v>#N/A</v>
      </c>
      <c r="F137" s="394" t="e">
        <f>VLOOKUP($A137,'5 A calc'!$A$2:$AR$203,14,FALSE)</f>
        <v>#N/A</v>
      </c>
      <c r="G137" s="393" t="e">
        <f>VLOOKUP($A137,'5 A calc'!$A$2:$AR$203,26,FALSE)*I137</f>
        <v>#N/A</v>
      </c>
      <c r="H137" s="394" t="e">
        <f>VLOOKUP($A137,'5 A calc'!$A$2:$AR$203,40,FALSE)*J137</f>
        <v>#N/A</v>
      </c>
      <c r="I137" s="56" t="e">
        <f>VLOOKUP($A137,'5 A calc'!$A$2:$AR$203,28,FALSE)</f>
        <v>#N/A</v>
      </c>
      <c r="J137" s="49" t="e">
        <f>VLOOKUP($A137,'5 A calc'!$A$2:$AR$203,42,FALSE)</f>
        <v>#N/A</v>
      </c>
      <c r="L137" s="4"/>
      <c r="M137" s="4"/>
    </row>
    <row r="138" spans="1:13" x14ac:dyDescent="0.2">
      <c r="A138" s="69"/>
      <c r="C138" s="122"/>
      <c r="D138" s="116"/>
      <c r="E138" s="395"/>
      <c r="F138" s="396"/>
      <c r="G138" s="395"/>
      <c r="H138" s="396"/>
      <c r="I138" s="119"/>
      <c r="J138" s="120"/>
      <c r="L138" s="4"/>
      <c r="M138" s="4"/>
    </row>
    <row r="139" spans="1:13" x14ac:dyDescent="0.2">
      <c r="A139" s="100"/>
      <c r="C139" s="53">
        <f t="shared" ref="C139:C144" si="15">low__burden</f>
        <v>0</v>
      </c>
      <c r="D139" s="51" t="e">
        <f>VLOOKUP($A139,'5 A calc'!$A$2:$AR$203,4,FALSE)</f>
        <v>#N/A</v>
      </c>
      <c r="E139" s="393" t="e">
        <f>VLOOKUP($A139,'5 A calc'!$A$2:$AR$203,13,FALSE)</f>
        <v>#N/A</v>
      </c>
      <c r="F139" s="394" t="e">
        <f>VLOOKUP($A139,'5 A calc'!$A$2:$AR$203,14,FALSE)</f>
        <v>#N/A</v>
      </c>
      <c r="G139" s="393" t="e">
        <f>VLOOKUP($A139,'5 A calc'!$A$2:$AR$203,26,FALSE)*I139</f>
        <v>#N/A</v>
      </c>
      <c r="H139" s="394" t="e">
        <f>VLOOKUP($A139,'5 A calc'!$A$2:$AR$203,40,FALSE)*J139</f>
        <v>#N/A</v>
      </c>
      <c r="I139" s="56" t="e">
        <f>VLOOKUP($A139,'5 A calc'!$A$2:$AR$203,28,FALSE)</f>
        <v>#N/A</v>
      </c>
      <c r="J139" s="49" t="e">
        <f>VLOOKUP($A139,'5 A calc'!$A$2:$AR$203,42,FALSE)</f>
        <v>#N/A</v>
      </c>
      <c r="L139" s="4"/>
      <c r="M139" s="4"/>
    </row>
    <row r="140" spans="1:13" x14ac:dyDescent="0.2">
      <c r="A140" s="100"/>
      <c r="C140" s="53">
        <f t="shared" si="15"/>
        <v>0</v>
      </c>
      <c r="D140" s="51" t="e">
        <f>VLOOKUP($A140,'5 A calc'!$A$2:$AR$203,4,FALSE)</f>
        <v>#N/A</v>
      </c>
      <c r="E140" s="393" t="e">
        <f>VLOOKUP($A140,'5 A calc'!$A$2:$AR$203,13,FALSE)</f>
        <v>#N/A</v>
      </c>
      <c r="F140" s="394" t="e">
        <f>VLOOKUP($A140,'5 A calc'!$A$2:$AR$203,14,FALSE)</f>
        <v>#N/A</v>
      </c>
      <c r="G140" s="393" t="e">
        <f>VLOOKUP($A140,'5 A calc'!$A$2:$AR$203,26,FALSE)*I140</f>
        <v>#N/A</v>
      </c>
      <c r="H140" s="394" t="e">
        <f>VLOOKUP($A140,'5 A calc'!$A$2:$AR$203,40,FALSE)*J140</f>
        <v>#N/A</v>
      </c>
      <c r="I140" s="56" t="e">
        <f>VLOOKUP($A140,'5 A calc'!$A$2:$AR$203,28,FALSE)</f>
        <v>#N/A</v>
      </c>
      <c r="J140" s="49" t="e">
        <f>VLOOKUP($A140,'5 A calc'!$A$2:$AR$203,42,FALSE)</f>
        <v>#N/A</v>
      </c>
      <c r="L140" s="4"/>
      <c r="M140" s="4"/>
    </row>
    <row r="141" spans="1:13" x14ac:dyDescent="0.2">
      <c r="A141" s="100"/>
      <c r="C141" s="53">
        <f t="shared" si="15"/>
        <v>0</v>
      </c>
      <c r="D141" s="51" t="e">
        <f>VLOOKUP($A141,'5 A calc'!$A$2:$AR$203,4,FALSE)</f>
        <v>#N/A</v>
      </c>
      <c r="E141" s="393" t="e">
        <f>VLOOKUP($A141,'5 A calc'!$A$2:$AR$203,13,FALSE)</f>
        <v>#N/A</v>
      </c>
      <c r="F141" s="394" t="e">
        <f>VLOOKUP($A141,'5 A calc'!$A$2:$AR$203,14,FALSE)</f>
        <v>#N/A</v>
      </c>
      <c r="G141" s="393" t="e">
        <f>VLOOKUP($A141,'5 A calc'!$A$2:$AR$203,26,FALSE)*I141</f>
        <v>#N/A</v>
      </c>
      <c r="H141" s="394" t="e">
        <f>VLOOKUP($A141,'5 A calc'!$A$2:$AR$203,40,FALSE)*J141</f>
        <v>#N/A</v>
      </c>
      <c r="I141" s="56" t="e">
        <f>VLOOKUP($A141,'5 A calc'!$A$2:$AR$203,28,FALSE)</f>
        <v>#N/A</v>
      </c>
      <c r="J141" s="49" t="e">
        <f>VLOOKUP($A141,'5 A calc'!$A$2:$AR$203,42,FALSE)</f>
        <v>#N/A</v>
      </c>
      <c r="L141" s="4"/>
      <c r="M141" s="4"/>
    </row>
    <row r="142" spans="1:13" x14ac:dyDescent="0.2">
      <c r="A142" s="100"/>
      <c r="C142" s="53">
        <f t="shared" si="15"/>
        <v>0</v>
      </c>
      <c r="D142" s="51" t="e">
        <f>VLOOKUP($A142,'5 A calc'!$A$2:$AR$203,4,FALSE)</f>
        <v>#N/A</v>
      </c>
      <c r="E142" s="393" t="e">
        <f>VLOOKUP($A142,'5 A calc'!$A$2:$AR$203,13,FALSE)</f>
        <v>#N/A</v>
      </c>
      <c r="F142" s="394" t="e">
        <f>VLOOKUP($A142,'5 A calc'!$A$2:$AR$203,14,FALSE)</f>
        <v>#N/A</v>
      </c>
      <c r="G142" s="393" t="e">
        <f>VLOOKUP($A142,'5 A calc'!$A$2:$AR$203,26,FALSE)*I142</f>
        <v>#N/A</v>
      </c>
      <c r="H142" s="394" t="e">
        <f>VLOOKUP($A142,'5 A calc'!$A$2:$AR$203,40,FALSE)*J142</f>
        <v>#N/A</v>
      </c>
      <c r="I142" s="56" t="e">
        <f>VLOOKUP($A142,'5 A calc'!$A$2:$AR$203,28,FALSE)</f>
        <v>#N/A</v>
      </c>
      <c r="J142" s="49" t="e">
        <f>VLOOKUP($A142,'5 A calc'!$A$2:$AR$203,42,FALSE)</f>
        <v>#N/A</v>
      </c>
      <c r="L142" s="4"/>
      <c r="M142" s="4"/>
    </row>
    <row r="143" spans="1:13" x14ac:dyDescent="0.2">
      <c r="A143" s="100"/>
      <c r="C143" s="53">
        <f t="shared" si="15"/>
        <v>0</v>
      </c>
      <c r="D143" s="51" t="e">
        <f>VLOOKUP($A143,'5 A calc'!$A$2:$AR$203,4,FALSE)</f>
        <v>#N/A</v>
      </c>
      <c r="E143" s="393" t="e">
        <f>VLOOKUP($A143,'5 A calc'!$A$2:$AR$203,13,FALSE)</f>
        <v>#N/A</v>
      </c>
      <c r="F143" s="394" t="e">
        <f>VLOOKUP($A143,'5 A calc'!$A$2:$AR$203,14,FALSE)</f>
        <v>#N/A</v>
      </c>
      <c r="G143" s="393" t="e">
        <f>VLOOKUP($A143,'5 A calc'!$A$2:$AR$203,26,FALSE)*I143</f>
        <v>#N/A</v>
      </c>
      <c r="H143" s="394" t="e">
        <f>VLOOKUP($A143,'5 A calc'!$A$2:$AR$203,40,FALSE)*J143</f>
        <v>#N/A</v>
      </c>
      <c r="I143" s="56" t="e">
        <f>VLOOKUP($A143,'5 A calc'!$A$2:$AR$203,28,FALSE)</f>
        <v>#N/A</v>
      </c>
      <c r="J143" s="49" t="e">
        <f>VLOOKUP($A143,'5 A calc'!$A$2:$AR$203,42,FALSE)</f>
        <v>#N/A</v>
      </c>
      <c r="L143" s="4"/>
      <c r="M143" s="4"/>
    </row>
    <row r="144" spans="1:13" x14ac:dyDescent="0.2">
      <c r="A144" s="100"/>
      <c r="C144" s="53">
        <f t="shared" si="15"/>
        <v>0</v>
      </c>
      <c r="D144" s="51" t="e">
        <f>VLOOKUP($A144,'5 A calc'!$A$2:$AR$203,4,FALSE)</f>
        <v>#N/A</v>
      </c>
      <c r="E144" s="393" t="e">
        <f>VLOOKUP($A144,'5 A calc'!$A$2:$AR$203,13,FALSE)</f>
        <v>#N/A</v>
      </c>
      <c r="F144" s="394" t="e">
        <f>VLOOKUP($A144,'5 A calc'!$A$2:$AR$203,14,FALSE)</f>
        <v>#N/A</v>
      </c>
      <c r="G144" s="393" t="e">
        <f>VLOOKUP($A144,'5 A calc'!$A$2:$AR$203,26,FALSE)*I144</f>
        <v>#N/A</v>
      </c>
      <c r="H144" s="394" t="e">
        <f>VLOOKUP($A144,'5 A calc'!$A$2:$AR$203,40,FALSE)*J144</f>
        <v>#N/A</v>
      </c>
      <c r="I144" s="56" t="e">
        <f>VLOOKUP($A144,'5 A calc'!$A$2:$AR$203,28,FALSE)</f>
        <v>#N/A</v>
      </c>
      <c r="J144" s="49" t="e">
        <f>VLOOKUP($A144,'5 A calc'!$A$2:$AR$203,42,FALSE)</f>
        <v>#N/A</v>
      </c>
      <c r="L144" s="4"/>
      <c r="M144" s="4"/>
    </row>
    <row r="145" spans="1:13" x14ac:dyDescent="0.2">
      <c r="C145" s="39"/>
      <c r="D145" s="52"/>
      <c r="E145" s="38"/>
      <c r="F145" s="52"/>
      <c r="G145" s="38"/>
      <c r="H145" s="52"/>
      <c r="I145" s="52"/>
      <c r="J145" s="40"/>
    </row>
    <row r="147" spans="1:13" ht="21.2" customHeight="1" x14ac:dyDescent="0.2">
      <c r="A147" s="100"/>
      <c r="C147" s="61" t="e">
        <f>"Table "&amp;L147&amp;". Ratio "&amp;LEFT(M147,FIND("/",M147)-1)&amp;":5."&amp;"  Secondary: "&amp;K147</f>
        <v>#N/A</v>
      </c>
      <c r="D147" s="18"/>
      <c r="E147" s="18"/>
      <c r="F147" s="18"/>
      <c r="G147" s="18"/>
      <c r="H147" s="10"/>
      <c r="I147" s="10"/>
      <c r="J147" s="11"/>
      <c r="K147" s="98" t="e">
        <f>VLOOKUP($A147+1,'5 A data'!$A$2:$AW$259,2,FALSE)</f>
        <v>#N/A</v>
      </c>
      <c r="L147" s="100"/>
      <c r="M147" s="98" t="e">
        <f>VLOOKUP($A147,'5 A calc'!$A$2:$AR$172,4,FALSE)</f>
        <v>#N/A</v>
      </c>
    </row>
    <row r="148" spans="1:13" ht="21.2" customHeight="1" x14ac:dyDescent="0.2">
      <c r="A148" s="69"/>
      <c r="C148" s="12"/>
      <c r="D148" s="13"/>
      <c r="E148" s="541" t="s">
        <v>19</v>
      </c>
      <c r="F148" s="542"/>
      <c r="G148" s="541" t="s">
        <v>20</v>
      </c>
      <c r="H148" s="542"/>
      <c r="I148" s="543" t="s">
        <v>8</v>
      </c>
      <c r="J148" s="544"/>
      <c r="L148" s="68"/>
    </row>
    <row r="149" spans="1:13" ht="51" x14ac:dyDescent="0.2">
      <c r="A149" s="69"/>
      <c r="C149" s="12" t="s">
        <v>170</v>
      </c>
      <c r="D149" s="54" t="s">
        <v>242</v>
      </c>
      <c r="E149" s="54" t="s">
        <v>295</v>
      </c>
      <c r="F149" s="13" t="s">
        <v>240</v>
      </c>
      <c r="G149" s="54" t="s">
        <v>295</v>
      </c>
      <c r="H149" s="13" t="s">
        <v>240</v>
      </c>
      <c r="I149" s="54" t="s">
        <v>159</v>
      </c>
      <c r="J149" s="13" t="s">
        <v>160</v>
      </c>
      <c r="L149" s="158"/>
      <c r="M149" s="158"/>
    </row>
    <row r="150" spans="1:13" x14ac:dyDescent="0.2">
      <c r="A150" s="100"/>
      <c r="C150" s="53">
        <f t="shared" ref="C150:C156" si="16">high_burden</f>
        <v>0.2</v>
      </c>
      <c r="D150" s="57" t="e">
        <f>VLOOKUP($A150,'5 A calc'!$A$2:$AR$203,4,FALSE)</f>
        <v>#N/A</v>
      </c>
      <c r="E150" s="393" t="e">
        <f>VLOOKUP($A150,'5 A calc'!$A$2:$AR$203,13,FALSE)</f>
        <v>#N/A</v>
      </c>
      <c r="F150" s="394" t="e">
        <f>VLOOKUP($A150,'5 A calc'!$A$2:$AR$203,14,FALSE)</f>
        <v>#N/A</v>
      </c>
      <c r="G150" s="393" t="e">
        <f>VLOOKUP($A150,'5 A calc'!$A$2:$AR$203,26,FALSE)*I150</f>
        <v>#N/A</v>
      </c>
      <c r="H150" s="394" t="e">
        <f>VLOOKUP($A150,'5 A calc'!$A$2:$AR$203,40,FALSE)*J150</f>
        <v>#N/A</v>
      </c>
      <c r="I150" s="56" t="e">
        <f>VLOOKUP($A150,'5 A calc'!$A$2:$AR$203,28,FALSE)</f>
        <v>#N/A</v>
      </c>
      <c r="J150" s="49" t="e">
        <f>VLOOKUP($A150,'5 A calc'!$A$2:$AR$203,42,FALSE)</f>
        <v>#N/A</v>
      </c>
      <c r="L150" s="27"/>
      <c r="M150" s="27"/>
    </row>
    <row r="151" spans="1:13" x14ac:dyDescent="0.2">
      <c r="A151" s="100"/>
      <c r="C151" s="53">
        <f t="shared" si="16"/>
        <v>0.2</v>
      </c>
      <c r="D151" s="57" t="e">
        <f>VLOOKUP($A151,'5 A calc'!$A$2:$AR$203,4,FALSE)</f>
        <v>#N/A</v>
      </c>
      <c r="E151" s="393" t="e">
        <f>VLOOKUP($A151,'5 A calc'!$A$2:$AR$203,13,FALSE)</f>
        <v>#N/A</v>
      </c>
      <c r="F151" s="394" t="e">
        <f>VLOOKUP($A151,'5 A calc'!$A$2:$AR$203,14,FALSE)</f>
        <v>#N/A</v>
      </c>
      <c r="G151" s="393" t="e">
        <f>VLOOKUP($A151,'5 A calc'!$A$2:$AR$203,26,FALSE)*I151</f>
        <v>#N/A</v>
      </c>
      <c r="H151" s="394" t="e">
        <f>VLOOKUP($A151,'5 A calc'!$A$2:$AR$203,40,FALSE)*J151</f>
        <v>#N/A</v>
      </c>
      <c r="I151" s="56" t="e">
        <f>VLOOKUP($A151,'5 A calc'!$A$2:$AR$203,28,FALSE)</f>
        <v>#N/A</v>
      </c>
      <c r="J151" s="49" t="e">
        <f>VLOOKUP($A151,'5 A calc'!$A$2:$AR$203,42,FALSE)</f>
        <v>#N/A</v>
      </c>
      <c r="L151" s="27"/>
      <c r="M151" s="27"/>
    </row>
    <row r="152" spans="1:13" x14ac:dyDescent="0.2">
      <c r="A152" s="100"/>
      <c r="C152" s="53">
        <f t="shared" si="16"/>
        <v>0.2</v>
      </c>
      <c r="D152" s="57" t="e">
        <f>VLOOKUP($A152,'5 A calc'!$A$2:$AR$203,4,FALSE)</f>
        <v>#N/A</v>
      </c>
      <c r="E152" s="393" t="e">
        <f>VLOOKUP($A152,'5 A calc'!$A$2:$AR$203,13,FALSE)</f>
        <v>#N/A</v>
      </c>
      <c r="F152" s="394" t="e">
        <f>VLOOKUP($A152,'5 A calc'!$A$2:$AR$203,14,FALSE)</f>
        <v>#N/A</v>
      </c>
      <c r="G152" s="393" t="e">
        <f>VLOOKUP($A152,'5 A calc'!$A$2:$AR$203,26,FALSE)*I152</f>
        <v>#N/A</v>
      </c>
      <c r="H152" s="394" t="e">
        <f>VLOOKUP($A152,'5 A calc'!$A$2:$AR$203,40,FALSE)*J152</f>
        <v>#N/A</v>
      </c>
      <c r="I152" s="56" t="e">
        <f>VLOOKUP($A152,'5 A calc'!$A$2:$AR$203,28,FALSE)</f>
        <v>#N/A</v>
      </c>
      <c r="J152" s="49" t="e">
        <f>VLOOKUP($A152,'5 A calc'!$A$2:$AR$203,42,FALSE)</f>
        <v>#N/A</v>
      </c>
      <c r="L152" s="27"/>
      <c r="M152" s="27"/>
    </row>
    <row r="153" spans="1:13" x14ac:dyDescent="0.2">
      <c r="A153" s="100"/>
      <c r="C153" s="53">
        <f t="shared" si="16"/>
        <v>0.2</v>
      </c>
      <c r="D153" s="57" t="e">
        <f>VLOOKUP($A153,'5 A calc'!$A$2:$AR$203,4,FALSE)</f>
        <v>#N/A</v>
      </c>
      <c r="E153" s="393" t="e">
        <f>VLOOKUP($A153,'5 A calc'!$A$2:$AR$203,13,FALSE)</f>
        <v>#N/A</v>
      </c>
      <c r="F153" s="394" t="e">
        <f>VLOOKUP($A153,'5 A calc'!$A$2:$AR$203,14,FALSE)</f>
        <v>#N/A</v>
      </c>
      <c r="G153" s="393" t="e">
        <f>VLOOKUP($A153,'5 A calc'!$A$2:$AR$203,26,FALSE)*I153</f>
        <v>#N/A</v>
      </c>
      <c r="H153" s="394" t="e">
        <f>VLOOKUP($A153,'5 A calc'!$A$2:$AR$203,40,FALSE)*J153</f>
        <v>#N/A</v>
      </c>
      <c r="I153" s="56" t="e">
        <f>VLOOKUP($A153,'5 A calc'!$A$2:$AR$203,28,FALSE)</f>
        <v>#N/A</v>
      </c>
      <c r="J153" s="49" t="e">
        <f>VLOOKUP($A153,'5 A calc'!$A$2:$AR$203,42,FALSE)</f>
        <v>#N/A</v>
      </c>
      <c r="L153" s="27"/>
      <c r="M153" s="27"/>
    </row>
    <row r="154" spans="1:13" x14ac:dyDescent="0.2">
      <c r="A154" s="100"/>
      <c r="C154" s="53">
        <f t="shared" si="16"/>
        <v>0.2</v>
      </c>
      <c r="D154" s="51" t="e">
        <f>VLOOKUP($A154,'5 A calc'!$A$2:$AR$203,4,FALSE)</f>
        <v>#N/A</v>
      </c>
      <c r="E154" s="393" t="e">
        <f>VLOOKUP($A154,'5 A calc'!$A$2:$AR$203,13,FALSE)</f>
        <v>#N/A</v>
      </c>
      <c r="F154" s="394" t="e">
        <f>VLOOKUP($A154,'5 A calc'!$A$2:$AR$203,14,FALSE)</f>
        <v>#N/A</v>
      </c>
      <c r="G154" s="393" t="e">
        <f>VLOOKUP($A154,'5 A calc'!$A$2:$AR$203,26,FALSE)*I154</f>
        <v>#N/A</v>
      </c>
      <c r="H154" s="394" t="e">
        <f>VLOOKUP($A154,'5 A calc'!$A$2:$AR$203,40,FALSE)*J154</f>
        <v>#N/A</v>
      </c>
      <c r="I154" s="56" t="e">
        <f>VLOOKUP($A154,'5 A calc'!$A$2:$AR$203,28,FALSE)</f>
        <v>#N/A</v>
      </c>
      <c r="J154" s="49" t="e">
        <f>VLOOKUP($A154,'5 A calc'!$A$2:$AR$203,42,FALSE)</f>
        <v>#N/A</v>
      </c>
      <c r="L154" s="27"/>
      <c r="M154" s="27"/>
    </row>
    <row r="155" spans="1:13" x14ac:dyDescent="0.2">
      <c r="A155" s="100"/>
      <c r="C155" s="53">
        <f t="shared" si="16"/>
        <v>0.2</v>
      </c>
      <c r="D155" s="51" t="e">
        <f>VLOOKUP($A155,'5 A calc'!$A$2:$AR$203,4,FALSE)</f>
        <v>#N/A</v>
      </c>
      <c r="E155" s="393" t="e">
        <f>VLOOKUP($A155,'5 A calc'!$A$2:$AR$203,13,FALSE)</f>
        <v>#N/A</v>
      </c>
      <c r="F155" s="394" t="e">
        <f>VLOOKUP($A155,'5 A calc'!$A$2:$AR$203,14,FALSE)</f>
        <v>#N/A</v>
      </c>
      <c r="G155" s="393" t="e">
        <f>VLOOKUP($A155,'5 A calc'!$A$2:$AR$203,26,FALSE)*I155</f>
        <v>#N/A</v>
      </c>
      <c r="H155" s="394" t="e">
        <f>VLOOKUP($A155,'5 A calc'!$A$2:$AR$203,40,FALSE)*J155</f>
        <v>#N/A</v>
      </c>
      <c r="I155" s="56" t="e">
        <f>VLOOKUP($A155,'5 A calc'!$A$2:$AR$203,28,FALSE)</f>
        <v>#N/A</v>
      </c>
      <c r="J155" s="49" t="e">
        <f>VLOOKUP($A155,'5 A calc'!$A$2:$AR$203,42,FALSE)</f>
        <v>#N/A</v>
      </c>
      <c r="L155" s="27"/>
      <c r="M155" s="27"/>
    </row>
    <row r="156" spans="1:13" x14ac:dyDescent="0.2">
      <c r="A156" s="100"/>
      <c r="C156" s="53">
        <f t="shared" si="16"/>
        <v>0.2</v>
      </c>
      <c r="D156" s="51" t="e">
        <f>VLOOKUP($A156,'5 A calc'!$A$2:$AR$203,4,FALSE)</f>
        <v>#N/A</v>
      </c>
      <c r="E156" s="395" t="e">
        <f>VLOOKUP($A156,'5 A calc'!$A$2:$AR$203,13,FALSE)</f>
        <v>#N/A</v>
      </c>
      <c r="F156" s="396" t="e">
        <f>VLOOKUP($A156,'5 A calc'!$A$2:$AR$203,14,FALSE)</f>
        <v>#N/A</v>
      </c>
      <c r="G156" s="395" t="e">
        <f>VLOOKUP($A156,'5 A calc'!$A$2:$AR$203,26,FALSE)*I156</f>
        <v>#N/A</v>
      </c>
      <c r="H156" s="396" t="e">
        <f>VLOOKUP($A156,'5 A calc'!$A$2:$AR$203,40,FALSE)*J156</f>
        <v>#N/A</v>
      </c>
      <c r="I156" s="56" t="e">
        <f>VLOOKUP($A156,'5 A calc'!$A$2:$AR$203,28,FALSE)</f>
        <v>#N/A</v>
      </c>
      <c r="J156" s="49" t="e">
        <f>VLOOKUP($A156,'5 A calc'!$A$2:$AR$203,42,FALSE)</f>
        <v>#N/A</v>
      </c>
      <c r="L156" s="27"/>
      <c r="M156" s="27"/>
    </row>
    <row r="157" spans="1:13" x14ac:dyDescent="0.2">
      <c r="A157" s="69"/>
      <c r="C157" s="122"/>
      <c r="D157" s="116"/>
      <c r="E157" s="393"/>
      <c r="F157" s="394"/>
      <c r="G157" s="393"/>
      <c r="H157" s="394"/>
      <c r="I157" s="119"/>
      <c r="J157" s="120"/>
      <c r="L157" s="27"/>
      <c r="M157" s="27"/>
    </row>
    <row r="158" spans="1:13" x14ac:dyDescent="0.2">
      <c r="A158" s="100"/>
      <c r="C158" s="53">
        <f t="shared" ref="C158:C164" si="17">low__burden</f>
        <v>0</v>
      </c>
      <c r="D158" s="51" t="e">
        <f>VLOOKUP($A158,'5 A calc'!$A$2:$AR$203,4,FALSE)</f>
        <v>#N/A</v>
      </c>
      <c r="E158" s="393" t="e">
        <f>VLOOKUP($A158,'5 A calc'!$A$2:$AR$203,13,FALSE)</f>
        <v>#N/A</v>
      </c>
      <c r="F158" s="394" t="e">
        <f>VLOOKUP($A158,'5 A calc'!$A$2:$AR$203,14,FALSE)</f>
        <v>#N/A</v>
      </c>
      <c r="G158" s="393" t="e">
        <f>VLOOKUP($A158,'5 A calc'!$A$2:$AR$203,26,FALSE)*I158</f>
        <v>#N/A</v>
      </c>
      <c r="H158" s="394" t="e">
        <f>VLOOKUP($A158,'5 A calc'!$A$2:$AR$203,40,FALSE)*J158</f>
        <v>#N/A</v>
      </c>
      <c r="I158" s="56" t="e">
        <f>VLOOKUP($A158,'5 A calc'!$A$2:$AR$203,28,FALSE)</f>
        <v>#N/A</v>
      </c>
      <c r="J158" s="49" t="e">
        <f>VLOOKUP($A158,'5 A calc'!$A$2:$AR$203,42,FALSE)</f>
        <v>#N/A</v>
      </c>
      <c r="L158" s="27"/>
      <c r="M158" s="27"/>
    </row>
    <row r="159" spans="1:13" x14ac:dyDescent="0.2">
      <c r="A159" s="100"/>
      <c r="C159" s="53">
        <f t="shared" si="17"/>
        <v>0</v>
      </c>
      <c r="D159" s="51" t="e">
        <f>VLOOKUP($A159,'5 A calc'!$A$2:$AR$203,4,FALSE)</f>
        <v>#N/A</v>
      </c>
      <c r="E159" s="393" t="e">
        <f>VLOOKUP($A159,'5 A calc'!$A$2:$AR$203,13,FALSE)</f>
        <v>#N/A</v>
      </c>
      <c r="F159" s="394" t="e">
        <f>VLOOKUP($A159,'5 A calc'!$A$2:$AR$203,14,FALSE)</f>
        <v>#N/A</v>
      </c>
      <c r="G159" s="393" t="e">
        <f>VLOOKUP($A159,'5 A calc'!$A$2:$AR$203,26,FALSE)*I159</f>
        <v>#N/A</v>
      </c>
      <c r="H159" s="394" t="e">
        <f>VLOOKUP($A159,'5 A calc'!$A$2:$AR$203,40,FALSE)*J159</f>
        <v>#N/A</v>
      </c>
      <c r="I159" s="56" t="e">
        <f>VLOOKUP($A159,'5 A calc'!$A$2:$AR$203,28,FALSE)</f>
        <v>#N/A</v>
      </c>
      <c r="J159" s="49" t="e">
        <f>VLOOKUP($A159,'5 A calc'!$A$2:$AR$203,42,FALSE)</f>
        <v>#N/A</v>
      </c>
      <c r="L159" s="27"/>
      <c r="M159" s="27"/>
    </row>
    <row r="160" spans="1:13" x14ac:dyDescent="0.2">
      <c r="A160" s="100"/>
      <c r="C160" s="53">
        <f t="shared" si="17"/>
        <v>0</v>
      </c>
      <c r="D160" s="51" t="e">
        <f>VLOOKUP($A160,'5 A calc'!$A$2:$AR$203,4,FALSE)</f>
        <v>#N/A</v>
      </c>
      <c r="E160" s="393" t="e">
        <f>VLOOKUP($A160,'5 A calc'!$A$2:$AR$203,13,FALSE)</f>
        <v>#N/A</v>
      </c>
      <c r="F160" s="394" t="e">
        <f>VLOOKUP($A160,'5 A calc'!$A$2:$AR$203,14,FALSE)</f>
        <v>#N/A</v>
      </c>
      <c r="G160" s="393" t="e">
        <f>VLOOKUP($A160,'5 A calc'!$A$2:$AR$203,26,FALSE)*I160</f>
        <v>#N/A</v>
      </c>
      <c r="H160" s="394" t="e">
        <f>VLOOKUP($A160,'5 A calc'!$A$2:$AR$203,40,FALSE)*J160</f>
        <v>#N/A</v>
      </c>
      <c r="I160" s="56" t="e">
        <f>VLOOKUP($A160,'5 A calc'!$A$2:$AR$203,28,FALSE)</f>
        <v>#N/A</v>
      </c>
      <c r="J160" s="49" t="e">
        <f>VLOOKUP($A160,'5 A calc'!$A$2:$AR$203,42,FALSE)</f>
        <v>#N/A</v>
      </c>
      <c r="L160" s="27"/>
      <c r="M160" s="27"/>
    </row>
    <row r="161" spans="1:13" x14ac:dyDescent="0.2">
      <c r="A161" s="100"/>
      <c r="C161" s="53">
        <f t="shared" si="17"/>
        <v>0</v>
      </c>
      <c r="D161" s="51" t="e">
        <f>VLOOKUP($A161,'5 A calc'!$A$2:$AR$203,4,FALSE)</f>
        <v>#N/A</v>
      </c>
      <c r="E161" s="393" t="e">
        <f>VLOOKUP($A161,'5 A calc'!$A$2:$AR$203,13,FALSE)</f>
        <v>#N/A</v>
      </c>
      <c r="F161" s="394" t="e">
        <f>VLOOKUP($A161,'5 A calc'!$A$2:$AR$203,14,FALSE)</f>
        <v>#N/A</v>
      </c>
      <c r="G161" s="393" t="e">
        <f>VLOOKUP($A161,'5 A calc'!$A$2:$AR$203,26,FALSE)*I161</f>
        <v>#N/A</v>
      </c>
      <c r="H161" s="394" t="e">
        <f>VLOOKUP($A161,'5 A calc'!$A$2:$AR$203,40,FALSE)*J161</f>
        <v>#N/A</v>
      </c>
      <c r="I161" s="56" t="e">
        <f>VLOOKUP($A161,'5 A calc'!$A$2:$AR$203,28,FALSE)</f>
        <v>#N/A</v>
      </c>
      <c r="J161" s="49" t="e">
        <f>VLOOKUP($A161,'5 A calc'!$A$2:$AR$203,42,FALSE)</f>
        <v>#N/A</v>
      </c>
      <c r="L161" s="27"/>
      <c r="M161" s="27"/>
    </row>
    <row r="162" spans="1:13" x14ac:dyDescent="0.2">
      <c r="A162" s="100"/>
      <c r="C162" s="53">
        <f t="shared" si="17"/>
        <v>0</v>
      </c>
      <c r="D162" s="51" t="e">
        <f>VLOOKUP($A162,'5 A calc'!$A$2:$AR$203,4,FALSE)</f>
        <v>#N/A</v>
      </c>
      <c r="E162" s="393" t="e">
        <f>VLOOKUP($A162,'5 A calc'!$A$2:$AR$203,13,FALSE)</f>
        <v>#N/A</v>
      </c>
      <c r="F162" s="394" t="e">
        <f>VLOOKUP($A162,'5 A calc'!$A$2:$AR$203,14,FALSE)</f>
        <v>#N/A</v>
      </c>
      <c r="G162" s="393" t="e">
        <f>VLOOKUP($A162,'5 A calc'!$A$2:$AR$203,26,FALSE)*I162</f>
        <v>#N/A</v>
      </c>
      <c r="H162" s="394" t="e">
        <f>VLOOKUP($A162,'5 A calc'!$A$2:$AR$203,40,FALSE)*J162</f>
        <v>#N/A</v>
      </c>
      <c r="I162" s="56" t="e">
        <f>VLOOKUP($A162,'5 A calc'!$A$2:$AR$203,28,FALSE)</f>
        <v>#N/A</v>
      </c>
      <c r="J162" s="49" t="e">
        <f>VLOOKUP($A162,'5 A calc'!$A$2:$AR$203,42,FALSE)</f>
        <v>#N/A</v>
      </c>
      <c r="L162" s="27"/>
      <c r="M162" s="27"/>
    </row>
    <row r="163" spans="1:13" x14ac:dyDescent="0.2">
      <c r="A163" s="100"/>
      <c r="C163" s="53">
        <f t="shared" si="17"/>
        <v>0</v>
      </c>
      <c r="D163" s="51" t="e">
        <f>VLOOKUP($A163,'5 A calc'!$A$2:$AR$203,4,FALSE)</f>
        <v>#N/A</v>
      </c>
      <c r="E163" s="393" t="e">
        <f>VLOOKUP($A163,'5 A calc'!$A$2:$AR$203,13,FALSE)</f>
        <v>#N/A</v>
      </c>
      <c r="F163" s="394" t="e">
        <f>VLOOKUP($A163,'5 A calc'!$A$2:$AR$203,14,FALSE)</f>
        <v>#N/A</v>
      </c>
      <c r="G163" s="393" t="e">
        <f>VLOOKUP($A163,'5 A calc'!$A$2:$AR$203,26,FALSE)*I163</f>
        <v>#N/A</v>
      </c>
      <c r="H163" s="394" t="e">
        <f>VLOOKUP($A163,'5 A calc'!$A$2:$AR$203,40,FALSE)*J163</f>
        <v>#N/A</v>
      </c>
      <c r="I163" s="56" t="e">
        <f>VLOOKUP($A163,'5 A calc'!$A$2:$AR$203,28,FALSE)</f>
        <v>#N/A</v>
      </c>
      <c r="J163" s="49" t="e">
        <f>VLOOKUP($A163,'5 A calc'!$A$2:$AR$203,42,FALSE)</f>
        <v>#N/A</v>
      </c>
      <c r="L163" s="27"/>
      <c r="M163" s="27"/>
    </row>
    <row r="164" spans="1:13" x14ac:dyDescent="0.2">
      <c r="A164" s="100"/>
      <c r="C164" s="53">
        <f t="shared" si="17"/>
        <v>0</v>
      </c>
      <c r="D164" s="51" t="e">
        <f>VLOOKUP($A164,'5 A calc'!$A$2:$AR$203,4,FALSE)</f>
        <v>#N/A</v>
      </c>
      <c r="E164" s="393" t="e">
        <f>VLOOKUP($A164,'5 A calc'!$A$2:$AR$203,13,FALSE)</f>
        <v>#N/A</v>
      </c>
      <c r="F164" s="394" t="e">
        <f>VLOOKUP($A164,'5 A calc'!$A$2:$AR$203,14,FALSE)</f>
        <v>#N/A</v>
      </c>
      <c r="G164" s="393" t="e">
        <f>VLOOKUP($A164,'5 A calc'!$A$2:$AR$203,26,FALSE)*I164</f>
        <v>#N/A</v>
      </c>
      <c r="H164" s="394" t="e">
        <f>VLOOKUP($A164,'5 A calc'!$A$2:$AR$203,40,FALSE)*J164</f>
        <v>#N/A</v>
      </c>
      <c r="I164" s="56" t="e">
        <f>VLOOKUP($A164,'5 A calc'!$A$2:$AR$203,28,FALSE)</f>
        <v>#N/A</v>
      </c>
      <c r="J164" s="49" t="e">
        <f>VLOOKUP($A164,'5 A calc'!$A$2:$AR$203,42,FALSE)</f>
        <v>#N/A</v>
      </c>
      <c r="L164" s="27"/>
      <c r="M164" s="27"/>
    </row>
    <row r="165" spans="1:13" x14ac:dyDescent="0.2">
      <c r="C165" s="39"/>
      <c r="D165" s="52"/>
      <c r="E165" s="38"/>
      <c r="F165" s="52"/>
      <c r="G165" s="38"/>
      <c r="H165" s="52"/>
      <c r="I165" s="52"/>
      <c r="J165" s="40"/>
      <c r="L165" s="4"/>
      <c r="M165" s="4"/>
    </row>
    <row r="166" spans="1:13" x14ac:dyDescent="0.2">
      <c r="L166" s="4"/>
      <c r="M166" s="4"/>
    </row>
  </sheetData>
  <mergeCells count="27">
    <mergeCell ref="E148:F148"/>
    <mergeCell ref="G148:H148"/>
    <mergeCell ref="I148:J148"/>
    <mergeCell ref="E112:F112"/>
    <mergeCell ref="G112:H112"/>
    <mergeCell ref="I112:J112"/>
    <mergeCell ref="E130:F130"/>
    <mergeCell ref="G130:H130"/>
    <mergeCell ref="I130:J130"/>
    <mergeCell ref="E76:F76"/>
    <mergeCell ref="G76:H76"/>
    <mergeCell ref="I76:J76"/>
    <mergeCell ref="E94:F94"/>
    <mergeCell ref="G94:H94"/>
    <mergeCell ref="I94:J94"/>
    <mergeCell ref="E4:F4"/>
    <mergeCell ref="G4:H4"/>
    <mergeCell ref="I4:J4"/>
    <mergeCell ref="E22:F22"/>
    <mergeCell ref="G22:H22"/>
    <mergeCell ref="I22:J22"/>
    <mergeCell ref="E40:F40"/>
    <mergeCell ref="G40:H40"/>
    <mergeCell ref="I40:J40"/>
    <mergeCell ref="E58:F58"/>
    <mergeCell ref="G58:H58"/>
    <mergeCell ref="I58:J58"/>
  </mergeCells>
  <phoneticPr fontId="0" type="noConversion"/>
  <pageMargins left="0.75" right="0.75" top="1" bottom="1" header="0.5" footer="0.5"/>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71"/>
  <sheetViews>
    <sheetView topLeftCell="A7" zoomScale="75" workbookViewId="0">
      <selection activeCell="B45" sqref="B45"/>
    </sheetView>
  </sheetViews>
  <sheetFormatPr defaultRowHeight="12.75" x14ac:dyDescent="0.2"/>
  <cols>
    <col min="2" max="2" width="12.85546875" customWidth="1"/>
    <col min="3" max="3" width="12.42578125" bestFit="1" customWidth="1"/>
    <col min="6" max="6" width="10.7109375" customWidth="1"/>
    <col min="8" max="8" width="10.85546875" customWidth="1"/>
    <col min="10" max="10" width="10" customWidth="1"/>
  </cols>
  <sheetData>
    <row r="1" spans="1:14" x14ac:dyDescent="0.2">
      <c r="A1" s="69"/>
      <c r="B1" s="69"/>
    </row>
    <row r="2" spans="1:14" x14ac:dyDescent="0.2">
      <c r="B2" s="37" t="s">
        <v>48</v>
      </c>
      <c r="C2" s="10"/>
      <c r="D2" s="10"/>
      <c r="E2" s="10"/>
      <c r="F2" s="10"/>
      <c r="G2" s="10"/>
      <c r="H2" s="10"/>
      <c r="I2" s="10"/>
      <c r="J2" s="10"/>
      <c r="K2" s="10"/>
      <c r="L2" s="10"/>
      <c r="M2" s="10"/>
      <c r="N2" s="11"/>
    </row>
    <row r="3" spans="1:14" x14ac:dyDescent="0.2">
      <c r="B3" s="6"/>
      <c r="C3" s="7"/>
      <c r="D3" s="7"/>
      <c r="E3" s="7"/>
      <c r="F3" s="7" t="s">
        <v>71</v>
      </c>
      <c r="G3" s="126">
        <v>0.05</v>
      </c>
      <c r="H3" s="7"/>
      <c r="I3" s="7"/>
      <c r="J3" s="7"/>
      <c r="K3" s="7"/>
      <c r="L3" s="7"/>
      <c r="M3" s="7"/>
      <c r="N3" s="36"/>
    </row>
    <row r="4" spans="1:14" x14ac:dyDescent="0.2">
      <c r="B4" s="76"/>
      <c r="C4" s="7"/>
      <c r="D4" s="7"/>
      <c r="E4" s="7"/>
      <c r="F4" s="7"/>
      <c r="G4" s="7"/>
      <c r="H4" s="7"/>
      <c r="I4" s="7"/>
      <c r="J4" s="7"/>
      <c r="K4" s="7"/>
      <c r="L4" s="7" t="s">
        <v>21</v>
      </c>
      <c r="M4" s="7"/>
      <c r="N4" s="36"/>
    </row>
    <row r="5" spans="1:14" x14ac:dyDescent="0.2">
      <c r="B5" s="6" t="s">
        <v>22</v>
      </c>
      <c r="C5" s="7">
        <v>1E-3</v>
      </c>
      <c r="D5" s="7" t="s">
        <v>14</v>
      </c>
      <c r="E5" s="7"/>
      <c r="F5" s="7" t="s">
        <v>69</v>
      </c>
      <c r="G5" s="127">
        <v>0.2</v>
      </c>
      <c r="H5" s="7"/>
      <c r="I5" s="7"/>
      <c r="J5" s="34"/>
      <c r="K5" s="7"/>
      <c r="L5" s="7" t="s">
        <v>23</v>
      </c>
      <c r="M5" s="7">
        <v>0</v>
      </c>
      <c r="N5" s="36"/>
    </row>
    <row r="6" spans="1:14" x14ac:dyDescent="0.2">
      <c r="B6" s="6" t="s">
        <v>315</v>
      </c>
      <c r="C6" s="34">
        <f>Arnold!I40</f>
        <v>2.6179938779914945E-3</v>
      </c>
      <c r="D6" s="83" t="s">
        <v>314</v>
      </c>
      <c r="E6" s="83"/>
      <c r="F6" s="83"/>
      <c r="G6" s="83"/>
      <c r="H6" s="7"/>
      <c r="I6" s="7"/>
      <c r="J6" s="7"/>
      <c r="K6" s="7"/>
      <c r="L6" s="7" t="s">
        <v>24</v>
      </c>
      <c r="M6" s="7">
        <v>0</v>
      </c>
      <c r="N6" s="36"/>
    </row>
    <row r="7" spans="1:14" x14ac:dyDescent="0.2">
      <c r="B7" s="6" t="s">
        <v>25</v>
      </c>
      <c r="C7" s="7">
        <v>5.0000000000000001E-3</v>
      </c>
      <c r="D7" s="7" t="s">
        <v>16</v>
      </c>
      <c r="E7" s="7"/>
      <c r="F7" s="7" t="s">
        <v>26</v>
      </c>
      <c r="G7" s="7">
        <v>5.0000000000000001E-4</v>
      </c>
      <c r="H7" s="7"/>
      <c r="I7" s="16" t="s">
        <v>27</v>
      </c>
      <c r="J7" s="7">
        <v>5.0000000000000001E-4</v>
      </c>
      <c r="K7" s="7"/>
      <c r="L7" s="7"/>
      <c r="M7" s="7"/>
      <c r="N7" s="36"/>
    </row>
    <row r="8" spans="1:14" x14ac:dyDescent="0.2">
      <c r="B8" s="6" t="s">
        <v>317</v>
      </c>
      <c r="C8" s="370">
        <f>MAX(Arnold!I67,Arnold!I83)</f>
        <v>7.9586541431042205E-5</v>
      </c>
      <c r="D8" s="7" t="s">
        <v>319</v>
      </c>
      <c r="E8" s="7"/>
      <c r="F8" s="7"/>
      <c r="G8" s="7"/>
      <c r="H8" s="7"/>
      <c r="I8" s="7"/>
      <c r="J8" s="7"/>
      <c r="K8" s="7"/>
      <c r="L8" s="7"/>
      <c r="M8" s="7"/>
      <c r="N8" s="36"/>
    </row>
    <row r="9" spans="1:14" x14ac:dyDescent="0.2">
      <c r="B9" s="95" t="s">
        <v>318</v>
      </c>
      <c r="C9" s="377">
        <f>MAX(Arnold!J67,Arnold!J83)</f>
        <v>3.0721054737177446E-4</v>
      </c>
      <c r="D9" s="85" t="s">
        <v>45</v>
      </c>
      <c r="E9" s="38"/>
      <c r="F9" s="38"/>
      <c r="G9" s="38"/>
      <c r="H9" s="38"/>
      <c r="I9" s="38"/>
      <c r="J9" s="38"/>
      <c r="K9" s="38"/>
      <c r="L9" s="38"/>
      <c r="M9" s="38"/>
      <c r="N9" s="40"/>
    </row>
    <row r="12" spans="1:14" x14ac:dyDescent="0.2">
      <c r="B12" s="1" t="s">
        <v>333</v>
      </c>
    </row>
    <row r="14" spans="1:14" x14ac:dyDescent="0.2">
      <c r="B14" s="378" t="s">
        <v>335</v>
      </c>
      <c r="C14" s="378"/>
    </row>
    <row r="15" spans="1:14" x14ac:dyDescent="0.2">
      <c r="B15" t="s">
        <v>50</v>
      </c>
    </row>
    <row r="16" spans="1:14" x14ac:dyDescent="0.2">
      <c r="B16" t="s">
        <v>49</v>
      </c>
    </row>
    <row r="17" spans="2:11" x14ac:dyDescent="0.2">
      <c r="B17" t="s">
        <v>52</v>
      </c>
    </row>
    <row r="18" spans="2:11" x14ac:dyDescent="0.2">
      <c r="B18" s="379" t="s">
        <v>336</v>
      </c>
    </row>
    <row r="19" spans="2:11" x14ac:dyDescent="0.2">
      <c r="B19" t="s">
        <v>51</v>
      </c>
    </row>
    <row r="20" spans="2:11" x14ac:dyDescent="0.2">
      <c r="B20" t="s">
        <v>337</v>
      </c>
    </row>
    <row r="21" spans="2:11" x14ac:dyDescent="0.2">
      <c r="B21" s="379" t="s">
        <v>338</v>
      </c>
    </row>
    <row r="22" spans="2:11" x14ac:dyDescent="0.2">
      <c r="B22" t="s">
        <v>339</v>
      </c>
    </row>
    <row r="23" spans="2:11" x14ac:dyDescent="0.2">
      <c r="B23" s="379" t="s">
        <v>340</v>
      </c>
    </row>
    <row r="24" spans="2:11" x14ac:dyDescent="0.2">
      <c r="B24" t="s">
        <v>341</v>
      </c>
    </row>
    <row r="25" spans="2:11" x14ac:dyDescent="0.2">
      <c r="B25" s="379" t="s">
        <v>342</v>
      </c>
    </row>
    <row r="26" spans="2:11" x14ac:dyDescent="0.2">
      <c r="B26" t="s">
        <v>341</v>
      </c>
    </row>
    <row r="28" spans="2:11" x14ac:dyDescent="0.2">
      <c r="B28" s="1" t="s">
        <v>53</v>
      </c>
    </row>
    <row r="29" spans="2:11" x14ac:dyDescent="0.2">
      <c r="B29" t="s">
        <v>101</v>
      </c>
    </row>
    <row r="30" spans="2:11" x14ac:dyDescent="0.2">
      <c r="B30" t="s">
        <v>105</v>
      </c>
      <c r="K30" s="407">
        <v>2</v>
      </c>
    </row>
    <row r="31" spans="2:11" x14ac:dyDescent="0.2">
      <c r="B31" t="s">
        <v>106</v>
      </c>
      <c r="J31" s="44" t="s">
        <v>107</v>
      </c>
      <c r="K31" s="45">
        <f>0.5/(0.2)^2</f>
        <v>12.499999999999998</v>
      </c>
    </row>
    <row r="33" spans="2:16" x14ac:dyDescent="0.2">
      <c r="B33" s="1" t="s">
        <v>55</v>
      </c>
    </row>
    <row r="34" spans="2:16" x14ac:dyDescent="0.2">
      <c r="B34" s="43" t="s">
        <v>54</v>
      </c>
      <c r="C34" s="10" t="s">
        <v>14</v>
      </c>
      <c r="D34" s="11" t="s">
        <v>45</v>
      </c>
    </row>
    <row r="35" spans="2:16" x14ac:dyDescent="0.2">
      <c r="B35" s="93">
        <v>5</v>
      </c>
      <c r="C35" s="408">
        <f>'5 A data'!AD58/$K$30</f>
        <v>0</v>
      </c>
      <c r="D35" s="409">
        <f>'5 A data'!AE58/$K$30</f>
        <v>0</v>
      </c>
      <c r="E35" s="69"/>
      <c r="F35" s="69"/>
      <c r="G35" s="69"/>
      <c r="H35" s="4"/>
      <c r="I35" s="4"/>
      <c r="K35" s="4"/>
      <c r="L35" s="4"/>
      <c r="O35" s="4"/>
      <c r="P35" s="4"/>
    </row>
    <row r="36" spans="2:16" x14ac:dyDescent="0.2">
      <c r="B36" s="94">
        <v>10</v>
      </c>
      <c r="C36" s="410">
        <f>'5 A data'!AD59/$K$30</f>
        <v>0</v>
      </c>
      <c r="D36" s="411">
        <f>'5 A data'!AE59/$K$30</f>
        <v>0</v>
      </c>
      <c r="E36" s="69"/>
      <c r="F36" s="69"/>
      <c r="G36" s="69"/>
      <c r="H36" s="4"/>
      <c r="I36" s="4"/>
      <c r="K36" s="4"/>
      <c r="L36" s="4"/>
      <c r="O36" s="4"/>
      <c r="P36" s="4"/>
    </row>
    <row r="37" spans="2:16" x14ac:dyDescent="0.2">
      <c r="B37" s="94">
        <v>20</v>
      </c>
      <c r="C37" s="410">
        <f>'5 A data'!AD60/$K$30</f>
        <v>0</v>
      </c>
      <c r="D37" s="411">
        <f>'5 A data'!AE60/$K$30</f>
        <v>0</v>
      </c>
      <c r="E37" s="69"/>
      <c r="F37" s="69"/>
      <c r="G37" s="69"/>
      <c r="H37" s="4"/>
      <c r="I37" s="4"/>
      <c r="K37" s="4"/>
      <c r="L37" s="4"/>
      <c r="O37" s="4"/>
      <c r="P37" s="4"/>
    </row>
    <row r="38" spans="2:16" x14ac:dyDescent="0.2">
      <c r="B38" s="94">
        <v>40</v>
      </c>
      <c r="C38" s="410">
        <f>'5 A data'!AD61/$K$30</f>
        <v>0</v>
      </c>
      <c r="D38" s="411">
        <f>'5 A data'!AE61/$K$30</f>
        <v>0</v>
      </c>
      <c r="E38" s="69"/>
      <c r="F38" s="69"/>
      <c r="G38" s="69"/>
      <c r="H38" s="4"/>
      <c r="I38" s="4"/>
      <c r="K38" s="4"/>
      <c r="L38" s="4"/>
      <c r="O38" s="4"/>
      <c r="P38" s="4"/>
    </row>
    <row r="39" spans="2:16" x14ac:dyDescent="0.2">
      <c r="B39" s="94">
        <v>60</v>
      </c>
      <c r="C39" s="410">
        <f>'5 A data'!AD62/$K$30</f>
        <v>0</v>
      </c>
      <c r="D39" s="411">
        <f>'5 A data'!AE62/$K$30</f>
        <v>0</v>
      </c>
      <c r="E39" s="69"/>
      <c r="F39" s="69"/>
      <c r="G39" s="69"/>
      <c r="L39" s="4"/>
      <c r="O39" s="4"/>
      <c r="P39" s="4"/>
    </row>
    <row r="40" spans="2:16" x14ac:dyDescent="0.2">
      <c r="B40" s="94">
        <v>100</v>
      </c>
      <c r="C40" s="410">
        <f>'5 A data'!AD63/$K$30</f>
        <v>0</v>
      </c>
      <c r="D40" s="411">
        <f>'5 A data'!AE63/$K$30</f>
        <v>0</v>
      </c>
      <c r="E40" s="69"/>
      <c r="F40" s="69"/>
      <c r="G40" s="69"/>
      <c r="K40" s="4"/>
      <c r="L40" s="4"/>
      <c r="O40" s="4"/>
      <c r="P40" s="4"/>
    </row>
    <row r="41" spans="2:16" x14ac:dyDescent="0.2">
      <c r="B41" s="95">
        <v>120</v>
      </c>
      <c r="C41" s="412">
        <f>'5 A data'!AD64/$K$30</f>
        <v>0</v>
      </c>
      <c r="D41" s="413">
        <f>'5 A data'!AE64/$K$30</f>
        <v>0</v>
      </c>
      <c r="E41" s="69"/>
      <c r="F41" s="69"/>
      <c r="G41" s="69"/>
      <c r="H41" s="4"/>
      <c r="I41" s="4"/>
      <c r="K41" s="4"/>
      <c r="L41" s="4"/>
      <c r="O41" s="4"/>
      <c r="P41" s="4"/>
    </row>
    <row r="42" spans="2:16" x14ac:dyDescent="0.2">
      <c r="B42" s="41"/>
      <c r="C42" s="4"/>
      <c r="D42" s="4"/>
      <c r="H42" s="4"/>
      <c r="I42" s="4"/>
      <c r="K42" s="4"/>
      <c r="L42" s="4"/>
      <c r="O42" s="4"/>
      <c r="P42" s="4"/>
    </row>
    <row r="43" spans="2:16" x14ac:dyDescent="0.2">
      <c r="B43" s="1" t="s">
        <v>56</v>
      </c>
    </row>
    <row r="45" spans="2:16" x14ac:dyDescent="0.2">
      <c r="B45" t="s">
        <v>73</v>
      </c>
    </row>
    <row r="46" spans="2:16" x14ac:dyDescent="0.2">
      <c r="B46" t="s">
        <v>72</v>
      </c>
    </row>
    <row r="47" spans="2:16" x14ac:dyDescent="0.2">
      <c r="B47" t="s">
        <v>74</v>
      </c>
    </row>
    <row r="51" spans="2:10" x14ac:dyDescent="0.2">
      <c r="B51" s="1" t="s">
        <v>58</v>
      </c>
    </row>
    <row r="52" spans="2:10" x14ac:dyDescent="0.2">
      <c r="B52" s="46" t="s">
        <v>65</v>
      </c>
    </row>
    <row r="53" spans="2:10" x14ac:dyDescent="0.2">
      <c r="B53" t="s">
        <v>68</v>
      </c>
    </row>
    <row r="54" spans="2:10" x14ac:dyDescent="0.2">
      <c r="C54" t="s">
        <v>60</v>
      </c>
      <c r="E54" t="s">
        <v>61</v>
      </c>
      <c r="H54" t="s">
        <v>62</v>
      </c>
    </row>
    <row r="55" spans="2:10" x14ac:dyDescent="0.2">
      <c r="C55" t="s">
        <v>14</v>
      </c>
      <c r="D55" t="s">
        <v>59</v>
      </c>
      <c r="E55" t="s">
        <v>14</v>
      </c>
      <c r="F55" t="s">
        <v>59</v>
      </c>
      <c r="G55" t="s">
        <v>63</v>
      </c>
      <c r="H55" t="s">
        <v>14</v>
      </c>
      <c r="I55" t="s">
        <v>59</v>
      </c>
      <c r="J55" t="s">
        <v>45</v>
      </c>
    </row>
    <row r="56" spans="2:10" x14ac:dyDescent="0.2">
      <c r="B56">
        <v>5</v>
      </c>
      <c r="C56">
        <v>-0.29799999999999999</v>
      </c>
      <c r="D56">
        <v>15</v>
      </c>
      <c r="E56">
        <v>0.29199999999999998</v>
      </c>
      <c r="F56">
        <v>-14.5</v>
      </c>
      <c r="G56">
        <v>0.02</v>
      </c>
      <c r="H56" s="42">
        <f>0.5*(C56+E56)*G56</f>
        <v>-6.0000000000000056E-5</v>
      </c>
      <c r="I56">
        <f>0.5*(D56+F56)*G56</f>
        <v>5.0000000000000001E-3</v>
      </c>
      <c r="J56" s="42">
        <f>100*RADIANS(I56/60)</f>
        <v>1.4544410433286079E-4</v>
      </c>
    </row>
    <row r="57" spans="2:10" x14ac:dyDescent="0.2">
      <c r="B57">
        <v>10</v>
      </c>
      <c r="C57">
        <v>-0.27200000000000002</v>
      </c>
      <c r="D57">
        <v>11.9</v>
      </c>
      <c r="E57">
        <v>0.27</v>
      </c>
      <c r="F57">
        <v>-11.5</v>
      </c>
      <c r="G57">
        <v>0.02</v>
      </c>
      <c r="H57">
        <f t="shared" ref="H57:H62" si="0">0.5*(C57+E57)*G57</f>
        <v>-2.0000000000000019E-5</v>
      </c>
      <c r="I57">
        <f t="shared" ref="I57:I62" si="1">0.5*(D57+F57)*G57</f>
        <v>4.0000000000000036E-3</v>
      </c>
      <c r="J57" s="42">
        <f t="shared" ref="J57:J62" si="2">100*RADIANS(I57/60)</f>
        <v>1.1635528346628874E-4</v>
      </c>
    </row>
    <row r="58" spans="2:10" x14ac:dyDescent="0.2">
      <c r="B58">
        <v>20</v>
      </c>
      <c r="C58">
        <v>-0.26</v>
      </c>
      <c r="D58">
        <v>8.4</v>
      </c>
      <c r="E58">
        <v>0.25900000000000001</v>
      </c>
      <c r="F58">
        <v>-8.1999999999999993</v>
      </c>
      <c r="G58">
        <v>0.02</v>
      </c>
      <c r="H58">
        <f t="shared" si="0"/>
        <v>-1.0000000000000009E-5</v>
      </c>
      <c r="I58">
        <f t="shared" si="1"/>
        <v>2.0000000000000109E-3</v>
      </c>
      <c r="J58" s="42">
        <f t="shared" si="2"/>
        <v>5.817764173314464E-5</v>
      </c>
    </row>
    <row r="59" spans="2:10" x14ac:dyDescent="0.2">
      <c r="B59">
        <v>40</v>
      </c>
      <c r="C59">
        <v>-0.26200000000000001</v>
      </c>
      <c r="D59">
        <v>5.0999999999999996</v>
      </c>
      <c r="E59">
        <v>0.26200000000000001</v>
      </c>
      <c r="F59">
        <v>-4.5999999999999996</v>
      </c>
      <c r="G59">
        <v>0.02</v>
      </c>
      <c r="H59">
        <f t="shared" si="0"/>
        <v>0</v>
      </c>
      <c r="I59">
        <f t="shared" si="1"/>
        <v>5.0000000000000001E-3</v>
      </c>
      <c r="J59" s="42">
        <f t="shared" si="2"/>
        <v>1.4544410433286079E-4</v>
      </c>
    </row>
    <row r="60" spans="2:10" x14ac:dyDescent="0.2">
      <c r="B60">
        <v>60</v>
      </c>
      <c r="C60">
        <v>-0.26600000000000001</v>
      </c>
      <c r="D60">
        <v>2.8</v>
      </c>
      <c r="E60">
        <v>0.26500000000000001</v>
      </c>
      <c r="F60">
        <v>-2.4</v>
      </c>
      <c r="G60">
        <v>0.02</v>
      </c>
      <c r="H60">
        <f t="shared" si="0"/>
        <v>-1.0000000000000009E-5</v>
      </c>
      <c r="I60">
        <f t="shared" si="1"/>
        <v>3.9999999999999992E-3</v>
      </c>
      <c r="J60" s="42">
        <f t="shared" si="2"/>
        <v>1.1635528346628863E-4</v>
      </c>
    </row>
    <row r="61" spans="2:10" x14ac:dyDescent="0.2">
      <c r="B61">
        <v>100</v>
      </c>
      <c r="C61">
        <v>-0.26</v>
      </c>
      <c r="D61">
        <v>0</v>
      </c>
      <c r="E61">
        <v>0.25900000000000001</v>
      </c>
      <c r="F61">
        <v>0.6</v>
      </c>
      <c r="G61">
        <v>0.02</v>
      </c>
      <c r="H61">
        <f t="shared" si="0"/>
        <v>-1.0000000000000009E-5</v>
      </c>
      <c r="I61">
        <f t="shared" si="1"/>
        <v>6.0000000000000001E-3</v>
      </c>
      <c r="J61" s="42">
        <f t="shared" si="2"/>
        <v>1.7453292519943296E-4</v>
      </c>
    </row>
    <row r="62" spans="2:10" x14ac:dyDescent="0.2">
      <c r="B62">
        <v>120</v>
      </c>
      <c r="C62">
        <v>-0.25600000000000001</v>
      </c>
      <c r="D62">
        <v>-1.2</v>
      </c>
      <c r="E62">
        <v>0.255</v>
      </c>
      <c r="F62">
        <v>1.65</v>
      </c>
      <c r="G62">
        <v>0.02</v>
      </c>
      <c r="H62">
        <f t="shared" si="0"/>
        <v>-1.0000000000000009E-5</v>
      </c>
      <c r="I62">
        <f t="shared" si="1"/>
        <v>4.4999999999999997E-3</v>
      </c>
      <c r="J62" s="42">
        <f t="shared" si="2"/>
        <v>1.308996938995747E-4</v>
      </c>
    </row>
    <row r="63" spans="2:10" x14ac:dyDescent="0.2">
      <c r="G63" t="s">
        <v>64</v>
      </c>
      <c r="H63" s="42">
        <f>AVERAGE(H56:H62)</f>
        <v>-1.7142857142857162E-5</v>
      </c>
      <c r="J63" s="42">
        <f>AVERAGE(J56:J62)</f>
        <v>1.2674414806149303E-4</v>
      </c>
    </row>
    <row r="64" spans="2:10" x14ac:dyDescent="0.2">
      <c r="H64" s="46" t="s">
        <v>67</v>
      </c>
    </row>
    <row r="65" spans="1:14" x14ac:dyDescent="0.2">
      <c r="B65" t="s">
        <v>66</v>
      </c>
    </row>
    <row r="66" spans="1:14" x14ac:dyDescent="0.2">
      <c r="A66" s="160" t="s">
        <v>334</v>
      </c>
      <c r="B66" s="160"/>
      <c r="C66" s="160"/>
      <c r="D66" s="160"/>
      <c r="E66" s="160"/>
      <c r="F66" s="160"/>
      <c r="G66" s="160"/>
      <c r="H66" s="160"/>
      <c r="I66" s="160"/>
      <c r="J66" s="160"/>
      <c r="K66" s="160"/>
      <c r="L66" s="160"/>
      <c r="M66" s="160"/>
      <c r="N66" s="160"/>
    </row>
    <row r="69" spans="1:14" x14ac:dyDescent="0.2">
      <c r="B69" s="1" t="s">
        <v>75</v>
      </c>
    </row>
    <row r="70" spans="1:14" x14ac:dyDescent="0.2">
      <c r="B70" t="s">
        <v>76</v>
      </c>
    </row>
    <row r="71" spans="1:14" x14ac:dyDescent="0.2">
      <c r="B71" t="s">
        <v>77</v>
      </c>
    </row>
  </sheetData>
  <sheetProtection sheet="1" objects="1" scenarios="1"/>
  <phoneticPr fontId="0" type="noConversion"/>
  <pageMargins left="0.75" right="0.75" top="1" bottom="1" header="0.5" footer="0.5"/>
  <pageSetup paperSize="9"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V74"/>
  <sheetViews>
    <sheetView workbookViewId="0">
      <selection activeCell="B4" sqref="B4"/>
    </sheetView>
  </sheetViews>
  <sheetFormatPr defaultRowHeight="12.75" x14ac:dyDescent="0.2"/>
  <cols>
    <col min="1" max="1" width="14.42578125" customWidth="1"/>
    <col min="2" max="2" width="10.140625" bestFit="1" customWidth="1"/>
    <col min="4" max="4" width="14" customWidth="1"/>
    <col min="7" max="7" width="12.7109375" customWidth="1"/>
    <col min="11" max="11" width="10.42578125" customWidth="1"/>
    <col min="12" max="12" width="11" customWidth="1"/>
    <col min="14" max="14" width="11" customWidth="1"/>
    <col min="16" max="16" width="10.28515625" customWidth="1"/>
    <col min="19" max="19" width="10.28515625" customWidth="1"/>
  </cols>
  <sheetData>
    <row r="1" spans="1:22" x14ac:dyDescent="0.2">
      <c r="B1" s="414">
        <v>41352</v>
      </c>
      <c r="C1" s="415"/>
      <c r="D1" s="415"/>
      <c r="E1" s="415"/>
      <c r="F1" s="415"/>
      <c r="G1" s="415"/>
      <c r="H1" s="415"/>
      <c r="I1" s="415"/>
      <c r="J1" s="415"/>
      <c r="K1" s="415"/>
      <c r="L1" s="415"/>
      <c r="N1" s="291">
        <v>39409</v>
      </c>
    </row>
    <row r="2" spans="1:22" x14ac:dyDescent="0.2">
      <c r="B2" s="416" t="s">
        <v>437</v>
      </c>
      <c r="C2" s="415"/>
      <c r="D2" s="415"/>
      <c r="E2" s="415"/>
      <c r="F2" s="415"/>
      <c r="G2" s="415"/>
      <c r="H2" s="415"/>
      <c r="I2" s="415"/>
      <c r="J2" s="415"/>
      <c r="K2" s="415"/>
      <c r="L2" s="415"/>
      <c r="N2" s="1" t="s">
        <v>268</v>
      </c>
    </row>
    <row r="3" spans="1:22" x14ac:dyDescent="0.2">
      <c r="B3" s="416" t="s">
        <v>438</v>
      </c>
      <c r="C3" s="415"/>
      <c r="D3" s="415"/>
      <c r="E3" s="415"/>
      <c r="F3" s="415"/>
      <c r="G3" s="415"/>
      <c r="H3" s="415"/>
      <c r="I3" s="415"/>
      <c r="J3" s="415"/>
      <c r="K3" s="415"/>
      <c r="L3" s="415"/>
      <c r="N3" s="1" t="s">
        <v>269</v>
      </c>
    </row>
    <row r="4" spans="1:22" ht="13.5" thickBot="1" x14ac:dyDescent="0.25">
      <c r="B4" s="415"/>
      <c r="C4" s="415"/>
      <c r="D4" s="415"/>
      <c r="E4" s="415"/>
      <c r="F4" s="415"/>
      <c r="G4" s="415"/>
      <c r="H4" s="415"/>
      <c r="I4" s="415"/>
      <c r="J4" s="415"/>
      <c r="K4" s="415"/>
      <c r="L4" s="415"/>
    </row>
    <row r="5" spans="1:22" x14ac:dyDescent="0.2">
      <c r="B5" s="417" t="s">
        <v>246</v>
      </c>
      <c r="C5" s="418"/>
      <c r="D5" s="418"/>
      <c r="E5" s="418"/>
      <c r="F5" s="418"/>
      <c r="G5" s="418"/>
      <c r="H5" s="418"/>
      <c r="I5" s="418"/>
      <c r="J5" s="419"/>
      <c r="K5" s="415"/>
      <c r="L5" s="415"/>
      <c r="N5" s="264" t="s">
        <v>246</v>
      </c>
      <c r="O5" s="265"/>
      <c r="P5" s="265"/>
      <c r="Q5" s="265"/>
      <c r="R5" s="265"/>
      <c r="S5" s="265"/>
      <c r="T5" s="265"/>
      <c r="U5" s="265"/>
      <c r="V5" s="266"/>
    </row>
    <row r="6" spans="1:22" x14ac:dyDescent="0.2">
      <c r="B6" s="420" t="s">
        <v>247</v>
      </c>
      <c r="C6" s="421"/>
      <c r="D6" s="421"/>
      <c r="E6" s="421"/>
      <c r="F6" s="421"/>
      <c r="G6" s="421"/>
      <c r="H6" s="421"/>
      <c r="I6" s="421"/>
      <c r="J6" s="422"/>
      <c r="K6" s="415"/>
      <c r="L6" s="415"/>
      <c r="N6" s="267" t="s">
        <v>247</v>
      </c>
      <c r="O6" s="7"/>
      <c r="P6" s="7"/>
      <c r="Q6" s="7"/>
      <c r="R6" s="7"/>
      <c r="S6" s="7"/>
      <c r="T6" s="7"/>
      <c r="U6" s="7"/>
      <c r="V6" s="268"/>
    </row>
    <row r="7" spans="1:22" x14ac:dyDescent="0.2">
      <c r="B7" s="423"/>
      <c r="C7" s="424"/>
      <c r="D7" s="424"/>
      <c r="E7" s="424"/>
      <c r="F7" s="424"/>
      <c r="G7" s="424"/>
      <c r="H7" s="424"/>
      <c r="I7" s="424"/>
      <c r="J7" s="425"/>
      <c r="K7" s="415"/>
      <c r="L7" s="415"/>
      <c r="N7" s="257"/>
      <c r="O7" s="38"/>
      <c r="P7" s="38"/>
      <c r="Q7" s="38"/>
      <c r="R7" s="38"/>
      <c r="S7" s="38"/>
      <c r="T7" s="38"/>
      <c r="U7" s="38"/>
      <c r="V7" s="258"/>
    </row>
    <row r="8" spans="1:22" ht="29.25" customHeight="1" x14ac:dyDescent="0.2">
      <c r="B8" s="426" t="s">
        <v>248</v>
      </c>
      <c r="C8" s="547" t="s">
        <v>249</v>
      </c>
      <c r="D8" s="548"/>
      <c r="E8" s="549"/>
      <c r="F8" s="547" t="s">
        <v>250</v>
      </c>
      <c r="G8" s="548"/>
      <c r="H8" s="549"/>
      <c r="I8" s="547" t="s">
        <v>251</v>
      </c>
      <c r="J8" s="550"/>
      <c r="K8" s="415"/>
      <c r="L8" s="415"/>
      <c r="N8" s="259" t="s">
        <v>248</v>
      </c>
      <c r="O8" s="543" t="s">
        <v>249</v>
      </c>
      <c r="P8" s="545"/>
      <c r="Q8" s="544"/>
      <c r="R8" s="543" t="s">
        <v>250</v>
      </c>
      <c r="S8" s="545"/>
      <c r="T8" s="544"/>
      <c r="U8" s="543" t="s">
        <v>251</v>
      </c>
      <c r="V8" s="546"/>
    </row>
    <row r="9" spans="1:22" ht="51" x14ac:dyDescent="0.2">
      <c r="A9" s="2" t="s">
        <v>436</v>
      </c>
      <c r="B9" s="427" t="s">
        <v>252</v>
      </c>
      <c r="C9" s="428" t="s">
        <v>253</v>
      </c>
      <c r="D9" s="429" t="s">
        <v>254</v>
      </c>
      <c r="E9" s="430" t="s">
        <v>255</v>
      </c>
      <c r="F9" s="431" t="s">
        <v>256</v>
      </c>
      <c r="G9" s="432" t="s">
        <v>257</v>
      </c>
      <c r="H9" s="433" t="s">
        <v>255</v>
      </c>
      <c r="I9" s="432" t="s">
        <v>258</v>
      </c>
      <c r="J9" s="434" t="s">
        <v>259</v>
      </c>
      <c r="K9" s="415"/>
      <c r="L9" s="415"/>
      <c r="N9" s="260" t="s">
        <v>252</v>
      </c>
      <c r="O9" s="81" t="s">
        <v>253</v>
      </c>
      <c r="P9" s="15" t="s">
        <v>254</v>
      </c>
      <c r="Q9" s="261" t="s">
        <v>255</v>
      </c>
      <c r="R9" s="269" t="s">
        <v>256</v>
      </c>
      <c r="S9" s="270" t="s">
        <v>257</v>
      </c>
      <c r="T9" s="271" t="s">
        <v>255</v>
      </c>
      <c r="U9" s="270" t="s">
        <v>258</v>
      </c>
      <c r="V9" s="272" t="s">
        <v>259</v>
      </c>
    </row>
    <row r="10" spans="1:22" x14ac:dyDescent="0.2">
      <c r="A10" t="str">
        <f>"100/5"&amp;ROUND(B10,0)</f>
        <v>100/5120</v>
      </c>
      <c r="B10" s="435">
        <v>119.92134297999999</v>
      </c>
      <c r="C10" s="436">
        <v>0.20126165535041779</v>
      </c>
      <c r="D10" s="437">
        <v>1.2766894310575264E-2</v>
      </c>
      <c r="E10" s="438">
        <v>12.173132193972718</v>
      </c>
      <c r="F10" s="439">
        <v>0.18102636161788591</v>
      </c>
      <c r="G10" s="439">
        <v>1.0467477099078354E-2</v>
      </c>
      <c r="H10" s="438">
        <v>8.8251265473033751</v>
      </c>
      <c r="I10" s="439">
        <v>3.2786265184638536E-2</v>
      </c>
      <c r="J10" s="440">
        <v>1.9133546231955012E-2</v>
      </c>
      <c r="K10" s="415"/>
      <c r="L10" s="415"/>
      <c r="N10" s="273">
        <v>119.2789142</v>
      </c>
      <c r="O10" s="274">
        <v>0.18636193565663087</v>
      </c>
      <c r="P10" s="275">
        <v>1.269931215841958E-2</v>
      </c>
      <c r="Q10" s="276">
        <v>15.731361126682094</v>
      </c>
      <c r="R10" s="277">
        <v>0.16256752612189707</v>
      </c>
      <c r="S10" s="278">
        <v>9.4158317982308195E-3</v>
      </c>
      <c r="T10" s="276">
        <v>8.8365641277509219</v>
      </c>
      <c r="U10" s="277">
        <v>1.7886545490851613E-2</v>
      </c>
      <c r="V10" s="279">
        <v>6.7471073596617193E-4</v>
      </c>
    </row>
    <row r="11" spans="1:22" x14ac:dyDescent="0.2">
      <c r="A11" t="str">
        <f t="shared" ref="A11:A16" si="0">"100/5"&amp;ROUND(B11,0)</f>
        <v>100/5100</v>
      </c>
      <c r="B11" s="441">
        <v>100.12826708</v>
      </c>
      <c r="C11" s="442">
        <v>0.22128048997689495</v>
      </c>
      <c r="D11" s="439">
        <v>1.3546849067494931E-2</v>
      </c>
      <c r="E11" s="443">
        <v>10.756397034698242</v>
      </c>
      <c r="F11" s="439">
        <v>0.17953313928460707</v>
      </c>
      <c r="G11" s="439">
        <v>1.0267632645231395E-2</v>
      </c>
      <c r="H11" s="443">
        <v>8.4364098965200611</v>
      </c>
      <c r="I11" s="439">
        <v>3.2455024077032685E-2</v>
      </c>
      <c r="J11" s="440">
        <v>1.778274927863116E-2</v>
      </c>
      <c r="K11" s="415"/>
      <c r="L11" s="415"/>
      <c r="N11" s="280">
        <v>100.35614548000001</v>
      </c>
      <c r="O11" s="284">
        <v>0.20688727365950044</v>
      </c>
      <c r="P11" s="278">
        <v>1.2926330422008369E-2</v>
      </c>
      <c r="Q11" s="285">
        <v>11.523140437396391</v>
      </c>
      <c r="R11" s="277">
        <v>0.165146221197813</v>
      </c>
      <c r="S11" s="278">
        <v>9.5899254090069247E-3</v>
      </c>
      <c r="T11" s="285">
        <v>8.9227118572744022</v>
      </c>
      <c r="U11" s="277">
        <v>1.8061807759638171E-2</v>
      </c>
      <c r="V11" s="279">
        <v>3.3958311918370898E-3</v>
      </c>
    </row>
    <row r="12" spans="1:22" x14ac:dyDescent="0.2">
      <c r="A12" t="str">
        <f t="shared" si="0"/>
        <v>100/560</v>
      </c>
      <c r="B12" s="441">
        <v>60.003849412000001</v>
      </c>
      <c r="C12" s="442">
        <v>0.29400347632483392</v>
      </c>
      <c r="D12" s="439">
        <v>1.711188198348234E-2</v>
      </c>
      <c r="E12" s="443">
        <v>9.0199462307625531</v>
      </c>
      <c r="F12" s="439">
        <v>0.16541469617805926</v>
      </c>
      <c r="G12" s="439">
        <v>1.00058033038732E-2</v>
      </c>
      <c r="H12" s="443">
        <v>10.274536898846367</v>
      </c>
      <c r="I12" s="439">
        <v>4.5494995377368674E-2</v>
      </c>
      <c r="J12" s="440">
        <v>9.9112022339203631E-3</v>
      </c>
      <c r="K12" s="415"/>
      <c r="L12" s="415"/>
      <c r="N12" s="280">
        <v>59.881596995999999</v>
      </c>
      <c r="O12" s="284">
        <v>0.27748743353949917</v>
      </c>
      <c r="P12" s="278">
        <v>1.6354220370613643E-2</v>
      </c>
      <c r="Q12" s="285">
        <v>9.4445874345673317</v>
      </c>
      <c r="R12" s="277">
        <v>0.14925697234266666</v>
      </c>
      <c r="S12" s="278">
        <v>9.6672573798662117E-3</v>
      </c>
      <c r="T12" s="285">
        <v>13.185204570500515</v>
      </c>
      <c r="U12" s="277">
        <v>2.8978952592033924E-2</v>
      </c>
      <c r="V12" s="279">
        <v>-6.246521601472238E-3</v>
      </c>
    </row>
    <row r="13" spans="1:22" x14ac:dyDescent="0.2">
      <c r="A13" t="str">
        <f t="shared" si="0"/>
        <v>100/540</v>
      </c>
      <c r="B13" s="441">
        <v>40.068668876000004</v>
      </c>
      <c r="C13" s="442">
        <v>0.34251553607812396</v>
      </c>
      <c r="D13" s="439">
        <v>1.9774136538054859E-2</v>
      </c>
      <c r="E13" s="443">
        <v>8.7451624944821003</v>
      </c>
      <c r="F13" s="439">
        <v>0.16849323098037422</v>
      </c>
      <c r="G13" s="439">
        <v>1.0805079977628319E-2</v>
      </c>
      <c r="H13" s="443">
        <v>11.886085634802647</v>
      </c>
      <c r="I13" s="439">
        <v>5.2043138936169686E-2</v>
      </c>
      <c r="J13" s="440">
        <v>2.0660230186838213E-2</v>
      </c>
      <c r="K13" s="415"/>
      <c r="L13" s="415"/>
      <c r="N13" s="280">
        <v>39.95289416</v>
      </c>
      <c r="O13" s="284">
        <v>0.31794850411741338</v>
      </c>
      <c r="P13" s="278">
        <v>1.8816939014644641E-2</v>
      </c>
      <c r="Q13" s="285">
        <v>9.607611962223924</v>
      </c>
      <c r="R13" s="277">
        <v>0.14577999723061763</v>
      </c>
      <c r="S13" s="278">
        <v>9.8484097820177741E-3</v>
      </c>
      <c r="T13" s="285">
        <v>13.369270067580754</v>
      </c>
      <c r="U13" s="277">
        <v>2.7476106975459103E-2</v>
      </c>
      <c r="V13" s="279">
        <v>-2.0530035629183763E-3</v>
      </c>
    </row>
    <row r="14" spans="1:22" x14ac:dyDescent="0.2">
      <c r="A14" t="str">
        <f t="shared" si="0"/>
        <v>100/520</v>
      </c>
      <c r="B14" s="441">
        <v>20.073238814</v>
      </c>
      <c r="C14" s="442">
        <v>0.41300674578822555</v>
      </c>
      <c r="D14" s="439">
        <v>2.4696214593441009E-2</v>
      </c>
      <c r="E14" s="443">
        <v>9.6547910486505106</v>
      </c>
      <c r="F14" s="439">
        <v>0.16087079269678239</v>
      </c>
      <c r="G14" s="439">
        <v>1.4691428923935938E-2</v>
      </c>
      <c r="H14" s="443">
        <v>16.250658466480459</v>
      </c>
      <c r="I14" s="439">
        <v>6.9604927953682283E-2</v>
      </c>
      <c r="J14" s="440">
        <v>2.2763000489977786E-2</v>
      </c>
      <c r="K14" s="415"/>
      <c r="L14" s="415"/>
      <c r="N14" s="280">
        <v>20.410588654000001</v>
      </c>
      <c r="O14" s="284">
        <v>0.37309207469497901</v>
      </c>
      <c r="P14" s="278">
        <v>2.2925503101065014E-2</v>
      </c>
      <c r="Q14" s="285">
        <v>10.462095246720962</v>
      </c>
      <c r="R14" s="277">
        <v>0.1362867470648953</v>
      </c>
      <c r="S14" s="278">
        <v>1.3055721472424248E-2</v>
      </c>
      <c r="T14" s="285">
        <v>11.796039366954137</v>
      </c>
      <c r="U14" s="277">
        <v>2.9690256860435749E-2</v>
      </c>
      <c r="V14" s="279">
        <v>-1.821045141909311E-3</v>
      </c>
    </row>
    <row r="15" spans="1:22" x14ac:dyDescent="0.2">
      <c r="A15" t="str">
        <f t="shared" si="0"/>
        <v>100/510</v>
      </c>
      <c r="B15" s="441">
        <v>10.093327226</v>
      </c>
      <c r="C15" s="442">
        <v>0.46485664587527964</v>
      </c>
      <c r="D15" s="439">
        <v>3.3138465179335705E-2</v>
      </c>
      <c r="E15" s="443">
        <v>13.454865576571107</v>
      </c>
      <c r="F15" s="439">
        <v>0.13998090385502324</v>
      </c>
      <c r="G15" s="439">
        <v>2.1508674884639915E-2</v>
      </c>
      <c r="H15" s="443">
        <v>6.8317533094636156</v>
      </c>
      <c r="I15" s="439">
        <v>8.9383432544962393E-2</v>
      </c>
      <c r="J15" s="440">
        <v>5.8751696658241315E-3</v>
      </c>
      <c r="K15" s="415"/>
      <c r="L15" s="415"/>
      <c r="N15" s="280">
        <v>10.018823012</v>
      </c>
      <c r="O15" s="284">
        <v>0.41157445956753275</v>
      </c>
      <c r="P15" s="278">
        <v>3.2839924238253979E-2</v>
      </c>
      <c r="Q15" s="285">
        <v>16.862207691799512</v>
      </c>
      <c r="R15" s="277">
        <v>0.13445125490821078</v>
      </c>
      <c r="S15" s="278">
        <v>2.1944942280814006E-2</v>
      </c>
      <c r="T15" s="285">
        <v>7.2102449406199023</v>
      </c>
      <c r="U15" s="277">
        <v>3.6101246237215501E-2</v>
      </c>
      <c r="V15" s="279">
        <v>3.4552071901167158E-4</v>
      </c>
    </row>
    <row r="16" spans="1:22" ht="13.5" thickBot="1" x14ac:dyDescent="0.25">
      <c r="A16" t="str">
        <f t="shared" si="0"/>
        <v>100/55</v>
      </c>
      <c r="B16" s="441">
        <v>5.0062205082000002</v>
      </c>
      <c r="C16" s="442">
        <v>0.49025071827737993</v>
      </c>
      <c r="D16" s="439">
        <v>4.9807034115693365E-2</v>
      </c>
      <c r="E16" s="443">
        <v>10.550927101177047</v>
      </c>
      <c r="F16" s="439">
        <v>0.16344883463677234</v>
      </c>
      <c r="G16" s="439">
        <v>4.1899807877504837E-2</v>
      </c>
      <c r="H16" s="443">
        <v>6.0364774761191597</v>
      </c>
      <c r="I16" s="439">
        <v>9.3734403390142496E-2</v>
      </c>
      <c r="J16" s="440">
        <v>9.8221270055652635E-2</v>
      </c>
      <c r="K16" s="415"/>
      <c r="L16" s="415"/>
      <c r="N16" s="286"/>
      <c r="O16" s="444"/>
      <c r="P16" s="287"/>
      <c r="Q16" s="288"/>
      <c r="R16" s="287"/>
      <c r="S16" s="287"/>
      <c r="T16" s="288"/>
      <c r="U16" s="287"/>
      <c r="V16" s="289"/>
    </row>
    <row r="17" spans="1:22" ht="13.5" thickBot="1" x14ac:dyDescent="0.25">
      <c r="B17" s="445"/>
      <c r="C17" s="446"/>
      <c r="D17" s="447"/>
      <c r="E17" s="448"/>
      <c r="F17" s="447"/>
      <c r="G17" s="447"/>
      <c r="H17" s="448"/>
      <c r="I17" s="447"/>
      <c r="J17" s="449"/>
      <c r="K17" s="415"/>
      <c r="L17" s="415"/>
      <c r="N17" s="290"/>
      <c r="O17" s="290"/>
      <c r="P17" s="290"/>
      <c r="Q17" s="290"/>
      <c r="R17" s="290"/>
      <c r="S17" s="290"/>
      <c r="T17" s="290"/>
      <c r="U17" s="290"/>
      <c r="V17" s="290"/>
    </row>
    <row r="18" spans="1:22" ht="13.5" thickBot="1" x14ac:dyDescent="0.25">
      <c r="B18" s="415"/>
      <c r="C18" s="415"/>
      <c r="D18" s="415"/>
      <c r="E18" s="415"/>
      <c r="F18" s="415"/>
      <c r="G18" s="415"/>
      <c r="H18" s="415"/>
      <c r="I18" s="415"/>
      <c r="J18" s="415"/>
      <c r="K18" s="415"/>
      <c r="L18" s="415"/>
    </row>
    <row r="19" spans="1:22" x14ac:dyDescent="0.2">
      <c r="B19" s="417" t="s">
        <v>260</v>
      </c>
      <c r="C19" s="418"/>
      <c r="D19" s="418"/>
      <c r="E19" s="418"/>
      <c r="F19" s="418"/>
      <c r="G19" s="418"/>
      <c r="H19" s="418"/>
      <c r="I19" s="418"/>
      <c r="J19" s="419"/>
      <c r="K19" s="415"/>
      <c r="L19" s="415"/>
      <c r="N19" s="264" t="s">
        <v>260</v>
      </c>
      <c r="O19" s="265"/>
      <c r="P19" s="265"/>
      <c r="Q19" s="265"/>
      <c r="R19" s="265"/>
      <c r="S19" s="265"/>
      <c r="T19" s="265"/>
      <c r="U19" s="265"/>
      <c r="V19" s="266"/>
    </row>
    <row r="20" spans="1:22" x14ac:dyDescent="0.2">
      <c r="B20" s="420" t="s">
        <v>261</v>
      </c>
      <c r="C20" s="421"/>
      <c r="D20" s="421"/>
      <c r="E20" s="421"/>
      <c r="F20" s="421"/>
      <c r="G20" s="421"/>
      <c r="H20" s="421"/>
      <c r="I20" s="421"/>
      <c r="J20" s="422"/>
      <c r="K20" s="415"/>
      <c r="L20" s="415"/>
      <c r="N20" s="267" t="s">
        <v>261</v>
      </c>
      <c r="O20" s="7"/>
      <c r="P20" s="7"/>
      <c r="Q20" s="7"/>
      <c r="R20" s="7"/>
      <c r="S20" s="7"/>
      <c r="T20" s="7"/>
      <c r="U20" s="7"/>
      <c r="V20" s="268"/>
    </row>
    <row r="21" spans="1:22" x14ac:dyDescent="0.2">
      <c r="B21" s="423"/>
      <c r="C21" s="424"/>
      <c r="D21" s="424"/>
      <c r="E21" s="424"/>
      <c r="F21" s="424"/>
      <c r="G21" s="424"/>
      <c r="H21" s="424"/>
      <c r="I21" s="424"/>
      <c r="J21" s="425"/>
      <c r="K21" s="415"/>
      <c r="L21" s="415"/>
      <c r="N21" s="257"/>
      <c r="O21" s="38"/>
      <c r="P21" s="38"/>
      <c r="Q21" s="38"/>
      <c r="R21" s="38"/>
      <c r="S21" s="38"/>
      <c r="T21" s="38"/>
      <c r="U21" s="38"/>
      <c r="V21" s="258"/>
    </row>
    <row r="22" spans="1:22" x14ac:dyDescent="0.2">
      <c r="B22" s="426" t="s">
        <v>248</v>
      </c>
      <c r="C22" s="547" t="s">
        <v>249</v>
      </c>
      <c r="D22" s="548"/>
      <c r="E22" s="549"/>
      <c r="F22" s="547" t="s">
        <v>250</v>
      </c>
      <c r="G22" s="548"/>
      <c r="H22" s="549"/>
      <c r="I22" s="547" t="s">
        <v>251</v>
      </c>
      <c r="J22" s="550"/>
      <c r="K22" s="415"/>
      <c r="L22" s="415"/>
      <c r="N22" s="259" t="s">
        <v>248</v>
      </c>
      <c r="O22" s="543" t="s">
        <v>249</v>
      </c>
      <c r="P22" s="545"/>
      <c r="Q22" s="544"/>
      <c r="R22" s="543" t="s">
        <v>250</v>
      </c>
      <c r="S22" s="545"/>
      <c r="T22" s="544"/>
      <c r="U22" s="543" t="s">
        <v>251</v>
      </c>
      <c r="V22" s="546"/>
    </row>
    <row r="23" spans="1:22" ht="51" x14ac:dyDescent="0.2">
      <c r="A23" s="2" t="s">
        <v>435</v>
      </c>
      <c r="B23" s="427" t="s">
        <v>252</v>
      </c>
      <c r="C23" s="431" t="s">
        <v>253</v>
      </c>
      <c r="D23" s="432" t="s">
        <v>254</v>
      </c>
      <c r="E23" s="433" t="s">
        <v>255</v>
      </c>
      <c r="F23" s="431" t="s">
        <v>256</v>
      </c>
      <c r="G23" s="432" t="s">
        <v>257</v>
      </c>
      <c r="H23" s="433" t="s">
        <v>255</v>
      </c>
      <c r="I23" s="432" t="s">
        <v>258</v>
      </c>
      <c r="J23" s="434" t="s">
        <v>259</v>
      </c>
      <c r="K23" s="415"/>
      <c r="L23" s="415"/>
      <c r="N23" s="260" t="s">
        <v>252</v>
      </c>
      <c r="O23" s="269" t="s">
        <v>253</v>
      </c>
      <c r="P23" s="270" t="s">
        <v>254</v>
      </c>
      <c r="Q23" s="271" t="s">
        <v>255</v>
      </c>
      <c r="R23" s="269" t="s">
        <v>256</v>
      </c>
      <c r="S23" s="270" t="s">
        <v>257</v>
      </c>
      <c r="T23" s="271" t="s">
        <v>255</v>
      </c>
      <c r="U23" s="270" t="s">
        <v>258</v>
      </c>
      <c r="V23" s="272" t="s">
        <v>259</v>
      </c>
    </row>
    <row r="24" spans="1:22" x14ac:dyDescent="0.2">
      <c r="A24" t="str">
        <f>"120/100"&amp;ROUND(B24,0)</f>
        <v>120/100120</v>
      </c>
      <c r="B24" s="435">
        <v>119.92392908000001</v>
      </c>
      <c r="C24" s="450">
        <v>0.1351880117726019</v>
      </c>
      <c r="D24" s="439">
        <v>1.6096370766919457E-2</v>
      </c>
      <c r="E24" s="438">
        <v>24.621821467894847</v>
      </c>
      <c r="F24" s="450">
        <v>8.4429064204047777E-2</v>
      </c>
      <c r="G24" s="439">
        <v>1.3667236857368769E-2</v>
      </c>
      <c r="H24" s="438">
        <v>19.204457240840355</v>
      </c>
      <c r="I24" s="450">
        <v>-2.8284705733240822E-3</v>
      </c>
      <c r="J24" s="451">
        <v>7.6073254519321704E-3</v>
      </c>
      <c r="K24" s="415"/>
      <c r="L24" s="415"/>
      <c r="N24" s="273">
        <v>119.63385220000001</v>
      </c>
      <c r="O24" s="277">
        <v>0.11919135123880428</v>
      </c>
      <c r="P24" s="278">
        <v>1.5880817970718979E-2</v>
      </c>
      <c r="Q24" s="276">
        <v>5</v>
      </c>
      <c r="R24" s="277">
        <v>9.439670075183168E-2</v>
      </c>
      <c r="S24" s="278">
        <v>1.3177892087046734E-2</v>
      </c>
      <c r="T24" s="276">
        <v>5</v>
      </c>
      <c r="U24" s="277">
        <v>-1.8825131107121695E-2</v>
      </c>
      <c r="V24" s="279">
        <v>1.7574961999716074E-2</v>
      </c>
    </row>
    <row r="25" spans="1:22" x14ac:dyDescent="0.2">
      <c r="A25" t="str">
        <f t="shared" ref="A25:A30" si="1">"120/100"&amp;ROUND(B25,0)</f>
        <v>120/100100</v>
      </c>
      <c r="B25" s="441">
        <v>100.09320314000001</v>
      </c>
      <c r="C25" s="450">
        <v>0.1503019718467504</v>
      </c>
      <c r="D25" s="439">
        <v>1.7081376704608024E-2</v>
      </c>
      <c r="E25" s="443">
        <v>21.852081943131115</v>
      </c>
      <c r="F25" s="450">
        <v>8.3871606677233645E-2</v>
      </c>
      <c r="G25" s="439">
        <v>1.3499563237031699E-2</v>
      </c>
      <c r="H25" s="443">
        <v>18.739135038858148</v>
      </c>
      <c r="I25" s="450">
        <v>-4.1125932687116062E-3</v>
      </c>
      <c r="J25" s="451">
        <v>8.769453982085243E-3</v>
      </c>
      <c r="K25" s="415"/>
      <c r="L25" s="415"/>
      <c r="N25" s="280">
        <v>100.13187366</v>
      </c>
      <c r="O25" s="277">
        <v>0.12801795370826757</v>
      </c>
      <c r="P25" s="278">
        <v>1.6278938663700775E-2</v>
      </c>
      <c r="Q25" s="285">
        <v>5</v>
      </c>
      <c r="R25" s="277">
        <v>9.6643846910426434E-2</v>
      </c>
      <c r="S25" s="278">
        <v>1.3418624804646076E-2</v>
      </c>
      <c r="T25" s="285">
        <v>5</v>
      </c>
      <c r="U25" s="277">
        <v>-2.6396611407194431E-2</v>
      </c>
      <c r="V25" s="279">
        <v>2.1541694215278032E-2</v>
      </c>
    </row>
    <row r="26" spans="1:22" x14ac:dyDescent="0.2">
      <c r="A26" t="str">
        <f t="shared" si="1"/>
        <v>120/10060</v>
      </c>
      <c r="B26" s="441">
        <v>60.035549210000006</v>
      </c>
      <c r="C26" s="450">
        <v>0.2025501789952302</v>
      </c>
      <c r="D26" s="439">
        <v>2.1236543512662368E-2</v>
      </c>
      <c r="E26" s="443">
        <v>17.326095281400008</v>
      </c>
      <c r="F26" s="450">
        <v>6.3994896945218094E-2</v>
      </c>
      <c r="G26" s="439">
        <v>1.298738043525156E-2</v>
      </c>
      <c r="H26" s="443">
        <v>20.476281847116027</v>
      </c>
      <c r="I26" s="450">
        <v>3.1199705344872042E-3</v>
      </c>
      <c r="J26" s="451">
        <v>-2.0745404495301073E-3</v>
      </c>
      <c r="K26" s="415"/>
      <c r="L26" s="415"/>
      <c r="N26" s="280">
        <v>60.037315034000002</v>
      </c>
      <c r="O26" s="277">
        <v>0.18135978222250174</v>
      </c>
      <c r="P26" s="278">
        <v>2.0447664234290862E-2</v>
      </c>
      <c r="Q26" s="285">
        <v>5</v>
      </c>
      <c r="R26" s="277">
        <v>7.9519839869645365E-2</v>
      </c>
      <c r="S26" s="278">
        <v>1.3494618274584346E-2</v>
      </c>
      <c r="T26" s="285">
        <v>5</v>
      </c>
      <c r="U26" s="277">
        <v>-1.8070426238241261E-2</v>
      </c>
      <c r="V26" s="279">
        <v>1.3450402474897163E-2</v>
      </c>
    </row>
    <row r="27" spans="1:22" x14ac:dyDescent="0.2">
      <c r="A27" t="str">
        <f t="shared" si="1"/>
        <v>120/10040</v>
      </c>
      <c r="B27" s="441">
        <v>40.057213714</v>
      </c>
      <c r="C27" s="450">
        <v>0.23919254108133742</v>
      </c>
      <c r="D27" s="439">
        <v>2.4363202200685205E-2</v>
      </c>
      <c r="E27" s="443">
        <v>16.230217867659967</v>
      </c>
      <c r="F27" s="450">
        <v>6.6457406708342742E-2</v>
      </c>
      <c r="G27" s="439">
        <v>1.3642335567769118E-2</v>
      </c>
      <c r="H27" s="443">
        <v>22.146183519509062</v>
      </c>
      <c r="I27" s="450">
        <v>9.4208546406434057E-3</v>
      </c>
      <c r="J27" s="451">
        <v>8.9628442339950432E-3</v>
      </c>
      <c r="K27" s="415"/>
      <c r="L27" s="415"/>
      <c r="N27" s="280">
        <v>40.011632356</v>
      </c>
      <c r="O27" s="277">
        <v>0.21498591869480649</v>
      </c>
      <c r="P27" s="278">
        <v>2.3633543357345223E-2</v>
      </c>
      <c r="Q27" s="285">
        <v>5</v>
      </c>
      <c r="R27" s="277">
        <v>7.0917170054923651E-2</v>
      </c>
      <c r="S27" s="278">
        <v>1.4136241932058447E-2</v>
      </c>
      <c r="T27" s="285">
        <v>5</v>
      </c>
      <c r="U27" s="277">
        <v>-1.4785767745887524E-2</v>
      </c>
      <c r="V27" s="279">
        <v>1.3422607580575951E-2</v>
      </c>
    </row>
    <row r="28" spans="1:22" x14ac:dyDescent="0.2">
      <c r="A28" t="str">
        <f t="shared" si="1"/>
        <v>120/10020</v>
      </c>
      <c r="B28" s="441">
        <v>20.152266273999999</v>
      </c>
      <c r="C28" s="450">
        <v>0.29956840986740263</v>
      </c>
      <c r="D28" s="439">
        <v>3.0238445191571289E-2</v>
      </c>
      <c r="E28" s="443">
        <v>17.150810440966996</v>
      </c>
      <c r="F28" s="450">
        <v>6.014378358939431E-2</v>
      </c>
      <c r="G28" s="439">
        <v>1.7156595017443932E-2</v>
      </c>
      <c r="H28" s="443">
        <v>26.395261029758544</v>
      </c>
      <c r="I28" s="450">
        <v>3.2010642119608634E-2</v>
      </c>
      <c r="J28" s="451">
        <v>1.4532012560104009E-2</v>
      </c>
      <c r="K28" s="415"/>
      <c r="L28" s="415"/>
      <c r="N28" s="280">
        <v>20.017811465999998</v>
      </c>
      <c r="O28" s="277">
        <v>0.25743621921360793</v>
      </c>
      <c r="P28" s="278">
        <v>2.9789634413326282E-2</v>
      </c>
      <c r="Q28" s="285">
        <v>5</v>
      </c>
      <c r="R28" s="277">
        <v>5.4028536557412236E-2</v>
      </c>
      <c r="S28" s="278">
        <v>1.9594049461758873E-2</v>
      </c>
      <c r="T28" s="285">
        <v>5</v>
      </c>
      <c r="U28" s="277">
        <v>-1.0121548534186064E-2</v>
      </c>
      <c r="V28" s="279">
        <v>8.4167655281219347E-3</v>
      </c>
    </row>
    <row r="29" spans="1:22" x14ac:dyDescent="0.2">
      <c r="A29" t="str">
        <f t="shared" si="1"/>
        <v>120/10010</v>
      </c>
      <c r="B29" s="441">
        <v>9.9747214224</v>
      </c>
      <c r="C29" s="450">
        <v>0.33931546290343328</v>
      </c>
      <c r="D29" s="439">
        <v>3.8245176521990061E-2</v>
      </c>
      <c r="E29" s="443">
        <v>20.11641494405421</v>
      </c>
      <c r="F29" s="450">
        <v>3.3537829090675063E-2</v>
      </c>
      <c r="G29" s="439">
        <v>2.3624185897921333E-2</v>
      </c>
      <c r="H29" s="443">
        <v>9.799986927149563</v>
      </c>
      <c r="I29" s="450">
        <v>4.8985587997452285E-2</v>
      </c>
      <c r="J29" s="451">
        <v>-4.9264282396465353E-3</v>
      </c>
      <c r="K29" s="415"/>
      <c r="L29" s="415"/>
      <c r="N29" s="280">
        <v>10.023455089999999</v>
      </c>
      <c r="O29" s="277">
        <v>0.29168908386977793</v>
      </c>
      <c r="P29" s="278">
        <v>4.5135325342814371E-2</v>
      </c>
      <c r="Q29" s="285">
        <v>5</v>
      </c>
      <c r="R29" s="277">
        <v>5.202799011029325E-2</v>
      </c>
      <c r="S29" s="278">
        <v>3.3460252684457424E-2</v>
      </c>
      <c r="T29" s="285">
        <v>5</v>
      </c>
      <c r="U29" s="277">
        <v>1.3592089637969318E-3</v>
      </c>
      <c r="V29" s="279">
        <v>1.3563732779971652E-2</v>
      </c>
    </row>
    <row r="30" spans="1:22" ht="13.5" thickBot="1" x14ac:dyDescent="0.25">
      <c r="A30" t="str">
        <f t="shared" si="1"/>
        <v>120/1005</v>
      </c>
      <c r="B30" s="441">
        <v>4.9441033636</v>
      </c>
      <c r="C30" s="450">
        <v>0.35538771066235075</v>
      </c>
      <c r="D30" s="439">
        <v>5.4009794837085796E-2</v>
      </c>
      <c r="E30" s="443">
        <v>14.100271033348145</v>
      </c>
      <c r="F30" s="450">
        <v>5.7768877602184486E-2</v>
      </c>
      <c r="G30" s="439">
        <v>4.3532402985312753E-2</v>
      </c>
      <c r="H30" s="443">
        <v>7.0244604545981897</v>
      </c>
      <c r="I30" s="450">
        <v>5.3570352543040378E-2</v>
      </c>
      <c r="J30" s="451">
        <v>-2.6529832053361714E-2</v>
      </c>
      <c r="K30" s="415"/>
      <c r="L30" s="415"/>
      <c r="N30" s="286"/>
      <c r="O30" s="287"/>
      <c r="P30" s="287"/>
      <c r="Q30" s="288"/>
      <c r="R30" s="287"/>
      <c r="S30" s="287"/>
      <c r="T30" s="288"/>
      <c r="U30" s="287"/>
      <c r="V30" s="289"/>
    </row>
    <row r="31" spans="1:22" ht="13.5" thickBot="1" x14ac:dyDescent="0.25">
      <c r="B31" s="445"/>
      <c r="C31" s="447"/>
      <c r="D31" s="447"/>
      <c r="E31" s="448"/>
      <c r="F31" s="447"/>
      <c r="G31" s="447"/>
      <c r="H31" s="448"/>
      <c r="I31" s="447"/>
      <c r="J31" s="449"/>
      <c r="K31" s="415"/>
      <c r="L31" s="415"/>
      <c r="N31" s="290"/>
      <c r="O31" s="290"/>
      <c r="P31" s="290"/>
      <c r="Q31" s="290"/>
      <c r="R31" s="290"/>
      <c r="S31" s="290"/>
      <c r="T31" s="290"/>
      <c r="U31" s="290"/>
      <c r="V31" s="290"/>
    </row>
    <row r="32" spans="1:22" ht="13.5" thickBot="1" x14ac:dyDescent="0.25">
      <c r="B32" s="415"/>
      <c r="C32" s="415"/>
      <c r="D32" s="415"/>
      <c r="E32" s="415"/>
      <c r="F32" s="415"/>
      <c r="G32" s="415"/>
      <c r="H32" s="415"/>
      <c r="I32" s="415"/>
      <c r="J32" s="415"/>
      <c r="K32" s="415"/>
      <c r="L32" s="415"/>
    </row>
    <row r="33" spans="1:22" x14ac:dyDescent="0.2">
      <c r="B33" s="417" t="s">
        <v>262</v>
      </c>
      <c r="C33" s="418"/>
      <c r="D33" s="418"/>
      <c r="E33" s="418"/>
      <c r="F33" s="418"/>
      <c r="G33" s="418"/>
      <c r="H33" s="418"/>
      <c r="I33" s="418"/>
      <c r="J33" s="419"/>
      <c r="K33" s="415"/>
      <c r="L33" s="415"/>
      <c r="N33" s="264" t="s">
        <v>262</v>
      </c>
      <c r="O33" s="265"/>
      <c r="P33" s="265"/>
      <c r="Q33" s="265"/>
      <c r="R33" s="265"/>
      <c r="S33" s="265"/>
      <c r="T33" s="265"/>
      <c r="U33" s="265"/>
      <c r="V33" s="266"/>
    </row>
    <row r="34" spans="1:22" x14ac:dyDescent="0.2">
      <c r="B34" s="420" t="s">
        <v>263</v>
      </c>
      <c r="C34" s="421"/>
      <c r="D34" s="421"/>
      <c r="E34" s="421"/>
      <c r="F34" s="421"/>
      <c r="G34" s="421"/>
      <c r="H34" s="421"/>
      <c r="I34" s="421"/>
      <c r="J34" s="422"/>
      <c r="K34" s="415"/>
      <c r="L34" s="415"/>
      <c r="N34" s="267" t="s">
        <v>263</v>
      </c>
      <c r="O34" s="7"/>
      <c r="P34" s="7"/>
      <c r="Q34" s="7"/>
      <c r="R34" s="7"/>
      <c r="S34" s="7"/>
      <c r="T34" s="7"/>
      <c r="U34" s="7"/>
      <c r="V34" s="268"/>
    </row>
    <row r="35" spans="1:22" x14ac:dyDescent="0.2">
      <c r="B35" s="423"/>
      <c r="C35" s="424"/>
      <c r="D35" s="424"/>
      <c r="E35" s="424"/>
      <c r="F35" s="424"/>
      <c r="G35" s="424"/>
      <c r="H35" s="424"/>
      <c r="I35" s="424"/>
      <c r="J35" s="425"/>
      <c r="K35" s="415"/>
      <c r="L35" s="415"/>
      <c r="N35" s="257"/>
      <c r="O35" s="38"/>
      <c r="P35" s="38"/>
      <c r="Q35" s="38"/>
      <c r="R35" s="38"/>
      <c r="S35" s="38"/>
      <c r="T35" s="38"/>
      <c r="U35" s="38"/>
      <c r="V35" s="258"/>
    </row>
    <row r="36" spans="1:22" x14ac:dyDescent="0.2">
      <c r="B36" s="426" t="s">
        <v>248</v>
      </c>
      <c r="C36" s="547" t="s">
        <v>249</v>
      </c>
      <c r="D36" s="548"/>
      <c r="E36" s="549"/>
      <c r="F36" s="547" t="s">
        <v>250</v>
      </c>
      <c r="G36" s="548"/>
      <c r="H36" s="549"/>
      <c r="I36" s="547" t="s">
        <v>251</v>
      </c>
      <c r="J36" s="550"/>
      <c r="K36" s="415"/>
      <c r="L36" s="415"/>
      <c r="N36" s="259" t="s">
        <v>248</v>
      </c>
      <c r="O36" s="543" t="s">
        <v>249</v>
      </c>
      <c r="P36" s="545"/>
      <c r="Q36" s="544"/>
      <c r="R36" s="543" t="s">
        <v>250</v>
      </c>
      <c r="S36" s="545"/>
      <c r="T36" s="544"/>
      <c r="U36" s="543" t="s">
        <v>251</v>
      </c>
      <c r="V36" s="546"/>
    </row>
    <row r="37" spans="1:22" ht="51" x14ac:dyDescent="0.2">
      <c r="A37" s="2" t="s">
        <v>432</v>
      </c>
      <c r="B37" s="427" t="s">
        <v>252</v>
      </c>
      <c r="C37" s="431" t="s">
        <v>253</v>
      </c>
      <c r="D37" s="432" t="s">
        <v>254</v>
      </c>
      <c r="E37" s="433" t="s">
        <v>255</v>
      </c>
      <c r="F37" s="431" t="s">
        <v>256</v>
      </c>
      <c r="G37" s="432" t="s">
        <v>257</v>
      </c>
      <c r="H37" s="433" t="s">
        <v>255</v>
      </c>
      <c r="I37" s="432" t="s">
        <v>258</v>
      </c>
      <c r="J37" s="434" t="s">
        <v>259</v>
      </c>
      <c r="K37" s="415"/>
      <c r="L37" s="415"/>
      <c r="N37" s="260" t="s">
        <v>252</v>
      </c>
      <c r="O37" s="269" t="s">
        <v>253</v>
      </c>
      <c r="P37" s="270" t="s">
        <v>254</v>
      </c>
      <c r="Q37" s="271" t="s">
        <v>255</v>
      </c>
      <c r="R37" s="269" t="s">
        <v>256</v>
      </c>
      <c r="S37" s="270" t="s">
        <v>257</v>
      </c>
      <c r="T37" s="271" t="s">
        <v>255</v>
      </c>
      <c r="U37" s="270" t="s">
        <v>258</v>
      </c>
      <c r="V37" s="272" t="s">
        <v>259</v>
      </c>
    </row>
    <row r="38" spans="1:22" x14ac:dyDescent="0.2">
      <c r="A38" t="str">
        <f>"100/100"&amp;ROUND(B38,0)</f>
        <v>100/100120</v>
      </c>
      <c r="B38" s="435">
        <v>119.84700020000001</v>
      </c>
      <c r="C38" s="450">
        <v>0.19099327491213469</v>
      </c>
      <c r="D38" s="439">
        <v>2.0124848236233134E-2</v>
      </c>
      <c r="E38" s="438">
        <v>36.303330659717147</v>
      </c>
      <c r="F38" s="450">
        <v>0.12771511396560489</v>
      </c>
      <c r="G38" s="439">
        <v>1.5916373531336424E-2</v>
      </c>
      <c r="H38" s="438">
        <v>29.48720479177727</v>
      </c>
      <c r="I38" s="450">
        <v>2.079747152331371E-2</v>
      </c>
      <c r="J38" s="451">
        <v>1.3713001740780897E-2</v>
      </c>
      <c r="K38" s="415"/>
      <c r="L38" s="415"/>
      <c r="N38" s="273">
        <v>119.26987710000002</v>
      </c>
      <c r="O38" s="277">
        <v>0.16196260708155136</v>
      </c>
      <c r="P38" s="278">
        <v>1.9342116818154769E-2</v>
      </c>
      <c r="Q38" s="276">
        <v>5</v>
      </c>
      <c r="R38" s="277">
        <v>0.16556192207802131</v>
      </c>
      <c r="S38" s="278">
        <v>1.634526862054772E-2</v>
      </c>
      <c r="T38" s="276">
        <v>5</v>
      </c>
      <c r="U38" s="277">
        <v>-8.2331963072696246E-3</v>
      </c>
      <c r="V38" s="279">
        <v>5.1559809853197316E-2</v>
      </c>
    </row>
    <row r="39" spans="1:22" x14ac:dyDescent="0.2">
      <c r="A39" t="str">
        <f t="shared" ref="A39:A44" si="2">"100/100"&amp;ROUND(B39,0)</f>
        <v>100/100100</v>
      </c>
      <c r="B39" s="441">
        <v>99.84864608800001</v>
      </c>
      <c r="C39" s="450">
        <v>0.20981100044611947</v>
      </c>
      <c r="D39" s="439">
        <v>2.1401557404299852E-2</v>
      </c>
      <c r="E39" s="443">
        <v>32.535486393782257</v>
      </c>
      <c r="F39" s="450">
        <v>0.12832447060119506</v>
      </c>
      <c r="G39" s="439">
        <v>1.5778683712531938E-2</v>
      </c>
      <c r="H39" s="443">
        <v>28.989013053416308</v>
      </c>
      <c r="I39" s="450">
        <v>1.9265121323215478E-2</v>
      </c>
      <c r="J39" s="451">
        <v>1.4464783756326052E-2</v>
      </c>
      <c r="K39" s="415"/>
      <c r="L39" s="415"/>
      <c r="N39" s="280">
        <v>100.00971487200002</v>
      </c>
      <c r="O39" s="277">
        <v>0.17520180394394938</v>
      </c>
      <c r="P39" s="278">
        <v>2.000821860847907E-2</v>
      </c>
      <c r="Q39" s="285">
        <v>5</v>
      </c>
      <c r="R39" s="277">
        <v>0.16595331840525132</v>
      </c>
      <c r="S39" s="278">
        <v>1.6535335725816291E-2</v>
      </c>
      <c r="T39" s="285">
        <v>5</v>
      </c>
      <c r="U39" s="277">
        <v>-1.5344075178954614E-2</v>
      </c>
      <c r="V39" s="279">
        <v>5.2093631560382311E-2</v>
      </c>
    </row>
    <row r="40" spans="1:22" x14ac:dyDescent="0.2">
      <c r="A40" t="str">
        <f t="shared" si="2"/>
        <v>100/10060</v>
      </c>
      <c r="B40" s="441">
        <v>60.036926252000001</v>
      </c>
      <c r="C40" s="450">
        <v>0.27625827740036574</v>
      </c>
      <c r="D40" s="439">
        <v>2.655252842011236E-2</v>
      </c>
      <c r="E40" s="443">
        <v>25.946287991607512</v>
      </c>
      <c r="F40" s="450">
        <v>0.11282248388897273</v>
      </c>
      <c r="G40" s="439">
        <v>1.5004742192860278E-2</v>
      </c>
      <c r="H40" s="443">
        <v>31.314679021367883</v>
      </c>
      <c r="I40" s="450">
        <v>2.602938322985876E-2</v>
      </c>
      <c r="J40" s="451">
        <v>5.2096931059407298E-3</v>
      </c>
      <c r="K40" s="415"/>
      <c r="L40" s="415"/>
      <c r="N40" s="280">
        <v>60.197048628000005</v>
      </c>
      <c r="O40" s="277">
        <v>0.23896056624373971</v>
      </c>
      <c r="P40" s="278">
        <v>2.5300541287207795E-2</v>
      </c>
      <c r="Q40" s="285">
        <v>5</v>
      </c>
      <c r="R40" s="277">
        <v>0.15257698926646732</v>
      </c>
      <c r="S40" s="278">
        <v>1.6808406780691381E-2</v>
      </c>
      <c r="T40" s="285">
        <v>5</v>
      </c>
      <c r="U40" s="277">
        <v>-1.1268327926767269E-2</v>
      </c>
      <c r="V40" s="279">
        <v>4.4964198483435316E-2</v>
      </c>
    </row>
    <row r="41" spans="1:22" x14ac:dyDescent="0.2">
      <c r="A41" t="str">
        <f t="shared" si="2"/>
        <v>100/10040</v>
      </c>
      <c r="B41" s="441">
        <v>40.078594610000003</v>
      </c>
      <c r="C41" s="450">
        <v>0.32629674811974124</v>
      </c>
      <c r="D41" s="439">
        <v>3.0559040415488556E-2</v>
      </c>
      <c r="E41" s="443">
        <v>24.205756242845428</v>
      </c>
      <c r="F41" s="450">
        <v>0.11582823559203237</v>
      </c>
      <c r="G41" s="439">
        <v>1.5740570603991911E-2</v>
      </c>
      <c r="H41" s="443">
        <v>33.797899350185752</v>
      </c>
      <c r="I41" s="450">
        <v>3.4103937754745239E-2</v>
      </c>
      <c r="J41" s="451">
        <v>1.5885937959603261E-2</v>
      </c>
      <c r="K41" s="415"/>
      <c r="L41" s="415"/>
      <c r="N41" s="280">
        <v>40.124291820000003</v>
      </c>
      <c r="O41" s="277">
        <v>0.28509596843850948</v>
      </c>
      <c r="P41" s="278">
        <v>2.9547532156889232E-2</v>
      </c>
      <c r="Q41" s="285">
        <v>5</v>
      </c>
      <c r="R41" s="277">
        <v>0.14641460750250063</v>
      </c>
      <c r="S41" s="278">
        <v>1.7871673159362486E-2</v>
      </c>
      <c r="T41" s="285">
        <v>5</v>
      </c>
      <c r="U41" s="277">
        <v>-7.096841926486519E-3</v>
      </c>
      <c r="V41" s="279">
        <v>4.6472309870071518E-2</v>
      </c>
    </row>
    <row r="42" spans="1:22" x14ac:dyDescent="0.2">
      <c r="A42" t="str">
        <f t="shared" si="2"/>
        <v>100/10020</v>
      </c>
      <c r="B42" s="441">
        <v>20.078383601999999</v>
      </c>
      <c r="C42" s="450">
        <v>0.40232279277714023</v>
      </c>
      <c r="D42" s="439">
        <v>3.7645110990182758E-2</v>
      </c>
      <c r="E42" s="443">
        <v>24.584483233483652</v>
      </c>
      <c r="F42" s="450">
        <v>0.11063791085087632</v>
      </c>
      <c r="G42" s="439">
        <v>1.9008777739775218E-2</v>
      </c>
      <c r="H42" s="443">
        <v>37.252803357787002</v>
      </c>
      <c r="I42" s="450">
        <v>5.7200561719555232E-2</v>
      </c>
      <c r="J42" s="451">
        <v>2.042082180517861E-2</v>
      </c>
      <c r="K42" s="415"/>
      <c r="L42" s="415"/>
      <c r="N42" s="280">
        <v>20.059537148</v>
      </c>
      <c r="O42" s="277">
        <v>0.34319498529966458</v>
      </c>
      <c r="P42" s="278">
        <v>3.7090882231471681E-2</v>
      </c>
      <c r="Q42" s="285">
        <v>5</v>
      </c>
      <c r="R42" s="277">
        <v>0.13628147792375231</v>
      </c>
      <c r="S42" s="278">
        <v>2.4791704707731409E-2</v>
      </c>
      <c r="T42" s="285">
        <v>5</v>
      </c>
      <c r="U42" s="277">
        <v>-1.927245757920415E-3</v>
      </c>
      <c r="V42" s="279">
        <v>4.6064388878054599E-2</v>
      </c>
    </row>
    <row r="43" spans="1:22" x14ac:dyDescent="0.2">
      <c r="A43" t="str">
        <f t="shared" si="2"/>
        <v>100/10010</v>
      </c>
      <c r="B43" s="441">
        <v>9.9260643214000002</v>
      </c>
      <c r="C43" s="450">
        <v>0.45121819923305623</v>
      </c>
      <c r="D43" s="439">
        <v>4.5782024540891628E-2</v>
      </c>
      <c r="E43" s="443">
        <v>27.729440144663613</v>
      </c>
      <c r="F43" s="450">
        <v>9.1127136797747921E-2</v>
      </c>
      <c r="G43" s="439">
        <v>2.5259577418462086E-2</v>
      </c>
      <c r="H43" s="443">
        <v>12.741720558815567</v>
      </c>
      <c r="I43" s="450">
        <v>7.4024572679697254E-2</v>
      </c>
      <c r="J43" s="451">
        <v>4.9121057696557141E-3</v>
      </c>
      <c r="K43" s="415"/>
      <c r="L43" s="415"/>
      <c r="N43" s="280">
        <v>10.052191638</v>
      </c>
      <c r="O43" s="277">
        <v>0.39513198474162503</v>
      </c>
      <c r="P43" s="278">
        <v>5.8193108710040631E-2</v>
      </c>
      <c r="Q43" s="285">
        <v>5</v>
      </c>
      <c r="R43" s="277">
        <v>0.13472263380234348</v>
      </c>
      <c r="S43" s="278">
        <v>4.5177739351197503E-2</v>
      </c>
      <c r="T43" s="285">
        <v>5</v>
      </c>
      <c r="U43" s="277">
        <v>1.7938358188266057E-2</v>
      </c>
      <c r="V43" s="279">
        <v>4.8507602774251271E-2</v>
      </c>
    </row>
    <row r="44" spans="1:22" ht="13.5" thickBot="1" x14ac:dyDescent="0.25">
      <c r="A44" t="str">
        <f t="shared" si="2"/>
        <v>100/1005</v>
      </c>
      <c r="B44" s="441">
        <v>5.0156125952000004</v>
      </c>
      <c r="C44" s="450">
        <v>0.47859715367101707</v>
      </c>
      <c r="D44" s="439">
        <v>6.0054592660030867E-2</v>
      </c>
      <c r="E44" s="443">
        <v>19.433578577675302</v>
      </c>
      <c r="F44" s="450">
        <v>0.11175136033072258</v>
      </c>
      <c r="G44" s="439">
        <v>4.4838022507639012E-2</v>
      </c>
      <c r="H44" s="443">
        <v>7.8997747119382122</v>
      </c>
      <c r="I44" s="450">
        <v>8.2080838783779642E-2</v>
      </c>
      <c r="J44" s="451">
        <v>4.6523795749602873E-2</v>
      </c>
      <c r="K44" s="415"/>
      <c r="L44" s="415"/>
      <c r="N44" s="286"/>
      <c r="O44" s="287"/>
      <c r="P44" s="287"/>
      <c r="Q44" s="288"/>
      <c r="R44" s="287"/>
      <c r="S44" s="287"/>
      <c r="T44" s="288"/>
      <c r="U44" s="287"/>
      <c r="V44" s="289"/>
    </row>
    <row r="45" spans="1:22" ht="13.5" thickBot="1" x14ac:dyDescent="0.25">
      <c r="B45" s="445"/>
      <c r="C45" s="447"/>
      <c r="D45" s="447"/>
      <c r="E45" s="448"/>
      <c r="F45" s="447"/>
      <c r="G45" s="447"/>
      <c r="H45" s="448"/>
      <c r="I45" s="447"/>
      <c r="J45" s="449"/>
      <c r="K45" s="415"/>
      <c r="L45" s="415"/>
      <c r="N45" s="290"/>
      <c r="O45" s="290"/>
      <c r="P45" s="290"/>
      <c r="Q45" s="290"/>
      <c r="R45" s="290"/>
      <c r="S45" s="290"/>
      <c r="T45" s="290"/>
      <c r="U45" s="290"/>
      <c r="V45" s="290"/>
    </row>
    <row r="46" spans="1:22" ht="13.5" thickBot="1" x14ac:dyDescent="0.25">
      <c r="B46" s="415"/>
      <c r="C46" s="415"/>
      <c r="D46" s="415"/>
      <c r="E46" s="415"/>
      <c r="F46" s="415"/>
      <c r="G46" s="415"/>
      <c r="H46" s="415"/>
      <c r="I46" s="415"/>
      <c r="J46" s="415"/>
      <c r="K46" s="415"/>
      <c r="L46" s="415"/>
    </row>
    <row r="47" spans="1:22" x14ac:dyDescent="0.2">
      <c r="B47" s="417" t="s">
        <v>264</v>
      </c>
      <c r="C47" s="418"/>
      <c r="D47" s="418"/>
      <c r="E47" s="418"/>
      <c r="F47" s="418"/>
      <c r="G47" s="418"/>
      <c r="H47" s="418"/>
      <c r="I47" s="418"/>
      <c r="J47" s="419"/>
      <c r="K47" s="415"/>
      <c r="L47" s="415"/>
      <c r="N47" s="264" t="s">
        <v>264</v>
      </c>
      <c r="O47" s="265"/>
      <c r="P47" s="265"/>
      <c r="Q47" s="265"/>
      <c r="R47" s="265"/>
      <c r="S47" s="265"/>
      <c r="T47" s="265"/>
      <c r="U47" s="265"/>
      <c r="V47" s="266"/>
    </row>
    <row r="48" spans="1:22" x14ac:dyDescent="0.2">
      <c r="B48" s="420" t="s">
        <v>265</v>
      </c>
      <c r="C48" s="421"/>
      <c r="D48" s="421"/>
      <c r="E48" s="421"/>
      <c r="F48" s="421"/>
      <c r="G48" s="421"/>
      <c r="H48" s="421"/>
      <c r="I48" s="421"/>
      <c r="J48" s="422"/>
      <c r="K48" s="415"/>
      <c r="L48" s="415"/>
      <c r="N48" s="267" t="s">
        <v>265</v>
      </c>
      <c r="O48" s="7"/>
      <c r="P48" s="7"/>
      <c r="Q48" s="7"/>
      <c r="R48" s="7"/>
      <c r="S48" s="7"/>
      <c r="T48" s="7"/>
      <c r="U48" s="7"/>
      <c r="V48" s="268"/>
    </row>
    <row r="49" spans="1:22" x14ac:dyDescent="0.2">
      <c r="B49" s="423"/>
      <c r="C49" s="424"/>
      <c r="D49" s="424"/>
      <c r="E49" s="424"/>
      <c r="F49" s="424"/>
      <c r="G49" s="424"/>
      <c r="H49" s="424"/>
      <c r="I49" s="424"/>
      <c r="J49" s="425"/>
      <c r="K49" s="415"/>
      <c r="L49" s="415"/>
      <c r="N49" s="257"/>
      <c r="O49" s="38"/>
      <c r="P49" s="38"/>
      <c r="Q49" s="38"/>
      <c r="R49" s="38"/>
      <c r="S49" s="38"/>
      <c r="T49" s="38"/>
      <c r="U49" s="38"/>
      <c r="V49" s="258"/>
    </row>
    <row r="50" spans="1:22" x14ac:dyDescent="0.2">
      <c r="B50" s="426" t="s">
        <v>248</v>
      </c>
      <c r="C50" s="547" t="s">
        <v>249</v>
      </c>
      <c r="D50" s="548"/>
      <c r="E50" s="549"/>
      <c r="F50" s="547" t="s">
        <v>250</v>
      </c>
      <c r="G50" s="548"/>
      <c r="H50" s="549"/>
      <c r="I50" s="547" t="s">
        <v>251</v>
      </c>
      <c r="J50" s="550"/>
      <c r="K50" s="415"/>
      <c r="L50" s="415"/>
      <c r="N50" s="259" t="s">
        <v>248</v>
      </c>
      <c r="O50" s="543" t="s">
        <v>249</v>
      </c>
      <c r="P50" s="545"/>
      <c r="Q50" s="544"/>
      <c r="R50" s="543" t="s">
        <v>250</v>
      </c>
      <c r="S50" s="545"/>
      <c r="T50" s="544"/>
      <c r="U50" s="543" t="s">
        <v>251</v>
      </c>
      <c r="V50" s="546"/>
    </row>
    <row r="51" spans="1:22" ht="51" x14ac:dyDescent="0.2">
      <c r="A51" s="2" t="s">
        <v>433</v>
      </c>
      <c r="B51" s="427" t="s">
        <v>252</v>
      </c>
      <c r="C51" s="431" t="s">
        <v>253</v>
      </c>
      <c r="D51" s="432" t="s">
        <v>254</v>
      </c>
      <c r="E51" s="433" t="s">
        <v>255</v>
      </c>
      <c r="F51" s="431" t="s">
        <v>256</v>
      </c>
      <c r="G51" s="432" t="s">
        <v>257</v>
      </c>
      <c r="H51" s="433" t="s">
        <v>255</v>
      </c>
      <c r="I51" s="432" t="s">
        <v>258</v>
      </c>
      <c r="J51" s="434" t="s">
        <v>259</v>
      </c>
      <c r="K51" s="415"/>
      <c r="L51" s="415"/>
      <c r="N51" s="260" t="s">
        <v>252</v>
      </c>
      <c r="O51" s="269" t="s">
        <v>253</v>
      </c>
      <c r="P51" s="270" t="s">
        <v>254</v>
      </c>
      <c r="Q51" s="271" t="s">
        <v>255</v>
      </c>
      <c r="R51" s="269" t="s">
        <v>256</v>
      </c>
      <c r="S51" s="270" t="s">
        <v>257</v>
      </c>
      <c r="T51" s="271" t="s">
        <v>255</v>
      </c>
      <c r="U51" s="270" t="s">
        <v>258</v>
      </c>
      <c r="V51" s="272" t="s">
        <v>259</v>
      </c>
    </row>
    <row r="52" spans="1:22" x14ac:dyDescent="0.2">
      <c r="A52" t="str">
        <f>"120/200"&amp;ROUND(B52,0)</f>
        <v>120/200120</v>
      </c>
      <c r="B52" s="435">
        <v>119.90899723999999</v>
      </c>
      <c r="C52" s="450">
        <v>0.15213305302217844</v>
      </c>
      <c r="D52" s="439">
        <v>2.2681305202526644E-2</v>
      </c>
      <c r="E52" s="438">
        <v>68.00069900375496</v>
      </c>
      <c r="F52" s="450">
        <v>7.5885012454326176E-2</v>
      </c>
      <c r="G52" s="439">
        <v>1.7092397901526349E-2</v>
      </c>
      <c r="H52" s="438">
        <v>47.345132453902309</v>
      </c>
      <c r="I52" s="450">
        <v>1.4116570676252466E-2</v>
      </c>
      <c r="J52" s="451">
        <v>-9.3672629778943084E-4</v>
      </c>
      <c r="K52" s="415"/>
      <c r="L52" s="415"/>
      <c r="N52" s="273">
        <v>117.66056873999999</v>
      </c>
      <c r="O52" s="277">
        <v>0.14836914332564374</v>
      </c>
      <c r="P52" s="278">
        <v>1.5880817970718979E-2</v>
      </c>
      <c r="Q52" s="276">
        <v>5</v>
      </c>
      <c r="R52" s="277">
        <v>0.15721842710900885</v>
      </c>
      <c r="S52" s="278">
        <v>4.5086593779981483E-2</v>
      </c>
      <c r="T52" s="276">
        <v>5</v>
      </c>
      <c r="U52" s="277">
        <v>1.0352660979717765E-2</v>
      </c>
      <c r="V52" s="279">
        <v>8.0396688356893245E-2</v>
      </c>
    </row>
    <row r="53" spans="1:22" x14ac:dyDescent="0.2">
      <c r="A53" t="str">
        <f t="shared" ref="A53:A58" si="3">"120/200"&amp;ROUND(B53,0)</f>
        <v>120/200100</v>
      </c>
      <c r="B53" s="441">
        <v>100.16515392000001</v>
      </c>
      <c r="C53" s="450">
        <v>0.16881396356939835</v>
      </c>
      <c r="D53" s="439">
        <v>2.4131313466023582E-2</v>
      </c>
      <c r="E53" s="443">
        <v>59.567261398457461</v>
      </c>
      <c r="F53" s="450">
        <v>7.3590724152435352E-2</v>
      </c>
      <c r="G53" s="439">
        <v>1.6933288916776063E-2</v>
      </c>
      <c r="H53" s="443">
        <v>45.732629829898706</v>
      </c>
      <c r="I53" s="450">
        <v>1.4399398453936341E-2</v>
      </c>
      <c r="J53" s="451">
        <v>-1.5114285427130503E-3</v>
      </c>
      <c r="K53" s="415"/>
      <c r="L53" s="415"/>
      <c r="N53" s="280">
        <v>99.915426539999999</v>
      </c>
      <c r="O53" s="277">
        <v>0.1596215052462624</v>
      </c>
      <c r="P53" s="278">
        <v>1.6278938663700775E-2</v>
      </c>
      <c r="Q53" s="285">
        <v>5</v>
      </c>
      <c r="R53" s="277">
        <v>0.15634171190373808</v>
      </c>
      <c r="S53" s="278">
        <v>4.5086593779981483E-2</v>
      </c>
      <c r="T53" s="285">
        <v>5</v>
      </c>
      <c r="U53" s="277">
        <v>5.2069401308003915E-3</v>
      </c>
      <c r="V53" s="279">
        <v>8.1239559208589676E-2</v>
      </c>
    </row>
    <row r="54" spans="1:22" x14ac:dyDescent="0.2">
      <c r="A54" t="str">
        <f t="shared" si="3"/>
        <v>120/20060</v>
      </c>
      <c r="B54" s="441">
        <v>60.079884224000004</v>
      </c>
      <c r="C54" s="450">
        <v>0.21956276025286839</v>
      </c>
      <c r="D54" s="439">
        <v>2.970909824827871E-2</v>
      </c>
      <c r="E54" s="443">
        <v>42.291164682130272</v>
      </c>
      <c r="F54" s="450">
        <v>5.5507836163637803E-2</v>
      </c>
      <c r="G54" s="439">
        <v>1.6017059195029239E-2</v>
      </c>
      <c r="H54" s="443">
        <v>48.978667479860043</v>
      </c>
      <c r="I54" s="450">
        <v>2.0132551792125392E-2</v>
      </c>
      <c r="J54" s="451">
        <v>-1.0561601231110399E-2</v>
      </c>
      <c r="K54" s="415"/>
      <c r="L54" s="415"/>
      <c r="N54" s="280">
        <v>60.049026724000001</v>
      </c>
      <c r="O54" s="277">
        <v>0.21208712807656116</v>
      </c>
      <c r="P54" s="278">
        <v>2.0447664234290862E-2</v>
      </c>
      <c r="Q54" s="285">
        <v>5</v>
      </c>
      <c r="R54" s="277">
        <v>0.13961408852019719</v>
      </c>
      <c r="S54" s="278">
        <v>4.5086593779981483E-2</v>
      </c>
      <c r="T54" s="285">
        <v>5</v>
      </c>
      <c r="U54" s="277">
        <v>1.2656919615818163E-2</v>
      </c>
      <c r="V54" s="279">
        <v>7.3544651125448987E-2</v>
      </c>
    </row>
    <row r="55" spans="1:22" x14ac:dyDescent="0.2">
      <c r="A55" t="str">
        <f t="shared" si="3"/>
        <v>120/20040</v>
      </c>
      <c r="B55" s="441">
        <v>40.071349826000002</v>
      </c>
      <c r="C55" s="450">
        <v>0.25200167333853629</v>
      </c>
      <c r="D55" s="439">
        <v>3.3964590328801364E-2</v>
      </c>
      <c r="E55" s="443">
        <v>38.659909732018328</v>
      </c>
      <c r="F55" s="450">
        <v>5.7416420558101512E-2</v>
      </c>
      <c r="G55" s="439">
        <v>1.6849048737447556E-2</v>
      </c>
      <c r="H55" s="443">
        <v>52.499330597885681</v>
      </c>
      <c r="I55" s="450">
        <v>2.222998689784228E-2</v>
      </c>
      <c r="J55" s="451">
        <v>-7.8141916246186882E-5</v>
      </c>
      <c r="K55" s="415"/>
      <c r="L55" s="415"/>
      <c r="N55" s="280">
        <v>40.094040904000003</v>
      </c>
      <c r="O55" s="277">
        <v>0.24706502039020384</v>
      </c>
      <c r="P55" s="278">
        <v>2.3633543357345223E-2</v>
      </c>
      <c r="Q55" s="285">
        <v>5</v>
      </c>
      <c r="R55" s="277">
        <v>0.13065436901270489</v>
      </c>
      <c r="S55" s="278">
        <v>4.5086593779981483E-2</v>
      </c>
      <c r="T55" s="285">
        <v>5</v>
      </c>
      <c r="U55" s="277">
        <v>1.7293333949509826E-2</v>
      </c>
      <c r="V55" s="279">
        <v>7.3159806538357186E-2</v>
      </c>
    </row>
    <row r="56" spans="1:22" x14ac:dyDescent="0.2">
      <c r="A56" t="str">
        <f t="shared" si="3"/>
        <v>120/20020</v>
      </c>
      <c r="B56" s="441">
        <v>19.999084906</v>
      </c>
      <c r="C56" s="450">
        <v>0.31280516301103778</v>
      </c>
      <c r="D56" s="439">
        <v>4.1783202303610198E-2</v>
      </c>
      <c r="E56" s="443">
        <v>36.657700403051521</v>
      </c>
      <c r="F56" s="450">
        <v>4.5493238991726803E-2</v>
      </c>
      <c r="G56" s="439">
        <v>1.9770475075939077E-2</v>
      </c>
      <c r="H56" s="443">
        <v>53.09445811850042</v>
      </c>
      <c r="I56" s="450">
        <v>4.5247395263243784E-2</v>
      </c>
      <c r="J56" s="451">
        <v>-1.185320375634985E-4</v>
      </c>
      <c r="K56" s="415"/>
      <c r="L56" s="415"/>
      <c r="N56" s="280">
        <v>20.242127338</v>
      </c>
      <c r="O56" s="277">
        <v>0.29095423993023634</v>
      </c>
      <c r="P56" s="278">
        <v>2.9789634413326282E-2</v>
      </c>
      <c r="Q56" s="285">
        <v>5</v>
      </c>
      <c r="R56" s="277">
        <v>0.11558979632792932</v>
      </c>
      <c r="S56" s="278">
        <v>4.5086593779981483E-2</v>
      </c>
      <c r="T56" s="285">
        <v>5</v>
      </c>
      <c r="U56" s="277">
        <v>2.3396472182442341E-2</v>
      </c>
      <c r="V56" s="279">
        <v>6.9978025298639016E-2</v>
      </c>
    </row>
    <row r="57" spans="1:22" x14ac:dyDescent="0.2">
      <c r="A57" t="str">
        <f t="shared" si="3"/>
        <v>120/20010</v>
      </c>
      <c r="B57" s="441">
        <v>9.999829483800001</v>
      </c>
      <c r="C57" s="450">
        <v>0.34690340839935313</v>
      </c>
      <c r="D57" s="439">
        <v>5.0170517941146887E-2</v>
      </c>
      <c r="E57" s="443">
        <v>38.265350164989712</v>
      </c>
      <c r="F57" s="450">
        <v>2.6036797087866981E-2</v>
      </c>
      <c r="G57" s="439">
        <v>2.6007385215056779E-2</v>
      </c>
      <c r="H57" s="443">
        <v>16.586629386739094</v>
      </c>
      <c r="I57" s="450">
        <v>5.657353349337213E-2</v>
      </c>
      <c r="J57" s="451">
        <v>-1.2427460242454617E-2</v>
      </c>
      <c r="K57" s="415"/>
      <c r="L57" s="415"/>
      <c r="N57" s="280">
        <v>10.0535274</v>
      </c>
      <c r="O57" s="277">
        <v>0.33152953213379704</v>
      </c>
      <c r="P57" s="278">
        <v>4.5135325342814371E-2</v>
      </c>
      <c r="Q57" s="285">
        <v>5</v>
      </c>
      <c r="R57" s="277">
        <v>0.11831896848118796</v>
      </c>
      <c r="S57" s="278">
        <v>4.5086593779981483E-2</v>
      </c>
      <c r="T57" s="285">
        <v>5</v>
      </c>
      <c r="U57" s="277">
        <v>4.1199657227816044E-2</v>
      </c>
      <c r="V57" s="279">
        <v>7.985471115086637E-2</v>
      </c>
    </row>
    <row r="58" spans="1:22" ht="13.5" thickBot="1" x14ac:dyDescent="0.25">
      <c r="A58" t="str">
        <f t="shared" si="3"/>
        <v>120/2005</v>
      </c>
      <c r="B58" s="441">
        <v>4.9392275202000002</v>
      </c>
      <c r="C58" s="450">
        <v>0.36805932694608762</v>
      </c>
      <c r="D58" s="439">
        <v>6.4429594675743468E-2</v>
      </c>
      <c r="E58" s="443">
        <v>26.31606241070681</v>
      </c>
      <c r="F58" s="450">
        <v>4.6965346060309596E-2</v>
      </c>
      <c r="G58" s="439">
        <v>4.6788986298833414E-2</v>
      </c>
      <c r="H58" s="443">
        <v>9.9413455012810044</v>
      </c>
      <c r="I58" s="450">
        <v>6.6241968826777242E-2</v>
      </c>
      <c r="J58" s="451">
        <v>-3.7333363595236604E-2</v>
      </c>
      <c r="K58" s="415"/>
      <c r="L58" s="415"/>
      <c r="N58" s="286"/>
      <c r="O58" s="287"/>
      <c r="P58" s="287"/>
      <c r="Q58" s="288"/>
      <c r="R58" s="287"/>
      <c r="S58" s="287"/>
      <c r="T58" s="288"/>
      <c r="U58" s="287"/>
      <c r="V58" s="289"/>
    </row>
    <row r="59" spans="1:22" ht="13.5" thickBot="1" x14ac:dyDescent="0.25">
      <c r="B59" s="445"/>
      <c r="C59" s="447"/>
      <c r="D59" s="447"/>
      <c r="E59" s="448"/>
      <c r="F59" s="447"/>
      <c r="G59" s="447"/>
      <c r="H59" s="448"/>
      <c r="I59" s="447"/>
      <c r="J59" s="449"/>
      <c r="K59" s="415"/>
      <c r="L59" s="415"/>
      <c r="N59" s="290"/>
      <c r="O59" s="290"/>
      <c r="P59" s="290"/>
      <c r="Q59" s="290"/>
      <c r="R59" s="290"/>
      <c r="S59" s="290"/>
      <c r="T59" s="290"/>
      <c r="U59" s="290"/>
      <c r="V59" s="290"/>
    </row>
    <row r="60" spans="1:22" ht="13.5" thickBot="1" x14ac:dyDescent="0.25">
      <c r="B60" s="452"/>
      <c r="C60" s="452"/>
      <c r="D60" s="452"/>
      <c r="E60" s="452"/>
      <c r="F60" s="452"/>
      <c r="G60" s="452"/>
      <c r="H60" s="452"/>
      <c r="I60" s="452"/>
      <c r="J60" s="452"/>
      <c r="K60" s="415"/>
      <c r="L60" s="415"/>
      <c r="N60" s="290"/>
      <c r="O60" s="290"/>
      <c r="P60" s="290"/>
      <c r="Q60" s="290"/>
      <c r="R60" s="290"/>
      <c r="S60" s="290"/>
      <c r="T60" s="290"/>
      <c r="U60" s="290"/>
      <c r="V60" s="290"/>
    </row>
    <row r="61" spans="1:22" x14ac:dyDescent="0.2">
      <c r="B61" s="417" t="s">
        <v>266</v>
      </c>
      <c r="C61" s="418"/>
      <c r="D61" s="418"/>
      <c r="E61" s="418"/>
      <c r="F61" s="418"/>
      <c r="G61" s="418"/>
      <c r="H61" s="418"/>
      <c r="I61" s="418"/>
      <c r="J61" s="419"/>
      <c r="K61" s="415"/>
      <c r="L61" s="415"/>
      <c r="N61" s="264" t="s">
        <v>266</v>
      </c>
      <c r="O61" s="265"/>
      <c r="P61" s="265"/>
      <c r="Q61" s="265"/>
      <c r="R61" s="265"/>
      <c r="S61" s="265"/>
      <c r="T61" s="265"/>
      <c r="U61" s="265"/>
      <c r="V61" s="266"/>
    </row>
    <row r="62" spans="1:22" x14ac:dyDescent="0.2">
      <c r="B62" s="420" t="s">
        <v>267</v>
      </c>
      <c r="C62" s="421"/>
      <c r="D62" s="421"/>
      <c r="E62" s="421"/>
      <c r="F62" s="421"/>
      <c r="G62" s="421"/>
      <c r="H62" s="421"/>
      <c r="I62" s="421"/>
      <c r="J62" s="422"/>
      <c r="K62" s="415"/>
      <c r="L62" s="415"/>
      <c r="N62" s="267" t="s">
        <v>267</v>
      </c>
      <c r="O62" s="7"/>
      <c r="P62" s="7"/>
      <c r="Q62" s="7"/>
      <c r="R62" s="7"/>
      <c r="S62" s="7"/>
      <c r="T62" s="7"/>
      <c r="U62" s="7"/>
      <c r="V62" s="268"/>
    </row>
    <row r="63" spans="1:22" x14ac:dyDescent="0.2">
      <c r="B63" s="423"/>
      <c r="C63" s="424"/>
      <c r="D63" s="424"/>
      <c r="E63" s="424"/>
      <c r="F63" s="424"/>
      <c r="G63" s="424"/>
      <c r="H63" s="424"/>
      <c r="I63" s="424"/>
      <c r="J63" s="425"/>
      <c r="K63" s="415"/>
      <c r="L63" s="415"/>
      <c r="N63" s="257"/>
      <c r="O63" s="38"/>
      <c r="P63" s="38"/>
      <c r="Q63" s="38"/>
      <c r="R63" s="38"/>
      <c r="S63" s="38"/>
      <c r="T63" s="38"/>
      <c r="U63" s="38"/>
      <c r="V63" s="258"/>
    </row>
    <row r="64" spans="1:22" x14ac:dyDescent="0.2">
      <c r="B64" s="426" t="s">
        <v>248</v>
      </c>
      <c r="C64" s="547" t="s">
        <v>249</v>
      </c>
      <c r="D64" s="548"/>
      <c r="E64" s="549"/>
      <c r="F64" s="547" t="s">
        <v>250</v>
      </c>
      <c r="G64" s="548"/>
      <c r="H64" s="549"/>
      <c r="I64" s="547" t="s">
        <v>251</v>
      </c>
      <c r="J64" s="550"/>
      <c r="K64" s="415"/>
      <c r="L64" s="415"/>
      <c r="N64" s="259" t="s">
        <v>248</v>
      </c>
      <c r="O64" s="543" t="s">
        <v>249</v>
      </c>
      <c r="P64" s="545"/>
      <c r="Q64" s="544"/>
      <c r="R64" s="543" t="s">
        <v>250</v>
      </c>
      <c r="S64" s="545"/>
      <c r="T64" s="544"/>
      <c r="U64" s="543" t="s">
        <v>251</v>
      </c>
      <c r="V64" s="546"/>
    </row>
    <row r="65" spans="1:22" ht="51" x14ac:dyDescent="0.2">
      <c r="A65" s="2" t="s">
        <v>434</v>
      </c>
      <c r="B65" s="427" t="s">
        <v>252</v>
      </c>
      <c r="C65" s="431" t="s">
        <v>253</v>
      </c>
      <c r="D65" s="432" t="s">
        <v>254</v>
      </c>
      <c r="E65" s="433" t="s">
        <v>255</v>
      </c>
      <c r="F65" s="431" t="s">
        <v>256</v>
      </c>
      <c r="G65" s="432" t="s">
        <v>257</v>
      </c>
      <c r="H65" s="433" t="s">
        <v>255</v>
      </c>
      <c r="I65" s="432" t="s">
        <v>258</v>
      </c>
      <c r="J65" s="434" t="s">
        <v>259</v>
      </c>
      <c r="K65" s="415"/>
      <c r="L65" s="415"/>
      <c r="N65" s="260" t="s">
        <v>252</v>
      </c>
      <c r="O65" s="269" t="s">
        <v>253</v>
      </c>
      <c r="P65" s="270" t="s">
        <v>254</v>
      </c>
      <c r="Q65" s="271" t="s">
        <v>255</v>
      </c>
      <c r="R65" s="269" t="s">
        <v>256</v>
      </c>
      <c r="S65" s="270" t="s">
        <v>257</v>
      </c>
      <c r="T65" s="271" t="s">
        <v>255</v>
      </c>
      <c r="U65" s="270" t="s">
        <v>258</v>
      </c>
      <c r="V65" s="272" t="s">
        <v>259</v>
      </c>
    </row>
    <row r="66" spans="1:22" x14ac:dyDescent="0.2">
      <c r="A66" t="str">
        <f t="shared" ref="A66:A72" si="4">"100/500"&amp;ROUND(B66,0)</f>
        <v>100/500120</v>
      </c>
      <c r="B66" s="441">
        <v>119.66667364000001</v>
      </c>
      <c r="C66" s="450">
        <v>-0.10273283205552934</v>
      </c>
      <c r="D66" s="439">
        <v>1.8295886934784636E-2</v>
      </c>
      <c r="E66" s="443">
        <v>52.992849928943109</v>
      </c>
      <c r="F66" s="450">
        <v>2.6678024887283512E-2</v>
      </c>
      <c r="G66" s="439">
        <v>1.4551976086753656E-2</v>
      </c>
      <c r="H66" s="443">
        <v>37.046839680257939</v>
      </c>
      <c r="I66" s="450">
        <v>-0.27292863544435031</v>
      </c>
      <c r="J66" s="451">
        <v>-8.732408733754049E-2</v>
      </c>
      <c r="K66" s="415"/>
      <c r="L66" s="415"/>
      <c r="N66" s="273"/>
      <c r="O66" s="277"/>
      <c r="P66" s="278"/>
      <c r="Q66" s="276"/>
      <c r="R66" s="277"/>
      <c r="S66" s="278"/>
      <c r="T66" s="276"/>
      <c r="U66" s="277"/>
      <c r="V66" s="279"/>
    </row>
    <row r="67" spans="1:22" x14ac:dyDescent="0.2">
      <c r="A67" t="str">
        <f t="shared" si="4"/>
        <v>100/500100</v>
      </c>
      <c r="B67" s="441">
        <v>100.02898456</v>
      </c>
      <c r="C67" s="450">
        <v>-8.2498579719605572E-2</v>
      </c>
      <c r="D67" s="439">
        <v>1.8956626609729386E-2</v>
      </c>
      <c r="E67" s="443">
        <v>46.1075151157861</v>
      </c>
      <c r="F67" s="450">
        <v>1.6971980492755709E-2</v>
      </c>
      <c r="G67" s="439">
        <v>1.4311967938516405E-2</v>
      </c>
      <c r="H67" s="443">
        <v>35.794797431999896</v>
      </c>
      <c r="I67" s="450">
        <v>-0.27304445884250955</v>
      </c>
      <c r="J67" s="451">
        <v>-9.6887706352113301E-2</v>
      </c>
      <c r="K67" s="415"/>
      <c r="L67" s="415"/>
      <c r="N67" s="280">
        <v>99.611517662000011</v>
      </c>
      <c r="O67" s="277">
        <v>0.54640760694846324</v>
      </c>
      <c r="P67" s="278">
        <v>3.1825247579431531E-2</v>
      </c>
      <c r="Q67" s="285">
        <v>5</v>
      </c>
      <c r="R67" s="277">
        <v>0.35994836512551204</v>
      </c>
      <c r="S67" s="278">
        <v>4.5086593779981483E-2</v>
      </c>
      <c r="T67" s="285">
        <v>5</v>
      </c>
      <c r="U67" s="277">
        <v>0.35586172782555925</v>
      </c>
      <c r="V67" s="279">
        <v>0.24608867828064301</v>
      </c>
    </row>
    <row r="68" spans="1:22" x14ac:dyDescent="0.2">
      <c r="A68" t="str">
        <f t="shared" si="4"/>
        <v>100/50060</v>
      </c>
      <c r="B68" s="441">
        <v>60.015608854</v>
      </c>
      <c r="C68" s="450">
        <v>-5.4520588644240149E-2</v>
      </c>
      <c r="D68" s="439">
        <v>2.2530884288471498E-2</v>
      </c>
      <c r="E68" s="443">
        <v>32.309008121776252</v>
      </c>
      <c r="F68" s="450">
        <v>4.9589713461817555E-3</v>
      </c>
      <c r="G68" s="439">
        <v>1.3813293909315565E-2</v>
      </c>
      <c r="H68" s="443">
        <v>38.941228878414144</v>
      </c>
      <c r="I68" s="450">
        <v>-0.30474948281474712</v>
      </c>
      <c r="J68" s="451">
        <v>-0.10265381943685024</v>
      </c>
      <c r="K68" s="415"/>
      <c r="L68" s="415"/>
      <c r="N68" s="280">
        <v>59.981850372000004</v>
      </c>
      <c r="O68" s="277">
        <v>0.62086238459036192</v>
      </c>
      <c r="P68" s="278">
        <v>3.7095752362213318E-2</v>
      </c>
      <c r="Q68" s="285">
        <v>5</v>
      </c>
      <c r="R68" s="277">
        <v>0.33620188570819387</v>
      </c>
      <c r="S68" s="278">
        <v>4.5086593779981483E-2</v>
      </c>
      <c r="T68" s="285">
        <v>5</v>
      </c>
      <c r="U68" s="277">
        <v>0.37063349041985494</v>
      </c>
      <c r="V68" s="279">
        <v>0.22858909492516188</v>
      </c>
    </row>
    <row r="69" spans="1:22" x14ac:dyDescent="0.2">
      <c r="A69" t="str">
        <f t="shared" si="4"/>
        <v>100/50040</v>
      </c>
      <c r="B69" s="441">
        <v>39.986475329999998</v>
      </c>
      <c r="C69" s="450">
        <v>-3.330705314182917E-2</v>
      </c>
      <c r="D69" s="439">
        <v>2.5730888296073045E-2</v>
      </c>
      <c r="E69" s="443">
        <v>29.817691439368154</v>
      </c>
      <c r="F69" s="450">
        <v>6.9880834743435071E-3</v>
      </c>
      <c r="G69" s="439">
        <v>1.4424795287986404E-2</v>
      </c>
      <c r="H69" s="443">
        <v>41.183878201319992</v>
      </c>
      <c r="I69" s="450">
        <v>-0.32549986350682519</v>
      </c>
      <c r="J69" s="451">
        <v>-9.2954214158085607E-2</v>
      </c>
      <c r="K69" s="415"/>
      <c r="L69" s="415"/>
      <c r="N69" s="280">
        <v>40.233165411999998</v>
      </c>
      <c r="O69" s="277">
        <v>0.6545947137162218</v>
      </c>
      <c r="P69" s="278">
        <v>4.0977170764233267E-2</v>
      </c>
      <c r="Q69" s="285">
        <v>5</v>
      </c>
      <c r="R69" s="277">
        <v>0.33774750493078942</v>
      </c>
      <c r="S69" s="278">
        <v>4.5086593779981483E-2</v>
      </c>
      <c r="T69" s="285">
        <v>5</v>
      </c>
      <c r="U69" s="277">
        <v>0.3624019033512258</v>
      </c>
      <c r="V69" s="279">
        <v>0.2378052072983603</v>
      </c>
    </row>
    <row r="70" spans="1:22" x14ac:dyDescent="0.2">
      <c r="A70" t="str">
        <f t="shared" si="4"/>
        <v>100/50020</v>
      </c>
      <c r="B70" s="441">
        <v>20.004374869999999</v>
      </c>
      <c r="C70" s="450">
        <v>1.2524470562496524E-2</v>
      </c>
      <c r="D70" s="439">
        <v>3.1349737027076635E-2</v>
      </c>
      <c r="E70" s="443">
        <v>28.27852719903964</v>
      </c>
      <c r="F70" s="450">
        <v>-2.1786290507728297E-2</v>
      </c>
      <c r="G70" s="439">
        <v>1.8147427661444039E-2</v>
      </c>
      <c r="H70" s="443">
        <v>45.96748976299007</v>
      </c>
      <c r="I70" s="450">
        <v>-0.33259776049508849</v>
      </c>
      <c r="J70" s="451">
        <v>-0.11200337955342601</v>
      </c>
      <c r="K70" s="415"/>
      <c r="L70" s="415"/>
      <c r="N70" s="280">
        <v>20.007466214000001</v>
      </c>
      <c r="O70" s="277">
        <v>0.71062049400808847</v>
      </c>
      <c r="P70" s="278">
        <v>4.7689958845213903E-2</v>
      </c>
      <c r="Q70" s="285">
        <v>5</v>
      </c>
      <c r="R70" s="277">
        <v>0.32824996676334517</v>
      </c>
      <c r="S70" s="278">
        <v>4.5086593779981483E-2</v>
      </c>
      <c r="T70" s="285">
        <v>5</v>
      </c>
      <c r="U70" s="277">
        <v>0.36549826295050347</v>
      </c>
      <c r="V70" s="279">
        <v>0.23803287771764747</v>
      </c>
    </row>
    <row r="71" spans="1:22" x14ac:dyDescent="0.2">
      <c r="A71" t="str">
        <f t="shared" si="4"/>
        <v>100/50010</v>
      </c>
      <c r="B71" s="441">
        <v>10.014578373999999</v>
      </c>
      <c r="C71" s="450">
        <v>3.9200285856382265E-2</v>
      </c>
      <c r="D71" s="439">
        <v>3.8970970976925777E-2</v>
      </c>
      <c r="E71" s="443">
        <v>29.84467012079725</v>
      </c>
      <c r="F71" s="450">
        <v>-2.690834427300209E-2</v>
      </c>
      <c r="G71" s="439">
        <v>2.4531274446844199E-2</v>
      </c>
      <c r="H71" s="443">
        <v>14.786008712790281</v>
      </c>
      <c r="I71" s="450">
        <v>-0.33799334069697673</v>
      </c>
      <c r="J71" s="451">
        <v>-0.1131233753010943</v>
      </c>
      <c r="K71" s="415"/>
      <c r="L71" s="415"/>
      <c r="N71" s="280">
        <v>9.9802665546</v>
      </c>
      <c r="O71" s="277">
        <v>0.77251729359210541</v>
      </c>
      <c r="P71" s="278">
        <v>6.2278066073460682E-2</v>
      </c>
      <c r="Q71" s="285">
        <v>5</v>
      </c>
      <c r="R71" s="277">
        <v>0.32909980159000068</v>
      </c>
      <c r="S71" s="278">
        <v>4.5086593779981483E-2</v>
      </c>
      <c r="T71" s="285">
        <v>5</v>
      </c>
      <c r="U71" s="277">
        <v>0.39532366703874644</v>
      </c>
      <c r="V71" s="279">
        <v>0.24288477056190849</v>
      </c>
    </row>
    <row r="72" spans="1:22" ht="13.5" thickBot="1" x14ac:dyDescent="0.25">
      <c r="A72" t="str">
        <f t="shared" si="4"/>
        <v>100/5005</v>
      </c>
      <c r="B72" s="441">
        <v>5.0256175958</v>
      </c>
      <c r="C72" s="450">
        <v>5.5034085585151292E-2</v>
      </c>
      <c r="D72" s="439">
        <v>5.4820493375693558E-2</v>
      </c>
      <c r="E72" s="443">
        <v>20.617791572739396</v>
      </c>
      <c r="F72" s="450">
        <v>-1.756844024903096E-2</v>
      </c>
      <c r="G72" s="439">
        <v>4.421445692838117E-2</v>
      </c>
      <c r="H72" s="443">
        <v>8.4048502181639559</v>
      </c>
      <c r="I72" s="450">
        <v>-0.34148222930208616</v>
      </c>
      <c r="J72" s="451">
        <v>-8.2796004830150677E-2</v>
      </c>
      <c r="K72" s="415"/>
      <c r="L72" s="415"/>
      <c r="N72" s="286"/>
      <c r="O72" s="287"/>
      <c r="P72" s="287"/>
      <c r="Q72" s="288"/>
      <c r="R72" s="287"/>
      <c r="S72" s="287"/>
      <c r="T72" s="288"/>
      <c r="U72" s="287"/>
      <c r="V72" s="289"/>
    </row>
    <row r="73" spans="1:22" ht="13.5" thickBot="1" x14ac:dyDescent="0.25">
      <c r="B73" s="445"/>
      <c r="C73" s="447"/>
      <c r="D73" s="447"/>
      <c r="E73" s="448"/>
      <c r="F73" s="447"/>
      <c r="G73" s="447"/>
      <c r="H73" s="448"/>
      <c r="I73" s="447"/>
      <c r="J73" s="449"/>
      <c r="K73" s="415"/>
      <c r="L73" s="415"/>
    </row>
    <row r="74" spans="1:22" x14ac:dyDescent="0.2">
      <c r="B74" s="415"/>
      <c r="C74" s="415"/>
      <c r="D74" s="415"/>
      <c r="E74" s="415"/>
      <c r="F74" s="415"/>
      <c r="G74" s="415"/>
      <c r="H74" s="415"/>
      <c r="I74" s="415"/>
      <c r="J74" s="415"/>
      <c r="K74" s="415"/>
      <c r="L74" s="415"/>
    </row>
  </sheetData>
  <sheetProtection sheet="1" objects="1" scenarios="1"/>
  <mergeCells count="30">
    <mergeCell ref="F64:H64"/>
    <mergeCell ref="I64:J64"/>
    <mergeCell ref="U8:V8"/>
    <mergeCell ref="C22:E22"/>
    <mergeCell ref="F22:H22"/>
    <mergeCell ref="I22:J22"/>
    <mergeCell ref="O22:Q22"/>
    <mergeCell ref="R22:T22"/>
    <mergeCell ref="U22:V22"/>
    <mergeCell ref="C8:E8"/>
    <mergeCell ref="F8:H8"/>
    <mergeCell ref="I8:J8"/>
    <mergeCell ref="O8:Q8"/>
    <mergeCell ref="R8:T8"/>
    <mergeCell ref="O64:Q64"/>
    <mergeCell ref="R64:T64"/>
    <mergeCell ref="U64:V64"/>
    <mergeCell ref="U36:V36"/>
    <mergeCell ref="C50:E50"/>
    <mergeCell ref="F50:H50"/>
    <mergeCell ref="I50:J50"/>
    <mergeCell ref="O50:Q50"/>
    <mergeCell ref="R50:T50"/>
    <mergeCell ref="U50:V50"/>
    <mergeCell ref="C36:E36"/>
    <mergeCell ref="F36:H36"/>
    <mergeCell ref="I36:J36"/>
    <mergeCell ref="O36:Q36"/>
    <mergeCell ref="R36:T36"/>
    <mergeCell ref="C64:E64"/>
  </mergeCells>
  <phoneticPr fontId="13" type="noConversion"/>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N234"/>
  <sheetViews>
    <sheetView topLeftCell="A148" zoomScale="75" workbookViewId="0">
      <selection activeCell="D35" sqref="D35:E41"/>
    </sheetView>
  </sheetViews>
  <sheetFormatPr defaultRowHeight="12.75" x14ac:dyDescent="0.2"/>
  <cols>
    <col min="1" max="1" width="10.85546875" customWidth="1"/>
    <col min="2" max="2" width="9.85546875" customWidth="1"/>
    <col min="3" max="3" width="11.42578125" customWidth="1"/>
    <col min="4" max="4" width="10.28515625" customWidth="1"/>
    <col min="5" max="6" width="11.42578125" customWidth="1"/>
    <col min="7" max="7" width="11.5703125" customWidth="1"/>
    <col min="14" max="15" width="10.7109375" customWidth="1"/>
    <col min="16" max="16" width="9.7109375" customWidth="1"/>
    <col min="17" max="17" width="10.140625" customWidth="1"/>
    <col min="18" max="18" width="11" customWidth="1"/>
    <col min="20" max="20" width="10.42578125" customWidth="1"/>
    <col min="21" max="21" width="13.140625" customWidth="1"/>
    <col min="23" max="23" width="11.85546875" customWidth="1"/>
    <col min="24" max="24" width="10.140625" bestFit="1" customWidth="1"/>
  </cols>
  <sheetData>
    <row r="1" spans="1:38" x14ac:dyDescent="0.2">
      <c r="C1" s="263" t="s">
        <v>290</v>
      </c>
      <c r="D1" s="1" t="s">
        <v>415</v>
      </c>
      <c r="M1" s="5"/>
      <c r="O1" s="263" t="s">
        <v>290</v>
      </c>
      <c r="P1" s="1" t="s">
        <v>283</v>
      </c>
      <c r="AB1" s="1" t="s">
        <v>100</v>
      </c>
      <c r="AF1" t="s">
        <v>109</v>
      </c>
      <c r="AK1" s="160" t="s">
        <v>167</v>
      </c>
      <c r="AL1" s="160"/>
    </row>
    <row r="2" spans="1:38" x14ac:dyDescent="0.2">
      <c r="B2">
        <v>4000</v>
      </c>
      <c r="C2" t="s">
        <v>413</v>
      </c>
      <c r="M2" s="5"/>
      <c r="N2" s="92">
        <v>5000</v>
      </c>
      <c r="O2" t="s">
        <v>114</v>
      </c>
      <c r="AB2">
        <v>4000</v>
      </c>
      <c r="AC2" t="s">
        <v>114</v>
      </c>
    </row>
    <row r="3" spans="1:38" x14ac:dyDescent="0.2">
      <c r="B3" s="61" t="s">
        <v>402</v>
      </c>
      <c r="C3" s="18"/>
      <c r="D3" s="18"/>
      <c r="E3" s="18"/>
      <c r="F3" s="18"/>
      <c r="G3" s="10"/>
      <c r="H3" s="10"/>
      <c r="I3" s="11"/>
      <c r="M3" s="5"/>
      <c r="N3" s="350" t="s">
        <v>292</v>
      </c>
      <c r="O3" s="133"/>
      <c r="P3" s="133"/>
      <c r="Q3" s="133"/>
      <c r="R3" s="133"/>
      <c r="S3" s="79"/>
      <c r="T3" s="79"/>
      <c r="U3" s="80"/>
      <c r="AB3" s="61" t="s">
        <v>97</v>
      </c>
      <c r="AC3" s="18"/>
      <c r="AD3" s="18"/>
      <c r="AE3" s="18"/>
      <c r="AF3" s="18"/>
      <c r="AG3" s="10"/>
      <c r="AH3" s="10"/>
      <c r="AI3" s="11"/>
    </row>
    <row r="4" spans="1:38" ht="25.5" x14ac:dyDescent="0.2">
      <c r="B4" s="12"/>
      <c r="C4" s="13"/>
      <c r="D4" s="543" t="s">
        <v>19</v>
      </c>
      <c r="E4" s="544"/>
      <c r="F4" s="543" t="s">
        <v>20</v>
      </c>
      <c r="G4" s="544"/>
      <c r="H4" s="543" t="s">
        <v>8</v>
      </c>
      <c r="I4" s="544"/>
      <c r="M4" s="5"/>
      <c r="N4" s="129"/>
      <c r="O4" s="130"/>
      <c r="P4" s="129" t="s">
        <v>19</v>
      </c>
      <c r="Q4" s="130"/>
      <c r="R4" s="129" t="s">
        <v>20</v>
      </c>
      <c r="S4" s="130"/>
      <c r="T4" s="129" t="s">
        <v>8</v>
      </c>
      <c r="U4" s="130"/>
      <c r="AB4" s="12"/>
      <c r="AC4" s="13"/>
      <c r="AD4" s="543" t="s">
        <v>19</v>
      </c>
      <c r="AE4" s="544"/>
      <c r="AF4" s="543" t="s">
        <v>20</v>
      </c>
      <c r="AG4" s="544"/>
      <c r="AH4" s="543" t="s">
        <v>8</v>
      </c>
      <c r="AI4" s="544"/>
    </row>
    <row r="5" spans="1:38" ht="51" x14ac:dyDescent="0.2">
      <c r="B5" s="12" t="s">
        <v>356</v>
      </c>
      <c r="C5" s="54" t="s">
        <v>242</v>
      </c>
      <c r="D5" s="54" t="s">
        <v>403</v>
      </c>
      <c r="E5" s="13" t="s">
        <v>404</v>
      </c>
      <c r="F5" s="54" t="s">
        <v>403</v>
      </c>
      <c r="G5" s="13" t="s">
        <v>404</v>
      </c>
      <c r="H5" s="54" t="s">
        <v>159</v>
      </c>
      <c r="I5" s="13" t="s">
        <v>160</v>
      </c>
      <c r="N5" s="292" t="s">
        <v>9</v>
      </c>
      <c r="O5" s="351" t="s">
        <v>15</v>
      </c>
      <c r="P5" s="17" t="s">
        <v>103</v>
      </c>
      <c r="Q5" s="9" t="s">
        <v>104</v>
      </c>
      <c r="R5" s="17" t="s">
        <v>103</v>
      </c>
      <c r="S5" s="9" t="s">
        <v>104</v>
      </c>
      <c r="T5" s="352" t="s">
        <v>281</v>
      </c>
      <c r="U5" s="130" t="s">
        <v>282</v>
      </c>
      <c r="AB5" s="8" t="s">
        <v>9</v>
      </c>
      <c r="AC5" s="17" t="s">
        <v>15</v>
      </c>
      <c r="AD5" s="17" t="s">
        <v>103</v>
      </c>
      <c r="AE5" s="9" t="s">
        <v>104</v>
      </c>
      <c r="AF5" s="17" t="s">
        <v>103</v>
      </c>
      <c r="AG5" s="9" t="s">
        <v>104</v>
      </c>
      <c r="AH5" s="17" t="s">
        <v>81</v>
      </c>
      <c r="AI5" s="9" t="s">
        <v>82</v>
      </c>
    </row>
    <row r="6" spans="1:38" x14ac:dyDescent="0.2">
      <c r="B6" s="53">
        <v>0.2</v>
      </c>
      <c r="C6" s="57">
        <v>5</v>
      </c>
      <c r="D6" s="66">
        <v>-59.180175627164019</v>
      </c>
      <c r="E6" s="56">
        <v>97.859486589359577</v>
      </c>
      <c r="F6" s="66">
        <v>26.864380099662682</v>
      </c>
      <c r="G6" s="56">
        <v>102.23301940526385</v>
      </c>
      <c r="H6" s="56">
        <v>2.1548082267295086</v>
      </c>
      <c r="I6" s="49">
        <v>2.1837386759815018</v>
      </c>
      <c r="K6" s="27">
        <f t="shared" ref="K6:L12" si="0">(D6-P111)/F6</f>
        <v>-0.40782474105419336</v>
      </c>
      <c r="L6" s="27">
        <f t="shared" si="0"/>
        <v>-9.3853026445126594E-2</v>
      </c>
      <c r="N6" s="353">
        <v>1.8399999999999996E-2</v>
      </c>
      <c r="O6" s="354">
        <v>5</v>
      </c>
      <c r="P6" s="355">
        <v>-54.227231305052307</v>
      </c>
      <c r="Q6" s="354">
        <v>96.999345579183128</v>
      </c>
      <c r="R6" s="355">
        <v>72.364174767967867</v>
      </c>
      <c r="S6" s="354">
        <v>70.172982408039047</v>
      </c>
      <c r="T6" s="356">
        <v>2.8918163320189336</v>
      </c>
      <c r="U6" s="357">
        <v>2.5931432879342236</v>
      </c>
      <c r="AB6" s="47">
        <v>2.2619999999999998E-2</v>
      </c>
      <c r="AC6" s="62">
        <v>5</v>
      </c>
      <c r="AD6" s="63">
        <v>-59.629944387105489</v>
      </c>
      <c r="AE6" s="62">
        <v>87.125160699865091</v>
      </c>
      <c r="AF6" s="63">
        <v>70.982490542608474</v>
      </c>
      <c r="AG6" s="62">
        <v>70.914756046757816</v>
      </c>
      <c r="AH6" s="64">
        <v>2.7572249241419682</v>
      </c>
      <c r="AI6" s="55">
        <v>2.3853298266967844</v>
      </c>
    </row>
    <row r="7" spans="1:38" x14ac:dyDescent="0.2">
      <c r="B7" s="53">
        <v>0.2</v>
      </c>
      <c r="C7" s="57">
        <v>10</v>
      </c>
      <c r="D7" s="66">
        <v>-58.151187482581534</v>
      </c>
      <c r="E7" s="56">
        <v>80.892131345438656</v>
      </c>
      <c r="F7" s="66">
        <v>21.350614733816574</v>
      </c>
      <c r="G7" s="56">
        <v>80.490615158793631</v>
      </c>
      <c r="H7" s="56">
        <v>2.1628644241038053</v>
      </c>
      <c r="I7" s="49">
        <v>2.1801838545335452</v>
      </c>
      <c r="K7" s="27">
        <f t="shared" si="0"/>
        <v>-0.48369434842679082</v>
      </c>
      <c r="L7" s="27">
        <f t="shared" si="0"/>
        <v>-0.16403206988005245</v>
      </c>
      <c r="N7" s="358">
        <v>1.8399999999999996E-2</v>
      </c>
      <c r="O7" s="131">
        <v>10</v>
      </c>
      <c r="P7" s="92">
        <v>-54.62743227409328</v>
      </c>
      <c r="Q7" s="131">
        <v>85.963491890533561</v>
      </c>
      <c r="R7" s="92">
        <v>59.969623144795882</v>
      </c>
      <c r="S7" s="131">
        <v>70.457517799974966</v>
      </c>
      <c r="T7" s="359">
        <v>2.85501585772225</v>
      </c>
      <c r="U7" s="134">
        <v>2.6377362046524748</v>
      </c>
      <c r="AB7" s="48">
        <v>2.2619999999999998E-2</v>
      </c>
      <c r="AC7" s="57">
        <v>10</v>
      </c>
      <c r="AD7" s="65">
        <v>-54.42733178957279</v>
      </c>
      <c r="AE7" s="57">
        <v>69.119294155226314</v>
      </c>
      <c r="AF7" s="65">
        <v>58.702923168265137</v>
      </c>
      <c r="AG7" s="57">
        <v>70.819868025887857</v>
      </c>
      <c r="AH7" s="66">
        <v>2.6879494798164094</v>
      </c>
      <c r="AI7" s="56">
        <v>2.4064072585868805</v>
      </c>
    </row>
    <row r="8" spans="1:38" x14ac:dyDescent="0.2">
      <c r="B8" s="53">
        <v>0.2</v>
      </c>
      <c r="C8" s="57">
        <v>20</v>
      </c>
      <c r="D8" s="66">
        <v>-57.419589209821083</v>
      </c>
      <c r="E8" s="56">
        <v>60.219274145769347</v>
      </c>
      <c r="F8" s="66">
        <v>29.422744628904326</v>
      </c>
      <c r="G8" s="56">
        <v>64.078170529478172</v>
      </c>
      <c r="H8" s="56">
        <v>2.1944148098499814</v>
      </c>
      <c r="I8" s="49">
        <v>2.1589986961469751</v>
      </c>
      <c r="K8" s="27">
        <f t="shared" si="0"/>
        <v>-0.31932686917569159</v>
      </c>
      <c r="L8" s="27">
        <f t="shared" si="0"/>
        <v>-0.2476667597453551</v>
      </c>
      <c r="N8" s="358">
        <v>1.8399999999999996E-2</v>
      </c>
      <c r="O8" s="131">
        <v>20</v>
      </c>
      <c r="P8" s="92">
        <v>-54.62743227409328</v>
      </c>
      <c r="Q8" s="131">
        <v>72.604300583220905</v>
      </c>
      <c r="R8" s="92">
        <v>44.852527919482206</v>
      </c>
      <c r="S8" s="131">
        <v>70.4558990820926</v>
      </c>
      <c r="T8" s="359">
        <v>2.8295329151975097</v>
      </c>
      <c r="U8" s="134">
        <v>2.637281535289477</v>
      </c>
      <c r="AB8" s="48">
        <v>2.2619999999999998E-2</v>
      </c>
      <c r="AC8" s="57">
        <v>20</v>
      </c>
      <c r="AD8" s="65">
        <v>-52.026125975326934</v>
      </c>
      <c r="AE8" s="57">
        <v>48.790089991924447</v>
      </c>
      <c r="AF8" s="65">
        <v>43.808748235703519</v>
      </c>
      <c r="AG8" s="57">
        <v>70.797637270245588</v>
      </c>
      <c r="AH8" s="66">
        <v>2.5870493155537546</v>
      </c>
      <c r="AI8" s="56">
        <v>2.4128696167542043</v>
      </c>
    </row>
    <row r="9" spans="1:38" x14ac:dyDescent="0.2">
      <c r="B9" s="53">
        <v>0.2</v>
      </c>
      <c r="C9" s="57">
        <v>40</v>
      </c>
      <c r="D9" s="66">
        <v>-59.275476032715304</v>
      </c>
      <c r="E9" s="56">
        <v>37.285142772707253</v>
      </c>
      <c r="F9" s="66">
        <v>25.72901548997179</v>
      </c>
      <c r="G9" s="56">
        <v>58.653366706221092</v>
      </c>
      <c r="H9" s="56">
        <v>2.2003436192884664</v>
      </c>
      <c r="I9" s="49">
        <v>2.1069210773302012</v>
      </c>
      <c r="K9" s="27">
        <f t="shared" si="0"/>
        <v>-0.28953500163317053</v>
      </c>
      <c r="L9" s="27">
        <f t="shared" si="0"/>
        <v>-0.32488833207678441</v>
      </c>
      <c r="N9" s="358">
        <v>1.8399999999999996E-2</v>
      </c>
      <c r="O9" s="131">
        <v>40</v>
      </c>
      <c r="P9" s="92">
        <v>-55.627934696695732</v>
      </c>
      <c r="Q9" s="131">
        <v>56.340937252579423</v>
      </c>
      <c r="R9" s="92">
        <v>44.820322162895849</v>
      </c>
      <c r="S9" s="131">
        <v>70.636752023557648</v>
      </c>
      <c r="T9" s="359">
        <v>2.8247765569775294</v>
      </c>
      <c r="U9" s="134">
        <v>2.6618114341343864</v>
      </c>
      <c r="AB9" s="48">
        <v>2.2619999999999998E-2</v>
      </c>
      <c r="AC9" s="57">
        <v>40</v>
      </c>
      <c r="AD9" s="65">
        <v>-52.426326944367908</v>
      </c>
      <c r="AE9" s="57">
        <v>29.622554637954128</v>
      </c>
      <c r="AF9" s="65">
        <v>43.806598921086014</v>
      </c>
      <c r="AG9" s="57">
        <v>70.766802945769641</v>
      </c>
      <c r="AH9" s="66">
        <v>2.5864431809976534</v>
      </c>
      <c r="AI9" s="56">
        <v>2.4231399582513502</v>
      </c>
    </row>
    <row r="10" spans="1:38" x14ac:dyDescent="0.2">
      <c r="B10" s="53">
        <v>0.2</v>
      </c>
      <c r="C10" s="51">
        <v>60</v>
      </c>
      <c r="D10" s="66">
        <v>-60.886501861867387</v>
      </c>
      <c r="E10" s="56">
        <v>21.19421401473635</v>
      </c>
      <c r="F10" s="66">
        <v>22.008274269169448</v>
      </c>
      <c r="G10" s="56">
        <v>54.743024357977603</v>
      </c>
      <c r="H10" s="56">
        <v>2.2077774970823154</v>
      </c>
      <c r="I10" s="49">
        <v>2.1677719101088786</v>
      </c>
      <c r="K10" s="27">
        <f t="shared" si="0"/>
        <v>-0.32985648586478233</v>
      </c>
      <c r="L10" s="27">
        <f t="shared" si="0"/>
        <v>-0.32372510115597058</v>
      </c>
      <c r="N10" s="358">
        <v>1.8399999999999996E-2</v>
      </c>
      <c r="O10" s="131">
        <v>60</v>
      </c>
      <c r="P10" s="92">
        <v>-51.826025490806451</v>
      </c>
      <c r="Q10" s="131">
        <v>51.113427610587522</v>
      </c>
      <c r="R10" s="92">
        <v>44.816137870121437</v>
      </c>
      <c r="S10" s="131">
        <v>70.575132402647981</v>
      </c>
      <c r="T10" s="359">
        <v>2.8241569066062167</v>
      </c>
      <c r="U10" s="134">
        <v>2.6537612613876651</v>
      </c>
      <c r="AB10" s="48">
        <v>2.2619999999999998E-2</v>
      </c>
      <c r="AC10" s="57">
        <v>60</v>
      </c>
      <c r="AD10" s="65">
        <v>-53.226728882449869</v>
      </c>
      <c r="AE10" s="57">
        <v>16.263363330641479</v>
      </c>
      <c r="AF10" s="65">
        <v>43.804960598424948</v>
      </c>
      <c r="AG10" s="57">
        <v>70.7473636925222</v>
      </c>
      <c r="AH10" s="66">
        <v>2.5859797894476402</v>
      </c>
      <c r="AI10" s="56">
        <v>2.4329741406940419</v>
      </c>
    </row>
    <row r="11" spans="1:38" x14ac:dyDescent="0.2">
      <c r="B11" s="53">
        <v>0.2</v>
      </c>
      <c r="C11" s="51">
        <v>100</v>
      </c>
      <c r="D11" s="66">
        <v>-61.333695978429816</v>
      </c>
      <c r="E11" s="56">
        <v>1.599373320031666</v>
      </c>
      <c r="F11" s="66">
        <v>20.02443678884103</v>
      </c>
      <c r="G11" s="56">
        <v>56.974765413447258</v>
      </c>
      <c r="H11" s="56">
        <v>2.1816675755102897</v>
      </c>
      <c r="I11" s="49">
        <v>2.1494165387256241</v>
      </c>
      <c r="K11" s="27">
        <f t="shared" si="0"/>
        <v>-0.34489680092804004</v>
      </c>
      <c r="L11" s="27">
        <f t="shared" si="0"/>
        <v>-0.31344717449343867</v>
      </c>
      <c r="N11" s="358">
        <v>1.8399999999999996E-2</v>
      </c>
      <c r="O11" s="131">
        <v>100</v>
      </c>
      <c r="P11" s="92">
        <v>-48.02411628491717</v>
      </c>
      <c r="Q11" s="131">
        <v>40.658408326603706</v>
      </c>
      <c r="R11" s="92">
        <v>44.843971017850308</v>
      </c>
      <c r="S11" s="131">
        <v>70.611258092580115</v>
      </c>
      <c r="T11" s="359">
        <v>2.8282730761311337</v>
      </c>
      <c r="U11" s="134">
        <v>2.6585127994195896</v>
      </c>
      <c r="AB11" s="48">
        <v>2.2619999999999998E-2</v>
      </c>
      <c r="AC11" s="57">
        <v>100</v>
      </c>
      <c r="AD11" s="65">
        <v>-52.026125975326934</v>
      </c>
      <c r="AE11" s="57">
        <v>0</v>
      </c>
      <c r="AF11" s="65">
        <v>43.804882776822893</v>
      </c>
      <c r="AG11" s="57">
        <v>70.75126607789403</v>
      </c>
      <c r="AH11" s="66">
        <v>2.585956819184632</v>
      </c>
      <c r="AI11" s="56">
        <v>2.4305610313943542</v>
      </c>
    </row>
    <row r="12" spans="1:38" x14ac:dyDescent="0.2">
      <c r="B12" s="53">
        <v>0.2</v>
      </c>
      <c r="C12" s="51">
        <v>120</v>
      </c>
      <c r="D12" s="66">
        <v>-61.457387123767887</v>
      </c>
      <c r="E12" s="56">
        <v>-4.600013442893828</v>
      </c>
      <c r="F12" s="66">
        <v>27.26450778270782</v>
      </c>
      <c r="G12" s="56">
        <v>53.527036300456679</v>
      </c>
      <c r="H12" s="56">
        <v>2.2244633125452347</v>
      </c>
      <c r="I12" s="49">
        <v>2.1278128214395289</v>
      </c>
      <c r="K12" s="27">
        <f t="shared" si="0"/>
        <v>-0.34591716174031262</v>
      </c>
      <c r="L12" s="27">
        <f t="shared" si="0"/>
        <v>-0.30838843095822999</v>
      </c>
      <c r="N12" s="358">
        <v>1.8399999999999996E-2</v>
      </c>
      <c r="O12" s="131">
        <v>120</v>
      </c>
      <c r="P12" s="92">
        <v>-46.223211924232778</v>
      </c>
      <c r="Q12" s="131">
        <v>32.526726661282957</v>
      </c>
      <c r="R12" s="92">
        <v>44.850995933754568</v>
      </c>
      <c r="S12" s="131">
        <v>70.66716323916242</v>
      </c>
      <c r="T12" s="359">
        <v>2.8293071274289088</v>
      </c>
      <c r="U12" s="134">
        <v>2.6656805707260283</v>
      </c>
      <c r="X12" t="s">
        <v>284</v>
      </c>
      <c r="AB12" s="48">
        <v>2.2619999999999998E-2</v>
      </c>
      <c r="AC12" s="57">
        <v>120</v>
      </c>
      <c r="AD12" s="65">
        <v>-51.225724037244987</v>
      </c>
      <c r="AE12" s="57">
        <v>-6.9700128559892072</v>
      </c>
      <c r="AF12" s="65">
        <v>43.80568486342554</v>
      </c>
      <c r="AG12" s="57">
        <v>70.746937113992587</v>
      </c>
      <c r="AH12" s="66">
        <v>2.5861836293797991</v>
      </c>
      <c r="AI12" s="56">
        <v>2.4332606208525198</v>
      </c>
    </row>
    <row r="13" spans="1:38" x14ac:dyDescent="0.2">
      <c r="B13" s="122"/>
      <c r="C13" s="116"/>
      <c r="D13" s="395"/>
      <c r="E13" s="396"/>
      <c r="F13" s="507"/>
      <c r="G13" s="119"/>
      <c r="H13" s="119"/>
      <c r="I13" s="120"/>
      <c r="K13" s="27"/>
      <c r="L13" s="27"/>
      <c r="N13" s="358"/>
      <c r="O13" s="136"/>
      <c r="P13" s="158"/>
      <c r="Q13" s="132"/>
      <c r="R13" s="360"/>
      <c r="S13" s="132"/>
      <c r="T13" s="359"/>
      <c r="U13" s="134"/>
      <c r="AB13" s="48"/>
      <c r="AC13" s="51"/>
      <c r="AD13" s="15"/>
      <c r="AE13" s="53"/>
      <c r="AF13" s="33"/>
      <c r="AG13" s="53"/>
      <c r="AH13" s="66"/>
      <c r="AI13" s="56"/>
    </row>
    <row r="14" spans="1:38" x14ac:dyDescent="0.2">
      <c r="A14" s="5" t="str">
        <f>B2&amp;C14</f>
        <v>40005</v>
      </c>
      <c r="B14" s="53">
        <v>0</v>
      </c>
      <c r="C14" s="51">
        <v>5</v>
      </c>
      <c r="D14" s="66">
        <v>-52.26345624808372</v>
      </c>
      <c r="E14" s="56">
        <v>84.351058263613226</v>
      </c>
      <c r="F14" s="66">
        <v>26.867029772122187</v>
      </c>
      <c r="G14" s="56">
        <v>96.282684676538267</v>
      </c>
      <c r="H14" s="56">
        <v>2.1546737949049164</v>
      </c>
      <c r="I14" s="49">
        <v>2.186120934281075</v>
      </c>
      <c r="K14" s="27">
        <f t="shared" ref="K14:L20" si="1">(D14-P119)/F14</f>
        <v>0.1177792257250169</v>
      </c>
      <c r="L14" s="27">
        <f t="shared" si="1"/>
        <v>-0.38473514148446547</v>
      </c>
      <c r="N14" s="361">
        <v>0.33879999999999999</v>
      </c>
      <c r="O14" s="131">
        <v>5</v>
      </c>
      <c r="P14" s="92">
        <v>-60.430346325187436</v>
      </c>
      <c r="Q14" s="131">
        <v>110.93937129116156</v>
      </c>
      <c r="R14" s="92">
        <v>72.361022378957983</v>
      </c>
      <c r="S14" s="131">
        <v>70.165523030149643</v>
      </c>
      <c r="T14" s="359">
        <v>2.8915458731277672</v>
      </c>
      <c r="U14" s="134">
        <v>2.5918462414212593</v>
      </c>
      <c r="X14" s="14">
        <f t="shared" ref="X14:Y20" si="2">(P14-AD35)</f>
        <v>-27.813967348347859</v>
      </c>
      <c r="Y14" s="14">
        <f t="shared" si="2"/>
        <v>-0.58083440466575098</v>
      </c>
      <c r="AB14" s="50">
        <v>0.34247999999999995</v>
      </c>
      <c r="AC14" s="57">
        <v>5</v>
      </c>
      <c r="AD14" s="65">
        <v>-67.834064252445515</v>
      </c>
      <c r="AE14" s="57">
        <v>110.93937129116156</v>
      </c>
      <c r="AF14" s="65">
        <v>70.996345556294642</v>
      </c>
      <c r="AG14" s="57">
        <v>70.939412388674469</v>
      </c>
      <c r="AH14" s="66">
        <v>2.7586474707290929</v>
      </c>
      <c r="AI14" s="56">
        <v>2.3812414989770927</v>
      </c>
    </row>
    <row r="15" spans="1:38" x14ac:dyDescent="0.2">
      <c r="A15" s="5" t="str">
        <f>B2&amp;C15</f>
        <v>400010</v>
      </c>
      <c r="B15" s="53">
        <v>0</v>
      </c>
      <c r="C15" s="51">
        <v>10</v>
      </c>
      <c r="D15" s="66">
        <v>-50.607468889651017</v>
      </c>
      <c r="E15" s="56">
        <v>66.82186302733767</v>
      </c>
      <c r="F15" s="66">
        <v>21.349025502657028</v>
      </c>
      <c r="G15" s="56">
        <v>73.574902392034943</v>
      </c>
      <c r="H15" s="56">
        <v>2.162973501869609</v>
      </c>
      <c r="I15" s="49">
        <v>2.1754311808067004</v>
      </c>
      <c r="K15" s="27">
        <f t="shared" si="1"/>
        <v>0.21641572527180311</v>
      </c>
      <c r="L15" s="27">
        <f t="shared" si="1"/>
        <v>-0.52068250139212546</v>
      </c>
      <c r="N15" s="361">
        <v>0.33879999999999999</v>
      </c>
      <c r="O15" s="131">
        <v>10</v>
      </c>
      <c r="P15" s="92">
        <v>-61.630949232310371</v>
      </c>
      <c r="Q15" s="131">
        <v>99.322683197846203</v>
      </c>
      <c r="R15" s="92">
        <v>59.968130526741319</v>
      </c>
      <c r="S15" s="131">
        <v>70.385508668994547</v>
      </c>
      <c r="T15" s="359">
        <v>2.854856064070356</v>
      </c>
      <c r="U15" s="134">
        <v>2.627197872936553</v>
      </c>
      <c r="X15" s="14">
        <f t="shared" si="2"/>
        <v>-27.213665894786402</v>
      </c>
      <c r="Y15" s="14">
        <f t="shared" si="2"/>
        <v>0</v>
      </c>
      <c r="AB15" s="50">
        <v>0.34247999999999995</v>
      </c>
      <c r="AC15" s="57">
        <v>10</v>
      </c>
      <c r="AD15" s="65">
        <v>-63.832054562035744</v>
      </c>
      <c r="AE15" s="57">
        <v>90.610167127859683</v>
      </c>
      <c r="AF15" s="65">
        <v>58.705326586830544</v>
      </c>
      <c r="AG15" s="57">
        <v>70.847852889153572</v>
      </c>
      <c r="AH15" s="66">
        <v>2.6882934631729505</v>
      </c>
      <c r="AI15" s="56">
        <v>2.4002529088715456</v>
      </c>
    </row>
    <row r="16" spans="1:38" x14ac:dyDescent="0.2">
      <c r="A16" s="5" t="str">
        <f>B2&amp;C16</f>
        <v>400020</v>
      </c>
      <c r="B16" s="53">
        <v>0</v>
      </c>
      <c r="C16" s="51">
        <v>20</v>
      </c>
      <c r="D16" s="66">
        <v>-50.026848630238746</v>
      </c>
      <c r="E16" s="56">
        <v>49.041816133053402</v>
      </c>
      <c r="F16" s="66">
        <v>29.42100233386968</v>
      </c>
      <c r="G16" s="56">
        <v>59.19517989138582</v>
      </c>
      <c r="H16" s="56">
        <v>2.1945284996189032</v>
      </c>
      <c r="I16" s="49">
        <v>2.1635050181226227</v>
      </c>
      <c r="K16" s="27">
        <f t="shared" si="1"/>
        <v>0.19717841306511527</v>
      </c>
      <c r="L16" s="27">
        <f t="shared" si="1"/>
        <v>-0.63353993063214487</v>
      </c>
      <c r="N16" s="361">
        <v>0.33879999999999999</v>
      </c>
      <c r="O16" s="131">
        <v>20</v>
      </c>
      <c r="P16" s="92">
        <v>-62.231250685871835</v>
      </c>
      <c r="Q16" s="131">
        <v>82.478485462538956</v>
      </c>
      <c r="R16" s="92">
        <v>44.853291468048369</v>
      </c>
      <c r="S16" s="131">
        <v>70.481085475804008</v>
      </c>
      <c r="T16" s="359">
        <v>2.8296451772574018</v>
      </c>
      <c r="U16" s="134">
        <v>2.6408826415464364</v>
      </c>
      <c r="X16" s="14">
        <f t="shared" si="2"/>
        <v>-26.213163472183957</v>
      </c>
      <c r="Y16" s="14">
        <f t="shared" si="2"/>
        <v>-1.1616688093315446</v>
      </c>
      <c r="AB16" s="50">
        <v>0.34247999999999995</v>
      </c>
      <c r="AC16" s="57">
        <v>20</v>
      </c>
      <c r="AD16" s="65">
        <v>-62.031150201351345</v>
      </c>
      <c r="AE16" s="57">
        <v>67.376790941229004</v>
      </c>
      <c r="AF16" s="65">
        <v>43.805268966437986</v>
      </c>
      <c r="AG16" s="57">
        <v>70.84498592582581</v>
      </c>
      <c r="AH16" s="66">
        <v>2.5860690287986339</v>
      </c>
      <c r="AI16" s="56">
        <v>2.4017193160794079</v>
      </c>
    </row>
    <row r="17" spans="1:35" x14ac:dyDescent="0.2">
      <c r="A17" s="5" t="str">
        <f>B2&amp;C17</f>
        <v>400040</v>
      </c>
      <c r="B17" s="53">
        <v>0</v>
      </c>
      <c r="C17" s="51">
        <v>40</v>
      </c>
      <c r="D17" s="66">
        <v>-51.606835988671463</v>
      </c>
      <c r="E17" s="56">
        <v>29.888511838519776</v>
      </c>
      <c r="F17" s="66">
        <v>25.726149495121131</v>
      </c>
      <c r="G17" s="56">
        <v>56.893900532384194</v>
      </c>
      <c r="H17" s="56">
        <v>2.2005686074244375</v>
      </c>
      <c r="I17" s="49">
        <v>2.1184744649999829</v>
      </c>
      <c r="K17" s="27">
        <f t="shared" si="1"/>
        <v>0.3196439826532928</v>
      </c>
      <c r="L17" s="27">
        <f t="shared" si="1"/>
        <v>-0.58745204595393663</v>
      </c>
      <c r="N17" s="361">
        <v>0.33879999999999999</v>
      </c>
      <c r="O17" s="131">
        <v>40</v>
      </c>
      <c r="P17" s="92">
        <v>-61.630949232310371</v>
      </c>
      <c r="Q17" s="131">
        <v>67.376790941229004</v>
      </c>
      <c r="R17" s="92">
        <v>44.849296926845838</v>
      </c>
      <c r="S17" s="131">
        <v>70.559977504546396</v>
      </c>
      <c r="T17" s="359">
        <v>2.8290576051307532</v>
      </c>
      <c r="U17" s="134">
        <v>2.6517471680968163</v>
      </c>
      <c r="X17" s="14">
        <f t="shared" si="2"/>
        <v>-23.211656204376638</v>
      </c>
      <c r="Y17" s="14">
        <f t="shared" si="2"/>
        <v>2.3233376186630892</v>
      </c>
      <c r="AB17" s="50">
        <v>0.34247999999999995</v>
      </c>
      <c r="AC17" s="57">
        <v>40</v>
      </c>
      <c r="AD17" s="65">
        <v>-64.032155046556227</v>
      </c>
      <c r="AE17" s="57">
        <v>42.98174594526678</v>
      </c>
      <c r="AF17" s="65">
        <v>43.804612345304847</v>
      </c>
      <c r="AG17" s="57">
        <v>70.779027429883556</v>
      </c>
      <c r="AH17" s="66">
        <v>2.5858823046331243</v>
      </c>
      <c r="AI17" s="56">
        <v>2.4186451538640941</v>
      </c>
    </row>
    <row r="18" spans="1:35" x14ac:dyDescent="0.2">
      <c r="A18" s="5" t="str">
        <f>B2&amp;C18</f>
        <v>400060</v>
      </c>
      <c r="B18" s="53">
        <v>0</v>
      </c>
      <c r="C18" s="51">
        <v>60</v>
      </c>
      <c r="D18" s="66">
        <v>-52.768076507495991</v>
      </c>
      <c r="E18" s="56">
        <v>16.130445695802472</v>
      </c>
      <c r="F18" s="66">
        <v>22.007176520045011</v>
      </c>
      <c r="G18" s="56">
        <v>54.133501493042438</v>
      </c>
      <c r="H18" s="56">
        <v>2.2078847864950903</v>
      </c>
      <c r="I18" s="49">
        <v>2.1822263942254709</v>
      </c>
      <c r="K18" s="27">
        <f t="shared" si="1"/>
        <v>0.44818903226558227</v>
      </c>
      <c r="L18" s="27">
        <f t="shared" si="1"/>
        <v>-0.5389386805484413</v>
      </c>
      <c r="N18" s="361">
        <v>0.33879999999999999</v>
      </c>
      <c r="O18" s="131">
        <v>60</v>
      </c>
      <c r="P18" s="92">
        <v>-59.830044871625979</v>
      </c>
      <c r="Q18" s="131">
        <v>56.340937252579423</v>
      </c>
      <c r="R18" s="92">
        <v>44.829537096902335</v>
      </c>
      <c r="S18" s="131">
        <v>70.419200724336974</v>
      </c>
      <c r="T18" s="359">
        <v>2.8261423160811434</v>
      </c>
      <c r="U18" s="134">
        <v>2.6318828247049915</v>
      </c>
      <c r="X18" s="14">
        <f t="shared" si="2"/>
        <v>-19.609847483007847</v>
      </c>
      <c r="Y18" s="14">
        <f t="shared" si="2"/>
        <v>4.0658408326603634</v>
      </c>
      <c r="AB18" s="50">
        <v>0.34247999999999995</v>
      </c>
      <c r="AC18" s="57">
        <v>60</v>
      </c>
      <c r="AD18" s="65">
        <v>-65.632958922720121</v>
      </c>
      <c r="AE18" s="57">
        <v>26.718382614625291</v>
      </c>
      <c r="AF18" s="65">
        <v>43.805356223138524</v>
      </c>
      <c r="AG18" s="57">
        <v>70.803739877458611</v>
      </c>
      <c r="AH18" s="66">
        <v>2.586091498003023</v>
      </c>
      <c r="AI18" s="56">
        <v>2.411368833192018</v>
      </c>
    </row>
    <row r="19" spans="1:35" x14ac:dyDescent="0.2">
      <c r="A19" s="5" t="str">
        <f>B2&amp;C19</f>
        <v>4000100</v>
      </c>
      <c r="B19" s="53">
        <v>0</v>
      </c>
      <c r="C19" s="51">
        <v>100</v>
      </c>
      <c r="D19" s="66">
        <v>-52.948949927300085</v>
      </c>
      <c r="E19" s="56">
        <v>-1.4412722300077068</v>
      </c>
      <c r="F19" s="66">
        <v>20.025010990001206</v>
      </c>
      <c r="G19" s="56">
        <v>56.981969057378322</v>
      </c>
      <c r="H19" s="56">
        <v>2.1816179818484582</v>
      </c>
      <c r="I19" s="49">
        <v>2.1492545573234514</v>
      </c>
      <c r="K19" s="27">
        <f t="shared" si="1"/>
        <v>0.54347558861115031</v>
      </c>
      <c r="L19" s="27">
        <f t="shared" si="1"/>
        <v>-0.4636054539293788</v>
      </c>
      <c r="N19" s="361">
        <v>0.33879999999999999</v>
      </c>
      <c r="O19" s="131">
        <v>100</v>
      </c>
      <c r="P19" s="92">
        <v>-56.828537603818639</v>
      </c>
      <c r="Q19" s="131">
        <v>38.335070707940638</v>
      </c>
      <c r="R19" s="92">
        <v>44.847794371456523</v>
      </c>
      <c r="S19" s="131">
        <v>70.638111009370974</v>
      </c>
      <c r="T19" s="359">
        <v>2.8288362118542394</v>
      </c>
      <c r="U19" s="134">
        <v>2.6619829911444186</v>
      </c>
      <c r="X19" s="14">
        <f t="shared" si="2"/>
        <v>-14.807435854516115</v>
      </c>
      <c r="Y19" s="14">
        <f t="shared" si="2"/>
        <v>2.9041720233288402</v>
      </c>
      <c r="AB19" s="50">
        <v>0.34247999999999995</v>
      </c>
      <c r="AC19" s="57">
        <v>100</v>
      </c>
      <c r="AD19" s="65">
        <v>-65.032657469158664</v>
      </c>
      <c r="AE19" s="57">
        <v>6.3891784513234402</v>
      </c>
      <c r="AF19" s="65">
        <v>43.804102346237912</v>
      </c>
      <c r="AG19" s="57">
        <v>70.752964384949976</v>
      </c>
      <c r="AH19" s="66">
        <v>2.5857361147573581</v>
      </c>
      <c r="AI19" s="56">
        <v>2.4296092746352631</v>
      </c>
    </row>
    <row r="20" spans="1:35" x14ac:dyDescent="0.2">
      <c r="A20" s="5" t="str">
        <f>B2&amp;C20</f>
        <v>4000120</v>
      </c>
      <c r="B20" s="53">
        <v>0</v>
      </c>
      <c r="C20" s="51">
        <v>120</v>
      </c>
      <c r="D20" s="66">
        <v>-52.054456248083724</v>
      </c>
      <c r="E20" s="56">
        <v>-8.5137459601290626</v>
      </c>
      <c r="F20" s="66">
        <v>27.263774364928125</v>
      </c>
      <c r="G20" s="56">
        <v>53.666977300268655</v>
      </c>
      <c r="H20" s="56">
        <v>2.2245299708933306</v>
      </c>
      <c r="I20" s="49">
        <v>2.1251380980507344</v>
      </c>
      <c r="K20" s="27">
        <f t="shared" si="1"/>
        <v>0.38061109160503248</v>
      </c>
      <c r="L20" s="27">
        <f t="shared" si="1"/>
        <v>-0.44544818594901969</v>
      </c>
      <c r="N20" s="361">
        <v>0.33879999999999999</v>
      </c>
      <c r="O20" s="131">
        <v>120</v>
      </c>
      <c r="P20" s="92">
        <v>-55.627934696695732</v>
      </c>
      <c r="Q20" s="131">
        <v>32.526726661282957</v>
      </c>
      <c r="R20" s="92">
        <v>44.849969382865268</v>
      </c>
      <c r="S20" s="131">
        <v>70.66716323916242</v>
      </c>
      <c r="T20" s="359">
        <v>2.8291560984964415</v>
      </c>
      <c r="U20" s="134">
        <v>2.6656805707260283</v>
      </c>
      <c r="X20" s="14">
        <f t="shared" si="2"/>
        <v>-13.406732462872718</v>
      </c>
      <c r="Y20" s="14">
        <f t="shared" si="2"/>
        <v>3.4850064279945947</v>
      </c>
      <c r="AB20" s="50">
        <v>0.34247999999999995</v>
      </c>
      <c r="AC20" s="57">
        <v>120</v>
      </c>
      <c r="AD20" s="65">
        <v>-64.032155046556227</v>
      </c>
      <c r="AE20" s="57">
        <v>-1.7425032139973018</v>
      </c>
      <c r="AF20" s="65">
        <v>43.805208319476982</v>
      </c>
      <c r="AG20" s="57">
        <v>70.746935552445024</v>
      </c>
      <c r="AH20" s="66">
        <v>2.5860490628437311</v>
      </c>
      <c r="AI20" s="56">
        <v>2.4332616814605577</v>
      </c>
    </row>
    <row r="21" spans="1:35" x14ac:dyDescent="0.2">
      <c r="B21" s="39"/>
      <c r="C21" s="52"/>
      <c r="D21" s="38"/>
      <c r="E21" s="52"/>
      <c r="F21" s="38"/>
      <c r="G21" s="52"/>
      <c r="H21" s="52"/>
      <c r="I21" s="40"/>
      <c r="N21" s="95"/>
      <c r="O21" s="141"/>
      <c r="P21" s="85"/>
      <c r="Q21" s="141"/>
      <c r="R21" s="85"/>
      <c r="S21" s="141"/>
      <c r="T21" s="85"/>
      <c r="U21" s="141"/>
      <c r="AB21" s="39"/>
      <c r="AC21" s="52"/>
      <c r="AD21" s="38"/>
      <c r="AE21" s="52"/>
      <c r="AF21" s="38"/>
      <c r="AG21" s="52"/>
      <c r="AH21" s="38"/>
      <c r="AI21" s="52"/>
    </row>
    <row r="22" spans="1:35" x14ac:dyDescent="0.2">
      <c r="B22" s="7"/>
      <c r="C22" s="7"/>
      <c r="D22" s="7"/>
      <c r="E22" s="7"/>
      <c r="F22" s="7"/>
      <c r="G22" s="7"/>
      <c r="H22" s="7"/>
      <c r="I22" s="7"/>
      <c r="N22" s="69"/>
      <c r="O22" s="69"/>
      <c r="P22" s="69"/>
      <c r="Q22" s="69"/>
      <c r="R22" s="69"/>
      <c r="S22" s="69"/>
      <c r="T22" s="69"/>
      <c r="U22" s="69"/>
    </row>
    <row r="23" spans="1:35" x14ac:dyDescent="0.2">
      <c r="C23" s="98" t="s">
        <v>414</v>
      </c>
      <c r="N23" s="69"/>
      <c r="O23" s="69"/>
      <c r="P23" s="69"/>
      <c r="Q23" s="69"/>
      <c r="R23" s="69"/>
      <c r="S23" s="69"/>
      <c r="T23" s="69"/>
      <c r="U23" s="69"/>
      <c r="AB23" s="92">
        <v>5000</v>
      </c>
      <c r="AC23" t="s">
        <v>114</v>
      </c>
    </row>
    <row r="24" spans="1:35" x14ac:dyDescent="0.2">
      <c r="B24" s="61" t="s">
        <v>405</v>
      </c>
      <c r="C24" s="18"/>
      <c r="D24" s="18"/>
      <c r="E24" s="18"/>
      <c r="F24" s="18"/>
      <c r="G24" s="10"/>
      <c r="H24" s="10"/>
      <c r="I24" s="11"/>
      <c r="N24" s="350" t="s">
        <v>291</v>
      </c>
      <c r="O24" s="133"/>
      <c r="P24" s="133"/>
      <c r="Q24" s="133"/>
      <c r="R24" s="133"/>
      <c r="S24" s="79"/>
      <c r="T24" s="79"/>
      <c r="U24" s="80"/>
      <c r="AB24" s="61" t="s">
        <v>98</v>
      </c>
      <c r="AC24" s="18"/>
      <c r="AD24" s="18"/>
      <c r="AE24" s="18"/>
      <c r="AF24" s="18"/>
      <c r="AG24" s="10"/>
      <c r="AH24" s="10"/>
      <c r="AI24" s="11"/>
    </row>
    <row r="25" spans="1:35" ht="25.5" x14ac:dyDescent="0.2">
      <c r="B25" s="12"/>
      <c r="C25" s="13"/>
      <c r="D25" s="543" t="s">
        <v>19</v>
      </c>
      <c r="E25" s="544"/>
      <c r="F25" s="543" t="s">
        <v>20</v>
      </c>
      <c r="G25" s="544"/>
      <c r="H25" s="543" t="s">
        <v>8</v>
      </c>
      <c r="I25" s="544"/>
      <c r="N25" s="129"/>
      <c r="O25" s="130"/>
      <c r="P25" s="129" t="s">
        <v>19</v>
      </c>
      <c r="Q25" s="130"/>
      <c r="R25" s="129" t="s">
        <v>20</v>
      </c>
      <c r="S25" s="130"/>
      <c r="T25" s="129" t="s">
        <v>8</v>
      </c>
      <c r="U25" s="130"/>
      <c r="AB25" s="12"/>
      <c r="AC25" s="13"/>
      <c r="AD25" s="543" t="s">
        <v>19</v>
      </c>
      <c r="AE25" s="544"/>
      <c r="AF25" s="543" t="s">
        <v>20</v>
      </c>
      <c r="AG25" s="544"/>
      <c r="AH25" s="543" t="s">
        <v>8</v>
      </c>
      <c r="AI25" s="544"/>
    </row>
    <row r="26" spans="1:35" ht="51" x14ac:dyDescent="0.2">
      <c r="B26" s="12" t="s">
        <v>356</v>
      </c>
      <c r="C26" s="54" t="s">
        <v>242</v>
      </c>
      <c r="D26" s="54" t="s">
        <v>403</v>
      </c>
      <c r="E26" s="13" t="s">
        <v>404</v>
      </c>
      <c r="F26" s="54" t="s">
        <v>403</v>
      </c>
      <c r="G26" s="13" t="s">
        <v>404</v>
      </c>
      <c r="H26" s="54" t="s">
        <v>159</v>
      </c>
      <c r="I26" s="13" t="s">
        <v>160</v>
      </c>
      <c r="N26" s="292" t="s">
        <v>9</v>
      </c>
      <c r="O26" s="351" t="s">
        <v>15</v>
      </c>
      <c r="P26" s="17" t="s">
        <v>103</v>
      </c>
      <c r="Q26" s="9" t="s">
        <v>104</v>
      </c>
      <c r="R26" s="17" t="s">
        <v>103</v>
      </c>
      <c r="S26" s="9" t="s">
        <v>104</v>
      </c>
      <c r="T26" s="352" t="s">
        <v>281</v>
      </c>
      <c r="U26" s="130" t="s">
        <v>282</v>
      </c>
      <c r="AB26" s="8" t="s">
        <v>9</v>
      </c>
      <c r="AC26" s="17" t="s">
        <v>15</v>
      </c>
      <c r="AD26" s="17" t="s">
        <v>103</v>
      </c>
      <c r="AE26" s="9" t="s">
        <v>104</v>
      </c>
      <c r="AF26" s="17" t="s">
        <v>103</v>
      </c>
      <c r="AG26" s="9" t="s">
        <v>104</v>
      </c>
      <c r="AH26" s="17" t="s">
        <v>81</v>
      </c>
      <c r="AI26" s="9" t="s">
        <v>82</v>
      </c>
    </row>
    <row r="27" spans="1:35" x14ac:dyDescent="0.2">
      <c r="B27" s="53">
        <v>0.32</v>
      </c>
      <c r="C27" s="57">
        <v>5</v>
      </c>
      <c r="D27" s="66">
        <v>-63.425971988504457</v>
      </c>
      <c r="E27" s="56">
        <v>100.76271627243287</v>
      </c>
      <c r="F27" s="66">
        <v>26.874639288256528</v>
      </c>
      <c r="G27" s="56">
        <v>103.72850995491218</v>
      </c>
      <c r="H27" s="56">
        <v>2.1542910388004519</v>
      </c>
      <c r="I27" s="49">
        <v>2.1831370355304345</v>
      </c>
      <c r="K27" s="27">
        <f t="shared" ref="K27:L33" si="3">(D27-P90)/F27</f>
        <v>-0.56565429794287669</v>
      </c>
      <c r="L27" s="27">
        <f t="shared" si="3"/>
        <v>-6.4511180134012761E-2</v>
      </c>
      <c r="N27" s="353">
        <v>1.8399999999999996E-2</v>
      </c>
      <c r="O27" s="354">
        <v>5</v>
      </c>
      <c r="P27" s="355">
        <v>-54.227231305052307</v>
      </c>
      <c r="Q27" s="354">
        <v>96.999345579183128</v>
      </c>
      <c r="R27" s="355">
        <v>72.36719917524276</v>
      </c>
      <c r="S27" s="354">
        <v>70.176953403447115</v>
      </c>
      <c r="T27" s="356">
        <v>2.8920757525928806</v>
      </c>
      <c r="U27" s="357">
        <v>2.5938160788895184</v>
      </c>
      <c r="AB27" s="47">
        <v>2.2619999999999998E-2</v>
      </c>
      <c r="AC27" s="62">
        <v>5</v>
      </c>
      <c r="AD27" s="63">
        <v>-27.013565410265908</v>
      </c>
      <c r="AE27" s="62">
        <v>96.999345579183128</v>
      </c>
      <c r="AF27" s="63">
        <v>71.021566619044279</v>
      </c>
      <c r="AG27" s="62">
        <v>70.856767246246505</v>
      </c>
      <c r="AH27" s="64">
        <v>2.7612247176637257</v>
      </c>
      <c r="AI27" s="55">
        <v>2.396923679587005</v>
      </c>
    </row>
    <row r="28" spans="1:35" x14ac:dyDescent="0.2">
      <c r="B28" s="53">
        <v>0.32</v>
      </c>
      <c r="C28" s="57">
        <v>10</v>
      </c>
      <c r="D28" s="66">
        <v>-62.665142530183736</v>
      </c>
      <c r="E28" s="56">
        <v>80.684119587251644</v>
      </c>
      <c r="F28" s="66">
        <v>21.361269984196639</v>
      </c>
      <c r="G28" s="56">
        <v>80.185889973896792</v>
      </c>
      <c r="H28" s="56">
        <v>2.1621425688362947</v>
      </c>
      <c r="I28" s="49">
        <v>2.1795511747017451</v>
      </c>
      <c r="K28" s="27">
        <f t="shared" si="3"/>
        <v>-0.69476799557173885</v>
      </c>
      <c r="L28" s="27">
        <f t="shared" si="3"/>
        <v>-0.16724954942781589</v>
      </c>
      <c r="N28" s="358">
        <v>1.8399999999999996E-2</v>
      </c>
      <c r="O28" s="131">
        <v>10</v>
      </c>
      <c r="P28" s="92">
        <v>-54.62743227409328</v>
      </c>
      <c r="Q28" s="131">
        <v>85.963491890533561</v>
      </c>
      <c r="R28" s="92">
        <v>59.973892771137216</v>
      </c>
      <c r="S28" s="131">
        <v>70.462211627394083</v>
      </c>
      <c r="T28" s="359">
        <v>2.8554728349422471</v>
      </c>
      <c r="U28" s="134">
        <v>2.6383875722200059</v>
      </c>
      <c r="AB28" s="48">
        <v>2.2619999999999998E-2</v>
      </c>
      <c r="AC28" s="57">
        <v>10</v>
      </c>
      <c r="AD28" s="65">
        <v>-27.813967348347866</v>
      </c>
      <c r="AE28" s="57">
        <v>87.125160699865091</v>
      </c>
      <c r="AF28" s="65">
        <v>58.71346900570321</v>
      </c>
      <c r="AG28" s="57">
        <v>70.774050045055617</v>
      </c>
      <c r="AH28" s="66">
        <v>2.6894560565613905</v>
      </c>
      <c r="AI28" s="56">
        <v>2.4199426505639141</v>
      </c>
    </row>
    <row r="29" spans="1:35" x14ac:dyDescent="0.2">
      <c r="B29" s="53">
        <v>0.32</v>
      </c>
      <c r="C29" s="57">
        <v>20</v>
      </c>
      <c r="D29" s="66">
        <v>-63.223376064390479</v>
      </c>
      <c r="E29" s="56">
        <v>59.833401117675592</v>
      </c>
      <c r="F29" s="66">
        <v>29.43948795672231</v>
      </c>
      <c r="G29" s="56">
        <v>63.888172270760712</v>
      </c>
      <c r="H29" s="56">
        <v>2.1933320345913723</v>
      </c>
      <c r="I29" s="49">
        <v>2.1570176069248781</v>
      </c>
      <c r="K29" s="27">
        <f t="shared" si="3"/>
        <v>-0.51628818414970634</v>
      </c>
      <c r="L29" s="27">
        <f t="shared" si="3"/>
        <v>-0.25444312015448989</v>
      </c>
      <c r="N29" s="358">
        <v>1.8399999999999996E-2</v>
      </c>
      <c r="O29" s="131">
        <v>20</v>
      </c>
      <c r="P29" s="92">
        <v>-54.62743227409328</v>
      </c>
      <c r="Q29" s="131">
        <v>72.604300583220905</v>
      </c>
      <c r="R29" s="92">
        <v>44.858023513988556</v>
      </c>
      <c r="S29" s="131">
        <v>70.458485172339167</v>
      </c>
      <c r="T29" s="359">
        <v>2.83034090640618</v>
      </c>
      <c r="U29" s="134">
        <v>2.6376410291052146</v>
      </c>
      <c r="AB29" s="48">
        <v>2.2619999999999998E-2</v>
      </c>
      <c r="AC29" s="57">
        <v>20</v>
      </c>
      <c r="AD29" s="65">
        <v>-28.414268801909319</v>
      </c>
      <c r="AE29" s="57">
        <v>74.346803797218215</v>
      </c>
      <c r="AF29" s="65">
        <v>43.809557697129883</v>
      </c>
      <c r="AG29" s="57">
        <v>70.781447346379423</v>
      </c>
      <c r="AH29" s="66">
        <v>2.5872775276531721</v>
      </c>
      <c r="AI29" s="56">
        <v>2.4178763860944743</v>
      </c>
    </row>
    <row r="30" spans="1:35" x14ac:dyDescent="0.2">
      <c r="B30" s="53">
        <v>0.32</v>
      </c>
      <c r="C30" s="57">
        <v>40</v>
      </c>
      <c r="D30" s="66">
        <v>-65.664027347323895</v>
      </c>
      <c r="E30" s="56">
        <v>35.0552502347836</v>
      </c>
      <c r="F30" s="66">
        <v>25.749052780759786</v>
      </c>
      <c r="G30" s="56">
        <v>58.050333944707376</v>
      </c>
      <c r="H30" s="56">
        <v>2.1987921207754577</v>
      </c>
      <c r="I30" s="49">
        <v>2.1100082803823081</v>
      </c>
      <c r="K30" s="27">
        <f t="shared" si="3"/>
        <v>-0.53741789938220486</v>
      </c>
      <c r="L30" s="27">
        <f t="shared" si="3"/>
        <v>-0.36667639221628462</v>
      </c>
      <c r="N30" s="358">
        <v>1.8399999999999996E-2</v>
      </c>
      <c r="O30" s="131">
        <v>40</v>
      </c>
      <c r="P30" s="92">
        <v>-55.627934696695732</v>
      </c>
      <c r="Q30" s="131">
        <v>56.340937252579423</v>
      </c>
      <c r="R30" s="92">
        <v>44.825154770010336</v>
      </c>
      <c r="S30" s="131">
        <v>70.64060334592331</v>
      </c>
      <c r="T30" s="359">
        <v>2.8254913629499159</v>
      </c>
      <c r="U30" s="134">
        <v>2.6623036689888324</v>
      </c>
      <c r="AB30" s="48">
        <v>2.2619999999999998E-2</v>
      </c>
      <c r="AC30" s="57">
        <v>40</v>
      </c>
      <c r="AD30" s="65">
        <v>-30.015072678073231</v>
      </c>
      <c r="AE30" s="57">
        <v>57.502606061910953</v>
      </c>
      <c r="AF30" s="65">
        <v>43.808876811546241</v>
      </c>
      <c r="AG30" s="57">
        <v>70.759143200401624</v>
      </c>
      <c r="AH30" s="66">
        <v>2.5870861982321807</v>
      </c>
      <c r="AI30" s="56">
        <v>2.4264903409047029</v>
      </c>
    </row>
    <row r="31" spans="1:35" x14ac:dyDescent="0.2">
      <c r="B31" s="53">
        <v>0.32</v>
      </c>
      <c r="C31" s="51">
        <v>60</v>
      </c>
      <c r="D31" s="66">
        <v>-67.844961837142193</v>
      </c>
      <c r="E31" s="56">
        <v>19.440606937161043</v>
      </c>
      <c r="F31" s="66">
        <v>22.030549001345754</v>
      </c>
      <c r="G31" s="56">
        <v>54.614311963285189</v>
      </c>
      <c r="H31" s="56">
        <v>2.2056488306660884</v>
      </c>
      <c r="I31" s="49">
        <v>2.1701455474985014</v>
      </c>
      <c r="K31" s="27">
        <f t="shared" si="3"/>
        <v>-0.64537801508182258</v>
      </c>
      <c r="L31" s="27">
        <f t="shared" si="3"/>
        <v>-0.35659697019597641</v>
      </c>
      <c r="N31" s="358">
        <v>1.8399999999999996E-2</v>
      </c>
      <c r="O31" s="131">
        <v>60</v>
      </c>
      <c r="P31" s="92">
        <v>-51.826025490806451</v>
      </c>
      <c r="Q31" s="131">
        <v>51.113427610587522</v>
      </c>
      <c r="R31" s="92">
        <v>44.823205339309204</v>
      </c>
      <c r="S31" s="131">
        <v>70.575420714841457</v>
      </c>
      <c r="T31" s="359">
        <v>2.8252031212130433</v>
      </c>
      <c r="U31" s="134">
        <v>2.6537990899239068</v>
      </c>
      <c r="AB31" s="48">
        <v>2.2619999999999998E-2</v>
      </c>
      <c r="AC31" s="57">
        <v>60</v>
      </c>
      <c r="AD31" s="65">
        <v>-31.61587655423714</v>
      </c>
      <c r="AE31" s="57">
        <v>46.466752373261379</v>
      </c>
      <c r="AF31" s="65">
        <v>43.807504008776128</v>
      </c>
      <c r="AG31" s="57">
        <v>70.772540199551997</v>
      </c>
      <c r="AH31" s="66">
        <v>2.5866998905565501</v>
      </c>
      <c r="AI31" s="56">
        <v>2.4209972447143002</v>
      </c>
    </row>
    <row r="32" spans="1:35" x14ac:dyDescent="0.2">
      <c r="B32" s="53">
        <v>0.32</v>
      </c>
      <c r="C32" s="51">
        <v>100</v>
      </c>
      <c r="D32" s="66">
        <v>-68.477173574135648</v>
      </c>
      <c r="E32" s="56">
        <v>-1.8816882525969088</v>
      </c>
      <c r="F32" s="66">
        <v>20.053114250752344</v>
      </c>
      <c r="G32" s="56">
        <v>56.98718130275298</v>
      </c>
      <c r="H32" s="56">
        <v>2.1792678069655795</v>
      </c>
      <c r="I32" s="49">
        <v>2.1491357685319352</v>
      </c>
      <c r="K32" s="27">
        <f t="shared" si="3"/>
        <v>-0.7006314135988001</v>
      </c>
      <c r="L32" s="27">
        <f t="shared" si="3"/>
        <v>-0.37446387628000166</v>
      </c>
      <c r="N32" s="358">
        <v>1.8399999999999996E-2</v>
      </c>
      <c r="O32" s="131">
        <v>100</v>
      </c>
      <c r="P32" s="92">
        <v>-48.02411628491717</v>
      </c>
      <c r="Q32" s="131">
        <v>40.658408326603706</v>
      </c>
      <c r="R32" s="92">
        <v>44.851672624349717</v>
      </c>
      <c r="S32" s="131">
        <v>70.610126411631882</v>
      </c>
      <c r="T32" s="359">
        <v>2.8294071493832882</v>
      </c>
      <c r="U32" s="134">
        <v>2.6583665649631221</v>
      </c>
      <c r="AB32" s="48">
        <v>2.2619999999999998E-2</v>
      </c>
      <c r="AC32" s="57">
        <v>100</v>
      </c>
      <c r="AD32" s="65">
        <v>-33.616881399442022</v>
      </c>
      <c r="AE32" s="57">
        <v>31.365057851951434</v>
      </c>
      <c r="AF32" s="65">
        <v>43.810759182569598</v>
      </c>
      <c r="AG32" s="57">
        <v>70.749799214370654</v>
      </c>
      <c r="AH32" s="66">
        <v>2.5876139975294863</v>
      </c>
      <c r="AI32" s="56">
        <v>2.4314289030964016</v>
      </c>
    </row>
    <row r="33" spans="2:38" x14ac:dyDescent="0.2">
      <c r="B33" s="53">
        <v>0.32</v>
      </c>
      <c r="C33" s="51">
        <v>120</v>
      </c>
      <c r="D33" s="66">
        <v>-68.09624446006147</v>
      </c>
      <c r="E33" s="56">
        <v>-8.8390406904422267</v>
      </c>
      <c r="F33" s="66">
        <v>27.280777391107637</v>
      </c>
      <c r="G33" s="56">
        <v>53.695996665331528</v>
      </c>
      <c r="H33" s="56">
        <v>2.2230085065566692</v>
      </c>
      <c r="I33" s="49">
        <v>2.124603975760472</v>
      </c>
      <c r="K33" s="27">
        <f t="shared" si="3"/>
        <v>-0.58906380321745178</v>
      </c>
      <c r="L33" s="27">
        <f t="shared" si="3"/>
        <v>-0.38636299304385702</v>
      </c>
      <c r="N33" s="358">
        <v>1.8399999999999996E-2</v>
      </c>
      <c r="O33" s="131">
        <v>120</v>
      </c>
      <c r="P33" s="92">
        <v>-46.223211924232778</v>
      </c>
      <c r="Q33" s="131">
        <v>32.526726661282957</v>
      </c>
      <c r="R33" s="92">
        <v>44.860173583427532</v>
      </c>
      <c r="S33" s="131">
        <v>70.66700020735469</v>
      </c>
      <c r="T33" s="359">
        <v>2.8306566565400169</v>
      </c>
      <c r="U33" s="134">
        <v>2.6656599781729238</v>
      </c>
      <c r="AB33" s="48">
        <v>2.2619999999999998E-2</v>
      </c>
      <c r="AC33" s="57">
        <v>120</v>
      </c>
      <c r="AD33" s="65">
        <v>-34.017082368483003</v>
      </c>
      <c r="AE33" s="57">
        <v>25.556713805293761</v>
      </c>
      <c r="AF33" s="65">
        <v>43.811050571389295</v>
      </c>
      <c r="AG33" s="57">
        <v>70.746880989260205</v>
      </c>
      <c r="AH33" s="66">
        <v>2.5876956035857788</v>
      </c>
      <c r="AI33" s="56">
        <v>2.4332987005665605</v>
      </c>
    </row>
    <row r="34" spans="2:38" x14ac:dyDescent="0.2">
      <c r="B34" s="122"/>
      <c r="C34" s="116"/>
      <c r="D34" s="507"/>
      <c r="E34" s="119"/>
      <c r="F34" s="507"/>
      <c r="G34" s="119"/>
      <c r="H34" s="119"/>
      <c r="I34" s="120"/>
      <c r="K34" s="27"/>
      <c r="L34" s="27"/>
      <c r="N34" s="358"/>
      <c r="O34" s="136"/>
      <c r="P34" s="158"/>
      <c r="Q34" s="132"/>
      <c r="R34" s="360"/>
      <c r="S34" s="132"/>
      <c r="T34" s="359"/>
      <c r="U34" s="134"/>
      <c r="X34" t="s">
        <v>284</v>
      </c>
      <c r="AB34" s="48"/>
      <c r="AC34" s="51"/>
      <c r="AD34" s="15"/>
      <c r="AE34" s="53"/>
      <c r="AF34" s="33"/>
      <c r="AG34" s="53"/>
      <c r="AH34" s="66"/>
      <c r="AI34" s="56"/>
    </row>
    <row r="35" spans="2:38" x14ac:dyDescent="0.2">
      <c r="B35" s="53">
        <v>0</v>
      </c>
      <c r="C35" s="51">
        <v>5</v>
      </c>
      <c r="D35" s="66">
        <v>-52.275547157174628</v>
      </c>
      <c r="E35" s="56">
        <v>77.86373422202692</v>
      </c>
      <c r="F35" s="66">
        <v>26.872953017530289</v>
      </c>
      <c r="G35" s="56">
        <v>93.745812818115454</v>
      </c>
      <c r="H35" s="56">
        <v>2.1543763386643615</v>
      </c>
      <c r="I35" s="49">
        <v>2.1920429902065521</v>
      </c>
      <c r="K35" s="27"/>
      <c r="L35" s="27"/>
      <c r="N35" s="361">
        <v>0.22180000000000002</v>
      </c>
      <c r="O35" s="131">
        <v>5</v>
      </c>
      <c r="P35" s="92">
        <v>-58.029140510941581</v>
      </c>
      <c r="Q35" s="131">
        <v>105.71186164916963</v>
      </c>
      <c r="R35" s="92">
        <v>72.365886761858476</v>
      </c>
      <c r="S35" s="131">
        <v>70.176550572099302</v>
      </c>
      <c r="T35" s="359">
        <v>2.8919631936514292</v>
      </c>
      <c r="U35" s="134">
        <v>2.5937479969966208</v>
      </c>
      <c r="AB35" s="50">
        <v>0.34247999999999995</v>
      </c>
      <c r="AC35" s="57">
        <v>5</v>
      </c>
      <c r="AD35" s="65">
        <v>-32.616378976839577</v>
      </c>
      <c r="AE35" s="57">
        <v>111.52020569582731</v>
      </c>
      <c r="AF35" s="65">
        <v>71.01794900204122</v>
      </c>
      <c r="AG35" s="57">
        <v>70.867981909802381</v>
      </c>
      <c r="AH35" s="66">
        <v>2.7608559198270286</v>
      </c>
      <c r="AI35" s="56">
        <v>2.394415036278029</v>
      </c>
    </row>
    <row r="36" spans="2:38" x14ac:dyDescent="0.2">
      <c r="B36" s="53">
        <v>0</v>
      </c>
      <c r="C36" s="51">
        <v>10</v>
      </c>
      <c r="D36" s="66">
        <v>-51.687839123467697</v>
      </c>
      <c r="E36" s="56">
        <v>63.648641424500511</v>
      </c>
      <c r="F36" s="66">
        <v>21.361629522635251</v>
      </c>
      <c r="G36" s="56">
        <v>72.108146437566091</v>
      </c>
      <c r="H36" s="56">
        <v>2.1621179684321445</v>
      </c>
      <c r="I36" s="49">
        <v>2.1757391847769409</v>
      </c>
      <c r="K36" s="27">
        <f t="shared" ref="K36:L41" si="4">(D36-P99)/F36</f>
        <v>0.33432390155387409</v>
      </c>
      <c r="L36" s="27">
        <f t="shared" si="4"/>
        <v>-0.67999574948321717</v>
      </c>
      <c r="N36" s="361">
        <v>0.22180000000000002</v>
      </c>
      <c r="O36" s="131">
        <v>10</v>
      </c>
      <c r="P36" s="92">
        <v>-58.829542449023535</v>
      </c>
      <c r="Q36" s="131">
        <v>94.676007960520067</v>
      </c>
      <c r="R36" s="92">
        <v>59.972082061979229</v>
      </c>
      <c r="S36" s="131">
        <v>70.41512066420276</v>
      </c>
      <c r="T36" s="359">
        <v>2.8552790890380013</v>
      </c>
      <c r="U36" s="134">
        <v>2.631584550649023</v>
      </c>
      <c r="X36" s="14">
        <f t="shared" ref="X36:Y42" si="5">(P36-AD35)</f>
        <v>-26.213163472183957</v>
      </c>
      <c r="Y36" s="14">
        <f t="shared" si="5"/>
        <v>-16.844197735307247</v>
      </c>
      <c r="AB36" s="50">
        <v>0.34247999999999995</v>
      </c>
      <c r="AC36" s="57">
        <v>10</v>
      </c>
      <c r="AD36" s="65">
        <v>-34.417283337523969</v>
      </c>
      <c r="AE36" s="57">
        <v>99.322683197846203</v>
      </c>
      <c r="AF36" s="65">
        <v>58.710713018793072</v>
      </c>
      <c r="AG36" s="57">
        <v>70.786586821078018</v>
      </c>
      <c r="AH36" s="66">
        <v>2.6890630188443607</v>
      </c>
      <c r="AI36" s="56">
        <v>2.4156375183633738</v>
      </c>
    </row>
    <row r="37" spans="2:38" x14ac:dyDescent="0.2">
      <c r="B37" s="53">
        <v>0</v>
      </c>
      <c r="C37" s="51">
        <v>20</v>
      </c>
      <c r="D37" s="66">
        <v>-50.59317421880462</v>
      </c>
      <c r="E37" s="56">
        <v>44.53127608010788</v>
      </c>
      <c r="F37" s="66">
        <v>29.434068004142937</v>
      </c>
      <c r="G37" s="56">
        <v>57.567589074366879</v>
      </c>
      <c r="H37" s="56">
        <v>2.1936821461177387</v>
      </c>
      <c r="I37" s="49">
        <v>2.1684431994596167</v>
      </c>
      <c r="K37" s="27">
        <f t="shared" si="4"/>
        <v>0.32061389326183387</v>
      </c>
      <c r="L37" s="27">
        <f t="shared" si="4"/>
        <v>-0.84078957352005801</v>
      </c>
      <c r="N37" s="361">
        <v>0.22180000000000002</v>
      </c>
      <c r="O37" s="131">
        <v>20</v>
      </c>
      <c r="P37" s="92">
        <v>-59.629944387105489</v>
      </c>
      <c r="Q37" s="131">
        <v>78.993479034544364</v>
      </c>
      <c r="R37" s="92">
        <v>44.854830464973794</v>
      </c>
      <c r="S37" s="131">
        <v>70.471187423006128</v>
      </c>
      <c r="T37" s="359">
        <v>2.8298716335013316</v>
      </c>
      <c r="U37" s="134">
        <v>2.6394635961293349</v>
      </c>
      <c r="X37" s="14">
        <f t="shared" si="5"/>
        <v>-25.21266104958152</v>
      </c>
      <c r="Y37" s="14">
        <f t="shared" si="5"/>
        <v>-20.329204163301839</v>
      </c>
      <c r="AB37" s="50">
        <v>0.34247999999999995</v>
      </c>
      <c r="AC37" s="57">
        <v>20</v>
      </c>
      <c r="AD37" s="65">
        <v>-36.018087213687878</v>
      </c>
      <c r="AE37" s="57">
        <v>83.6401542718705</v>
      </c>
      <c r="AF37" s="65">
        <v>43.806803390631984</v>
      </c>
      <c r="AG37" s="57">
        <v>70.791686469135328</v>
      </c>
      <c r="AH37" s="66">
        <v>2.5865022275576712</v>
      </c>
      <c r="AI37" s="56">
        <v>2.4147030678193886</v>
      </c>
    </row>
    <row r="38" spans="2:38" x14ac:dyDescent="0.2">
      <c r="B38" s="53">
        <v>0</v>
      </c>
      <c r="C38" s="51">
        <v>40</v>
      </c>
      <c r="D38" s="66">
        <v>-52.356298319925436</v>
      </c>
      <c r="E38" s="56">
        <v>24.422238603772236</v>
      </c>
      <c r="F38" s="66">
        <v>25.740250233841056</v>
      </c>
      <c r="G38" s="56">
        <v>55.893605997537286</v>
      </c>
      <c r="H38" s="56">
        <v>2.1994742723151646</v>
      </c>
      <c r="I38" s="49">
        <v>2.1288115278580246</v>
      </c>
      <c r="K38" s="27">
        <f t="shared" si="4"/>
        <v>0.47692458576228663</v>
      </c>
      <c r="L38" s="27">
        <f t="shared" si="4"/>
        <v>-0.77889744211602197</v>
      </c>
      <c r="N38" s="361">
        <v>0.22180000000000002</v>
      </c>
      <c r="O38" s="131">
        <v>40</v>
      </c>
      <c r="P38" s="92">
        <v>-58.229240995462071</v>
      </c>
      <c r="Q38" s="131">
        <v>63.310950108568633</v>
      </c>
      <c r="R38" s="92">
        <v>44.854633402507382</v>
      </c>
      <c r="S38" s="131">
        <v>70.615658843339077</v>
      </c>
      <c r="T38" s="359">
        <v>2.8298425385621462</v>
      </c>
      <c r="U38" s="134">
        <v>2.6590878564244576</v>
      </c>
      <c r="X38" s="14">
        <f t="shared" si="5"/>
        <v>-22.211153781774193</v>
      </c>
      <c r="Y38" s="14">
        <f t="shared" si="5"/>
        <v>-20.329204163301867</v>
      </c>
      <c r="AB38" s="50">
        <v>0.34247999999999995</v>
      </c>
      <c r="AC38" s="57">
        <v>40</v>
      </c>
      <c r="AD38" s="65">
        <v>-38.419293027933733</v>
      </c>
      <c r="AE38" s="57">
        <v>65.053453322565915</v>
      </c>
      <c r="AF38" s="65">
        <v>43.80813737146579</v>
      </c>
      <c r="AG38" s="57">
        <v>70.764160107407264</v>
      </c>
      <c r="AH38" s="66">
        <v>2.5868783373416862</v>
      </c>
      <c r="AI38" s="56">
        <v>2.4242674730118021</v>
      </c>
    </row>
    <row r="39" spans="2:38" x14ac:dyDescent="0.2">
      <c r="B39" s="53">
        <v>0</v>
      </c>
      <c r="C39" s="51">
        <v>60</v>
      </c>
      <c r="D39" s="66">
        <v>-53.284192064713906</v>
      </c>
      <c r="E39" s="56">
        <v>10.855608940295372</v>
      </c>
      <c r="F39" s="66">
        <v>22.028144838643801</v>
      </c>
      <c r="G39" s="56">
        <v>53.750546835548754</v>
      </c>
      <c r="H39" s="56">
        <v>2.2058794870064573</v>
      </c>
      <c r="I39" s="49">
        <v>2.1934311496393994</v>
      </c>
      <c r="K39" s="27">
        <f t="shared" si="4"/>
        <v>0.66051282549254364</v>
      </c>
      <c r="L39" s="27">
        <f t="shared" si="4"/>
        <v>-0.73816894155550039</v>
      </c>
      <c r="N39" s="361">
        <v>0.22180000000000002</v>
      </c>
      <c r="O39" s="131">
        <v>60</v>
      </c>
      <c r="P39" s="92">
        <v>-56.428336634777665</v>
      </c>
      <c r="Q39" s="131">
        <v>55.760102847913657</v>
      </c>
      <c r="R39" s="92">
        <v>44.840155011162267</v>
      </c>
      <c r="S39" s="131">
        <v>70.362722755302627</v>
      </c>
      <c r="T39" s="359">
        <v>2.8277099155556416</v>
      </c>
      <c r="U39" s="134">
        <v>2.6232600059435276</v>
      </c>
      <c r="X39" s="14">
        <f t="shared" si="5"/>
        <v>-18.009043606843932</v>
      </c>
      <c r="Y39" s="14">
        <f t="shared" si="5"/>
        <v>-9.2933504746522573</v>
      </c>
      <c r="AB39" s="50">
        <v>0.34247999999999995</v>
      </c>
      <c r="AC39" s="57">
        <v>60</v>
      </c>
      <c r="AD39" s="65">
        <v>-40.220197388618132</v>
      </c>
      <c r="AE39" s="57">
        <v>52.275096419919059</v>
      </c>
      <c r="AF39" s="65">
        <v>43.807919120933299</v>
      </c>
      <c r="AG39" s="57">
        <v>70.780856831534933</v>
      </c>
      <c r="AH39" s="66">
        <v>2.5868168954294415</v>
      </c>
      <c r="AI39" s="56">
        <v>2.4181094885362575</v>
      </c>
    </row>
    <row r="40" spans="2:38" x14ac:dyDescent="0.2">
      <c r="B40" s="53">
        <v>0</v>
      </c>
      <c r="C40" s="51">
        <v>100</v>
      </c>
      <c r="D40" s="66">
        <v>-53.248455387597915</v>
      </c>
      <c r="E40" s="56">
        <v>-6.6843164544955886</v>
      </c>
      <c r="F40" s="66">
        <v>20.051133212781359</v>
      </c>
      <c r="G40" s="56">
        <v>57.077969298719914</v>
      </c>
      <c r="H40" s="56">
        <v>2.1794344197690476</v>
      </c>
      <c r="I40" s="49">
        <v>2.1471139879783938</v>
      </c>
      <c r="K40" s="27">
        <f t="shared" si="4"/>
        <v>0.81723626548381723</v>
      </c>
      <c r="L40" s="27">
        <f t="shared" si="4"/>
        <v>-0.59538792096706217</v>
      </c>
      <c r="N40" s="361">
        <v>0.22180000000000002</v>
      </c>
      <c r="O40" s="131">
        <v>100</v>
      </c>
      <c r="P40" s="92">
        <v>-53.626929851490843</v>
      </c>
      <c r="Q40" s="131">
        <v>35.430898684611797</v>
      </c>
      <c r="R40" s="92">
        <v>44.852884213330327</v>
      </c>
      <c r="S40" s="131">
        <v>70.664467408495383</v>
      </c>
      <c r="T40" s="359">
        <v>2.8295854194657144</v>
      </c>
      <c r="U40" s="134">
        <v>2.6653398669570754</v>
      </c>
      <c r="X40" s="14">
        <f t="shared" si="5"/>
        <v>-13.406732462872711</v>
      </c>
      <c r="Y40" s="14">
        <f t="shared" si="5"/>
        <v>-16.844197735307262</v>
      </c>
      <c r="AB40" s="50">
        <v>0.34247999999999995</v>
      </c>
      <c r="AC40" s="57">
        <v>100</v>
      </c>
      <c r="AD40" s="65">
        <v>-42.021101749302524</v>
      </c>
      <c r="AE40" s="57">
        <v>35.430898684611797</v>
      </c>
      <c r="AF40" s="65">
        <v>43.810649434936799</v>
      </c>
      <c r="AG40" s="57">
        <v>70.750454640242907</v>
      </c>
      <c r="AH40" s="66">
        <v>2.5875832748802399</v>
      </c>
      <c r="AI40" s="56">
        <v>2.4310366796101697</v>
      </c>
    </row>
    <row r="41" spans="2:38" x14ac:dyDescent="0.2">
      <c r="B41" s="53">
        <v>0</v>
      </c>
      <c r="C41" s="51">
        <v>120</v>
      </c>
      <c r="D41" s="66">
        <v>-52.848708547989737</v>
      </c>
      <c r="E41" s="56">
        <v>-13.056771569293131</v>
      </c>
      <c r="F41" s="66">
        <v>27.279504784884747</v>
      </c>
      <c r="G41" s="56">
        <v>53.957182527080192</v>
      </c>
      <c r="H41" s="56">
        <v>2.2231226816555365</v>
      </c>
      <c r="I41" s="49">
        <v>2.12009044287973</v>
      </c>
      <c r="K41" s="27">
        <f t="shared" si="4"/>
        <v>0.56399691984224409</v>
      </c>
      <c r="L41" s="27">
        <f t="shared" si="4"/>
        <v>-0.58645524166715646</v>
      </c>
      <c r="N41" s="361">
        <v>0.22180000000000002</v>
      </c>
      <c r="O41" s="131">
        <v>120</v>
      </c>
      <c r="P41" s="92">
        <v>-52.026125975326934</v>
      </c>
      <c r="Q41" s="131">
        <v>34.269229875280274</v>
      </c>
      <c r="R41" s="92">
        <v>44.85955990163793</v>
      </c>
      <c r="S41" s="131">
        <v>70.66695785313766</v>
      </c>
      <c r="T41" s="359">
        <v>2.8305665305907759</v>
      </c>
      <c r="U41" s="134">
        <v>2.6656546279963518</v>
      </c>
      <c r="X41" s="14">
        <f t="shared" si="5"/>
        <v>-10.00502422602441</v>
      </c>
      <c r="Y41" s="14">
        <f t="shared" si="5"/>
        <v>-1.1616688093315233</v>
      </c>
      <c r="AB41" s="50">
        <v>0.34247999999999995</v>
      </c>
      <c r="AC41" s="57">
        <v>120</v>
      </c>
      <c r="AD41" s="65">
        <v>-42.221202233823014</v>
      </c>
      <c r="AE41" s="57">
        <v>29.041720233288363</v>
      </c>
      <c r="AF41" s="65">
        <v>43.810845909444559</v>
      </c>
      <c r="AG41" s="57">
        <v>70.746887505415472</v>
      </c>
      <c r="AH41" s="66">
        <v>2.5876383448480005</v>
      </c>
      <c r="AI41" s="56">
        <v>2.4332942691127393</v>
      </c>
    </row>
    <row r="42" spans="2:38" x14ac:dyDescent="0.2">
      <c r="B42" s="39"/>
      <c r="C42" s="52"/>
      <c r="D42" s="508"/>
      <c r="E42" s="509"/>
      <c r="F42" s="508"/>
      <c r="G42" s="509"/>
      <c r="H42" s="52"/>
      <c r="I42" s="40"/>
      <c r="K42" s="27"/>
      <c r="L42" s="27"/>
      <c r="N42" s="95"/>
      <c r="O42" s="141"/>
      <c r="P42" s="85"/>
      <c r="Q42" s="141"/>
      <c r="R42" s="85"/>
      <c r="S42" s="141"/>
      <c r="T42" s="85"/>
      <c r="U42" s="141"/>
      <c r="X42" s="14">
        <f t="shared" si="5"/>
        <v>42.221202233823014</v>
      </c>
      <c r="Y42" s="14">
        <f t="shared" si="5"/>
        <v>-29.041720233288363</v>
      </c>
      <c r="AB42" s="39"/>
      <c r="AC42" s="52"/>
      <c r="AD42" s="38"/>
      <c r="AE42" s="52"/>
      <c r="AF42" s="38"/>
      <c r="AG42" s="52"/>
      <c r="AH42" s="38"/>
      <c r="AI42" s="52"/>
    </row>
    <row r="43" spans="2:38" x14ac:dyDescent="0.2">
      <c r="B43" s="7"/>
      <c r="C43" s="7"/>
      <c r="D43" s="520"/>
      <c r="E43" s="520"/>
      <c r="F43" s="520"/>
      <c r="G43" s="520"/>
      <c r="H43" s="7"/>
      <c r="I43" s="7"/>
      <c r="K43" s="27"/>
      <c r="L43" s="27"/>
      <c r="N43" s="69"/>
      <c r="O43" s="69"/>
      <c r="P43" s="69"/>
      <c r="Q43" s="69"/>
      <c r="R43" s="69"/>
      <c r="S43" s="69"/>
      <c r="T43" s="69"/>
      <c r="U43" s="69"/>
      <c r="X43" s="14"/>
      <c r="Y43" s="14"/>
    </row>
    <row r="44" spans="2:38" x14ac:dyDescent="0.2">
      <c r="B44" s="521">
        <v>5000</v>
      </c>
      <c r="C44" s="27" t="s">
        <v>416</v>
      </c>
      <c r="D44" s="27"/>
      <c r="E44" s="27"/>
      <c r="F44" s="27"/>
      <c r="G44" s="27"/>
      <c r="N44" s="92">
        <v>6000</v>
      </c>
      <c r="X44" s="14"/>
      <c r="Y44" s="14"/>
      <c r="AB44" s="91">
        <v>6000</v>
      </c>
      <c r="AC44" t="s">
        <v>114</v>
      </c>
      <c r="AK44" s="14"/>
      <c r="AL44" s="14"/>
    </row>
    <row r="45" spans="2:38" x14ac:dyDescent="0.2">
      <c r="B45" s="61" t="s">
        <v>406</v>
      </c>
      <c r="C45" s="133"/>
      <c r="D45" s="510"/>
      <c r="E45" s="510"/>
      <c r="F45" s="510"/>
      <c r="G45" s="511"/>
      <c r="H45" s="79"/>
      <c r="I45" s="80"/>
      <c r="N45" s="350" t="s">
        <v>294</v>
      </c>
      <c r="O45" s="133"/>
      <c r="P45" s="133"/>
      <c r="Q45" s="133"/>
      <c r="R45" s="133"/>
      <c r="S45" s="79"/>
      <c r="T45" s="79"/>
      <c r="U45" s="80"/>
      <c r="AB45" s="61" t="s">
        <v>99</v>
      </c>
      <c r="AC45" s="18"/>
      <c r="AD45" s="18"/>
      <c r="AE45" s="18"/>
      <c r="AF45" s="18"/>
      <c r="AG45" s="10"/>
      <c r="AH45" s="10"/>
      <c r="AI45" s="11"/>
    </row>
    <row r="46" spans="2:38" ht="25.5" x14ac:dyDescent="0.2">
      <c r="B46" s="129"/>
      <c r="C46" s="130"/>
      <c r="D46" s="553" t="s">
        <v>19</v>
      </c>
      <c r="E46" s="554"/>
      <c r="F46" s="553" t="s">
        <v>20</v>
      </c>
      <c r="G46" s="554"/>
      <c r="H46" s="539" t="s">
        <v>8</v>
      </c>
      <c r="I46" s="540"/>
      <c r="N46" s="129"/>
      <c r="O46" s="130"/>
      <c r="P46" s="129" t="s">
        <v>19</v>
      </c>
      <c r="Q46" s="130"/>
      <c r="R46" s="129" t="s">
        <v>20</v>
      </c>
      <c r="S46" s="130"/>
      <c r="T46" s="129" t="s">
        <v>8</v>
      </c>
      <c r="U46" s="130"/>
      <c r="AB46" s="12"/>
      <c r="AC46" s="13"/>
      <c r="AD46" s="543" t="s">
        <v>19</v>
      </c>
      <c r="AE46" s="544"/>
      <c r="AF46" s="543" t="s">
        <v>20</v>
      </c>
      <c r="AG46" s="544"/>
      <c r="AH46" s="543" t="s">
        <v>8</v>
      </c>
      <c r="AI46" s="544"/>
    </row>
    <row r="47" spans="2:38" ht="51" x14ac:dyDescent="0.2">
      <c r="B47" s="12" t="s">
        <v>356</v>
      </c>
      <c r="C47" s="54" t="s">
        <v>242</v>
      </c>
      <c r="D47" s="512" t="s">
        <v>403</v>
      </c>
      <c r="E47" s="513" t="s">
        <v>404</v>
      </c>
      <c r="F47" s="512" t="s">
        <v>403</v>
      </c>
      <c r="G47" s="513" t="s">
        <v>404</v>
      </c>
      <c r="H47" s="54" t="s">
        <v>159</v>
      </c>
      <c r="I47" s="13" t="s">
        <v>160</v>
      </c>
      <c r="N47" s="292" t="s">
        <v>9</v>
      </c>
      <c r="O47" s="351" t="s">
        <v>15</v>
      </c>
      <c r="P47" s="17" t="s">
        <v>103</v>
      </c>
      <c r="Q47" s="9" t="s">
        <v>104</v>
      </c>
      <c r="R47" s="17" t="s">
        <v>103</v>
      </c>
      <c r="S47" s="9" t="s">
        <v>104</v>
      </c>
      <c r="T47" s="352" t="s">
        <v>281</v>
      </c>
      <c r="U47" s="130" t="s">
        <v>282</v>
      </c>
      <c r="AB47" s="8" t="s">
        <v>9</v>
      </c>
      <c r="AC47" s="17" t="s">
        <v>15</v>
      </c>
      <c r="AD47" s="17" t="s">
        <v>103</v>
      </c>
      <c r="AE47" s="9" t="s">
        <v>104</v>
      </c>
      <c r="AF47" s="17" t="s">
        <v>103</v>
      </c>
      <c r="AG47" s="9" t="s">
        <v>104</v>
      </c>
      <c r="AH47" s="17" t="s">
        <v>81</v>
      </c>
      <c r="AI47" s="9" t="s">
        <v>82</v>
      </c>
    </row>
    <row r="48" spans="2:38" x14ac:dyDescent="0.2">
      <c r="B48" s="132">
        <v>0.2</v>
      </c>
      <c r="C48" s="131">
        <v>5</v>
      </c>
      <c r="D48" s="66">
        <v>-54.773086971669969</v>
      </c>
      <c r="E48" s="56">
        <v>79.662781758127139</v>
      </c>
      <c r="F48" s="66">
        <v>48.500137939696643</v>
      </c>
      <c r="G48" s="56">
        <v>88.305717580472333</v>
      </c>
      <c r="H48" s="134">
        <v>2.3510730976848881</v>
      </c>
      <c r="I48" s="135">
        <v>2.1784666056936377</v>
      </c>
      <c r="K48" s="27">
        <f t="shared" ref="K48:L54" si="6">(D48-P27)/F48</f>
        <v>-1.1254724002978292E-2</v>
      </c>
      <c r="L48" s="27">
        <f t="shared" si="6"/>
        <v>-0.19632436376792148</v>
      </c>
      <c r="N48" s="353">
        <v>1.8399999999999996E-2</v>
      </c>
      <c r="O48" s="354">
        <v>5</v>
      </c>
      <c r="P48" s="355">
        <v>-3.8019092058892761</v>
      </c>
      <c r="Q48" s="354">
        <v>96.999345579183128</v>
      </c>
      <c r="R48" s="355">
        <v>72.354923086679293</v>
      </c>
      <c r="S48" s="354">
        <v>70.540526705976447</v>
      </c>
      <c r="T48" s="356">
        <v>2.891022170426063</v>
      </c>
      <c r="U48" s="357">
        <v>2.4165980637123949</v>
      </c>
      <c r="AB48" s="47">
        <v>2.2619999999999998E-2</v>
      </c>
      <c r="AC48" s="62">
        <v>5</v>
      </c>
      <c r="AD48" s="63">
        <v>-4.0020096904097642</v>
      </c>
      <c r="AE48" s="62">
        <v>87.125160699865091</v>
      </c>
      <c r="AF48" s="63">
        <v>71.010532233186979</v>
      </c>
      <c r="AG48" s="62">
        <v>70.847487951794179</v>
      </c>
      <c r="AH48" s="64">
        <v>2.7600986973991586</v>
      </c>
      <c r="AI48" s="55">
        <v>2.3991449954924327</v>
      </c>
    </row>
    <row r="49" spans="1:40" x14ac:dyDescent="0.2">
      <c r="B49" s="132">
        <v>0.2</v>
      </c>
      <c r="C49" s="131">
        <v>10</v>
      </c>
      <c r="D49" s="66">
        <v>-56.380453284540636</v>
      </c>
      <c r="E49" s="56">
        <v>66.24548056917854</v>
      </c>
      <c r="F49" s="66">
        <v>47.964399964094397</v>
      </c>
      <c r="G49" s="56">
        <v>79.790478025918006</v>
      </c>
      <c r="H49" s="134">
        <v>2.4049127807177446</v>
      </c>
      <c r="I49" s="135">
        <v>2.1944917096921195</v>
      </c>
      <c r="K49" s="27">
        <f t="shared" si="6"/>
        <v>-3.6548377791854936E-2</v>
      </c>
      <c r="L49" s="27">
        <f t="shared" si="6"/>
        <v>-0.24712236107860017</v>
      </c>
      <c r="N49" s="358">
        <v>1.8399999999999996E-2</v>
      </c>
      <c r="O49" s="131">
        <v>10</v>
      </c>
      <c r="P49" s="92">
        <v>-6.6033159891761111</v>
      </c>
      <c r="Q49" s="131">
        <v>91.191001532525462</v>
      </c>
      <c r="R49" s="92">
        <v>59.927091782396403</v>
      </c>
      <c r="S49" s="131">
        <v>70.486796437704911</v>
      </c>
      <c r="T49" s="359">
        <v>2.8504462413900806</v>
      </c>
      <c r="U49" s="134">
        <v>2.4428263612608974</v>
      </c>
      <c r="AB49" s="48">
        <v>2.2619999999999998E-2</v>
      </c>
      <c r="AC49" s="57">
        <v>10</v>
      </c>
      <c r="AD49" s="65">
        <v>-7.2036174427375759</v>
      </c>
      <c r="AE49" s="57">
        <v>79.574313439210101</v>
      </c>
      <c r="AF49" s="65">
        <v>58.689109579326825</v>
      </c>
      <c r="AG49" s="57">
        <v>70.768126229170136</v>
      </c>
      <c r="AH49" s="66">
        <v>2.6859620022737971</v>
      </c>
      <c r="AI49" s="56">
        <v>2.4222698382997985</v>
      </c>
    </row>
    <row r="50" spans="1:40" x14ac:dyDescent="0.2">
      <c r="B50" s="132">
        <v>0.2</v>
      </c>
      <c r="C50" s="131">
        <v>20</v>
      </c>
      <c r="D50" s="66">
        <v>-56.191475271192459</v>
      </c>
      <c r="E50" s="56">
        <v>49.122677424481523</v>
      </c>
      <c r="F50" s="66">
        <v>41.324888375827932</v>
      </c>
      <c r="G50" s="56">
        <v>57.941865656097008</v>
      </c>
      <c r="H50" s="134">
        <v>2.3103393357807556</v>
      </c>
      <c r="I50" s="135">
        <v>2.1596045199510825</v>
      </c>
      <c r="K50" s="27">
        <f t="shared" si="6"/>
        <v>-3.7847482681018708E-2</v>
      </c>
      <c r="L50" s="27">
        <f t="shared" si="6"/>
        <v>-0.40526177217195797</v>
      </c>
      <c r="N50" s="358">
        <v>1.8399999999999996E-2</v>
      </c>
      <c r="O50" s="131">
        <v>20</v>
      </c>
      <c r="P50" s="92">
        <v>-11.405727617667829</v>
      </c>
      <c r="Q50" s="131">
        <v>82.478485462538956</v>
      </c>
      <c r="R50" s="92">
        <v>44.775986287965637</v>
      </c>
      <c r="S50" s="131">
        <v>70.487076650100917</v>
      </c>
      <c r="T50" s="359">
        <v>2.8181595367368746</v>
      </c>
      <c r="U50" s="134">
        <v>2.4431537032940831</v>
      </c>
      <c r="AB50" s="48">
        <v>2.2619999999999998E-2</v>
      </c>
      <c r="AC50" s="57">
        <v>20</v>
      </c>
      <c r="AD50" s="65">
        <v>-12.006029071229293</v>
      </c>
      <c r="AE50" s="57">
        <v>68.538459750560548</v>
      </c>
      <c r="AF50" s="65">
        <v>43.793606359300647</v>
      </c>
      <c r="AG50" s="57">
        <v>70.768496030940739</v>
      </c>
      <c r="AH50" s="66">
        <v>2.5827119416481454</v>
      </c>
      <c r="AI50" s="56">
        <v>2.4224905598254178</v>
      </c>
    </row>
    <row r="51" spans="1:40" x14ac:dyDescent="0.2">
      <c r="B51" s="132">
        <v>0.2</v>
      </c>
      <c r="C51" s="131">
        <v>40</v>
      </c>
      <c r="D51" s="66">
        <v>-54.849387377221248</v>
      </c>
      <c r="E51" s="56">
        <v>29.268815649396576</v>
      </c>
      <c r="F51" s="66">
        <v>32.979011355283987</v>
      </c>
      <c r="G51" s="56">
        <v>56.993583596417416</v>
      </c>
      <c r="H51" s="134">
        <v>2.2844458310851969</v>
      </c>
      <c r="I51" s="135">
        <v>2.1207412397998469</v>
      </c>
      <c r="K51" s="27">
        <f t="shared" si="6"/>
        <v>2.3607357755123938E-2</v>
      </c>
      <c r="L51" s="27">
        <f t="shared" si="6"/>
        <v>-0.47500297217465343</v>
      </c>
      <c r="N51" s="358">
        <v>1.8399999999999996E-2</v>
      </c>
      <c r="O51" s="131">
        <v>40</v>
      </c>
      <c r="P51" s="92">
        <v>-17.208641668761985</v>
      </c>
      <c r="Q51" s="131">
        <v>70.280962964557844</v>
      </c>
      <c r="R51" s="92">
        <v>44.797470072958355</v>
      </c>
      <c r="S51" s="131">
        <v>70.492696000139361</v>
      </c>
      <c r="T51" s="359">
        <v>2.8213751093948902</v>
      </c>
      <c r="U51" s="134">
        <v>2.4388076205598881</v>
      </c>
      <c r="AA51" s="14"/>
      <c r="AB51" s="48">
        <v>2.2619999999999998E-2</v>
      </c>
      <c r="AC51" s="57">
        <v>40</v>
      </c>
      <c r="AD51" s="65">
        <v>-17.008541184241501</v>
      </c>
      <c r="AE51" s="57">
        <v>54.598434038582127</v>
      </c>
      <c r="AF51" s="65">
        <v>43.807005083720071</v>
      </c>
      <c r="AG51" s="57">
        <v>70.755300263806632</v>
      </c>
      <c r="AH51" s="66">
        <v>2.5865579964131293</v>
      </c>
      <c r="AI51" s="56">
        <v>2.4283643939693147</v>
      </c>
    </row>
    <row r="52" spans="1:40" x14ac:dyDescent="0.2">
      <c r="B52" s="132">
        <v>0.2</v>
      </c>
      <c r="C52" s="131">
        <v>60</v>
      </c>
      <c r="D52" s="66">
        <v>-52.719818230095626</v>
      </c>
      <c r="E52" s="56">
        <v>14.287546563554454</v>
      </c>
      <c r="F52" s="66">
        <v>31.305425705010219</v>
      </c>
      <c r="G52" s="56">
        <v>53.853165360569534</v>
      </c>
      <c r="H52" s="134">
        <v>2.3167960608318596</v>
      </c>
      <c r="I52" s="135">
        <v>2.189158804128954</v>
      </c>
      <c r="K52" s="27">
        <f t="shared" si="6"/>
        <v>-2.8550729439406081E-2</v>
      </c>
      <c r="L52" s="27">
        <f t="shared" si="6"/>
        <v>-0.68382017659441818</v>
      </c>
      <c r="N52" s="358">
        <v>1.8399999999999996E-2</v>
      </c>
      <c r="O52" s="131">
        <v>60</v>
      </c>
      <c r="P52" s="92">
        <v>-22.21115378177419</v>
      </c>
      <c r="Q52" s="131">
        <v>55.179268443247885</v>
      </c>
      <c r="R52" s="92">
        <v>44.861545548803853</v>
      </c>
      <c r="S52" s="131">
        <v>70.4818555657003</v>
      </c>
      <c r="T52" s="359">
        <v>2.8308581505367307</v>
      </c>
      <c r="U52" s="134">
        <v>2.4499806162473381</v>
      </c>
      <c r="AA52" s="14"/>
      <c r="AB52" s="48">
        <v>2.2619999999999998E-2</v>
      </c>
      <c r="AC52" s="57">
        <v>60</v>
      </c>
      <c r="AD52" s="65">
        <v>-19.809947967528334</v>
      </c>
      <c r="AE52" s="57">
        <v>45.305083563929841</v>
      </c>
      <c r="AF52" s="65">
        <v>43.809293240956372</v>
      </c>
      <c r="AG52" s="57">
        <v>70.763945190298259</v>
      </c>
      <c r="AH52" s="66">
        <v>2.5872029816948552</v>
      </c>
      <c r="AI52" s="56">
        <v>2.4243706049504263</v>
      </c>
    </row>
    <row r="53" spans="1:40" x14ac:dyDescent="0.2">
      <c r="B53" s="132">
        <v>0.2</v>
      </c>
      <c r="C53" s="136">
        <v>100</v>
      </c>
      <c r="D53" s="66">
        <v>-49.569290790184446</v>
      </c>
      <c r="E53" s="56">
        <v>-0.8835437523464762</v>
      </c>
      <c r="F53" s="66">
        <v>28.033980580889356</v>
      </c>
      <c r="G53" s="56">
        <v>57.27181131432603</v>
      </c>
      <c r="H53" s="134">
        <v>2.2871051391807371</v>
      </c>
      <c r="I53" s="135">
        <v>2.1520089009808685</v>
      </c>
      <c r="K53" s="27">
        <f t="shared" si="6"/>
        <v>-5.5117913091536318E-2</v>
      </c>
      <c r="L53" s="27">
        <f t="shared" si="6"/>
        <v>-0.72534727164389223</v>
      </c>
      <c r="N53" s="358">
        <v>1.8399999999999996E-2</v>
      </c>
      <c r="O53" s="131">
        <v>100</v>
      </c>
      <c r="P53" s="92">
        <v>-23.411756688897121</v>
      </c>
      <c r="Q53" s="131">
        <v>49.951758801255977</v>
      </c>
      <c r="R53" s="92">
        <v>44.859118192913932</v>
      </c>
      <c r="S53" s="131">
        <v>70.482315148600321</v>
      </c>
      <c r="T53" s="359">
        <v>2.8305016832887708</v>
      </c>
      <c r="U53" s="134">
        <v>2.4490891257947798</v>
      </c>
      <c r="AA53" s="14"/>
      <c r="AB53" s="48">
        <v>2.2619999999999998E-2</v>
      </c>
      <c r="AC53" s="57">
        <v>100</v>
      </c>
      <c r="AD53" s="65">
        <v>-22.011053297253703</v>
      </c>
      <c r="AE53" s="57">
        <v>32.526726661282957</v>
      </c>
      <c r="AF53" s="65">
        <v>43.813296647680048</v>
      </c>
      <c r="AG53" s="57">
        <v>70.748727537198704</v>
      </c>
      <c r="AH53" s="66">
        <v>2.58832343121923</v>
      </c>
      <c r="AI53" s="56">
        <v>2.4320903598615375</v>
      </c>
      <c r="AL53" s="14"/>
      <c r="AM53" s="14"/>
      <c r="AN53" s="14"/>
    </row>
    <row r="54" spans="1:40" x14ac:dyDescent="0.2">
      <c r="B54" s="132">
        <v>0.2</v>
      </c>
      <c r="C54" s="136">
        <v>120</v>
      </c>
      <c r="D54" s="66">
        <v>-48.588741416697971</v>
      </c>
      <c r="E54" s="56">
        <v>-3.9622804673597063</v>
      </c>
      <c r="F54" s="66">
        <v>27.345541442271699</v>
      </c>
      <c r="G54" s="56">
        <v>56.100186576045246</v>
      </c>
      <c r="H54" s="134">
        <v>2.2261801282979721</v>
      </c>
      <c r="I54" s="135">
        <v>2.1412489339211276</v>
      </c>
      <c r="K54" s="27">
        <f t="shared" si="6"/>
        <v>-8.650512543183636E-2</v>
      </c>
      <c r="L54" s="27">
        <f t="shared" si="6"/>
        <v>-0.65042577138635493</v>
      </c>
      <c r="N54" s="358">
        <v>1.8399999999999996E-2</v>
      </c>
      <c r="O54" s="131">
        <v>120</v>
      </c>
      <c r="P54" s="92">
        <v>-24.612359596020053</v>
      </c>
      <c r="Q54" s="131">
        <v>42.98174594526678</v>
      </c>
      <c r="R54" s="92">
        <v>44.861822383311221</v>
      </c>
      <c r="S54" s="131">
        <v>70.481101806611306</v>
      </c>
      <c r="T54" s="359">
        <v>2.8308987337150588</v>
      </c>
      <c r="U54" s="134">
        <v>2.4520612687530514</v>
      </c>
      <c r="AA54" s="14"/>
      <c r="AB54" s="48">
        <v>2.2619999999999998E-2</v>
      </c>
      <c r="AC54" s="57">
        <v>120</v>
      </c>
      <c r="AD54" s="65">
        <v>-22.21115378177419</v>
      </c>
      <c r="AE54" s="57">
        <v>27.880051423956829</v>
      </c>
      <c r="AF54" s="65">
        <v>43.813104786781913</v>
      </c>
      <c r="AG54" s="57">
        <v>70.746907422617738</v>
      </c>
      <c r="AH54" s="66">
        <v>2.5882699056232319</v>
      </c>
      <c r="AI54" s="56">
        <v>2.4332807401976431</v>
      </c>
      <c r="AL54" s="14"/>
      <c r="AM54" s="14"/>
      <c r="AN54" s="14"/>
    </row>
    <row r="55" spans="1:40" x14ac:dyDescent="0.2">
      <c r="B55" s="137"/>
      <c r="C55" s="138"/>
      <c r="D55" s="507"/>
      <c r="E55" s="119"/>
      <c r="F55" s="507"/>
      <c r="G55" s="119"/>
      <c r="H55" s="139"/>
      <c r="I55" s="140"/>
      <c r="K55" s="27"/>
      <c r="L55" s="27"/>
      <c r="N55" s="358"/>
      <c r="O55" s="136"/>
      <c r="P55" s="158"/>
      <c r="Q55" s="132"/>
      <c r="R55" s="360"/>
      <c r="S55" s="132"/>
      <c r="T55" s="359"/>
      <c r="U55" s="134"/>
      <c r="AA55" s="14"/>
      <c r="AB55" s="48"/>
      <c r="AC55" s="51"/>
      <c r="AD55" s="15"/>
      <c r="AE55" s="53"/>
      <c r="AF55" s="33"/>
      <c r="AG55" s="53"/>
      <c r="AH55" s="66"/>
      <c r="AI55" s="56"/>
      <c r="AL55" s="14"/>
      <c r="AM55" s="14"/>
      <c r="AN55" s="14"/>
    </row>
    <row r="56" spans="1:40" x14ac:dyDescent="0.2">
      <c r="A56" s="5" t="str">
        <f>B44&amp;C56</f>
        <v>50005</v>
      </c>
      <c r="B56" s="132">
        <v>0</v>
      </c>
      <c r="C56" s="136">
        <v>5</v>
      </c>
      <c r="D56" s="66">
        <v>-49.855101790630563</v>
      </c>
      <c r="E56" s="56">
        <v>70.814067159481866</v>
      </c>
      <c r="F56" s="66">
        <v>48.499740282420383</v>
      </c>
      <c r="G56" s="56">
        <v>84.802411944651325</v>
      </c>
      <c r="H56" s="134">
        <v>2.3511428748552978</v>
      </c>
      <c r="I56" s="135">
        <v>2.1841836005659419</v>
      </c>
      <c r="K56" s="27">
        <f t="shared" ref="K56:L62" si="7">(D56-P35)/F56</f>
        <v>0.16853778335126152</v>
      </c>
      <c r="L56" s="27">
        <f t="shared" si="7"/>
        <v>-0.4115188906709964</v>
      </c>
      <c r="N56" s="358">
        <v>0.33879999999999999</v>
      </c>
      <c r="O56" s="131">
        <v>5</v>
      </c>
      <c r="P56" s="92">
        <v>-6.6033159891761111</v>
      </c>
      <c r="Q56" s="131">
        <v>110.35853688649577</v>
      </c>
      <c r="R56" s="92">
        <v>72.341658898322578</v>
      </c>
      <c r="S56" s="131">
        <v>70.545354342101717</v>
      </c>
      <c r="T56" s="359">
        <v>2.8898821685609506</v>
      </c>
      <c r="U56" s="134">
        <v>2.4148556976623237</v>
      </c>
      <c r="AA56" s="14"/>
      <c r="AB56" s="50">
        <v>0.34247999999999995</v>
      </c>
      <c r="AC56" s="57">
        <v>5</v>
      </c>
      <c r="AD56" s="65">
        <v>-8.0040193808195284</v>
      </c>
      <c r="AE56" s="57">
        <v>98.741848793180438</v>
      </c>
      <c r="AF56" s="65">
        <v>71.002933536300333</v>
      </c>
      <c r="AG56" s="57">
        <v>70.851435042359469</v>
      </c>
      <c r="AH56" s="66">
        <v>2.7593215441742722</v>
      </c>
      <c r="AI56" s="56">
        <v>2.3981859321269097</v>
      </c>
      <c r="AL56" s="14"/>
      <c r="AM56" s="14"/>
      <c r="AN56" s="14"/>
    </row>
    <row r="57" spans="1:40" x14ac:dyDescent="0.2">
      <c r="A57" s="5" t="str">
        <f>B44&amp;C57</f>
        <v>500010</v>
      </c>
      <c r="B57" s="132">
        <v>0</v>
      </c>
      <c r="C57" s="136">
        <v>10</v>
      </c>
      <c r="D57" s="66">
        <v>-51.235215729259195</v>
      </c>
      <c r="E57" s="56">
        <v>57.41739019406625</v>
      </c>
      <c r="F57" s="66">
        <v>47.96442513835683</v>
      </c>
      <c r="G57" s="56">
        <v>76.807292543814938</v>
      </c>
      <c r="H57" s="134">
        <v>2.4049021423164847</v>
      </c>
      <c r="I57" s="135">
        <v>2.2118698361375686</v>
      </c>
      <c r="K57" s="27">
        <f t="shared" si="7"/>
        <v>0.15833248700173011</v>
      </c>
      <c r="L57" s="27">
        <f t="shared" si="7"/>
        <v>-0.48509219023961209</v>
      </c>
      <c r="N57" s="358">
        <v>0.33879999999999999</v>
      </c>
      <c r="O57" s="131">
        <v>10</v>
      </c>
      <c r="P57" s="92">
        <v>-10.405225195065388</v>
      </c>
      <c r="Q57" s="131">
        <v>102.22685522117504</v>
      </c>
      <c r="R57" s="92">
        <v>59.909288599853731</v>
      </c>
      <c r="S57" s="131">
        <v>70.489699952152463</v>
      </c>
      <c r="T57" s="359">
        <v>2.8485239085595744</v>
      </c>
      <c r="U57" s="134">
        <v>2.4401771731143063</v>
      </c>
      <c r="AA57" s="14"/>
      <c r="AB57" s="50">
        <v>0.34247999999999995</v>
      </c>
      <c r="AC57" s="57">
        <v>10</v>
      </c>
      <c r="AD57" s="65">
        <v>-12.006029071229293</v>
      </c>
      <c r="AE57" s="57">
        <v>90.029332723193917</v>
      </c>
      <c r="AF57" s="65">
        <v>58.686832429917793</v>
      </c>
      <c r="AG57" s="57">
        <v>70.76992705747449</v>
      </c>
      <c r="AH57" s="66">
        <v>2.6856331398509008</v>
      </c>
      <c r="AI57" s="56">
        <v>2.4215398703142599</v>
      </c>
      <c r="AL57" s="14"/>
      <c r="AM57" s="14"/>
      <c r="AN57" s="14"/>
    </row>
    <row r="58" spans="1:40" x14ac:dyDescent="0.2">
      <c r="A58" s="5" t="str">
        <f>B44&amp;C58</f>
        <v>500020</v>
      </c>
      <c r="B58" s="132">
        <v>0</v>
      </c>
      <c r="C58" s="136">
        <v>20</v>
      </c>
      <c r="D58" s="66">
        <v>-50.597595469846922</v>
      </c>
      <c r="E58" s="56">
        <v>43.769861570641915</v>
      </c>
      <c r="F58" s="66">
        <v>41.325167832464473</v>
      </c>
      <c r="G58" s="56">
        <v>56.065638581583869</v>
      </c>
      <c r="H58" s="134">
        <v>2.3103028313758069</v>
      </c>
      <c r="I58" s="135">
        <v>2.1651223650686289</v>
      </c>
      <c r="K58" s="27">
        <f t="shared" si="7"/>
        <v>0.21856774917107244</v>
      </c>
      <c r="L58" s="27">
        <f t="shared" si="7"/>
        <v>-0.62825677821624792</v>
      </c>
      <c r="N58" s="358">
        <v>0.33879999999999999</v>
      </c>
      <c r="O58" s="131">
        <v>20</v>
      </c>
      <c r="P58" s="92">
        <v>-16.008038761639057</v>
      </c>
      <c r="Q58" s="131">
        <v>91.191001532525462</v>
      </c>
      <c r="R58" s="92">
        <v>44.763603699833972</v>
      </c>
      <c r="S58" s="131">
        <v>70.489053264396361</v>
      </c>
      <c r="T58" s="359">
        <v>2.8162981324481127</v>
      </c>
      <c r="U58" s="134">
        <v>2.4414379006914158</v>
      </c>
      <c r="AA58" s="14"/>
      <c r="AB58" s="50">
        <v>0.34247999999999995</v>
      </c>
      <c r="AC58" s="57">
        <v>20</v>
      </c>
      <c r="AD58" s="65">
        <v>-17.008541184241501</v>
      </c>
      <c r="AE58" s="57">
        <v>78.412644629878599</v>
      </c>
      <c r="AF58" s="65">
        <v>43.791990025501484</v>
      </c>
      <c r="AG58" s="57">
        <v>70.775828666804969</v>
      </c>
      <c r="AH58" s="66">
        <v>2.5822397911402879</v>
      </c>
      <c r="AI58" s="56">
        <v>2.4197717650553758</v>
      </c>
      <c r="AL58" s="14"/>
      <c r="AM58" s="14"/>
      <c r="AN58" s="14"/>
    </row>
    <row r="59" spans="1:40" x14ac:dyDescent="0.2">
      <c r="A59" s="5" t="str">
        <f>B44&amp;C59</f>
        <v>500040</v>
      </c>
      <c r="B59" s="132">
        <v>0</v>
      </c>
      <c r="C59" s="136">
        <v>40</v>
      </c>
      <c r="D59" s="66">
        <v>-48.979608111414208</v>
      </c>
      <c r="E59" s="56">
        <v>23.328345254928184</v>
      </c>
      <c r="F59" s="66">
        <v>32.977802446692863</v>
      </c>
      <c r="G59" s="56">
        <v>55.946451523621178</v>
      </c>
      <c r="H59" s="134">
        <v>2.2845997373411895</v>
      </c>
      <c r="I59" s="135">
        <v>2.1327890397664668</v>
      </c>
      <c r="K59" s="27">
        <f t="shared" si="7"/>
        <v>0.28048057171181978</v>
      </c>
      <c r="L59" s="27">
        <f t="shared" si="7"/>
        <v>-0.71465845937984784</v>
      </c>
      <c r="N59" s="358">
        <v>0.33879999999999999</v>
      </c>
      <c r="O59" s="131">
        <v>40</v>
      </c>
      <c r="P59" s="92">
        <v>-22.21115378177419</v>
      </c>
      <c r="Q59" s="131">
        <v>77.83181022521282</v>
      </c>
      <c r="R59" s="92">
        <v>44.82879924332628</v>
      </c>
      <c r="S59" s="131">
        <v>70.484825688265602</v>
      </c>
      <c r="T59" s="359">
        <v>2.8260311122241073</v>
      </c>
      <c r="U59" s="134">
        <v>2.445491982547682</v>
      </c>
      <c r="AB59" s="50">
        <v>0.34247999999999995</v>
      </c>
      <c r="AC59" s="57">
        <v>40</v>
      </c>
      <c r="AD59" s="65">
        <v>-22.21115378177419</v>
      </c>
      <c r="AE59" s="57">
        <v>62.730115703902868</v>
      </c>
      <c r="AF59" s="65">
        <v>43.806004537709747</v>
      </c>
      <c r="AG59" s="57">
        <v>70.759230082955455</v>
      </c>
      <c r="AH59" s="66">
        <v>2.5862750315826171</v>
      </c>
      <c r="AI59" s="56">
        <v>2.4264454819562857</v>
      </c>
      <c r="AL59" s="14"/>
      <c r="AM59" s="14"/>
      <c r="AN59" s="14"/>
    </row>
    <row r="60" spans="1:40" x14ac:dyDescent="0.2">
      <c r="A60" s="5" t="str">
        <f>B44&amp;C60</f>
        <v>500060</v>
      </c>
      <c r="B60" s="132">
        <v>0</v>
      </c>
      <c r="C60" s="136">
        <v>60</v>
      </c>
      <c r="D60" s="66">
        <v>-46.9998739133733</v>
      </c>
      <c r="E60" s="56">
        <v>10.097474568452034</v>
      </c>
      <c r="F60" s="66">
        <v>31.306508991351329</v>
      </c>
      <c r="G60" s="56">
        <v>53.518382920605347</v>
      </c>
      <c r="H60" s="134">
        <v>2.3165992092448264</v>
      </c>
      <c r="I60" s="135">
        <v>2.2000230540249022</v>
      </c>
      <c r="K60" s="27">
        <f t="shared" si="7"/>
        <v>0.30116621192126702</v>
      </c>
      <c r="L60" s="27">
        <f t="shared" si="7"/>
        <v>-0.85321390123468865</v>
      </c>
      <c r="N60" s="358">
        <v>0.33879999999999999</v>
      </c>
      <c r="O60" s="131">
        <v>60</v>
      </c>
      <c r="P60" s="92">
        <v>-25.81296250314298</v>
      </c>
      <c r="Q60" s="131">
        <v>67.376790941229004</v>
      </c>
      <c r="R60" s="92">
        <v>44.844210939464588</v>
      </c>
      <c r="S60" s="131">
        <v>70.48445562033838</v>
      </c>
      <c r="T60" s="359">
        <v>2.8283075588500912</v>
      </c>
      <c r="U60" s="134">
        <v>2.4458759175594604</v>
      </c>
      <c r="AB60" s="50">
        <v>0.34247999999999995</v>
      </c>
      <c r="AC60" s="57">
        <v>60</v>
      </c>
      <c r="AD60" s="65">
        <v>-25.212661049581513</v>
      </c>
      <c r="AE60" s="57">
        <v>51.694262015253294</v>
      </c>
      <c r="AF60" s="65">
        <v>43.809897226067328</v>
      </c>
      <c r="AG60" s="57">
        <v>70.772620787316555</v>
      </c>
      <c r="AH60" s="66">
        <v>2.587372693467104</v>
      </c>
      <c r="AI60" s="56">
        <v>2.4209624748245502</v>
      </c>
      <c r="AL60" s="14"/>
      <c r="AM60" s="14"/>
      <c r="AN60" s="14"/>
    </row>
    <row r="61" spans="1:40" x14ac:dyDescent="0.2">
      <c r="A61" s="5" t="str">
        <f>B44&amp;C61</f>
        <v>5000100</v>
      </c>
      <c r="B61" s="132">
        <v>0</v>
      </c>
      <c r="C61" s="136">
        <v>100</v>
      </c>
      <c r="D61" s="66">
        <v>-43.583025776703792</v>
      </c>
      <c r="E61" s="56">
        <v>-2.4680287626667603</v>
      </c>
      <c r="F61" s="66">
        <v>28.033691935904891</v>
      </c>
      <c r="G61" s="56">
        <v>57.296930324559234</v>
      </c>
      <c r="H61" s="134">
        <v>2.2871495303417713</v>
      </c>
      <c r="I61" s="135">
        <v>2.1514274253975629</v>
      </c>
      <c r="K61" s="27">
        <f t="shared" si="7"/>
        <v>0.35827974773180182</v>
      </c>
      <c r="L61" s="27">
        <f t="shared" si="7"/>
        <v>-0.66144778145355387</v>
      </c>
      <c r="N61" s="358">
        <v>0.33879999999999999</v>
      </c>
      <c r="O61" s="131">
        <v>100</v>
      </c>
      <c r="P61" s="92">
        <v>-28.61436928642981</v>
      </c>
      <c r="Q61" s="131">
        <v>57.502606061910953</v>
      </c>
      <c r="R61" s="92">
        <v>44.85399275043148</v>
      </c>
      <c r="S61" s="131">
        <v>70.483725412832612</v>
      </c>
      <c r="T61" s="359">
        <v>2.8297483384378954</v>
      </c>
      <c r="U61" s="134">
        <v>2.4468789332298728</v>
      </c>
      <c r="AB61" s="50">
        <v>0.34247999999999995</v>
      </c>
      <c r="AC61" s="57">
        <v>100</v>
      </c>
      <c r="AD61" s="65">
        <v>-27.213665894786395</v>
      </c>
      <c r="AE61" s="57">
        <v>36.592567493943335</v>
      </c>
      <c r="AF61" s="65">
        <v>43.812949251964618</v>
      </c>
      <c r="AG61" s="57">
        <v>70.748737648209342</v>
      </c>
      <c r="AH61" s="66">
        <v>2.5882265925080321</v>
      </c>
      <c r="AI61" s="56">
        <v>2.4320838419975956</v>
      </c>
    </row>
    <row r="62" spans="1:40" x14ac:dyDescent="0.2">
      <c r="A62" s="5" t="str">
        <f>B44&amp;C62</f>
        <v>5000120</v>
      </c>
      <c r="B62" s="132">
        <v>0</v>
      </c>
      <c r="C62" s="136">
        <v>120</v>
      </c>
      <c r="D62" s="66">
        <v>-42.583658677683339</v>
      </c>
      <c r="E62" s="56">
        <v>-7.2935487687073062</v>
      </c>
      <c r="F62" s="66">
        <v>27.345168588386667</v>
      </c>
      <c r="G62" s="56">
        <v>56.193055610194243</v>
      </c>
      <c r="H62" s="134">
        <v>2.2262144252765701</v>
      </c>
      <c r="I62" s="135">
        <v>2.1393042927349404</v>
      </c>
      <c r="K62" s="27">
        <f t="shared" si="7"/>
        <v>0.345306603874944</v>
      </c>
      <c r="L62" s="27">
        <f t="shared" si="7"/>
        <v>-0.73964261584749058</v>
      </c>
      <c r="N62" s="358">
        <v>0.33879999999999999</v>
      </c>
      <c r="O62" s="131">
        <v>120</v>
      </c>
      <c r="P62" s="92">
        <v>-30.415273647114208</v>
      </c>
      <c r="Q62" s="131">
        <v>48.209255587258689</v>
      </c>
      <c r="R62" s="92">
        <v>44.861478325501729</v>
      </c>
      <c r="S62" s="131">
        <v>70.481105165824047</v>
      </c>
      <c r="T62" s="359">
        <v>2.8308482271610318</v>
      </c>
      <c r="U62" s="134">
        <v>2.4520493598991133</v>
      </c>
      <c r="AB62" s="50">
        <v>0.34247999999999995</v>
      </c>
      <c r="AC62" s="57">
        <v>120</v>
      </c>
      <c r="AD62" s="65">
        <v>-27.813967348347866</v>
      </c>
      <c r="AE62" s="57">
        <v>31.945892256617203</v>
      </c>
      <c r="AF62" s="65">
        <v>43.813012606289384</v>
      </c>
      <c r="AG62" s="57">
        <v>70.746915759648104</v>
      </c>
      <c r="AH62" s="66">
        <v>2.5882442065921607</v>
      </c>
      <c r="AI62" s="56">
        <v>2.4332750755440755</v>
      </c>
    </row>
    <row r="63" spans="1:40" x14ac:dyDescent="0.2">
      <c r="A63" s="5"/>
      <c r="B63" s="95"/>
      <c r="C63" s="141"/>
      <c r="D63" s="508"/>
      <c r="E63" s="509"/>
      <c r="F63" s="514"/>
      <c r="G63" s="515"/>
      <c r="H63" s="141"/>
      <c r="I63" s="142"/>
      <c r="N63" s="95"/>
      <c r="O63" s="141"/>
      <c r="P63" s="85"/>
      <c r="Q63" s="141"/>
      <c r="R63" s="85"/>
      <c r="S63" s="141"/>
      <c r="T63" s="85"/>
      <c r="U63" s="141"/>
      <c r="AB63" s="39"/>
      <c r="AC63" s="52"/>
      <c r="AD63" s="38"/>
      <c r="AE63" s="52"/>
      <c r="AF63" s="38"/>
      <c r="AG63" s="52"/>
      <c r="AH63" s="38"/>
      <c r="AI63" s="52"/>
    </row>
    <row r="64" spans="1:40" x14ac:dyDescent="0.2">
      <c r="A64" s="5"/>
      <c r="B64" s="83"/>
      <c r="C64" s="83"/>
      <c r="D64" s="520"/>
      <c r="E64" s="520"/>
      <c r="F64" s="522"/>
      <c r="G64" s="522"/>
      <c r="H64" s="83"/>
      <c r="I64" s="83"/>
    </row>
    <row r="65" spans="1:25" x14ac:dyDescent="0.2">
      <c r="A65" s="5"/>
      <c r="C65" s="27" t="s">
        <v>417</v>
      </c>
      <c r="D65" s="27"/>
      <c r="E65" s="27"/>
      <c r="F65" s="27"/>
      <c r="G65" s="27"/>
    </row>
    <row r="66" spans="1:25" x14ac:dyDescent="0.2">
      <c r="A66" s="5"/>
      <c r="B66" s="61" t="s">
        <v>407</v>
      </c>
      <c r="C66" s="18"/>
      <c r="D66" s="516"/>
      <c r="E66" s="516"/>
      <c r="F66" s="516"/>
      <c r="G66" s="517"/>
      <c r="H66" s="10"/>
      <c r="I66" s="11"/>
      <c r="N66" s="350" t="s">
        <v>293</v>
      </c>
      <c r="O66" s="133"/>
      <c r="P66" s="133"/>
      <c r="Q66" s="133"/>
      <c r="R66" s="133"/>
      <c r="S66" s="79"/>
      <c r="T66" s="79"/>
      <c r="U66" s="80"/>
    </row>
    <row r="67" spans="1:25" ht="25.5" x14ac:dyDescent="0.2">
      <c r="B67" s="12"/>
      <c r="C67" s="13"/>
      <c r="D67" s="551" t="s">
        <v>19</v>
      </c>
      <c r="E67" s="552"/>
      <c r="F67" s="551" t="s">
        <v>20</v>
      </c>
      <c r="G67" s="552"/>
      <c r="H67" s="543" t="s">
        <v>8</v>
      </c>
      <c r="I67" s="544"/>
      <c r="N67" s="129"/>
      <c r="O67" s="130"/>
      <c r="P67" s="129" t="s">
        <v>19</v>
      </c>
      <c r="Q67" s="130"/>
      <c r="R67" s="129" t="s">
        <v>20</v>
      </c>
      <c r="S67" s="130"/>
      <c r="T67" s="129" t="s">
        <v>8</v>
      </c>
      <c r="U67" s="130"/>
    </row>
    <row r="68" spans="1:25" ht="38.25" x14ac:dyDescent="0.2">
      <c r="B68" s="12" t="s">
        <v>356</v>
      </c>
      <c r="C68" s="54" t="s">
        <v>242</v>
      </c>
      <c r="D68" s="512" t="s">
        <v>403</v>
      </c>
      <c r="E68" s="513" t="s">
        <v>404</v>
      </c>
      <c r="F68" s="512" t="s">
        <v>403</v>
      </c>
      <c r="G68" s="513" t="s">
        <v>404</v>
      </c>
      <c r="H68" s="54" t="s">
        <v>159</v>
      </c>
      <c r="I68" s="13" t="s">
        <v>160</v>
      </c>
      <c r="N68" s="292" t="s">
        <v>9</v>
      </c>
      <c r="O68" s="351" t="s">
        <v>15</v>
      </c>
      <c r="P68" s="17" t="s">
        <v>103</v>
      </c>
      <c r="Q68" s="9" t="s">
        <v>104</v>
      </c>
      <c r="R68" s="17" t="s">
        <v>103</v>
      </c>
      <c r="S68" s="9" t="s">
        <v>104</v>
      </c>
      <c r="T68" s="352" t="s">
        <v>281</v>
      </c>
      <c r="U68" s="130" t="s">
        <v>282</v>
      </c>
      <c r="X68" t="s">
        <v>299</v>
      </c>
    </row>
    <row r="69" spans="1:25" x14ac:dyDescent="0.2">
      <c r="B69" s="53">
        <v>0.32</v>
      </c>
      <c r="C69" s="57">
        <v>5</v>
      </c>
      <c r="D69" s="66">
        <v>-56.490090004083861</v>
      </c>
      <c r="E69" s="56">
        <v>83.297220749870377</v>
      </c>
      <c r="F69" s="66">
        <v>48.500235021111145</v>
      </c>
      <c r="G69" s="56">
        <v>89.851271576385074</v>
      </c>
      <c r="H69" s="56">
        <v>2.3510560979104196</v>
      </c>
      <c r="I69" s="49">
        <v>2.1775383636707608</v>
      </c>
      <c r="K69" s="27">
        <f t="shared" ref="K69:L75" si="8">(D69-P6)/F69</f>
        <v>-4.6656654303769425E-2</v>
      </c>
      <c r="L69" s="27">
        <f t="shared" si="8"/>
        <v>-0.15249783991831647</v>
      </c>
      <c r="N69" s="353">
        <v>1.8399999999999996E-2</v>
      </c>
      <c r="O69" s="354">
        <v>5</v>
      </c>
      <c r="P69" s="355">
        <v>-3.8019092058892761</v>
      </c>
      <c r="Q69" s="354">
        <v>96.999345579183128</v>
      </c>
      <c r="R69" s="355">
        <v>72.35505885894041</v>
      </c>
      <c r="S69" s="354">
        <v>70.539488517862338</v>
      </c>
      <c r="T69" s="356">
        <v>2.8910338263065101</v>
      </c>
      <c r="U69" s="357">
        <v>2.4169945836498692</v>
      </c>
      <c r="X69" s="14">
        <f t="shared" ref="X69:Y75" si="9">P69-AD48</f>
        <v>0.20010048452048812</v>
      </c>
      <c r="Y69" s="14">
        <f t="shared" si="9"/>
        <v>9.8741848793180367</v>
      </c>
    </row>
    <row r="70" spans="1:25" x14ac:dyDescent="0.2">
      <c r="B70" s="53">
        <v>0.32</v>
      </c>
      <c r="C70" s="57">
        <v>10</v>
      </c>
      <c r="D70" s="66">
        <v>-57.72799474380404</v>
      </c>
      <c r="E70" s="56">
        <v>69.330282854476025</v>
      </c>
      <c r="F70" s="66">
        <v>47.964809179868247</v>
      </c>
      <c r="G70" s="56">
        <v>80.929432796338773</v>
      </c>
      <c r="H70" s="56">
        <v>2.4047408760751114</v>
      </c>
      <c r="I70" s="49">
        <v>2.1901263149382268</v>
      </c>
      <c r="K70" s="27">
        <f t="shared" si="8"/>
        <v>-6.4642443548219616E-2</v>
      </c>
      <c r="L70" s="27">
        <f t="shared" si="8"/>
        <v>-0.2055273151106283</v>
      </c>
      <c r="N70" s="358">
        <v>1.8399999999999996E-2</v>
      </c>
      <c r="O70" s="131">
        <v>10</v>
      </c>
      <c r="P70" s="92">
        <v>-6.6033159891761111</v>
      </c>
      <c r="Q70" s="131">
        <v>91.191001532525462</v>
      </c>
      <c r="R70" s="92">
        <v>59.927822133351988</v>
      </c>
      <c r="S70" s="131">
        <v>70.486550792743742</v>
      </c>
      <c r="T70" s="359">
        <v>2.8505248354299435</v>
      </c>
      <c r="U70" s="134">
        <v>2.4431158188395061</v>
      </c>
      <c r="X70" s="14">
        <f t="shared" si="9"/>
        <v>0.6003014535614648</v>
      </c>
      <c r="Y70" s="14">
        <f t="shared" si="9"/>
        <v>11.616688093315361</v>
      </c>
    </row>
    <row r="71" spans="1:25" ht="12.75" customHeight="1" x14ac:dyDescent="0.2">
      <c r="B71" s="53">
        <v>0.32</v>
      </c>
      <c r="C71" s="57">
        <v>20</v>
      </c>
      <c r="D71" s="66">
        <v>-58.497386964272557</v>
      </c>
      <c r="E71" s="56">
        <v>50.423922089214273</v>
      </c>
      <c r="F71" s="66">
        <v>41.32573949913747</v>
      </c>
      <c r="G71" s="56">
        <v>58.423499442873315</v>
      </c>
      <c r="H71" s="56">
        <v>2.3102283097804395</v>
      </c>
      <c r="I71" s="49">
        <v>2.1583133453069467</v>
      </c>
      <c r="K71" s="27">
        <f t="shared" si="8"/>
        <v>-9.3645140706073729E-2</v>
      </c>
      <c r="L71" s="27">
        <f t="shared" si="8"/>
        <v>-0.37964823582152379</v>
      </c>
      <c r="N71" s="358">
        <v>1.8399999999999996E-2</v>
      </c>
      <c r="O71" s="131">
        <v>20</v>
      </c>
      <c r="P71" s="92">
        <v>-11.405727617667829</v>
      </c>
      <c r="Q71" s="131">
        <v>82.478485462538956</v>
      </c>
      <c r="R71" s="92">
        <v>44.77814024129249</v>
      </c>
      <c r="S71" s="131">
        <v>70.486951455480153</v>
      </c>
      <c r="T71" s="359">
        <v>2.8184810067730939</v>
      </c>
      <c r="U71" s="134">
        <v>2.4433046048543154</v>
      </c>
      <c r="X71" s="14">
        <f t="shared" si="9"/>
        <v>0.60030145356146392</v>
      </c>
      <c r="Y71" s="14">
        <f t="shared" si="9"/>
        <v>13.940025711978407</v>
      </c>
    </row>
    <row r="72" spans="1:25" x14ac:dyDescent="0.2">
      <c r="B72" s="53">
        <v>0.32</v>
      </c>
      <c r="C72" s="57">
        <v>40</v>
      </c>
      <c r="D72" s="66">
        <v>-57.540190110536471</v>
      </c>
      <c r="E72" s="56">
        <v>30.04286485788819</v>
      </c>
      <c r="F72" s="66">
        <v>32.980080509297984</v>
      </c>
      <c r="G72" s="56">
        <v>57.097966591274933</v>
      </c>
      <c r="H72" s="56">
        <v>2.2843097794267924</v>
      </c>
      <c r="I72" s="49">
        <v>2.1198760137068766</v>
      </c>
      <c r="K72" s="27">
        <f t="shared" si="8"/>
        <v>-5.7982132981804657E-2</v>
      </c>
      <c r="L72" s="27">
        <f t="shared" si="8"/>
        <v>-0.46057808998595418</v>
      </c>
      <c r="N72" s="358">
        <v>1.8399999999999996E-2</v>
      </c>
      <c r="O72" s="131">
        <v>40</v>
      </c>
      <c r="P72" s="92">
        <v>-17.208641668761985</v>
      </c>
      <c r="Q72" s="131">
        <v>70.280962964557844</v>
      </c>
      <c r="R72" s="92">
        <v>44.80008461176913</v>
      </c>
      <c r="S72" s="131">
        <v>70.492538318963113</v>
      </c>
      <c r="T72" s="359">
        <v>2.8217636379403168</v>
      </c>
      <c r="U72" s="134">
        <v>2.4389503783931761</v>
      </c>
      <c r="X72" s="14">
        <f t="shared" si="9"/>
        <v>-0.20010048452048323</v>
      </c>
      <c r="Y72" s="14">
        <f t="shared" si="9"/>
        <v>15.682528925975717</v>
      </c>
    </row>
    <row r="73" spans="1:25" x14ac:dyDescent="0.2">
      <c r="B73" s="53">
        <v>0.32</v>
      </c>
      <c r="C73" s="51">
        <v>60</v>
      </c>
      <c r="D73" s="66">
        <v>-55.780082536561352</v>
      </c>
      <c r="E73" s="56">
        <v>15.269090374655168</v>
      </c>
      <c r="F73" s="66">
        <v>31.305951984030628</v>
      </c>
      <c r="G73" s="56">
        <v>53.941404702403915</v>
      </c>
      <c r="H73" s="56">
        <v>2.3166966164314102</v>
      </c>
      <c r="I73" s="49">
        <v>2.1865603386613444</v>
      </c>
      <c r="K73" s="27">
        <f t="shared" si="8"/>
        <v>-0.12630368333062963</v>
      </c>
      <c r="L73" s="27">
        <f t="shared" si="8"/>
        <v>-0.66450507608554998</v>
      </c>
      <c r="N73" s="358">
        <v>1.8399999999999996E-2</v>
      </c>
      <c r="O73" s="131">
        <v>60</v>
      </c>
      <c r="P73" s="92">
        <v>-22.21115378177419</v>
      </c>
      <c r="Q73" s="131">
        <v>55.179268443247885</v>
      </c>
      <c r="R73" s="92">
        <v>44.863054364026524</v>
      </c>
      <c r="S73" s="131">
        <v>70.48170690399435</v>
      </c>
      <c r="T73" s="359">
        <v>2.8310796204711264</v>
      </c>
      <c r="U73" s="134">
        <v>2.4503475061279416</v>
      </c>
      <c r="X73" s="14">
        <f t="shared" si="9"/>
        <v>-2.4012058142458557</v>
      </c>
      <c r="Y73" s="14">
        <f t="shared" si="9"/>
        <v>9.8741848793180438</v>
      </c>
    </row>
    <row r="74" spans="1:25" x14ac:dyDescent="0.2">
      <c r="B74" s="53">
        <v>0.32</v>
      </c>
      <c r="C74" s="51">
        <v>100</v>
      </c>
      <c r="D74" s="66">
        <v>-53.014446136885319</v>
      </c>
      <c r="E74" s="56">
        <v>-0.55262227361213956</v>
      </c>
      <c r="F74" s="66">
        <v>28.039772888580309</v>
      </c>
      <c r="G74" s="56">
        <v>57.263687713355907</v>
      </c>
      <c r="H74" s="56">
        <v>2.2862210940426961</v>
      </c>
      <c r="I74" s="49">
        <v>2.1521979772755144</v>
      </c>
      <c r="K74" s="27">
        <f t="shared" si="8"/>
        <v>-0.17797326218717513</v>
      </c>
      <c r="L74" s="27">
        <f t="shared" si="8"/>
        <v>-0.71967126543622828</v>
      </c>
      <c r="N74" s="358">
        <v>1.8399999999999996E-2</v>
      </c>
      <c r="O74" s="131">
        <v>100</v>
      </c>
      <c r="P74" s="92">
        <v>-23.411756688897121</v>
      </c>
      <c r="Q74" s="131">
        <v>49.951758801255977</v>
      </c>
      <c r="R74" s="92">
        <v>44.861237438844107</v>
      </c>
      <c r="S74" s="131">
        <v>70.482222187679909</v>
      </c>
      <c r="T74" s="359">
        <v>2.8308129157978286</v>
      </c>
      <c r="U74" s="134">
        <v>2.4492923451926298</v>
      </c>
      <c r="X74" s="14">
        <f t="shared" si="9"/>
        <v>-1.4007033916434182</v>
      </c>
      <c r="Y74" s="14">
        <f t="shared" si="9"/>
        <v>17.42503213997302</v>
      </c>
    </row>
    <row r="75" spans="1:25" x14ac:dyDescent="0.2">
      <c r="B75" s="53">
        <v>0.32</v>
      </c>
      <c r="C75" s="51">
        <v>120</v>
      </c>
      <c r="D75" s="66">
        <v>-51.656720456706033</v>
      </c>
      <c r="E75" s="56">
        <v>-1.9151251186743985</v>
      </c>
      <c r="F75" s="66">
        <v>27.350677370931578</v>
      </c>
      <c r="G75" s="56">
        <v>56.071169740045192</v>
      </c>
      <c r="H75" s="56">
        <v>2.225710250379104</v>
      </c>
      <c r="I75" s="49">
        <v>2.1418733648156416</v>
      </c>
      <c r="K75" s="27">
        <f t="shared" si="8"/>
        <v>-0.1986608396853824</v>
      </c>
      <c r="L75" s="27">
        <f t="shared" si="8"/>
        <v>-0.61425242133587055</v>
      </c>
      <c r="N75" s="358">
        <v>1.8399999999999996E-2</v>
      </c>
      <c r="O75" s="131">
        <v>120</v>
      </c>
      <c r="P75" s="92">
        <v>-24.612359596020053</v>
      </c>
      <c r="Q75" s="131">
        <v>42.98174594526678</v>
      </c>
      <c r="R75" s="92">
        <v>44.863923819792682</v>
      </c>
      <c r="S75" s="131">
        <v>70.481076798675105</v>
      </c>
      <c r="T75" s="359">
        <v>2.8312072150662684</v>
      </c>
      <c r="U75" s="134">
        <v>2.4521508109490866</v>
      </c>
      <c r="X75" s="14">
        <f t="shared" si="9"/>
        <v>-2.4012058142458628</v>
      </c>
      <c r="Y75" s="14">
        <f t="shared" si="9"/>
        <v>15.101694521309952</v>
      </c>
    </row>
    <row r="76" spans="1:25" x14ac:dyDescent="0.2">
      <c r="B76" s="122"/>
      <c r="C76" s="116"/>
      <c r="D76" s="507"/>
      <c r="E76" s="119"/>
      <c r="F76" s="507"/>
      <c r="G76" s="119"/>
      <c r="H76" s="119"/>
      <c r="I76" s="120"/>
      <c r="K76" s="27"/>
      <c r="L76" s="27"/>
      <c r="N76" s="358"/>
      <c r="O76" s="136"/>
      <c r="P76" s="158"/>
      <c r="Q76" s="132"/>
      <c r="R76" s="360"/>
      <c r="S76" s="132"/>
      <c r="T76" s="359"/>
      <c r="U76" s="134"/>
      <c r="X76" s="14"/>
      <c r="Y76" s="14"/>
    </row>
    <row r="77" spans="1:25" x14ac:dyDescent="0.2">
      <c r="B77" s="53">
        <v>0</v>
      </c>
      <c r="C77" s="51">
        <v>5</v>
      </c>
      <c r="D77" s="66">
        <v>-49.951173890944041</v>
      </c>
      <c r="E77" s="56">
        <v>70.915422094883738</v>
      </c>
      <c r="F77" s="66">
        <v>48.500354255690667</v>
      </c>
      <c r="G77" s="56">
        <v>84.805261868091407</v>
      </c>
      <c r="H77" s="56">
        <v>2.3510351969848053</v>
      </c>
      <c r="I77" s="49">
        <v>2.1841244224205205</v>
      </c>
      <c r="K77" s="27">
        <f t="shared" ref="K77:L83" si="10">(D77-P14)/F77</f>
        <v>0.2160638328330117</v>
      </c>
      <c r="L77" s="27">
        <f t="shared" si="10"/>
        <v>-0.47195124824367918</v>
      </c>
      <c r="N77" s="358">
        <v>0.22180000000000002</v>
      </c>
      <c r="O77" s="131">
        <v>5</v>
      </c>
      <c r="P77" s="92">
        <v>-6.4032155046556234</v>
      </c>
      <c r="Q77" s="131">
        <v>104.55019283983812</v>
      </c>
      <c r="R77" s="92">
        <v>72.350216755207114</v>
      </c>
      <c r="S77" s="131">
        <v>70.541660940245052</v>
      </c>
      <c r="T77" s="359">
        <v>2.8906178690520909</v>
      </c>
      <c r="U77" s="134">
        <v>2.4161875720654469</v>
      </c>
      <c r="X77" s="14">
        <f t="shared" ref="X77:Y83" si="11">P77-AD56</f>
        <v>1.600803876163905</v>
      </c>
      <c r="Y77" s="14">
        <f t="shared" si="11"/>
        <v>5.8083440466576803</v>
      </c>
    </row>
    <row r="78" spans="1:25" x14ac:dyDescent="0.2">
      <c r="B78" s="53">
        <v>0</v>
      </c>
      <c r="C78" s="51">
        <v>10</v>
      </c>
      <c r="D78" s="66">
        <v>-51.362200055278002</v>
      </c>
      <c r="E78" s="56">
        <v>57.553396389434567</v>
      </c>
      <c r="F78" s="66">
        <v>47.964665698508895</v>
      </c>
      <c r="G78" s="56">
        <v>76.809646721776261</v>
      </c>
      <c r="H78" s="56">
        <v>2.4048011292386784</v>
      </c>
      <c r="I78" s="49">
        <v>2.2118015847927439</v>
      </c>
      <c r="K78" s="27">
        <f t="shared" si="10"/>
        <v>0.21408987277381564</v>
      </c>
      <c r="L78" s="27">
        <f t="shared" si="10"/>
        <v>-0.5438026158317123</v>
      </c>
      <c r="N78" s="358">
        <v>0.22180000000000002</v>
      </c>
      <c r="O78" s="131">
        <v>10</v>
      </c>
      <c r="P78" s="92">
        <v>-9.6048232569834333</v>
      </c>
      <c r="Q78" s="131">
        <v>97.580179983848893</v>
      </c>
      <c r="R78" s="92">
        <v>59.931808876157945</v>
      </c>
      <c r="S78" s="131">
        <v>70.487162932498805</v>
      </c>
      <c r="T78" s="359">
        <v>2.8509545013762354</v>
      </c>
      <c r="U78" s="134">
        <v>2.4424912778145456</v>
      </c>
      <c r="X78" s="14">
        <f t="shared" si="11"/>
        <v>2.4012058142458592</v>
      </c>
      <c r="Y78" s="14">
        <f t="shared" si="11"/>
        <v>7.5508472606549759</v>
      </c>
    </row>
    <row r="79" spans="1:25" x14ac:dyDescent="0.2">
      <c r="A79" s="5"/>
      <c r="B79" s="53">
        <v>0</v>
      </c>
      <c r="C79" s="51">
        <v>20</v>
      </c>
      <c r="D79" s="66">
        <v>-50.679194215928426</v>
      </c>
      <c r="E79" s="56">
        <v>43.886116547829353</v>
      </c>
      <c r="F79" s="66">
        <v>41.326683227827715</v>
      </c>
      <c r="G79" s="56">
        <v>56.066479859107687</v>
      </c>
      <c r="H79" s="56">
        <v>2.3101051471634144</v>
      </c>
      <c r="I79" s="49">
        <v>2.1650999316126165</v>
      </c>
      <c r="K79" s="27">
        <f t="shared" si="10"/>
        <v>0.27953021069362571</v>
      </c>
      <c r="L79" s="27">
        <f t="shared" si="10"/>
        <v>-0.68833229786657435</v>
      </c>
      <c r="N79" s="358">
        <v>0.22180000000000002</v>
      </c>
      <c r="O79" s="131">
        <v>20</v>
      </c>
      <c r="P79" s="92">
        <v>-14.20713440095466</v>
      </c>
      <c r="Q79" s="131">
        <v>88.286829509196622</v>
      </c>
      <c r="R79" s="92">
        <v>44.772024162767089</v>
      </c>
      <c r="S79" s="131">
        <v>70.49003392514615</v>
      </c>
      <c r="T79" s="359">
        <v>2.8175628014155643</v>
      </c>
      <c r="U79" s="134">
        <v>2.4407082576543062</v>
      </c>
      <c r="X79" s="14">
        <f t="shared" si="11"/>
        <v>2.8014067832868417</v>
      </c>
      <c r="Y79" s="14">
        <f t="shared" si="11"/>
        <v>9.8741848793180225</v>
      </c>
    </row>
    <row r="80" spans="1:25" x14ac:dyDescent="0.2">
      <c r="A80" s="5"/>
      <c r="B80" s="53">
        <v>0</v>
      </c>
      <c r="C80" s="51">
        <v>40</v>
      </c>
      <c r="D80" s="66">
        <v>-49.044470180379726</v>
      </c>
      <c r="E80" s="56">
        <v>23.49986899176211</v>
      </c>
      <c r="F80" s="66">
        <v>32.980525077556507</v>
      </c>
      <c r="G80" s="56">
        <v>55.946928873281699</v>
      </c>
      <c r="H80" s="56">
        <v>2.284253421747338</v>
      </c>
      <c r="I80" s="49">
        <v>2.1327794874738895</v>
      </c>
      <c r="K80" s="27">
        <f t="shared" si="10"/>
        <v>0.38163367691486022</v>
      </c>
      <c r="L80" s="27">
        <f t="shared" si="10"/>
        <v>-0.78425970527974731</v>
      </c>
      <c r="N80" s="358">
        <v>0.22180000000000002</v>
      </c>
      <c r="O80" s="131">
        <v>40</v>
      </c>
      <c r="P80" s="92">
        <v>-20.210148936569311</v>
      </c>
      <c r="Q80" s="131">
        <v>74.346803797218215</v>
      </c>
      <c r="R80" s="92">
        <v>44.823515563500088</v>
      </c>
      <c r="S80" s="131">
        <v>70.486875632076817</v>
      </c>
      <c r="T80" s="359">
        <v>2.8252475909610584</v>
      </c>
      <c r="U80" s="134">
        <v>2.4433971486090682</v>
      </c>
      <c r="X80" s="14">
        <f t="shared" si="11"/>
        <v>2.0010048452048785</v>
      </c>
      <c r="Y80" s="14">
        <f t="shared" si="11"/>
        <v>11.616688093315346</v>
      </c>
    </row>
    <row r="81" spans="1:25" x14ac:dyDescent="0.2">
      <c r="A81" s="5"/>
      <c r="B81" s="53">
        <v>0</v>
      </c>
      <c r="C81" s="51">
        <v>60</v>
      </c>
      <c r="D81" s="66">
        <v>-47.033823756633488</v>
      </c>
      <c r="E81" s="56">
        <v>10.189820176262621</v>
      </c>
      <c r="F81" s="66">
        <v>31.309285830460063</v>
      </c>
      <c r="G81" s="56">
        <v>53.518847903670689</v>
      </c>
      <c r="H81" s="56">
        <v>2.316091110877474</v>
      </c>
      <c r="I81" s="49">
        <v>2.2000055401907668</v>
      </c>
      <c r="K81" s="27">
        <f t="shared" si="10"/>
        <v>0.40870370484603485</v>
      </c>
      <c r="L81" s="27">
        <f t="shared" si="10"/>
        <v>-0.86233390448510461</v>
      </c>
      <c r="N81" s="358">
        <v>0.22180000000000002</v>
      </c>
      <c r="O81" s="131">
        <v>60</v>
      </c>
      <c r="P81" s="92">
        <v>-24.212158626979072</v>
      </c>
      <c r="Q81" s="131">
        <v>62.149281299237103</v>
      </c>
      <c r="R81" s="92">
        <v>44.842700748846383</v>
      </c>
      <c r="S81" s="131">
        <v>70.485405335955477</v>
      </c>
      <c r="T81" s="359">
        <v>2.8280845275975324</v>
      </c>
      <c r="U81" s="134">
        <v>2.4448611028615761</v>
      </c>
      <c r="X81" s="14">
        <f t="shared" si="11"/>
        <v>1.000502422602441</v>
      </c>
      <c r="Y81" s="14">
        <f t="shared" si="11"/>
        <v>10.455019283983809</v>
      </c>
    </row>
    <row r="82" spans="1:25" x14ac:dyDescent="0.2">
      <c r="A82" s="5"/>
      <c r="B82" s="53">
        <v>0</v>
      </c>
      <c r="C82" s="51">
        <v>100</v>
      </c>
      <c r="D82" s="66">
        <v>-43.600238942847994</v>
      </c>
      <c r="E82" s="56">
        <v>-2.4338106434498914</v>
      </c>
      <c r="F82" s="66">
        <v>28.038053388564425</v>
      </c>
      <c r="G82" s="56">
        <v>57.296988397939877</v>
      </c>
      <c r="H82" s="56">
        <v>2.2864834278679709</v>
      </c>
      <c r="I82" s="49">
        <v>2.1514260811415387</v>
      </c>
      <c r="K82" s="27">
        <f t="shared" si="10"/>
        <v>0.47179804095693484</v>
      </c>
      <c r="L82" s="27">
        <f t="shared" si="10"/>
        <v>-0.71153619921944056</v>
      </c>
      <c r="N82" s="358">
        <v>0.22180000000000002</v>
      </c>
      <c r="O82" s="131">
        <v>100</v>
      </c>
      <c r="P82" s="92">
        <v>-27.213665894786395</v>
      </c>
      <c r="Q82" s="131">
        <v>51.113427610587522</v>
      </c>
      <c r="R82" s="92">
        <v>44.854151814302192</v>
      </c>
      <c r="S82" s="131">
        <v>70.484079912803608</v>
      </c>
      <c r="T82" s="359">
        <v>2.8297716138551956</v>
      </c>
      <c r="U82" s="134">
        <v>2.4464558629443389</v>
      </c>
      <c r="X82" s="14">
        <f t="shared" si="11"/>
        <v>0</v>
      </c>
      <c r="Y82" s="14">
        <f t="shared" si="11"/>
        <v>14.520860116644187</v>
      </c>
    </row>
    <row r="83" spans="1:25" x14ac:dyDescent="0.2">
      <c r="A83" s="5"/>
      <c r="B83" s="53">
        <v>0</v>
      </c>
      <c r="C83" s="51">
        <v>120</v>
      </c>
      <c r="D83" s="66">
        <v>-42.624696295238195</v>
      </c>
      <c r="E83" s="56">
        <v>-7.3014319303496729</v>
      </c>
      <c r="F83" s="66">
        <v>27.350096639846285</v>
      </c>
      <c r="G83" s="56">
        <v>56.19417969965059</v>
      </c>
      <c r="H83" s="56">
        <v>2.2257634466649479</v>
      </c>
      <c r="I83" s="49">
        <v>2.1392805113341766</v>
      </c>
      <c r="K83" s="27">
        <f t="shared" si="10"/>
        <v>0.47543665284579478</v>
      </c>
      <c r="L83" s="27">
        <f t="shared" si="10"/>
        <v>-0.70875949794993232</v>
      </c>
      <c r="N83" s="358">
        <v>0.22180000000000002</v>
      </c>
      <c r="O83" s="131">
        <v>120</v>
      </c>
      <c r="P83" s="92">
        <v>-29.214670739991277</v>
      </c>
      <c r="Q83" s="131">
        <v>41.239242731269478</v>
      </c>
      <c r="R83" s="92">
        <v>44.863656635164169</v>
      </c>
      <c r="S83" s="131">
        <v>70.481075786359867</v>
      </c>
      <c r="T83" s="359">
        <v>2.8311680090315265</v>
      </c>
      <c r="U83" s="134">
        <v>2.4521544783588194</v>
      </c>
      <c r="X83" s="14">
        <f t="shared" si="11"/>
        <v>-1.4007033916434111</v>
      </c>
      <c r="Y83" s="14">
        <f t="shared" si="11"/>
        <v>9.293350474652275</v>
      </c>
    </row>
    <row r="84" spans="1:25" x14ac:dyDescent="0.2">
      <c r="A84" s="5"/>
      <c r="B84" s="39"/>
      <c r="C84" s="52"/>
      <c r="D84" s="508"/>
      <c r="E84" s="509"/>
      <c r="F84" s="508"/>
      <c r="G84" s="509"/>
      <c r="H84" s="52"/>
      <c r="I84" s="40"/>
      <c r="K84" s="27"/>
      <c r="L84" s="27"/>
      <c r="N84" s="95"/>
      <c r="O84" s="141"/>
      <c r="P84" s="85"/>
      <c r="Q84" s="141"/>
      <c r="R84" s="85"/>
      <c r="S84" s="141"/>
      <c r="T84" s="85"/>
      <c r="U84" s="141"/>
      <c r="X84" s="14"/>
      <c r="Y84" s="14"/>
    </row>
    <row r="85" spans="1:25" x14ac:dyDescent="0.2">
      <c r="A85" s="5"/>
      <c r="B85" s="38"/>
      <c r="C85" s="7"/>
      <c r="D85" s="520"/>
      <c r="E85" s="520"/>
      <c r="F85" s="520"/>
      <c r="G85" s="520"/>
      <c r="H85" s="7"/>
      <c r="I85" s="7"/>
      <c r="K85" s="27"/>
      <c r="L85" s="27"/>
      <c r="N85" s="69"/>
      <c r="O85" s="69"/>
      <c r="P85" s="69"/>
      <c r="Q85" s="69"/>
      <c r="R85" s="69"/>
      <c r="S85" s="69"/>
      <c r="T85" s="69"/>
      <c r="U85" s="69"/>
      <c r="X85" s="14"/>
      <c r="Y85" s="14"/>
    </row>
    <row r="86" spans="1:25" x14ac:dyDescent="0.2">
      <c r="A86" s="5"/>
      <c r="B86" s="519">
        <v>6000</v>
      </c>
      <c r="C86" s="27" t="s">
        <v>418</v>
      </c>
      <c r="D86" s="27"/>
      <c r="E86" s="27"/>
      <c r="F86" s="27"/>
      <c r="G86" s="27"/>
      <c r="N86" s="92">
        <v>4000</v>
      </c>
      <c r="O86" s="69"/>
      <c r="P86" s="69"/>
      <c r="Q86" s="69"/>
      <c r="R86" s="69"/>
      <c r="S86" s="69"/>
      <c r="T86" s="69"/>
      <c r="U86" s="69"/>
    </row>
    <row r="87" spans="1:25" x14ac:dyDescent="0.2">
      <c r="A87" s="5"/>
      <c r="B87" s="61" t="s">
        <v>408</v>
      </c>
      <c r="C87" s="133"/>
      <c r="D87" s="510"/>
      <c r="E87" s="510"/>
      <c r="F87" s="510"/>
      <c r="G87" s="511"/>
      <c r="H87" s="79"/>
      <c r="I87" s="80"/>
      <c r="N87" s="350" t="s">
        <v>373</v>
      </c>
      <c r="O87" s="133"/>
      <c r="P87" s="133"/>
      <c r="Q87" s="133"/>
      <c r="R87" s="133"/>
      <c r="S87" s="79"/>
      <c r="T87" s="79"/>
      <c r="U87" s="80"/>
    </row>
    <row r="88" spans="1:25" ht="25.5" x14ac:dyDescent="0.2">
      <c r="A88" s="5"/>
      <c r="B88" s="129"/>
      <c r="C88" s="130"/>
      <c r="D88" s="553" t="s">
        <v>19</v>
      </c>
      <c r="E88" s="554"/>
      <c r="F88" s="553" t="s">
        <v>20</v>
      </c>
      <c r="G88" s="554"/>
      <c r="H88" s="539" t="s">
        <v>8</v>
      </c>
      <c r="I88" s="540"/>
      <c r="N88" s="129"/>
      <c r="O88" s="130"/>
      <c r="P88" s="129" t="s">
        <v>19</v>
      </c>
      <c r="Q88" s="130"/>
      <c r="R88" s="129" t="s">
        <v>20</v>
      </c>
      <c r="S88" s="130"/>
      <c r="T88" s="129" t="s">
        <v>8</v>
      </c>
      <c r="U88" s="130"/>
    </row>
    <row r="89" spans="1:25" ht="38.25" x14ac:dyDescent="0.2">
      <c r="B89" s="12" t="s">
        <v>356</v>
      </c>
      <c r="C89" s="54" t="s">
        <v>242</v>
      </c>
      <c r="D89" s="512" t="s">
        <v>403</v>
      </c>
      <c r="E89" s="513" t="s">
        <v>404</v>
      </c>
      <c r="F89" s="512" t="s">
        <v>403</v>
      </c>
      <c r="G89" s="513" t="s">
        <v>404</v>
      </c>
      <c r="H89" s="54" t="s">
        <v>159</v>
      </c>
      <c r="I89" s="13" t="s">
        <v>160</v>
      </c>
      <c r="N89" s="292" t="s">
        <v>9</v>
      </c>
      <c r="O89" s="351" t="s">
        <v>15</v>
      </c>
      <c r="P89" s="17" t="s">
        <v>103</v>
      </c>
      <c r="Q89" s="9" t="s">
        <v>104</v>
      </c>
      <c r="R89" s="17" t="s">
        <v>103</v>
      </c>
      <c r="S89" s="9" t="s">
        <v>104</v>
      </c>
      <c r="T89" s="352" t="s">
        <v>281</v>
      </c>
      <c r="U89" s="130" t="s">
        <v>282</v>
      </c>
      <c r="X89" t="s">
        <v>299</v>
      </c>
    </row>
    <row r="90" spans="1:25" x14ac:dyDescent="0.2">
      <c r="B90" s="132">
        <v>0.2</v>
      </c>
      <c r="C90" s="131">
        <v>5</v>
      </c>
      <c r="D90" s="66">
        <v>-5.727352280059848</v>
      </c>
      <c r="E90" s="56">
        <v>79.386437959894707</v>
      </c>
      <c r="F90" s="66">
        <v>19.879993625365472</v>
      </c>
      <c r="G90" s="56">
        <v>70.051692851990168</v>
      </c>
      <c r="H90" s="134">
        <v>2.0730629172001445</v>
      </c>
      <c r="I90" s="135">
        <v>2.2072470747109239</v>
      </c>
      <c r="K90" s="27">
        <f t="shared" ref="K90:L96" si="12">(D90-P69)/F90</f>
        <v>-9.6853304405180599E-2</v>
      </c>
      <c r="L90" s="27">
        <f t="shared" si="12"/>
        <v>-0.25142729464799851</v>
      </c>
      <c r="N90" s="353">
        <v>1.8399999999999996E-2</v>
      </c>
      <c r="O90" s="354">
        <v>5</v>
      </c>
      <c r="P90" s="355">
        <v>-48.22421676943766</v>
      </c>
      <c r="Q90" s="354">
        <v>107.45436486316694</v>
      </c>
      <c r="R90" s="355">
        <v>72.355370654500561</v>
      </c>
      <c r="S90" s="354">
        <v>70.567569178371286</v>
      </c>
      <c r="T90" s="356">
        <v>2.891060643725833</v>
      </c>
      <c r="U90" s="357">
        <v>2.4079082481146226</v>
      </c>
      <c r="X90" s="14">
        <f t="shared" ref="X90:Y96" si="13">P90-AD6</f>
        <v>11.405727617667829</v>
      </c>
      <c r="Y90" s="14">
        <f t="shared" si="13"/>
        <v>20.329204163301853</v>
      </c>
    </row>
    <row r="91" spans="1:25" x14ac:dyDescent="0.2">
      <c r="B91" s="132">
        <v>0.2</v>
      </c>
      <c r="C91" s="131">
        <v>10</v>
      </c>
      <c r="D91" s="66">
        <v>-9.5713262107755099</v>
      </c>
      <c r="E91" s="56">
        <v>72.057376657943038</v>
      </c>
      <c r="F91" s="66">
        <v>17.806623026237808</v>
      </c>
      <c r="G91" s="56">
        <v>65.388244921788413</v>
      </c>
      <c r="H91" s="134">
        <v>2.1109804011119628</v>
      </c>
      <c r="I91" s="135">
        <v>2.1967521971106492</v>
      </c>
      <c r="K91" s="27">
        <f t="shared" si="12"/>
        <v>-0.1666801289175425</v>
      </c>
      <c r="L91" s="27">
        <f t="shared" si="12"/>
        <v>-0.29261566658454219</v>
      </c>
      <c r="N91" s="358">
        <v>1.8399999999999996E-2</v>
      </c>
      <c r="O91" s="131">
        <v>10</v>
      </c>
      <c r="P91" s="92">
        <v>-47.824015800396687</v>
      </c>
      <c r="Q91" s="131">
        <v>94.095173555854302</v>
      </c>
      <c r="R91" s="92">
        <v>59.960365364918886</v>
      </c>
      <c r="S91" s="131">
        <v>70.510624052402846</v>
      </c>
      <c r="T91" s="359">
        <v>2.8540238882243241</v>
      </c>
      <c r="U91" s="134">
        <v>2.4283378670335187</v>
      </c>
      <c r="X91" s="14">
        <f t="shared" si="13"/>
        <v>6.6033159891761031</v>
      </c>
      <c r="Y91" s="14">
        <f t="shared" si="13"/>
        <v>24.975879400627989</v>
      </c>
    </row>
    <row r="92" spans="1:25" ht="12.75" customHeight="1" x14ac:dyDescent="0.2">
      <c r="B92" s="132">
        <v>0.2</v>
      </c>
      <c r="C92" s="131">
        <v>20</v>
      </c>
      <c r="D92" s="66">
        <v>-14.797930532137753</v>
      </c>
      <c r="E92" s="56">
        <v>60.939910260773203</v>
      </c>
      <c r="F92" s="66">
        <v>18.332581350438403</v>
      </c>
      <c r="G92" s="56">
        <v>58.878461444199004</v>
      </c>
      <c r="H92" s="134">
        <v>2.0702689443083981</v>
      </c>
      <c r="I92" s="135">
        <v>2.1655438840620134</v>
      </c>
      <c r="K92" s="27">
        <f t="shared" si="12"/>
        <v>-0.18503683958226669</v>
      </c>
      <c r="L92" s="27">
        <f t="shared" si="12"/>
        <v>-0.36581416486533952</v>
      </c>
      <c r="N92" s="358">
        <v>1.8399999999999996E-2</v>
      </c>
      <c r="O92" s="131">
        <v>20</v>
      </c>
      <c r="P92" s="92">
        <v>-48.02411628491717</v>
      </c>
      <c r="Q92" s="131">
        <v>76.08930701121551</v>
      </c>
      <c r="R92" s="92">
        <v>44.80341503458979</v>
      </c>
      <c r="S92" s="131">
        <v>70.511150852956163</v>
      </c>
      <c r="T92" s="359">
        <v>2.8222686578167608</v>
      </c>
      <c r="U92" s="134">
        <v>2.4291728451979204</v>
      </c>
      <c r="X92" s="14">
        <f t="shared" si="13"/>
        <v>4.0020096904097642</v>
      </c>
      <c r="Y92" s="14">
        <f t="shared" si="13"/>
        <v>27.299217019291063</v>
      </c>
    </row>
    <row r="93" spans="1:25" x14ac:dyDescent="0.2">
      <c r="B93" s="132">
        <v>0.2</v>
      </c>
      <c r="C93" s="131">
        <v>40</v>
      </c>
      <c r="D93" s="66">
        <v>-21.5366528501342</v>
      </c>
      <c r="E93" s="56">
        <v>46.659838986555918</v>
      </c>
      <c r="F93" s="66">
        <v>16.018105511008375</v>
      </c>
      <c r="G93" s="56">
        <v>57.023801504063883</v>
      </c>
      <c r="H93" s="134">
        <v>2.0957211000949192</v>
      </c>
      <c r="I93" s="135">
        <v>2.0880981376618353</v>
      </c>
      <c r="K93" s="27">
        <f t="shared" si="12"/>
        <v>-0.27019494773572367</v>
      </c>
      <c r="L93" s="27">
        <f t="shared" si="12"/>
        <v>-0.41423271256860228</v>
      </c>
      <c r="N93" s="358">
        <v>1.8399999999999996E-2</v>
      </c>
      <c r="O93" s="131">
        <v>40</v>
      </c>
      <c r="P93" s="92">
        <v>-51.826025490806451</v>
      </c>
      <c r="Q93" s="131">
        <v>56.340937252579423</v>
      </c>
      <c r="R93" s="92">
        <v>44.829218391823176</v>
      </c>
      <c r="S93" s="131">
        <v>70.500096818051261</v>
      </c>
      <c r="T93" s="359">
        <v>2.8260947019752085</v>
      </c>
      <c r="U93" s="134">
        <v>2.4344088077527268</v>
      </c>
      <c r="X93" s="14">
        <f t="shared" si="13"/>
        <v>0.60030145356145681</v>
      </c>
      <c r="Y93" s="14">
        <f t="shared" si="13"/>
        <v>26.718382614625295</v>
      </c>
    </row>
    <row r="94" spans="1:25" x14ac:dyDescent="0.2">
      <c r="B94" s="132">
        <v>0.2</v>
      </c>
      <c r="C94" s="131">
        <v>60</v>
      </c>
      <c r="D94" s="66">
        <v>-24.384919198110826</v>
      </c>
      <c r="E94" s="56">
        <v>37.947504376361557</v>
      </c>
      <c r="F94" s="66">
        <v>15.047298098770725</v>
      </c>
      <c r="G94" s="56">
        <v>52.288527503692094</v>
      </c>
      <c r="H94" s="134">
        <v>2.1366194816172848</v>
      </c>
      <c r="I94" s="135">
        <v>2.1058872835326294</v>
      </c>
      <c r="K94" s="27">
        <f t="shared" si="12"/>
        <v>-0.14446217533991831</v>
      </c>
      <c r="L94" s="27">
        <f t="shared" si="12"/>
        <v>-0.32955152668373749</v>
      </c>
      <c r="N94" s="358">
        <v>1.8399999999999996E-2</v>
      </c>
      <c r="O94" s="131">
        <v>60</v>
      </c>
      <c r="P94" s="92">
        <v>-53.626929851490843</v>
      </c>
      <c r="Q94" s="131">
        <v>38.91590511260641</v>
      </c>
      <c r="R94" s="92">
        <v>44.829663279046585</v>
      </c>
      <c r="S94" s="131">
        <v>70.508655727942411</v>
      </c>
      <c r="T94" s="359">
        <v>2.8261590351009325</v>
      </c>
      <c r="U94" s="134">
        <v>2.4303892596640768</v>
      </c>
      <c r="X94" s="14">
        <f t="shared" si="13"/>
        <v>-0.40020096904097358</v>
      </c>
      <c r="Y94" s="14">
        <f t="shared" si="13"/>
        <v>22.652541781964931</v>
      </c>
    </row>
    <row r="95" spans="1:25" x14ac:dyDescent="0.2">
      <c r="B95" s="132">
        <v>0.2</v>
      </c>
      <c r="C95" s="136">
        <v>100</v>
      </c>
      <c r="D95" s="66">
        <v>-26.773847512714145</v>
      </c>
      <c r="E95" s="56">
        <v>27.644456756035805</v>
      </c>
      <c r="F95" s="66">
        <v>14.440279523876484</v>
      </c>
      <c r="G95" s="56">
        <v>54.708030752262772</v>
      </c>
      <c r="H95" s="134">
        <v>2.1500359947921117</v>
      </c>
      <c r="I95" s="135">
        <v>2.0944981341838877</v>
      </c>
      <c r="K95" s="27">
        <f t="shared" si="12"/>
        <v>-0.23282726752331404</v>
      </c>
      <c r="L95" s="27">
        <f t="shared" si="12"/>
        <v>-0.40775187369173443</v>
      </c>
      <c r="N95" s="358">
        <v>1.8399999999999996E-2</v>
      </c>
      <c r="O95" s="131">
        <v>100</v>
      </c>
      <c r="P95" s="92">
        <v>-54.42733178957279</v>
      </c>
      <c r="Q95" s="131">
        <v>19.457952556303205</v>
      </c>
      <c r="R95" s="92">
        <v>44.811217127348051</v>
      </c>
      <c r="S95" s="131">
        <v>70.482573308641861</v>
      </c>
      <c r="T95" s="359">
        <v>2.8234273932926861</v>
      </c>
      <c r="U95" s="134">
        <v>2.4486344277066308</v>
      </c>
      <c r="X95" s="14">
        <f t="shared" si="13"/>
        <v>-2.4012058142458557</v>
      </c>
      <c r="Y95" s="14">
        <f t="shared" si="13"/>
        <v>19.457952556303205</v>
      </c>
    </row>
    <row r="96" spans="1:25" x14ac:dyDescent="0.2">
      <c r="B96" s="132">
        <v>0.2</v>
      </c>
      <c r="C96" s="136">
        <v>120</v>
      </c>
      <c r="D96" s="66">
        <v>-26.611791818444043</v>
      </c>
      <c r="E96" s="56">
        <v>27.006114423866094</v>
      </c>
      <c r="F96" s="66">
        <v>15.959463079262267</v>
      </c>
      <c r="G96" s="56">
        <v>54.341626214675877</v>
      </c>
      <c r="H96" s="134">
        <v>2.0983904837131475</v>
      </c>
      <c r="I96" s="135">
        <v>2.091722103550953</v>
      </c>
      <c r="K96" s="27">
        <f t="shared" si="12"/>
        <v>-0.12528192286255882</v>
      </c>
      <c r="L96" s="27">
        <f t="shared" si="12"/>
        <v>-0.29398515712962225</v>
      </c>
      <c r="N96" s="358">
        <v>1.8399999999999996E-2</v>
      </c>
      <c r="O96" s="131">
        <v>120</v>
      </c>
      <c r="P96" s="92">
        <v>-52.026125975326934</v>
      </c>
      <c r="Q96" s="131">
        <v>11.907105295648227</v>
      </c>
      <c r="R96" s="92">
        <v>44.821512241498674</v>
      </c>
      <c r="S96" s="131">
        <v>70.481107945489683</v>
      </c>
      <c r="T96" s="359">
        <v>2.8249508904656793</v>
      </c>
      <c r="U96" s="134">
        <v>2.4520401588658558</v>
      </c>
      <c r="X96" s="14">
        <f t="shared" si="13"/>
        <v>-0.80040193808194715</v>
      </c>
      <c r="Y96" s="14">
        <f t="shared" si="13"/>
        <v>18.877118151637433</v>
      </c>
    </row>
    <row r="97" spans="1:25" x14ac:dyDescent="0.2">
      <c r="B97" s="143"/>
      <c r="C97" s="138"/>
      <c r="D97" s="507"/>
      <c r="E97" s="119"/>
      <c r="F97" s="507"/>
      <c r="G97" s="119"/>
      <c r="H97" s="139"/>
      <c r="I97" s="140"/>
      <c r="K97" s="27"/>
      <c r="L97" s="27"/>
      <c r="N97" s="358"/>
      <c r="O97" s="136"/>
      <c r="P97" s="158"/>
      <c r="Q97" s="132"/>
      <c r="R97" s="360"/>
      <c r="S97" s="132"/>
      <c r="T97" s="359"/>
      <c r="U97" s="134"/>
    </row>
    <row r="98" spans="1:25" x14ac:dyDescent="0.2">
      <c r="A98" s="5" t="str">
        <f>B86&amp;C98</f>
        <v>60005</v>
      </c>
      <c r="B98" s="132">
        <v>0</v>
      </c>
      <c r="C98" s="136">
        <v>5</v>
      </c>
      <c r="D98" s="66">
        <v>-4.2072152356899686</v>
      </c>
      <c r="E98" s="56">
        <v>67.625402281811262</v>
      </c>
      <c r="F98" s="66">
        <v>19.885236666291721</v>
      </c>
      <c r="G98" s="56">
        <v>62.531563008030368</v>
      </c>
      <c r="H98" s="134">
        <v>2.0729092201299086</v>
      </c>
      <c r="I98" s="135">
        <v>2.1705855413826902</v>
      </c>
      <c r="K98" s="27">
        <f t="shared" ref="K98:L104" si="14">(D98-P77)/F98</f>
        <v>0.1104337004290316</v>
      </c>
      <c r="L98" s="27">
        <f t="shared" si="14"/>
        <v>-0.59049844241515181</v>
      </c>
      <c r="N98" s="358">
        <v>0.33879999999999999</v>
      </c>
      <c r="O98" s="131">
        <v>5</v>
      </c>
      <c r="P98" s="92">
        <v>-58.829542449023535</v>
      </c>
      <c r="Q98" s="131">
        <v>131.26857545446339</v>
      </c>
      <c r="R98" s="92">
        <v>72.354779079574556</v>
      </c>
      <c r="S98" s="131">
        <v>70.601520470829684</v>
      </c>
      <c r="T98" s="359">
        <v>2.891009854721545</v>
      </c>
      <c r="U98" s="134">
        <v>2.3995887662559605</v>
      </c>
      <c r="X98" s="14">
        <f t="shared" ref="X98:Y104" si="15">P98-AD14</f>
        <v>9.0045218034219801</v>
      </c>
      <c r="Y98" s="14">
        <f t="shared" si="15"/>
        <v>20.329204163301824</v>
      </c>
    </row>
    <row r="99" spans="1:25" x14ac:dyDescent="0.2">
      <c r="A99" s="5" t="str">
        <f>B86&amp;C99</f>
        <v>600010</v>
      </c>
      <c r="B99" s="132">
        <v>0</v>
      </c>
      <c r="C99" s="136">
        <v>10</v>
      </c>
      <c r="D99" s="66">
        <v>-8.2236836317717614</v>
      </c>
      <c r="E99" s="56">
        <v>60.025733095448736</v>
      </c>
      <c r="F99" s="66">
        <v>17.799307123339936</v>
      </c>
      <c r="G99" s="56">
        <v>58.144974161957542</v>
      </c>
      <c r="H99" s="134">
        <v>2.1113298032794527</v>
      </c>
      <c r="I99" s="135">
        <v>2.1664632814605427</v>
      </c>
      <c r="K99" s="27">
        <f t="shared" si="14"/>
        <v>7.7595134217365483E-2</v>
      </c>
      <c r="L99" s="27">
        <f t="shared" si="14"/>
        <v>-0.64587606116731011</v>
      </c>
      <c r="N99" s="358">
        <v>0.33879999999999999</v>
      </c>
      <c r="O99" s="131">
        <v>10</v>
      </c>
      <c r="P99" s="92">
        <v>-58.829542449023535</v>
      </c>
      <c r="Q99" s="131">
        <v>112.68187450515885</v>
      </c>
      <c r="R99" s="92">
        <v>59.95630948250583</v>
      </c>
      <c r="S99" s="131">
        <v>70.519716868561531</v>
      </c>
      <c r="T99" s="359">
        <v>2.8535891113552805</v>
      </c>
      <c r="U99" s="134">
        <v>2.4247639267035548</v>
      </c>
      <c r="X99" s="14">
        <f t="shared" si="15"/>
        <v>5.0025121130122088</v>
      </c>
      <c r="Y99" s="14">
        <f t="shared" si="15"/>
        <v>22.071707377299163</v>
      </c>
    </row>
    <row r="100" spans="1:25" x14ac:dyDescent="0.2">
      <c r="A100" s="5" t="str">
        <f>B86&amp;C100</f>
        <v>600020</v>
      </c>
      <c r="B100" s="132">
        <v>0</v>
      </c>
      <c r="C100" s="136">
        <v>20</v>
      </c>
      <c r="D100" s="66">
        <v>-13.201519126873999</v>
      </c>
      <c r="E100" s="56">
        <v>51.218612787776344</v>
      </c>
      <c r="F100" s="66">
        <v>18.268738287534369</v>
      </c>
      <c r="G100" s="56">
        <v>53.736125686435109</v>
      </c>
      <c r="H100" s="134">
        <v>2.0721153826186325</v>
      </c>
      <c r="I100" s="135">
        <v>2.1505396812012285</v>
      </c>
      <c r="K100" s="27">
        <f t="shared" si="14"/>
        <v>5.5045688336716733E-2</v>
      </c>
      <c r="L100" s="27">
        <f t="shared" si="14"/>
        <v>-0.68981930215295739</v>
      </c>
      <c r="N100" s="358">
        <v>0.33879999999999999</v>
      </c>
      <c r="O100" s="131">
        <v>20</v>
      </c>
      <c r="P100" s="92">
        <v>-60.030145356146463</v>
      </c>
      <c r="Q100" s="131">
        <v>92.933504746522758</v>
      </c>
      <c r="R100" s="92">
        <v>44.784613717906019</v>
      </c>
      <c r="S100" s="131">
        <v>70.548770726691686</v>
      </c>
      <c r="T100" s="359">
        <v>2.8194650463317683</v>
      </c>
      <c r="U100" s="134">
        <v>2.4169800563151034</v>
      </c>
      <c r="X100" s="14">
        <f t="shared" si="15"/>
        <v>2.0010048452048821</v>
      </c>
      <c r="Y100" s="14">
        <f t="shared" si="15"/>
        <v>25.556713805293754</v>
      </c>
    </row>
    <row r="101" spans="1:25" x14ac:dyDescent="0.2">
      <c r="A101" s="5" t="str">
        <f>B86&amp;C101</f>
        <v>600040</v>
      </c>
      <c r="B101" s="132">
        <v>0</v>
      </c>
      <c r="C101" s="136">
        <v>40</v>
      </c>
      <c r="D101" s="66">
        <v>-18.465101461584414</v>
      </c>
      <c r="E101" s="56">
        <v>39.845672268256074</v>
      </c>
      <c r="F101" s="66">
        <v>16.017908904298647</v>
      </c>
      <c r="G101" s="56">
        <v>54.638982393702257</v>
      </c>
      <c r="H101" s="134">
        <v>2.095730655286232</v>
      </c>
      <c r="I101" s="135">
        <v>2.0867582663925215</v>
      </c>
      <c r="K101" s="27">
        <f t="shared" si="14"/>
        <v>0.10894352598775159</v>
      </c>
      <c r="L101" s="27">
        <f t="shared" si="14"/>
        <v>-0.63143803228917339</v>
      </c>
      <c r="N101" s="358">
        <v>0.33879999999999999</v>
      </c>
      <c r="O101" s="131">
        <v>40</v>
      </c>
      <c r="P101" s="92">
        <v>-64.632456500117684</v>
      </c>
      <c r="Q101" s="131">
        <v>67.957625345894769</v>
      </c>
      <c r="R101" s="92">
        <v>44.809191530407411</v>
      </c>
      <c r="S101" s="131">
        <v>70.500144234564885</v>
      </c>
      <c r="T101" s="359">
        <v>2.8231280700844272</v>
      </c>
      <c r="U101" s="134">
        <v>2.434374819715182</v>
      </c>
      <c r="X101" s="14">
        <f t="shared" si="15"/>
        <v>-0.60030145356145681</v>
      </c>
      <c r="Y101" s="14">
        <f t="shared" si="15"/>
        <v>24.975879400627989</v>
      </c>
    </row>
    <row r="102" spans="1:25" x14ac:dyDescent="0.2">
      <c r="A102" s="5" t="str">
        <f>B86&amp;C102</f>
        <v>600060</v>
      </c>
      <c r="B102" s="132">
        <v>0</v>
      </c>
      <c r="C102" s="136">
        <v>60</v>
      </c>
      <c r="D102" s="66">
        <v>-21.263329338841668</v>
      </c>
      <c r="E102" s="56">
        <v>31.427575517708604</v>
      </c>
      <c r="F102" s="66">
        <v>15.034434167775309</v>
      </c>
      <c r="G102" s="56">
        <v>50.418924236391561</v>
      </c>
      <c r="H102" s="134">
        <v>2.1376022017546643</v>
      </c>
      <c r="I102" s="135">
        <v>2.1136067048678924</v>
      </c>
      <c r="K102" s="27">
        <f t="shared" si="14"/>
        <v>0.19613836179201885</v>
      </c>
      <c r="L102" s="27">
        <f t="shared" si="14"/>
        <v>-0.60932886305721834</v>
      </c>
      <c r="N102" s="358">
        <v>0.33879999999999999</v>
      </c>
      <c r="O102" s="131">
        <v>60</v>
      </c>
      <c r="P102" s="92">
        <v>-67.834064252445515</v>
      </c>
      <c r="Q102" s="131">
        <v>50.532593205921742</v>
      </c>
      <c r="R102" s="92">
        <v>44.820953270329262</v>
      </c>
      <c r="S102" s="131">
        <v>70.532251753989541</v>
      </c>
      <c r="T102" s="359">
        <v>2.8248712470517727</v>
      </c>
      <c r="U102" s="134">
        <v>2.4218890727436682</v>
      </c>
      <c r="X102" s="14">
        <f t="shared" si="15"/>
        <v>-2.2011053297253937</v>
      </c>
      <c r="Y102" s="14">
        <f t="shared" si="15"/>
        <v>23.814210591296451</v>
      </c>
    </row>
    <row r="103" spans="1:25" x14ac:dyDescent="0.2">
      <c r="A103" s="5" t="str">
        <f>B86&amp;C103</f>
        <v>6000100</v>
      </c>
      <c r="B103" s="132">
        <v>0</v>
      </c>
      <c r="C103" s="136">
        <v>100</v>
      </c>
      <c r="D103" s="66">
        <v>-22.786316697274383</v>
      </c>
      <c r="E103" s="56">
        <v>22.856418558333527</v>
      </c>
      <c r="F103" s="66">
        <v>14.439805664968846</v>
      </c>
      <c r="G103" s="56">
        <v>53.88660468988062</v>
      </c>
      <c r="H103" s="134">
        <v>2.1500789644635274</v>
      </c>
      <c r="I103" s="135">
        <v>2.1013080998813387</v>
      </c>
      <c r="K103" s="27">
        <f t="shared" si="14"/>
        <v>0.30660725637415037</v>
      </c>
      <c r="L103" s="27">
        <f t="shared" si="14"/>
        <v>-0.52437909597151489</v>
      </c>
      <c r="N103" s="358">
        <v>0.33879999999999999</v>
      </c>
      <c r="O103" s="131">
        <v>100</v>
      </c>
      <c r="P103" s="92">
        <v>-69.634968613129885</v>
      </c>
      <c r="Q103" s="131">
        <v>27.299217019291063</v>
      </c>
      <c r="R103" s="92">
        <v>44.819234628751012</v>
      </c>
      <c r="S103" s="131">
        <v>70.483269618530485</v>
      </c>
      <c r="T103" s="359">
        <v>2.8246156070215465</v>
      </c>
      <c r="U103" s="134">
        <v>2.4475298669605303</v>
      </c>
      <c r="X103" s="14">
        <f t="shared" si="15"/>
        <v>-4.602311143971221</v>
      </c>
      <c r="Y103" s="14">
        <f t="shared" si="15"/>
        <v>20.910038567967625</v>
      </c>
    </row>
    <row r="104" spans="1:25" x14ac:dyDescent="0.2">
      <c r="A104" s="5" t="str">
        <f>B86&amp;C104</f>
        <v>6000120</v>
      </c>
      <c r="B104" s="132">
        <v>0</v>
      </c>
      <c r="C104" s="136">
        <v>120</v>
      </c>
      <c r="D104" s="66">
        <v>-22.805316697274385</v>
      </c>
      <c r="E104" s="56">
        <v>21.636221366911766</v>
      </c>
      <c r="F104" s="66">
        <v>15.959162384355766</v>
      </c>
      <c r="G104" s="56">
        <v>53.444193447770047</v>
      </c>
      <c r="H104" s="134">
        <v>2.0984055618008282</v>
      </c>
      <c r="I104" s="135">
        <v>2.0992342258230297</v>
      </c>
      <c r="K104" s="27">
        <f t="shared" si="14"/>
        <v>0.40160967652035218</v>
      </c>
      <c r="L104" s="27">
        <f t="shared" si="14"/>
        <v>-0.36679422215465479</v>
      </c>
      <c r="N104" s="358">
        <v>0.33879999999999999</v>
      </c>
      <c r="O104" s="131">
        <v>120</v>
      </c>
      <c r="P104" s="92">
        <v>-68.234265221486496</v>
      </c>
      <c r="Q104" s="131">
        <v>18.586700949304554</v>
      </c>
      <c r="R104" s="92">
        <v>44.819452757950287</v>
      </c>
      <c r="S104" s="131">
        <v>70.481109380524614</v>
      </c>
      <c r="T104" s="359">
        <v>2.824646125495232</v>
      </c>
      <c r="U104" s="134">
        <v>2.4520350705237384</v>
      </c>
      <c r="X104" s="14">
        <f t="shared" si="15"/>
        <v>-4.2021101749302687</v>
      </c>
      <c r="Y104" s="14">
        <f t="shared" si="15"/>
        <v>20.329204163301856</v>
      </c>
    </row>
    <row r="105" spans="1:25" x14ac:dyDescent="0.2">
      <c r="A105" s="5"/>
      <c r="B105" s="95"/>
      <c r="C105" s="141"/>
      <c r="D105" s="508"/>
      <c r="E105" s="509"/>
      <c r="F105" s="514"/>
      <c r="G105" s="515"/>
      <c r="H105" s="141"/>
      <c r="I105" s="142"/>
      <c r="K105" s="27"/>
      <c r="L105" s="27"/>
      <c r="N105" s="95"/>
      <c r="O105" s="141"/>
      <c r="P105" s="85"/>
      <c r="Q105" s="141"/>
      <c r="R105" s="85"/>
      <c r="S105" s="141"/>
      <c r="T105" s="85"/>
      <c r="U105" s="141"/>
    </row>
    <row r="106" spans="1:25" x14ac:dyDescent="0.2">
      <c r="A106" s="5"/>
      <c r="B106" s="83"/>
      <c r="C106" s="83"/>
      <c r="D106" s="520"/>
      <c r="E106" s="520"/>
      <c r="F106" s="522"/>
      <c r="G106" s="522"/>
      <c r="H106" s="83"/>
      <c r="I106" s="83"/>
      <c r="N106" s="69"/>
      <c r="O106" s="69"/>
      <c r="P106" s="69"/>
      <c r="Q106" s="69"/>
      <c r="R106" s="69"/>
      <c r="S106" s="69"/>
      <c r="T106" s="69"/>
      <c r="U106" s="69"/>
    </row>
    <row r="107" spans="1:25" x14ac:dyDescent="0.2">
      <c r="A107" s="5"/>
      <c r="C107" s="27" t="s">
        <v>419</v>
      </c>
      <c r="D107" s="27"/>
      <c r="E107" s="27"/>
      <c r="F107" s="27"/>
      <c r="G107" s="27"/>
      <c r="N107" s="69"/>
      <c r="O107" s="69"/>
      <c r="P107" s="69"/>
      <c r="Q107" s="69"/>
      <c r="R107" s="69"/>
      <c r="S107" s="69"/>
      <c r="T107" s="69"/>
      <c r="U107" s="69"/>
    </row>
    <row r="108" spans="1:25" x14ac:dyDescent="0.2">
      <c r="A108" s="5"/>
      <c r="B108" s="61" t="s">
        <v>409</v>
      </c>
      <c r="C108" s="18"/>
      <c r="D108" s="516"/>
      <c r="E108" s="516"/>
      <c r="F108" s="516"/>
      <c r="G108" s="517"/>
      <c r="H108" s="10"/>
      <c r="I108" s="11"/>
      <c r="N108" s="350" t="s">
        <v>374</v>
      </c>
      <c r="O108" s="133"/>
      <c r="P108" s="133"/>
      <c r="Q108" s="133"/>
      <c r="R108" s="133"/>
      <c r="S108" s="79"/>
      <c r="T108" s="79"/>
      <c r="U108" s="80"/>
    </row>
    <row r="109" spans="1:25" x14ac:dyDescent="0.2">
      <c r="A109" s="5"/>
      <c r="B109" s="12"/>
      <c r="C109" s="13"/>
      <c r="D109" s="551" t="s">
        <v>19</v>
      </c>
      <c r="E109" s="552"/>
      <c r="F109" s="551" t="s">
        <v>20</v>
      </c>
      <c r="G109" s="552"/>
      <c r="H109" s="543" t="s">
        <v>8</v>
      </c>
      <c r="I109" s="544"/>
      <c r="N109" s="129"/>
      <c r="O109" s="130"/>
      <c r="P109" s="539" t="s">
        <v>19</v>
      </c>
      <c r="Q109" s="540"/>
      <c r="R109" s="539" t="s">
        <v>20</v>
      </c>
      <c r="S109" s="540"/>
      <c r="T109" s="539" t="s">
        <v>8</v>
      </c>
      <c r="U109" s="540"/>
    </row>
    <row r="110" spans="1:25" ht="38.25" x14ac:dyDescent="0.2">
      <c r="B110" s="12" t="s">
        <v>356</v>
      </c>
      <c r="C110" s="54" t="s">
        <v>242</v>
      </c>
      <c r="D110" s="512" t="s">
        <v>403</v>
      </c>
      <c r="E110" s="513" t="s">
        <v>404</v>
      </c>
      <c r="F110" s="512" t="s">
        <v>403</v>
      </c>
      <c r="G110" s="513" t="s">
        <v>404</v>
      </c>
      <c r="H110" s="54" t="s">
        <v>159</v>
      </c>
      <c r="I110" s="13" t="s">
        <v>160</v>
      </c>
      <c r="N110" s="292" t="s">
        <v>9</v>
      </c>
      <c r="O110" s="351" t="s">
        <v>15</v>
      </c>
      <c r="P110" s="17" t="s">
        <v>103</v>
      </c>
      <c r="Q110" s="9" t="s">
        <v>104</v>
      </c>
      <c r="R110" s="17" t="s">
        <v>103</v>
      </c>
      <c r="S110" s="9" t="s">
        <v>104</v>
      </c>
      <c r="T110" s="352" t="s">
        <v>281</v>
      </c>
      <c r="U110" s="130" t="s">
        <v>282</v>
      </c>
    </row>
    <row r="111" spans="1:25" x14ac:dyDescent="0.2">
      <c r="B111" s="53">
        <v>0.32</v>
      </c>
      <c r="C111" s="57">
        <v>5</v>
      </c>
      <c r="D111" s="66">
        <v>-8.067557455639955</v>
      </c>
      <c r="E111" s="56">
        <v>85.056811675220942</v>
      </c>
      <c r="F111" s="66">
        <v>19.878260935702631</v>
      </c>
      <c r="G111" s="56">
        <v>73.844281695913594</v>
      </c>
      <c r="H111" s="56">
        <v>2.073110871222021</v>
      </c>
      <c r="I111" s="49">
        <v>2.2240705347449903</v>
      </c>
      <c r="K111" s="27">
        <f t="shared" ref="K111:L117" si="16">(D111-P48)/F111</f>
        <v>-0.21458860327611967</v>
      </c>
      <c r="L111" s="27">
        <f t="shared" si="16"/>
        <v>-0.16172591336375697</v>
      </c>
      <c r="N111" s="353">
        <v>1.8399999999999996E-2</v>
      </c>
      <c r="O111" s="354">
        <v>5</v>
      </c>
      <c r="P111" s="355">
        <v>-48.22421676943766</v>
      </c>
      <c r="Q111" s="354">
        <v>107.45436486316694</v>
      </c>
      <c r="R111" s="355">
        <v>72.362982968063463</v>
      </c>
      <c r="S111" s="354">
        <v>70.563719682162386</v>
      </c>
      <c r="T111" s="356">
        <v>2.8917140761012181</v>
      </c>
      <c r="U111" s="357">
        <v>2.4090885670156057</v>
      </c>
    </row>
    <row r="112" spans="1:25" x14ac:dyDescent="0.2">
      <c r="B112" s="53">
        <v>0.32</v>
      </c>
      <c r="C112" s="57">
        <v>10</v>
      </c>
      <c r="D112" s="66">
        <v>-11.715228499466891</v>
      </c>
      <c r="E112" s="56">
        <v>76.639697585480079</v>
      </c>
      <c r="F112" s="66">
        <v>17.817060315865934</v>
      </c>
      <c r="G112" s="56">
        <v>68.23485550208035</v>
      </c>
      <c r="H112" s="56">
        <v>2.1104769095135887</v>
      </c>
      <c r="I112" s="49">
        <v>2.208787372765503</v>
      </c>
      <c r="K112" s="27">
        <f t="shared" si="16"/>
        <v>-0.28691110764993411</v>
      </c>
      <c r="L112" s="27">
        <f t="shared" si="16"/>
        <v>-0.2132532389784535</v>
      </c>
      <c r="N112" s="358">
        <v>1.8399999999999996E-2</v>
      </c>
      <c r="O112" s="131">
        <v>10</v>
      </c>
      <c r="P112" s="92">
        <v>-47.824015800396687</v>
      </c>
      <c r="Q112" s="131">
        <v>94.095173555854302</v>
      </c>
      <c r="R112" s="92">
        <v>59.969359533338185</v>
      </c>
      <c r="S112" s="131">
        <v>70.509256305718893</v>
      </c>
      <c r="T112" s="359">
        <v>2.8549876236154264</v>
      </c>
      <c r="U112" s="134">
        <v>2.4290990437493982</v>
      </c>
    </row>
    <row r="113" spans="2:21" ht="12.75" customHeight="1" x14ac:dyDescent="0.2">
      <c r="B113" s="53">
        <v>0.32</v>
      </c>
      <c r="C113" s="57">
        <v>20</v>
      </c>
      <c r="D113" s="66">
        <v>-17.138135707717861</v>
      </c>
      <c r="E113" s="56">
        <v>64.608011127823318</v>
      </c>
      <c r="F113" s="66">
        <v>18.316408683762752</v>
      </c>
      <c r="G113" s="56">
        <v>60.922762443294218</v>
      </c>
      <c r="H113" s="56">
        <v>2.0707096351178658</v>
      </c>
      <c r="I113" s="49">
        <v>2.1727993132745089</v>
      </c>
      <c r="K113" s="27">
        <f t="shared" si="16"/>
        <v>-0.31296572319505706</v>
      </c>
      <c r="L113" s="27">
        <f t="shared" si="16"/>
        <v>-0.29333000701255374</v>
      </c>
      <c r="N113" s="358">
        <v>1.8399999999999996E-2</v>
      </c>
      <c r="O113" s="131">
        <v>20</v>
      </c>
      <c r="P113" s="92">
        <v>-48.02411628491717</v>
      </c>
      <c r="Q113" s="131">
        <v>76.08930701121551</v>
      </c>
      <c r="R113" s="92">
        <v>44.817058668435365</v>
      </c>
      <c r="S113" s="131">
        <v>70.510114120430472</v>
      </c>
      <c r="T113" s="359">
        <v>2.8242932955408797</v>
      </c>
      <c r="U113" s="134">
        <v>2.4297679920356141</v>
      </c>
    </row>
    <row r="114" spans="2:21" x14ac:dyDescent="0.2">
      <c r="B114" s="53">
        <v>0.32</v>
      </c>
      <c r="C114" s="57">
        <v>40</v>
      </c>
      <c r="D114" s="66">
        <v>-23.553684853817721</v>
      </c>
      <c r="E114" s="56">
        <v>49.116460189691622</v>
      </c>
      <c r="F114" s="66">
        <v>16.037663366066237</v>
      </c>
      <c r="G114" s="56">
        <v>57.95739311989486</v>
      </c>
      <c r="H114" s="56">
        <v>2.0948000120186481</v>
      </c>
      <c r="I114" s="49">
        <v>2.0895785126100543</v>
      </c>
      <c r="K114" s="27">
        <f t="shared" si="16"/>
        <v>-0.39563389255825654</v>
      </c>
      <c r="L114" s="27">
        <f t="shared" si="16"/>
        <v>-0.3651734771970126</v>
      </c>
      <c r="N114" s="358">
        <v>1.8399999999999996E-2</v>
      </c>
      <c r="O114" s="131">
        <v>40</v>
      </c>
      <c r="P114" s="92">
        <v>-51.826025490806451</v>
      </c>
      <c r="Q114" s="131">
        <v>56.340937252579423</v>
      </c>
      <c r="R114" s="92">
        <v>44.845807838389767</v>
      </c>
      <c r="S114" s="131">
        <v>70.49967935445963</v>
      </c>
      <c r="T114" s="359">
        <v>2.8285437772748527</v>
      </c>
      <c r="U114" s="134">
        <v>2.4347088376277988</v>
      </c>
    </row>
    <row r="115" spans="2:21" x14ac:dyDescent="0.2">
      <c r="B115" s="53">
        <v>0.32</v>
      </c>
      <c r="C115" s="57">
        <v>60</v>
      </c>
      <c r="D115" s="66">
        <v>-26.96771566183358</v>
      </c>
      <c r="E115" s="56">
        <v>39.843268247949233</v>
      </c>
      <c r="F115" s="66">
        <v>15.0535259741317</v>
      </c>
      <c r="G115" s="56">
        <v>52.906197172296629</v>
      </c>
      <c r="H115" s="56">
        <v>2.1361427489424702</v>
      </c>
      <c r="I115" s="49">
        <v>2.1041622266259004</v>
      </c>
      <c r="K115" s="27">
        <f t="shared" si="16"/>
        <v>-0.31597659500061098</v>
      </c>
      <c r="L115" s="27">
        <f t="shared" si="16"/>
        <v>-0.28987152762756252</v>
      </c>
      <c r="N115" s="358">
        <v>1.8399999999999996E-2</v>
      </c>
      <c r="O115" s="131">
        <v>60</v>
      </c>
      <c r="P115" s="92">
        <v>-53.626929851490843</v>
      </c>
      <c r="Q115" s="131">
        <v>38.91590511260641</v>
      </c>
      <c r="R115" s="92">
        <v>44.849719692097622</v>
      </c>
      <c r="S115" s="131">
        <v>70.508121211879896</v>
      </c>
      <c r="T115" s="359">
        <v>2.8291195098962723</v>
      </c>
      <c r="U115" s="134">
        <v>2.4307117589087839</v>
      </c>
    </row>
    <row r="116" spans="2:21" x14ac:dyDescent="0.2">
      <c r="B116" s="53">
        <v>0.32</v>
      </c>
      <c r="C116" s="51">
        <v>100</v>
      </c>
      <c r="D116" s="66">
        <v>-29.38750291060618</v>
      </c>
      <c r="E116" s="56">
        <v>27.823986757672508</v>
      </c>
      <c r="F116" s="66">
        <v>14.447648563457161</v>
      </c>
      <c r="G116" s="56">
        <v>54.708035717239675</v>
      </c>
      <c r="H116" s="56">
        <v>2.1493744799981322</v>
      </c>
      <c r="I116" s="49">
        <v>2.0944980644079956</v>
      </c>
      <c r="K116" s="27">
        <f t="shared" si="16"/>
        <v>-0.41361375835398434</v>
      </c>
      <c r="L116" s="27">
        <f t="shared" si="16"/>
        <v>-0.40447023464617893</v>
      </c>
      <c r="N116" s="358">
        <v>1.8399999999999996E-2</v>
      </c>
      <c r="O116" s="131">
        <v>100</v>
      </c>
      <c r="P116" s="92">
        <v>-54.42733178957279</v>
      </c>
      <c r="Q116" s="131">
        <v>19.457952556303205</v>
      </c>
      <c r="R116" s="92">
        <v>44.83474430189144</v>
      </c>
      <c r="S116" s="131">
        <v>70.482517915185554</v>
      </c>
      <c r="T116" s="359">
        <v>2.8269120269079453</v>
      </c>
      <c r="U116" s="134">
        <v>2.448747543231987</v>
      </c>
    </row>
    <row r="117" spans="2:21" x14ac:dyDescent="0.2">
      <c r="B117" s="53">
        <v>0.32</v>
      </c>
      <c r="C117" s="51">
        <v>120</v>
      </c>
      <c r="D117" s="66">
        <v>-29.217732482793757</v>
      </c>
      <c r="E117" s="56">
        <v>28.307359088598854</v>
      </c>
      <c r="F117" s="66">
        <v>15.966587616747409</v>
      </c>
      <c r="G117" s="56">
        <v>54.570847643376943</v>
      </c>
      <c r="H117" s="56">
        <v>2.0980358956169036</v>
      </c>
      <c r="I117" s="49">
        <v>2.0902122953018729</v>
      </c>
      <c r="K117" s="27">
        <f t="shared" si="16"/>
        <v>-0.28843814328511325</v>
      </c>
      <c r="L117" s="27">
        <f t="shared" si="16"/>
        <v>-0.2689052395257947</v>
      </c>
      <c r="N117" s="358">
        <v>1.8399999999999996E-2</v>
      </c>
      <c r="O117" s="131">
        <v>120</v>
      </c>
      <c r="P117" s="92">
        <v>-52.026125975326934</v>
      </c>
      <c r="Q117" s="131">
        <v>11.907105295648227</v>
      </c>
      <c r="R117" s="92">
        <v>44.847076681266323</v>
      </c>
      <c r="S117" s="131">
        <v>70.481074314344482</v>
      </c>
      <c r="T117" s="359">
        <v>2.8287299678585933</v>
      </c>
      <c r="U117" s="134">
        <v>2.4521598515031999</v>
      </c>
    </row>
    <row r="118" spans="2:21" x14ac:dyDescent="0.2">
      <c r="B118" s="118"/>
      <c r="C118" s="116"/>
      <c r="D118" s="507"/>
      <c r="E118" s="119"/>
      <c r="F118" s="507"/>
      <c r="G118" s="119"/>
      <c r="H118" s="119"/>
      <c r="I118" s="119"/>
      <c r="K118" s="27"/>
      <c r="L118" s="27"/>
      <c r="N118" s="358"/>
      <c r="O118" s="136"/>
      <c r="P118" s="158"/>
      <c r="Q118" s="132"/>
      <c r="R118" s="360"/>
      <c r="S118" s="132"/>
      <c r="T118" s="359"/>
      <c r="U118" s="134"/>
    </row>
    <row r="119" spans="2:21" x14ac:dyDescent="0.2">
      <c r="B119" s="53">
        <v>0</v>
      </c>
      <c r="C119" s="51">
        <v>5</v>
      </c>
      <c r="D119" s="66">
        <v>-4.1351462701727275</v>
      </c>
      <c r="E119" s="56">
        <v>67.708565305730744</v>
      </c>
      <c r="F119" s="66">
        <v>19.888449172433099</v>
      </c>
      <c r="G119" s="56">
        <v>62.540280576428941</v>
      </c>
      <c r="H119" s="56">
        <v>2.0728117827175137</v>
      </c>
      <c r="I119" s="49">
        <v>2.1703676734884945</v>
      </c>
      <c r="K119" s="27">
        <f t="shared" ref="K119:L125" si="17">(D119-P56)/F119</f>
        <v>0.12410066253051315</v>
      </c>
      <c r="L119" s="27">
        <f t="shared" si="17"/>
        <v>-0.68196002940286693</v>
      </c>
      <c r="N119" s="358">
        <v>0.22180000000000002</v>
      </c>
      <c r="O119" s="131">
        <v>5</v>
      </c>
      <c r="P119" s="92">
        <v>-55.427834212175249</v>
      </c>
      <c r="Q119" s="131">
        <v>121.39439057514535</v>
      </c>
      <c r="R119" s="92">
        <v>72.362622971957194</v>
      </c>
      <c r="S119" s="131">
        <v>70.580054040127166</v>
      </c>
      <c r="T119" s="359">
        <v>2.8916831894602328</v>
      </c>
      <c r="U119" s="134">
        <v>2.4047369407365533</v>
      </c>
    </row>
    <row r="120" spans="2:21" x14ac:dyDescent="0.2">
      <c r="B120" s="53">
        <v>0</v>
      </c>
      <c r="C120" s="51">
        <v>10</v>
      </c>
      <c r="D120" s="66">
        <v>-8.1564391176651778</v>
      </c>
      <c r="E120" s="56">
        <v>60.188507389141137</v>
      </c>
      <c r="F120" s="66">
        <v>17.802095888768996</v>
      </c>
      <c r="G120" s="56">
        <v>58.152305562882361</v>
      </c>
      <c r="H120" s="56">
        <v>2.1111871195553578</v>
      </c>
      <c r="I120" s="49">
        <v>2.1662731715089971</v>
      </c>
      <c r="K120" s="27">
        <f t="shared" si="17"/>
        <v>0.12632142257018883</v>
      </c>
      <c r="L120" s="27">
        <f t="shared" si="17"/>
        <v>-0.72290079344448688</v>
      </c>
      <c r="N120" s="358">
        <v>0.22180000000000002</v>
      </c>
      <c r="O120" s="131">
        <v>10</v>
      </c>
      <c r="P120" s="92">
        <v>-55.227733727654758</v>
      </c>
      <c r="Q120" s="131">
        <v>105.1310272445039</v>
      </c>
      <c r="R120" s="92">
        <v>59.967998676555979</v>
      </c>
      <c r="S120" s="131">
        <v>70.512051204924447</v>
      </c>
      <c r="T120" s="359">
        <v>2.8548419336221551</v>
      </c>
      <c r="U120" s="134">
        <v>2.4279129238396169</v>
      </c>
    </row>
    <row r="121" spans="2:21" x14ac:dyDescent="0.2">
      <c r="B121" s="53">
        <v>0</v>
      </c>
      <c r="C121" s="51">
        <v>20</v>
      </c>
      <c r="D121" s="66">
        <v>-13.129450161356758</v>
      </c>
      <c r="E121" s="56">
        <v>51.350893972698266</v>
      </c>
      <c r="F121" s="66">
        <v>18.272237820953475</v>
      </c>
      <c r="G121" s="56">
        <v>53.741422880296746</v>
      </c>
      <c r="H121" s="56">
        <v>2.0720009798894261</v>
      </c>
      <c r="I121" s="49">
        <v>2.1504103324420361</v>
      </c>
      <c r="K121" s="27">
        <f t="shared" si="17"/>
        <v>0.15753891934250722</v>
      </c>
      <c r="L121" s="27">
        <f t="shared" si="17"/>
        <v>-0.74132960060560293</v>
      </c>
      <c r="N121" s="358">
        <v>0.22180000000000002</v>
      </c>
      <c r="O121" s="131">
        <v>20</v>
      </c>
      <c r="P121" s="92">
        <v>-55.828035181216222</v>
      </c>
      <c r="Q121" s="131">
        <v>86.544326295199312</v>
      </c>
      <c r="R121" s="92">
        <v>44.812111207248016</v>
      </c>
      <c r="S121" s="131">
        <v>70.532309346844741</v>
      </c>
      <c r="T121" s="359">
        <v>2.8235589924694131</v>
      </c>
      <c r="U121" s="134">
        <v>2.4218630518655941</v>
      </c>
    </row>
    <row r="122" spans="2:21" x14ac:dyDescent="0.2">
      <c r="B122" s="53">
        <v>0</v>
      </c>
      <c r="C122" s="51">
        <v>40</v>
      </c>
      <c r="D122" s="66">
        <v>-18.466471367540528</v>
      </c>
      <c r="E122" s="56">
        <v>39.9441684747107</v>
      </c>
      <c r="F122" s="66">
        <v>16.022312153724346</v>
      </c>
      <c r="G122" s="56">
        <v>54.641706671525554</v>
      </c>
      <c r="H122" s="56">
        <v>2.095517721042218</v>
      </c>
      <c r="I122" s="49">
        <v>2.0867230373872609</v>
      </c>
      <c r="K122" s="27">
        <f t="shared" si="17"/>
        <v>0.23371673066319704</v>
      </c>
      <c r="L122" s="27">
        <f t="shared" si="17"/>
        <v>-0.69338320595037017</v>
      </c>
      <c r="N122" s="358">
        <v>0.22180000000000002</v>
      </c>
      <c r="O122" s="131">
        <v>40</v>
      </c>
      <c r="P122" s="92">
        <v>-59.830044871625979</v>
      </c>
      <c r="Q122" s="131">
        <v>63.310950108568633</v>
      </c>
      <c r="R122" s="92">
        <v>44.832610628646634</v>
      </c>
      <c r="S122" s="131">
        <v>70.501902753141664</v>
      </c>
      <c r="T122" s="359">
        <v>2.8265967117770323</v>
      </c>
      <c r="U122" s="134">
        <v>2.4335668612401662</v>
      </c>
    </row>
    <row r="123" spans="2:21" x14ac:dyDescent="0.2">
      <c r="B123" s="53">
        <v>0</v>
      </c>
      <c r="C123" s="51">
        <v>60</v>
      </c>
      <c r="D123" s="66">
        <v>-21.228962567681794</v>
      </c>
      <c r="E123" s="56">
        <v>31.550414234289669</v>
      </c>
      <c r="F123" s="66">
        <v>15.04044351726934</v>
      </c>
      <c r="G123" s="56">
        <v>50.420879139539302</v>
      </c>
      <c r="H123" s="56">
        <v>2.1371376791449364</v>
      </c>
      <c r="I123" s="49">
        <v>2.1135705565764646</v>
      </c>
      <c r="K123" s="27">
        <f t="shared" si="17"/>
        <v>0.30477824209092419</v>
      </c>
      <c r="L123" s="27">
        <f t="shared" si="17"/>
        <v>-0.7105464505644612</v>
      </c>
      <c r="N123" s="358">
        <v>0.22180000000000002</v>
      </c>
      <c r="O123" s="131">
        <v>60</v>
      </c>
      <c r="P123" s="92">
        <v>-62.631451654912809</v>
      </c>
      <c r="Q123" s="131">
        <v>45.305083563929841</v>
      </c>
      <c r="R123" s="92">
        <v>44.846458141387849</v>
      </c>
      <c r="S123" s="131">
        <v>70.512597143109332</v>
      </c>
      <c r="T123" s="359">
        <v>2.8286394365530469</v>
      </c>
      <c r="U123" s="134">
        <v>2.4288459362038073</v>
      </c>
    </row>
    <row r="124" spans="2:21" x14ac:dyDescent="0.2">
      <c r="B124" s="53">
        <v>0</v>
      </c>
      <c r="C124" s="51">
        <v>100</v>
      </c>
      <c r="D124" s="66">
        <v>-22.780301023293191</v>
      </c>
      <c r="E124" s="56">
        <v>23.021358555773826</v>
      </c>
      <c r="F124" s="66">
        <v>14.446939798585946</v>
      </c>
      <c r="G124" s="56">
        <v>53.886608474069781</v>
      </c>
      <c r="H124" s="56">
        <v>2.1494383354172313</v>
      </c>
      <c r="I124" s="49">
        <v>2.1013080419254533</v>
      </c>
      <c r="K124" s="27">
        <f t="shared" si="17"/>
        <v>0.4038272703058991</v>
      </c>
      <c r="L124" s="27">
        <f t="shared" si="17"/>
        <v>-0.63988527915482918</v>
      </c>
      <c r="N124" s="358">
        <v>0.22180000000000002</v>
      </c>
      <c r="O124" s="131">
        <v>100</v>
      </c>
      <c r="P124" s="92">
        <v>-63.832054562035744</v>
      </c>
      <c r="Q124" s="131">
        <v>24.975879400627989</v>
      </c>
      <c r="R124" s="92">
        <v>44.843678521739726</v>
      </c>
      <c r="S124" s="131">
        <v>70.483863947372356</v>
      </c>
      <c r="T124" s="359">
        <v>2.8282299270404958</v>
      </c>
      <c r="U124" s="134">
        <v>2.4467248716994456</v>
      </c>
    </row>
    <row r="125" spans="2:21" x14ac:dyDescent="0.2">
      <c r="B125" s="53">
        <v>0</v>
      </c>
      <c r="C125" s="51">
        <v>120</v>
      </c>
      <c r="D125" s="66">
        <v>-22.792213248998522</v>
      </c>
      <c r="E125" s="56">
        <v>21.752476344099204</v>
      </c>
      <c r="F125" s="66">
        <v>15.966053290352709</v>
      </c>
      <c r="G125" s="56">
        <v>53.445203811114737</v>
      </c>
      <c r="H125" s="56">
        <v>2.0980625777421742</v>
      </c>
      <c r="I125" s="49">
        <v>2.0992189636215928</v>
      </c>
      <c r="K125" s="27">
        <f t="shared" si="17"/>
        <v>0.47745427498490356</v>
      </c>
      <c r="L125" s="27">
        <f t="shared" si="17"/>
        <v>-0.49502625785959481</v>
      </c>
      <c r="N125" s="358">
        <v>0.22180000000000002</v>
      </c>
      <c r="O125" s="131">
        <v>120</v>
      </c>
      <c r="P125" s="92">
        <v>-62.431351170392318</v>
      </c>
      <c r="Q125" s="131">
        <v>15.392111723642831</v>
      </c>
      <c r="R125" s="92">
        <v>44.845802844014898</v>
      </c>
      <c r="S125" s="131">
        <v>70.481074967491395</v>
      </c>
      <c r="T125" s="359">
        <v>2.8285424057399755</v>
      </c>
      <c r="U125" s="134">
        <v>2.4521574738839713</v>
      </c>
    </row>
    <row r="126" spans="2:21" x14ac:dyDescent="0.2">
      <c r="B126" s="39"/>
      <c r="C126" s="52"/>
      <c r="D126" s="508"/>
      <c r="E126" s="509"/>
      <c r="F126" s="508"/>
      <c r="G126" s="509"/>
      <c r="H126" s="52"/>
      <c r="I126" s="40"/>
      <c r="K126" s="27"/>
      <c r="L126" s="27"/>
      <c r="N126" s="95"/>
      <c r="O126" s="141"/>
      <c r="P126" s="85"/>
      <c r="Q126" s="141"/>
      <c r="R126" s="85"/>
      <c r="S126" s="141"/>
      <c r="T126" s="85"/>
      <c r="U126" s="141"/>
    </row>
    <row r="127" spans="2:21" x14ac:dyDescent="0.2">
      <c r="B127" s="7"/>
      <c r="C127" s="7"/>
      <c r="D127" s="520"/>
      <c r="E127" s="520"/>
      <c r="F127" s="520"/>
      <c r="G127" s="520"/>
      <c r="H127" s="7"/>
      <c r="I127" s="7"/>
      <c r="N127" s="69"/>
      <c r="O127" s="69"/>
      <c r="P127" s="69"/>
      <c r="Q127" s="69"/>
      <c r="R127" s="69"/>
      <c r="S127" s="69"/>
      <c r="T127" s="69"/>
      <c r="U127" s="69"/>
    </row>
    <row r="128" spans="2:21" x14ac:dyDescent="0.2">
      <c r="C128" s="27" t="s">
        <v>420</v>
      </c>
      <c r="D128" s="27"/>
      <c r="E128" s="27"/>
      <c r="F128" s="27"/>
      <c r="G128" s="27"/>
      <c r="N128" s="101" t="s">
        <v>375</v>
      </c>
      <c r="O128" s="69"/>
      <c r="P128" s="69"/>
      <c r="Q128" s="69"/>
      <c r="R128" s="69"/>
      <c r="S128" s="69"/>
      <c r="T128" s="69"/>
      <c r="U128" s="69"/>
    </row>
    <row r="129" spans="2:21" x14ac:dyDescent="0.2">
      <c r="B129" s="61" t="s">
        <v>410</v>
      </c>
      <c r="C129" s="18"/>
      <c r="D129" s="516"/>
      <c r="E129" s="516"/>
      <c r="F129" s="516"/>
      <c r="G129" s="517"/>
      <c r="H129" s="10"/>
      <c r="I129" s="11"/>
      <c r="N129" s="350" t="s">
        <v>376</v>
      </c>
      <c r="O129" s="133"/>
      <c r="P129" s="133"/>
      <c r="Q129" s="133"/>
      <c r="R129" s="133"/>
      <c r="S129" s="79"/>
      <c r="T129" s="79"/>
      <c r="U129" s="80"/>
    </row>
    <row r="130" spans="2:21" x14ac:dyDescent="0.2">
      <c r="B130" s="12"/>
      <c r="C130" s="13"/>
      <c r="D130" s="551" t="s">
        <v>19</v>
      </c>
      <c r="E130" s="552"/>
      <c r="F130" s="551" t="s">
        <v>20</v>
      </c>
      <c r="G130" s="552"/>
      <c r="H130" s="543" t="s">
        <v>8</v>
      </c>
      <c r="I130" s="544"/>
      <c r="N130" s="129"/>
      <c r="O130" s="130"/>
      <c r="P130" s="539" t="s">
        <v>19</v>
      </c>
      <c r="Q130" s="540"/>
      <c r="R130" s="539" t="s">
        <v>20</v>
      </c>
      <c r="S130" s="540"/>
      <c r="T130" s="539" t="s">
        <v>8</v>
      </c>
      <c r="U130" s="540"/>
    </row>
    <row r="131" spans="2:21" ht="38.25" x14ac:dyDescent="0.2">
      <c r="B131" s="12" t="s">
        <v>356</v>
      </c>
      <c r="C131" s="54" t="s">
        <v>242</v>
      </c>
      <c r="D131" s="512" t="s">
        <v>403</v>
      </c>
      <c r="E131" s="513" t="s">
        <v>404</v>
      </c>
      <c r="F131" s="512" t="s">
        <v>403</v>
      </c>
      <c r="G131" s="513" t="s">
        <v>404</v>
      </c>
      <c r="H131" s="54" t="s">
        <v>159</v>
      </c>
      <c r="I131" s="13" t="s">
        <v>160</v>
      </c>
      <c r="N131" s="292" t="s">
        <v>9</v>
      </c>
      <c r="O131" s="351" t="s">
        <v>15</v>
      </c>
      <c r="P131" s="17" t="s">
        <v>103</v>
      </c>
      <c r="Q131" s="9" t="s">
        <v>104</v>
      </c>
      <c r="R131" s="17" t="s">
        <v>103</v>
      </c>
      <c r="S131" s="9" t="s">
        <v>104</v>
      </c>
      <c r="T131" s="352" t="s">
        <v>281</v>
      </c>
      <c r="U131" s="130" t="s">
        <v>282</v>
      </c>
    </row>
    <row r="132" spans="2:21" ht="28.5" customHeight="1" x14ac:dyDescent="0.2">
      <c r="B132" s="53">
        <v>0.32</v>
      </c>
      <c r="C132" s="57">
        <v>5</v>
      </c>
      <c r="D132" s="66">
        <v>-12.509545459011964</v>
      </c>
      <c r="E132" s="56">
        <v>51.247731331472643</v>
      </c>
      <c r="F132" s="66">
        <v>22.055243841355377</v>
      </c>
      <c r="G132" s="56">
        <v>152.51042315842062</v>
      </c>
      <c r="H132" s="56">
        <v>2.0914843298697186</v>
      </c>
      <c r="I132" s="49">
        <v>2.4101204316573526</v>
      </c>
      <c r="N132" s="353">
        <v>1.8399999999999996E-2</v>
      </c>
      <c r="O132" s="354">
        <v>5</v>
      </c>
      <c r="P132" s="355">
        <v>-4.2021101749302527</v>
      </c>
      <c r="Q132" s="354">
        <v>85.963491890533561</v>
      </c>
      <c r="R132" s="355">
        <v>72.343621336855719</v>
      </c>
      <c r="S132" s="354">
        <v>70.542917721787475</v>
      </c>
      <c r="T132" s="356">
        <v>2.8900509948740827</v>
      </c>
      <c r="U132" s="357">
        <v>2.415732031820554</v>
      </c>
    </row>
    <row r="133" spans="2:21" x14ac:dyDescent="0.2">
      <c r="B133" s="53">
        <v>0.32</v>
      </c>
      <c r="C133" s="57">
        <v>10</v>
      </c>
      <c r="D133" s="66">
        <v>-17.120742920450443</v>
      </c>
      <c r="E133" s="56">
        <v>42.585782690702075</v>
      </c>
      <c r="F133" s="66">
        <v>16.963954105556187</v>
      </c>
      <c r="G133" s="56">
        <v>127.08330368421829</v>
      </c>
      <c r="H133" s="56">
        <v>2.103065463961066</v>
      </c>
      <c r="I133" s="49">
        <v>2.4111021725076687</v>
      </c>
      <c r="N133" s="358">
        <v>1.8399999999999996E-2</v>
      </c>
      <c r="O133" s="131">
        <v>10</v>
      </c>
      <c r="P133" s="92">
        <v>-7.8039188962990398</v>
      </c>
      <c r="Q133" s="131">
        <v>78.412644629878599</v>
      </c>
      <c r="R133" s="92">
        <v>59.903341502007777</v>
      </c>
      <c r="S133" s="131">
        <v>70.486089395283884</v>
      </c>
      <c r="T133" s="359">
        <v>2.8478808028691107</v>
      </c>
      <c r="U133" s="134">
        <v>2.4436010844072666</v>
      </c>
    </row>
    <row r="134" spans="2:21" ht="12.75" customHeight="1" x14ac:dyDescent="0.2">
      <c r="B134" s="53">
        <v>0.32</v>
      </c>
      <c r="C134" s="57">
        <v>20</v>
      </c>
      <c r="D134" s="66">
        <v>-22.712622242763604</v>
      </c>
      <c r="E134" s="56">
        <v>31.023043280674912</v>
      </c>
      <c r="F134" s="66">
        <v>22.306307281374224</v>
      </c>
      <c r="G134" s="56">
        <v>101.6794305636748</v>
      </c>
      <c r="H134" s="56">
        <v>2.0985902701002166</v>
      </c>
      <c r="I134" s="49">
        <v>2.4022597904084133</v>
      </c>
      <c r="N134" s="358">
        <v>1.8399999999999996E-2</v>
      </c>
      <c r="O134" s="131">
        <v>20</v>
      </c>
      <c r="P134" s="92">
        <v>-13.606832947393197</v>
      </c>
      <c r="Q134" s="131">
        <v>70.280962964557844</v>
      </c>
      <c r="R134" s="92">
        <v>44.760499298216416</v>
      </c>
      <c r="S134" s="131">
        <v>70.481146762839629</v>
      </c>
      <c r="T134" s="359">
        <v>2.8158333126134485</v>
      </c>
      <c r="U134" s="134">
        <v>2.451904484219813</v>
      </c>
    </row>
    <row r="135" spans="2:21" x14ac:dyDescent="0.2">
      <c r="B135" s="53">
        <v>0.32</v>
      </c>
      <c r="C135" s="57">
        <v>40</v>
      </c>
      <c r="D135" s="66">
        <v>-28.756745513681029</v>
      </c>
      <c r="E135" s="56">
        <v>14.852977711872306</v>
      </c>
      <c r="F135" s="66">
        <v>16.870020761386758</v>
      </c>
      <c r="G135" s="56">
        <v>56.527610587299989</v>
      </c>
      <c r="H135" s="56">
        <v>2.0907517655626302</v>
      </c>
      <c r="I135" s="49">
        <v>2.1609444247139828</v>
      </c>
      <c r="N135" s="358">
        <v>1.8399999999999996E-2</v>
      </c>
      <c r="O135" s="131">
        <v>40</v>
      </c>
      <c r="P135" s="92">
        <v>-19.809947967528334</v>
      </c>
      <c r="Q135" s="131">
        <v>69.119294155226314</v>
      </c>
      <c r="R135" s="92">
        <v>44.838954826671646</v>
      </c>
      <c r="S135" s="131">
        <v>70.519726757855537</v>
      </c>
      <c r="T135" s="359">
        <v>2.8275328478062818</v>
      </c>
      <c r="U135" s="134">
        <v>2.4260940984456654</v>
      </c>
    </row>
    <row r="136" spans="2:21" x14ac:dyDescent="0.2">
      <c r="B136" s="53">
        <v>0.32</v>
      </c>
      <c r="C136" s="51">
        <v>60</v>
      </c>
      <c r="D136" s="66">
        <v>-32.003232290299756</v>
      </c>
      <c r="E136" s="56">
        <v>4.0578974284277818</v>
      </c>
      <c r="F136" s="66">
        <v>21.392573058630106</v>
      </c>
      <c r="G136" s="56">
        <v>36.134855291239781</v>
      </c>
      <c r="H136" s="56">
        <v>2.1967387260746349</v>
      </c>
      <c r="I136" s="49">
        <v>2.0924025113048277</v>
      </c>
      <c r="N136" s="358">
        <v>1.8399999999999996E-2</v>
      </c>
      <c r="O136" s="131">
        <v>60</v>
      </c>
      <c r="P136" s="92">
        <v>-22.61135475081517</v>
      </c>
      <c r="Q136" s="131">
        <v>47.628421182592909</v>
      </c>
      <c r="R136" s="92">
        <v>44.847646798916394</v>
      </c>
      <c r="S136" s="131">
        <v>70.486772236517453</v>
      </c>
      <c r="T136" s="359">
        <v>2.8288144745760317</v>
      </c>
      <c r="U136" s="134">
        <v>2.4435245953035314</v>
      </c>
    </row>
    <row r="137" spans="2:21" x14ac:dyDescent="0.2">
      <c r="B137" s="53">
        <v>0.32</v>
      </c>
      <c r="C137" s="51">
        <v>100</v>
      </c>
      <c r="D137" s="66">
        <v>-35.617250500832903</v>
      </c>
      <c r="E137" s="56">
        <v>-11.633888725677602</v>
      </c>
      <c r="F137" s="66">
        <v>18.263363205664589</v>
      </c>
      <c r="G137" s="56">
        <v>39.246348640380404</v>
      </c>
      <c r="H137" s="56">
        <v>2.1573182651877008</v>
      </c>
      <c r="I137" s="49">
        <v>2.1417106624305173</v>
      </c>
      <c r="N137" s="358">
        <v>1.8399999999999996E-2</v>
      </c>
      <c r="O137" s="131">
        <v>100</v>
      </c>
      <c r="P137" s="92">
        <v>-24.612359596020053</v>
      </c>
      <c r="Q137" s="131">
        <v>35.430898684611797</v>
      </c>
      <c r="R137" s="92">
        <v>44.853899981217026</v>
      </c>
      <c r="S137" s="131">
        <v>70.481622890805255</v>
      </c>
      <c r="T137" s="359">
        <v>2.8297346482983667</v>
      </c>
      <c r="U137" s="134">
        <v>2.4505688415464824</v>
      </c>
    </row>
    <row r="138" spans="2:21" x14ac:dyDescent="0.2">
      <c r="B138" s="53">
        <v>0.32</v>
      </c>
      <c r="C138" s="51">
        <v>120</v>
      </c>
      <c r="D138" s="66">
        <v>-37.602147734127243</v>
      </c>
      <c r="E138" s="56">
        <v>-19.688411997445527</v>
      </c>
      <c r="F138" s="66">
        <v>18.653916626938944</v>
      </c>
      <c r="G138" s="56">
        <v>45.02564902016627</v>
      </c>
      <c r="H138" s="56">
        <v>2.1076446462969423</v>
      </c>
      <c r="I138" s="49">
        <v>2.0822712867895885</v>
      </c>
      <c r="N138" s="358">
        <v>1.8399999999999996E-2</v>
      </c>
      <c r="O138" s="131">
        <v>120</v>
      </c>
      <c r="P138" s="92">
        <v>-25.81296250314298</v>
      </c>
      <c r="Q138" s="131">
        <v>30.2033890426199</v>
      </c>
      <c r="R138" s="92">
        <v>44.859638092703001</v>
      </c>
      <c r="S138" s="131">
        <v>70.481068664618121</v>
      </c>
      <c r="T138" s="359">
        <v>2.8305779249025975</v>
      </c>
      <c r="U138" s="134">
        <v>2.4521804021051588</v>
      </c>
    </row>
    <row r="139" spans="2:21" x14ac:dyDescent="0.2">
      <c r="B139" s="122"/>
      <c r="C139" s="116"/>
      <c r="D139" s="507"/>
      <c r="E139" s="119"/>
      <c r="F139" s="507"/>
      <c r="G139" s="119"/>
      <c r="H139" s="119"/>
      <c r="I139" s="120"/>
      <c r="N139" s="358"/>
      <c r="O139" s="136"/>
      <c r="P139" s="158"/>
      <c r="Q139" s="132"/>
      <c r="R139" s="360"/>
      <c r="S139" s="132"/>
      <c r="T139" s="359"/>
      <c r="U139" s="134"/>
    </row>
    <row r="140" spans="2:21" x14ac:dyDescent="0.2">
      <c r="B140" s="53">
        <v>0</v>
      </c>
      <c r="C140" s="51">
        <v>5</v>
      </c>
      <c r="D140" s="66">
        <v>-9.5912897334097913</v>
      </c>
      <c r="E140" s="56">
        <v>37.645659269355605</v>
      </c>
      <c r="F140" s="66">
        <v>22.049852039586412</v>
      </c>
      <c r="G140" s="56">
        <v>152.21765120094926</v>
      </c>
      <c r="H140" s="56">
        <v>2.0916599923484744</v>
      </c>
      <c r="I140" s="49">
        <v>2.4438399951937106</v>
      </c>
      <c r="N140" s="358">
        <v>0.33879999999999999</v>
      </c>
      <c r="O140" s="131">
        <v>5</v>
      </c>
      <c r="P140" s="92">
        <v>-8.2041198653400151</v>
      </c>
      <c r="Q140" s="131">
        <v>95.256842365185818</v>
      </c>
      <c r="R140" s="92">
        <v>72.330781912160234</v>
      </c>
      <c r="S140" s="131">
        <v>70.544346324630268</v>
      </c>
      <c r="T140" s="359">
        <v>2.8889461561704231</v>
      </c>
      <c r="U140" s="134">
        <v>2.4152228017627579</v>
      </c>
    </row>
    <row r="141" spans="2:21" x14ac:dyDescent="0.2">
      <c r="B141" s="53">
        <v>0</v>
      </c>
      <c r="C141" s="51">
        <v>10</v>
      </c>
      <c r="D141" s="66">
        <v>-13.976592743394429</v>
      </c>
      <c r="E141" s="56">
        <v>30.76004245860333</v>
      </c>
      <c r="F141" s="66">
        <v>16.924972954075969</v>
      </c>
      <c r="G141" s="56">
        <v>126.83923907690618</v>
      </c>
      <c r="H141" s="56">
        <v>2.1048680738810206</v>
      </c>
      <c r="I141" s="49">
        <v>2.4463208879513991</v>
      </c>
      <c r="N141" s="358">
        <v>0.33879999999999999</v>
      </c>
      <c r="O141" s="131">
        <v>10</v>
      </c>
      <c r="P141" s="92">
        <v>-12.606330524790756</v>
      </c>
      <c r="Q141" s="131">
        <v>87.125160699865091</v>
      </c>
      <c r="R141" s="92">
        <v>59.858866906016388</v>
      </c>
      <c r="S141" s="131">
        <v>70.49038434953124</v>
      </c>
      <c r="T141" s="359">
        <v>2.8430484356435697</v>
      </c>
      <c r="U141" s="134">
        <v>2.4396683643637669</v>
      </c>
    </row>
    <row r="142" spans="2:21" x14ac:dyDescent="0.2">
      <c r="B142" s="53">
        <v>0</v>
      </c>
      <c r="C142" s="51">
        <v>20</v>
      </c>
      <c r="D142" s="66">
        <v>-18.514120270361843</v>
      </c>
      <c r="E142" s="56">
        <v>20.344989092558791</v>
      </c>
      <c r="F142" s="66">
        <v>22.292641786828142</v>
      </c>
      <c r="G142" s="56">
        <v>101.47496035831499</v>
      </c>
      <c r="H142" s="56">
        <v>2.0990552178526043</v>
      </c>
      <c r="I142" s="49">
        <v>2.438067596591881</v>
      </c>
      <c r="N142" s="358">
        <v>0.33879999999999999</v>
      </c>
      <c r="O142" s="131">
        <v>20</v>
      </c>
      <c r="P142" s="92">
        <v>-20.010048452048821</v>
      </c>
      <c r="Q142" s="131">
        <v>75.508472606549731</v>
      </c>
      <c r="R142" s="92">
        <v>44.747330328507282</v>
      </c>
      <c r="S142" s="131">
        <v>70.492600273309563</v>
      </c>
      <c r="T142" s="359">
        <v>2.8138456161321823</v>
      </c>
      <c r="U142" s="134">
        <v>2.4388940838080408</v>
      </c>
    </row>
    <row r="143" spans="2:21" x14ac:dyDescent="0.2">
      <c r="B143" s="53">
        <v>0</v>
      </c>
      <c r="C143" s="51">
        <v>40</v>
      </c>
      <c r="D143" s="66">
        <v>-24.086751573465691</v>
      </c>
      <c r="E143" s="56">
        <v>6.5044529511213334</v>
      </c>
      <c r="F143" s="66">
        <v>16.869642537437176</v>
      </c>
      <c r="G143" s="56">
        <v>56.063458298408847</v>
      </c>
      <c r="H143" s="56">
        <v>2.0907683177453378</v>
      </c>
      <c r="I143" s="49">
        <v>2.1723795698188471</v>
      </c>
      <c r="N143" s="358">
        <v>0.33879999999999999</v>
      </c>
      <c r="O143" s="131">
        <v>40</v>
      </c>
      <c r="P143" s="92">
        <v>-26.613364441224935</v>
      </c>
      <c r="Q143" s="131">
        <v>60.4067780852398</v>
      </c>
      <c r="R143" s="92">
        <v>44.82875305400222</v>
      </c>
      <c r="S143" s="131">
        <v>70.485473414242009</v>
      </c>
      <c r="T143" s="359">
        <v>2.8260251738424156</v>
      </c>
      <c r="U143" s="134">
        <v>2.4447680065868642</v>
      </c>
    </row>
    <row r="144" spans="2:21" x14ac:dyDescent="0.2">
      <c r="B144" s="53">
        <v>0</v>
      </c>
      <c r="C144" s="51">
        <v>60</v>
      </c>
      <c r="D144" s="66">
        <v>-27.284726290331125</v>
      </c>
      <c r="E144" s="56">
        <v>-4.5796927807269681</v>
      </c>
      <c r="F144" s="66">
        <v>21.377434339274686</v>
      </c>
      <c r="G144" s="56">
        <v>35.85427686757162</v>
      </c>
      <c r="H144" s="56">
        <v>2.1981121246383495</v>
      </c>
      <c r="I144" s="49">
        <v>2.0977308205653218</v>
      </c>
      <c r="N144" s="358">
        <v>0.33879999999999999</v>
      </c>
      <c r="O144" s="131">
        <v>60</v>
      </c>
      <c r="P144" s="92">
        <v>-30.015072678073231</v>
      </c>
      <c r="Q144" s="131">
        <v>49.370924396590219</v>
      </c>
      <c r="R144" s="92">
        <v>44.844985860271024</v>
      </c>
      <c r="S144" s="131">
        <v>70.491044759879884</v>
      </c>
      <c r="T144" s="359">
        <v>2.8284225123944902</v>
      </c>
      <c r="U144" s="134">
        <v>2.4400188895100925</v>
      </c>
    </row>
    <row r="145" spans="2:21" x14ac:dyDescent="0.2">
      <c r="B145" s="53">
        <v>0</v>
      </c>
      <c r="C145" s="51">
        <v>100</v>
      </c>
      <c r="D145" s="66">
        <v>-29.823519619257645</v>
      </c>
      <c r="E145" s="56">
        <v>-14.734861697023138</v>
      </c>
      <c r="F145" s="66">
        <v>18.256569173436098</v>
      </c>
      <c r="G145" s="56">
        <v>39.523360262280654</v>
      </c>
      <c r="H145" s="56">
        <v>2.1578359169349439</v>
      </c>
      <c r="I145" s="49">
        <v>2.1353646220604321</v>
      </c>
      <c r="N145" s="358">
        <v>0.33879999999999999</v>
      </c>
      <c r="O145" s="131">
        <v>100</v>
      </c>
      <c r="P145" s="92">
        <v>-32.216178007798604</v>
      </c>
      <c r="Q145" s="131">
        <v>34.850064279946039</v>
      </c>
      <c r="R145" s="92">
        <v>44.856873195651737</v>
      </c>
      <c r="S145" s="131">
        <v>70.481784455100623</v>
      </c>
      <c r="T145" s="359">
        <v>2.8301716590516159</v>
      </c>
      <c r="U145" s="134">
        <v>2.4501945570148806</v>
      </c>
    </row>
    <row r="146" spans="2:21" x14ac:dyDescent="0.2">
      <c r="B146" s="53">
        <v>0</v>
      </c>
      <c r="C146" s="51">
        <v>120</v>
      </c>
      <c r="D146" s="66">
        <v>-31.186896880770284</v>
      </c>
      <c r="E146" s="56">
        <v>-21.038014291887784</v>
      </c>
      <c r="F146" s="66">
        <v>18.653323106026509</v>
      </c>
      <c r="G146" s="56">
        <v>45.222727159799454</v>
      </c>
      <c r="H146" s="56">
        <v>2.1076726183530647</v>
      </c>
      <c r="I146" s="49">
        <v>2.0806153784939054</v>
      </c>
      <c r="N146" s="358">
        <v>0.33879999999999999</v>
      </c>
      <c r="O146" s="131">
        <v>120</v>
      </c>
      <c r="P146" s="92">
        <v>-32.616378976839577</v>
      </c>
      <c r="Q146" s="131">
        <v>29.041720233288363</v>
      </c>
      <c r="R146" s="92">
        <v>44.859210223596648</v>
      </c>
      <c r="S146" s="131">
        <v>70.481068193720446</v>
      </c>
      <c r="T146" s="359">
        <v>2.8305150885142485</v>
      </c>
      <c r="U146" s="134">
        <v>2.4521821221885634</v>
      </c>
    </row>
    <row r="147" spans="2:21" x14ac:dyDescent="0.2">
      <c r="B147" s="123"/>
      <c r="C147" s="52"/>
      <c r="D147" s="508"/>
      <c r="E147" s="509"/>
      <c r="F147" s="508"/>
      <c r="G147" s="509"/>
      <c r="H147" s="52"/>
      <c r="I147" s="40"/>
      <c r="N147" s="95"/>
      <c r="O147" s="141"/>
      <c r="P147" s="85"/>
      <c r="Q147" s="141"/>
      <c r="R147" s="85"/>
      <c r="S147" s="141"/>
      <c r="T147" s="85"/>
      <c r="U147" s="141"/>
    </row>
    <row r="148" spans="2:21" x14ac:dyDescent="0.2">
      <c r="B148" s="16"/>
      <c r="C148" s="7"/>
      <c r="D148" s="520"/>
      <c r="E148" s="520"/>
      <c r="F148" s="520"/>
      <c r="G148" s="520"/>
      <c r="H148" s="7"/>
      <c r="I148" s="7"/>
      <c r="N148" s="69"/>
      <c r="O148" s="69"/>
      <c r="P148" s="69"/>
      <c r="Q148" s="69"/>
      <c r="R148" s="69"/>
      <c r="S148" s="69"/>
      <c r="T148" s="69"/>
      <c r="U148" s="69"/>
    </row>
    <row r="149" spans="2:21" x14ac:dyDescent="0.2">
      <c r="C149" s="27" t="s">
        <v>421</v>
      </c>
      <c r="D149" s="27"/>
      <c r="E149" s="27"/>
      <c r="F149" s="27"/>
      <c r="G149" s="27"/>
      <c r="N149" s="69"/>
      <c r="O149" s="69"/>
      <c r="P149" s="69"/>
      <c r="Q149" s="69"/>
      <c r="R149" s="69"/>
      <c r="S149" s="69"/>
      <c r="T149" s="69"/>
      <c r="U149" s="69"/>
    </row>
    <row r="150" spans="2:21" x14ac:dyDescent="0.2">
      <c r="B150" s="61" t="s">
        <v>411</v>
      </c>
      <c r="C150" s="18"/>
      <c r="D150" s="516"/>
      <c r="E150" s="516"/>
      <c r="F150" s="516"/>
      <c r="G150" s="517"/>
      <c r="H150" s="10"/>
      <c r="I150" s="11"/>
      <c r="N150" s="350" t="s">
        <v>377</v>
      </c>
      <c r="O150" s="133"/>
      <c r="P150" s="133"/>
      <c r="Q150" s="133"/>
      <c r="R150" s="133"/>
      <c r="S150" s="79"/>
      <c r="T150" s="79"/>
      <c r="U150" s="80"/>
    </row>
    <row r="151" spans="2:21" x14ac:dyDescent="0.2">
      <c r="B151" s="12"/>
      <c r="C151" s="13"/>
      <c r="D151" s="551" t="s">
        <v>19</v>
      </c>
      <c r="E151" s="552"/>
      <c r="F151" s="551" t="s">
        <v>20</v>
      </c>
      <c r="G151" s="552"/>
      <c r="H151" s="543" t="s">
        <v>8</v>
      </c>
      <c r="I151" s="544"/>
      <c r="N151" s="129"/>
      <c r="O151" s="130"/>
      <c r="P151" s="539" t="s">
        <v>19</v>
      </c>
      <c r="Q151" s="540"/>
      <c r="R151" s="539" t="s">
        <v>20</v>
      </c>
      <c r="S151" s="540"/>
      <c r="T151" s="539" t="s">
        <v>8</v>
      </c>
      <c r="U151" s="540"/>
    </row>
    <row r="152" spans="2:21" ht="38.25" x14ac:dyDescent="0.2">
      <c r="B152" s="12" t="s">
        <v>356</v>
      </c>
      <c r="C152" s="54" t="s">
        <v>242</v>
      </c>
      <c r="D152" s="512" t="s">
        <v>403</v>
      </c>
      <c r="E152" s="513" t="s">
        <v>404</v>
      </c>
      <c r="F152" s="512" t="s">
        <v>403</v>
      </c>
      <c r="G152" s="513" t="s">
        <v>404</v>
      </c>
      <c r="H152" s="54" t="s">
        <v>159</v>
      </c>
      <c r="I152" s="13" t="s">
        <v>160</v>
      </c>
      <c r="N152" s="292" t="s">
        <v>9</v>
      </c>
      <c r="O152" s="351" t="s">
        <v>15</v>
      </c>
      <c r="P152" s="17" t="s">
        <v>103</v>
      </c>
      <c r="Q152" s="9" t="s">
        <v>104</v>
      </c>
      <c r="R152" s="17" t="s">
        <v>103</v>
      </c>
      <c r="S152" s="9" t="s">
        <v>104</v>
      </c>
      <c r="T152" s="352" t="s">
        <v>281</v>
      </c>
      <c r="U152" s="130" t="s">
        <v>282</v>
      </c>
    </row>
    <row r="153" spans="2:21" ht="31.5" customHeight="1" x14ac:dyDescent="0.2">
      <c r="B153" s="53">
        <v>0.32</v>
      </c>
      <c r="C153" s="57">
        <v>5</v>
      </c>
      <c r="D153" s="66">
        <v>-54.921328770441363</v>
      </c>
      <c r="E153" s="56">
        <v>26.694182689932809</v>
      </c>
      <c r="F153" s="66">
        <v>17.799412142139474</v>
      </c>
      <c r="G153" s="56">
        <v>101.73554376278884</v>
      </c>
      <c r="H153" s="56">
        <v>2.0818172311617134</v>
      </c>
      <c r="I153" s="49">
        <v>2.3911631565749443</v>
      </c>
      <c r="N153" s="353">
        <v>1.8399999999999996E-2</v>
      </c>
      <c r="O153" s="354">
        <v>5</v>
      </c>
      <c r="P153" s="355">
        <v>-4.2021101749302527</v>
      </c>
      <c r="Q153" s="354">
        <v>85.963491890533561</v>
      </c>
      <c r="R153" s="355">
        <v>72.345126119874465</v>
      </c>
      <c r="S153" s="354">
        <v>70.542458310845134</v>
      </c>
      <c r="T153" s="356">
        <v>2.8901802975422615</v>
      </c>
      <c r="U153" s="357">
        <v>2.4159032960280995</v>
      </c>
    </row>
    <row r="154" spans="2:21" x14ac:dyDescent="0.2">
      <c r="B154" s="53">
        <v>0.32</v>
      </c>
      <c r="C154" s="57">
        <v>10</v>
      </c>
      <c r="D154" s="66">
        <v>-53.125291531691289</v>
      </c>
      <c r="E154" s="56">
        <v>10.460199242622966</v>
      </c>
      <c r="F154" s="66">
        <v>14.604415303046997</v>
      </c>
      <c r="G154" s="56">
        <v>76.240609527331017</v>
      </c>
      <c r="H154" s="56">
        <v>2.1321925085282238</v>
      </c>
      <c r="I154" s="49">
        <v>2.4010523624940805</v>
      </c>
      <c r="N154" s="358">
        <v>1.8399999999999996E-2</v>
      </c>
      <c r="O154" s="131">
        <v>10</v>
      </c>
      <c r="P154" s="92">
        <v>-7.8039188962990398</v>
      </c>
      <c r="Q154" s="131">
        <v>78.412644629878599</v>
      </c>
      <c r="R154" s="92">
        <v>59.904871020158531</v>
      </c>
      <c r="S154" s="131">
        <v>70.485950026447526</v>
      </c>
      <c r="T154" s="359">
        <v>2.8480458916111036</v>
      </c>
      <c r="U154" s="134">
        <v>2.4437751961832923</v>
      </c>
    </row>
    <row r="155" spans="2:21" ht="12.75" customHeight="1" x14ac:dyDescent="0.2">
      <c r="B155" s="53">
        <v>0.32</v>
      </c>
      <c r="C155" s="57">
        <v>20</v>
      </c>
      <c r="D155" s="66">
        <v>-52.532380106535356</v>
      </c>
      <c r="E155" s="56">
        <v>-8.5432649361758521</v>
      </c>
      <c r="F155" s="66">
        <v>17.268931851944252</v>
      </c>
      <c r="G155" s="56">
        <v>30.396209563515637</v>
      </c>
      <c r="H155" s="56">
        <v>2.0878466797881967</v>
      </c>
      <c r="I155" s="49">
        <v>2.1090783925884939</v>
      </c>
      <c r="N155" s="358">
        <v>1.8399999999999996E-2</v>
      </c>
      <c r="O155" s="131">
        <v>20</v>
      </c>
      <c r="P155" s="92">
        <v>-13.606832947393197</v>
      </c>
      <c r="Q155" s="131">
        <v>70.280962964557844</v>
      </c>
      <c r="R155" s="92">
        <v>44.763965997376793</v>
      </c>
      <c r="S155" s="131">
        <v>70.481135193044281</v>
      </c>
      <c r="T155" s="359">
        <v>2.8163523513375508</v>
      </c>
      <c r="U155" s="134">
        <v>2.4519442559567244</v>
      </c>
    </row>
    <row r="156" spans="2:21" x14ac:dyDescent="0.2">
      <c r="B156" s="53">
        <v>0.32</v>
      </c>
      <c r="C156" s="57">
        <v>40</v>
      </c>
      <c r="D156" s="66">
        <v>-52.934906557107546</v>
      </c>
      <c r="E156" s="56">
        <v>-31.120436879742449</v>
      </c>
      <c r="F156" s="66">
        <v>15.559490239565244</v>
      </c>
      <c r="G156" s="56">
        <v>44.422870309820368</v>
      </c>
      <c r="H156" s="56">
        <v>2.1036125319391914</v>
      </c>
      <c r="I156" s="49">
        <v>2.0660872128158858</v>
      </c>
      <c r="N156" s="358">
        <v>1.8399999999999996E-2</v>
      </c>
      <c r="O156" s="131">
        <v>40</v>
      </c>
      <c r="P156" s="92">
        <v>-19.809947967528334</v>
      </c>
      <c r="Q156" s="131">
        <v>69.119294155226314</v>
      </c>
      <c r="R156" s="92">
        <v>44.84372230977462</v>
      </c>
      <c r="S156" s="131">
        <v>70.519726757855537</v>
      </c>
      <c r="T156" s="359">
        <v>2.8282355773711383</v>
      </c>
      <c r="U156" s="134">
        <v>2.4260940984456654</v>
      </c>
    </row>
    <row r="157" spans="2:21" x14ac:dyDescent="0.2">
      <c r="B157" s="53">
        <v>0.32</v>
      </c>
      <c r="C157" s="51">
        <v>60</v>
      </c>
      <c r="D157" s="66">
        <v>-54.593691241751252</v>
      </c>
      <c r="E157" s="56">
        <v>-42.15750800696793</v>
      </c>
      <c r="F157" s="66">
        <v>17.376998970619393</v>
      </c>
      <c r="G157" s="56">
        <v>59.539673584822538</v>
      </c>
      <c r="H157" s="56">
        <v>2.1413851625410816</v>
      </c>
      <c r="I157" s="49">
        <v>2.1297238370151454</v>
      </c>
      <c r="N157" s="358">
        <v>1.8399999999999996E-2</v>
      </c>
      <c r="O157" s="131">
        <v>60</v>
      </c>
      <c r="P157" s="92">
        <v>-22.61135475081517</v>
      </c>
      <c r="Q157" s="131">
        <v>47.628421182592909</v>
      </c>
      <c r="R157" s="92">
        <v>44.853271044721822</v>
      </c>
      <c r="S157" s="131">
        <v>70.486772236517453</v>
      </c>
      <c r="T157" s="359">
        <v>2.8296421054213527</v>
      </c>
      <c r="U157" s="134">
        <v>2.4435245953035314</v>
      </c>
    </row>
    <row r="158" spans="2:21" x14ac:dyDescent="0.2">
      <c r="B158" s="53">
        <v>0.32</v>
      </c>
      <c r="C158" s="51">
        <v>100</v>
      </c>
      <c r="D158" s="66">
        <v>-57.419501039525706</v>
      </c>
      <c r="E158" s="56">
        <v>-58.370318835110432</v>
      </c>
      <c r="F158" s="66">
        <v>15.349229308500561</v>
      </c>
      <c r="G158" s="56">
        <v>106.48132448472586</v>
      </c>
      <c r="H158" s="56">
        <v>2.1348443808958146</v>
      </c>
      <c r="I158" s="49">
        <v>2.232044900100727</v>
      </c>
      <c r="N158" s="358">
        <v>1.8399999999999996E-2</v>
      </c>
      <c r="O158" s="131">
        <v>100</v>
      </c>
      <c r="P158" s="92">
        <v>-24.612359596020053</v>
      </c>
      <c r="Q158" s="131">
        <v>35.430898684611797</v>
      </c>
      <c r="R158" s="92">
        <v>44.859728623162482</v>
      </c>
      <c r="S158" s="131">
        <v>70.481622890805255</v>
      </c>
      <c r="T158" s="359">
        <v>2.8305913494681136</v>
      </c>
      <c r="U158" s="134">
        <v>2.4505688415464824</v>
      </c>
    </row>
    <row r="159" spans="2:21" x14ac:dyDescent="0.2">
      <c r="B159" s="53">
        <v>0.32</v>
      </c>
      <c r="C159" s="51">
        <v>120</v>
      </c>
      <c r="D159" s="66">
        <v>-58.695186725265131</v>
      </c>
      <c r="E159" s="56">
        <v>-66.375600842715514</v>
      </c>
      <c r="F159" s="66">
        <v>15.858486857208151</v>
      </c>
      <c r="G159" s="56">
        <v>130.50465600754058</v>
      </c>
      <c r="H159" s="56">
        <v>2.0983214821027945</v>
      </c>
      <c r="I159" s="49">
        <v>2.2765158343537326</v>
      </c>
      <c r="N159" s="358">
        <v>1.8399999999999996E-2</v>
      </c>
      <c r="O159" s="131">
        <v>120</v>
      </c>
      <c r="P159" s="92">
        <v>-25.81296250314298</v>
      </c>
      <c r="Q159" s="131">
        <v>30.2033890426199</v>
      </c>
      <c r="R159" s="92">
        <v>44.864451665727159</v>
      </c>
      <c r="S159" s="131">
        <v>70.481067305144521</v>
      </c>
      <c r="T159" s="359">
        <v>2.8312846767698563</v>
      </c>
      <c r="U159" s="134">
        <v>2.4521853781841529</v>
      </c>
    </row>
    <row r="160" spans="2:21" x14ac:dyDescent="0.2">
      <c r="B160" s="122"/>
      <c r="C160" s="116"/>
      <c r="D160" s="507"/>
      <c r="E160" s="119"/>
      <c r="F160" s="507"/>
      <c r="G160" s="119"/>
      <c r="H160" s="119"/>
      <c r="I160" s="120"/>
      <c r="N160" s="358"/>
      <c r="O160" s="136"/>
      <c r="P160" s="158"/>
      <c r="Q160" s="132"/>
      <c r="R160" s="360"/>
      <c r="S160" s="132"/>
      <c r="T160" s="359"/>
      <c r="U160" s="134"/>
    </row>
    <row r="161" spans="2:21" x14ac:dyDescent="0.2">
      <c r="B161" s="53">
        <v>0</v>
      </c>
      <c r="C161" s="51">
        <v>5</v>
      </c>
      <c r="D161" s="66">
        <v>-45.587060915183557</v>
      </c>
      <c r="E161" s="56">
        <v>21.85643012399855</v>
      </c>
      <c r="F161" s="66">
        <v>17.803939763053798</v>
      </c>
      <c r="G161" s="56">
        <v>101.62316198019657</v>
      </c>
      <c r="H161" s="56">
        <v>2.0816494754376746</v>
      </c>
      <c r="I161" s="49">
        <v>2.4056605137674234</v>
      </c>
      <c r="N161" s="358">
        <v>0.22180000000000002</v>
      </c>
      <c r="O161" s="131">
        <v>5</v>
      </c>
      <c r="P161" s="92">
        <v>-6.2031150201351348</v>
      </c>
      <c r="Q161" s="131">
        <v>91.771835937191227</v>
      </c>
      <c r="R161" s="92">
        <v>72.321060256175954</v>
      </c>
      <c r="S161" s="131">
        <v>70.543842492015045</v>
      </c>
      <c r="T161" s="359">
        <v>2.888108369949296</v>
      </c>
      <c r="U161" s="134">
        <v>2.4154081112581185</v>
      </c>
    </row>
    <row r="162" spans="2:21" x14ac:dyDescent="0.2">
      <c r="B162" s="53">
        <v>0</v>
      </c>
      <c r="C162" s="51">
        <v>10</v>
      </c>
      <c r="D162" s="66">
        <v>-43.364628845927911</v>
      </c>
      <c r="E162" s="56">
        <v>7.3987785067070151</v>
      </c>
      <c r="F162" s="66">
        <v>14.609425909185859</v>
      </c>
      <c r="G162" s="56">
        <v>76.196027285605012</v>
      </c>
      <c r="H162" s="56">
        <v>2.1318127703343634</v>
      </c>
      <c r="I162" s="49">
        <v>2.4119359200299346</v>
      </c>
      <c r="N162" s="358">
        <v>0.22180000000000002</v>
      </c>
      <c r="O162" s="131">
        <v>10</v>
      </c>
      <c r="P162" s="92">
        <v>-11.20562713314734</v>
      </c>
      <c r="Q162" s="131">
        <v>83.6401542718705</v>
      </c>
      <c r="R162" s="92">
        <v>59.878223368898638</v>
      </c>
      <c r="S162" s="131">
        <v>70.487067669944679</v>
      </c>
      <c r="T162" s="359">
        <v>2.8451555221919889</v>
      </c>
      <c r="U162" s="134">
        <v>2.4426005914274707</v>
      </c>
    </row>
    <row r="163" spans="2:21" x14ac:dyDescent="0.2">
      <c r="B163" s="53">
        <v>0</v>
      </c>
      <c r="C163" s="51">
        <v>20</v>
      </c>
      <c r="D163" s="66">
        <v>-41.917866004477965</v>
      </c>
      <c r="E163" s="56">
        <v>-8.1198477624604468</v>
      </c>
      <c r="F163" s="66">
        <v>17.269227646186106</v>
      </c>
      <c r="G163" s="56">
        <v>30.109635408042458</v>
      </c>
      <c r="H163" s="56">
        <v>2.087834336187782</v>
      </c>
      <c r="I163" s="49">
        <v>2.1148690817212104</v>
      </c>
      <c r="N163" s="358">
        <v>0.22180000000000002</v>
      </c>
      <c r="O163" s="131">
        <v>20</v>
      </c>
      <c r="P163" s="92">
        <v>-18.009043606843939</v>
      </c>
      <c r="Q163" s="131">
        <v>74.346803797218215</v>
      </c>
      <c r="R163" s="92">
        <v>44.770040312820825</v>
      </c>
      <c r="S163" s="131">
        <v>70.489920263309415</v>
      </c>
      <c r="T163" s="359">
        <v>2.8172663615728952</v>
      </c>
      <c r="U163" s="134">
        <v>2.440823855594954</v>
      </c>
    </row>
    <row r="164" spans="2:21" x14ac:dyDescent="0.2">
      <c r="B164" s="53">
        <v>0</v>
      </c>
      <c r="C164" s="51">
        <v>40</v>
      </c>
      <c r="D164" s="66">
        <v>-41.046898971029627</v>
      </c>
      <c r="E164" s="56">
        <v>-28.367490278661901</v>
      </c>
      <c r="F164" s="66">
        <v>15.560441864642376</v>
      </c>
      <c r="G164" s="56">
        <v>43.549448706076205</v>
      </c>
      <c r="H164" s="56">
        <v>2.1035620879000905</v>
      </c>
      <c r="I164" s="49">
        <v>2.066908317856027</v>
      </c>
      <c r="N164" s="358">
        <v>0.22180000000000002</v>
      </c>
      <c r="O164" s="131">
        <v>40</v>
      </c>
      <c r="P164" s="92">
        <v>-24.012058142458585</v>
      </c>
      <c r="Q164" s="131">
        <v>60.4067780852398</v>
      </c>
      <c r="R164" s="92">
        <v>44.837139942119165</v>
      </c>
      <c r="S164" s="131">
        <v>70.485473414242009</v>
      </c>
      <c r="T164" s="359">
        <v>2.8272641204643274</v>
      </c>
      <c r="U164" s="134">
        <v>2.4447680065868642</v>
      </c>
    </row>
    <row r="165" spans="2:21" x14ac:dyDescent="0.2">
      <c r="B165" s="53">
        <v>0</v>
      </c>
      <c r="C165" s="51">
        <v>60</v>
      </c>
      <c r="D165" s="66">
        <v>-42.857671974971765</v>
      </c>
      <c r="E165" s="56">
        <v>-38.817194904672881</v>
      </c>
      <c r="F165" s="66">
        <v>17.362450615410037</v>
      </c>
      <c r="G165" s="56">
        <v>58.509458325504298</v>
      </c>
      <c r="H165" s="56">
        <v>2.1423905939036123</v>
      </c>
      <c r="I165" s="49">
        <v>2.1355545017595463</v>
      </c>
      <c r="N165" s="358">
        <v>0.22180000000000002</v>
      </c>
      <c r="O165" s="131">
        <v>60</v>
      </c>
      <c r="P165" s="92">
        <v>-27.213665894786395</v>
      </c>
      <c r="Q165" s="131">
        <v>49.370924396590219</v>
      </c>
      <c r="R165" s="92">
        <v>44.850775002266438</v>
      </c>
      <c r="S165" s="131">
        <v>70.491044759879884</v>
      </c>
      <c r="T165" s="359">
        <v>2.8292748164398569</v>
      </c>
      <c r="U165" s="134">
        <v>2.4400188895100925</v>
      </c>
    </row>
    <row r="166" spans="2:21" x14ac:dyDescent="0.2">
      <c r="B166" s="53">
        <v>0</v>
      </c>
      <c r="C166" s="51">
        <v>100</v>
      </c>
      <c r="D166" s="66">
        <v>-44.808757270191357</v>
      </c>
      <c r="E166" s="56">
        <v>-53.583404259891473</v>
      </c>
      <c r="F166" s="66">
        <v>15.360440374980522</v>
      </c>
      <c r="G166" s="56">
        <v>105.66512289228557</v>
      </c>
      <c r="H166" s="56">
        <v>2.1340237643875701</v>
      </c>
      <c r="I166" s="49">
        <v>2.2439364501799033</v>
      </c>
      <c r="N166" s="358">
        <v>0.22180000000000002</v>
      </c>
      <c r="O166" s="131">
        <v>100</v>
      </c>
      <c r="P166" s="92">
        <v>-29.414771224511767</v>
      </c>
      <c r="Q166" s="131">
        <v>34.850064279946039</v>
      </c>
      <c r="R166" s="92">
        <v>44.862357013337864</v>
      </c>
      <c r="S166" s="131">
        <v>70.481487990726961</v>
      </c>
      <c r="T166" s="359">
        <v>2.8309772722356756</v>
      </c>
      <c r="U166" s="134">
        <v>2.4509061603266127</v>
      </c>
    </row>
    <row r="167" spans="2:21" x14ac:dyDescent="0.2">
      <c r="B167" s="53">
        <v>0</v>
      </c>
      <c r="C167" s="51">
        <v>120</v>
      </c>
      <c r="D167" s="66">
        <v>-47.066926016562974</v>
      </c>
      <c r="E167" s="56">
        <v>-58.960883640974984</v>
      </c>
      <c r="F167" s="66">
        <v>15.856506555397178</v>
      </c>
      <c r="G167" s="56">
        <v>129.55551181574657</v>
      </c>
      <c r="H167" s="56">
        <v>2.0984210862222077</v>
      </c>
      <c r="I167" s="49">
        <v>2.2943521896077446</v>
      </c>
      <c r="N167" s="358">
        <v>0.22180000000000002</v>
      </c>
      <c r="O167" s="131">
        <v>120</v>
      </c>
      <c r="P167" s="92">
        <v>-30.015072678073231</v>
      </c>
      <c r="Q167" s="131">
        <v>30.2033890426199</v>
      </c>
      <c r="R167" s="92">
        <v>44.864198584807184</v>
      </c>
      <c r="S167" s="131">
        <v>70.481067305144521</v>
      </c>
      <c r="T167" s="359">
        <v>2.8312475438665552</v>
      </c>
      <c r="U167" s="134">
        <v>2.4521853781841529</v>
      </c>
    </row>
    <row r="168" spans="2:21" x14ac:dyDescent="0.2">
      <c r="B168" s="39"/>
      <c r="C168" s="52"/>
      <c r="D168" s="508"/>
      <c r="E168" s="509"/>
      <c r="F168" s="508"/>
      <c r="G168" s="509"/>
      <c r="H168" s="52"/>
      <c r="I168" s="40"/>
      <c r="N168" s="95"/>
      <c r="O168" s="141"/>
      <c r="P168" s="85"/>
      <c r="Q168" s="141"/>
      <c r="R168" s="85"/>
      <c r="S168" s="141"/>
      <c r="T168" s="85"/>
      <c r="U168" s="141"/>
    </row>
    <row r="169" spans="2:21" x14ac:dyDescent="0.2">
      <c r="B169" s="7"/>
      <c r="C169" s="7"/>
      <c r="D169" s="520"/>
      <c r="E169" s="520"/>
      <c r="F169" s="520"/>
      <c r="G169" s="520"/>
      <c r="H169" s="7"/>
      <c r="I169" s="7"/>
    </row>
    <row r="170" spans="2:21" x14ac:dyDescent="0.2">
      <c r="C170" s="27" t="s">
        <v>422</v>
      </c>
      <c r="D170" s="27"/>
      <c r="E170" s="27"/>
      <c r="F170" s="27"/>
      <c r="G170" s="27"/>
    </row>
    <row r="171" spans="2:21" x14ac:dyDescent="0.2">
      <c r="B171" s="61" t="s">
        <v>412</v>
      </c>
      <c r="C171" s="18"/>
      <c r="D171" s="516"/>
      <c r="E171" s="516"/>
      <c r="F171" s="516"/>
      <c r="G171" s="517"/>
      <c r="H171" s="10"/>
      <c r="I171" s="11"/>
    </row>
    <row r="172" spans="2:21" x14ac:dyDescent="0.2">
      <c r="B172" s="12"/>
      <c r="C172" s="13"/>
      <c r="D172" s="551" t="s">
        <v>19</v>
      </c>
      <c r="E172" s="552"/>
      <c r="F172" s="551" t="s">
        <v>20</v>
      </c>
      <c r="G172" s="552"/>
      <c r="H172" s="543" t="s">
        <v>8</v>
      </c>
      <c r="I172" s="544"/>
    </row>
    <row r="173" spans="2:21" ht="38.25" x14ac:dyDescent="0.2">
      <c r="B173" s="12" t="s">
        <v>356</v>
      </c>
      <c r="C173" s="54" t="s">
        <v>242</v>
      </c>
      <c r="D173" s="512" t="s">
        <v>403</v>
      </c>
      <c r="E173" s="513" t="s">
        <v>404</v>
      </c>
      <c r="F173" s="512" t="s">
        <v>403</v>
      </c>
      <c r="G173" s="513" t="s">
        <v>404</v>
      </c>
      <c r="H173" s="54" t="s">
        <v>159</v>
      </c>
      <c r="I173" s="13" t="s">
        <v>160</v>
      </c>
    </row>
    <row r="174" spans="2:21" x14ac:dyDescent="0.2">
      <c r="B174" s="53">
        <v>0.32</v>
      </c>
      <c r="C174" s="57">
        <v>5</v>
      </c>
      <c r="D174" s="66">
        <v>-73.328992548898796</v>
      </c>
      <c r="E174" s="56">
        <v>28.638092240834947</v>
      </c>
      <c r="F174" s="66">
        <v>17.60807341014884</v>
      </c>
      <c r="G174" s="56">
        <v>101.86798350952411</v>
      </c>
      <c r="H174" s="56">
        <v>2.0849273582829904</v>
      </c>
      <c r="I174" s="49">
        <v>2.3773505092281422</v>
      </c>
    </row>
    <row r="175" spans="2:21" x14ac:dyDescent="0.2">
      <c r="B175" s="53">
        <v>0.32</v>
      </c>
      <c r="C175" s="57">
        <v>10</v>
      </c>
      <c r="D175" s="66">
        <v>-68.50099821371434</v>
      </c>
      <c r="E175" s="56">
        <v>7.2111721146992318</v>
      </c>
      <c r="F175" s="66">
        <v>14.222779147519544</v>
      </c>
      <c r="G175" s="56">
        <v>51.850984490664409</v>
      </c>
      <c r="H175" s="56">
        <v>2.1552604838079348</v>
      </c>
      <c r="I175" s="49">
        <v>2.2848158973299246</v>
      </c>
    </row>
    <row r="176" spans="2:21" x14ac:dyDescent="0.2">
      <c r="B176" s="53">
        <v>0.32</v>
      </c>
      <c r="C176" s="57">
        <v>20</v>
      </c>
      <c r="D176" s="66">
        <v>-64.498953385431221</v>
      </c>
      <c r="E176" s="56">
        <v>-17.55127920409214</v>
      </c>
      <c r="F176" s="66">
        <v>17.881256249807972</v>
      </c>
      <c r="G176" s="56">
        <v>24.259867166682074</v>
      </c>
      <c r="H176" s="56">
        <v>2.0765103300135226</v>
      </c>
      <c r="I176" s="49">
        <v>2.0677962804527179</v>
      </c>
    </row>
    <row r="177" spans="2:9" x14ac:dyDescent="0.2">
      <c r="B177" s="53">
        <v>0.32</v>
      </c>
      <c r="C177" s="57">
        <v>40</v>
      </c>
      <c r="D177" s="66">
        <v>-64.324430109506508</v>
      </c>
      <c r="E177" s="56">
        <v>-44.041563111662683</v>
      </c>
      <c r="F177" s="66">
        <v>16.1749329230543</v>
      </c>
      <c r="G177" s="56">
        <v>81.202181473720529</v>
      </c>
      <c r="H177" s="56">
        <v>2.0919711610640963</v>
      </c>
      <c r="I177" s="49">
        <v>2.2013703882906532</v>
      </c>
    </row>
    <row r="178" spans="2:9" x14ac:dyDescent="0.2">
      <c r="B178" s="53">
        <v>0.32</v>
      </c>
      <c r="C178" s="51">
        <v>60</v>
      </c>
      <c r="D178" s="66">
        <v>-66.748852673993511</v>
      </c>
      <c r="E178" s="56">
        <v>-59.09022873121782</v>
      </c>
      <c r="F178" s="66">
        <v>13.937482673135417</v>
      </c>
      <c r="G178" s="56">
        <v>105.11755983712195</v>
      </c>
      <c r="H178" s="56">
        <v>2.1604806548197932</v>
      </c>
      <c r="I178" s="49">
        <v>2.2635852856692824</v>
      </c>
    </row>
    <row r="179" spans="2:9" x14ac:dyDescent="0.2">
      <c r="B179" s="53">
        <v>0.32</v>
      </c>
      <c r="C179" s="51">
        <v>100</v>
      </c>
      <c r="D179" s="66">
        <v>-72.040855108163129</v>
      </c>
      <c r="E179" s="56">
        <v>-79.363875315852852</v>
      </c>
      <c r="F179" s="66">
        <v>16.80319541355891</v>
      </c>
      <c r="G179" s="56">
        <v>155.49718813568853</v>
      </c>
      <c r="H179" s="56">
        <v>2.1361717420928299</v>
      </c>
      <c r="I179" s="49">
        <v>2.3017568929291934</v>
      </c>
    </row>
    <row r="180" spans="2:9" x14ac:dyDescent="0.2">
      <c r="B180" s="53">
        <v>0.32</v>
      </c>
      <c r="C180" s="51">
        <v>120</v>
      </c>
      <c r="D180" s="66">
        <v>-74.825246020673816</v>
      </c>
      <c r="E180" s="56">
        <v>-88.0665178223922</v>
      </c>
      <c r="F180" s="66">
        <v>16.138494656835455</v>
      </c>
      <c r="G180" s="56">
        <v>180.35399831039592</v>
      </c>
      <c r="H180" s="56">
        <v>2.0939633744289106</v>
      </c>
      <c r="I180" s="49">
        <v>2.3248367203297957</v>
      </c>
    </row>
    <row r="181" spans="2:9" x14ac:dyDescent="0.2">
      <c r="B181" s="122"/>
      <c r="C181" s="116"/>
      <c r="D181" s="518"/>
      <c r="E181" s="119"/>
      <c r="F181" s="507"/>
      <c r="G181" s="119"/>
      <c r="H181" s="119"/>
      <c r="I181" s="120"/>
    </row>
    <row r="182" spans="2:9" x14ac:dyDescent="0.2">
      <c r="B182" s="53">
        <v>0</v>
      </c>
      <c r="C182" s="51">
        <v>5</v>
      </c>
      <c r="D182" s="66">
        <v>-60.786718628813176</v>
      </c>
      <c r="E182" s="56">
        <v>6.5638446657412208</v>
      </c>
      <c r="F182" s="66">
        <v>17.645664423618211</v>
      </c>
      <c r="G182" s="56">
        <v>101.51549061774554</v>
      </c>
      <c r="H182" s="56">
        <v>2.0835866752502459</v>
      </c>
      <c r="I182" s="49">
        <v>2.4282549319604505</v>
      </c>
    </row>
    <row r="183" spans="2:9" x14ac:dyDescent="0.2">
      <c r="B183" s="53">
        <v>0</v>
      </c>
      <c r="C183" s="51">
        <v>10</v>
      </c>
      <c r="D183" s="66">
        <v>-54.930828325967944</v>
      </c>
      <c r="E183" s="56">
        <v>-12.21031168075791</v>
      </c>
      <c r="F183" s="66">
        <v>14.25719445831486</v>
      </c>
      <c r="G183" s="56">
        <v>51.790667753899903</v>
      </c>
      <c r="H183" s="56">
        <v>2.1522578046014669</v>
      </c>
      <c r="I183" s="49">
        <v>2.2882258696322393</v>
      </c>
    </row>
    <row r="184" spans="2:9" x14ac:dyDescent="0.2">
      <c r="B184" s="53">
        <v>0</v>
      </c>
      <c r="C184" s="51">
        <v>20</v>
      </c>
      <c r="D184" s="66">
        <v>-49.874431702339059</v>
      </c>
      <c r="E184" s="56">
        <v>-32.319349157093562</v>
      </c>
      <c r="F184" s="66">
        <v>17.882330529529085</v>
      </c>
      <c r="G184" s="56">
        <v>30.001061956460742</v>
      </c>
      <c r="H184" s="56">
        <v>2.0764723050612015</v>
      </c>
      <c r="I184" s="49">
        <v>2.1229077893623112</v>
      </c>
    </row>
    <row r="185" spans="2:9" x14ac:dyDescent="0.2">
      <c r="B185" s="53">
        <v>0</v>
      </c>
      <c r="C185" s="51">
        <v>40</v>
      </c>
      <c r="D185" s="66">
        <v>-48.827415700497291</v>
      </c>
      <c r="E185" s="56">
        <v>-53.55866380523802</v>
      </c>
      <c r="F185" s="66">
        <v>16.16508946001936</v>
      </c>
      <c r="G185" s="56">
        <v>83.089904057198112</v>
      </c>
      <c r="H185" s="56">
        <v>2.0924219921735809</v>
      </c>
      <c r="I185" s="49">
        <v>2.1814929592697374</v>
      </c>
    </row>
    <row r="186" spans="2:9" x14ac:dyDescent="0.2">
      <c r="B186" s="53">
        <v>0</v>
      </c>
      <c r="C186" s="51">
        <v>60</v>
      </c>
      <c r="D186" s="66">
        <v>-50.802325447127529</v>
      </c>
      <c r="E186" s="56">
        <v>-66.851386990754307</v>
      </c>
      <c r="F186" s="66">
        <v>13.952664980104506</v>
      </c>
      <c r="G186" s="56">
        <v>106.49293969376946</v>
      </c>
      <c r="H186" s="56">
        <v>2.1591330653131897</v>
      </c>
      <c r="I186" s="49">
        <v>2.2447176792278554</v>
      </c>
    </row>
    <row r="187" spans="2:9" x14ac:dyDescent="0.2">
      <c r="B187" s="53">
        <v>0</v>
      </c>
      <c r="C187" s="51">
        <v>100</v>
      </c>
      <c r="D187" s="66">
        <v>-56.422605653052685</v>
      </c>
      <c r="E187" s="56">
        <v>-85.386288119259277</v>
      </c>
      <c r="F187" s="66">
        <v>16.789728478295082</v>
      </c>
      <c r="G187" s="56">
        <v>156.30065500240499</v>
      </c>
      <c r="H187" s="56">
        <v>2.1370882807458167</v>
      </c>
      <c r="I187" s="49">
        <v>2.2893591025155642</v>
      </c>
    </row>
    <row r="188" spans="2:9" x14ac:dyDescent="0.2">
      <c r="B188" s="53">
        <v>0</v>
      </c>
      <c r="C188" s="51">
        <v>120</v>
      </c>
      <c r="D188" s="66">
        <v>-58.585476593781685</v>
      </c>
      <c r="E188" s="56">
        <v>-93.506135881719729</v>
      </c>
      <c r="F188" s="66">
        <v>16.135038210960687</v>
      </c>
      <c r="G188" s="56">
        <v>180.97300475403276</v>
      </c>
      <c r="H188" s="56">
        <v>2.0941262878089275</v>
      </c>
      <c r="I188" s="49">
        <v>2.314235304755333</v>
      </c>
    </row>
    <row r="189" spans="2:9" x14ac:dyDescent="0.2">
      <c r="B189" s="39"/>
      <c r="C189" s="52"/>
      <c r="D189" s="508"/>
      <c r="E189" s="509"/>
      <c r="F189" s="508"/>
      <c r="G189" s="509"/>
      <c r="H189" s="52"/>
      <c r="I189" s="40"/>
    </row>
    <row r="234" spans="14:21" x14ac:dyDescent="0.2">
      <c r="N234" s="69"/>
      <c r="O234" s="69"/>
      <c r="P234" s="69"/>
      <c r="Q234" s="69"/>
      <c r="R234" s="69"/>
      <c r="S234" s="69"/>
      <c r="T234" s="69"/>
      <c r="U234" s="69"/>
    </row>
  </sheetData>
  <sheetProtection sheet="1" objects="1" scenarios="1"/>
  <mergeCells count="45">
    <mergeCell ref="D4:E4"/>
    <mergeCell ref="F4:G4"/>
    <mergeCell ref="H4:I4"/>
    <mergeCell ref="D25:E25"/>
    <mergeCell ref="AD46:AE46"/>
    <mergeCell ref="AF46:AG46"/>
    <mergeCell ref="AH46:AI46"/>
    <mergeCell ref="F46:G46"/>
    <mergeCell ref="H46:I46"/>
    <mergeCell ref="AD4:AE4"/>
    <mergeCell ref="AF4:AG4"/>
    <mergeCell ref="AH4:AI4"/>
    <mergeCell ref="AD25:AE25"/>
    <mergeCell ref="AF25:AG25"/>
    <mergeCell ref="AH25:AI25"/>
    <mergeCell ref="P151:Q151"/>
    <mergeCell ref="R151:S151"/>
    <mergeCell ref="T151:U151"/>
    <mergeCell ref="P109:Q109"/>
    <mergeCell ref="R109:S109"/>
    <mergeCell ref="T109:U109"/>
    <mergeCell ref="P130:Q130"/>
    <mergeCell ref="R130:S130"/>
    <mergeCell ref="T130:U130"/>
    <mergeCell ref="D172:E172"/>
    <mergeCell ref="F172:G172"/>
    <mergeCell ref="H172:I172"/>
    <mergeCell ref="D130:E130"/>
    <mergeCell ref="F130:G130"/>
    <mergeCell ref="H130:I130"/>
    <mergeCell ref="D151:E151"/>
    <mergeCell ref="F151:G151"/>
    <mergeCell ref="H151:I151"/>
    <mergeCell ref="F109:G109"/>
    <mergeCell ref="H109:I109"/>
    <mergeCell ref="D67:E67"/>
    <mergeCell ref="F67:G67"/>
    <mergeCell ref="F25:G25"/>
    <mergeCell ref="H25:I25"/>
    <mergeCell ref="H67:I67"/>
    <mergeCell ref="D88:E88"/>
    <mergeCell ref="F88:G88"/>
    <mergeCell ref="H88:I88"/>
    <mergeCell ref="D109:E109"/>
    <mergeCell ref="D46:E46"/>
  </mergeCells>
  <phoneticPr fontId="0" type="noConversion"/>
  <pageMargins left="0.75" right="0.75" top="1" bottom="1" header="0.5" footer="0.5"/>
  <pageSetup paperSize="8" scale="49" orientation="portrait" r:id="rId1"/>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B2:AM144"/>
  <sheetViews>
    <sheetView workbookViewId="0">
      <selection activeCell="K31" sqref="K31"/>
    </sheetView>
  </sheetViews>
  <sheetFormatPr defaultRowHeight="12.75" x14ac:dyDescent="0.2"/>
  <cols>
    <col min="2" max="3" width="11.140625" customWidth="1"/>
    <col min="4" max="4" width="11.28515625" customWidth="1"/>
    <col min="5" max="5" width="15.5703125" customWidth="1"/>
    <col min="6" max="6" width="13.5703125" customWidth="1"/>
    <col min="7" max="7" width="13.85546875" customWidth="1"/>
    <col min="8" max="8" width="11.7109375" customWidth="1"/>
    <col min="9" max="9" width="12.42578125" bestFit="1" customWidth="1"/>
    <col min="13" max="13" width="10.42578125" customWidth="1"/>
    <col min="14" max="14" width="10.85546875" customWidth="1"/>
    <col min="15" max="15" width="16.42578125" customWidth="1"/>
    <col min="16" max="16" width="15.5703125" customWidth="1"/>
    <col min="17" max="17" width="12.7109375" customWidth="1"/>
    <col min="18" max="18" width="12.5703125" customWidth="1"/>
  </cols>
  <sheetData>
    <row r="2" spans="2:39" ht="13.5" thickBot="1" x14ac:dyDescent="0.25">
      <c r="B2" s="415"/>
      <c r="C2" s="453" t="s">
        <v>280</v>
      </c>
      <c r="D2" s="416" t="s">
        <v>393</v>
      </c>
      <c r="E2" s="415"/>
      <c r="F2" s="415"/>
      <c r="G2" s="415"/>
      <c r="H2" s="415"/>
      <c r="I2" s="415"/>
      <c r="J2" s="415"/>
      <c r="K2" s="415"/>
      <c r="L2" s="415"/>
      <c r="M2" s="252"/>
      <c r="N2" s="345" t="s">
        <v>280</v>
      </c>
      <c r="O2" s="344" t="s">
        <v>279</v>
      </c>
      <c r="P2" s="252"/>
      <c r="Q2" s="252"/>
      <c r="R2" s="252"/>
      <c r="S2" s="252"/>
      <c r="T2" s="252"/>
      <c r="U2" s="252"/>
      <c r="V2" s="252"/>
      <c r="W2" s="252"/>
    </row>
    <row r="3" spans="2:39" x14ac:dyDescent="0.2">
      <c r="B3" s="415"/>
      <c r="C3" s="415"/>
      <c r="D3" s="415"/>
      <c r="E3" s="415"/>
      <c r="F3" s="415"/>
      <c r="G3" s="415"/>
      <c r="H3" s="415"/>
      <c r="I3" s="415"/>
      <c r="J3" s="415"/>
      <c r="K3" s="415"/>
      <c r="L3" s="415"/>
      <c r="M3" s="252"/>
      <c r="N3" s="252"/>
      <c r="O3" s="252"/>
      <c r="P3" s="252"/>
      <c r="Q3" s="252"/>
      <c r="R3" s="252"/>
      <c r="S3" s="252"/>
      <c r="T3" s="252"/>
      <c r="U3" s="252"/>
      <c r="V3" s="252"/>
      <c r="W3" s="252"/>
      <c r="X3" s="248" t="s">
        <v>184</v>
      </c>
      <c r="Y3" s="249"/>
      <c r="Z3" s="249"/>
      <c r="AA3" s="250"/>
      <c r="AB3" s="183"/>
      <c r="AC3" s="183"/>
      <c r="AD3" s="183"/>
      <c r="AE3" s="183"/>
      <c r="AF3" s="183"/>
      <c r="AG3" s="183"/>
      <c r="AH3" s="183"/>
      <c r="AI3" s="183"/>
      <c r="AJ3" s="183"/>
      <c r="AK3" s="183"/>
      <c r="AL3" s="183"/>
      <c r="AM3" s="184"/>
    </row>
    <row r="4" spans="2:39" x14ac:dyDescent="0.2">
      <c r="B4" s="454" t="s">
        <v>394</v>
      </c>
      <c r="C4" s="455"/>
      <c r="D4" s="455"/>
      <c r="E4" s="456"/>
      <c r="F4" s="415"/>
      <c r="G4" s="415"/>
      <c r="H4" s="415"/>
      <c r="I4" s="415"/>
      <c r="J4" s="415"/>
      <c r="K4" s="415"/>
      <c r="L4" s="415"/>
      <c r="M4" s="293" t="s">
        <v>270</v>
      </c>
      <c r="N4" s="294"/>
      <c r="O4" s="294"/>
      <c r="P4" s="295"/>
      <c r="Q4" s="252"/>
      <c r="R4" s="252"/>
      <c r="S4" s="252"/>
      <c r="T4" s="252"/>
      <c r="U4" s="252"/>
      <c r="V4" s="252"/>
      <c r="W4" s="252"/>
      <c r="X4" s="233" t="s">
        <v>185</v>
      </c>
      <c r="Y4" s="190" t="s">
        <v>186</v>
      </c>
      <c r="Z4" s="190" t="s">
        <v>151</v>
      </c>
      <c r="AA4" s="191" t="s">
        <v>187</v>
      </c>
      <c r="AB4" s="186"/>
      <c r="AC4" s="186"/>
      <c r="AD4" s="186"/>
      <c r="AE4" s="186"/>
      <c r="AF4" s="186"/>
      <c r="AG4" s="186"/>
      <c r="AH4" s="186"/>
      <c r="AI4" s="186"/>
      <c r="AJ4" s="186"/>
      <c r="AK4" s="186"/>
      <c r="AL4" s="186"/>
      <c r="AM4" s="189"/>
    </row>
    <row r="5" spans="2:39" ht="15.75" x14ac:dyDescent="0.25">
      <c r="B5" s="457" t="s">
        <v>185</v>
      </c>
      <c r="C5" s="458" t="s">
        <v>186</v>
      </c>
      <c r="D5" s="458" t="s">
        <v>151</v>
      </c>
      <c r="E5" s="459" t="s">
        <v>187</v>
      </c>
      <c r="F5" s="415"/>
      <c r="G5" s="415"/>
      <c r="H5" s="415"/>
      <c r="I5" s="415"/>
      <c r="J5" s="415"/>
      <c r="K5" s="415"/>
      <c r="L5" s="415"/>
      <c r="M5" s="296" t="s">
        <v>185</v>
      </c>
      <c r="N5" s="297" t="s">
        <v>186</v>
      </c>
      <c r="O5" s="297" t="s">
        <v>151</v>
      </c>
      <c r="P5" s="298" t="s">
        <v>187</v>
      </c>
      <c r="Q5" s="252"/>
      <c r="R5" s="252"/>
      <c r="S5" s="252"/>
      <c r="T5" s="252"/>
      <c r="U5" s="252"/>
      <c r="V5" s="252"/>
      <c r="W5" s="252"/>
      <c r="X5" s="234" t="s">
        <v>188</v>
      </c>
      <c r="Y5" s="193" t="s">
        <v>188</v>
      </c>
      <c r="Z5" s="193" t="s">
        <v>189</v>
      </c>
      <c r="AA5" s="194" t="s">
        <v>190</v>
      </c>
      <c r="AB5" s="186"/>
      <c r="AC5" s="186"/>
      <c r="AD5" s="187" t="s">
        <v>229</v>
      </c>
      <c r="AE5" s="188" t="s">
        <v>230</v>
      </c>
      <c r="AF5" s="186"/>
      <c r="AG5" s="186"/>
      <c r="AH5" s="186"/>
      <c r="AI5" s="186"/>
      <c r="AJ5" s="186"/>
      <c r="AK5" s="186"/>
      <c r="AL5" s="186"/>
      <c r="AM5" s="189"/>
    </row>
    <row r="6" spans="2:39" x14ac:dyDescent="0.2">
      <c r="B6" s="460" t="s">
        <v>188</v>
      </c>
      <c r="C6" s="461" t="s">
        <v>188</v>
      </c>
      <c r="D6" s="461" t="s">
        <v>189</v>
      </c>
      <c r="E6" s="462" t="s">
        <v>190</v>
      </c>
      <c r="F6" s="415"/>
      <c r="G6" s="415"/>
      <c r="H6" s="415"/>
      <c r="I6" s="415"/>
      <c r="J6" s="415"/>
      <c r="K6" s="415"/>
      <c r="L6" s="415"/>
      <c r="M6" s="299" t="s">
        <v>188</v>
      </c>
      <c r="N6" s="300" t="s">
        <v>188</v>
      </c>
      <c r="O6" s="300" t="s">
        <v>189</v>
      </c>
      <c r="P6" s="301" t="s">
        <v>190</v>
      </c>
      <c r="Q6" s="252"/>
      <c r="R6" s="252"/>
      <c r="S6" s="252"/>
      <c r="T6" s="252"/>
      <c r="U6" s="252"/>
      <c r="V6" s="252"/>
      <c r="W6" s="252"/>
      <c r="X6" s="235" t="s">
        <v>191</v>
      </c>
      <c r="Y6" s="195" t="s">
        <v>192</v>
      </c>
      <c r="Z6" s="195" t="s">
        <v>193</v>
      </c>
      <c r="AA6" s="196" t="s">
        <v>192</v>
      </c>
      <c r="AB6" s="186"/>
      <c r="AC6" s="186"/>
      <c r="AD6" s="186"/>
      <c r="AE6" s="186"/>
      <c r="AF6" s="186"/>
      <c r="AG6" s="186"/>
      <c r="AH6" s="186"/>
      <c r="AI6" s="186"/>
      <c r="AJ6" s="186"/>
      <c r="AK6" s="186"/>
      <c r="AL6" s="186"/>
      <c r="AM6" s="189"/>
    </row>
    <row r="7" spans="2:39" x14ac:dyDescent="0.2">
      <c r="B7" s="463" t="s">
        <v>191</v>
      </c>
      <c r="C7" s="464" t="s">
        <v>192</v>
      </c>
      <c r="D7" s="464" t="s">
        <v>193</v>
      </c>
      <c r="E7" s="465" t="s">
        <v>192</v>
      </c>
      <c r="F7" s="416" t="s">
        <v>311</v>
      </c>
      <c r="G7" s="466"/>
      <c r="H7" s="415"/>
      <c r="I7" s="415"/>
      <c r="J7" s="415"/>
      <c r="K7" s="415"/>
      <c r="L7" s="415"/>
      <c r="M7" s="303" t="s">
        <v>191</v>
      </c>
      <c r="N7" s="304" t="s">
        <v>192</v>
      </c>
      <c r="O7" s="304" t="s">
        <v>193</v>
      </c>
      <c r="P7" s="305" t="s">
        <v>192</v>
      </c>
      <c r="Q7" s="344" t="s">
        <v>311</v>
      </c>
      <c r="R7" s="380"/>
      <c r="S7" s="252"/>
      <c r="T7" s="252"/>
      <c r="U7" s="252"/>
      <c r="V7" s="252"/>
      <c r="W7" s="252"/>
      <c r="X7" s="233">
        <v>0.01</v>
      </c>
      <c r="Y7" s="190">
        <v>9.9900000000000006E-3</v>
      </c>
      <c r="Z7" s="197">
        <v>0.31447373909807741</v>
      </c>
      <c r="AA7" s="198">
        <v>9.9900000000000006E-3</v>
      </c>
      <c r="AB7" s="186"/>
      <c r="AC7" s="186"/>
      <c r="AD7" s="186"/>
      <c r="AE7" s="186"/>
      <c r="AF7" s="186"/>
      <c r="AG7" s="186"/>
      <c r="AH7" s="186"/>
      <c r="AI7" s="186"/>
      <c r="AJ7" s="186"/>
      <c r="AK7" s="186"/>
      <c r="AL7" s="186"/>
      <c r="AM7" s="189"/>
    </row>
    <row r="8" spans="2:39" x14ac:dyDescent="0.2">
      <c r="B8" s="457">
        <v>0.01</v>
      </c>
      <c r="C8" s="458">
        <v>9.9913999999999992E-3</v>
      </c>
      <c r="D8" s="467">
        <v>0.18865780492762535</v>
      </c>
      <c r="E8" s="468">
        <v>9.9900000000000006E-3</v>
      </c>
      <c r="F8" s="469">
        <v>8.6074023660365206E-2</v>
      </c>
      <c r="G8" s="470"/>
      <c r="H8" s="415"/>
      <c r="I8" s="415"/>
      <c r="J8" s="415"/>
      <c r="K8" s="415"/>
      <c r="L8" s="415"/>
      <c r="M8" s="296">
        <v>0.01</v>
      </c>
      <c r="N8" s="297">
        <v>9.9881999999999992E-3</v>
      </c>
      <c r="O8" s="306">
        <v>9.4359123373274262E-2</v>
      </c>
      <c r="P8" s="307">
        <v>9.9900000000000006E-3</v>
      </c>
      <c r="Q8" s="323">
        <v>0.11813940449731941</v>
      </c>
      <c r="R8" s="381"/>
      <c r="S8" s="252"/>
      <c r="T8" s="252"/>
      <c r="U8" s="252"/>
      <c r="V8" s="252"/>
      <c r="W8" s="252"/>
      <c r="X8" s="234">
        <v>0.05</v>
      </c>
      <c r="Y8" s="193">
        <v>4.9959999999999997E-2</v>
      </c>
      <c r="Z8" s="199">
        <v>7.5458590558601921E-2</v>
      </c>
      <c r="AA8" s="200">
        <v>4.9970000000000001E-2</v>
      </c>
      <c r="AB8" s="186"/>
      <c r="AC8" s="186"/>
      <c r="AD8" s="186"/>
      <c r="AE8" s="186"/>
      <c r="AF8" s="186"/>
      <c r="AG8" s="186"/>
      <c r="AH8" s="186"/>
      <c r="AI8" s="186"/>
      <c r="AJ8" s="186"/>
      <c r="AK8" s="186"/>
      <c r="AL8" s="186"/>
      <c r="AM8" s="189"/>
    </row>
    <row r="9" spans="2:39" x14ac:dyDescent="0.2">
      <c r="B9" s="460">
        <v>0.05</v>
      </c>
      <c r="C9" s="461">
        <v>4.9964700000000001E-2</v>
      </c>
      <c r="D9" s="471">
        <v>8.8026741179787121E-2</v>
      </c>
      <c r="E9" s="472">
        <v>4.9970000000000001E-2</v>
      </c>
      <c r="F9" s="469">
        <v>7.0649878814443845E-2</v>
      </c>
      <c r="G9" s="470"/>
      <c r="H9" s="415"/>
      <c r="I9" s="415"/>
      <c r="J9" s="415"/>
      <c r="K9" s="415"/>
      <c r="L9" s="415"/>
      <c r="M9" s="299">
        <v>0.05</v>
      </c>
      <c r="N9" s="300">
        <v>4.9962600000000003E-2</v>
      </c>
      <c r="O9" s="308">
        <v>7.8598608098602585E-2</v>
      </c>
      <c r="P9" s="309">
        <v>4.9970000000000001E-2</v>
      </c>
      <c r="Q9" s="323">
        <v>7.4855992282230055E-2</v>
      </c>
      <c r="R9" s="381"/>
      <c r="S9" s="252"/>
      <c r="T9" s="252"/>
      <c r="U9" s="252"/>
      <c r="V9" s="252"/>
      <c r="W9" s="252"/>
      <c r="X9" s="234">
        <v>0.1</v>
      </c>
      <c r="Y9" s="201">
        <v>9.9998000000000004E-2</v>
      </c>
      <c r="Z9" s="199">
        <v>0.1288078749546806</v>
      </c>
      <c r="AA9" s="202">
        <v>0.1</v>
      </c>
      <c r="AB9" s="186"/>
      <c r="AC9" s="186"/>
      <c r="AD9" s="186"/>
      <c r="AE9" s="186"/>
      <c r="AF9" s="186"/>
      <c r="AG9" s="186"/>
      <c r="AH9" s="186"/>
      <c r="AI9" s="186"/>
      <c r="AJ9" s="186"/>
      <c r="AK9" s="186"/>
      <c r="AL9" s="186"/>
      <c r="AM9" s="189"/>
    </row>
    <row r="10" spans="2:39" x14ac:dyDescent="0.2">
      <c r="B10" s="460">
        <v>0.1</v>
      </c>
      <c r="C10" s="473">
        <v>9.99974E-2</v>
      </c>
      <c r="D10" s="471">
        <v>8.1683532765186501E-2</v>
      </c>
      <c r="E10" s="474">
        <v>0.1</v>
      </c>
      <c r="F10" s="469">
        <v>2.6000676017545743E-3</v>
      </c>
      <c r="G10" s="470"/>
      <c r="H10" s="415"/>
      <c r="I10" s="415"/>
      <c r="J10" s="415"/>
      <c r="K10" s="415"/>
      <c r="L10" s="415"/>
      <c r="M10" s="299">
        <v>0.1</v>
      </c>
      <c r="N10" s="310">
        <v>9.9998100000000006E-2</v>
      </c>
      <c r="O10" s="308">
        <v>8.168296096959303E-2</v>
      </c>
      <c r="P10" s="311">
        <v>0.1</v>
      </c>
      <c r="Q10" s="323">
        <v>1.9000361006771271E-3</v>
      </c>
      <c r="R10" s="381"/>
      <c r="S10" s="252"/>
      <c r="T10" s="252"/>
      <c r="U10" s="252"/>
      <c r="V10" s="252"/>
      <c r="W10" s="252"/>
      <c r="X10" s="234">
        <v>0.5</v>
      </c>
      <c r="Y10" s="201">
        <v>0.50002999999999997</v>
      </c>
      <c r="Z10" s="199">
        <v>0.10052493341886826</v>
      </c>
      <c r="AA10" s="202">
        <v>0.50009999999999999</v>
      </c>
      <c r="AB10" s="186"/>
      <c r="AC10" s="186"/>
      <c r="AD10" s="186"/>
      <c r="AE10" s="186"/>
      <c r="AF10" s="186"/>
      <c r="AG10" s="186"/>
      <c r="AH10" s="186"/>
      <c r="AI10" s="186"/>
      <c r="AJ10" s="186"/>
      <c r="AK10" s="186"/>
      <c r="AL10" s="186"/>
      <c r="AM10" s="189"/>
    </row>
    <row r="11" spans="2:39" x14ac:dyDescent="0.2">
      <c r="B11" s="460">
        <v>0.5</v>
      </c>
      <c r="C11" s="473">
        <v>0.50002100000000005</v>
      </c>
      <c r="D11" s="471">
        <v>0.11057941707084375</v>
      </c>
      <c r="E11" s="474">
        <v>0.50009999999999999</v>
      </c>
      <c r="F11" s="469">
        <v>-4.1998236074203277E-3</v>
      </c>
      <c r="G11" s="470"/>
      <c r="H11" s="415"/>
      <c r="I11" s="415"/>
      <c r="J11" s="415"/>
      <c r="K11" s="415"/>
      <c r="L11" s="415"/>
      <c r="M11" s="299">
        <v>0.5</v>
      </c>
      <c r="N11" s="310">
        <v>0.50002380000000002</v>
      </c>
      <c r="O11" s="308">
        <v>0.10995050923140336</v>
      </c>
      <c r="P11" s="311">
        <v>0.50009999999999999</v>
      </c>
      <c r="Q11" s="323">
        <v>-4.7597734347926135E-3</v>
      </c>
      <c r="R11" s="381"/>
      <c r="S11" s="252"/>
      <c r="T11" s="252"/>
      <c r="U11" s="252"/>
      <c r="V11" s="252"/>
      <c r="W11" s="252"/>
      <c r="X11" s="234">
        <v>1</v>
      </c>
      <c r="Y11" s="203">
        <v>0.99895999999999996</v>
      </c>
      <c r="Z11" s="199">
        <v>5.3462676294372631E-2</v>
      </c>
      <c r="AA11" s="204">
        <v>0.999</v>
      </c>
      <c r="AB11" s="186"/>
      <c r="AC11" s="186"/>
      <c r="AD11" s="186"/>
      <c r="AE11" s="186"/>
      <c r="AF11" s="186"/>
      <c r="AG11" s="186"/>
      <c r="AH11" s="186"/>
      <c r="AI11" s="186"/>
      <c r="AJ11" s="186"/>
      <c r="AK11" s="186"/>
      <c r="AL11" s="186"/>
      <c r="AM11" s="189"/>
    </row>
    <row r="12" spans="2:39" x14ac:dyDescent="0.2">
      <c r="B12" s="460">
        <v>1</v>
      </c>
      <c r="C12" s="475">
        <v>0.99894620000000001</v>
      </c>
      <c r="D12" s="471">
        <v>7.0131420666150385E-2</v>
      </c>
      <c r="E12" s="476">
        <v>0.999</v>
      </c>
      <c r="F12" s="469">
        <v>0.10549116659135382</v>
      </c>
      <c r="G12" s="470"/>
      <c r="H12" s="415"/>
      <c r="I12" s="415"/>
      <c r="J12" s="415"/>
      <c r="K12" s="415"/>
      <c r="L12" s="415"/>
      <c r="M12" s="299">
        <v>1</v>
      </c>
      <c r="N12" s="312">
        <v>0.998942</v>
      </c>
      <c r="O12" s="308">
        <v>7.0760699525868706E-2</v>
      </c>
      <c r="P12" s="313">
        <v>0.999</v>
      </c>
      <c r="Q12" s="323">
        <v>0.10591205495413814</v>
      </c>
      <c r="R12" s="381"/>
      <c r="S12" s="252"/>
      <c r="T12" s="252"/>
      <c r="U12" s="252"/>
      <c r="V12" s="252"/>
      <c r="W12" s="252"/>
      <c r="X12" s="234">
        <v>5</v>
      </c>
      <c r="Y12" s="203">
        <v>4.9984000000000002</v>
      </c>
      <c r="Z12" s="205">
        <v>7.5422358840984138E-2</v>
      </c>
      <c r="AA12" s="203">
        <v>4.9989999999999997</v>
      </c>
      <c r="AB12" s="186"/>
      <c r="AC12" s="186"/>
      <c r="AD12" s="186"/>
      <c r="AE12" s="186"/>
      <c r="AF12" s="186"/>
      <c r="AG12" s="186"/>
      <c r="AH12" s="186"/>
      <c r="AI12" s="186"/>
      <c r="AJ12" s="186"/>
      <c r="AK12" s="186"/>
      <c r="AL12" s="186"/>
      <c r="AM12" s="189"/>
    </row>
    <row r="13" spans="2:39" x14ac:dyDescent="0.2">
      <c r="B13" s="460">
        <v>5</v>
      </c>
      <c r="C13" s="475">
        <v>4.9982470000000001</v>
      </c>
      <c r="D13" s="477">
        <v>7.5424667574606682E-2</v>
      </c>
      <c r="E13" s="475">
        <v>4.9989999999999997</v>
      </c>
      <c r="F13" s="469">
        <v>3.5072296347093967E-2</v>
      </c>
      <c r="G13" s="470"/>
      <c r="H13" s="415"/>
      <c r="I13" s="415"/>
      <c r="J13" s="415"/>
      <c r="K13" s="415"/>
      <c r="L13" s="415"/>
      <c r="M13" s="299">
        <v>5</v>
      </c>
      <c r="N13" s="312">
        <v>4.9982759999999997</v>
      </c>
      <c r="O13" s="314">
        <v>7.3538624211629322E-2</v>
      </c>
      <c r="P13" s="312">
        <v>4.9989999999999997</v>
      </c>
      <c r="Q13" s="323">
        <v>3.4491892804644486E-2</v>
      </c>
      <c r="R13" s="381"/>
      <c r="S13" s="252"/>
      <c r="T13" s="252"/>
      <c r="U13" s="252"/>
      <c r="V13" s="252"/>
      <c r="W13" s="252"/>
      <c r="X13" s="235"/>
      <c r="Y13" s="206"/>
      <c r="Z13" s="207"/>
      <c r="AA13" s="208"/>
      <c r="AB13" s="186"/>
      <c r="AC13" s="186"/>
      <c r="AD13" s="186"/>
      <c r="AE13" s="186"/>
      <c r="AF13" s="186"/>
      <c r="AG13" s="186"/>
      <c r="AH13" s="186"/>
      <c r="AI13" s="186"/>
      <c r="AJ13" s="186"/>
      <c r="AK13" s="186"/>
      <c r="AL13" s="186"/>
      <c r="AM13" s="189"/>
    </row>
    <row r="14" spans="2:39" x14ac:dyDescent="0.2">
      <c r="B14" s="463"/>
      <c r="C14" s="478"/>
      <c r="D14" s="479"/>
      <c r="E14" s="480"/>
      <c r="F14" s="415" t="s">
        <v>312</v>
      </c>
      <c r="G14" s="415"/>
      <c r="H14" s="415"/>
      <c r="I14" s="415"/>
      <c r="J14" s="415"/>
      <c r="K14" s="415"/>
      <c r="L14" s="415"/>
      <c r="M14" s="303"/>
      <c r="N14" s="315"/>
      <c r="O14" s="316"/>
      <c r="P14" s="317"/>
      <c r="Q14" s="252" t="s">
        <v>312</v>
      </c>
      <c r="R14" s="252"/>
      <c r="S14" s="252"/>
      <c r="T14" s="252"/>
      <c r="U14" s="252"/>
      <c r="V14" s="252"/>
      <c r="W14" s="252"/>
      <c r="X14" s="185"/>
      <c r="Y14" s="186"/>
      <c r="Z14" s="186"/>
      <c r="AA14" s="186"/>
      <c r="AB14" s="186"/>
      <c r="AC14" s="186"/>
      <c r="AD14" s="186"/>
      <c r="AE14" s="186"/>
      <c r="AF14" s="186"/>
      <c r="AG14" s="186"/>
      <c r="AH14" s="186"/>
      <c r="AI14" s="186"/>
      <c r="AJ14" s="186"/>
      <c r="AK14" s="186"/>
      <c r="AL14" s="186"/>
      <c r="AM14" s="189"/>
    </row>
    <row r="15" spans="2:39" x14ac:dyDescent="0.2">
      <c r="B15" s="415"/>
      <c r="C15" s="415"/>
      <c r="D15" s="415"/>
      <c r="E15" s="415"/>
      <c r="F15" s="415" t="s">
        <v>308</v>
      </c>
      <c r="G15" s="415"/>
      <c r="H15" s="415"/>
      <c r="I15" s="415"/>
      <c r="J15" s="415"/>
      <c r="K15" s="415"/>
      <c r="L15" s="415"/>
      <c r="M15" s="252"/>
      <c r="N15" s="252"/>
      <c r="O15" s="252"/>
      <c r="P15" s="252"/>
      <c r="Q15" s="252" t="s">
        <v>308</v>
      </c>
      <c r="R15" s="252"/>
      <c r="S15" s="252"/>
      <c r="T15" s="252"/>
      <c r="U15" s="252"/>
      <c r="V15" s="252"/>
      <c r="W15" s="252"/>
      <c r="X15" s="185"/>
      <c r="Y15" s="186"/>
      <c r="Z15" s="186"/>
      <c r="AA15" s="186"/>
      <c r="AB15" s="186"/>
      <c r="AC15" s="186"/>
      <c r="AD15" s="186"/>
      <c r="AE15" s="186"/>
      <c r="AF15" s="186"/>
      <c r="AG15" s="186"/>
      <c r="AH15" s="186"/>
      <c r="AI15" s="186"/>
      <c r="AJ15" s="186"/>
      <c r="AK15" s="186"/>
      <c r="AL15" s="186"/>
      <c r="AM15" s="189"/>
    </row>
    <row r="16" spans="2:39" x14ac:dyDescent="0.2">
      <c r="B16" s="415"/>
      <c r="C16" s="415"/>
      <c r="D16" s="415"/>
      <c r="E16" s="415"/>
      <c r="F16" s="415"/>
      <c r="G16" s="415"/>
      <c r="H16" s="415"/>
      <c r="I16" s="415"/>
      <c r="J16" s="415"/>
      <c r="K16" s="415"/>
      <c r="L16" s="415"/>
      <c r="M16" s="252"/>
      <c r="N16" s="252"/>
      <c r="O16" s="252"/>
      <c r="P16" s="252"/>
      <c r="Q16" s="252"/>
      <c r="R16" s="252"/>
      <c r="S16" s="252"/>
      <c r="T16" s="252"/>
      <c r="U16" s="252"/>
      <c r="V16" s="252"/>
      <c r="W16" s="252"/>
      <c r="X16" s="236" t="s">
        <v>237</v>
      </c>
      <c r="Y16" s="218"/>
      <c r="Z16" s="228"/>
      <c r="AA16" s="186"/>
      <c r="AB16" s="186"/>
      <c r="AC16" s="186"/>
      <c r="AD16" s="186"/>
      <c r="AE16" s="186"/>
      <c r="AF16" s="186"/>
      <c r="AG16" s="186"/>
      <c r="AH16" s="186"/>
      <c r="AI16" s="186"/>
      <c r="AJ16" s="186"/>
      <c r="AK16" s="186"/>
      <c r="AL16" s="186"/>
      <c r="AM16" s="189"/>
    </row>
    <row r="17" spans="2:39" ht="25.9" customHeight="1" x14ac:dyDescent="0.2">
      <c r="B17" s="558" t="s">
        <v>395</v>
      </c>
      <c r="C17" s="559"/>
      <c r="D17" s="560"/>
      <c r="E17" s="415"/>
      <c r="F17" s="415"/>
      <c r="G17" s="415"/>
      <c r="H17" s="415"/>
      <c r="I17" s="415"/>
      <c r="J17" s="415"/>
      <c r="K17" s="415"/>
      <c r="L17" s="415"/>
      <c r="M17" s="561" t="s">
        <v>271</v>
      </c>
      <c r="N17" s="562"/>
      <c r="O17" s="563"/>
      <c r="P17" s="252"/>
      <c r="Q17" s="252"/>
      <c r="R17" s="252"/>
      <c r="S17" s="252"/>
      <c r="T17" s="252"/>
      <c r="U17" s="252"/>
      <c r="V17" s="252"/>
      <c r="W17" s="252"/>
      <c r="X17" s="233" t="s">
        <v>194</v>
      </c>
      <c r="Y17" s="190" t="s">
        <v>195</v>
      </c>
      <c r="Z17" s="191" t="s">
        <v>196</v>
      </c>
      <c r="AA17" s="186"/>
      <c r="AB17" s="186"/>
      <c r="AC17" s="186"/>
      <c r="AD17" s="186"/>
      <c r="AE17" s="186"/>
      <c r="AF17" s="186"/>
      <c r="AG17" s="186"/>
      <c r="AH17" s="186"/>
      <c r="AI17" s="186"/>
      <c r="AJ17" s="186"/>
      <c r="AK17" s="186"/>
      <c r="AL17" s="186"/>
      <c r="AM17" s="189"/>
    </row>
    <row r="18" spans="2:39" x14ac:dyDescent="0.2">
      <c r="B18" s="457" t="s">
        <v>194</v>
      </c>
      <c r="C18" s="458" t="s">
        <v>195</v>
      </c>
      <c r="D18" s="459" t="s">
        <v>196</v>
      </c>
      <c r="E18" s="415"/>
      <c r="F18" s="415"/>
      <c r="G18" s="415"/>
      <c r="H18" s="415"/>
      <c r="I18" s="415"/>
      <c r="J18" s="415"/>
      <c r="K18" s="415"/>
      <c r="L18" s="415"/>
      <c r="M18" s="296" t="s">
        <v>194</v>
      </c>
      <c r="N18" s="297" t="s">
        <v>195</v>
      </c>
      <c r="O18" s="298" t="s">
        <v>196</v>
      </c>
      <c r="P18" s="252"/>
      <c r="Q18" s="252"/>
      <c r="R18" s="252"/>
      <c r="S18" s="252"/>
      <c r="T18" s="252"/>
      <c r="U18" s="252"/>
      <c r="V18" s="252"/>
      <c r="W18" s="252"/>
      <c r="X18" s="234" t="s">
        <v>197</v>
      </c>
      <c r="Y18" s="193"/>
      <c r="Z18" s="194" t="s">
        <v>198</v>
      </c>
      <c r="AA18" s="186"/>
      <c r="AB18" s="186"/>
      <c r="AC18" s="186"/>
      <c r="AD18" s="186"/>
      <c r="AE18" s="186"/>
      <c r="AF18" s="186"/>
      <c r="AG18" s="186"/>
      <c r="AH18" s="186"/>
      <c r="AI18" s="186"/>
      <c r="AJ18" s="186"/>
      <c r="AK18" s="186"/>
      <c r="AL18" s="186"/>
      <c r="AM18" s="189"/>
    </row>
    <row r="19" spans="2:39" x14ac:dyDescent="0.2">
      <c r="B19" s="460" t="s">
        <v>197</v>
      </c>
      <c r="C19" s="461"/>
      <c r="D19" s="462" t="s">
        <v>198</v>
      </c>
      <c r="E19" s="415" t="s">
        <v>305</v>
      </c>
      <c r="F19" s="415"/>
      <c r="G19" s="415"/>
      <c r="H19" s="415"/>
      <c r="I19" s="415"/>
      <c r="J19" s="415"/>
      <c r="K19" s="415"/>
      <c r="L19" s="415"/>
      <c r="M19" s="299" t="s">
        <v>197</v>
      </c>
      <c r="N19" s="300"/>
      <c r="O19" s="301" t="s">
        <v>198</v>
      </c>
      <c r="P19" s="252" t="s">
        <v>305</v>
      </c>
      <c r="Q19" s="252"/>
      <c r="R19" s="252"/>
      <c r="S19" s="252"/>
      <c r="T19" s="252"/>
      <c r="U19" s="252"/>
      <c r="V19" s="252"/>
      <c r="W19" s="252"/>
      <c r="X19" s="235" t="s">
        <v>199</v>
      </c>
      <c r="Y19" s="195" t="s">
        <v>199</v>
      </c>
      <c r="Z19" s="196" t="s">
        <v>199</v>
      </c>
      <c r="AA19" s="186"/>
      <c r="AB19" s="186"/>
      <c r="AC19" s="186"/>
      <c r="AD19" s="186"/>
      <c r="AE19" s="186"/>
      <c r="AF19" s="186"/>
      <c r="AG19" s="186"/>
      <c r="AH19" s="186"/>
      <c r="AI19" s="186"/>
      <c r="AJ19" s="186"/>
      <c r="AK19" s="186"/>
      <c r="AL19" s="186"/>
      <c r="AM19" s="189"/>
    </row>
    <row r="20" spans="2:39" x14ac:dyDescent="0.2">
      <c r="B20" s="463" t="s">
        <v>199</v>
      </c>
      <c r="C20" s="464" t="s">
        <v>199</v>
      </c>
      <c r="D20" s="465" t="s">
        <v>199</v>
      </c>
      <c r="E20" s="415" t="s">
        <v>306</v>
      </c>
      <c r="F20" s="415"/>
      <c r="G20" s="415"/>
      <c r="H20" s="415"/>
      <c r="I20" s="415"/>
      <c r="J20" s="415"/>
      <c r="K20" s="415"/>
      <c r="L20" s="415"/>
      <c r="M20" s="303" t="s">
        <v>199</v>
      </c>
      <c r="N20" s="304" t="s">
        <v>199</v>
      </c>
      <c r="O20" s="305" t="s">
        <v>199</v>
      </c>
      <c r="P20" s="252" t="s">
        <v>306</v>
      </c>
      <c r="Q20" s="252"/>
      <c r="R20" s="252"/>
      <c r="S20" s="252"/>
      <c r="T20" s="252"/>
      <c r="U20" s="252"/>
      <c r="V20" s="252"/>
      <c r="W20" s="252"/>
      <c r="X20" s="234">
        <v>-0.5</v>
      </c>
      <c r="Y20" s="209">
        <v>1.5791999857484029E-4</v>
      </c>
      <c r="Z20" s="194">
        <v>1E-3</v>
      </c>
      <c r="AA20" s="186"/>
      <c r="AB20" s="186"/>
      <c r="AC20" s="186"/>
      <c r="AD20" s="186"/>
      <c r="AE20" s="186"/>
      <c r="AF20" s="186"/>
      <c r="AG20" s="186"/>
      <c r="AH20" s="186"/>
      <c r="AI20" s="186"/>
      <c r="AJ20" s="186"/>
      <c r="AK20" s="186"/>
      <c r="AL20" s="186"/>
      <c r="AM20" s="189"/>
    </row>
    <row r="21" spans="2:39" x14ac:dyDescent="0.2">
      <c r="B21" s="460">
        <v>-0.5</v>
      </c>
      <c r="C21" s="481">
        <v>9.6184293484197214E-4</v>
      </c>
      <c r="D21" s="462">
        <v>1E-3</v>
      </c>
      <c r="E21" s="482">
        <v>0.96184293484197214</v>
      </c>
      <c r="F21" s="483"/>
      <c r="G21" s="483"/>
      <c r="H21" s="415"/>
      <c r="I21" s="415"/>
      <c r="J21" s="415"/>
      <c r="K21" s="415"/>
      <c r="L21" s="415"/>
      <c r="M21" s="299">
        <v>-0.5</v>
      </c>
      <c r="N21" s="318">
        <v>-4.5618339445668843E-4</v>
      </c>
      <c r="O21" s="301">
        <v>1E-3</v>
      </c>
      <c r="P21" s="382">
        <v>-0.45618339445668843</v>
      </c>
      <c r="Q21" s="253"/>
      <c r="R21" s="253"/>
      <c r="S21" s="252"/>
      <c r="T21" s="252"/>
      <c r="U21" s="252"/>
      <c r="V21" s="252"/>
      <c r="W21" s="252"/>
      <c r="X21" s="234">
        <v>-0.4</v>
      </c>
      <c r="Y21" s="203">
        <v>4.1276831536873893E-4</v>
      </c>
      <c r="Z21" s="194">
        <v>1E-3</v>
      </c>
      <c r="AA21" s="186"/>
      <c r="AB21" s="186"/>
      <c r="AC21" s="186"/>
      <c r="AD21" s="186"/>
      <c r="AE21" s="186"/>
      <c r="AF21" s="186"/>
      <c r="AG21" s="186"/>
      <c r="AH21" s="186"/>
      <c r="AI21" s="186"/>
      <c r="AJ21" s="186"/>
      <c r="AK21" s="186"/>
      <c r="AL21" s="186"/>
      <c r="AM21" s="189"/>
    </row>
    <row r="22" spans="2:39" x14ac:dyDescent="0.2">
      <c r="B22" s="460">
        <v>-0.4</v>
      </c>
      <c r="C22" s="473">
        <v>4.0910577883790378E-4</v>
      </c>
      <c r="D22" s="462">
        <v>1E-3</v>
      </c>
      <c r="E22" s="482">
        <v>0.40910577883790378</v>
      </c>
      <c r="F22" s="483"/>
      <c r="G22" s="483"/>
      <c r="H22" s="415"/>
      <c r="I22" s="415"/>
      <c r="J22" s="415"/>
      <c r="K22" s="415"/>
      <c r="L22" s="415"/>
      <c r="M22" s="299">
        <v>-0.4</v>
      </c>
      <c r="N22" s="310">
        <v>-8.0280900396778598E-4</v>
      </c>
      <c r="O22" s="301">
        <v>1E-3</v>
      </c>
      <c r="P22" s="382">
        <v>-0.80280900396778598</v>
      </c>
      <c r="Q22" s="253"/>
      <c r="R22" s="253"/>
      <c r="S22" s="252"/>
      <c r="T22" s="252"/>
      <c r="U22" s="252"/>
      <c r="V22" s="252"/>
      <c r="W22" s="252"/>
      <c r="X22" s="234">
        <v>-0.3</v>
      </c>
      <c r="Y22" s="203">
        <v>6.856883989277418E-4</v>
      </c>
      <c r="Z22" s="194">
        <v>1E-3</v>
      </c>
      <c r="AA22" s="186"/>
      <c r="AB22" s="186"/>
      <c r="AC22" s="186"/>
      <c r="AD22" s="186"/>
      <c r="AE22" s="186"/>
      <c r="AF22" s="186"/>
      <c r="AG22" s="186"/>
      <c r="AH22" s="186"/>
      <c r="AI22" s="186"/>
      <c r="AJ22" s="186"/>
      <c r="AK22" s="186"/>
      <c r="AL22" s="186"/>
      <c r="AM22" s="189"/>
    </row>
    <row r="23" spans="2:39" x14ac:dyDescent="0.2">
      <c r="B23" s="460">
        <v>-0.3</v>
      </c>
      <c r="C23" s="473">
        <v>1.6750229248946313E-4</v>
      </c>
      <c r="D23" s="462">
        <v>1E-3</v>
      </c>
      <c r="E23" s="482">
        <v>0.16750229248946313</v>
      </c>
      <c r="F23" s="483"/>
      <c r="G23" s="483"/>
      <c r="H23" s="415"/>
      <c r="I23" s="415"/>
      <c r="J23" s="415"/>
      <c r="K23" s="415"/>
      <c r="L23" s="415"/>
      <c r="M23" s="299">
        <v>-0.3</v>
      </c>
      <c r="N23" s="310">
        <v>-7.4670046128488821E-5</v>
      </c>
      <c r="O23" s="301">
        <v>1E-3</v>
      </c>
      <c r="P23" s="382">
        <v>-7.4670046128488821E-2</v>
      </c>
      <c r="Q23" s="253"/>
      <c r="R23" s="253"/>
      <c r="S23" s="252"/>
      <c r="T23" s="252"/>
      <c r="U23" s="252"/>
      <c r="V23" s="252"/>
      <c r="W23" s="252"/>
      <c r="X23" s="234">
        <v>-0.2</v>
      </c>
      <c r="Y23" s="203">
        <v>4.306014661389912E-4</v>
      </c>
      <c r="Z23" s="194">
        <v>1E-3</v>
      </c>
      <c r="AA23" s="186"/>
      <c r="AB23" s="186"/>
      <c r="AC23" s="186"/>
      <c r="AD23" s="186"/>
      <c r="AE23" s="186"/>
      <c r="AF23" s="186"/>
      <c r="AG23" s="186"/>
      <c r="AH23" s="186"/>
      <c r="AI23" s="186"/>
      <c r="AJ23" s="186"/>
      <c r="AK23" s="186"/>
      <c r="AL23" s="186"/>
      <c r="AM23" s="189"/>
    </row>
    <row r="24" spans="2:39" x14ac:dyDescent="0.2">
      <c r="B24" s="460">
        <v>-0.2</v>
      </c>
      <c r="C24" s="473">
        <v>2.1933123244818886E-4</v>
      </c>
      <c r="D24" s="462">
        <v>1E-3</v>
      </c>
      <c r="E24" s="482">
        <v>0.21933123244818886</v>
      </c>
      <c r="F24" s="483"/>
      <c r="G24" s="483"/>
      <c r="H24" s="415"/>
      <c r="I24" s="415"/>
      <c r="J24" s="415"/>
      <c r="K24" s="415"/>
      <c r="L24" s="415"/>
      <c r="M24" s="299">
        <v>-0.2</v>
      </c>
      <c r="N24" s="310">
        <v>2.9975119688341323E-4</v>
      </c>
      <c r="O24" s="301">
        <v>1E-3</v>
      </c>
      <c r="P24" s="382">
        <v>0.29975119688341323</v>
      </c>
      <c r="Q24" s="253"/>
      <c r="R24" s="253"/>
      <c r="S24" s="252"/>
      <c r="T24" s="252"/>
      <c r="U24" s="252"/>
      <c r="V24" s="252"/>
      <c r="W24" s="252"/>
      <c r="X24" s="234">
        <v>-0.1</v>
      </c>
      <c r="Y24" s="203">
        <v>4.2758330007508505E-4</v>
      </c>
      <c r="Z24" s="194">
        <v>1E-3</v>
      </c>
      <c r="AA24" s="186"/>
      <c r="AB24" s="186"/>
      <c r="AC24" s="186"/>
      <c r="AD24" s="186"/>
      <c r="AE24" s="186"/>
      <c r="AF24" s="186"/>
      <c r="AG24" s="186"/>
      <c r="AH24" s="186"/>
      <c r="AI24" s="186"/>
      <c r="AJ24" s="186"/>
      <c r="AK24" s="186"/>
      <c r="AL24" s="186"/>
      <c r="AM24" s="189"/>
    </row>
    <row r="25" spans="2:39" x14ac:dyDescent="0.2">
      <c r="B25" s="460">
        <v>-0.1</v>
      </c>
      <c r="C25" s="473">
        <v>3.1425621711794749E-4</v>
      </c>
      <c r="D25" s="462">
        <v>1E-3</v>
      </c>
      <c r="E25" s="482">
        <v>0.31425621711794749</v>
      </c>
      <c r="F25" s="483"/>
      <c r="G25" s="483"/>
      <c r="H25" s="415"/>
      <c r="I25" s="415"/>
      <c r="J25" s="415"/>
      <c r="K25" s="415"/>
      <c r="L25" s="415"/>
      <c r="M25" s="299">
        <v>-0.1</v>
      </c>
      <c r="N25" s="310">
        <v>-2.4272589809548606E-4</v>
      </c>
      <c r="O25" s="301">
        <v>1E-3</v>
      </c>
      <c r="P25" s="382">
        <v>-0.24272589809548606</v>
      </c>
      <c r="Q25" s="253"/>
      <c r="R25" s="253"/>
      <c r="S25" s="252"/>
      <c r="T25" s="252"/>
      <c r="U25" s="252"/>
      <c r="V25" s="252"/>
      <c r="W25" s="252"/>
      <c r="X25" s="234">
        <v>0</v>
      </c>
      <c r="Y25" s="203">
        <v>5.5813441507171805E-4</v>
      </c>
      <c r="Z25" s="194">
        <v>1E-3</v>
      </c>
      <c r="AA25" s="186"/>
      <c r="AB25" s="186"/>
      <c r="AC25" s="186"/>
      <c r="AD25" s="186"/>
      <c r="AE25" s="186"/>
      <c r="AF25" s="186"/>
      <c r="AG25" s="186"/>
      <c r="AH25" s="186"/>
      <c r="AI25" s="186"/>
      <c r="AJ25" s="186"/>
      <c r="AK25" s="186"/>
      <c r="AL25" s="186"/>
      <c r="AM25" s="189"/>
    </row>
    <row r="26" spans="2:39" x14ac:dyDescent="0.2">
      <c r="B26" s="460">
        <v>0</v>
      </c>
      <c r="C26" s="473">
        <v>4.9776092647729297E-4</v>
      </c>
      <c r="D26" s="462">
        <v>1E-3</v>
      </c>
      <c r="E26" s="482">
        <v>0.49776092647729298</v>
      </c>
      <c r="F26" s="483"/>
      <c r="G26" s="483"/>
      <c r="H26" s="415"/>
      <c r="I26" s="415"/>
      <c r="J26" s="415"/>
      <c r="K26" s="415"/>
      <c r="L26" s="415"/>
      <c r="M26" s="299">
        <v>0</v>
      </c>
      <c r="N26" s="310">
        <v>-5.8707085579832367E-4</v>
      </c>
      <c r="O26" s="301">
        <v>1E-3</v>
      </c>
      <c r="P26" s="382">
        <v>-0.58707085579832363</v>
      </c>
      <c r="Q26" s="253"/>
      <c r="R26" s="253"/>
      <c r="S26" s="252"/>
      <c r="T26" s="252"/>
      <c r="U26" s="252"/>
      <c r="V26" s="252"/>
      <c r="W26" s="252"/>
      <c r="X26" s="234">
        <v>0.1</v>
      </c>
      <c r="Y26" s="203">
        <v>-3.5411208227767443E-4</v>
      </c>
      <c r="Z26" s="194">
        <v>1E-3</v>
      </c>
      <c r="AA26" s="186"/>
      <c r="AB26" s="186"/>
      <c r="AC26" s="186"/>
      <c r="AD26" s="186"/>
      <c r="AE26" s="186"/>
      <c r="AF26" s="186"/>
      <c r="AG26" s="186"/>
      <c r="AH26" s="186"/>
      <c r="AI26" s="186"/>
      <c r="AJ26" s="186"/>
      <c r="AK26" s="186"/>
      <c r="AL26" s="186"/>
      <c r="AM26" s="189"/>
    </row>
    <row r="27" spans="2:39" x14ac:dyDescent="0.2">
      <c r="B27" s="460">
        <v>0.1</v>
      </c>
      <c r="C27" s="473">
        <v>7.6357593600695495E-4</v>
      </c>
      <c r="D27" s="462">
        <v>1E-3</v>
      </c>
      <c r="E27" s="482">
        <v>0.76357593600695495</v>
      </c>
      <c r="F27" s="483"/>
      <c r="G27" s="483"/>
      <c r="H27" s="415"/>
      <c r="I27" s="415"/>
      <c r="J27" s="415"/>
      <c r="K27" s="415"/>
      <c r="L27" s="415"/>
      <c r="M27" s="299">
        <v>0.1</v>
      </c>
      <c r="N27" s="310">
        <v>-7.2784925513447174E-4</v>
      </c>
      <c r="O27" s="301">
        <v>1E-3</v>
      </c>
      <c r="P27" s="382">
        <v>-0.72784925513447174</v>
      </c>
      <c r="Q27" s="253"/>
      <c r="R27" s="253"/>
      <c r="S27" s="252"/>
      <c r="T27" s="252"/>
      <c r="U27" s="252"/>
      <c r="V27" s="252"/>
      <c r="W27" s="252"/>
      <c r="X27" s="234">
        <v>0.2</v>
      </c>
      <c r="Y27" s="203">
        <v>5.0265537749166755E-4</v>
      </c>
      <c r="Z27" s="194">
        <v>1E-3</v>
      </c>
      <c r="AA27" s="186"/>
      <c r="AB27" s="186"/>
      <c r="AC27" s="186"/>
      <c r="AD27" s="186"/>
      <c r="AE27" s="186"/>
      <c r="AF27" s="186"/>
      <c r="AG27" s="186"/>
      <c r="AH27" s="186"/>
      <c r="AI27" s="186"/>
      <c r="AJ27" s="186"/>
      <c r="AK27" s="186"/>
      <c r="AL27" s="186"/>
      <c r="AM27" s="189"/>
    </row>
    <row r="28" spans="2:39" x14ac:dyDescent="0.2">
      <c r="B28" s="460">
        <v>0.2</v>
      </c>
      <c r="C28" s="473">
        <v>5.7829258208855205E-4</v>
      </c>
      <c r="D28" s="462">
        <v>1E-3</v>
      </c>
      <c r="E28" s="482">
        <v>0.57829258208855205</v>
      </c>
      <c r="F28" s="483"/>
      <c r="G28" s="483"/>
      <c r="H28" s="415"/>
      <c r="I28" s="415"/>
      <c r="J28" s="415"/>
      <c r="K28" s="415"/>
      <c r="L28" s="415"/>
      <c r="M28" s="299">
        <v>0.2</v>
      </c>
      <c r="N28" s="310">
        <v>-3.0204808402548022E-4</v>
      </c>
      <c r="O28" s="301">
        <v>1E-3</v>
      </c>
      <c r="P28" s="382">
        <v>-0.30204808402548022</v>
      </c>
      <c r="Q28" s="253"/>
      <c r="R28" s="253"/>
      <c r="S28" s="252"/>
      <c r="T28" s="252"/>
      <c r="U28" s="252"/>
      <c r="V28" s="252"/>
      <c r="W28" s="252"/>
      <c r="X28" s="234">
        <v>0.3</v>
      </c>
      <c r="Y28" s="203">
        <v>3.0928787991946205E-4</v>
      </c>
      <c r="Z28" s="204">
        <v>0</v>
      </c>
      <c r="AA28" s="186"/>
      <c r="AB28" s="186"/>
      <c r="AC28" s="186"/>
      <c r="AD28" s="186"/>
      <c r="AE28" s="186"/>
      <c r="AF28" s="186"/>
      <c r="AG28" s="186"/>
      <c r="AH28" s="186"/>
      <c r="AI28" s="186"/>
      <c r="AJ28" s="186"/>
      <c r="AK28" s="186"/>
      <c r="AL28" s="186"/>
      <c r="AM28" s="189"/>
    </row>
    <row r="29" spans="2:39" x14ac:dyDescent="0.2">
      <c r="B29" s="460">
        <v>0.3</v>
      </c>
      <c r="C29" s="473">
        <v>-3.1828234499542418E-5</v>
      </c>
      <c r="D29" s="476">
        <v>0</v>
      </c>
      <c r="E29" s="482">
        <v>-3.1828234499542418E-2</v>
      </c>
      <c r="F29" s="483"/>
      <c r="G29" s="483"/>
      <c r="H29" s="415"/>
      <c r="I29" s="415"/>
      <c r="J29" s="415"/>
      <c r="K29" s="415"/>
      <c r="L29" s="415"/>
      <c r="M29" s="299">
        <v>0.3</v>
      </c>
      <c r="N29" s="310">
        <v>1.2102411858760931E-4</v>
      </c>
      <c r="O29" s="313">
        <v>0</v>
      </c>
      <c r="P29" s="382">
        <v>0.12102411858760931</v>
      </c>
      <c r="Q29" s="253"/>
      <c r="R29" s="253"/>
      <c r="S29" s="252"/>
      <c r="T29" s="252"/>
      <c r="U29" s="252"/>
      <c r="V29" s="252"/>
      <c r="W29" s="252"/>
      <c r="X29" s="234">
        <v>0.4</v>
      </c>
      <c r="Y29" s="203">
        <v>5.202004417304007E-4</v>
      </c>
      <c r="Z29" s="204">
        <v>0</v>
      </c>
      <c r="AA29" s="186"/>
      <c r="AB29" s="186"/>
      <c r="AC29" s="186"/>
      <c r="AD29" s="186"/>
      <c r="AE29" s="186"/>
      <c r="AF29" s="186"/>
      <c r="AG29" s="186"/>
      <c r="AH29" s="186"/>
      <c r="AI29" s="186"/>
      <c r="AJ29" s="186"/>
      <c r="AK29" s="186"/>
      <c r="AL29" s="186"/>
      <c r="AM29" s="189"/>
    </row>
    <row r="30" spans="2:39" x14ac:dyDescent="0.2">
      <c r="B30" s="460">
        <v>0.4</v>
      </c>
      <c r="C30" s="473">
        <v>-1.0982327466435571E-4</v>
      </c>
      <c r="D30" s="476">
        <v>0</v>
      </c>
      <c r="E30" s="482">
        <v>-0.10982327466435571</v>
      </c>
      <c r="F30" s="483"/>
      <c r="G30" s="483"/>
      <c r="H30" s="415"/>
      <c r="I30" s="415"/>
      <c r="J30" s="415"/>
      <c r="K30" s="415"/>
      <c r="L30" s="415"/>
      <c r="M30" s="299">
        <v>0.4</v>
      </c>
      <c r="N30" s="310">
        <v>5.0265418972883502E-4</v>
      </c>
      <c r="O30" s="313">
        <v>0</v>
      </c>
      <c r="P30" s="382">
        <v>0.50265418972883502</v>
      </c>
      <c r="Q30" s="253"/>
      <c r="R30" s="253"/>
      <c r="S30" s="252"/>
      <c r="T30" s="252"/>
      <c r="U30" s="252"/>
      <c r="V30" s="252"/>
      <c r="W30" s="252"/>
      <c r="X30" s="234">
        <v>0.5</v>
      </c>
      <c r="Y30" s="203">
        <v>1.5072044008418439E-4</v>
      </c>
      <c r="Z30" s="194">
        <v>-1E-3</v>
      </c>
      <c r="AA30" s="186"/>
      <c r="AB30" s="186"/>
      <c r="AC30" s="186"/>
      <c r="AD30" s="186"/>
      <c r="AE30" s="186"/>
      <c r="AF30" s="186"/>
      <c r="AG30" s="186"/>
      <c r="AH30" s="186"/>
      <c r="AI30" s="186"/>
      <c r="AJ30" s="186"/>
      <c r="AK30" s="186"/>
      <c r="AL30" s="186"/>
      <c r="AM30" s="189"/>
    </row>
    <row r="31" spans="2:39" x14ac:dyDescent="0.2">
      <c r="B31" s="460">
        <v>0.5</v>
      </c>
      <c r="C31" s="473">
        <v>-7.0036195229150611E-4</v>
      </c>
      <c r="D31" s="462">
        <v>-1E-3</v>
      </c>
      <c r="E31" s="482">
        <v>-0.70036195229150611</v>
      </c>
      <c r="F31" s="483"/>
      <c r="G31" s="483"/>
      <c r="H31" s="415"/>
      <c r="I31" s="415"/>
      <c r="J31" s="415"/>
      <c r="K31" s="415"/>
      <c r="L31" s="415"/>
      <c r="M31" s="299">
        <v>0.5</v>
      </c>
      <c r="N31" s="310">
        <v>5.9266288907772191E-4</v>
      </c>
      <c r="O31" s="301">
        <v>-1E-3</v>
      </c>
      <c r="P31" s="382">
        <v>0.59266288907772191</v>
      </c>
      <c r="Q31" s="253"/>
      <c r="R31" s="253"/>
      <c r="S31" s="252"/>
      <c r="T31" s="252"/>
      <c r="U31" s="252"/>
      <c r="V31" s="252"/>
      <c r="W31" s="252"/>
      <c r="X31" s="237"/>
      <c r="Y31" s="210"/>
      <c r="Z31" s="211"/>
      <c r="AA31" s="186"/>
      <c r="AB31" s="186"/>
      <c r="AC31" s="186"/>
      <c r="AD31" s="186"/>
      <c r="AE31" s="186"/>
      <c r="AF31" s="186"/>
      <c r="AG31" s="186"/>
      <c r="AH31" s="186"/>
      <c r="AI31" s="186"/>
      <c r="AJ31" s="186"/>
      <c r="AK31" s="186"/>
      <c r="AL31" s="186"/>
      <c r="AM31" s="189"/>
    </row>
    <row r="32" spans="2:39" x14ac:dyDescent="0.2">
      <c r="B32" s="484"/>
      <c r="C32" s="484"/>
      <c r="D32" s="485"/>
      <c r="E32" s="415" t="s">
        <v>307</v>
      </c>
      <c r="F32" s="415"/>
      <c r="G32" s="415"/>
      <c r="H32" s="415"/>
      <c r="I32" s="415"/>
      <c r="J32" s="415"/>
      <c r="K32" s="415"/>
      <c r="L32" s="415"/>
      <c r="M32" s="319"/>
      <c r="N32" s="319"/>
      <c r="O32" s="320"/>
      <c r="P32" s="252" t="s">
        <v>307</v>
      </c>
      <c r="Q32" s="252"/>
      <c r="R32" s="252"/>
      <c r="S32" s="252"/>
      <c r="T32" s="252"/>
      <c r="U32" s="252"/>
      <c r="V32" s="252"/>
      <c r="W32" s="252"/>
      <c r="X32" s="185"/>
      <c r="Y32" s="186"/>
      <c r="Z32" s="186"/>
      <c r="AA32" s="186"/>
      <c r="AB32" s="238" t="s">
        <v>201</v>
      </c>
      <c r="AC32" s="181"/>
      <c r="AD32" s="181"/>
      <c r="AE32" s="181"/>
      <c r="AF32" s="181"/>
      <c r="AG32" s="181"/>
      <c r="AH32" s="186"/>
      <c r="AI32" s="186"/>
      <c r="AJ32" s="186"/>
      <c r="AK32" s="186"/>
      <c r="AL32" s="186"/>
      <c r="AM32" s="189"/>
    </row>
    <row r="33" spans="2:39" ht="40.9" customHeight="1" x14ac:dyDescent="0.2">
      <c r="B33" s="415"/>
      <c r="C33" s="486">
        <v>2012</v>
      </c>
      <c r="D33" s="486"/>
      <c r="E33" s="486"/>
      <c r="F33" s="486"/>
      <c r="G33" s="486"/>
      <c r="H33" s="415"/>
      <c r="I33" s="415"/>
      <c r="J33" s="415"/>
      <c r="K33" s="415"/>
      <c r="L33" s="415"/>
      <c r="M33" s="252"/>
      <c r="N33" s="321">
        <v>2007</v>
      </c>
      <c r="O33" s="321"/>
      <c r="P33" s="321"/>
      <c r="Q33" s="321"/>
      <c r="R33" s="321"/>
      <c r="S33" s="252"/>
      <c r="T33" s="252"/>
      <c r="U33" s="252"/>
      <c r="V33" s="252"/>
      <c r="W33" s="252"/>
      <c r="X33" s="564" t="s">
        <v>238</v>
      </c>
      <c r="Y33" s="565"/>
      <c r="Z33" s="566"/>
      <c r="AA33" s="186"/>
      <c r="AB33" s="181" t="s">
        <v>232</v>
      </c>
      <c r="AC33" s="181"/>
      <c r="AD33" s="181"/>
      <c r="AE33" s="181"/>
      <c r="AF33" s="181"/>
      <c r="AG33" s="181"/>
      <c r="AH33" s="186"/>
      <c r="AI33" s="186"/>
      <c r="AJ33" s="186"/>
      <c r="AK33" s="186"/>
      <c r="AL33" s="186"/>
      <c r="AM33" s="189"/>
    </row>
    <row r="34" spans="2:39" ht="13.15" customHeight="1" x14ac:dyDescent="0.2">
      <c r="B34" s="558" t="s">
        <v>396</v>
      </c>
      <c r="C34" s="559"/>
      <c r="D34" s="560"/>
      <c r="E34" s="415"/>
      <c r="F34" s="415"/>
      <c r="G34" s="415"/>
      <c r="H34" s="415"/>
      <c r="I34" s="415"/>
      <c r="J34" s="415"/>
      <c r="K34" s="415"/>
      <c r="L34" s="415"/>
      <c r="M34" s="561" t="s">
        <v>272</v>
      </c>
      <c r="N34" s="562"/>
      <c r="O34" s="563"/>
      <c r="P34" s="252"/>
      <c r="Q34" s="252"/>
      <c r="R34" s="252"/>
      <c r="S34" s="252"/>
      <c r="T34" s="252"/>
      <c r="U34" s="252"/>
      <c r="V34" s="252"/>
      <c r="W34" s="252"/>
      <c r="X34" s="233" t="s">
        <v>194</v>
      </c>
      <c r="Y34" s="190" t="s">
        <v>195</v>
      </c>
      <c r="Z34" s="191" t="s">
        <v>196</v>
      </c>
      <c r="AA34" s="186"/>
      <c r="AB34" s="181" t="s">
        <v>234</v>
      </c>
      <c r="AC34" s="181"/>
      <c r="AD34" s="181"/>
      <c r="AE34" s="181"/>
      <c r="AF34" s="181"/>
      <c r="AG34" s="181"/>
      <c r="AH34" s="186"/>
      <c r="AI34" s="186"/>
      <c r="AJ34" s="186"/>
      <c r="AK34" s="186"/>
      <c r="AL34" s="186"/>
      <c r="AM34" s="189"/>
    </row>
    <row r="35" spans="2:39" x14ac:dyDescent="0.2">
      <c r="B35" s="457" t="s">
        <v>194</v>
      </c>
      <c r="C35" s="458" t="s">
        <v>195</v>
      </c>
      <c r="D35" s="459" t="s">
        <v>196</v>
      </c>
      <c r="E35" s="415"/>
      <c r="F35" s="415"/>
      <c r="G35" s="415"/>
      <c r="H35" s="415"/>
      <c r="I35" s="415"/>
      <c r="J35" s="415"/>
      <c r="K35" s="415"/>
      <c r="L35" s="415"/>
      <c r="M35" s="296" t="s">
        <v>194</v>
      </c>
      <c r="N35" s="297" t="s">
        <v>195</v>
      </c>
      <c r="O35" s="298" t="s">
        <v>196</v>
      </c>
      <c r="P35" s="252"/>
      <c r="Q35" s="252"/>
      <c r="R35" s="252"/>
      <c r="S35" s="252"/>
      <c r="T35" s="252"/>
      <c r="U35" s="252"/>
      <c r="V35" s="252"/>
      <c r="W35" s="252"/>
      <c r="X35" s="234" t="s">
        <v>197</v>
      </c>
      <c r="Y35" s="193"/>
      <c r="Z35" s="194" t="s">
        <v>198</v>
      </c>
      <c r="AA35" s="186"/>
      <c r="AB35" s="181" t="s">
        <v>233</v>
      </c>
      <c r="AC35" s="181"/>
      <c r="AD35" s="181"/>
      <c r="AE35" s="181"/>
      <c r="AF35" s="181"/>
      <c r="AG35" s="181"/>
      <c r="AH35" s="186"/>
      <c r="AI35" s="186"/>
      <c r="AJ35" s="186"/>
      <c r="AK35" s="186"/>
      <c r="AL35" s="186"/>
      <c r="AM35" s="189"/>
    </row>
    <row r="36" spans="2:39" x14ac:dyDescent="0.2">
      <c r="B36" s="460" t="s">
        <v>197</v>
      </c>
      <c r="C36" s="461"/>
      <c r="D36" s="462" t="s">
        <v>198</v>
      </c>
      <c r="E36" s="415"/>
      <c r="F36" s="415"/>
      <c r="G36" s="415"/>
      <c r="H36" s="415"/>
      <c r="I36" s="415"/>
      <c r="J36" s="415"/>
      <c r="K36" s="415"/>
      <c r="L36" s="415"/>
      <c r="M36" s="299" t="s">
        <v>197</v>
      </c>
      <c r="N36" s="300"/>
      <c r="O36" s="301" t="s">
        <v>198</v>
      </c>
      <c r="P36" s="252"/>
      <c r="Q36" s="252"/>
      <c r="R36" s="252"/>
      <c r="S36" s="252"/>
      <c r="T36" s="252"/>
      <c r="U36" s="252"/>
      <c r="V36" s="252"/>
      <c r="W36" s="252"/>
      <c r="X36" s="235" t="s">
        <v>200</v>
      </c>
      <c r="Y36" s="195" t="s">
        <v>200</v>
      </c>
      <c r="Z36" s="196" t="s">
        <v>200</v>
      </c>
      <c r="AA36" s="186"/>
      <c r="AB36" s="181" t="s">
        <v>224</v>
      </c>
      <c r="AC36" s="181"/>
      <c r="AD36" s="181"/>
      <c r="AE36" s="181"/>
      <c r="AF36" s="181"/>
      <c r="AG36" s="181"/>
      <c r="AH36" s="186"/>
      <c r="AI36" s="186"/>
      <c r="AJ36" s="186"/>
      <c r="AK36" s="186"/>
      <c r="AL36" s="186"/>
      <c r="AM36" s="189"/>
    </row>
    <row r="37" spans="2:39" x14ac:dyDescent="0.2">
      <c r="B37" s="463" t="s">
        <v>200</v>
      </c>
      <c r="C37" s="464" t="s">
        <v>200</v>
      </c>
      <c r="D37" s="465" t="s">
        <v>200</v>
      </c>
      <c r="E37" s="415"/>
      <c r="F37" s="415"/>
      <c r="G37" s="415"/>
      <c r="H37" s="415"/>
      <c r="I37" s="415"/>
      <c r="J37" s="415"/>
      <c r="K37" s="415"/>
      <c r="L37" s="415"/>
      <c r="M37" s="303" t="s">
        <v>200</v>
      </c>
      <c r="N37" s="304" t="s">
        <v>200</v>
      </c>
      <c r="O37" s="305" t="s">
        <v>200</v>
      </c>
      <c r="P37" s="252"/>
      <c r="Q37" s="252"/>
      <c r="R37" s="252"/>
      <c r="S37" s="252"/>
      <c r="T37" s="252"/>
      <c r="U37" s="252"/>
      <c r="V37" s="252"/>
      <c r="W37" s="252"/>
      <c r="X37" s="234">
        <v>-25</v>
      </c>
      <c r="Y37" s="212">
        <v>-2.1595270795760513E-2</v>
      </c>
      <c r="Z37" s="213">
        <v>0.05</v>
      </c>
      <c r="AA37" s="186"/>
      <c r="AB37" s="181" t="s">
        <v>300</v>
      </c>
      <c r="AC37" s="181"/>
      <c r="AD37" s="181"/>
      <c r="AE37" s="181"/>
      <c r="AF37" s="181"/>
      <c r="AG37" s="181"/>
      <c r="AH37" s="186"/>
      <c r="AI37" s="186"/>
      <c r="AJ37" s="186"/>
      <c r="AK37" s="186"/>
      <c r="AL37" s="186"/>
      <c r="AM37" s="189"/>
    </row>
    <row r="38" spans="2:39" x14ac:dyDescent="0.2">
      <c r="B38" s="460">
        <v>-25</v>
      </c>
      <c r="C38" s="471">
        <v>-0.10297969478409641</v>
      </c>
      <c r="D38" s="487">
        <v>0.05</v>
      </c>
      <c r="E38" s="415" t="s">
        <v>302</v>
      </c>
      <c r="F38" s="470">
        <v>1.7515981379523052E-2</v>
      </c>
      <c r="G38" s="469"/>
      <c r="H38" s="415"/>
      <c r="I38" s="415"/>
      <c r="J38" s="415"/>
      <c r="K38" s="415"/>
      <c r="L38" s="415"/>
      <c r="M38" s="299">
        <v>-25</v>
      </c>
      <c r="N38" s="308">
        <v>0.18274667307772319</v>
      </c>
      <c r="O38" s="322">
        <v>0.05</v>
      </c>
      <c r="P38" s="252" t="s">
        <v>302</v>
      </c>
      <c r="Q38" s="381">
        <v>4.1604407864742621E-3</v>
      </c>
      <c r="R38" s="323"/>
      <c r="S38" s="252"/>
      <c r="T38" s="252"/>
      <c r="U38" s="252"/>
      <c r="V38" s="252"/>
      <c r="W38" s="252"/>
      <c r="X38" s="234">
        <v>-20</v>
      </c>
      <c r="Y38" s="212">
        <v>-4.0940440970857139E-2</v>
      </c>
      <c r="Z38" s="213">
        <v>0</v>
      </c>
      <c r="AA38" s="186"/>
      <c r="AB38" s="181" t="s">
        <v>202</v>
      </c>
      <c r="AC38" s="181"/>
      <c r="AD38" s="181"/>
      <c r="AE38" s="181"/>
      <c r="AF38" s="181"/>
      <c r="AG38" s="181"/>
      <c r="AH38" s="186"/>
      <c r="AI38" s="186"/>
      <c r="AJ38" s="186"/>
      <c r="AK38" s="186"/>
      <c r="AL38" s="186"/>
      <c r="AM38" s="189"/>
    </row>
    <row r="39" spans="2:39" x14ac:dyDescent="0.2">
      <c r="B39" s="460">
        <v>-20</v>
      </c>
      <c r="C39" s="471">
        <v>1.8308720840458648E-2</v>
      </c>
      <c r="D39" s="487">
        <v>0</v>
      </c>
      <c r="E39" s="415" t="s">
        <v>303</v>
      </c>
      <c r="F39" s="469">
        <v>5.8449464330246982E-2</v>
      </c>
      <c r="G39" s="469"/>
      <c r="H39" s="415"/>
      <c r="I39" s="415"/>
      <c r="J39" s="415"/>
      <c r="K39" s="415"/>
      <c r="L39" s="415"/>
      <c r="M39" s="299">
        <v>-20</v>
      </c>
      <c r="N39" s="308">
        <v>5.2685466561683825E-2</v>
      </c>
      <c r="O39" s="322">
        <v>0</v>
      </c>
      <c r="P39" s="252" t="s">
        <v>303</v>
      </c>
      <c r="Q39" s="323">
        <v>7.0492788160582062E-2</v>
      </c>
      <c r="R39" s="323"/>
      <c r="S39" s="252"/>
      <c r="T39" s="252"/>
      <c r="U39" s="252"/>
      <c r="V39" s="252"/>
      <c r="W39" s="252"/>
      <c r="X39" s="234">
        <v>-15</v>
      </c>
      <c r="Y39" s="212">
        <v>-8.5301838636205218E-2</v>
      </c>
      <c r="Z39" s="213">
        <v>0.05</v>
      </c>
      <c r="AA39" s="186"/>
      <c r="AB39" s="181" t="s">
        <v>203</v>
      </c>
      <c r="AC39" s="181"/>
      <c r="AD39" s="181"/>
      <c r="AE39" s="181"/>
      <c r="AF39" s="181"/>
      <c r="AG39" s="181"/>
      <c r="AH39" s="186"/>
      <c r="AI39" s="186"/>
      <c r="AJ39" s="186"/>
      <c r="AK39" s="186"/>
      <c r="AL39" s="186"/>
      <c r="AM39" s="189"/>
    </row>
    <row r="40" spans="2:39" x14ac:dyDescent="0.2">
      <c r="B40" s="460">
        <v>-15</v>
      </c>
      <c r="C40" s="471">
        <v>6.6458163154107908E-2</v>
      </c>
      <c r="D40" s="487">
        <v>0.05</v>
      </c>
      <c r="E40" s="415" t="s">
        <v>304</v>
      </c>
      <c r="F40" s="469"/>
      <c r="G40" s="469"/>
      <c r="H40" s="415">
        <v>0.09</v>
      </c>
      <c r="I40" s="483">
        <v>2.6179938779914945E-3</v>
      </c>
      <c r="J40" s="415" t="s">
        <v>45</v>
      </c>
      <c r="K40" s="415"/>
      <c r="L40" s="415"/>
      <c r="M40" s="299">
        <v>-15</v>
      </c>
      <c r="N40" s="308">
        <v>-1.0231957441781958E-2</v>
      </c>
      <c r="O40" s="322">
        <v>0.05</v>
      </c>
      <c r="P40" s="252" t="s">
        <v>304</v>
      </c>
      <c r="Q40" s="323"/>
      <c r="R40" s="323"/>
      <c r="S40" s="252">
        <v>0.09</v>
      </c>
      <c r="T40" s="253">
        <v>2.6179938779914945E-3</v>
      </c>
      <c r="U40" s="252" t="s">
        <v>45</v>
      </c>
      <c r="V40" s="252"/>
      <c r="W40" s="252"/>
      <c r="X40" s="234">
        <v>-10</v>
      </c>
      <c r="Y40" s="212">
        <v>-1.6871532595022387E-2</v>
      </c>
      <c r="Z40" s="213">
        <v>0.1</v>
      </c>
      <c r="AA40" s="186"/>
      <c r="AB40" s="181" t="s">
        <v>204</v>
      </c>
      <c r="AC40" s="181"/>
      <c r="AD40" s="181"/>
      <c r="AE40" s="181"/>
      <c r="AF40" s="181"/>
      <c r="AG40" s="181"/>
      <c r="AH40" s="186"/>
      <c r="AI40" s="186"/>
      <c r="AJ40" s="186"/>
      <c r="AK40" s="186"/>
      <c r="AL40" s="186"/>
      <c r="AM40" s="189"/>
    </row>
    <row r="41" spans="2:39" x14ac:dyDescent="0.2">
      <c r="B41" s="460">
        <v>-10</v>
      </c>
      <c r="C41" s="471">
        <v>0.11133232979784857</v>
      </c>
      <c r="D41" s="487">
        <v>0.1</v>
      </c>
      <c r="E41" s="415" t="s">
        <v>313</v>
      </c>
      <c r="F41" s="469"/>
      <c r="G41" s="469"/>
      <c r="H41" s="415"/>
      <c r="I41" s="415"/>
      <c r="J41" s="415"/>
      <c r="K41" s="415"/>
      <c r="L41" s="415"/>
      <c r="M41" s="299">
        <v>-10</v>
      </c>
      <c r="N41" s="308">
        <v>-7.8411698953731346E-2</v>
      </c>
      <c r="O41" s="322">
        <v>0.1</v>
      </c>
      <c r="P41" s="252" t="s">
        <v>313</v>
      </c>
      <c r="Q41" s="323"/>
      <c r="R41" s="323"/>
      <c r="S41" s="252"/>
      <c r="T41" s="252"/>
      <c r="U41" s="252"/>
      <c r="V41" s="252"/>
      <c r="W41" s="252"/>
      <c r="X41" s="234">
        <v>-5</v>
      </c>
      <c r="Y41" s="212">
        <v>-8.869571838240109E-2</v>
      </c>
      <c r="Z41" s="213">
        <v>0.05</v>
      </c>
      <c r="AA41" s="186"/>
      <c r="AB41" s="181" t="s">
        <v>301</v>
      </c>
      <c r="AC41" s="181"/>
      <c r="AD41" s="181"/>
      <c r="AE41" s="181"/>
      <c r="AF41" s="181"/>
      <c r="AG41" s="181"/>
      <c r="AH41" s="186"/>
      <c r="AI41" s="186"/>
      <c r="AJ41" s="186"/>
      <c r="AK41" s="186"/>
      <c r="AL41" s="186"/>
      <c r="AM41" s="189"/>
    </row>
    <row r="42" spans="2:39" x14ac:dyDescent="0.2">
      <c r="B42" s="460">
        <v>-5</v>
      </c>
      <c r="C42" s="471">
        <v>7.4515912870617207E-2</v>
      </c>
      <c r="D42" s="487">
        <v>0.05</v>
      </c>
      <c r="E42" s="415"/>
      <c r="F42" s="469"/>
      <c r="G42" s="469"/>
      <c r="H42" s="415"/>
      <c r="I42" s="415"/>
      <c r="J42" s="415"/>
      <c r="K42" s="415"/>
      <c r="L42" s="415"/>
      <c r="M42" s="299">
        <v>-5</v>
      </c>
      <c r="N42" s="308">
        <v>-4.6712326832047069E-2</v>
      </c>
      <c r="O42" s="322">
        <v>0.05</v>
      </c>
      <c r="P42" s="252"/>
      <c r="Q42" s="323"/>
      <c r="R42" s="323"/>
      <c r="S42" s="252"/>
      <c r="T42" s="252"/>
      <c r="U42" s="252"/>
      <c r="V42" s="252"/>
      <c r="W42" s="252"/>
      <c r="X42" s="234">
        <v>0</v>
      </c>
      <c r="Y42" s="212">
        <v>-4.4191979385246084E-2</v>
      </c>
      <c r="Z42" s="213">
        <v>0</v>
      </c>
      <c r="AA42" s="186"/>
      <c r="AB42" s="181" t="s">
        <v>205</v>
      </c>
      <c r="AC42" s="181"/>
      <c r="AD42" s="181"/>
      <c r="AE42" s="181"/>
      <c r="AF42" s="181"/>
      <c r="AG42" s="181"/>
      <c r="AH42" s="186"/>
      <c r="AI42" s="186"/>
      <c r="AJ42" s="186"/>
      <c r="AK42" s="186"/>
      <c r="AL42" s="186"/>
      <c r="AM42" s="189"/>
    </row>
    <row r="43" spans="2:39" x14ac:dyDescent="0.2">
      <c r="B43" s="460">
        <v>0</v>
      </c>
      <c r="C43" s="471">
        <v>4.9193977541147897E-2</v>
      </c>
      <c r="D43" s="487">
        <v>0</v>
      </c>
      <c r="E43" s="415"/>
      <c r="F43" s="469"/>
      <c r="G43" s="469"/>
      <c r="H43" s="415"/>
      <c r="I43" s="415"/>
      <c r="J43" s="415"/>
      <c r="K43" s="415"/>
      <c r="L43" s="415"/>
      <c r="M43" s="299">
        <v>0</v>
      </c>
      <c r="N43" s="308">
        <v>-2.2307040538184102E-2</v>
      </c>
      <c r="O43" s="322">
        <v>0</v>
      </c>
      <c r="P43" s="252"/>
      <c r="Q43" s="323"/>
      <c r="R43" s="323"/>
      <c r="S43" s="252"/>
      <c r="T43" s="252"/>
      <c r="U43" s="252"/>
      <c r="V43" s="252"/>
      <c r="W43" s="252"/>
      <c r="X43" s="234">
        <v>5</v>
      </c>
      <c r="Y43" s="212">
        <v>-1.132770243669956E-2</v>
      </c>
      <c r="Z43" s="213">
        <v>-0.05</v>
      </c>
      <c r="AA43" s="186"/>
      <c r="AB43" s="181" t="s">
        <v>225</v>
      </c>
      <c r="AC43" s="181"/>
      <c r="AD43" s="181"/>
      <c r="AE43" s="181"/>
      <c r="AF43" s="181"/>
      <c r="AG43" s="181"/>
      <c r="AH43" s="186"/>
      <c r="AI43" s="186"/>
      <c r="AJ43" s="186"/>
      <c r="AK43" s="186"/>
      <c r="AL43" s="186"/>
      <c r="AM43" s="189"/>
    </row>
    <row r="44" spans="2:39" x14ac:dyDescent="0.2">
      <c r="B44" s="460">
        <v>5</v>
      </c>
      <c r="C44" s="471">
        <v>-2.1650983164244408E-2</v>
      </c>
      <c r="D44" s="487">
        <v>-0.05</v>
      </c>
      <c r="E44" s="415"/>
      <c r="F44" s="469"/>
      <c r="G44" s="469"/>
      <c r="H44" s="415"/>
      <c r="I44" s="415"/>
      <c r="J44" s="415"/>
      <c r="K44" s="415"/>
      <c r="L44" s="415"/>
      <c r="M44" s="299">
        <v>5</v>
      </c>
      <c r="N44" s="308">
        <v>3.1811987279121823E-2</v>
      </c>
      <c r="O44" s="322">
        <v>-0.05</v>
      </c>
      <c r="P44" s="252"/>
      <c r="Q44" s="323"/>
      <c r="R44" s="323"/>
      <c r="S44" s="252"/>
      <c r="T44" s="252"/>
      <c r="U44" s="252"/>
      <c r="V44" s="252"/>
      <c r="W44" s="252"/>
      <c r="X44" s="234">
        <v>10</v>
      </c>
      <c r="Y44" s="212">
        <v>1.0195765083086172E-2</v>
      </c>
      <c r="Z44" s="213">
        <v>0</v>
      </c>
      <c r="AA44" s="186"/>
      <c r="AB44" s="181" t="s">
        <v>226</v>
      </c>
      <c r="AC44" s="181"/>
      <c r="AD44" s="181"/>
      <c r="AE44" s="181"/>
      <c r="AF44" s="181"/>
      <c r="AG44" s="181"/>
      <c r="AH44" s="186"/>
      <c r="AI44" s="186"/>
      <c r="AJ44" s="186"/>
      <c r="AK44" s="186"/>
      <c r="AL44" s="186"/>
      <c r="AM44" s="189"/>
    </row>
    <row r="45" spans="2:39" x14ac:dyDescent="0.2">
      <c r="B45" s="460">
        <v>10</v>
      </c>
      <c r="C45" s="471">
        <v>1.9368129703991599E-2</v>
      </c>
      <c r="D45" s="487">
        <v>0</v>
      </c>
      <c r="E45" s="415"/>
      <c r="F45" s="469"/>
      <c r="G45" s="469"/>
      <c r="H45" s="415"/>
      <c r="I45" s="415"/>
      <c r="J45" s="415"/>
      <c r="K45" s="415"/>
      <c r="L45" s="415"/>
      <c r="M45" s="299">
        <v>10</v>
      </c>
      <c r="N45" s="308">
        <v>-4.6855734780022473E-2</v>
      </c>
      <c r="O45" s="322">
        <v>0</v>
      </c>
      <c r="P45" s="252"/>
      <c r="Q45" s="323"/>
      <c r="R45" s="323"/>
      <c r="S45" s="252"/>
      <c r="T45" s="252"/>
      <c r="U45" s="252"/>
      <c r="V45" s="252"/>
      <c r="W45" s="252"/>
      <c r="X45" s="234">
        <v>15</v>
      </c>
      <c r="Y45" s="212">
        <v>-4.0961027643570347E-2</v>
      </c>
      <c r="Z45" s="213">
        <v>-0.1</v>
      </c>
      <c r="AA45" s="186"/>
      <c r="AB45" s="181" t="s">
        <v>227</v>
      </c>
      <c r="AC45" s="181"/>
      <c r="AD45" s="181"/>
      <c r="AE45" s="181"/>
      <c r="AF45" s="181"/>
      <c r="AG45" s="181"/>
      <c r="AH45" s="186"/>
      <c r="AI45" s="186"/>
      <c r="AJ45" s="186"/>
      <c r="AK45" s="186"/>
      <c r="AL45" s="186"/>
      <c r="AM45" s="189"/>
    </row>
    <row r="46" spans="2:39" x14ac:dyDescent="0.2">
      <c r="B46" s="460">
        <v>15</v>
      </c>
      <c r="C46" s="471">
        <v>-3.0361686712868874E-2</v>
      </c>
      <c r="D46" s="487">
        <v>-0.1</v>
      </c>
      <c r="E46" s="415"/>
      <c r="F46" s="469"/>
      <c r="G46" s="469"/>
      <c r="H46" s="415"/>
      <c r="I46" s="415"/>
      <c r="J46" s="415"/>
      <c r="K46" s="415"/>
      <c r="L46" s="415"/>
      <c r="M46" s="299">
        <v>15</v>
      </c>
      <c r="N46" s="308">
        <v>2.5362547905816157E-2</v>
      </c>
      <c r="O46" s="322">
        <v>-0.1</v>
      </c>
      <c r="P46" s="252"/>
      <c r="Q46" s="323"/>
      <c r="R46" s="323"/>
      <c r="S46" s="252"/>
      <c r="T46" s="252"/>
      <c r="U46" s="252"/>
      <c r="V46" s="252"/>
      <c r="W46" s="252"/>
      <c r="X46" s="234">
        <v>20</v>
      </c>
      <c r="Y46" s="212">
        <v>-9.640161202203501E-2</v>
      </c>
      <c r="Z46" s="213">
        <v>-0.05</v>
      </c>
      <c r="AA46" s="186"/>
      <c r="AB46" s="181" t="s">
        <v>228</v>
      </c>
      <c r="AC46" s="181"/>
      <c r="AD46" s="181"/>
      <c r="AE46" s="181"/>
      <c r="AF46" s="181"/>
      <c r="AG46" s="181"/>
      <c r="AH46" s="186"/>
      <c r="AI46" s="186"/>
      <c r="AJ46" s="186"/>
      <c r="AK46" s="186"/>
      <c r="AL46" s="186"/>
      <c r="AM46" s="189"/>
    </row>
    <row r="47" spans="2:39" x14ac:dyDescent="0.2">
      <c r="B47" s="460">
        <v>20</v>
      </c>
      <c r="C47" s="471">
        <v>1.7691358707949689E-3</v>
      </c>
      <c r="D47" s="487">
        <v>-0.05</v>
      </c>
      <c r="E47" s="415"/>
      <c r="F47" s="469"/>
      <c r="G47" s="469"/>
      <c r="H47" s="415"/>
      <c r="I47" s="415"/>
      <c r="J47" s="415"/>
      <c r="K47" s="415"/>
      <c r="L47" s="415"/>
      <c r="M47" s="299">
        <v>20</v>
      </c>
      <c r="N47" s="308">
        <v>-1.7189534272276319E-2</v>
      </c>
      <c r="O47" s="322">
        <v>-0.05</v>
      </c>
      <c r="P47" s="252"/>
      <c r="Q47" s="323"/>
      <c r="R47" s="323"/>
      <c r="S47" s="252"/>
      <c r="T47" s="252"/>
      <c r="U47" s="252"/>
      <c r="V47" s="252"/>
      <c r="W47" s="252"/>
      <c r="X47" s="234">
        <v>25</v>
      </c>
      <c r="Y47" s="177">
        <v>-0.2307212505198315</v>
      </c>
      <c r="Z47" s="213">
        <v>-0.05</v>
      </c>
      <c r="AA47" s="186"/>
      <c r="AB47" s="244">
        <v>-67.114091264828971</v>
      </c>
      <c r="AC47" s="181"/>
      <c r="AD47" s="181"/>
      <c r="AE47" s="181"/>
      <c r="AF47" s="181"/>
      <c r="AG47" s="181"/>
      <c r="AH47" s="186"/>
      <c r="AI47" s="186"/>
      <c r="AJ47" s="186"/>
      <c r="AK47" s="186"/>
      <c r="AL47" s="186"/>
      <c r="AM47" s="189"/>
    </row>
    <row r="48" spans="2:39" x14ac:dyDescent="0.2">
      <c r="B48" s="460">
        <v>25</v>
      </c>
      <c r="C48" s="471">
        <v>6.7217900569964684E-3</v>
      </c>
      <c r="D48" s="487">
        <v>-0.05</v>
      </c>
      <c r="E48" s="415"/>
      <c r="F48" s="469"/>
      <c r="G48" s="469"/>
      <c r="H48" s="415"/>
      <c r="I48" s="415"/>
      <c r="J48" s="415"/>
      <c r="K48" s="415"/>
      <c r="L48" s="415"/>
      <c r="M48" s="299">
        <v>25</v>
      </c>
      <c r="N48" s="308">
        <v>-2.5133533355084836E-2</v>
      </c>
      <c r="O48" s="322">
        <v>-0.05</v>
      </c>
      <c r="P48" s="252"/>
      <c r="Q48" s="323"/>
      <c r="R48" s="323"/>
      <c r="S48" s="252"/>
      <c r="T48" s="252"/>
      <c r="U48" s="252"/>
      <c r="V48" s="252"/>
      <c r="W48" s="252"/>
      <c r="X48" s="235"/>
      <c r="Y48" s="214"/>
      <c r="Z48" s="215"/>
      <c r="AA48" s="186"/>
      <c r="AB48" s="186"/>
      <c r="AC48" s="186"/>
      <c r="AD48" s="186"/>
      <c r="AE48" s="186"/>
      <c r="AF48" s="186"/>
      <c r="AG48" s="186"/>
      <c r="AH48" s="186"/>
      <c r="AI48" s="186"/>
      <c r="AJ48" s="186"/>
      <c r="AK48" s="186"/>
      <c r="AL48" s="186"/>
      <c r="AM48" s="189"/>
    </row>
    <row r="49" spans="2:39" x14ac:dyDescent="0.2">
      <c r="B49" s="463"/>
      <c r="C49" s="488"/>
      <c r="D49" s="489"/>
      <c r="E49" s="415"/>
      <c r="F49" s="415"/>
      <c r="G49" s="415"/>
      <c r="H49" s="415"/>
      <c r="I49" s="415"/>
      <c r="J49" s="415"/>
      <c r="K49" s="415"/>
      <c r="L49" s="415"/>
      <c r="M49" s="303"/>
      <c r="N49" s="324"/>
      <c r="O49" s="325"/>
      <c r="P49" s="252"/>
      <c r="Q49" s="252"/>
      <c r="R49" s="252"/>
      <c r="S49" s="252"/>
      <c r="T49" s="252"/>
      <c r="U49" s="252"/>
      <c r="V49" s="252"/>
      <c r="W49" s="252"/>
      <c r="X49" s="234"/>
      <c r="Y49" s="217"/>
      <c r="Z49" s="217"/>
      <c r="AA49" s="186"/>
      <c r="AB49" s="186"/>
      <c r="AC49" s="186"/>
      <c r="AD49" s="186"/>
      <c r="AE49" s="186"/>
      <c r="AF49" s="186"/>
      <c r="AG49" s="186"/>
      <c r="AH49" s="186"/>
      <c r="AI49" s="186"/>
      <c r="AJ49" s="186"/>
      <c r="AK49" s="186"/>
      <c r="AL49" s="186"/>
      <c r="AM49" s="189"/>
    </row>
    <row r="50" spans="2:39" x14ac:dyDescent="0.2">
      <c r="B50" s="452"/>
      <c r="C50" s="450"/>
      <c r="D50" s="450"/>
      <c r="E50" s="415"/>
      <c r="F50" s="415"/>
      <c r="G50" s="415"/>
      <c r="H50" s="415"/>
      <c r="I50" s="415"/>
      <c r="J50" s="415"/>
      <c r="K50" s="415"/>
      <c r="L50" s="415"/>
      <c r="M50" s="302"/>
      <c r="N50" s="326"/>
      <c r="O50" s="326"/>
      <c r="P50" s="252"/>
      <c r="Q50" s="252"/>
      <c r="R50" s="252"/>
      <c r="S50" s="252"/>
      <c r="T50" s="252"/>
      <c r="U50" s="252"/>
      <c r="V50" s="252"/>
      <c r="W50" s="252"/>
      <c r="X50" s="234"/>
      <c r="Y50" s="217"/>
      <c r="Z50" s="217"/>
      <c r="AA50" s="186"/>
      <c r="AB50" s="186"/>
      <c r="AC50" s="186"/>
      <c r="AD50" s="186"/>
      <c r="AE50" s="186"/>
      <c r="AF50" s="186"/>
      <c r="AG50" s="186"/>
      <c r="AH50" s="186"/>
      <c r="AI50" s="186"/>
      <c r="AJ50" s="186"/>
      <c r="AK50" s="186"/>
      <c r="AL50" s="186"/>
      <c r="AM50" s="189"/>
    </row>
    <row r="51" spans="2:39" x14ac:dyDescent="0.2">
      <c r="B51" s="452"/>
      <c r="C51" s="450"/>
      <c r="D51" s="450"/>
      <c r="E51" s="415"/>
      <c r="F51" s="415"/>
      <c r="G51" s="415"/>
      <c r="H51" s="415"/>
      <c r="I51" s="415"/>
      <c r="J51" s="415"/>
      <c r="K51" s="415"/>
      <c r="L51" s="415"/>
      <c r="M51" s="302"/>
      <c r="N51" s="326"/>
      <c r="O51" s="326"/>
      <c r="P51" s="252"/>
      <c r="Q51" s="252"/>
      <c r="R51" s="252"/>
      <c r="S51" s="252"/>
      <c r="T51" s="252"/>
      <c r="U51" s="252"/>
      <c r="V51" s="252"/>
      <c r="W51" s="252"/>
      <c r="X51" s="185"/>
      <c r="Y51" s="186"/>
      <c r="Z51" s="186"/>
      <c r="AA51" s="186"/>
      <c r="AB51" s="186"/>
      <c r="AC51" s="186"/>
      <c r="AD51" s="186"/>
      <c r="AE51" s="186"/>
      <c r="AF51" s="186"/>
      <c r="AG51" s="186"/>
      <c r="AH51" s="186"/>
      <c r="AI51" s="186"/>
      <c r="AJ51" s="186"/>
      <c r="AK51" s="186"/>
      <c r="AL51" s="186"/>
      <c r="AM51" s="189"/>
    </row>
    <row r="52" spans="2:39" x14ac:dyDescent="0.2">
      <c r="B52" s="415"/>
      <c r="C52" s="415"/>
      <c r="D52" s="415"/>
      <c r="E52" s="415"/>
      <c r="F52" s="415"/>
      <c r="G52" s="415"/>
      <c r="H52" s="415"/>
      <c r="I52" s="415"/>
      <c r="J52" s="415"/>
      <c r="K52" s="415"/>
      <c r="L52" s="415"/>
      <c r="M52" s="252"/>
      <c r="N52" s="252"/>
      <c r="O52" s="252"/>
      <c r="P52" s="252"/>
      <c r="Q52" s="252"/>
      <c r="R52" s="252"/>
      <c r="S52" s="252"/>
      <c r="T52" s="252"/>
      <c r="U52" s="252"/>
      <c r="V52" s="252"/>
      <c r="W52" s="252"/>
      <c r="X52" s="236" t="s">
        <v>206</v>
      </c>
      <c r="Y52" s="218"/>
      <c r="Z52" s="218"/>
      <c r="AA52" s="218"/>
      <c r="AB52" s="228"/>
      <c r="AC52" s="186"/>
      <c r="AD52" s="186"/>
      <c r="AE52" s="186"/>
      <c r="AF52" s="186"/>
      <c r="AG52" s="186"/>
      <c r="AH52" s="186"/>
      <c r="AI52" s="186"/>
      <c r="AJ52" s="186"/>
      <c r="AK52" s="186"/>
      <c r="AL52" s="186"/>
      <c r="AM52" s="189"/>
    </row>
    <row r="53" spans="2:39" x14ac:dyDescent="0.2">
      <c r="B53" s="490" t="s">
        <v>397</v>
      </c>
      <c r="C53" s="491"/>
      <c r="D53" s="491"/>
      <c r="E53" s="491"/>
      <c r="F53" s="492"/>
      <c r="G53" s="493">
        <v>41177</v>
      </c>
      <c r="H53" s="415"/>
      <c r="I53" s="415"/>
      <c r="J53" s="415"/>
      <c r="K53" s="415"/>
      <c r="L53" s="415"/>
      <c r="M53" s="327" t="s">
        <v>273</v>
      </c>
      <c r="N53" s="328"/>
      <c r="O53" s="328"/>
      <c r="P53" s="328"/>
      <c r="Q53" s="329"/>
      <c r="R53" s="330">
        <v>39373</v>
      </c>
      <c r="S53" s="252"/>
      <c r="T53" s="252"/>
      <c r="U53" s="252"/>
      <c r="V53" s="252"/>
      <c r="W53" s="252"/>
      <c r="X53" s="185" t="s">
        <v>207</v>
      </c>
      <c r="Y53" s="186"/>
      <c r="Z53" s="186"/>
      <c r="AA53" s="186"/>
      <c r="AB53" s="229"/>
      <c r="AC53" s="186"/>
      <c r="AD53" s="186"/>
      <c r="AE53" s="186"/>
      <c r="AF53" s="186"/>
      <c r="AG53" s="186"/>
      <c r="AH53" s="186"/>
      <c r="AI53" s="186"/>
      <c r="AJ53" s="186"/>
      <c r="AK53" s="186"/>
      <c r="AL53" s="186"/>
      <c r="AM53" s="189"/>
    </row>
    <row r="54" spans="2:39" x14ac:dyDescent="0.2">
      <c r="B54" s="494" t="s">
        <v>207</v>
      </c>
      <c r="C54" s="421"/>
      <c r="D54" s="421"/>
      <c r="E54" s="421"/>
      <c r="F54" s="495"/>
      <c r="G54" s="496" t="s">
        <v>398</v>
      </c>
      <c r="H54" s="415"/>
      <c r="I54" s="415"/>
      <c r="J54" s="415"/>
      <c r="K54" s="415"/>
      <c r="L54" s="415"/>
      <c r="M54" s="385" t="s">
        <v>207</v>
      </c>
      <c r="N54" s="164"/>
      <c r="O54" s="164"/>
      <c r="P54" s="332"/>
      <c r="Q54" s="333"/>
      <c r="R54" s="334" t="s">
        <v>274</v>
      </c>
      <c r="S54" s="252"/>
      <c r="T54" s="252"/>
      <c r="U54" s="252"/>
      <c r="V54" s="252"/>
      <c r="W54" s="252"/>
      <c r="X54" s="239" t="s">
        <v>208</v>
      </c>
      <c r="Y54" s="219" t="s">
        <v>209</v>
      </c>
      <c r="Z54" s="190" t="s">
        <v>210</v>
      </c>
      <c r="AA54" s="190" t="s">
        <v>196</v>
      </c>
      <c r="AB54" s="191" t="s">
        <v>196</v>
      </c>
      <c r="AC54" s="186"/>
      <c r="AD54" s="186"/>
      <c r="AE54" s="186"/>
      <c r="AF54" s="186"/>
      <c r="AG54" s="186"/>
      <c r="AH54" s="186"/>
      <c r="AI54" s="186"/>
      <c r="AJ54" s="186"/>
      <c r="AK54" s="186"/>
      <c r="AL54" s="186"/>
      <c r="AM54" s="189"/>
    </row>
    <row r="55" spans="2:39" x14ac:dyDescent="0.2">
      <c r="B55" s="458" t="s">
        <v>208</v>
      </c>
      <c r="C55" s="497" t="s">
        <v>209</v>
      </c>
      <c r="D55" s="458" t="s">
        <v>210</v>
      </c>
      <c r="E55" s="458" t="s">
        <v>196</v>
      </c>
      <c r="F55" s="459" t="s">
        <v>196</v>
      </c>
      <c r="G55" s="415"/>
      <c r="H55" s="415"/>
      <c r="I55" s="415"/>
      <c r="J55" s="415"/>
      <c r="K55" s="415"/>
      <c r="L55" s="415"/>
      <c r="M55" s="297" t="s">
        <v>208</v>
      </c>
      <c r="N55" s="335" t="s">
        <v>209</v>
      </c>
      <c r="O55" s="297" t="s">
        <v>210</v>
      </c>
      <c r="P55" s="297" t="s">
        <v>196</v>
      </c>
      <c r="Q55" s="298" t="s">
        <v>196</v>
      </c>
      <c r="R55" s="252"/>
      <c r="S55" s="252"/>
      <c r="T55" s="252"/>
      <c r="U55" s="252"/>
      <c r="V55" s="252"/>
      <c r="W55" s="252"/>
      <c r="X55" s="240" t="s">
        <v>211</v>
      </c>
      <c r="Y55" s="216" t="s">
        <v>19</v>
      </c>
      <c r="Z55" s="193" t="s">
        <v>19</v>
      </c>
      <c r="AA55" s="193" t="s">
        <v>212</v>
      </c>
      <c r="AB55" s="194" t="s">
        <v>213</v>
      </c>
      <c r="AC55" s="186"/>
      <c r="AD55" s="186"/>
      <c r="AE55" s="186" t="s">
        <v>221</v>
      </c>
      <c r="AF55" s="186"/>
      <c r="AG55" s="186"/>
      <c r="AH55" s="186"/>
      <c r="AI55" s="186"/>
      <c r="AJ55" s="186"/>
      <c r="AK55" s="186"/>
      <c r="AL55" s="186"/>
      <c r="AM55" s="189"/>
    </row>
    <row r="56" spans="2:39" x14ac:dyDescent="0.2">
      <c r="B56" s="461" t="s">
        <v>211</v>
      </c>
      <c r="C56" s="452" t="s">
        <v>19</v>
      </c>
      <c r="D56" s="461" t="s">
        <v>19</v>
      </c>
      <c r="E56" s="461" t="s">
        <v>212</v>
      </c>
      <c r="F56" s="462" t="s">
        <v>213</v>
      </c>
      <c r="G56" s="415"/>
      <c r="H56" s="415"/>
      <c r="I56" s="421" t="s">
        <v>221</v>
      </c>
      <c r="J56" s="421"/>
      <c r="K56" s="421"/>
      <c r="L56" s="421"/>
      <c r="M56" s="300" t="s">
        <v>211</v>
      </c>
      <c r="N56" s="302" t="s">
        <v>19</v>
      </c>
      <c r="O56" s="300" t="s">
        <v>19</v>
      </c>
      <c r="P56" s="300" t="s">
        <v>212</v>
      </c>
      <c r="Q56" s="301" t="s">
        <v>213</v>
      </c>
      <c r="R56" s="252"/>
      <c r="S56" s="252"/>
      <c r="T56" s="332" t="s">
        <v>221</v>
      </c>
      <c r="U56" s="332"/>
      <c r="V56" s="332"/>
      <c r="W56" s="332"/>
      <c r="X56" s="241" t="s">
        <v>214</v>
      </c>
      <c r="Y56" s="220" t="s">
        <v>215</v>
      </c>
      <c r="Z56" s="195" t="s">
        <v>216</v>
      </c>
      <c r="AA56" s="195" t="s">
        <v>215</v>
      </c>
      <c r="AB56" s="196" t="s">
        <v>216</v>
      </c>
      <c r="AC56" s="186"/>
      <c r="AD56" s="186"/>
      <c r="AE56" s="186" t="s">
        <v>222</v>
      </c>
      <c r="AF56" s="186" t="s">
        <v>223</v>
      </c>
      <c r="AG56" s="186"/>
      <c r="AH56" s="186"/>
      <c r="AI56" s="186"/>
      <c r="AJ56" s="186"/>
      <c r="AK56" s="186"/>
      <c r="AL56" s="186"/>
      <c r="AM56" s="189"/>
    </row>
    <row r="57" spans="2:39" x14ac:dyDescent="0.2">
      <c r="B57" s="464" t="s">
        <v>214</v>
      </c>
      <c r="C57" s="498" t="s">
        <v>215</v>
      </c>
      <c r="D57" s="464" t="s">
        <v>216</v>
      </c>
      <c r="E57" s="464" t="s">
        <v>215</v>
      </c>
      <c r="F57" s="465" t="s">
        <v>216</v>
      </c>
      <c r="G57" s="415"/>
      <c r="H57" s="415"/>
      <c r="I57" s="421" t="s">
        <v>222</v>
      </c>
      <c r="J57" s="421" t="s">
        <v>223</v>
      </c>
      <c r="K57" s="421"/>
      <c r="L57" s="421"/>
      <c r="M57" s="304" t="s">
        <v>214</v>
      </c>
      <c r="N57" s="336" t="s">
        <v>215</v>
      </c>
      <c r="O57" s="304" t="s">
        <v>216</v>
      </c>
      <c r="P57" s="304" t="s">
        <v>215</v>
      </c>
      <c r="Q57" s="305" t="s">
        <v>216</v>
      </c>
      <c r="R57" s="252"/>
      <c r="S57" s="252"/>
      <c r="T57" s="332" t="s">
        <v>222</v>
      </c>
      <c r="U57" s="332" t="s">
        <v>223</v>
      </c>
      <c r="V57" s="332"/>
      <c r="W57" s="332"/>
      <c r="X57" s="242">
        <v>5.0014774172000003</v>
      </c>
      <c r="Y57" s="221">
        <v>-0.50242260244109704</v>
      </c>
      <c r="Z57" s="199">
        <v>1.6192004997329574</v>
      </c>
      <c r="AA57" s="193">
        <v>-0.3</v>
      </c>
      <c r="AB57" s="230">
        <v>1.2</v>
      </c>
      <c r="AC57" s="186"/>
      <c r="AD57" s="186"/>
      <c r="AE57" s="182">
        <v>1.000502422602441</v>
      </c>
      <c r="AF57" s="182">
        <v>0.99838079950026704</v>
      </c>
      <c r="AG57" s="181" t="s">
        <v>217</v>
      </c>
      <c r="AH57" s="181"/>
      <c r="AI57" s="181"/>
      <c r="AJ57" s="181"/>
      <c r="AK57" s="181"/>
      <c r="AL57" s="181"/>
      <c r="AM57" s="189"/>
    </row>
    <row r="58" spans="2:39" x14ac:dyDescent="0.2">
      <c r="B58" s="499">
        <v>4.0016171123718012</v>
      </c>
      <c r="C58" s="450">
        <v>-0.48765941664769641</v>
      </c>
      <c r="D58" s="471">
        <v>1.4374952355009065</v>
      </c>
      <c r="E58" s="461">
        <v>-0.3</v>
      </c>
      <c r="F58" s="500">
        <v>1.2</v>
      </c>
      <c r="G58" s="415"/>
      <c r="H58" s="415"/>
      <c r="I58" s="501">
        <v>0.99951234058335225</v>
      </c>
      <c r="J58" s="501">
        <v>1.001437495235501</v>
      </c>
      <c r="K58" s="421"/>
      <c r="L58" s="421"/>
      <c r="M58" s="337">
        <v>4.9979752099999999</v>
      </c>
      <c r="N58" s="326">
        <v>-0.45374302686867474</v>
      </c>
      <c r="O58" s="308">
        <v>1.4936979249242777</v>
      </c>
      <c r="P58" s="300">
        <v>-0.3</v>
      </c>
      <c r="Q58" s="338">
        <v>1.2</v>
      </c>
      <c r="R58" s="252"/>
      <c r="S58" s="252"/>
      <c r="T58" s="339">
        <v>0.99954625697313138</v>
      </c>
      <c r="U58" s="339">
        <v>1.0014936979249243</v>
      </c>
      <c r="V58" s="332"/>
      <c r="W58" s="332"/>
      <c r="X58" s="242">
        <v>10.011382818</v>
      </c>
      <c r="Y58" s="221">
        <v>-0.53250323792250176</v>
      </c>
      <c r="Z58" s="199">
        <v>1.5088615636766851</v>
      </c>
      <c r="AA58" s="193">
        <v>-0.3</v>
      </c>
      <c r="AB58" s="230">
        <v>1.1000000000000001</v>
      </c>
      <c r="AC58" s="186"/>
      <c r="AD58" s="186"/>
      <c r="AE58" s="231">
        <v>1.0005325032379224</v>
      </c>
      <c r="AF58" s="231">
        <v>0.99849113843632331</v>
      </c>
      <c r="AG58" s="186"/>
      <c r="AH58" s="186"/>
      <c r="AI58" s="186"/>
      <c r="AJ58" s="186"/>
      <c r="AK58" s="186"/>
      <c r="AL58" s="186"/>
      <c r="AM58" s="189"/>
    </row>
    <row r="59" spans="2:39" x14ac:dyDescent="0.2">
      <c r="B59" s="499">
        <v>10.000086181191064</v>
      </c>
      <c r="C59" s="450">
        <v>-0.52447679999646901</v>
      </c>
      <c r="D59" s="471">
        <v>1.3292616742645658</v>
      </c>
      <c r="E59" s="461">
        <v>-0.3</v>
      </c>
      <c r="F59" s="500">
        <v>1.1000000000000001</v>
      </c>
      <c r="G59" s="415"/>
      <c r="H59" s="415"/>
      <c r="I59" s="501">
        <v>0.99947552320000355</v>
      </c>
      <c r="J59" s="501">
        <v>1.0013292616742646</v>
      </c>
      <c r="K59" s="421"/>
      <c r="L59" s="421"/>
      <c r="M59" s="337">
        <v>10.002244657999999</v>
      </c>
      <c r="N59" s="326">
        <v>-0.47060775132127952</v>
      </c>
      <c r="O59" s="308">
        <v>1.4529740170248877</v>
      </c>
      <c r="P59" s="300">
        <v>-0.3</v>
      </c>
      <c r="Q59" s="338">
        <v>1.1000000000000001</v>
      </c>
      <c r="R59" s="252"/>
      <c r="S59" s="252"/>
      <c r="T59" s="339">
        <v>0.99952939224867876</v>
      </c>
      <c r="U59" s="339">
        <v>1.0014529740170248</v>
      </c>
      <c r="V59" s="332"/>
      <c r="W59" s="332"/>
      <c r="X59" s="242">
        <v>19.986977312</v>
      </c>
      <c r="Y59" s="221">
        <v>-0.58859291142555537</v>
      </c>
      <c r="Z59" s="199">
        <v>1.349925416209258</v>
      </c>
      <c r="AA59" s="193">
        <v>-0.3</v>
      </c>
      <c r="AB59" s="230">
        <v>1</v>
      </c>
      <c r="AC59" s="186"/>
      <c r="AD59" s="186"/>
      <c r="AE59" s="231">
        <v>1.0005885929114255</v>
      </c>
      <c r="AF59" s="231">
        <v>0.99865007458379074</v>
      </c>
      <c r="AG59" s="186"/>
      <c r="AH59" s="186"/>
      <c r="AI59" s="186"/>
      <c r="AJ59" s="186"/>
      <c r="AK59" s="186"/>
      <c r="AL59" s="186"/>
      <c r="AM59" s="189"/>
    </row>
    <row r="60" spans="2:39" x14ac:dyDescent="0.2">
      <c r="B60" s="499">
        <v>19.992634691467117</v>
      </c>
      <c r="C60" s="450">
        <v>-0.56221897914555541</v>
      </c>
      <c r="D60" s="471">
        <v>1.2047182560825722</v>
      </c>
      <c r="E60" s="461">
        <v>-0.3</v>
      </c>
      <c r="F60" s="500">
        <v>1</v>
      </c>
      <c r="G60" s="415"/>
      <c r="H60" s="415"/>
      <c r="I60" s="501">
        <v>0.99943778102085445</v>
      </c>
      <c r="J60" s="501">
        <v>1.0012047182560826</v>
      </c>
      <c r="K60" s="421"/>
      <c r="L60" s="421"/>
      <c r="M60" s="337">
        <v>19.982790899999998</v>
      </c>
      <c r="N60" s="326">
        <v>-0.51009351084520538</v>
      </c>
      <c r="O60" s="308">
        <v>1.3142944078613865</v>
      </c>
      <c r="P60" s="300">
        <v>-0.3</v>
      </c>
      <c r="Q60" s="338">
        <v>1</v>
      </c>
      <c r="R60" s="252"/>
      <c r="S60" s="252"/>
      <c r="T60" s="339">
        <v>0.99948990648915481</v>
      </c>
      <c r="U60" s="339">
        <v>1.0013142944078615</v>
      </c>
      <c r="V60" s="332"/>
      <c r="W60" s="332"/>
      <c r="X60" s="242">
        <v>39.979910304000001</v>
      </c>
      <c r="Y60" s="221">
        <v>-0.64572330962475688</v>
      </c>
      <c r="Z60" s="199">
        <v>1.1428439847057041</v>
      </c>
      <c r="AA60" s="193">
        <v>-0.4</v>
      </c>
      <c r="AB60" s="230">
        <v>0.9</v>
      </c>
      <c r="AC60" s="186"/>
      <c r="AD60" s="186"/>
      <c r="AE60" s="231">
        <v>1.0006457233096246</v>
      </c>
      <c r="AF60" s="231">
        <v>0.99885715601529435</v>
      </c>
      <c r="AG60" s="186"/>
      <c r="AH60" s="186"/>
      <c r="AI60" s="186"/>
      <c r="AJ60" s="186"/>
      <c r="AK60" s="186"/>
      <c r="AL60" s="186"/>
      <c r="AM60" s="189"/>
    </row>
    <row r="61" spans="2:39" x14ac:dyDescent="0.2">
      <c r="B61" s="499">
        <v>39.974853691611649</v>
      </c>
      <c r="C61" s="450">
        <v>-0.61139864380446818</v>
      </c>
      <c r="D61" s="471">
        <v>1.0323140388460312</v>
      </c>
      <c r="E61" s="461">
        <v>-0.4</v>
      </c>
      <c r="F61" s="500">
        <v>0.9</v>
      </c>
      <c r="G61" s="415"/>
      <c r="H61" s="415"/>
      <c r="I61" s="501">
        <v>0.99938860135619556</v>
      </c>
      <c r="J61" s="501">
        <v>1.001032314038846</v>
      </c>
      <c r="K61" s="421"/>
      <c r="L61" s="421"/>
      <c r="M61" s="337">
        <v>39.976705572</v>
      </c>
      <c r="N61" s="326">
        <v>-0.58037467907103113</v>
      </c>
      <c r="O61" s="308">
        <v>1.1057483610562335</v>
      </c>
      <c r="P61" s="300">
        <v>-0.4</v>
      </c>
      <c r="Q61" s="338">
        <v>0.9</v>
      </c>
      <c r="R61" s="252"/>
      <c r="S61" s="252"/>
      <c r="T61" s="339">
        <v>0.99941962532092898</v>
      </c>
      <c r="U61" s="339">
        <v>1.0011057483610561</v>
      </c>
      <c r="V61" s="332"/>
      <c r="W61" s="332"/>
      <c r="X61" s="242">
        <v>59.958362932</v>
      </c>
      <c r="Y61" s="221">
        <v>-0.67638300453034139</v>
      </c>
      <c r="Z61" s="199">
        <v>1.0021370341305902</v>
      </c>
      <c r="AA61" s="193">
        <v>-0.4</v>
      </c>
      <c r="AB61" s="230">
        <v>0.7</v>
      </c>
      <c r="AC61" s="186"/>
      <c r="AD61" s="186"/>
      <c r="AE61" s="231">
        <v>1.0006763830045304</v>
      </c>
      <c r="AF61" s="231">
        <v>0.99899786296586945</v>
      </c>
      <c r="AG61" s="186"/>
      <c r="AH61" s="186"/>
      <c r="AI61" s="186"/>
      <c r="AJ61" s="186"/>
      <c r="AK61" s="186"/>
      <c r="AL61" s="186"/>
      <c r="AM61" s="189"/>
    </row>
    <row r="62" spans="2:39" x14ac:dyDescent="0.2">
      <c r="B62" s="499">
        <v>59.930797644812529</v>
      </c>
      <c r="C62" s="450">
        <v>-0.63824337685880062</v>
      </c>
      <c r="D62" s="471">
        <v>0.91420362851467918</v>
      </c>
      <c r="E62" s="461">
        <v>-0.4</v>
      </c>
      <c r="F62" s="500">
        <v>0.7</v>
      </c>
      <c r="G62" s="415"/>
      <c r="H62" s="415"/>
      <c r="I62" s="501">
        <v>0.9993617566231412</v>
      </c>
      <c r="J62" s="501">
        <v>1.0009142036285146</v>
      </c>
      <c r="K62" s="421"/>
      <c r="L62" s="421"/>
      <c r="M62" s="337">
        <v>59.938688941999999</v>
      </c>
      <c r="N62" s="326">
        <v>-0.60978760093837026</v>
      </c>
      <c r="O62" s="308">
        <v>0.97056094641908408</v>
      </c>
      <c r="P62" s="300">
        <v>-0.4</v>
      </c>
      <c r="Q62" s="338">
        <v>0.7</v>
      </c>
      <c r="R62" s="252"/>
      <c r="S62" s="252"/>
      <c r="T62" s="339">
        <v>0.99939021239906167</v>
      </c>
      <c r="U62" s="339">
        <v>1.000970560946419</v>
      </c>
      <c r="V62" s="332"/>
      <c r="W62" s="332"/>
      <c r="X62" s="242">
        <v>99.877201851999999</v>
      </c>
      <c r="Y62" s="221">
        <v>-0.71038407849207319</v>
      </c>
      <c r="Z62" s="199">
        <v>0.80744171347031313</v>
      </c>
      <c r="AA62" s="193">
        <v>-0.5</v>
      </c>
      <c r="AB62" s="230">
        <v>0.6</v>
      </c>
      <c r="AC62" s="186"/>
      <c r="AD62" s="186"/>
      <c r="AE62" s="231">
        <v>1.0007103840784921</v>
      </c>
      <c r="AF62" s="231">
        <v>0.99919255828652964</v>
      </c>
      <c r="AG62" s="186"/>
      <c r="AH62" s="186"/>
      <c r="AI62" s="186"/>
      <c r="AJ62" s="186"/>
      <c r="AK62" s="186"/>
      <c r="AL62" s="186"/>
      <c r="AM62" s="189"/>
    </row>
    <row r="63" spans="2:39" x14ac:dyDescent="0.2">
      <c r="B63" s="499">
        <v>99.899453055686664</v>
      </c>
      <c r="C63" s="450">
        <v>-0.66219329512369873</v>
      </c>
      <c r="D63" s="471">
        <v>0.74936384578205684</v>
      </c>
      <c r="E63" s="461">
        <v>-0.5</v>
      </c>
      <c r="F63" s="500">
        <v>0.6</v>
      </c>
      <c r="G63" s="415"/>
      <c r="H63" s="415"/>
      <c r="I63" s="501">
        <v>0.99933780670487626</v>
      </c>
      <c r="J63" s="501">
        <v>1.0007493638457821</v>
      </c>
      <c r="K63" s="421"/>
      <c r="L63" s="421"/>
      <c r="M63" s="337">
        <v>99.924239755999992</v>
      </c>
      <c r="N63" s="326">
        <v>-0.64396467254052259</v>
      </c>
      <c r="O63" s="308">
        <v>0.77795908036417216</v>
      </c>
      <c r="P63" s="300">
        <v>-0.5</v>
      </c>
      <c r="Q63" s="338">
        <v>0.6</v>
      </c>
      <c r="R63" s="252"/>
      <c r="S63" s="252"/>
      <c r="T63" s="339">
        <v>0.99935603532745942</v>
      </c>
      <c r="U63" s="339">
        <v>1.0007779590803643</v>
      </c>
      <c r="V63" s="332"/>
      <c r="W63" s="332"/>
      <c r="X63" s="242">
        <v>119.61058278</v>
      </c>
      <c r="Y63" s="221">
        <v>-0.71526626667606996</v>
      </c>
      <c r="Z63" s="199">
        <v>0.73917832306376807</v>
      </c>
      <c r="AA63" s="193" t="s">
        <v>218</v>
      </c>
      <c r="AB63" s="230" t="s">
        <v>218</v>
      </c>
      <c r="AC63" s="186"/>
      <c r="AD63" s="186"/>
      <c r="AE63" s="231">
        <v>1.0007152662666761</v>
      </c>
      <c r="AF63" s="231">
        <v>0.9992608216769362</v>
      </c>
      <c r="AG63" s="186"/>
      <c r="AH63" s="186"/>
      <c r="AI63" s="186"/>
      <c r="AJ63" s="186"/>
      <c r="AK63" s="186"/>
      <c r="AL63" s="186"/>
      <c r="AM63" s="189"/>
    </row>
    <row r="64" spans="2:39" x14ac:dyDescent="0.2">
      <c r="B64" s="499">
        <v>119.88331164937101</v>
      </c>
      <c r="C64" s="450">
        <v>-0.67114911625056484</v>
      </c>
      <c r="D64" s="471">
        <v>0.69203036012201191</v>
      </c>
      <c r="E64" s="461" t="s">
        <v>218</v>
      </c>
      <c r="F64" s="500" t="s">
        <v>218</v>
      </c>
      <c r="G64" s="415"/>
      <c r="H64" s="415"/>
      <c r="I64" s="501">
        <v>0.99932885088374945</v>
      </c>
      <c r="J64" s="501">
        <v>1.0006920303601221</v>
      </c>
      <c r="K64" s="421"/>
      <c r="L64" s="421"/>
      <c r="M64" s="337">
        <v>119.90347406000001</v>
      </c>
      <c r="N64" s="326">
        <v>-0.64559195864442498</v>
      </c>
      <c r="O64" s="308">
        <v>0.72064358443938825</v>
      </c>
      <c r="P64" s="300" t="s">
        <v>218</v>
      </c>
      <c r="Q64" s="338" t="s">
        <v>218</v>
      </c>
      <c r="R64" s="252"/>
      <c r="S64" s="252"/>
      <c r="T64" s="339">
        <v>0.99935440804135556</v>
      </c>
      <c r="U64" s="339">
        <v>1.0007206435844394</v>
      </c>
      <c r="V64" s="332"/>
      <c r="W64" s="332"/>
      <c r="X64" s="240">
        <v>125</v>
      </c>
      <c r="Y64" s="216" t="s">
        <v>218</v>
      </c>
      <c r="Z64" s="193" t="s">
        <v>218</v>
      </c>
      <c r="AA64" s="193">
        <v>-0.5</v>
      </c>
      <c r="AB64" s="230">
        <v>0.5</v>
      </c>
      <c r="AC64" s="186"/>
      <c r="AD64" s="186"/>
      <c r="AE64" s="186"/>
      <c r="AF64" s="186"/>
      <c r="AG64" s="186"/>
      <c r="AH64" s="186"/>
      <c r="AI64" s="186"/>
      <c r="AJ64" s="186"/>
      <c r="AK64" s="186"/>
      <c r="AL64" s="186"/>
      <c r="AM64" s="189"/>
    </row>
    <row r="65" spans="2:39" x14ac:dyDescent="0.2">
      <c r="B65" s="461">
        <v>125</v>
      </c>
      <c r="C65" s="450" t="s">
        <v>218</v>
      </c>
      <c r="D65" s="471" t="s">
        <v>218</v>
      </c>
      <c r="E65" s="461">
        <v>-0.5</v>
      </c>
      <c r="F65" s="500">
        <v>0.5</v>
      </c>
      <c r="G65" s="415"/>
      <c r="H65" s="415" t="s">
        <v>275</v>
      </c>
      <c r="I65" s="501">
        <v>0.99940609433888183</v>
      </c>
      <c r="J65" s="501">
        <v>1.0010513410055875</v>
      </c>
      <c r="K65" s="415"/>
      <c r="L65" s="415"/>
      <c r="M65" s="300">
        <v>125</v>
      </c>
      <c r="N65" s="326" t="s">
        <v>218</v>
      </c>
      <c r="O65" s="308" t="s">
        <v>218</v>
      </c>
      <c r="P65" s="300">
        <v>-0.5</v>
      </c>
      <c r="Q65" s="338">
        <v>0.5</v>
      </c>
      <c r="R65" s="252"/>
      <c r="S65" s="252" t="s">
        <v>275</v>
      </c>
      <c r="T65" s="339">
        <v>0.99944083382853866</v>
      </c>
      <c r="U65" s="339">
        <v>1.0011194111888699</v>
      </c>
      <c r="V65" s="252"/>
      <c r="W65" s="252"/>
      <c r="X65" s="237"/>
      <c r="Y65" s="222"/>
      <c r="Z65" s="210"/>
      <c r="AA65" s="210"/>
      <c r="AB65" s="211"/>
      <c r="AC65" s="186"/>
      <c r="AD65" s="186"/>
      <c r="AE65" s="186"/>
      <c r="AF65" s="186"/>
      <c r="AG65" s="186"/>
      <c r="AH65" s="186"/>
      <c r="AI65" s="186"/>
      <c r="AJ65" s="186"/>
      <c r="AK65" s="186"/>
      <c r="AL65" s="186"/>
      <c r="AM65" s="189"/>
    </row>
    <row r="66" spans="2:39" x14ac:dyDescent="0.2">
      <c r="B66" s="484"/>
      <c r="C66" s="424"/>
      <c r="D66" s="484"/>
      <c r="E66" s="484"/>
      <c r="F66" s="485"/>
      <c r="G66" s="415"/>
      <c r="H66" s="415" t="s">
        <v>310</v>
      </c>
      <c r="I66" s="502">
        <v>-5.939056611181659E-2</v>
      </c>
      <c r="J66" s="502">
        <v>0.10513410055874584</v>
      </c>
      <c r="K66" s="421"/>
      <c r="L66" s="421"/>
      <c r="M66" s="319"/>
      <c r="N66" s="340"/>
      <c r="O66" s="319"/>
      <c r="P66" s="319"/>
      <c r="Q66" s="320"/>
      <c r="R66" s="252"/>
      <c r="S66" s="252" t="s">
        <v>310</v>
      </c>
      <c r="T66" s="383">
        <v>-5.5916617146134495E-2</v>
      </c>
      <c r="U66" s="383">
        <v>0.11194111888699343</v>
      </c>
      <c r="V66" s="332"/>
      <c r="W66" s="332"/>
      <c r="X66" s="185"/>
      <c r="Y66" s="186"/>
      <c r="Z66" s="186"/>
      <c r="AA66" s="186"/>
      <c r="AB66" s="186"/>
      <c r="AC66" s="186"/>
      <c r="AD66" s="186"/>
      <c r="AE66" s="186"/>
      <c r="AF66" s="186"/>
      <c r="AG66" s="186"/>
      <c r="AH66" s="186"/>
      <c r="AI66" s="186"/>
      <c r="AJ66" s="186"/>
      <c r="AK66" s="186"/>
      <c r="AL66" s="186"/>
      <c r="AM66" s="189"/>
    </row>
    <row r="67" spans="2:39" x14ac:dyDescent="0.2">
      <c r="B67" s="415"/>
      <c r="C67" s="415"/>
      <c r="D67" s="415"/>
      <c r="E67" s="415"/>
      <c r="F67" s="415"/>
      <c r="G67" s="415"/>
      <c r="H67" s="503" t="s">
        <v>309</v>
      </c>
      <c r="I67" s="503">
        <v>7.0727489745721844E-5</v>
      </c>
      <c r="J67" s="503">
        <v>2.8558203694973845E-4</v>
      </c>
      <c r="K67" s="421"/>
      <c r="L67" s="421"/>
      <c r="M67" s="252"/>
      <c r="N67" s="252"/>
      <c r="O67" s="252"/>
      <c r="P67" s="252"/>
      <c r="Q67" s="252"/>
      <c r="R67" s="252"/>
      <c r="S67" s="386" t="s">
        <v>309</v>
      </c>
      <c r="T67" s="386">
        <v>8.0661113727229652E-5</v>
      </c>
      <c r="U67" s="386">
        <v>3.1285843509091876E-4</v>
      </c>
      <c r="V67" s="332"/>
      <c r="W67" s="332"/>
      <c r="X67" s="185"/>
      <c r="Y67" s="186"/>
      <c r="Z67" s="186"/>
      <c r="AA67" s="186"/>
      <c r="AB67" s="186"/>
      <c r="AC67" s="186"/>
      <c r="AD67" s="186"/>
      <c r="AE67" s="186"/>
      <c r="AF67" s="186"/>
      <c r="AG67" s="186"/>
      <c r="AH67" s="186"/>
      <c r="AI67" s="186"/>
      <c r="AJ67" s="186"/>
      <c r="AK67" s="186"/>
      <c r="AL67" s="186"/>
      <c r="AM67" s="189"/>
    </row>
    <row r="68" spans="2:39" x14ac:dyDescent="0.2">
      <c r="B68" s="415"/>
      <c r="C68" s="415"/>
      <c r="D68" s="415"/>
      <c r="E68" s="415"/>
      <c r="F68" s="415"/>
      <c r="G68" s="415"/>
      <c r="H68" s="415"/>
      <c r="I68" s="421"/>
      <c r="J68" s="421"/>
      <c r="K68" s="421"/>
      <c r="L68" s="421"/>
      <c r="M68" s="252"/>
      <c r="N68" s="252"/>
      <c r="O68" s="252"/>
      <c r="P68" s="252"/>
      <c r="Q68" s="252"/>
      <c r="R68" s="252"/>
      <c r="S68" s="252"/>
      <c r="T68" s="332"/>
      <c r="U68" s="332"/>
      <c r="V68" s="332"/>
      <c r="W68" s="332"/>
      <c r="X68" s="236" t="s">
        <v>219</v>
      </c>
      <c r="Y68" s="218"/>
      <c r="Z68" s="218"/>
      <c r="AA68" s="218"/>
      <c r="AB68" s="228"/>
      <c r="AC68" s="186"/>
      <c r="AD68" s="186"/>
      <c r="AE68" s="186"/>
      <c r="AF68" s="186"/>
      <c r="AG68" s="186"/>
      <c r="AH68" s="186"/>
      <c r="AI68" s="186"/>
      <c r="AJ68" s="186"/>
      <c r="AK68" s="186"/>
      <c r="AL68" s="186"/>
      <c r="AM68" s="189"/>
    </row>
    <row r="69" spans="2:39" x14ac:dyDescent="0.2">
      <c r="B69" s="490" t="s">
        <v>397</v>
      </c>
      <c r="C69" s="491"/>
      <c r="D69" s="491"/>
      <c r="E69" s="491"/>
      <c r="F69" s="492"/>
      <c r="G69" s="493">
        <v>41177</v>
      </c>
      <c r="H69" s="415"/>
      <c r="I69" s="421"/>
      <c r="J69" s="421"/>
      <c r="K69" s="421"/>
      <c r="L69" s="421"/>
      <c r="M69" s="327" t="s">
        <v>273</v>
      </c>
      <c r="N69" s="328"/>
      <c r="O69" s="328"/>
      <c r="P69" s="328"/>
      <c r="Q69" s="329"/>
      <c r="R69" s="330">
        <v>39378</v>
      </c>
      <c r="S69" s="252"/>
      <c r="T69" s="332"/>
      <c r="U69" s="332"/>
      <c r="V69" s="332"/>
      <c r="W69" s="332"/>
      <c r="X69" s="185" t="s">
        <v>220</v>
      </c>
      <c r="Y69" s="186"/>
      <c r="Z69" s="186"/>
      <c r="AA69" s="186"/>
      <c r="AB69" s="229"/>
      <c r="AC69" s="186"/>
      <c r="AD69" s="186"/>
      <c r="AE69" s="186"/>
      <c r="AF69" s="186"/>
      <c r="AG69" s="186"/>
      <c r="AH69" s="186"/>
      <c r="AI69" s="186"/>
      <c r="AJ69" s="186"/>
      <c r="AK69" s="186"/>
      <c r="AL69" s="186"/>
      <c r="AM69" s="189"/>
    </row>
    <row r="70" spans="2:39" x14ac:dyDescent="0.2">
      <c r="B70" s="494" t="s">
        <v>220</v>
      </c>
      <c r="C70" s="421"/>
      <c r="D70" s="421"/>
      <c r="E70" s="421"/>
      <c r="F70" s="495"/>
      <c r="G70" s="496" t="s">
        <v>399</v>
      </c>
      <c r="H70" s="415"/>
      <c r="I70" s="421"/>
      <c r="J70" s="421"/>
      <c r="K70" s="421"/>
      <c r="L70" s="421"/>
      <c r="M70" s="331" t="s">
        <v>220</v>
      </c>
      <c r="N70" s="332"/>
      <c r="O70" s="332"/>
      <c r="P70" s="332"/>
      <c r="Q70" s="333"/>
      <c r="R70" s="334" t="s">
        <v>276</v>
      </c>
      <c r="S70" s="252"/>
      <c r="T70" s="332"/>
      <c r="U70" s="332"/>
      <c r="V70" s="332"/>
      <c r="W70" s="332"/>
      <c r="X70" s="239" t="s">
        <v>208</v>
      </c>
      <c r="Y70" s="219" t="s">
        <v>209</v>
      </c>
      <c r="Z70" s="190" t="s">
        <v>210</v>
      </c>
      <c r="AA70" s="190" t="s">
        <v>196</v>
      </c>
      <c r="AB70" s="191" t="s">
        <v>196</v>
      </c>
      <c r="AC70" s="186"/>
      <c r="AD70" s="186"/>
      <c r="AE70" s="186"/>
      <c r="AF70" s="186"/>
      <c r="AG70" s="186"/>
      <c r="AH70" s="186"/>
      <c r="AI70" s="186"/>
      <c r="AJ70" s="186"/>
      <c r="AK70" s="186"/>
      <c r="AL70" s="186"/>
      <c r="AM70" s="189"/>
    </row>
    <row r="71" spans="2:39" x14ac:dyDescent="0.2">
      <c r="B71" s="458" t="s">
        <v>208</v>
      </c>
      <c r="C71" s="497" t="s">
        <v>209</v>
      </c>
      <c r="D71" s="458" t="s">
        <v>210</v>
      </c>
      <c r="E71" s="458" t="s">
        <v>196</v>
      </c>
      <c r="F71" s="459" t="s">
        <v>196</v>
      </c>
      <c r="G71" s="421"/>
      <c r="H71" s="415"/>
      <c r="I71" s="421"/>
      <c r="J71" s="421"/>
      <c r="K71" s="421"/>
      <c r="L71" s="421"/>
      <c r="M71" s="297" t="s">
        <v>208</v>
      </c>
      <c r="N71" s="335" t="s">
        <v>209</v>
      </c>
      <c r="O71" s="297" t="s">
        <v>210</v>
      </c>
      <c r="P71" s="297" t="s">
        <v>196</v>
      </c>
      <c r="Q71" s="298" t="s">
        <v>196</v>
      </c>
      <c r="R71" s="332"/>
      <c r="S71" s="252"/>
      <c r="T71" s="332"/>
      <c r="U71" s="332"/>
      <c r="V71" s="332"/>
      <c r="W71" s="332"/>
      <c r="X71" s="240" t="s">
        <v>211</v>
      </c>
      <c r="Y71" s="216" t="s">
        <v>19</v>
      </c>
      <c r="Z71" s="193" t="s">
        <v>19</v>
      </c>
      <c r="AA71" s="193" t="s">
        <v>212</v>
      </c>
      <c r="AB71" s="194" t="s">
        <v>213</v>
      </c>
      <c r="AC71" s="186"/>
      <c r="AD71" s="186"/>
      <c r="AE71" s="186" t="s">
        <v>221</v>
      </c>
      <c r="AF71" s="186"/>
      <c r="AG71" s="186"/>
      <c r="AH71" s="186"/>
      <c r="AI71" s="186"/>
      <c r="AJ71" s="186"/>
      <c r="AK71" s="186"/>
      <c r="AL71" s="186"/>
      <c r="AM71" s="189"/>
    </row>
    <row r="72" spans="2:39" x14ac:dyDescent="0.2">
      <c r="B72" s="461" t="s">
        <v>211</v>
      </c>
      <c r="C72" s="452" t="s">
        <v>19</v>
      </c>
      <c r="D72" s="461" t="s">
        <v>19</v>
      </c>
      <c r="E72" s="461" t="s">
        <v>212</v>
      </c>
      <c r="F72" s="462" t="s">
        <v>213</v>
      </c>
      <c r="G72" s="421"/>
      <c r="H72" s="415"/>
      <c r="I72" s="421" t="s">
        <v>221</v>
      </c>
      <c r="J72" s="421"/>
      <c r="K72" s="421"/>
      <c r="L72" s="421"/>
      <c r="M72" s="300" t="s">
        <v>211</v>
      </c>
      <c r="N72" s="302" t="s">
        <v>19</v>
      </c>
      <c r="O72" s="300" t="s">
        <v>19</v>
      </c>
      <c r="P72" s="300" t="s">
        <v>212</v>
      </c>
      <c r="Q72" s="301" t="s">
        <v>213</v>
      </c>
      <c r="R72" s="332"/>
      <c r="S72" s="252"/>
      <c r="T72" s="332" t="s">
        <v>221</v>
      </c>
      <c r="U72" s="332"/>
      <c r="V72" s="332"/>
      <c r="W72" s="332"/>
      <c r="X72" s="240" t="s">
        <v>214</v>
      </c>
      <c r="Y72" s="216" t="s">
        <v>215</v>
      </c>
      <c r="Z72" s="193" t="s">
        <v>216</v>
      </c>
      <c r="AA72" s="193" t="s">
        <v>215</v>
      </c>
      <c r="AB72" s="194" t="s">
        <v>216</v>
      </c>
      <c r="AC72" s="186"/>
      <c r="AD72" s="186"/>
      <c r="AE72" s="186" t="s">
        <v>222</v>
      </c>
      <c r="AF72" s="186" t="s">
        <v>223</v>
      </c>
      <c r="AG72" s="186"/>
      <c r="AH72" s="186"/>
      <c r="AI72" s="186"/>
      <c r="AJ72" s="186"/>
      <c r="AK72" s="186"/>
      <c r="AL72" s="186"/>
      <c r="AM72" s="189"/>
    </row>
    <row r="73" spans="2:39" x14ac:dyDescent="0.2">
      <c r="B73" s="464" t="s">
        <v>214</v>
      </c>
      <c r="C73" s="498" t="s">
        <v>215</v>
      </c>
      <c r="D73" s="464" t="s">
        <v>216</v>
      </c>
      <c r="E73" s="461" t="s">
        <v>215</v>
      </c>
      <c r="F73" s="462" t="s">
        <v>216</v>
      </c>
      <c r="G73" s="421"/>
      <c r="H73" s="415"/>
      <c r="I73" s="421" t="s">
        <v>222</v>
      </c>
      <c r="J73" s="421" t="s">
        <v>223</v>
      </c>
      <c r="K73" s="421"/>
      <c r="L73" s="421"/>
      <c r="M73" s="304" t="s">
        <v>214</v>
      </c>
      <c r="N73" s="336" t="s">
        <v>215</v>
      </c>
      <c r="O73" s="304" t="s">
        <v>216</v>
      </c>
      <c r="P73" s="300" t="s">
        <v>215</v>
      </c>
      <c r="Q73" s="301" t="s">
        <v>216</v>
      </c>
      <c r="R73" s="332"/>
      <c r="S73" s="252"/>
      <c r="T73" s="332" t="s">
        <v>222</v>
      </c>
      <c r="U73" s="332" t="s">
        <v>223</v>
      </c>
      <c r="V73" s="332"/>
      <c r="W73" s="332"/>
      <c r="X73" s="243">
        <v>4.7300000000000004</v>
      </c>
      <c r="Y73" s="223">
        <v>2.0338266384778012</v>
      </c>
      <c r="Z73" s="197">
        <v>1.7843551797040169</v>
      </c>
      <c r="AA73" s="191">
        <v>2.8</v>
      </c>
      <c r="AB73" s="190">
        <v>1.2</v>
      </c>
      <c r="AC73" s="186"/>
      <c r="AD73" s="186"/>
      <c r="AE73" s="182">
        <v>0.99796617336152216</v>
      </c>
      <c r="AF73" s="182">
        <v>0.99821564482029601</v>
      </c>
      <c r="AG73" s="181" t="s">
        <v>235</v>
      </c>
      <c r="AH73" s="181"/>
      <c r="AI73" s="181"/>
      <c r="AJ73" s="181"/>
      <c r="AK73" s="181"/>
      <c r="AL73" s="181"/>
      <c r="AM73" s="189"/>
    </row>
    <row r="74" spans="2:39" x14ac:dyDescent="0.2">
      <c r="B74" s="499">
        <v>4.9570995572349164</v>
      </c>
      <c r="C74" s="450">
        <v>2.1677780476117992</v>
      </c>
      <c r="D74" s="471">
        <v>1.5053038805947021</v>
      </c>
      <c r="E74" s="459">
        <v>2.8</v>
      </c>
      <c r="F74" s="458">
        <v>1.2</v>
      </c>
      <c r="G74" s="504"/>
      <c r="H74" s="415"/>
      <c r="I74" s="501">
        <v>1.0021677780476117</v>
      </c>
      <c r="J74" s="501">
        <v>1.0015053038805948</v>
      </c>
      <c r="K74" s="421"/>
      <c r="L74" s="421"/>
      <c r="M74" s="337">
        <v>5.0174463710000001</v>
      </c>
      <c r="N74" s="326">
        <v>2.371356114955733</v>
      </c>
      <c r="O74" s="308">
        <v>1.8737530950017725</v>
      </c>
      <c r="P74" s="298">
        <v>2.8</v>
      </c>
      <c r="Q74" s="297">
        <v>1.2</v>
      </c>
      <c r="R74" s="334"/>
      <c r="S74" s="252"/>
      <c r="T74" s="339">
        <v>1.0023713561149556</v>
      </c>
      <c r="U74" s="339">
        <v>1.0018737530950017</v>
      </c>
      <c r="V74" s="332"/>
      <c r="W74" s="332"/>
      <c r="X74" s="242">
        <v>2.0299999999999998</v>
      </c>
      <c r="Y74" s="205">
        <v>2.4078817733990148</v>
      </c>
      <c r="Z74" s="199">
        <v>1.5901477832512318</v>
      </c>
      <c r="AA74" s="194">
        <v>2.7</v>
      </c>
      <c r="AB74" s="193">
        <v>1.1000000000000001</v>
      </c>
      <c r="AC74" s="186"/>
      <c r="AD74" s="186"/>
      <c r="AE74" s="231">
        <v>0.99759211822660099</v>
      </c>
      <c r="AF74" s="231">
        <v>0.99840985221674872</v>
      </c>
      <c r="AG74" s="186"/>
      <c r="AH74" s="186"/>
      <c r="AI74" s="186"/>
      <c r="AJ74" s="186"/>
      <c r="AK74" s="186"/>
      <c r="AL74" s="186"/>
      <c r="AM74" s="189"/>
    </row>
    <row r="75" spans="2:39" x14ac:dyDescent="0.2">
      <c r="B75" s="499">
        <v>10.244686896305913</v>
      </c>
      <c r="C75" s="450">
        <v>2.3662606037028984</v>
      </c>
      <c r="D75" s="471">
        <v>1.5407258116424132</v>
      </c>
      <c r="E75" s="462">
        <v>2.7</v>
      </c>
      <c r="F75" s="461">
        <v>1.1000000000000001</v>
      </c>
      <c r="G75" s="504"/>
      <c r="H75" s="415"/>
      <c r="I75" s="501">
        <v>1.0023662606037029</v>
      </c>
      <c r="J75" s="501">
        <v>1.0015407258116424</v>
      </c>
      <c r="K75" s="421"/>
      <c r="L75" s="421"/>
      <c r="M75" s="337">
        <v>10.088351168999999</v>
      </c>
      <c r="N75" s="326">
        <v>2.4434277964483302</v>
      </c>
      <c r="O75" s="308">
        <v>1.7249632976173415</v>
      </c>
      <c r="P75" s="301">
        <v>2.7</v>
      </c>
      <c r="Q75" s="300">
        <v>1.1000000000000001</v>
      </c>
      <c r="R75" s="334"/>
      <c r="S75" s="252"/>
      <c r="T75" s="339">
        <v>1.0024434277964482</v>
      </c>
      <c r="U75" s="339">
        <v>1.0017249632976173</v>
      </c>
      <c r="V75" s="332"/>
      <c r="W75" s="332"/>
      <c r="X75" s="242">
        <v>3.99</v>
      </c>
      <c r="Y75" s="205">
        <v>2.426065162907268</v>
      </c>
      <c r="Z75" s="199">
        <v>1.4536340852130325</v>
      </c>
      <c r="AA75" s="194">
        <v>2.7</v>
      </c>
      <c r="AB75" s="193">
        <v>1</v>
      </c>
      <c r="AC75" s="186"/>
      <c r="AD75" s="186"/>
      <c r="AE75" s="231">
        <v>0.99757393483709278</v>
      </c>
      <c r="AF75" s="231">
        <v>0.99854636591478696</v>
      </c>
      <c r="AG75" s="186"/>
      <c r="AH75" s="186"/>
      <c r="AI75" s="186"/>
      <c r="AJ75" s="186"/>
      <c r="AK75" s="186"/>
      <c r="AL75" s="186"/>
      <c r="AM75" s="189"/>
    </row>
    <row r="76" spans="2:39" x14ac:dyDescent="0.2">
      <c r="B76" s="499">
        <v>20.484522286393382</v>
      </c>
      <c r="C76" s="450">
        <v>2.4080970489330307</v>
      </c>
      <c r="D76" s="471">
        <v>1.3709496178319074</v>
      </c>
      <c r="E76" s="462">
        <v>2.7</v>
      </c>
      <c r="F76" s="461">
        <v>1</v>
      </c>
      <c r="G76" s="504"/>
      <c r="H76" s="415"/>
      <c r="I76" s="501">
        <v>1.0024080970489331</v>
      </c>
      <c r="J76" s="501">
        <v>1.001370949617832</v>
      </c>
      <c r="K76" s="421"/>
      <c r="L76" s="421"/>
      <c r="M76" s="337">
        <v>20.024590404000001</v>
      </c>
      <c r="N76" s="326">
        <v>2.4459282151850097</v>
      </c>
      <c r="O76" s="308">
        <v>1.4981725832125237</v>
      </c>
      <c r="P76" s="301">
        <v>2.7</v>
      </c>
      <c r="Q76" s="300">
        <v>1</v>
      </c>
      <c r="R76" s="334"/>
      <c r="S76" s="252"/>
      <c r="T76" s="339">
        <v>1.002445928215185</v>
      </c>
      <c r="U76" s="339">
        <v>1.0014981725832126</v>
      </c>
      <c r="V76" s="332"/>
      <c r="W76" s="332"/>
      <c r="X76" s="242">
        <v>8.08</v>
      </c>
      <c r="Y76" s="205">
        <v>2.4089108910891088</v>
      </c>
      <c r="Z76" s="199">
        <v>1.2227722772277227</v>
      </c>
      <c r="AA76" s="194">
        <v>2.6</v>
      </c>
      <c r="AB76" s="193">
        <v>0.9</v>
      </c>
      <c r="AC76" s="186"/>
      <c r="AD76" s="186"/>
      <c r="AE76" s="231">
        <v>0.99759108910891092</v>
      </c>
      <c r="AF76" s="231">
        <v>0.99877722772277233</v>
      </c>
      <c r="AG76" s="186"/>
      <c r="AH76" s="186"/>
      <c r="AI76" s="186"/>
      <c r="AJ76" s="186"/>
      <c r="AK76" s="186"/>
      <c r="AL76" s="186"/>
      <c r="AM76" s="189"/>
    </row>
    <row r="77" spans="2:39" x14ac:dyDescent="0.2">
      <c r="B77" s="499">
        <v>40.049117255515888</v>
      </c>
      <c r="C77" s="450">
        <v>2.389253369127744</v>
      </c>
      <c r="D77" s="471">
        <v>1.1671085457835444</v>
      </c>
      <c r="E77" s="462">
        <v>2.6</v>
      </c>
      <c r="F77" s="461">
        <v>0.9</v>
      </c>
      <c r="G77" s="504"/>
      <c r="H77" s="415"/>
      <c r="I77" s="501">
        <v>1.0023892533691277</v>
      </c>
      <c r="J77" s="501">
        <v>1.0011671085457836</v>
      </c>
      <c r="K77" s="421"/>
      <c r="L77" s="421"/>
      <c r="M77" s="337">
        <v>39.984083609999999</v>
      </c>
      <c r="N77" s="326">
        <v>2.4065788345157322</v>
      </c>
      <c r="O77" s="308">
        <v>1.2721534022422476</v>
      </c>
      <c r="P77" s="301">
        <v>2.6</v>
      </c>
      <c r="Q77" s="300">
        <v>0.9</v>
      </c>
      <c r="R77" s="334"/>
      <c r="S77" s="252"/>
      <c r="T77" s="339">
        <v>1.0024065788345158</v>
      </c>
      <c r="U77" s="339">
        <v>1.0012721534022422</v>
      </c>
      <c r="V77" s="332"/>
      <c r="W77" s="332"/>
      <c r="X77" s="242">
        <v>12</v>
      </c>
      <c r="Y77" s="205">
        <v>2.3866666666666667</v>
      </c>
      <c r="Z77" s="199">
        <v>1.0766666666666667</v>
      </c>
      <c r="AA77" s="194">
        <v>2.6</v>
      </c>
      <c r="AB77" s="193">
        <v>0.7</v>
      </c>
      <c r="AC77" s="186"/>
      <c r="AD77" s="186"/>
      <c r="AE77" s="231">
        <v>0.99761333333333335</v>
      </c>
      <c r="AF77" s="231">
        <v>0.99892333333333339</v>
      </c>
      <c r="AG77" s="186"/>
      <c r="AH77" s="186"/>
      <c r="AI77" s="186"/>
      <c r="AJ77" s="186"/>
      <c r="AK77" s="186"/>
      <c r="AL77" s="186"/>
      <c r="AM77" s="189"/>
    </row>
    <row r="78" spans="2:39" x14ac:dyDescent="0.2">
      <c r="B78" s="499">
        <v>60.357052746308284</v>
      </c>
      <c r="C78" s="450">
        <v>2.3630561606912912</v>
      </c>
      <c r="D78" s="471">
        <v>1.0246486619099557</v>
      </c>
      <c r="E78" s="462">
        <v>2.6</v>
      </c>
      <c r="F78" s="461">
        <v>0.7</v>
      </c>
      <c r="G78" s="504"/>
      <c r="H78" s="415"/>
      <c r="I78" s="501">
        <v>1.0023630561606913</v>
      </c>
      <c r="J78" s="501">
        <v>1.0010246486619099</v>
      </c>
      <c r="K78" s="421"/>
      <c r="L78" s="421"/>
      <c r="M78" s="337">
        <v>60.075535730000006</v>
      </c>
      <c r="N78" s="326">
        <v>2.3775718673340007</v>
      </c>
      <c r="O78" s="308">
        <v>1.1325584395250501</v>
      </c>
      <c r="P78" s="301">
        <v>2.6</v>
      </c>
      <c r="Q78" s="300">
        <v>0.7</v>
      </c>
      <c r="R78" s="334"/>
      <c r="S78" s="252"/>
      <c r="T78" s="339">
        <v>1.002377571867334</v>
      </c>
      <c r="U78" s="339">
        <v>1.001132558439525</v>
      </c>
      <c r="V78" s="332"/>
      <c r="W78" s="332"/>
      <c r="X78" s="242">
        <v>20</v>
      </c>
      <c r="Y78" s="205">
        <v>2.3660000000000001</v>
      </c>
      <c r="Z78" s="199">
        <v>0.89</v>
      </c>
      <c r="AA78" s="194">
        <v>2.6</v>
      </c>
      <c r="AB78" s="193">
        <v>0.6</v>
      </c>
      <c r="AC78" s="186"/>
      <c r="AD78" s="186"/>
      <c r="AE78" s="231">
        <v>0.99763400000000002</v>
      </c>
      <c r="AF78" s="231">
        <v>0.99911000000000005</v>
      </c>
      <c r="AG78" s="186"/>
      <c r="AH78" s="186"/>
      <c r="AI78" s="186"/>
      <c r="AJ78" s="186"/>
      <c r="AK78" s="186"/>
      <c r="AL78" s="186"/>
      <c r="AM78" s="189"/>
    </row>
    <row r="79" spans="2:39" x14ac:dyDescent="0.2">
      <c r="B79" s="499">
        <v>100.21480402166793</v>
      </c>
      <c r="C79" s="450">
        <v>2.334657561665368</v>
      </c>
      <c r="D79" s="471">
        <v>0.8424105116752999</v>
      </c>
      <c r="E79" s="462">
        <v>2.6</v>
      </c>
      <c r="F79" s="461">
        <v>0.6</v>
      </c>
      <c r="G79" s="504"/>
      <c r="H79" s="415"/>
      <c r="I79" s="501">
        <v>1.0023346575616654</v>
      </c>
      <c r="J79" s="501">
        <v>1.0008424105116753</v>
      </c>
      <c r="K79" s="421"/>
      <c r="L79" s="421"/>
      <c r="M79" s="337">
        <v>99.998132580000004</v>
      </c>
      <c r="N79" s="326">
        <v>2.3570012484460539</v>
      </c>
      <c r="O79" s="308">
        <v>0.91866164860468258</v>
      </c>
      <c r="P79" s="301">
        <v>2.6</v>
      </c>
      <c r="Q79" s="300">
        <v>0.6</v>
      </c>
      <c r="R79" s="334"/>
      <c r="S79" s="252"/>
      <c r="T79" s="339">
        <v>1.002357001248446</v>
      </c>
      <c r="U79" s="339">
        <v>1.0009186616486048</v>
      </c>
      <c r="V79" s="332"/>
      <c r="W79" s="332"/>
      <c r="X79" s="242">
        <v>24</v>
      </c>
      <c r="Y79" s="205">
        <v>2.3450000000000002</v>
      </c>
      <c r="Z79" s="199">
        <v>0.84499999999999997</v>
      </c>
      <c r="AA79" s="194" t="s">
        <v>218</v>
      </c>
      <c r="AB79" s="199" t="s">
        <v>218</v>
      </c>
      <c r="AC79" s="186"/>
      <c r="AD79" s="186"/>
      <c r="AE79" s="231">
        <v>0.99765499999999996</v>
      </c>
      <c r="AF79" s="231">
        <v>0.99915500000000002</v>
      </c>
      <c r="AG79" s="186"/>
      <c r="AH79" s="186"/>
      <c r="AI79" s="186"/>
      <c r="AJ79" s="186"/>
      <c r="AK79" s="186"/>
      <c r="AL79" s="186"/>
      <c r="AM79" s="189"/>
    </row>
    <row r="80" spans="2:39" x14ac:dyDescent="0.2">
      <c r="B80" s="499">
        <v>120.24908382310934</v>
      </c>
      <c r="C80" s="450">
        <v>2.3304969797433892</v>
      </c>
      <c r="D80" s="471">
        <v>0.78544477288717662</v>
      </c>
      <c r="E80" s="462" t="s">
        <v>218</v>
      </c>
      <c r="F80" s="505" t="s">
        <v>218</v>
      </c>
      <c r="G80" s="504"/>
      <c r="H80" s="415"/>
      <c r="I80" s="501">
        <v>1.0023304969797433</v>
      </c>
      <c r="J80" s="501">
        <v>1.0007854447728872</v>
      </c>
      <c r="K80" s="421"/>
      <c r="L80" s="421"/>
      <c r="M80" s="337">
        <v>119.99647802</v>
      </c>
      <c r="N80" s="326">
        <v>2.3451111897336836</v>
      </c>
      <c r="O80" s="308">
        <v>0.84420425225410634</v>
      </c>
      <c r="P80" s="301" t="s">
        <v>218</v>
      </c>
      <c r="Q80" s="341" t="s">
        <v>218</v>
      </c>
      <c r="R80" s="334"/>
      <c r="S80" s="252"/>
      <c r="T80" s="339">
        <v>1.0023451111897337</v>
      </c>
      <c r="U80" s="339">
        <v>1.0008442042522541</v>
      </c>
      <c r="V80" s="332"/>
      <c r="W80" s="332"/>
      <c r="X80" s="242">
        <v>25</v>
      </c>
      <c r="Y80" s="192" t="s">
        <v>218</v>
      </c>
      <c r="Z80" s="193" t="s">
        <v>218</v>
      </c>
      <c r="AA80" s="194">
        <v>2.6</v>
      </c>
      <c r="AB80" s="193">
        <v>0.5</v>
      </c>
      <c r="AC80" s="186"/>
      <c r="AD80" s="186"/>
      <c r="AE80" s="186"/>
      <c r="AF80" s="186"/>
      <c r="AG80" s="186"/>
      <c r="AH80" s="186"/>
      <c r="AI80" s="186"/>
      <c r="AJ80" s="186"/>
      <c r="AK80" s="186"/>
      <c r="AL80" s="186"/>
      <c r="AM80" s="189"/>
    </row>
    <row r="81" spans="2:39" x14ac:dyDescent="0.2">
      <c r="B81" s="499">
        <v>25</v>
      </c>
      <c r="C81" s="477" t="s">
        <v>218</v>
      </c>
      <c r="D81" s="471" t="s">
        <v>218</v>
      </c>
      <c r="E81" s="462">
        <v>2.6</v>
      </c>
      <c r="F81" s="461">
        <v>0.5</v>
      </c>
      <c r="G81" s="421"/>
      <c r="H81" s="415" t="s">
        <v>275</v>
      </c>
      <c r="I81" s="501">
        <v>1.0023370856816392</v>
      </c>
      <c r="J81" s="501">
        <v>1.001176655971761</v>
      </c>
      <c r="K81" s="415"/>
      <c r="L81" s="415"/>
      <c r="M81" s="337">
        <v>25</v>
      </c>
      <c r="N81" s="314" t="s">
        <v>218</v>
      </c>
      <c r="O81" s="308" t="s">
        <v>218</v>
      </c>
      <c r="P81" s="301">
        <v>2.6</v>
      </c>
      <c r="Q81" s="300">
        <v>0.5</v>
      </c>
      <c r="R81" s="332"/>
      <c r="S81" s="252" t="s">
        <v>275</v>
      </c>
      <c r="T81" s="339">
        <v>1.0023924250380882</v>
      </c>
      <c r="U81" s="339">
        <v>1.0013234952454939</v>
      </c>
      <c r="V81" s="252"/>
      <c r="W81" s="252"/>
      <c r="X81" s="237"/>
      <c r="Y81" s="224"/>
      <c r="Z81" s="210"/>
      <c r="AA81" s="211"/>
      <c r="AB81" s="210"/>
      <c r="AC81" s="186"/>
      <c r="AD81" s="186"/>
      <c r="AE81" s="186"/>
      <c r="AF81" s="186"/>
      <c r="AG81" s="186"/>
      <c r="AH81" s="186"/>
      <c r="AI81" s="186"/>
      <c r="AJ81" s="186"/>
      <c r="AK81" s="186"/>
      <c r="AL81" s="186"/>
      <c r="AM81" s="189"/>
    </row>
    <row r="82" spans="2:39" x14ac:dyDescent="0.2">
      <c r="B82" s="484"/>
      <c r="C82" s="506"/>
      <c r="D82" s="484"/>
      <c r="E82" s="485"/>
      <c r="F82" s="484"/>
      <c r="G82" s="421"/>
      <c r="H82" s="415" t="s">
        <v>310</v>
      </c>
      <c r="I82" s="502">
        <v>0.23370856816391505</v>
      </c>
      <c r="J82" s="502">
        <v>0.11766559717609759</v>
      </c>
      <c r="K82" s="415"/>
      <c r="L82" s="415"/>
      <c r="M82" s="319"/>
      <c r="N82" s="342"/>
      <c r="O82" s="319"/>
      <c r="P82" s="320"/>
      <c r="Q82" s="319"/>
      <c r="R82" s="332"/>
      <c r="S82" s="252" t="s">
        <v>310</v>
      </c>
      <c r="T82" s="383">
        <v>0.23924250380882306</v>
      </c>
      <c r="U82" s="383">
        <v>0.13234952454939108</v>
      </c>
      <c r="V82" s="252"/>
      <c r="W82" s="252"/>
      <c r="X82" s="185"/>
      <c r="Y82" s="186"/>
      <c r="Z82" s="186"/>
      <c r="AA82" s="186"/>
      <c r="AB82" s="186"/>
      <c r="AC82" s="186"/>
      <c r="AD82" s="186"/>
      <c r="AE82" s="186"/>
      <c r="AF82" s="186"/>
      <c r="AG82" s="186"/>
      <c r="AH82" s="186"/>
      <c r="AI82" s="186"/>
      <c r="AJ82" s="186"/>
      <c r="AK82" s="186"/>
      <c r="AL82" s="186"/>
      <c r="AM82" s="189"/>
    </row>
    <row r="83" spans="2:39" x14ac:dyDescent="0.2">
      <c r="B83" s="415"/>
      <c r="C83" s="415"/>
      <c r="D83" s="415"/>
      <c r="E83" s="415"/>
      <c r="F83" s="415"/>
      <c r="G83" s="421"/>
      <c r="H83" s="503" t="s">
        <v>309</v>
      </c>
      <c r="I83" s="503">
        <v>7.9586541431042205E-5</v>
      </c>
      <c r="J83" s="503">
        <v>3.0721054737177446E-4</v>
      </c>
      <c r="K83" s="415"/>
      <c r="L83" s="415"/>
      <c r="M83" s="252"/>
      <c r="N83" s="252"/>
      <c r="O83" s="252"/>
      <c r="P83" s="252"/>
      <c r="Q83" s="252"/>
      <c r="R83" s="332"/>
      <c r="S83" s="384" t="s">
        <v>309</v>
      </c>
      <c r="T83" s="384">
        <v>4.0460191536959621E-5</v>
      </c>
      <c r="U83" s="384">
        <v>3.9310206822281237E-4</v>
      </c>
      <c r="V83" s="252"/>
      <c r="W83" s="252"/>
      <c r="X83" s="185"/>
      <c r="Y83" s="186"/>
      <c r="Z83" s="186"/>
      <c r="AA83" s="186"/>
      <c r="AB83" s="186"/>
      <c r="AC83" s="186"/>
      <c r="AD83" s="186"/>
      <c r="AE83" s="186"/>
      <c r="AF83" s="186"/>
      <c r="AG83" s="186"/>
      <c r="AH83" s="186"/>
      <c r="AI83" s="186"/>
      <c r="AJ83" s="186"/>
      <c r="AK83" s="186"/>
      <c r="AL83" s="186"/>
      <c r="AM83" s="189"/>
    </row>
    <row r="84" spans="2:39" x14ac:dyDescent="0.2">
      <c r="B84" s="415"/>
      <c r="C84" s="415"/>
      <c r="D84" s="415"/>
      <c r="E84" s="415"/>
      <c r="F84" s="415"/>
      <c r="G84" s="421"/>
      <c r="H84" s="415"/>
      <c r="I84" s="415"/>
      <c r="J84" s="415"/>
      <c r="K84" s="415"/>
      <c r="L84" s="415"/>
      <c r="M84" s="252"/>
      <c r="N84" s="252"/>
      <c r="O84" s="252"/>
      <c r="P84" s="252"/>
      <c r="Q84" s="252"/>
      <c r="R84" s="332"/>
      <c r="S84" s="252"/>
      <c r="T84" s="252"/>
      <c r="U84" s="252"/>
      <c r="V84" s="252"/>
      <c r="W84" s="252"/>
      <c r="X84" s="185"/>
      <c r="Y84" s="186"/>
      <c r="Z84" s="186"/>
      <c r="AA84" s="186"/>
      <c r="AB84" s="186"/>
      <c r="AC84" s="186"/>
      <c r="AD84" s="186"/>
      <c r="AE84" s="186"/>
      <c r="AF84" s="186"/>
      <c r="AG84" s="186"/>
      <c r="AH84" s="186"/>
      <c r="AI84" s="186"/>
      <c r="AJ84" s="186"/>
      <c r="AK84" s="186"/>
      <c r="AL84" s="186"/>
      <c r="AM84" s="189"/>
    </row>
    <row r="85" spans="2:39" ht="41.45" customHeight="1" x14ac:dyDescent="0.2">
      <c r="B85" s="490" t="s">
        <v>397</v>
      </c>
      <c r="C85" s="491"/>
      <c r="D85" s="491"/>
      <c r="E85" s="491"/>
      <c r="F85" s="492"/>
      <c r="G85" s="493">
        <v>41177</v>
      </c>
      <c r="H85" s="415"/>
      <c r="I85" s="415"/>
      <c r="J85" s="415"/>
      <c r="K85" s="415"/>
      <c r="L85" s="415"/>
      <c r="M85" s="327" t="s">
        <v>273</v>
      </c>
      <c r="N85" s="328"/>
      <c r="O85" s="328"/>
      <c r="P85" s="328"/>
      <c r="Q85" s="329"/>
      <c r="R85" s="330">
        <v>39379</v>
      </c>
      <c r="S85" s="252"/>
      <c r="T85" s="252"/>
      <c r="U85" s="252"/>
      <c r="V85" s="252"/>
      <c r="W85" s="252"/>
      <c r="X85" s="555" t="s">
        <v>238</v>
      </c>
      <c r="Y85" s="556"/>
      <c r="Z85" s="557"/>
      <c r="AA85" s="186"/>
      <c r="AB85" s="186"/>
      <c r="AC85" s="186"/>
      <c r="AD85" s="186"/>
      <c r="AE85" s="186"/>
      <c r="AF85" s="186"/>
      <c r="AG85" s="186"/>
      <c r="AH85" s="186"/>
      <c r="AI85" s="186"/>
      <c r="AJ85" s="186"/>
      <c r="AK85" s="186"/>
      <c r="AL85" s="186"/>
      <c r="AM85" s="189"/>
    </row>
    <row r="86" spans="2:39" x14ac:dyDescent="0.2">
      <c r="B86" s="494" t="s">
        <v>220</v>
      </c>
      <c r="C86" s="421"/>
      <c r="D86" s="421"/>
      <c r="E86" s="421"/>
      <c r="F86" s="495"/>
      <c r="G86" s="504" t="s">
        <v>276</v>
      </c>
      <c r="H86" s="415"/>
      <c r="I86" s="415"/>
      <c r="J86" s="415"/>
      <c r="K86" s="415"/>
      <c r="L86" s="415"/>
      <c r="M86" s="331" t="s">
        <v>220</v>
      </c>
      <c r="N86" s="332"/>
      <c r="O86" s="332"/>
      <c r="P86" s="332"/>
      <c r="Q86" s="333"/>
      <c r="R86" s="334" t="s">
        <v>276</v>
      </c>
      <c r="S86" s="252"/>
      <c r="T86" s="252"/>
      <c r="U86" s="252"/>
      <c r="V86" s="252"/>
      <c r="W86" s="252"/>
      <c r="X86" s="245" t="s">
        <v>194</v>
      </c>
      <c r="Y86" s="171" t="s">
        <v>195</v>
      </c>
      <c r="Z86" s="172" t="s">
        <v>196</v>
      </c>
      <c r="AA86" s="186"/>
      <c r="AB86" s="186"/>
      <c r="AC86" s="186"/>
      <c r="AD86" s="186"/>
      <c r="AE86" s="186"/>
      <c r="AF86" s="186"/>
      <c r="AG86" s="186"/>
      <c r="AH86" s="186"/>
      <c r="AI86" s="186"/>
      <c r="AJ86" s="186"/>
      <c r="AK86" s="186"/>
      <c r="AL86" s="186"/>
      <c r="AM86" s="189"/>
    </row>
    <row r="87" spans="2:39" x14ac:dyDescent="0.2">
      <c r="B87" s="458" t="s">
        <v>208</v>
      </c>
      <c r="C87" s="497" t="s">
        <v>209</v>
      </c>
      <c r="D87" s="458" t="s">
        <v>210</v>
      </c>
      <c r="E87" s="458"/>
      <c r="F87" s="459"/>
      <c r="G87" s="421"/>
      <c r="H87" s="415"/>
      <c r="I87" s="415"/>
      <c r="J87" s="415"/>
      <c r="K87" s="415"/>
      <c r="L87" s="415"/>
      <c r="M87" s="297" t="s">
        <v>208</v>
      </c>
      <c r="N87" s="335" t="s">
        <v>209</v>
      </c>
      <c r="O87" s="297" t="s">
        <v>210</v>
      </c>
      <c r="P87" s="297"/>
      <c r="Q87" s="298"/>
      <c r="R87" s="332"/>
      <c r="S87" s="252"/>
      <c r="T87" s="252"/>
      <c r="U87" s="252"/>
      <c r="V87" s="252"/>
      <c r="W87" s="252"/>
      <c r="X87" s="246" t="s">
        <v>197</v>
      </c>
      <c r="Y87" s="173"/>
      <c r="Z87" s="174" t="s">
        <v>198</v>
      </c>
      <c r="AA87" s="186"/>
      <c r="AB87" s="186"/>
      <c r="AC87" s="186"/>
      <c r="AD87" s="186"/>
      <c r="AE87" s="186"/>
      <c r="AF87" s="186"/>
      <c r="AG87" s="186"/>
      <c r="AH87" s="186"/>
      <c r="AI87" s="186"/>
      <c r="AJ87" s="186"/>
      <c r="AK87" s="186"/>
      <c r="AL87" s="186"/>
      <c r="AM87" s="189"/>
    </row>
    <row r="88" spans="2:39" x14ac:dyDescent="0.2">
      <c r="B88" s="461" t="s">
        <v>211</v>
      </c>
      <c r="C88" s="452" t="s">
        <v>19</v>
      </c>
      <c r="D88" s="461" t="s">
        <v>19</v>
      </c>
      <c r="E88" s="461"/>
      <c r="F88" s="462"/>
      <c r="G88" s="421"/>
      <c r="H88" s="415"/>
      <c r="I88" s="421" t="s">
        <v>221</v>
      </c>
      <c r="J88" s="421"/>
      <c r="K88" s="415"/>
      <c r="L88" s="415"/>
      <c r="M88" s="300" t="s">
        <v>211</v>
      </c>
      <c r="N88" s="302" t="s">
        <v>19</v>
      </c>
      <c r="O88" s="300" t="s">
        <v>19</v>
      </c>
      <c r="P88" s="300"/>
      <c r="Q88" s="301"/>
      <c r="R88" s="332"/>
      <c r="S88" s="252"/>
      <c r="T88" s="332" t="s">
        <v>221</v>
      </c>
      <c r="U88" s="332"/>
      <c r="V88" s="252"/>
      <c r="W88" s="252"/>
      <c r="X88" s="247" t="s">
        <v>200</v>
      </c>
      <c r="Y88" s="175" t="s">
        <v>200</v>
      </c>
      <c r="Z88" s="176" t="s">
        <v>200</v>
      </c>
      <c r="AA88" s="186"/>
      <c r="AB88" s="238" t="s">
        <v>201</v>
      </c>
      <c r="AC88" s="181"/>
      <c r="AD88" s="181"/>
      <c r="AE88" s="181"/>
      <c r="AF88" s="181"/>
      <c r="AG88" s="181"/>
      <c r="AH88" s="186"/>
      <c r="AI88" s="186"/>
      <c r="AJ88" s="186"/>
      <c r="AK88" s="186"/>
      <c r="AL88" s="186"/>
      <c r="AM88" s="189"/>
    </row>
    <row r="89" spans="2:39" x14ac:dyDescent="0.2">
      <c r="B89" s="464" t="s">
        <v>214</v>
      </c>
      <c r="C89" s="498" t="s">
        <v>215</v>
      </c>
      <c r="D89" s="464" t="s">
        <v>216</v>
      </c>
      <c r="E89" s="461"/>
      <c r="F89" s="462"/>
      <c r="G89" s="421"/>
      <c r="H89" s="415"/>
      <c r="I89" s="421" t="s">
        <v>222</v>
      </c>
      <c r="J89" s="421" t="s">
        <v>223</v>
      </c>
      <c r="K89" s="415"/>
      <c r="L89" s="415"/>
      <c r="M89" s="304" t="s">
        <v>214</v>
      </c>
      <c r="N89" s="336" t="s">
        <v>215</v>
      </c>
      <c r="O89" s="304" t="s">
        <v>216</v>
      </c>
      <c r="P89" s="300"/>
      <c r="Q89" s="301"/>
      <c r="R89" s="332"/>
      <c r="S89" s="252"/>
      <c r="T89" s="332" t="s">
        <v>222</v>
      </c>
      <c r="U89" s="332" t="s">
        <v>223</v>
      </c>
      <c r="V89" s="252"/>
      <c r="W89" s="252"/>
      <c r="X89" s="246">
        <v>-25</v>
      </c>
      <c r="Y89" s="177">
        <v>0.20094670488564503</v>
      </c>
      <c r="Z89" s="178">
        <v>0.05</v>
      </c>
      <c r="AA89" s="186"/>
      <c r="AB89" s="181" t="s">
        <v>231</v>
      </c>
      <c r="AC89" s="181"/>
      <c r="AD89" s="181"/>
      <c r="AE89" s="181"/>
      <c r="AF89" s="181"/>
      <c r="AG89" s="181"/>
      <c r="AH89" s="186"/>
      <c r="AI89" s="186"/>
      <c r="AJ89" s="186"/>
      <c r="AK89" s="186"/>
      <c r="AL89" s="186"/>
      <c r="AM89" s="189"/>
    </row>
    <row r="90" spans="2:39" x14ac:dyDescent="0.2">
      <c r="B90" s="499">
        <v>100.92730455366367</v>
      </c>
      <c r="C90" s="450">
        <v>2.3100774796711701</v>
      </c>
      <c r="D90" s="471">
        <v>0.88700169951598018</v>
      </c>
      <c r="E90" s="459"/>
      <c r="F90" s="458"/>
      <c r="G90" s="504"/>
      <c r="H90" s="415"/>
      <c r="I90" s="501">
        <v>1.0023100774796712</v>
      </c>
      <c r="J90" s="501">
        <v>1.0008870016995159</v>
      </c>
      <c r="K90" s="415"/>
      <c r="L90" s="415"/>
      <c r="M90" s="337">
        <v>100.75423666</v>
      </c>
      <c r="N90" s="326">
        <v>2.3483746309525362</v>
      </c>
      <c r="O90" s="308">
        <v>0.92169582552354368</v>
      </c>
      <c r="P90" s="298"/>
      <c r="Q90" s="297"/>
      <c r="R90" s="334"/>
      <c r="S90" s="252"/>
      <c r="T90" s="339">
        <v>1.0023483746309525</v>
      </c>
      <c r="U90" s="339">
        <v>1.0009216958255236</v>
      </c>
      <c r="V90" s="252"/>
      <c r="W90" s="252"/>
      <c r="X90" s="246">
        <v>-20</v>
      </c>
      <c r="Y90" s="177">
        <v>5.9056381629069676E-2</v>
      </c>
      <c r="Z90" s="178">
        <v>0</v>
      </c>
      <c r="AA90" s="186"/>
      <c r="AB90" s="186"/>
      <c r="AC90" s="186"/>
      <c r="AD90" s="186"/>
      <c r="AE90" s="186"/>
      <c r="AF90" s="186"/>
      <c r="AG90" s="186"/>
      <c r="AH90" s="186"/>
      <c r="AI90" s="186"/>
      <c r="AJ90" s="186"/>
      <c r="AK90" s="186"/>
      <c r="AL90" s="186"/>
      <c r="AM90" s="189"/>
    </row>
    <row r="91" spans="2:39" x14ac:dyDescent="0.2">
      <c r="B91" s="499">
        <v>100.62966071879738</v>
      </c>
      <c r="C91" s="450">
        <v>2.3122270478833906</v>
      </c>
      <c r="D91" s="471">
        <v>0.88890906876814357</v>
      </c>
      <c r="E91" s="462"/>
      <c r="F91" s="461"/>
      <c r="G91" s="504"/>
      <c r="H91" s="415"/>
      <c r="I91" s="501">
        <v>1.0023122270478835</v>
      </c>
      <c r="J91" s="501">
        <v>1.000888909068768</v>
      </c>
      <c r="K91" s="415"/>
      <c r="L91" s="415"/>
      <c r="M91" s="337">
        <v>100.45340404000001</v>
      </c>
      <c r="N91" s="326">
        <v>2.3535341477579257</v>
      </c>
      <c r="O91" s="308">
        <v>0.92272978255427773</v>
      </c>
      <c r="P91" s="301"/>
      <c r="Q91" s="300"/>
      <c r="R91" s="334"/>
      <c r="S91" s="252"/>
      <c r="T91" s="339">
        <v>1.0023535341477579</v>
      </c>
      <c r="U91" s="339">
        <v>1.0009227297825543</v>
      </c>
      <c r="V91" s="252"/>
      <c r="W91" s="252"/>
      <c r="X91" s="246">
        <v>-15</v>
      </c>
      <c r="Y91" s="177">
        <v>2.1348903614224923E-2</v>
      </c>
      <c r="Z91" s="178">
        <v>0.05</v>
      </c>
      <c r="AA91" s="186"/>
      <c r="AB91" s="186"/>
      <c r="AC91" s="186"/>
      <c r="AD91" s="186"/>
      <c r="AE91" s="186"/>
      <c r="AF91" s="186"/>
      <c r="AG91" s="186"/>
      <c r="AH91" s="186"/>
      <c r="AI91" s="186"/>
      <c r="AJ91" s="186"/>
      <c r="AK91" s="186"/>
      <c r="AL91" s="186"/>
      <c r="AM91" s="189"/>
    </row>
    <row r="92" spans="2:39" x14ac:dyDescent="0.2">
      <c r="B92" s="499">
        <v>100.50998679497107</v>
      </c>
      <c r="C92" s="450">
        <v>2.2226140617817629</v>
      </c>
      <c r="D92" s="471">
        <v>0.88871954102976258</v>
      </c>
      <c r="E92" s="462"/>
      <c r="F92" s="461"/>
      <c r="G92" s="496" t="s">
        <v>277</v>
      </c>
      <c r="H92" s="415"/>
      <c r="I92" s="501">
        <v>1.0022226140617818</v>
      </c>
      <c r="J92" s="501">
        <v>1.0008887195410299</v>
      </c>
      <c r="K92" s="415"/>
      <c r="L92" s="415"/>
      <c r="M92" s="337">
        <v>100.74444414999999</v>
      </c>
      <c r="N92" s="326">
        <v>2.2681705702114003</v>
      </c>
      <c r="O92" s="308">
        <v>0.92093371946672076</v>
      </c>
      <c r="P92" s="301"/>
      <c r="Q92" s="300"/>
      <c r="R92" s="343" t="s">
        <v>277</v>
      </c>
      <c r="S92" s="252"/>
      <c r="T92" s="339">
        <v>1.0022681705702114</v>
      </c>
      <c r="U92" s="339">
        <v>1.0009209337194667</v>
      </c>
      <c r="V92" s="252"/>
      <c r="W92" s="252"/>
      <c r="X92" s="246">
        <v>-10</v>
      </c>
      <c r="Y92" s="177">
        <v>-3.7564086408558239E-2</v>
      </c>
      <c r="Z92" s="178">
        <v>0.1</v>
      </c>
      <c r="AA92" s="186"/>
      <c r="AB92" s="186"/>
      <c r="AC92" s="186"/>
      <c r="AD92" s="186"/>
      <c r="AE92" s="186"/>
      <c r="AF92" s="186"/>
      <c r="AG92" s="186"/>
      <c r="AH92" s="186"/>
      <c r="AI92" s="186"/>
      <c r="AJ92" s="186"/>
      <c r="AK92" s="186"/>
      <c r="AL92" s="186"/>
      <c r="AM92" s="189"/>
    </row>
    <row r="93" spans="2:39" x14ac:dyDescent="0.2">
      <c r="B93" s="499">
        <v>100.42384555211731</v>
      </c>
      <c r="C93" s="450">
        <v>2.2235879546899699</v>
      </c>
      <c r="D93" s="471">
        <v>0.88977946265720598</v>
      </c>
      <c r="E93" s="462"/>
      <c r="F93" s="461"/>
      <c r="G93" s="496" t="s">
        <v>277</v>
      </c>
      <c r="H93" s="415"/>
      <c r="I93" s="501">
        <v>1.0022235879546899</v>
      </c>
      <c r="J93" s="501">
        <v>1.0008897794626572</v>
      </c>
      <c r="K93" s="415"/>
      <c r="L93" s="415"/>
      <c r="M93" s="337">
        <v>100.60846175</v>
      </c>
      <c r="N93" s="326">
        <v>2.2702835927217624</v>
      </c>
      <c r="O93" s="308">
        <v>0.92100597757788893</v>
      </c>
      <c r="P93" s="301"/>
      <c r="Q93" s="300"/>
      <c r="R93" s="343" t="s">
        <v>277</v>
      </c>
      <c r="S93" s="252"/>
      <c r="T93" s="339">
        <v>1.0022702835927217</v>
      </c>
      <c r="U93" s="339">
        <v>1.0009210059775779</v>
      </c>
      <c r="V93" s="252"/>
      <c r="W93" s="252"/>
      <c r="X93" s="246">
        <v>-5</v>
      </c>
      <c r="Y93" s="177">
        <v>2.7055728058495987E-3</v>
      </c>
      <c r="Z93" s="178">
        <v>0.05</v>
      </c>
      <c r="AA93" s="186"/>
      <c r="AB93" s="186"/>
      <c r="AC93" s="186"/>
      <c r="AD93" s="186"/>
      <c r="AE93" s="186"/>
      <c r="AF93" s="186"/>
      <c r="AG93" s="186"/>
      <c r="AH93" s="186"/>
      <c r="AI93" s="186"/>
      <c r="AJ93" s="186"/>
      <c r="AK93" s="186"/>
      <c r="AL93" s="186"/>
      <c r="AM93" s="189"/>
    </row>
    <row r="94" spans="2:39" x14ac:dyDescent="0.2">
      <c r="B94" s="499">
        <v>100.38429597554104</v>
      </c>
      <c r="C94" s="450">
        <v>2.1821578219768494</v>
      </c>
      <c r="D94" s="471">
        <v>0.88877233701048486</v>
      </c>
      <c r="E94" s="462"/>
      <c r="F94" s="461"/>
      <c r="G94" s="496" t="s">
        <v>278</v>
      </c>
      <c r="H94" s="415"/>
      <c r="I94" s="501">
        <v>1.0021821578219769</v>
      </c>
      <c r="J94" s="501">
        <v>1.0008887723370106</v>
      </c>
      <c r="K94" s="415"/>
      <c r="L94" s="415"/>
      <c r="M94" s="337">
        <v>100.40623825000002</v>
      </c>
      <c r="N94" s="326">
        <v>2.2363987594830941</v>
      </c>
      <c r="O94" s="308">
        <v>0.91363187120829903</v>
      </c>
      <c r="P94" s="301"/>
      <c r="Q94" s="300"/>
      <c r="R94" s="343" t="s">
        <v>278</v>
      </c>
      <c r="S94" s="252"/>
      <c r="T94" s="339">
        <v>1.0022363987594831</v>
      </c>
      <c r="U94" s="339">
        <v>1.0009136318712084</v>
      </c>
      <c r="V94" s="252"/>
      <c r="W94" s="252"/>
      <c r="X94" s="246">
        <v>0</v>
      </c>
      <c r="Y94" s="177">
        <v>2.721492413352691E-2</v>
      </c>
      <c r="Z94" s="178">
        <v>0</v>
      </c>
      <c r="AA94" s="186"/>
      <c r="AB94" s="186"/>
      <c r="AC94" s="186"/>
      <c r="AD94" s="186"/>
      <c r="AE94" s="186"/>
      <c r="AF94" s="186"/>
      <c r="AG94" s="186"/>
      <c r="AH94" s="186"/>
      <c r="AI94" s="186"/>
      <c r="AJ94" s="186"/>
      <c r="AK94" s="186"/>
      <c r="AL94" s="186"/>
      <c r="AM94" s="189"/>
    </row>
    <row r="95" spans="2:39" x14ac:dyDescent="0.2">
      <c r="B95" s="499">
        <v>100.47603755330582</v>
      </c>
      <c r="C95" s="450">
        <v>2.1822139089665171</v>
      </c>
      <c r="D95" s="471">
        <v>0.89054169709398368</v>
      </c>
      <c r="E95" s="462"/>
      <c r="F95" s="461"/>
      <c r="G95" s="496" t="s">
        <v>278</v>
      </c>
      <c r="H95" s="415"/>
      <c r="I95" s="501">
        <v>1.0021822139089664</v>
      </c>
      <c r="J95" s="501">
        <v>1.0008905416970939</v>
      </c>
      <c r="K95" s="415"/>
      <c r="L95" s="415"/>
      <c r="M95" s="337">
        <v>100.17655532000001</v>
      </c>
      <c r="N95" s="326">
        <v>2.2366105450949538</v>
      </c>
      <c r="O95" s="308">
        <v>0.91422247158977465</v>
      </c>
      <c r="P95" s="301"/>
      <c r="Q95" s="300"/>
      <c r="R95" s="343" t="s">
        <v>278</v>
      </c>
      <c r="S95" s="252"/>
      <c r="T95" s="339">
        <v>1.0022366105450951</v>
      </c>
      <c r="U95" s="339">
        <v>1.0009142224715897</v>
      </c>
      <c r="V95" s="252"/>
      <c r="W95" s="252"/>
      <c r="X95" s="246">
        <v>5</v>
      </c>
      <c r="Y95" s="177">
        <v>8.6072219246671189E-2</v>
      </c>
      <c r="Z95" s="178">
        <v>-0.05</v>
      </c>
      <c r="AA95" s="186"/>
      <c r="AB95" s="186"/>
      <c r="AC95" s="186"/>
      <c r="AD95" s="186"/>
      <c r="AE95" s="186"/>
      <c r="AF95" s="186"/>
      <c r="AG95" s="186"/>
      <c r="AH95" s="186"/>
      <c r="AI95" s="186"/>
      <c r="AJ95" s="186"/>
      <c r="AK95" s="186"/>
      <c r="AL95" s="186"/>
      <c r="AM95" s="189"/>
    </row>
    <row r="96" spans="2:39" x14ac:dyDescent="0.2">
      <c r="B96" s="484"/>
      <c r="C96" s="506"/>
      <c r="D96" s="484"/>
      <c r="E96" s="485"/>
      <c r="F96" s="484"/>
      <c r="G96" s="421"/>
      <c r="H96" s="415" t="s">
        <v>275</v>
      </c>
      <c r="I96" s="501">
        <v>1.0022388130458284</v>
      </c>
      <c r="J96" s="501">
        <v>1.0008889539676795</v>
      </c>
      <c r="K96" s="415"/>
      <c r="L96" s="415"/>
      <c r="M96" s="319"/>
      <c r="N96" s="342"/>
      <c r="O96" s="319"/>
      <c r="P96" s="320"/>
      <c r="Q96" s="319"/>
      <c r="R96" s="332"/>
      <c r="S96" s="252" t="s">
        <v>275</v>
      </c>
      <c r="T96" s="339">
        <v>1.0022855620410371</v>
      </c>
      <c r="U96" s="339">
        <v>1.0009190366079868</v>
      </c>
      <c r="V96" s="252"/>
      <c r="W96" s="252"/>
      <c r="X96" s="246">
        <v>10</v>
      </c>
      <c r="Y96" s="177">
        <v>1.0416809637042945E-2</v>
      </c>
      <c r="Z96" s="178">
        <v>0</v>
      </c>
      <c r="AA96" s="186"/>
      <c r="AB96" s="186"/>
      <c r="AC96" s="186"/>
      <c r="AD96" s="186"/>
      <c r="AE96" s="186"/>
      <c r="AF96" s="186"/>
      <c r="AG96" s="186"/>
      <c r="AH96" s="186"/>
      <c r="AI96" s="186"/>
      <c r="AJ96" s="186"/>
      <c r="AK96" s="186"/>
      <c r="AL96" s="186"/>
      <c r="AM96" s="189"/>
    </row>
    <row r="97" spans="2:39" x14ac:dyDescent="0.2">
      <c r="B97" s="415"/>
      <c r="C97" s="415"/>
      <c r="D97" s="415"/>
      <c r="E97" s="415"/>
      <c r="F97" s="415"/>
      <c r="G97" s="415"/>
      <c r="H97" s="415"/>
      <c r="I97" s="415"/>
      <c r="J97" s="415"/>
      <c r="K97" s="415"/>
      <c r="L97" s="415"/>
      <c r="M97" s="252"/>
      <c r="N97" s="252"/>
      <c r="O97" s="252"/>
      <c r="P97" s="252"/>
      <c r="Q97" s="252"/>
      <c r="R97" s="252"/>
      <c r="S97" s="252"/>
      <c r="T97" s="252"/>
      <c r="U97" s="252"/>
      <c r="V97" s="252"/>
      <c r="W97" s="252"/>
      <c r="X97" s="246">
        <v>15</v>
      </c>
      <c r="Y97" s="177">
        <v>6.5962015423330911E-2</v>
      </c>
      <c r="Z97" s="178">
        <v>-0.1</v>
      </c>
      <c r="AA97" s="186"/>
      <c r="AB97" s="186"/>
      <c r="AC97" s="186"/>
      <c r="AD97" s="186"/>
      <c r="AE97" s="186"/>
      <c r="AF97" s="186"/>
      <c r="AG97" s="186"/>
      <c r="AH97" s="186"/>
      <c r="AI97" s="186"/>
      <c r="AJ97" s="186"/>
      <c r="AK97" s="186"/>
      <c r="AL97" s="186"/>
      <c r="AM97" s="189"/>
    </row>
    <row r="98" spans="2:39" x14ac:dyDescent="0.2">
      <c r="B98" s="415"/>
      <c r="C98" s="415"/>
      <c r="D98" s="415"/>
      <c r="E98" s="415"/>
      <c r="F98" s="415"/>
      <c r="G98" s="415"/>
      <c r="H98" s="415"/>
      <c r="I98" s="415"/>
      <c r="J98" s="415"/>
      <c r="K98" s="415"/>
      <c r="L98" s="415"/>
      <c r="M98" s="252"/>
      <c r="N98" s="252"/>
      <c r="O98" s="252"/>
      <c r="P98" s="252"/>
      <c r="Q98" s="252"/>
      <c r="R98" s="252"/>
      <c r="S98" s="252"/>
      <c r="T98" s="252"/>
      <c r="U98" s="252"/>
      <c r="V98" s="252"/>
      <c r="W98" s="252"/>
      <c r="X98" s="246">
        <v>20</v>
      </c>
      <c r="Y98" s="177">
        <v>1.5906648000385104E-2</v>
      </c>
      <c r="Z98" s="178">
        <v>-0.05</v>
      </c>
      <c r="AA98" s="186"/>
      <c r="AB98" s="186"/>
      <c r="AC98" s="186"/>
      <c r="AD98" s="186"/>
      <c r="AE98" s="186"/>
      <c r="AF98" s="186"/>
      <c r="AG98" s="186"/>
      <c r="AH98" s="186"/>
      <c r="AI98" s="186"/>
      <c r="AJ98" s="186"/>
      <c r="AK98" s="186"/>
      <c r="AL98" s="186"/>
      <c r="AM98" s="189"/>
    </row>
    <row r="99" spans="2:39" x14ac:dyDescent="0.2">
      <c r="B99" s="490" t="s">
        <v>400</v>
      </c>
      <c r="C99" s="491"/>
      <c r="D99" s="491"/>
      <c r="E99" s="491"/>
      <c r="F99" s="492"/>
      <c r="G99" s="493">
        <v>41185</v>
      </c>
      <c r="H99" s="415"/>
      <c r="I99" s="415"/>
      <c r="J99" s="415"/>
      <c r="K99" s="415"/>
      <c r="L99" s="415"/>
      <c r="M99" s="327" t="s">
        <v>273</v>
      </c>
      <c r="N99" s="328"/>
      <c r="O99" s="328"/>
      <c r="P99" s="328"/>
      <c r="Q99" s="329"/>
      <c r="R99" s="330">
        <v>39380</v>
      </c>
      <c r="S99" s="252"/>
      <c r="T99" s="252"/>
      <c r="U99" s="252"/>
      <c r="V99" s="252"/>
      <c r="W99" s="252"/>
      <c r="X99" s="246">
        <v>25</v>
      </c>
      <c r="Y99" s="177">
        <v>1.4772799858491226E-2</v>
      </c>
      <c r="Z99" s="178">
        <v>-0.05</v>
      </c>
      <c r="AA99" s="186"/>
      <c r="AB99" s="186"/>
      <c r="AC99" s="186"/>
      <c r="AD99" s="186"/>
      <c r="AE99" s="186"/>
      <c r="AF99" s="186"/>
      <c r="AG99" s="186"/>
      <c r="AH99" s="186"/>
      <c r="AI99" s="186"/>
      <c r="AJ99" s="186"/>
      <c r="AK99" s="186"/>
      <c r="AL99" s="186"/>
      <c r="AM99" s="189"/>
    </row>
    <row r="100" spans="2:39" x14ac:dyDescent="0.2">
      <c r="B100" s="494" t="s">
        <v>220</v>
      </c>
      <c r="C100" s="421"/>
      <c r="D100" s="421"/>
      <c r="E100" s="421"/>
      <c r="F100" s="495"/>
      <c r="G100" s="496" t="s">
        <v>401</v>
      </c>
      <c r="H100" s="415"/>
      <c r="I100" s="415"/>
      <c r="J100" s="415"/>
      <c r="K100" s="415"/>
      <c r="L100" s="415"/>
      <c r="M100" s="331" t="s">
        <v>220</v>
      </c>
      <c r="N100" s="332"/>
      <c r="O100" s="332"/>
      <c r="P100" s="332"/>
      <c r="Q100" s="333"/>
      <c r="R100" s="334" t="s">
        <v>276</v>
      </c>
      <c r="S100" s="252"/>
      <c r="T100" s="252"/>
      <c r="U100" s="252"/>
      <c r="V100" s="252"/>
      <c r="W100" s="252"/>
      <c r="X100" s="247"/>
      <c r="Y100" s="179"/>
      <c r="Z100" s="180"/>
      <c r="AA100" s="186"/>
      <c r="AB100" s="186"/>
      <c r="AC100" s="186"/>
      <c r="AD100" s="186"/>
      <c r="AE100" s="186"/>
      <c r="AF100" s="186"/>
      <c r="AG100" s="186"/>
      <c r="AH100" s="186"/>
      <c r="AI100" s="186"/>
      <c r="AJ100" s="186"/>
      <c r="AK100" s="186"/>
      <c r="AL100" s="186"/>
      <c r="AM100" s="189"/>
    </row>
    <row r="101" spans="2:39" ht="13.5" thickBot="1" x14ac:dyDescent="0.25">
      <c r="B101" s="458" t="s">
        <v>208</v>
      </c>
      <c r="C101" s="497" t="s">
        <v>209</v>
      </c>
      <c r="D101" s="458" t="s">
        <v>210</v>
      </c>
      <c r="E101" s="458" t="s">
        <v>196</v>
      </c>
      <c r="F101" s="459" t="s">
        <v>196</v>
      </c>
      <c r="G101" s="421"/>
      <c r="H101" s="415"/>
      <c r="I101" s="415"/>
      <c r="J101" s="415"/>
      <c r="K101" s="415"/>
      <c r="L101" s="415"/>
      <c r="M101" s="297" t="s">
        <v>208</v>
      </c>
      <c r="N101" s="335" t="s">
        <v>209</v>
      </c>
      <c r="O101" s="297" t="s">
        <v>210</v>
      </c>
      <c r="P101" s="297" t="s">
        <v>196</v>
      </c>
      <c r="Q101" s="298" t="s">
        <v>196</v>
      </c>
      <c r="R101" s="332"/>
      <c r="S101" s="252"/>
      <c r="T101" s="252"/>
      <c r="U101" s="252"/>
      <c r="V101" s="252"/>
      <c r="W101" s="252"/>
      <c r="X101" s="225"/>
      <c r="Y101" s="226"/>
      <c r="Z101" s="226"/>
      <c r="AA101" s="226"/>
      <c r="AB101" s="226"/>
      <c r="AC101" s="226"/>
      <c r="AD101" s="226"/>
      <c r="AE101" s="226"/>
      <c r="AF101" s="226"/>
      <c r="AG101" s="226"/>
      <c r="AH101" s="226"/>
      <c r="AI101" s="226"/>
      <c r="AJ101" s="226"/>
      <c r="AK101" s="226"/>
      <c r="AL101" s="226"/>
      <c r="AM101" s="227"/>
    </row>
    <row r="102" spans="2:39" x14ac:dyDescent="0.2">
      <c r="B102" s="461" t="s">
        <v>211</v>
      </c>
      <c r="C102" s="452" t="s">
        <v>19</v>
      </c>
      <c r="D102" s="461" t="s">
        <v>19</v>
      </c>
      <c r="E102" s="461" t="s">
        <v>212</v>
      </c>
      <c r="F102" s="462" t="s">
        <v>213</v>
      </c>
      <c r="G102" s="421"/>
      <c r="H102" s="415"/>
      <c r="I102" s="421" t="s">
        <v>221</v>
      </c>
      <c r="J102" s="421"/>
      <c r="K102" s="415"/>
      <c r="L102" s="415"/>
      <c r="M102" s="300" t="s">
        <v>211</v>
      </c>
      <c r="N102" s="302" t="s">
        <v>19</v>
      </c>
      <c r="O102" s="300" t="s">
        <v>19</v>
      </c>
      <c r="P102" s="300" t="s">
        <v>212</v>
      </c>
      <c r="Q102" s="301" t="s">
        <v>213</v>
      </c>
      <c r="R102" s="332"/>
      <c r="S102" s="252"/>
      <c r="T102" s="332" t="s">
        <v>221</v>
      </c>
      <c r="U102" s="332"/>
      <c r="V102" s="252"/>
      <c r="W102" s="252"/>
    </row>
    <row r="103" spans="2:39" x14ac:dyDescent="0.2">
      <c r="B103" s="464" t="s">
        <v>214</v>
      </c>
      <c r="C103" s="498" t="s">
        <v>215</v>
      </c>
      <c r="D103" s="464" t="s">
        <v>216</v>
      </c>
      <c r="E103" s="461" t="s">
        <v>215</v>
      </c>
      <c r="F103" s="462" t="s">
        <v>216</v>
      </c>
      <c r="G103" s="421"/>
      <c r="H103" s="415"/>
      <c r="I103" s="421" t="s">
        <v>222</v>
      </c>
      <c r="J103" s="421" t="s">
        <v>223</v>
      </c>
      <c r="K103" s="415"/>
      <c r="L103" s="415"/>
      <c r="M103" s="304" t="s">
        <v>214</v>
      </c>
      <c r="N103" s="336" t="s">
        <v>215</v>
      </c>
      <c r="O103" s="304" t="s">
        <v>216</v>
      </c>
      <c r="P103" s="300" t="s">
        <v>215</v>
      </c>
      <c r="Q103" s="301" t="s">
        <v>216</v>
      </c>
      <c r="R103" s="332"/>
      <c r="S103" s="252"/>
      <c r="T103" s="332" t="s">
        <v>222</v>
      </c>
      <c r="U103" s="332" t="s">
        <v>223</v>
      </c>
      <c r="V103" s="252"/>
      <c r="W103" s="252"/>
    </row>
    <row r="104" spans="2:39" x14ac:dyDescent="0.2">
      <c r="B104" s="499">
        <v>5.0267318327371342</v>
      </c>
      <c r="C104" s="450">
        <v>2.4551448556745341</v>
      </c>
      <c r="D104" s="471">
        <v>1.6014179791544687</v>
      </c>
      <c r="E104" s="459">
        <v>2.8</v>
      </c>
      <c r="F104" s="458">
        <v>1.2</v>
      </c>
      <c r="G104" s="504"/>
      <c r="H104" s="415"/>
      <c r="I104" s="501">
        <v>1.0024551448556744</v>
      </c>
      <c r="J104" s="501">
        <v>1.0016014179791544</v>
      </c>
      <c r="K104" s="415"/>
      <c r="L104" s="415"/>
      <c r="M104" s="337">
        <v>5.0085237429999996</v>
      </c>
      <c r="N104" s="326">
        <v>2.3817977336480802</v>
      </c>
      <c r="O104" s="308">
        <v>1.8787265036231655</v>
      </c>
      <c r="P104" s="298">
        <v>2.8</v>
      </c>
      <c r="Q104" s="297">
        <v>1.2</v>
      </c>
      <c r="R104" s="334"/>
      <c r="S104" s="252"/>
      <c r="T104" s="339">
        <v>1.002381797733648</v>
      </c>
      <c r="U104" s="339">
        <v>1.0018787265036231</v>
      </c>
      <c r="V104" s="252"/>
      <c r="W104" s="252"/>
    </row>
    <row r="105" spans="2:39" x14ac:dyDescent="0.2">
      <c r="B105" s="499">
        <v>10.257347534457249</v>
      </c>
      <c r="C105" s="450">
        <v>2.4635999298822555</v>
      </c>
      <c r="D105" s="471">
        <v>1.5451546136488838</v>
      </c>
      <c r="E105" s="462">
        <v>2.7</v>
      </c>
      <c r="F105" s="461">
        <v>1.1000000000000001</v>
      </c>
      <c r="G105" s="504"/>
      <c r="H105" s="415"/>
      <c r="I105" s="501">
        <v>1.0024635999298823</v>
      </c>
      <c r="J105" s="501">
        <v>1.0015451546136489</v>
      </c>
      <c r="K105" s="415"/>
      <c r="L105" s="415"/>
      <c r="M105" s="337">
        <v>10.191146244999999</v>
      </c>
      <c r="N105" s="326">
        <v>2.4437665533013266</v>
      </c>
      <c r="O105" s="308">
        <v>1.6854133271247136</v>
      </c>
      <c r="P105" s="301">
        <v>2.7</v>
      </c>
      <c r="Q105" s="300">
        <v>1.1000000000000001</v>
      </c>
      <c r="R105" s="334"/>
      <c r="S105" s="252"/>
      <c r="T105" s="339">
        <v>1.0024437665533013</v>
      </c>
      <c r="U105" s="339">
        <v>1.0016854133271247</v>
      </c>
      <c r="V105" s="252"/>
      <c r="W105" s="252"/>
    </row>
    <row r="106" spans="2:39" x14ac:dyDescent="0.2">
      <c r="B106" s="499">
        <v>20.228247449021882</v>
      </c>
      <c r="C106" s="450">
        <v>2.4178016635691337</v>
      </c>
      <c r="D106" s="471">
        <v>1.4233052273011106</v>
      </c>
      <c r="E106" s="462">
        <v>2.7</v>
      </c>
      <c r="F106" s="461">
        <v>1</v>
      </c>
      <c r="G106" s="496"/>
      <c r="H106" s="415"/>
      <c r="I106" s="501">
        <v>1.0024178016635692</v>
      </c>
      <c r="J106" s="501">
        <v>1.0014233052273012</v>
      </c>
      <c r="K106" s="415"/>
      <c r="L106" s="415"/>
      <c r="M106" s="337">
        <v>20.106029712999998</v>
      </c>
      <c r="N106" s="326">
        <v>2.4560905047672157</v>
      </c>
      <c r="O106" s="308">
        <v>1.4651119964418904</v>
      </c>
      <c r="P106" s="301">
        <v>2.7</v>
      </c>
      <c r="Q106" s="300">
        <v>1</v>
      </c>
      <c r="R106" s="343"/>
      <c r="S106" s="252"/>
      <c r="T106" s="339">
        <v>1.0024560905047672</v>
      </c>
      <c r="U106" s="339">
        <v>1.0014651119964419</v>
      </c>
      <c r="V106" s="252"/>
      <c r="W106" s="252"/>
    </row>
    <row r="107" spans="2:39" x14ac:dyDescent="0.2">
      <c r="B107" s="499">
        <v>40.200350257543441</v>
      </c>
      <c r="C107" s="450">
        <v>2.366915098759502</v>
      </c>
      <c r="D107" s="471">
        <v>1.2221882484082911</v>
      </c>
      <c r="E107" s="462">
        <v>2.6</v>
      </c>
      <c r="F107" s="461">
        <v>0.9</v>
      </c>
      <c r="G107" s="496"/>
      <c r="H107" s="415"/>
      <c r="I107" s="501">
        <v>1.0023669150987595</v>
      </c>
      <c r="J107" s="501">
        <v>1.0012221882484083</v>
      </c>
      <c r="K107" s="415"/>
      <c r="L107" s="415"/>
      <c r="M107" s="337">
        <v>40.232659014999996</v>
      </c>
      <c r="N107" s="326">
        <v>2.4211899085188917</v>
      </c>
      <c r="O107" s="308">
        <v>1.2394955214885095</v>
      </c>
      <c r="P107" s="301">
        <v>2.6</v>
      </c>
      <c r="Q107" s="300">
        <v>0.9</v>
      </c>
      <c r="R107" s="343"/>
      <c r="S107" s="252"/>
      <c r="T107" s="339">
        <v>1.0024211899085189</v>
      </c>
      <c r="U107" s="339">
        <v>1.0012394955214885</v>
      </c>
      <c r="V107" s="252"/>
      <c r="W107" s="252"/>
    </row>
    <row r="108" spans="2:39" x14ac:dyDescent="0.2">
      <c r="B108" s="499">
        <v>60.175200534044492</v>
      </c>
      <c r="C108" s="450">
        <v>2.3410276395666965</v>
      </c>
      <c r="D108" s="471">
        <v>1.0754841323165893</v>
      </c>
      <c r="E108" s="462">
        <v>2.6</v>
      </c>
      <c r="F108" s="461">
        <v>0.7</v>
      </c>
      <c r="G108" s="496"/>
      <c r="H108" s="415"/>
      <c r="I108" s="501">
        <v>1.0023410276395668</v>
      </c>
      <c r="J108" s="501">
        <v>1.0010754841323166</v>
      </c>
      <c r="K108" s="415"/>
      <c r="L108" s="415"/>
      <c r="M108" s="337">
        <v>60.243319450000001</v>
      </c>
      <c r="N108" s="326">
        <v>2.3839954478692591</v>
      </c>
      <c r="O108" s="308">
        <v>1.1146656251083056</v>
      </c>
      <c r="P108" s="301">
        <v>2.6</v>
      </c>
      <c r="Q108" s="300">
        <v>0.7</v>
      </c>
      <c r="R108" s="343"/>
      <c r="S108" s="252"/>
      <c r="T108" s="339">
        <v>1.0023839954478693</v>
      </c>
      <c r="U108" s="339">
        <v>1.0011146656251082</v>
      </c>
      <c r="V108" s="252"/>
      <c r="W108" s="252"/>
    </row>
    <row r="109" spans="2:39" x14ac:dyDescent="0.2">
      <c r="B109" s="499">
        <v>99.948491151834446</v>
      </c>
      <c r="C109" s="450">
        <v>2.3138903249208411</v>
      </c>
      <c r="D109" s="471">
        <v>0.87032856955477345</v>
      </c>
      <c r="E109" s="462">
        <v>2.6</v>
      </c>
      <c r="F109" s="461">
        <v>0.6</v>
      </c>
      <c r="G109" s="496"/>
      <c r="H109" s="415"/>
      <c r="I109" s="501">
        <v>1.0023138903249209</v>
      </c>
      <c r="J109" s="501">
        <v>1.0008703285695548</v>
      </c>
      <c r="K109" s="415"/>
      <c r="L109" s="415"/>
      <c r="M109" s="337">
        <v>99.985073509999992</v>
      </c>
      <c r="N109" s="326">
        <v>2.3548243592891871</v>
      </c>
      <c r="O109" s="308">
        <v>0.91878735270232248</v>
      </c>
      <c r="P109" s="301">
        <v>2.6</v>
      </c>
      <c r="Q109" s="300">
        <v>0.6</v>
      </c>
      <c r="R109" s="343"/>
      <c r="S109" s="252"/>
      <c r="T109" s="339">
        <v>1.0023548243592892</v>
      </c>
      <c r="U109" s="339">
        <v>1.0009187873527023</v>
      </c>
      <c r="V109" s="252"/>
      <c r="W109" s="252"/>
    </row>
    <row r="110" spans="2:39" x14ac:dyDescent="0.2">
      <c r="B110" s="499">
        <v>120.12957747649615</v>
      </c>
      <c r="C110" s="450">
        <v>2.3042077492322299</v>
      </c>
      <c r="D110" s="471">
        <v>0.80805408381344546</v>
      </c>
      <c r="E110" s="462" t="s">
        <v>218</v>
      </c>
      <c r="F110" s="505" t="s">
        <v>218</v>
      </c>
      <c r="G110" s="421"/>
      <c r="H110" s="415"/>
      <c r="I110" s="501">
        <v>1.0023042077492321</v>
      </c>
      <c r="J110" s="501">
        <v>1.0008080540838133</v>
      </c>
      <c r="K110" s="415"/>
      <c r="L110" s="415"/>
      <c r="M110" s="337">
        <v>119.91162891</v>
      </c>
      <c r="N110" s="326">
        <v>2.3465285162446885</v>
      </c>
      <c r="O110" s="308">
        <v>0.84607116025541274</v>
      </c>
      <c r="P110" s="301" t="s">
        <v>218</v>
      </c>
      <c r="Q110" s="341" t="s">
        <v>218</v>
      </c>
      <c r="R110" s="332"/>
      <c r="S110" s="252"/>
      <c r="T110" s="339">
        <v>1.0023465285162447</v>
      </c>
      <c r="U110" s="339">
        <v>1.0008460711602554</v>
      </c>
      <c r="V110" s="252"/>
      <c r="W110" s="252"/>
      <c r="X110" s="252"/>
      <c r="Y110" s="252"/>
      <c r="Z110" s="252"/>
    </row>
    <row r="111" spans="2:39" x14ac:dyDescent="0.2">
      <c r="B111" s="499">
        <v>25</v>
      </c>
      <c r="C111" s="477" t="s">
        <v>218</v>
      </c>
      <c r="D111" s="471" t="s">
        <v>218</v>
      </c>
      <c r="E111" s="462">
        <v>2.6</v>
      </c>
      <c r="F111" s="461">
        <v>0.5</v>
      </c>
      <c r="G111" s="415"/>
      <c r="H111" s="415" t="s">
        <v>275</v>
      </c>
      <c r="I111" s="501">
        <v>1.0023803696088007</v>
      </c>
      <c r="J111" s="501">
        <v>1.0012208475505997</v>
      </c>
      <c r="K111" s="421" t="s">
        <v>235</v>
      </c>
      <c r="L111" s="421"/>
      <c r="M111" s="337">
        <v>25</v>
      </c>
      <c r="N111" s="314" t="s">
        <v>218</v>
      </c>
      <c r="O111" s="308" t="s">
        <v>218</v>
      </c>
      <c r="P111" s="301">
        <v>2.6</v>
      </c>
      <c r="Q111" s="300">
        <v>0.5</v>
      </c>
      <c r="R111" s="252"/>
      <c r="S111" s="252" t="s">
        <v>275</v>
      </c>
      <c r="T111" s="339">
        <v>1.0023983132890912</v>
      </c>
      <c r="U111" s="339">
        <v>1.0013068959266778</v>
      </c>
      <c r="V111" s="332" t="s">
        <v>235</v>
      </c>
      <c r="W111" s="332"/>
      <c r="X111" s="252"/>
      <c r="Y111" s="252"/>
      <c r="Z111" s="252"/>
    </row>
    <row r="112" spans="2:39" x14ac:dyDescent="0.2">
      <c r="B112" s="484"/>
      <c r="C112" s="506"/>
      <c r="D112" s="484"/>
      <c r="E112" s="485"/>
      <c r="F112" s="484"/>
      <c r="G112" s="415"/>
      <c r="H112" s="415" t="s">
        <v>310</v>
      </c>
      <c r="I112" s="502">
        <v>0.23803696088007253</v>
      </c>
      <c r="J112" s="502">
        <v>0.12208475505997018</v>
      </c>
      <c r="K112" s="415"/>
      <c r="L112" s="415"/>
      <c r="M112" s="319"/>
      <c r="N112" s="342"/>
      <c r="O112" s="319"/>
      <c r="P112" s="320"/>
      <c r="Q112" s="319"/>
      <c r="R112" s="252"/>
      <c r="S112" s="252" t="s">
        <v>310</v>
      </c>
      <c r="T112" s="383">
        <v>0.23983132890912362</v>
      </c>
      <c r="U112" s="383">
        <v>0.13068959266777647</v>
      </c>
      <c r="V112" s="252"/>
      <c r="W112" s="252"/>
      <c r="X112" s="252"/>
      <c r="Y112" s="252"/>
      <c r="Z112" s="252"/>
    </row>
    <row r="113" spans="2:26" x14ac:dyDescent="0.2">
      <c r="B113" s="415"/>
      <c r="C113" s="415"/>
      <c r="D113" s="415"/>
      <c r="E113" s="415"/>
      <c r="F113" s="415"/>
      <c r="G113" s="415"/>
      <c r="H113" s="503" t="s">
        <v>309</v>
      </c>
      <c r="I113" s="503">
        <v>6.5661659333198655E-5</v>
      </c>
      <c r="J113" s="501">
        <v>3.1764559817219344E-4</v>
      </c>
      <c r="K113" s="415"/>
      <c r="L113" s="415"/>
      <c r="M113" s="252"/>
      <c r="N113" s="252"/>
      <c r="O113" s="252"/>
      <c r="P113" s="252"/>
      <c r="Q113" s="252"/>
      <c r="R113" s="252"/>
      <c r="S113" s="384" t="s">
        <v>309</v>
      </c>
      <c r="T113" s="384">
        <v>4.2775108528988506E-5</v>
      </c>
      <c r="U113" s="339">
        <v>3.8725120828411242E-4</v>
      </c>
      <c r="V113" s="252"/>
      <c r="W113" s="252"/>
    </row>
    <row r="114" spans="2:26" x14ac:dyDescent="0.2">
      <c r="B114" s="415"/>
      <c r="C114" s="415"/>
      <c r="D114" s="415"/>
      <c r="E114" s="415"/>
      <c r="F114" s="415"/>
      <c r="G114" s="415"/>
      <c r="H114" s="415"/>
      <c r="I114" s="415"/>
      <c r="J114" s="415"/>
      <c r="K114" s="415"/>
      <c r="L114" s="415"/>
      <c r="M114" s="252"/>
      <c r="N114" s="252"/>
      <c r="O114" s="252"/>
      <c r="P114" s="252"/>
      <c r="Q114" s="252"/>
      <c r="R114" s="252"/>
      <c r="S114" s="252"/>
      <c r="T114" s="252"/>
      <c r="U114" s="252"/>
      <c r="V114" s="252"/>
      <c r="W114" s="252"/>
    </row>
    <row r="115" spans="2:26" x14ac:dyDescent="0.2">
      <c r="B115" s="490" t="s">
        <v>400</v>
      </c>
      <c r="C115" s="491"/>
      <c r="D115" s="491"/>
      <c r="E115" s="491"/>
      <c r="F115" s="492"/>
      <c r="G115" s="493">
        <v>41185</v>
      </c>
      <c r="H115" s="415"/>
      <c r="I115" s="415"/>
      <c r="J115" s="415"/>
      <c r="K115" s="415"/>
      <c r="L115" s="415"/>
      <c r="M115" s="327" t="s">
        <v>273</v>
      </c>
      <c r="N115" s="328"/>
      <c r="O115" s="328"/>
      <c r="P115" s="328"/>
      <c r="Q115" s="329"/>
      <c r="R115" s="330">
        <v>39380</v>
      </c>
      <c r="S115" s="252"/>
      <c r="T115" s="252"/>
      <c r="U115" s="252"/>
      <c r="V115" s="252"/>
      <c r="W115" s="252"/>
    </row>
    <row r="116" spans="2:26" x14ac:dyDescent="0.2">
      <c r="B116" s="494" t="s">
        <v>207</v>
      </c>
      <c r="C116" s="421"/>
      <c r="D116" s="421"/>
      <c r="E116" s="421"/>
      <c r="F116" s="495"/>
      <c r="G116" s="496" t="s">
        <v>401</v>
      </c>
      <c r="H116" s="415"/>
      <c r="I116" s="415"/>
      <c r="J116" s="415"/>
      <c r="K116" s="415"/>
      <c r="L116" s="415"/>
      <c r="M116" s="331" t="s">
        <v>207</v>
      </c>
      <c r="N116" s="332"/>
      <c r="O116" s="332"/>
      <c r="P116" s="332"/>
      <c r="Q116" s="333"/>
      <c r="R116" s="334" t="s">
        <v>276</v>
      </c>
      <c r="S116" s="252"/>
      <c r="T116" s="252"/>
      <c r="U116" s="252"/>
      <c r="V116" s="252"/>
      <c r="W116" s="252"/>
    </row>
    <row r="117" spans="2:26" x14ac:dyDescent="0.2">
      <c r="B117" s="458" t="s">
        <v>208</v>
      </c>
      <c r="C117" s="497" t="s">
        <v>209</v>
      </c>
      <c r="D117" s="458" t="s">
        <v>210</v>
      </c>
      <c r="E117" s="458" t="s">
        <v>196</v>
      </c>
      <c r="F117" s="459" t="s">
        <v>196</v>
      </c>
      <c r="G117" s="415"/>
      <c r="H117" s="415"/>
      <c r="I117" s="415"/>
      <c r="J117" s="415"/>
      <c r="K117" s="415"/>
      <c r="L117" s="415"/>
      <c r="M117" s="297" t="s">
        <v>208</v>
      </c>
      <c r="N117" s="335" t="s">
        <v>209</v>
      </c>
      <c r="O117" s="297" t="s">
        <v>210</v>
      </c>
      <c r="P117" s="297" t="s">
        <v>196</v>
      </c>
      <c r="Q117" s="298" t="s">
        <v>196</v>
      </c>
      <c r="R117" s="252"/>
      <c r="S117" s="252"/>
      <c r="T117" s="252"/>
      <c r="U117" s="252"/>
      <c r="V117" s="252"/>
      <c r="W117" s="252"/>
    </row>
    <row r="118" spans="2:26" x14ac:dyDescent="0.2">
      <c r="B118" s="461" t="s">
        <v>211</v>
      </c>
      <c r="C118" s="452" t="s">
        <v>19</v>
      </c>
      <c r="D118" s="461" t="s">
        <v>19</v>
      </c>
      <c r="E118" s="461" t="s">
        <v>212</v>
      </c>
      <c r="F118" s="462" t="s">
        <v>213</v>
      </c>
      <c r="G118" s="415"/>
      <c r="H118" s="415"/>
      <c r="I118" s="421" t="s">
        <v>221</v>
      </c>
      <c r="J118" s="421"/>
      <c r="K118" s="415"/>
      <c r="L118" s="415"/>
      <c r="M118" s="300" t="s">
        <v>211</v>
      </c>
      <c r="N118" s="302" t="s">
        <v>19</v>
      </c>
      <c r="O118" s="300" t="s">
        <v>19</v>
      </c>
      <c r="P118" s="300" t="s">
        <v>212</v>
      </c>
      <c r="Q118" s="301" t="s">
        <v>213</v>
      </c>
      <c r="R118" s="252"/>
      <c r="S118" s="252"/>
      <c r="T118" s="332" t="s">
        <v>221</v>
      </c>
      <c r="U118" s="332"/>
      <c r="V118" s="252"/>
      <c r="W118" s="252"/>
    </row>
    <row r="119" spans="2:26" x14ac:dyDescent="0.2">
      <c r="B119" s="464" t="s">
        <v>214</v>
      </c>
      <c r="C119" s="498" t="s">
        <v>215</v>
      </c>
      <c r="D119" s="464" t="s">
        <v>216</v>
      </c>
      <c r="E119" s="464" t="s">
        <v>215</v>
      </c>
      <c r="F119" s="465" t="s">
        <v>216</v>
      </c>
      <c r="G119" s="415"/>
      <c r="H119" s="415"/>
      <c r="I119" s="421" t="s">
        <v>222</v>
      </c>
      <c r="J119" s="421" t="s">
        <v>223</v>
      </c>
      <c r="K119" s="415"/>
      <c r="L119" s="415"/>
      <c r="M119" s="304" t="s">
        <v>214</v>
      </c>
      <c r="N119" s="336" t="s">
        <v>215</v>
      </c>
      <c r="O119" s="304" t="s">
        <v>216</v>
      </c>
      <c r="P119" s="304" t="s">
        <v>215</v>
      </c>
      <c r="Q119" s="305" t="s">
        <v>216</v>
      </c>
      <c r="R119" s="252"/>
      <c r="S119" s="252"/>
      <c r="T119" s="332" t="s">
        <v>222</v>
      </c>
      <c r="U119" s="332" t="s">
        <v>223</v>
      </c>
      <c r="V119" s="252"/>
      <c r="W119" s="252"/>
    </row>
    <row r="120" spans="2:26" x14ac:dyDescent="0.2">
      <c r="B120" s="499">
        <v>5.0317885393036335</v>
      </c>
      <c r="C120" s="450">
        <v>-0.52944245288879854</v>
      </c>
      <c r="D120" s="471">
        <v>1.5916231450195943</v>
      </c>
      <c r="E120" s="461">
        <v>-0.3</v>
      </c>
      <c r="F120" s="500">
        <v>1.2</v>
      </c>
      <c r="G120" s="415"/>
      <c r="H120" s="415"/>
      <c r="I120" s="501">
        <v>0.99947055754711123</v>
      </c>
      <c r="J120" s="501">
        <v>1.0015916231450197</v>
      </c>
      <c r="K120" s="415"/>
      <c r="L120" s="415"/>
      <c r="M120" s="337">
        <v>5.3879820059999997</v>
      </c>
      <c r="N120" s="326">
        <v>-0.48589043116414599</v>
      </c>
      <c r="O120" s="308">
        <v>1.5936874492969495</v>
      </c>
      <c r="P120" s="300">
        <v>-0.3</v>
      </c>
      <c r="Q120" s="338">
        <v>1.2</v>
      </c>
      <c r="R120" s="252"/>
      <c r="S120" s="252"/>
      <c r="T120" s="339">
        <v>0.99951410956883591</v>
      </c>
      <c r="U120" s="339">
        <v>1.001593687449297</v>
      </c>
      <c r="V120" s="252"/>
      <c r="W120" s="252"/>
    </row>
    <row r="121" spans="2:26" x14ac:dyDescent="0.2">
      <c r="B121" s="499">
        <v>10.085165424167425</v>
      </c>
      <c r="C121" s="450">
        <v>-0.54951563346559507</v>
      </c>
      <c r="D121" s="471">
        <v>1.5176742264093219</v>
      </c>
      <c r="E121" s="461">
        <v>-0.3</v>
      </c>
      <c r="F121" s="500">
        <v>1.1000000000000001</v>
      </c>
      <c r="G121" s="415"/>
      <c r="H121" s="415"/>
      <c r="I121" s="501">
        <v>0.99945048436653439</v>
      </c>
      <c r="J121" s="501">
        <v>1.0015176742264094</v>
      </c>
      <c r="K121" s="415"/>
      <c r="L121" s="415"/>
      <c r="M121" s="337">
        <v>10.034509707999998</v>
      </c>
      <c r="N121" s="326">
        <v>-0.49725405411240853</v>
      </c>
      <c r="O121" s="308">
        <v>1.5160175875730013</v>
      </c>
      <c r="P121" s="300">
        <v>-0.3</v>
      </c>
      <c r="Q121" s="338">
        <v>1.1000000000000001</v>
      </c>
      <c r="R121" s="252"/>
      <c r="S121" s="252"/>
      <c r="T121" s="339">
        <v>0.99950274594588762</v>
      </c>
      <c r="U121" s="339">
        <v>1.001516017587573</v>
      </c>
      <c r="V121" s="252"/>
      <c r="W121" s="252"/>
    </row>
    <row r="122" spans="2:26" x14ac:dyDescent="0.2">
      <c r="B122" s="499">
        <v>20.036370439893069</v>
      </c>
      <c r="C122" s="450">
        <v>-0.5908759856905752</v>
      </c>
      <c r="D122" s="471">
        <v>1.3740457010043947</v>
      </c>
      <c r="E122" s="461">
        <v>-0.3</v>
      </c>
      <c r="F122" s="500">
        <v>1</v>
      </c>
      <c r="G122" s="415"/>
      <c r="H122" s="415"/>
      <c r="I122" s="501">
        <v>0.99940912401430948</v>
      </c>
      <c r="J122" s="501">
        <v>1.0013740457010043</v>
      </c>
      <c r="K122" s="415"/>
      <c r="L122" s="415"/>
      <c r="M122" s="337">
        <v>20.045515399999999</v>
      </c>
      <c r="N122" s="326">
        <v>-0.55106214097809225</v>
      </c>
      <c r="O122" s="308">
        <v>1.3718811473745693</v>
      </c>
      <c r="P122" s="300">
        <v>-0.3</v>
      </c>
      <c r="Q122" s="338">
        <v>1</v>
      </c>
      <c r="R122" s="252"/>
      <c r="S122" s="252"/>
      <c r="T122" s="339">
        <v>0.99944893785902189</v>
      </c>
      <c r="U122" s="339">
        <v>1.0013718811473746</v>
      </c>
      <c r="V122" s="252"/>
      <c r="W122" s="252"/>
    </row>
    <row r="123" spans="2:26" x14ac:dyDescent="0.2">
      <c r="B123" s="499">
        <v>40.319802441121858</v>
      </c>
      <c r="C123" s="450">
        <v>-0.64720974360195604</v>
      </c>
      <c r="D123" s="471">
        <v>1.1712688176559281</v>
      </c>
      <c r="E123" s="461">
        <v>-0.4</v>
      </c>
      <c r="F123" s="500">
        <v>0.9</v>
      </c>
      <c r="G123" s="415"/>
      <c r="H123" s="415"/>
      <c r="I123" s="501">
        <v>0.999352790256398</v>
      </c>
      <c r="J123" s="501">
        <v>1.0011712688176559</v>
      </c>
      <c r="K123" s="415"/>
      <c r="L123" s="415"/>
      <c r="M123" s="337">
        <v>39.785376193999994</v>
      </c>
      <c r="N123" s="326">
        <v>-0.59964314233625005</v>
      </c>
      <c r="O123" s="308">
        <v>1.1842582587025769</v>
      </c>
      <c r="P123" s="300">
        <v>-0.4</v>
      </c>
      <c r="Q123" s="338">
        <v>0.9</v>
      </c>
      <c r="R123" s="252"/>
      <c r="S123" s="252"/>
      <c r="T123" s="339">
        <v>0.99940035685766371</v>
      </c>
      <c r="U123" s="339">
        <v>1.0011842582587025</v>
      </c>
      <c r="V123" s="252"/>
      <c r="W123" s="252"/>
    </row>
    <row r="124" spans="2:26" x14ac:dyDescent="0.2">
      <c r="B124" s="499">
        <v>60.425115029775348</v>
      </c>
      <c r="C124" s="450">
        <v>-0.67728515391600008</v>
      </c>
      <c r="D124" s="471">
        <v>1.0300448464626579</v>
      </c>
      <c r="E124" s="461">
        <v>-0.4</v>
      </c>
      <c r="F124" s="500">
        <v>0.7</v>
      </c>
      <c r="G124" s="415"/>
      <c r="H124" s="415"/>
      <c r="I124" s="501">
        <v>0.99932271484608404</v>
      </c>
      <c r="J124" s="501">
        <v>1.0010300448464626</v>
      </c>
      <c r="K124" s="415"/>
      <c r="L124" s="415"/>
      <c r="M124" s="337">
        <v>59.731074516</v>
      </c>
      <c r="N124" s="326">
        <v>-0.62575223426327553</v>
      </c>
      <c r="O124" s="308">
        <v>1.0508008019039969</v>
      </c>
      <c r="P124" s="300">
        <v>-0.4</v>
      </c>
      <c r="Q124" s="338">
        <v>0.7</v>
      </c>
      <c r="R124" s="252"/>
      <c r="S124" s="252"/>
      <c r="T124" s="339">
        <v>0.99937424776573669</v>
      </c>
      <c r="U124" s="339">
        <v>1.0010508008019039</v>
      </c>
      <c r="V124" s="252"/>
      <c r="W124" s="252"/>
    </row>
    <row r="125" spans="2:26" x14ac:dyDescent="0.2">
      <c r="B125" s="499">
        <v>100.53843993791583</v>
      </c>
      <c r="C125" s="450">
        <v>-0.71707154375830962</v>
      </c>
      <c r="D125" s="471">
        <v>0.82948003156634198</v>
      </c>
      <c r="E125" s="461">
        <v>-0.5</v>
      </c>
      <c r="F125" s="500">
        <v>0.6</v>
      </c>
      <c r="G125" s="415"/>
      <c r="H125" s="415"/>
      <c r="I125" s="501">
        <v>0.99928292845624167</v>
      </c>
      <c r="J125" s="501">
        <v>1.0008294800315662</v>
      </c>
      <c r="K125" s="415"/>
      <c r="L125" s="415"/>
      <c r="M125" s="337">
        <v>100.17077179999998</v>
      </c>
      <c r="N125" s="326">
        <v>-0.66931862586820368</v>
      </c>
      <c r="O125" s="308">
        <v>0.85255972840572858</v>
      </c>
      <c r="P125" s="300">
        <v>-0.5</v>
      </c>
      <c r="Q125" s="338">
        <v>0.6</v>
      </c>
      <c r="R125" s="252"/>
      <c r="S125" s="252"/>
      <c r="T125" s="339">
        <v>0.99933068137413184</v>
      </c>
      <c r="U125" s="339">
        <v>1.0008525597284057</v>
      </c>
      <c r="V125" s="252"/>
      <c r="W125" s="252"/>
    </row>
    <row r="126" spans="2:26" x14ac:dyDescent="0.2">
      <c r="B126" s="499">
        <v>120.52500502281268</v>
      </c>
      <c r="C126" s="450">
        <v>-0.718906343544779</v>
      </c>
      <c r="D126" s="471">
        <v>0.76153366113497012</v>
      </c>
      <c r="E126" s="461" t="s">
        <v>218</v>
      </c>
      <c r="F126" s="500" t="s">
        <v>218</v>
      </c>
      <c r="G126" s="415"/>
      <c r="H126" s="415"/>
      <c r="I126" s="501">
        <v>0.99928109365645523</v>
      </c>
      <c r="J126" s="501">
        <v>1.0007615336611351</v>
      </c>
      <c r="K126" s="415"/>
      <c r="L126" s="415"/>
      <c r="M126" s="337">
        <v>120.22224435999999</v>
      </c>
      <c r="N126" s="326">
        <v>-0.67440374087966504</v>
      </c>
      <c r="O126" s="308">
        <v>0.77806940940614477</v>
      </c>
      <c r="P126" s="300" t="s">
        <v>218</v>
      </c>
      <c r="Q126" s="338" t="s">
        <v>218</v>
      </c>
      <c r="R126" s="252"/>
      <c r="S126" s="252"/>
      <c r="T126" s="339">
        <v>0.99932559625912032</v>
      </c>
      <c r="U126" s="339">
        <v>1.0007780694094062</v>
      </c>
      <c r="V126" s="252"/>
      <c r="W126" s="252"/>
      <c r="X126" s="252"/>
      <c r="Y126" s="252"/>
      <c r="Z126" s="252"/>
    </row>
    <row r="127" spans="2:26" x14ac:dyDescent="0.2">
      <c r="B127" s="461">
        <v>125</v>
      </c>
      <c r="C127" s="450" t="s">
        <v>218</v>
      </c>
      <c r="D127" s="471" t="s">
        <v>218</v>
      </c>
      <c r="E127" s="461">
        <v>-0.5</v>
      </c>
      <c r="F127" s="500">
        <v>0.5</v>
      </c>
      <c r="G127" s="415"/>
      <c r="H127" s="415" t="s">
        <v>275</v>
      </c>
      <c r="I127" s="501">
        <v>0.99936709902044762</v>
      </c>
      <c r="J127" s="501">
        <v>1.0011822386327505</v>
      </c>
      <c r="K127" s="421" t="s">
        <v>217</v>
      </c>
      <c r="L127" s="421"/>
      <c r="M127" s="300">
        <v>125</v>
      </c>
      <c r="N127" s="326" t="s">
        <v>218</v>
      </c>
      <c r="O127" s="308" t="s">
        <v>218</v>
      </c>
      <c r="P127" s="300">
        <v>-0.5</v>
      </c>
      <c r="Q127" s="338">
        <v>0.5</v>
      </c>
      <c r="R127" s="252"/>
      <c r="S127" s="252" t="s">
        <v>275</v>
      </c>
      <c r="T127" s="339">
        <v>0.99941381080434255</v>
      </c>
      <c r="U127" s="339">
        <v>1.0011924677689519</v>
      </c>
      <c r="V127" s="332" t="s">
        <v>217</v>
      </c>
      <c r="W127" s="332"/>
      <c r="X127" s="252"/>
      <c r="Y127" s="252"/>
      <c r="Z127" s="252"/>
    </row>
    <row r="128" spans="2:26" x14ac:dyDescent="0.2">
      <c r="B128" s="484"/>
      <c r="C128" s="424"/>
      <c r="D128" s="484"/>
      <c r="E128" s="484"/>
      <c r="F128" s="485"/>
      <c r="G128" s="415"/>
      <c r="H128" s="415"/>
      <c r="I128" s="415"/>
      <c r="J128" s="415"/>
      <c r="K128" s="415"/>
      <c r="L128" s="415"/>
      <c r="M128" s="319"/>
      <c r="N128" s="340"/>
      <c r="O128" s="319"/>
      <c r="P128" s="319"/>
      <c r="Q128" s="320"/>
      <c r="R128" s="252"/>
      <c r="S128" s="252"/>
      <c r="T128" s="252"/>
      <c r="U128" s="252"/>
      <c r="V128" s="252"/>
      <c r="W128" s="252"/>
      <c r="X128" s="252"/>
      <c r="Y128" s="252"/>
      <c r="Z128" s="252"/>
    </row>
    <row r="129" spans="2:23" x14ac:dyDescent="0.2">
      <c r="B129" s="415"/>
      <c r="C129" s="415"/>
      <c r="D129" s="415"/>
      <c r="E129" s="415"/>
      <c r="F129" s="415"/>
      <c r="G129" s="415"/>
      <c r="H129" s="415"/>
      <c r="I129" s="415"/>
      <c r="J129" s="415"/>
      <c r="K129" s="415"/>
      <c r="L129" s="415"/>
      <c r="M129" s="252"/>
      <c r="N129" s="252"/>
      <c r="O129" s="252"/>
      <c r="P129" s="252"/>
      <c r="Q129" s="252"/>
      <c r="R129" s="252"/>
      <c r="S129" s="252"/>
      <c r="T129" s="252"/>
      <c r="U129" s="252"/>
      <c r="V129" s="252"/>
      <c r="W129" s="252"/>
    </row>
    <row r="130" spans="2:23" x14ac:dyDescent="0.2">
      <c r="B130" s="415"/>
      <c r="C130" s="415"/>
      <c r="D130" s="415"/>
      <c r="E130" s="415"/>
      <c r="F130" s="415"/>
      <c r="G130" s="415"/>
      <c r="H130" s="415"/>
      <c r="I130" s="415"/>
      <c r="J130" s="415"/>
      <c r="K130" s="415"/>
      <c r="L130" s="415"/>
      <c r="M130" s="252"/>
      <c r="N130" s="252"/>
      <c r="O130" s="252"/>
      <c r="P130" s="252"/>
      <c r="Q130" s="252"/>
      <c r="R130" s="252"/>
      <c r="S130" s="252"/>
      <c r="T130" s="252"/>
      <c r="U130" s="252"/>
      <c r="V130" s="252"/>
      <c r="W130" s="252"/>
    </row>
    <row r="131" spans="2:23" x14ac:dyDescent="0.2">
      <c r="B131" s="490" t="s">
        <v>400</v>
      </c>
      <c r="C131" s="491"/>
      <c r="D131" s="491"/>
      <c r="E131" s="491"/>
      <c r="F131" s="492"/>
      <c r="G131" s="493">
        <v>41183</v>
      </c>
      <c r="H131" s="415"/>
      <c r="I131" s="415"/>
      <c r="J131" s="415"/>
      <c r="K131" s="415"/>
      <c r="L131" s="415"/>
      <c r="M131" s="327" t="s">
        <v>273</v>
      </c>
      <c r="N131" s="328"/>
      <c r="O131" s="328"/>
      <c r="P131" s="328"/>
      <c r="Q131" s="329"/>
      <c r="R131" s="330">
        <v>39380</v>
      </c>
      <c r="S131" s="252"/>
      <c r="T131" s="252"/>
      <c r="U131" s="252"/>
      <c r="V131" s="252"/>
      <c r="W131" s="252"/>
    </row>
    <row r="132" spans="2:23" x14ac:dyDescent="0.2">
      <c r="B132" s="494" t="s">
        <v>220</v>
      </c>
      <c r="C132" s="421"/>
      <c r="D132" s="421"/>
      <c r="E132" s="421"/>
      <c r="F132" s="495"/>
      <c r="G132" s="504" t="s">
        <v>276</v>
      </c>
      <c r="H132" s="415"/>
      <c r="I132" s="415"/>
      <c r="J132" s="415"/>
      <c r="K132" s="415"/>
      <c r="L132" s="415"/>
      <c r="M132" s="331" t="s">
        <v>220</v>
      </c>
      <c r="N132" s="332"/>
      <c r="O132" s="332"/>
      <c r="P132" s="332"/>
      <c r="Q132" s="333"/>
      <c r="R132" s="334" t="s">
        <v>276</v>
      </c>
      <c r="S132" s="252"/>
      <c r="T132" s="252"/>
      <c r="U132" s="252"/>
      <c r="V132" s="252"/>
      <c r="W132" s="252"/>
    </row>
    <row r="133" spans="2:23" x14ac:dyDescent="0.2">
      <c r="B133" s="458" t="s">
        <v>208</v>
      </c>
      <c r="C133" s="497" t="s">
        <v>209</v>
      </c>
      <c r="D133" s="458" t="s">
        <v>210</v>
      </c>
      <c r="E133" s="458"/>
      <c r="F133" s="459"/>
      <c r="G133" s="421"/>
      <c r="H133" s="415"/>
      <c r="I133" s="415"/>
      <c r="J133" s="415"/>
      <c r="K133" s="415"/>
      <c r="L133" s="415"/>
      <c r="M133" s="297" t="s">
        <v>208</v>
      </c>
      <c r="N133" s="335" t="s">
        <v>209</v>
      </c>
      <c r="O133" s="297" t="s">
        <v>210</v>
      </c>
      <c r="P133" s="297"/>
      <c r="Q133" s="298"/>
      <c r="R133" s="332"/>
      <c r="S133" s="252"/>
      <c r="T133" s="252"/>
      <c r="U133" s="252"/>
      <c r="V133" s="252"/>
      <c r="W133" s="252"/>
    </row>
    <row r="134" spans="2:23" x14ac:dyDescent="0.2">
      <c r="B134" s="461" t="s">
        <v>211</v>
      </c>
      <c r="C134" s="452" t="s">
        <v>19</v>
      </c>
      <c r="D134" s="461" t="s">
        <v>19</v>
      </c>
      <c r="E134" s="461"/>
      <c r="F134" s="462"/>
      <c r="G134" s="421"/>
      <c r="H134" s="415"/>
      <c r="I134" s="421" t="s">
        <v>221</v>
      </c>
      <c r="J134" s="421"/>
      <c r="K134" s="415"/>
      <c r="L134" s="415"/>
      <c r="M134" s="300" t="s">
        <v>211</v>
      </c>
      <c r="N134" s="302" t="s">
        <v>19</v>
      </c>
      <c r="O134" s="300" t="s">
        <v>19</v>
      </c>
      <c r="P134" s="300"/>
      <c r="Q134" s="301"/>
      <c r="R134" s="332"/>
      <c r="S134" s="252"/>
      <c r="T134" s="332" t="s">
        <v>221</v>
      </c>
      <c r="U134" s="332"/>
      <c r="V134" s="252"/>
      <c r="W134" s="252"/>
    </row>
    <row r="135" spans="2:23" x14ac:dyDescent="0.2">
      <c r="B135" s="464" t="s">
        <v>214</v>
      </c>
      <c r="C135" s="498" t="s">
        <v>215</v>
      </c>
      <c r="D135" s="464" t="s">
        <v>216</v>
      </c>
      <c r="E135" s="461"/>
      <c r="F135" s="462"/>
      <c r="G135" s="421"/>
      <c r="H135" s="415"/>
      <c r="I135" s="421" t="s">
        <v>222</v>
      </c>
      <c r="J135" s="421" t="s">
        <v>223</v>
      </c>
      <c r="K135" s="415"/>
      <c r="L135" s="415"/>
      <c r="M135" s="304" t="s">
        <v>214</v>
      </c>
      <c r="N135" s="336" t="s">
        <v>215</v>
      </c>
      <c r="O135" s="304" t="s">
        <v>216</v>
      </c>
      <c r="P135" s="300"/>
      <c r="Q135" s="301"/>
      <c r="R135" s="332"/>
      <c r="S135" s="252"/>
      <c r="T135" s="332" t="s">
        <v>222</v>
      </c>
      <c r="U135" s="332" t="s">
        <v>223</v>
      </c>
      <c r="V135" s="252"/>
      <c r="W135" s="252"/>
    </row>
    <row r="136" spans="2:23" x14ac:dyDescent="0.2">
      <c r="B136" s="499">
        <v>99.883364654647693</v>
      </c>
      <c r="C136" s="450">
        <v>-0.70878602169087401</v>
      </c>
      <c r="D136" s="471">
        <v>0.82750932836295865</v>
      </c>
      <c r="E136" s="459"/>
      <c r="F136" s="458"/>
      <c r="G136" s="504"/>
      <c r="H136" s="415"/>
      <c r="I136" s="501">
        <v>0.99929121397830911</v>
      </c>
      <c r="J136" s="501">
        <v>1.000827509328363</v>
      </c>
      <c r="K136" s="415"/>
      <c r="L136" s="415"/>
      <c r="M136" s="337">
        <v>100.64523229999999</v>
      </c>
      <c r="N136" s="326">
        <v>-0.66887997038286129</v>
      </c>
      <c r="O136" s="308">
        <v>0.84474716179211817</v>
      </c>
      <c r="P136" s="298"/>
      <c r="Q136" s="297"/>
      <c r="R136" s="334"/>
      <c r="S136" s="252"/>
      <c r="T136" s="339">
        <v>0.9993311200296171</v>
      </c>
      <c r="U136" s="339">
        <v>1.0008447471617921</v>
      </c>
      <c r="V136" s="252"/>
      <c r="W136" s="252"/>
    </row>
    <row r="137" spans="2:23" x14ac:dyDescent="0.2">
      <c r="B137" s="499">
        <v>99.737833041460874</v>
      </c>
      <c r="C137" s="450">
        <v>-0.70847338312058861</v>
      </c>
      <c r="D137" s="471">
        <v>0.82900331277128325</v>
      </c>
      <c r="E137" s="462"/>
      <c r="F137" s="461"/>
      <c r="G137" s="504"/>
      <c r="H137" s="415"/>
      <c r="I137" s="501">
        <v>0.99929152661687937</v>
      </c>
      <c r="J137" s="501">
        <v>1.0008290033127714</v>
      </c>
      <c r="K137" s="415"/>
      <c r="L137" s="415"/>
      <c r="M137" s="337">
        <v>100.55326486</v>
      </c>
      <c r="N137" s="326">
        <v>-0.66929953751744153</v>
      </c>
      <c r="O137" s="308">
        <v>0.84684720532836011</v>
      </c>
      <c r="P137" s="301"/>
      <c r="Q137" s="300"/>
      <c r="R137" s="334"/>
      <c r="S137" s="252"/>
      <c r="T137" s="339">
        <v>0.99933070046248251</v>
      </c>
      <c r="U137" s="339">
        <v>1.0008468472053285</v>
      </c>
      <c r="V137" s="252"/>
      <c r="W137" s="252"/>
    </row>
    <row r="138" spans="2:23" x14ac:dyDescent="0.2">
      <c r="B138" s="499">
        <v>99.617618836203619</v>
      </c>
      <c r="C138" s="450">
        <v>-0.79302963260507553</v>
      </c>
      <c r="D138" s="471">
        <v>0.82420816008798115</v>
      </c>
      <c r="E138" s="462"/>
      <c r="F138" s="461"/>
      <c r="G138" s="496" t="s">
        <v>277</v>
      </c>
      <c r="H138" s="415"/>
      <c r="I138" s="501">
        <v>0.99920697036739492</v>
      </c>
      <c r="J138" s="501">
        <v>1.000824208160088</v>
      </c>
      <c r="K138" s="415"/>
      <c r="L138" s="415"/>
      <c r="M138" s="337">
        <v>100.50016434</v>
      </c>
      <c r="N138" s="326">
        <v>-0.74420954590318633</v>
      </c>
      <c r="O138" s="308">
        <v>0.84536720801678056</v>
      </c>
      <c r="P138" s="301"/>
      <c r="Q138" s="300"/>
      <c r="R138" s="343" t="s">
        <v>277</v>
      </c>
      <c r="S138" s="252"/>
      <c r="T138" s="339">
        <v>0.99925579045409685</v>
      </c>
      <c r="U138" s="339">
        <v>1.0008453672080169</v>
      </c>
      <c r="V138" s="252"/>
      <c r="W138" s="252"/>
    </row>
    <row r="139" spans="2:23" x14ac:dyDescent="0.2">
      <c r="B139" s="499">
        <v>99.437028243596686</v>
      </c>
      <c r="C139" s="450">
        <v>-0.79372174256842642</v>
      </c>
      <c r="D139" s="471">
        <v>0.826223793267444</v>
      </c>
      <c r="E139" s="462"/>
      <c r="F139" s="461"/>
      <c r="G139" s="496" t="s">
        <v>277</v>
      </c>
      <c r="H139" s="415"/>
      <c r="I139" s="501">
        <v>0.99920627825743158</v>
      </c>
      <c r="J139" s="501">
        <v>1.0008262237932675</v>
      </c>
      <c r="K139" s="415"/>
      <c r="L139" s="415"/>
      <c r="M139" s="337">
        <v>100.36525337999998</v>
      </c>
      <c r="N139" s="326">
        <v>-0.74501113830263921</v>
      </c>
      <c r="O139" s="308">
        <v>0.84570017818119514</v>
      </c>
      <c r="P139" s="301"/>
      <c r="Q139" s="300"/>
      <c r="R139" s="343" t="s">
        <v>277</v>
      </c>
      <c r="S139" s="252"/>
      <c r="T139" s="339">
        <v>0.99925498886169739</v>
      </c>
      <c r="U139" s="339">
        <v>1.0008457001781812</v>
      </c>
      <c r="V139" s="252"/>
      <c r="W139" s="252"/>
    </row>
    <row r="140" spans="2:23" x14ac:dyDescent="0.2">
      <c r="B140" s="499">
        <v>99.334922278792916</v>
      </c>
      <c r="C140" s="450">
        <v>-0.83050428228850159</v>
      </c>
      <c r="D140" s="471">
        <v>0.82661962966267688</v>
      </c>
      <c r="E140" s="462"/>
      <c r="F140" s="461"/>
      <c r="G140" s="496" t="s">
        <v>278</v>
      </c>
      <c r="H140" s="415"/>
      <c r="I140" s="501">
        <v>0.99916949571771152</v>
      </c>
      <c r="J140" s="501">
        <v>1.0008266196296627</v>
      </c>
      <c r="K140" s="415"/>
      <c r="L140" s="415"/>
      <c r="M140" s="337">
        <v>100.26926713999998</v>
      </c>
      <c r="N140" s="326">
        <v>-0.7816494149754708</v>
      </c>
      <c r="O140" s="308">
        <v>0.84290859413575858</v>
      </c>
      <c r="P140" s="301"/>
      <c r="Q140" s="300"/>
      <c r="R140" s="343" t="s">
        <v>278</v>
      </c>
      <c r="S140" s="252"/>
      <c r="T140" s="339">
        <v>0.99921835058502451</v>
      </c>
      <c r="U140" s="339">
        <v>1.0008429085941357</v>
      </c>
      <c r="V140" s="252"/>
      <c r="W140" s="252"/>
    </row>
    <row r="141" spans="2:23" x14ac:dyDescent="0.2">
      <c r="B141" s="499">
        <v>99.345011635546811</v>
      </c>
      <c r="C141" s="450">
        <v>-0.83085261797348298</v>
      </c>
      <c r="D141" s="471">
        <v>0.82509481503417847</v>
      </c>
      <c r="E141" s="462"/>
      <c r="F141" s="461"/>
      <c r="G141" s="496" t="s">
        <v>278</v>
      </c>
      <c r="H141" s="415"/>
      <c r="I141" s="501">
        <v>0.99916914738202656</v>
      </c>
      <c r="J141" s="501">
        <v>1.0008250948150341</v>
      </c>
      <c r="K141" s="415"/>
      <c r="L141" s="415"/>
      <c r="M141" s="337">
        <v>100.1747838</v>
      </c>
      <c r="N141" s="326">
        <v>-0.78109721859964321</v>
      </c>
      <c r="O141" s="308">
        <v>0.84341539984769287</v>
      </c>
      <c r="P141" s="301"/>
      <c r="Q141" s="300"/>
      <c r="R141" s="343" t="s">
        <v>278</v>
      </c>
      <c r="S141" s="252"/>
      <c r="T141" s="339">
        <v>0.99921890278140035</v>
      </c>
      <c r="U141" s="339">
        <v>1.0008434153998478</v>
      </c>
      <c r="V141" s="252"/>
      <c r="W141" s="252"/>
    </row>
    <row r="142" spans="2:23" x14ac:dyDescent="0.2">
      <c r="B142" s="484"/>
      <c r="C142" s="506"/>
      <c r="D142" s="484"/>
      <c r="E142" s="485"/>
      <c r="F142" s="484"/>
      <c r="G142" s="421"/>
      <c r="H142" s="415" t="s">
        <v>275</v>
      </c>
      <c r="I142" s="501">
        <v>0.99922243871995897</v>
      </c>
      <c r="J142" s="501">
        <v>1.0008264431731979</v>
      </c>
      <c r="K142" s="415"/>
      <c r="L142" s="415"/>
      <c r="M142" s="319"/>
      <c r="N142" s="342"/>
      <c r="O142" s="319"/>
      <c r="P142" s="320"/>
      <c r="Q142" s="319"/>
      <c r="R142" s="332"/>
      <c r="S142" s="252" t="s">
        <v>275</v>
      </c>
      <c r="T142" s="339">
        <v>0.99926830886238649</v>
      </c>
      <c r="U142" s="339">
        <v>1.0008448309578837</v>
      </c>
      <c r="V142" s="252"/>
      <c r="W142" s="252"/>
    </row>
    <row r="143" spans="2:23" x14ac:dyDescent="0.2">
      <c r="B143" s="415"/>
      <c r="C143" s="415"/>
      <c r="D143" s="415"/>
      <c r="E143" s="415"/>
      <c r="F143" s="415"/>
      <c r="G143" s="415"/>
      <c r="H143" s="415"/>
      <c r="I143" s="415"/>
      <c r="J143" s="415"/>
      <c r="K143" s="415"/>
      <c r="L143" s="415"/>
      <c r="M143" s="252"/>
      <c r="N143" s="252"/>
      <c r="O143" s="252"/>
      <c r="P143" s="252"/>
      <c r="Q143" s="252"/>
      <c r="R143" s="252"/>
      <c r="S143" s="252"/>
      <c r="T143" s="252"/>
      <c r="U143" s="252"/>
      <c r="V143" s="252"/>
      <c r="W143" s="252"/>
    </row>
    <row r="144" spans="2:23" x14ac:dyDescent="0.2">
      <c r="B144" s="415"/>
      <c r="C144" s="415"/>
      <c r="D144" s="415"/>
      <c r="E144" s="415"/>
      <c r="F144" s="415"/>
      <c r="G144" s="415"/>
      <c r="H144" s="415"/>
      <c r="I144" s="415"/>
      <c r="J144" s="415"/>
      <c r="K144" s="415"/>
      <c r="L144" s="415"/>
      <c r="M144" s="252"/>
      <c r="N144" s="252"/>
      <c r="O144" s="252"/>
      <c r="P144" s="252"/>
      <c r="Q144" s="252"/>
      <c r="R144" s="252"/>
      <c r="S144" s="252"/>
      <c r="T144" s="252"/>
      <c r="U144" s="252"/>
      <c r="V144" s="252"/>
      <c r="W144" s="252"/>
    </row>
  </sheetData>
  <sheetProtection sheet="1" objects="1" scenarios="1"/>
  <mergeCells count="6">
    <mergeCell ref="X85:Z85"/>
    <mergeCell ref="B17:D17"/>
    <mergeCell ref="B34:D34"/>
    <mergeCell ref="M17:O17"/>
    <mergeCell ref="X33:Z33"/>
    <mergeCell ref="M34:O34"/>
  </mergeCells>
  <phoneticPr fontId="13" type="noConversion"/>
  <pageMargins left="0.75" right="0.75" top="1" bottom="1" header="0.5" footer="0.5"/>
  <headerFooter alignWithMargins="0"/>
  <legacy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70"/>
  <sheetViews>
    <sheetView topLeftCell="A37" workbookViewId="0">
      <selection activeCell="D71" sqref="D71"/>
    </sheetView>
  </sheetViews>
  <sheetFormatPr defaultRowHeight="12.75" x14ac:dyDescent="0.2"/>
  <cols>
    <col min="1" max="1" width="10.140625" bestFit="1" customWidth="1"/>
  </cols>
  <sheetData>
    <row r="1" spans="1:4" x14ac:dyDescent="0.2">
      <c r="A1" s="161" t="s">
        <v>174</v>
      </c>
      <c r="B1" s="161"/>
      <c r="C1" s="161"/>
    </row>
    <row r="2" spans="1:4" x14ac:dyDescent="0.2">
      <c r="B2" s="1" t="s">
        <v>146</v>
      </c>
      <c r="C2" s="1"/>
    </row>
    <row r="5" spans="1:4" x14ac:dyDescent="0.2">
      <c r="B5" s="1" t="s">
        <v>129</v>
      </c>
      <c r="C5" s="1"/>
    </row>
    <row r="6" spans="1:4" x14ac:dyDescent="0.2">
      <c r="D6" s="115" t="s">
        <v>124</v>
      </c>
    </row>
    <row r="7" spans="1:4" x14ac:dyDescent="0.2">
      <c r="D7" t="s">
        <v>125</v>
      </c>
    </row>
    <row r="8" spans="1:4" x14ac:dyDescent="0.2">
      <c r="D8" t="s">
        <v>126</v>
      </c>
    </row>
    <row r="9" spans="1:4" x14ac:dyDescent="0.2">
      <c r="D9" s="113" t="s">
        <v>148</v>
      </c>
    </row>
    <row r="10" spans="1:4" x14ac:dyDescent="0.2">
      <c r="D10" t="s">
        <v>149</v>
      </c>
    </row>
    <row r="12" spans="1:4" x14ac:dyDescent="0.2">
      <c r="B12" s="1" t="s">
        <v>127</v>
      </c>
      <c r="C12" s="1"/>
    </row>
    <row r="13" spans="1:4" x14ac:dyDescent="0.2">
      <c r="D13" s="115" t="s">
        <v>128</v>
      </c>
    </row>
    <row r="14" spans="1:4" x14ac:dyDescent="0.2">
      <c r="D14" t="s">
        <v>147</v>
      </c>
    </row>
    <row r="16" spans="1:4" x14ac:dyDescent="0.2">
      <c r="B16" s="112" t="s">
        <v>131</v>
      </c>
      <c r="C16" s="112"/>
    </row>
    <row r="17" spans="1:4" x14ac:dyDescent="0.2">
      <c r="D17" s="114" t="s">
        <v>132</v>
      </c>
    </row>
    <row r="18" spans="1:4" x14ac:dyDescent="0.2">
      <c r="D18" t="s">
        <v>133</v>
      </c>
    </row>
    <row r="19" spans="1:4" x14ac:dyDescent="0.2">
      <c r="A19" s="256">
        <v>40737</v>
      </c>
      <c r="C19" t="s">
        <v>386</v>
      </c>
      <c r="D19" t="s">
        <v>380</v>
      </c>
    </row>
    <row r="20" spans="1:4" x14ac:dyDescent="0.2">
      <c r="A20" s="256">
        <v>40737</v>
      </c>
      <c r="C20" t="s">
        <v>386</v>
      </c>
      <c r="D20" t="s">
        <v>381</v>
      </c>
    </row>
    <row r="22" spans="1:4" x14ac:dyDescent="0.2">
      <c r="B22" s="1" t="s">
        <v>138</v>
      </c>
      <c r="C22" s="1"/>
    </row>
    <row r="23" spans="1:4" x14ac:dyDescent="0.2">
      <c r="D23" s="113" t="s">
        <v>134</v>
      </c>
    </row>
    <row r="24" spans="1:4" x14ac:dyDescent="0.2">
      <c r="D24" t="s">
        <v>136</v>
      </c>
    </row>
    <row r="25" spans="1:4" x14ac:dyDescent="0.2">
      <c r="D25" t="s">
        <v>137</v>
      </c>
    </row>
    <row r="26" spans="1:4" x14ac:dyDescent="0.2">
      <c r="D26" t="s">
        <v>135</v>
      </c>
    </row>
    <row r="27" spans="1:4" x14ac:dyDescent="0.2">
      <c r="D27" t="s">
        <v>153</v>
      </c>
    </row>
    <row r="28" spans="1:4" x14ac:dyDescent="0.2">
      <c r="A28" s="170">
        <v>38642</v>
      </c>
      <c r="D28" t="s">
        <v>162</v>
      </c>
    </row>
    <row r="29" spans="1:4" x14ac:dyDescent="0.2">
      <c r="A29" s="256">
        <v>40737</v>
      </c>
      <c r="C29" t="s">
        <v>386</v>
      </c>
      <c r="D29" t="s">
        <v>382</v>
      </c>
    </row>
    <row r="30" spans="1:4" x14ac:dyDescent="0.2">
      <c r="A30" s="256">
        <v>40737</v>
      </c>
      <c r="C30" t="s">
        <v>386</v>
      </c>
      <c r="D30" t="s">
        <v>385</v>
      </c>
    </row>
    <row r="32" spans="1:4" x14ac:dyDescent="0.2">
      <c r="B32" s="1" t="s">
        <v>144</v>
      </c>
      <c r="C32" s="1"/>
    </row>
    <row r="33" spans="1:4" x14ac:dyDescent="0.2">
      <c r="D33" s="113" t="s">
        <v>139</v>
      </c>
    </row>
    <row r="34" spans="1:4" x14ac:dyDescent="0.2">
      <c r="D34" t="s">
        <v>140</v>
      </c>
    </row>
    <row r="35" spans="1:4" x14ac:dyDescent="0.2">
      <c r="D35" t="s">
        <v>143</v>
      </c>
    </row>
    <row r="36" spans="1:4" x14ac:dyDescent="0.2">
      <c r="D36" t="s">
        <v>141</v>
      </c>
    </row>
    <row r="37" spans="1:4" x14ac:dyDescent="0.2">
      <c r="D37" t="s">
        <v>142</v>
      </c>
    </row>
    <row r="39" spans="1:4" x14ac:dyDescent="0.2">
      <c r="D39" t="s">
        <v>145</v>
      </c>
    </row>
    <row r="40" spans="1:4" x14ac:dyDescent="0.2">
      <c r="D40" s="113" t="s">
        <v>148</v>
      </c>
    </row>
    <row r="41" spans="1:4" x14ac:dyDescent="0.2">
      <c r="D41" t="s">
        <v>150</v>
      </c>
    </row>
    <row r="42" spans="1:4" x14ac:dyDescent="0.2">
      <c r="A42" s="170">
        <v>38642</v>
      </c>
      <c r="D42" t="s">
        <v>163</v>
      </c>
    </row>
    <row r="43" spans="1:4" x14ac:dyDescent="0.2">
      <c r="D43" t="s">
        <v>164</v>
      </c>
    </row>
    <row r="46" spans="1:4" x14ac:dyDescent="0.2">
      <c r="D46" s="167" t="s">
        <v>168</v>
      </c>
    </row>
    <row r="48" spans="1:4" x14ac:dyDescent="0.2">
      <c r="A48" s="170">
        <v>38702</v>
      </c>
      <c r="D48" t="s">
        <v>169</v>
      </c>
    </row>
    <row r="51" spans="1:4" x14ac:dyDescent="0.2">
      <c r="A51" s="232">
        <v>39372</v>
      </c>
      <c r="D51" t="s">
        <v>236</v>
      </c>
    </row>
    <row r="54" spans="1:4" x14ac:dyDescent="0.2">
      <c r="A54" s="232">
        <v>39413</v>
      </c>
      <c r="D54" t="s">
        <v>285</v>
      </c>
    </row>
    <row r="55" spans="1:4" x14ac:dyDescent="0.2">
      <c r="D55" s="362" t="s">
        <v>286</v>
      </c>
    </row>
    <row r="56" spans="1:4" x14ac:dyDescent="0.2">
      <c r="D56" t="s">
        <v>287</v>
      </c>
    </row>
    <row r="57" spans="1:4" x14ac:dyDescent="0.2">
      <c r="D57" t="s">
        <v>288</v>
      </c>
    </row>
    <row r="58" spans="1:4" x14ac:dyDescent="0.2">
      <c r="D58" t="s">
        <v>289</v>
      </c>
    </row>
    <row r="60" spans="1:4" x14ac:dyDescent="0.2">
      <c r="A60" s="232">
        <v>39638</v>
      </c>
      <c r="D60" t="s">
        <v>343</v>
      </c>
    </row>
    <row r="61" spans="1:4" x14ac:dyDescent="0.2">
      <c r="D61" t="s">
        <v>345</v>
      </c>
    </row>
    <row r="62" spans="1:4" x14ac:dyDescent="0.2">
      <c r="D62" t="s">
        <v>344</v>
      </c>
    </row>
    <row r="64" spans="1:4" x14ac:dyDescent="0.2">
      <c r="A64" s="523">
        <v>40246</v>
      </c>
      <c r="C64" t="s">
        <v>392</v>
      </c>
      <c r="D64" s="46" t="s">
        <v>360</v>
      </c>
    </row>
    <row r="65" spans="1:4" x14ac:dyDescent="0.2">
      <c r="A65" s="398"/>
      <c r="D65" s="46" t="s">
        <v>361</v>
      </c>
    </row>
    <row r="67" spans="1:4" x14ac:dyDescent="0.2">
      <c r="A67" s="256">
        <v>42171</v>
      </c>
      <c r="C67" s="46" t="s">
        <v>423</v>
      </c>
      <c r="D67" s="46" t="s">
        <v>424</v>
      </c>
    </row>
    <row r="68" spans="1:4" x14ac:dyDescent="0.2">
      <c r="D68" s="46" t="s">
        <v>425</v>
      </c>
    </row>
    <row r="69" spans="1:4" x14ac:dyDescent="0.2">
      <c r="D69" s="46" t="s">
        <v>426</v>
      </c>
    </row>
    <row r="70" spans="1:4" x14ac:dyDescent="0.2">
      <c r="D70" s="46" t="s">
        <v>427</v>
      </c>
    </row>
  </sheetData>
  <phoneticPr fontId="0" type="noConversion"/>
  <pageMargins left="0.75" right="0.75" top="1" bottom="1" header="0.5" footer="0.5"/>
  <pageSetup paperSize="9"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U50"/>
  <sheetViews>
    <sheetView topLeftCell="A4" workbookViewId="0">
      <selection activeCell="N38" sqref="N38"/>
    </sheetView>
  </sheetViews>
  <sheetFormatPr defaultRowHeight="12.75" x14ac:dyDescent="0.2"/>
  <cols>
    <col min="3" max="3" width="10" bestFit="1" customWidth="1"/>
  </cols>
  <sheetData>
    <row r="1" spans="1:21" x14ac:dyDescent="0.2">
      <c r="A1" s="389">
        <v>39642</v>
      </c>
    </row>
    <row r="3" spans="1:21" x14ac:dyDescent="0.2">
      <c r="A3" t="s">
        <v>351</v>
      </c>
    </row>
    <row r="4" spans="1:21" x14ac:dyDescent="0.2">
      <c r="A4" t="s">
        <v>352</v>
      </c>
    </row>
    <row r="11" spans="1:21" x14ac:dyDescent="0.2">
      <c r="A11" t="s">
        <v>353</v>
      </c>
      <c r="L11" t="s">
        <v>354</v>
      </c>
    </row>
    <row r="12" spans="1:21" x14ac:dyDescent="0.2">
      <c r="A12" s="100">
        <v>191</v>
      </c>
      <c r="C12" s="61" t="s">
        <v>355</v>
      </c>
      <c r="D12" s="18"/>
      <c r="E12" s="18"/>
      <c r="F12" s="18"/>
      <c r="G12" s="18"/>
      <c r="H12" s="10"/>
      <c r="I12" s="10"/>
      <c r="J12" s="11"/>
      <c r="L12" s="100">
        <v>191</v>
      </c>
      <c r="N12" s="61" t="s">
        <v>355</v>
      </c>
      <c r="O12" s="18"/>
      <c r="P12" s="18"/>
      <c r="Q12" s="18"/>
      <c r="R12" s="18"/>
      <c r="S12" s="10"/>
      <c r="T12" s="10"/>
      <c r="U12" s="11"/>
    </row>
    <row r="13" spans="1:21" x14ac:dyDescent="0.2">
      <c r="A13" s="69"/>
      <c r="C13" s="12"/>
      <c r="D13" s="13"/>
      <c r="E13" s="541" t="s">
        <v>19</v>
      </c>
      <c r="F13" s="542"/>
      <c r="G13" s="541" t="s">
        <v>20</v>
      </c>
      <c r="H13" s="542"/>
      <c r="I13" s="543" t="s">
        <v>8</v>
      </c>
      <c r="J13" s="544"/>
      <c r="L13" s="100"/>
      <c r="N13" s="12"/>
      <c r="O13" s="13"/>
      <c r="P13" s="541" t="s">
        <v>19</v>
      </c>
      <c r="Q13" s="542"/>
      <c r="R13" s="541" t="s">
        <v>20</v>
      </c>
      <c r="S13" s="542"/>
      <c r="T13" s="543" t="s">
        <v>8</v>
      </c>
      <c r="U13" s="544"/>
    </row>
    <row r="14" spans="1:21" ht="51" x14ac:dyDescent="0.2">
      <c r="A14" s="69"/>
      <c r="C14" s="12" t="s">
        <v>356</v>
      </c>
      <c r="D14" s="54" t="s">
        <v>242</v>
      </c>
      <c r="E14" s="54" t="s">
        <v>295</v>
      </c>
      <c r="F14" s="13" t="s">
        <v>240</v>
      </c>
      <c r="G14" s="54" t="s">
        <v>295</v>
      </c>
      <c r="H14" s="13" t="s">
        <v>240</v>
      </c>
      <c r="I14" s="54" t="s">
        <v>159</v>
      </c>
      <c r="J14" s="13" t="s">
        <v>160</v>
      </c>
      <c r="L14" s="100"/>
      <c r="N14" s="12" t="s">
        <v>356</v>
      </c>
      <c r="O14" s="54" t="s">
        <v>242</v>
      </c>
      <c r="P14" s="54" t="s">
        <v>295</v>
      </c>
      <c r="Q14" s="13" t="s">
        <v>240</v>
      </c>
      <c r="R14" s="54" t="s">
        <v>295</v>
      </c>
      <c r="S14" s="13" t="s">
        <v>240</v>
      </c>
      <c r="T14" s="54" t="s">
        <v>159</v>
      </c>
      <c r="U14" s="13" t="s">
        <v>160</v>
      </c>
    </row>
    <row r="15" spans="1:21" x14ac:dyDescent="0.2">
      <c r="A15" s="100">
        <v>193</v>
      </c>
      <c r="C15" s="53">
        <v>0.2</v>
      </c>
      <c r="D15" s="57">
        <v>5</v>
      </c>
      <c r="E15" s="281">
        <v>-1.3988047336902555E-3</v>
      </c>
      <c r="F15" s="282">
        <v>4.863383384051268E-3</v>
      </c>
      <c r="G15" s="33">
        <v>6.8436637034128955E-3</v>
      </c>
      <c r="H15" s="53">
        <v>6.5938449071092928E-3</v>
      </c>
      <c r="I15" s="56">
        <v>2.3196877985984874</v>
      </c>
      <c r="J15" s="49">
        <v>2.2594194114292452</v>
      </c>
      <c r="L15" s="100">
        <v>193</v>
      </c>
      <c r="N15" s="53">
        <v>0.2</v>
      </c>
      <c r="O15" s="57">
        <v>5</v>
      </c>
      <c r="P15" s="281">
        <v>-1.3988047336902555E-3</v>
      </c>
      <c r="Q15" s="282">
        <v>4.863383384051268E-3</v>
      </c>
      <c r="R15" s="33">
        <v>6.8436637034128955E-3</v>
      </c>
      <c r="S15" s="53">
        <v>6.5938449071092928E-3</v>
      </c>
      <c r="T15" s="56">
        <v>2.3196877985984874</v>
      </c>
      <c r="U15" s="49">
        <v>2.2594194114292452</v>
      </c>
    </row>
    <row r="16" spans="1:21" x14ac:dyDescent="0.2">
      <c r="A16" s="100">
        <v>194</v>
      </c>
      <c r="C16" s="53">
        <v>0.2</v>
      </c>
      <c r="D16" s="57">
        <v>10</v>
      </c>
      <c r="E16" s="281">
        <v>-1.3568323521233972E-3</v>
      </c>
      <c r="F16" s="282">
        <v>4.9126204229287687E-3</v>
      </c>
      <c r="G16" s="33">
        <v>5.8175895653979426E-3</v>
      </c>
      <c r="H16" s="53">
        <v>6.6076248478882261E-3</v>
      </c>
      <c r="I16" s="56">
        <v>2.2796055016550638</v>
      </c>
      <c r="J16" s="49">
        <v>2.2279286994276251</v>
      </c>
      <c r="L16" s="100">
        <v>194</v>
      </c>
      <c r="N16" s="53">
        <v>0.2</v>
      </c>
      <c r="O16" s="57">
        <v>10</v>
      </c>
      <c r="P16" s="281">
        <v>-1.3568323521233972E-3</v>
      </c>
      <c r="Q16" s="282">
        <v>4.9126204229287687E-3</v>
      </c>
      <c r="R16" s="33">
        <v>5.8175895653979426E-3</v>
      </c>
      <c r="S16" s="53">
        <v>6.6076248478882261E-3</v>
      </c>
      <c r="T16" s="56">
        <v>2.2796055016550638</v>
      </c>
      <c r="U16" s="49">
        <v>2.2279286994276251</v>
      </c>
    </row>
    <row r="17" spans="1:21" x14ac:dyDescent="0.2">
      <c r="A17" s="100">
        <v>195</v>
      </c>
      <c r="C17" s="53">
        <v>0.2</v>
      </c>
      <c r="D17" s="57">
        <v>20</v>
      </c>
      <c r="E17" s="281">
        <v>-1.4464462317550142E-3</v>
      </c>
      <c r="F17" s="282">
        <v>4.762815434460296E-3</v>
      </c>
      <c r="G17" s="33">
        <v>5.1329421992888837E-3</v>
      </c>
      <c r="H17" s="53">
        <v>6.4583472405509088E-3</v>
      </c>
      <c r="I17" s="56">
        <v>2.1327626067148517</v>
      </c>
      <c r="J17" s="49">
        <v>2.2831279510380296</v>
      </c>
      <c r="L17" s="100">
        <v>195</v>
      </c>
      <c r="N17" s="53">
        <v>0.2</v>
      </c>
      <c r="O17" s="57">
        <v>20</v>
      </c>
      <c r="P17" s="281">
        <v>-1.4464462317550142E-3</v>
      </c>
      <c r="Q17" s="282">
        <v>4.762815434460296E-3</v>
      </c>
      <c r="R17" s="33">
        <v>5.1329421992888837E-3</v>
      </c>
      <c r="S17" s="53">
        <v>6.4583472405509088E-3</v>
      </c>
      <c r="T17" s="56">
        <v>2.1327626067148517</v>
      </c>
      <c r="U17" s="49">
        <v>2.2831279510380296</v>
      </c>
    </row>
    <row r="18" spans="1:21" x14ac:dyDescent="0.2">
      <c r="A18" s="100">
        <v>196</v>
      </c>
      <c r="C18" s="53">
        <v>0.2</v>
      </c>
      <c r="D18" s="57">
        <v>40</v>
      </c>
      <c r="E18" s="281">
        <v>-1.2001857572746391E-3</v>
      </c>
      <c r="F18" s="282">
        <v>4.9219379790182999E-3</v>
      </c>
      <c r="G18" s="33">
        <v>6.5959571514903059E-3</v>
      </c>
      <c r="H18" s="53">
        <v>6.3565669109594833E-3</v>
      </c>
      <c r="I18" s="56">
        <v>2.102700697743662</v>
      </c>
      <c r="J18" s="49">
        <v>2.3355804613664386</v>
      </c>
      <c r="L18" s="100">
        <v>196</v>
      </c>
      <c r="N18" s="53">
        <v>0.2</v>
      </c>
      <c r="O18" s="57">
        <v>40</v>
      </c>
      <c r="P18" s="281">
        <v>-1.2001857572746391E-3</v>
      </c>
      <c r="Q18" s="282">
        <v>4.9219379790182999E-3</v>
      </c>
      <c r="R18" s="33">
        <v>6.5959571514903059E-3</v>
      </c>
      <c r="S18" s="53">
        <v>6.3565669109594833E-3</v>
      </c>
      <c r="T18" s="56">
        <v>2.102700697743662</v>
      </c>
      <c r="U18" s="49">
        <v>2.3355804613664386</v>
      </c>
    </row>
    <row r="19" spans="1:21" x14ac:dyDescent="0.2">
      <c r="A19" s="100">
        <v>197</v>
      </c>
      <c r="C19" s="53">
        <v>0.2</v>
      </c>
      <c r="D19" s="51">
        <v>60</v>
      </c>
      <c r="E19" s="281">
        <v>-9.9802412691157838E-4</v>
      </c>
      <c r="F19" s="282">
        <v>5.3900406035642815E-3</v>
      </c>
      <c r="G19" s="33">
        <v>7.7094163519279566E-3</v>
      </c>
      <c r="H19" s="53">
        <v>6.4213233516317103E-3</v>
      </c>
      <c r="I19" s="56">
        <v>2.1064643861172527</v>
      </c>
      <c r="J19" s="49">
        <v>2.3343514252618389</v>
      </c>
      <c r="L19" s="100">
        <v>197</v>
      </c>
      <c r="N19" s="53">
        <v>0.2</v>
      </c>
      <c r="O19" s="51">
        <v>60</v>
      </c>
      <c r="P19" s="281">
        <v>-9.9802412691157838E-4</v>
      </c>
      <c r="Q19" s="282">
        <v>5.3900406035642815E-3</v>
      </c>
      <c r="R19" s="33">
        <v>7.7094163519279566E-3</v>
      </c>
      <c r="S19" s="53">
        <v>6.4213233516317103E-3</v>
      </c>
      <c r="T19" s="56">
        <v>2.1064643861172527</v>
      </c>
      <c r="U19" s="49">
        <v>2.3343514252618389</v>
      </c>
    </row>
    <row r="20" spans="1:21" x14ac:dyDescent="0.2">
      <c r="A20" s="100">
        <v>198</v>
      </c>
      <c r="C20" s="53">
        <v>0.2</v>
      </c>
      <c r="D20" s="51">
        <v>100</v>
      </c>
      <c r="E20" s="281">
        <v>-8.2199066582039695E-4</v>
      </c>
      <c r="F20" s="282">
        <v>4.5553848181261944E-3</v>
      </c>
      <c r="G20" s="33">
        <v>8.9036626378363008E-3</v>
      </c>
      <c r="H20" s="53">
        <v>6.3546806879133198E-3</v>
      </c>
      <c r="I20" s="56">
        <v>2.1138078707480585</v>
      </c>
      <c r="J20" s="49">
        <v>2.3267385496373705</v>
      </c>
      <c r="L20" s="100">
        <v>198</v>
      </c>
      <c r="N20" s="53">
        <v>0.2</v>
      </c>
      <c r="O20" s="51">
        <v>100</v>
      </c>
      <c r="P20" s="281">
        <v>-8.2199066582039695E-4</v>
      </c>
      <c r="Q20" s="282">
        <v>4.5553848181261944E-3</v>
      </c>
      <c r="R20" s="33">
        <v>8.9036626378363008E-3</v>
      </c>
      <c r="S20" s="53">
        <v>6.3546806879133198E-3</v>
      </c>
      <c r="T20" s="56">
        <v>2.1138078707480585</v>
      </c>
      <c r="U20" s="49">
        <v>2.3267385496373705</v>
      </c>
    </row>
    <row r="21" spans="1:21" x14ac:dyDescent="0.2">
      <c r="A21" s="100">
        <v>199</v>
      </c>
      <c r="C21" s="53">
        <v>0.2</v>
      </c>
      <c r="D21" s="51">
        <v>120</v>
      </c>
      <c r="E21" s="281">
        <v>-7.7975701742199403E-4</v>
      </c>
      <c r="F21" s="282">
        <v>4.7312002003411053E-3</v>
      </c>
      <c r="G21" s="33">
        <v>9.0832747374210189E-3</v>
      </c>
      <c r="H21" s="53">
        <v>6.3851105113233633E-3</v>
      </c>
      <c r="I21" s="56">
        <v>2.1149437656523782</v>
      </c>
      <c r="J21" s="49">
        <v>2.3015244776026322</v>
      </c>
      <c r="L21" s="100">
        <v>199</v>
      </c>
      <c r="N21" s="53">
        <v>0.2</v>
      </c>
      <c r="O21" s="51">
        <v>120</v>
      </c>
      <c r="P21" s="281">
        <v>-7.7975701742199403E-4</v>
      </c>
      <c r="Q21" s="282">
        <v>4.7312002003411053E-3</v>
      </c>
      <c r="R21" s="33">
        <v>9.0832747374210189E-3</v>
      </c>
      <c r="S21" s="53">
        <v>6.3851105113233633E-3</v>
      </c>
      <c r="T21" s="56">
        <v>2.1149437656523782</v>
      </c>
      <c r="U21" s="49">
        <v>2.3015244776026322</v>
      </c>
    </row>
    <row r="22" spans="1:21" x14ac:dyDescent="0.2">
      <c r="A22" s="69"/>
      <c r="C22" s="122"/>
      <c r="D22" s="116"/>
      <c r="E22" s="117"/>
      <c r="F22" s="118"/>
      <c r="G22" s="117"/>
      <c r="H22" s="118"/>
      <c r="I22" s="119"/>
      <c r="J22" s="120"/>
      <c r="L22" s="100"/>
      <c r="N22" s="122"/>
      <c r="O22" s="116"/>
      <c r="P22" s="117"/>
      <c r="Q22" s="118"/>
      <c r="R22" s="117"/>
      <c r="S22" s="118"/>
      <c r="T22" s="119"/>
      <c r="U22" s="120"/>
    </row>
    <row r="23" spans="1:21" x14ac:dyDescent="0.2">
      <c r="A23" s="100">
        <v>201</v>
      </c>
      <c r="C23" s="53">
        <v>0</v>
      </c>
      <c r="D23" s="51">
        <v>5</v>
      </c>
      <c r="E23" s="281">
        <v>-7.6134852144480001E-4</v>
      </c>
      <c r="F23" s="282">
        <v>2.0769890015601691E-3</v>
      </c>
      <c r="G23" s="33">
        <v>6.843684206439409E-3</v>
      </c>
      <c r="H23" s="53">
        <v>6.5921705841192439E-3</v>
      </c>
      <c r="I23" s="56">
        <v>2.319669962302005</v>
      </c>
      <c r="J23" s="49">
        <v>2.260254281547629</v>
      </c>
      <c r="L23" s="100">
        <v>201</v>
      </c>
      <c r="N23" s="53">
        <v>0</v>
      </c>
      <c r="O23" s="51">
        <v>5</v>
      </c>
      <c r="P23" s="281">
        <v>-7.6134852144480001E-4</v>
      </c>
      <c r="Q23" s="282">
        <v>2.0769890015601691E-3</v>
      </c>
      <c r="R23" s="33">
        <v>6.843684206439409E-3</v>
      </c>
      <c r="S23" s="53">
        <v>6.5921705841192439E-3</v>
      </c>
      <c r="T23" s="56">
        <v>2.319669962302005</v>
      </c>
      <c r="U23" s="49">
        <v>2.260254281547629</v>
      </c>
    </row>
    <row r="24" spans="1:21" x14ac:dyDescent="0.2">
      <c r="A24" s="100">
        <v>202</v>
      </c>
      <c r="C24" s="53">
        <v>0</v>
      </c>
      <c r="D24" s="51">
        <v>10</v>
      </c>
      <c r="E24" s="281">
        <v>-6.9945563324527119E-4</v>
      </c>
      <c r="F24" s="282">
        <v>2.01012627450054E-3</v>
      </c>
      <c r="G24" s="33">
        <v>5.8176248434792495E-3</v>
      </c>
      <c r="H24" s="53">
        <v>6.6264713748989011E-3</v>
      </c>
      <c r="I24" s="56">
        <v>2.2795811015247427</v>
      </c>
      <c r="J24" s="49">
        <v>2.2212526404542299</v>
      </c>
      <c r="L24" s="100">
        <v>202</v>
      </c>
      <c r="N24" s="53">
        <v>0</v>
      </c>
      <c r="O24" s="51">
        <v>10</v>
      </c>
      <c r="P24" s="281">
        <v>-6.9945563324527119E-4</v>
      </c>
      <c r="Q24" s="282">
        <v>2.01012627450054E-3</v>
      </c>
      <c r="R24" s="33">
        <v>5.8176248434792495E-3</v>
      </c>
      <c r="S24" s="53">
        <v>6.6264713748989011E-3</v>
      </c>
      <c r="T24" s="56">
        <v>2.2795811015247427</v>
      </c>
      <c r="U24" s="49">
        <v>2.2212526404542299</v>
      </c>
    </row>
    <row r="25" spans="1:21" x14ac:dyDescent="0.2">
      <c r="A25" s="100">
        <v>203</v>
      </c>
      <c r="C25" s="53">
        <v>0</v>
      </c>
      <c r="D25" s="51">
        <v>20</v>
      </c>
      <c r="E25" s="281">
        <v>-6.8946697971353633E-4</v>
      </c>
      <c r="F25" s="282">
        <v>2.6149697646234071E-3</v>
      </c>
      <c r="G25" s="33">
        <v>5.1331160210259397E-3</v>
      </c>
      <c r="H25" s="53">
        <v>6.4601515953817707E-3</v>
      </c>
      <c r="I25" s="56">
        <v>2.1327247078968563</v>
      </c>
      <c r="J25" s="49">
        <v>2.282052505933108</v>
      </c>
      <c r="L25" s="100">
        <v>203</v>
      </c>
      <c r="N25" s="53">
        <v>0</v>
      </c>
      <c r="O25" s="51">
        <v>20</v>
      </c>
      <c r="P25" s="281">
        <v>-6.8946697971353633E-4</v>
      </c>
      <c r="Q25" s="282">
        <v>2.6149697646234071E-3</v>
      </c>
      <c r="R25" s="33">
        <v>5.1331160210259397E-3</v>
      </c>
      <c r="S25" s="53">
        <v>6.4601515953817707E-3</v>
      </c>
      <c r="T25" s="56">
        <v>2.1327247078968563</v>
      </c>
      <c r="U25" s="49">
        <v>2.282052505933108</v>
      </c>
    </row>
    <row r="26" spans="1:21" x14ac:dyDescent="0.2">
      <c r="A26" s="100">
        <v>204</v>
      </c>
      <c r="C26" s="53">
        <v>0</v>
      </c>
      <c r="D26" s="51">
        <v>40</v>
      </c>
      <c r="E26" s="281">
        <v>-3.834449853351501E-4</v>
      </c>
      <c r="F26" s="282">
        <v>2.8611671336342568E-3</v>
      </c>
      <c r="G26" s="33">
        <v>6.5959637097260286E-3</v>
      </c>
      <c r="H26" s="53">
        <v>6.3568086589030582E-3</v>
      </c>
      <c r="I26" s="56">
        <v>2.1026998653896682</v>
      </c>
      <c r="J26" s="49">
        <v>2.3353119129718243</v>
      </c>
      <c r="L26" s="100">
        <v>204</v>
      </c>
      <c r="N26" s="53">
        <v>0</v>
      </c>
      <c r="O26" s="51">
        <v>40</v>
      </c>
      <c r="P26" s="281">
        <v>-3.834449853351501E-4</v>
      </c>
      <c r="Q26" s="282">
        <v>2.8611671336342568E-3</v>
      </c>
      <c r="R26" s="33">
        <v>6.5959637097260286E-3</v>
      </c>
      <c r="S26" s="53">
        <v>6.3568086589030582E-3</v>
      </c>
      <c r="T26" s="56">
        <v>2.1026998653896682</v>
      </c>
      <c r="U26" s="49">
        <v>2.3353119129718243</v>
      </c>
    </row>
    <row r="27" spans="1:21" x14ac:dyDescent="0.2">
      <c r="A27" s="100">
        <v>205</v>
      </c>
      <c r="C27" s="53">
        <v>0</v>
      </c>
      <c r="D27" s="51">
        <v>60</v>
      </c>
      <c r="E27" s="281">
        <v>-1.6136284833941913E-4</v>
      </c>
      <c r="F27" s="282">
        <v>3.3292697581802384E-3</v>
      </c>
      <c r="G27" s="33">
        <v>7.7094914217074413E-3</v>
      </c>
      <c r="H27" s="53">
        <v>6.4251614350664676E-3</v>
      </c>
      <c r="I27" s="56">
        <v>2.1064559200316451</v>
      </c>
      <c r="J27" s="49">
        <v>2.3304728673854895</v>
      </c>
      <c r="L27" s="100">
        <v>205</v>
      </c>
      <c r="N27" s="53">
        <v>0</v>
      </c>
      <c r="O27" s="51">
        <v>60</v>
      </c>
      <c r="P27" s="281">
        <v>-1.6136284833941913E-4</v>
      </c>
      <c r="Q27" s="282">
        <v>3.3292697581802384E-3</v>
      </c>
      <c r="R27" s="33">
        <v>7.7094914217074413E-3</v>
      </c>
      <c r="S27" s="53">
        <v>6.4251614350664676E-3</v>
      </c>
      <c r="T27" s="56">
        <v>2.1064559200316451</v>
      </c>
      <c r="U27" s="49">
        <v>2.3304728673854895</v>
      </c>
    </row>
    <row r="28" spans="1:21" x14ac:dyDescent="0.2">
      <c r="A28" s="100">
        <v>206</v>
      </c>
      <c r="C28" s="53">
        <v>0</v>
      </c>
      <c r="D28" s="51">
        <v>100</v>
      </c>
      <c r="E28" s="281">
        <v>-2.5170400513578335E-5</v>
      </c>
      <c r="F28" s="282">
        <v>2.8138883290692567E-3</v>
      </c>
      <c r="G28" s="33">
        <v>8.9036301519626534E-3</v>
      </c>
      <c r="H28" s="53">
        <v>6.3556358067570033E-3</v>
      </c>
      <c r="I28" s="56">
        <v>2.1138112830982072</v>
      </c>
      <c r="J28" s="49">
        <v>2.3257839805753187</v>
      </c>
      <c r="L28" s="100">
        <v>206</v>
      </c>
      <c r="N28" s="53">
        <v>0</v>
      </c>
      <c r="O28" s="51">
        <v>100</v>
      </c>
      <c r="P28" s="281">
        <v>-2.5170400513578335E-5</v>
      </c>
      <c r="Q28" s="282">
        <v>2.8138883290692567E-3</v>
      </c>
      <c r="R28" s="33">
        <v>8.9036301519626534E-3</v>
      </c>
      <c r="S28" s="53">
        <v>6.3556358067570033E-3</v>
      </c>
      <c r="T28" s="56">
        <v>2.1138112830982072</v>
      </c>
      <c r="U28" s="49">
        <v>2.3257839805753187</v>
      </c>
    </row>
    <row r="29" spans="1:21" x14ac:dyDescent="0.2">
      <c r="A29" s="100">
        <v>207</v>
      </c>
      <c r="C29" s="53">
        <v>0</v>
      </c>
      <c r="D29" s="51">
        <v>120</v>
      </c>
      <c r="E29" s="281">
        <v>3.6983754517495732E-5</v>
      </c>
      <c r="F29" s="282">
        <v>3.2758896343191911E-3</v>
      </c>
      <c r="G29" s="33">
        <v>9.0832730946133911E-3</v>
      </c>
      <c r="H29" s="53">
        <v>6.3849909015044112E-3</v>
      </c>
      <c r="I29" s="56">
        <v>2.1149439367069482</v>
      </c>
      <c r="J29" s="49">
        <v>2.3016173108397155</v>
      </c>
      <c r="L29" s="100">
        <v>207</v>
      </c>
      <c r="N29" s="53">
        <v>0</v>
      </c>
      <c r="O29" s="51">
        <v>120</v>
      </c>
      <c r="P29" s="281">
        <v>3.6983754517495732E-5</v>
      </c>
      <c r="Q29" s="282">
        <v>3.2758896343191911E-3</v>
      </c>
      <c r="R29" s="33">
        <v>9.0832730946133911E-3</v>
      </c>
      <c r="S29" s="53">
        <v>6.3849909015044112E-3</v>
      </c>
      <c r="T29" s="56">
        <v>2.1149439367069482</v>
      </c>
      <c r="U29" s="49">
        <v>2.3016173108397155</v>
      </c>
    </row>
    <row r="30" spans="1:21" x14ac:dyDescent="0.2">
      <c r="C30" s="39"/>
      <c r="D30" s="52"/>
      <c r="E30" s="38"/>
      <c r="F30" s="52"/>
      <c r="G30" s="38"/>
      <c r="H30" s="52"/>
      <c r="I30" s="52"/>
      <c r="J30" s="40"/>
      <c r="N30" s="39"/>
      <c r="O30" s="52"/>
      <c r="P30" s="38"/>
      <c r="Q30" s="52"/>
      <c r="R30" s="38"/>
      <c r="S30" s="52"/>
      <c r="T30" s="52"/>
      <c r="U30" s="40"/>
    </row>
    <row r="32" spans="1:21" x14ac:dyDescent="0.2">
      <c r="A32" t="s">
        <v>357</v>
      </c>
      <c r="C32" s="61" t="s">
        <v>355</v>
      </c>
      <c r="D32" s="18"/>
      <c r="E32" s="18"/>
      <c r="F32" s="18"/>
      <c r="G32" s="18"/>
      <c r="H32" s="10"/>
      <c r="I32" s="10"/>
      <c r="J32" s="11"/>
    </row>
    <row r="33" spans="3:10" x14ac:dyDescent="0.2">
      <c r="C33" s="12"/>
      <c r="D33" s="13"/>
      <c r="E33" s="541" t="s">
        <v>19</v>
      </c>
      <c r="F33" s="542"/>
      <c r="G33" s="541" t="s">
        <v>20</v>
      </c>
      <c r="H33" s="542"/>
      <c r="I33" s="543" t="s">
        <v>8</v>
      </c>
      <c r="J33" s="544"/>
    </row>
    <row r="34" spans="3:10" ht="51" x14ac:dyDescent="0.2">
      <c r="C34" s="12" t="s">
        <v>356</v>
      </c>
      <c r="D34" s="54" t="s">
        <v>242</v>
      </c>
      <c r="E34" s="54" t="s">
        <v>295</v>
      </c>
      <c r="F34" s="13" t="s">
        <v>240</v>
      </c>
      <c r="G34" s="54" t="s">
        <v>295</v>
      </c>
      <c r="H34" s="13" t="s">
        <v>240</v>
      </c>
      <c r="I34" s="54" t="s">
        <v>159</v>
      </c>
      <c r="J34" s="13" t="s">
        <v>160</v>
      </c>
    </row>
    <row r="35" spans="3:10" x14ac:dyDescent="0.2">
      <c r="C35" s="390">
        <f t="shared" ref="C35:I40" si="0">C15-N15</f>
        <v>0</v>
      </c>
      <c r="D35" s="390">
        <f t="shared" si="0"/>
        <v>0</v>
      </c>
      <c r="E35" s="391">
        <f t="shared" si="0"/>
        <v>0</v>
      </c>
      <c r="F35" s="390">
        <f t="shared" si="0"/>
        <v>0</v>
      </c>
      <c r="G35" s="391">
        <f t="shared" si="0"/>
        <v>0</v>
      </c>
      <c r="H35" s="390">
        <f t="shared" si="0"/>
        <v>0</v>
      </c>
      <c r="I35" s="390">
        <f t="shared" si="0"/>
        <v>0</v>
      </c>
      <c r="J35" s="392">
        <f t="shared" ref="J35:J41" si="1">J15-U15</f>
        <v>0</v>
      </c>
    </row>
    <row r="36" spans="3:10" x14ac:dyDescent="0.2">
      <c r="C36" s="390">
        <f t="shared" si="0"/>
        <v>0</v>
      </c>
      <c r="D36" s="390">
        <f t="shared" si="0"/>
        <v>0</v>
      </c>
      <c r="E36" s="391">
        <f t="shared" si="0"/>
        <v>0</v>
      </c>
      <c r="F36" s="390">
        <f t="shared" si="0"/>
        <v>0</v>
      </c>
      <c r="G36" s="391">
        <f t="shared" si="0"/>
        <v>0</v>
      </c>
      <c r="H36" s="390">
        <f t="shared" si="0"/>
        <v>0</v>
      </c>
      <c r="I36" s="390">
        <f t="shared" si="0"/>
        <v>0</v>
      </c>
      <c r="J36" s="392">
        <f t="shared" si="1"/>
        <v>0</v>
      </c>
    </row>
    <row r="37" spans="3:10" x14ac:dyDescent="0.2">
      <c r="C37" s="390">
        <f t="shared" si="0"/>
        <v>0</v>
      </c>
      <c r="D37" s="390">
        <f t="shared" si="0"/>
        <v>0</v>
      </c>
      <c r="E37" s="391">
        <f t="shared" si="0"/>
        <v>0</v>
      </c>
      <c r="F37" s="390">
        <f t="shared" si="0"/>
        <v>0</v>
      </c>
      <c r="G37" s="391">
        <f t="shared" si="0"/>
        <v>0</v>
      </c>
      <c r="H37" s="390">
        <f t="shared" si="0"/>
        <v>0</v>
      </c>
      <c r="I37" s="390">
        <f t="shared" si="0"/>
        <v>0</v>
      </c>
      <c r="J37" s="392">
        <f t="shared" si="1"/>
        <v>0</v>
      </c>
    </row>
    <row r="38" spans="3:10" x14ac:dyDescent="0.2">
      <c r="C38" s="390">
        <f t="shared" si="0"/>
        <v>0</v>
      </c>
      <c r="D38" s="390">
        <f t="shared" si="0"/>
        <v>0</v>
      </c>
      <c r="E38" s="391">
        <f t="shared" si="0"/>
        <v>0</v>
      </c>
      <c r="F38" s="390">
        <f t="shared" si="0"/>
        <v>0</v>
      </c>
      <c r="G38" s="391">
        <f t="shared" si="0"/>
        <v>0</v>
      </c>
      <c r="H38" s="390">
        <f t="shared" si="0"/>
        <v>0</v>
      </c>
      <c r="I38" s="390">
        <f t="shared" si="0"/>
        <v>0</v>
      </c>
      <c r="J38" s="392">
        <f t="shared" si="1"/>
        <v>0</v>
      </c>
    </row>
    <row r="39" spans="3:10" x14ac:dyDescent="0.2">
      <c r="C39" s="390">
        <f t="shared" si="0"/>
        <v>0</v>
      </c>
      <c r="D39" s="390">
        <f t="shared" si="0"/>
        <v>0</v>
      </c>
      <c r="E39" s="391">
        <f t="shared" si="0"/>
        <v>0</v>
      </c>
      <c r="F39" s="390">
        <f t="shared" si="0"/>
        <v>0</v>
      </c>
      <c r="G39" s="391">
        <f t="shared" si="0"/>
        <v>0</v>
      </c>
      <c r="H39" s="390">
        <f t="shared" si="0"/>
        <v>0</v>
      </c>
      <c r="I39" s="390">
        <f t="shared" si="0"/>
        <v>0</v>
      </c>
      <c r="J39" s="392">
        <f t="shared" si="1"/>
        <v>0</v>
      </c>
    </row>
    <row r="40" spans="3:10" x14ac:dyDescent="0.2">
      <c r="C40" s="390">
        <f t="shared" si="0"/>
        <v>0</v>
      </c>
      <c r="D40" s="390">
        <f t="shared" si="0"/>
        <v>0</v>
      </c>
      <c r="E40" s="391">
        <f t="shared" si="0"/>
        <v>0</v>
      </c>
      <c r="F40" s="390">
        <f t="shared" si="0"/>
        <v>0</v>
      </c>
      <c r="G40" s="391">
        <f t="shared" si="0"/>
        <v>0</v>
      </c>
      <c r="H40" s="390">
        <f t="shared" si="0"/>
        <v>0</v>
      </c>
      <c r="I40" s="390">
        <f t="shared" si="0"/>
        <v>0</v>
      </c>
      <c r="J40" s="392">
        <f t="shared" si="1"/>
        <v>0</v>
      </c>
    </row>
    <row r="41" spans="3:10" x14ac:dyDescent="0.2">
      <c r="C41" s="390">
        <f t="shared" ref="C41:I41" si="2">C21-N21</f>
        <v>0</v>
      </c>
      <c r="D41" s="390">
        <f t="shared" si="2"/>
        <v>0</v>
      </c>
      <c r="E41" s="391">
        <f t="shared" si="2"/>
        <v>0</v>
      </c>
      <c r="F41" s="390">
        <f t="shared" si="2"/>
        <v>0</v>
      </c>
      <c r="G41" s="391">
        <f t="shared" si="2"/>
        <v>0</v>
      </c>
      <c r="H41" s="390">
        <f t="shared" si="2"/>
        <v>0</v>
      </c>
      <c r="I41" s="390">
        <f t="shared" si="2"/>
        <v>0</v>
      </c>
      <c r="J41" s="392">
        <f t="shared" si="1"/>
        <v>0</v>
      </c>
    </row>
    <row r="42" spans="3:10" x14ac:dyDescent="0.2">
      <c r="C42" s="122"/>
      <c r="D42" s="116"/>
      <c r="E42" s="117"/>
      <c r="F42" s="118"/>
      <c r="G42" s="117"/>
      <c r="H42" s="118"/>
      <c r="I42" s="119"/>
      <c r="J42" s="120"/>
    </row>
    <row r="43" spans="3:10" x14ac:dyDescent="0.2">
      <c r="C43" s="390">
        <f t="shared" ref="C43:I48" si="3">C23-N23</f>
        <v>0</v>
      </c>
      <c r="D43" s="390">
        <f t="shared" si="3"/>
        <v>0</v>
      </c>
      <c r="E43" s="391">
        <f t="shared" si="3"/>
        <v>0</v>
      </c>
      <c r="F43" s="390">
        <f t="shared" si="3"/>
        <v>0</v>
      </c>
      <c r="G43" s="391">
        <f t="shared" si="3"/>
        <v>0</v>
      </c>
      <c r="H43" s="390">
        <f t="shared" si="3"/>
        <v>0</v>
      </c>
      <c r="I43" s="390">
        <f t="shared" si="3"/>
        <v>0</v>
      </c>
      <c r="J43" s="392">
        <f t="shared" ref="J43:J49" si="4">J23-U23</f>
        <v>0</v>
      </c>
    </row>
    <row r="44" spans="3:10" x14ac:dyDescent="0.2">
      <c r="C44" s="390">
        <f t="shared" si="3"/>
        <v>0</v>
      </c>
      <c r="D44" s="390">
        <f t="shared" si="3"/>
        <v>0</v>
      </c>
      <c r="E44" s="391">
        <f t="shared" si="3"/>
        <v>0</v>
      </c>
      <c r="F44" s="390">
        <f t="shared" si="3"/>
        <v>0</v>
      </c>
      <c r="G44" s="391">
        <f t="shared" si="3"/>
        <v>0</v>
      </c>
      <c r="H44" s="390">
        <f t="shared" si="3"/>
        <v>0</v>
      </c>
      <c r="I44" s="390">
        <f t="shared" si="3"/>
        <v>0</v>
      </c>
      <c r="J44" s="392">
        <f t="shared" si="4"/>
        <v>0</v>
      </c>
    </row>
    <row r="45" spans="3:10" x14ac:dyDescent="0.2">
      <c r="C45" s="390">
        <f t="shared" si="3"/>
        <v>0</v>
      </c>
      <c r="D45" s="390">
        <f t="shared" si="3"/>
        <v>0</v>
      </c>
      <c r="E45" s="391">
        <f t="shared" si="3"/>
        <v>0</v>
      </c>
      <c r="F45" s="390">
        <f t="shared" si="3"/>
        <v>0</v>
      </c>
      <c r="G45" s="391">
        <f t="shared" si="3"/>
        <v>0</v>
      </c>
      <c r="H45" s="390">
        <f t="shared" si="3"/>
        <v>0</v>
      </c>
      <c r="I45" s="390">
        <f t="shared" si="3"/>
        <v>0</v>
      </c>
      <c r="J45" s="392">
        <f t="shared" si="4"/>
        <v>0</v>
      </c>
    </row>
    <row r="46" spans="3:10" x14ac:dyDescent="0.2">
      <c r="C46" s="390">
        <f t="shared" si="3"/>
        <v>0</v>
      </c>
      <c r="D46" s="390">
        <f t="shared" si="3"/>
        <v>0</v>
      </c>
      <c r="E46" s="391">
        <f t="shared" si="3"/>
        <v>0</v>
      </c>
      <c r="F46" s="390">
        <f t="shared" si="3"/>
        <v>0</v>
      </c>
      <c r="G46" s="391">
        <f t="shared" si="3"/>
        <v>0</v>
      </c>
      <c r="H46" s="390">
        <f t="shared" si="3"/>
        <v>0</v>
      </c>
      <c r="I46" s="390">
        <f t="shared" si="3"/>
        <v>0</v>
      </c>
      <c r="J46" s="392">
        <f t="shared" si="4"/>
        <v>0</v>
      </c>
    </row>
    <row r="47" spans="3:10" x14ac:dyDescent="0.2">
      <c r="C47" s="390">
        <f t="shared" si="3"/>
        <v>0</v>
      </c>
      <c r="D47" s="390">
        <f t="shared" si="3"/>
        <v>0</v>
      </c>
      <c r="E47" s="391">
        <f t="shared" si="3"/>
        <v>0</v>
      </c>
      <c r="F47" s="390">
        <f t="shared" si="3"/>
        <v>0</v>
      </c>
      <c r="G47" s="391">
        <f t="shared" si="3"/>
        <v>0</v>
      </c>
      <c r="H47" s="390">
        <f t="shared" si="3"/>
        <v>0</v>
      </c>
      <c r="I47" s="390">
        <f t="shared" si="3"/>
        <v>0</v>
      </c>
      <c r="J47" s="392">
        <f t="shared" si="4"/>
        <v>0</v>
      </c>
    </row>
    <row r="48" spans="3:10" x14ac:dyDescent="0.2">
      <c r="C48" s="390">
        <f t="shared" si="3"/>
        <v>0</v>
      </c>
      <c r="D48" s="390">
        <f t="shared" si="3"/>
        <v>0</v>
      </c>
      <c r="E48" s="391">
        <f t="shared" si="3"/>
        <v>0</v>
      </c>
      <c r="F48" s="390">
        <f t="shared" si="3"/>
        <v>0</v>
      </c>
      <c r="G48" s="391">
        <f t="shared" si="3"/>
        <v>0</v>
      </c>
      <c r="H48" s="390">
        <f t="shared" si="3"/>
        <v>0</v>
      </c>
      <c r="I48" s="390">
        <f t="shared" si="3"/>
        <v>0</v>
      </c>
      <c r="J48" s="392">
        <f t="shared" si="4"/>
        <v>0</v>
      </c>
    </row>
    <row r="49" spans="3:10" x14ac:dyDescent="0.2">
      <c r="C49" s="390">
        <f t="shared" ref="C49:I49" si="5">C29-N29</f>
        <v>0</v>
      </c>
      <c r="D49" s="390">
        <f t="shared" si="5"/>
        <v>0</v>
      </c>
      <c r="E49" s="391">
        <f t="shared" si="5"/>
        <v>0</v>
      </c>
      <c r="F49" s="390">
        <f t="shared" si="5"/>
        <v>0</v>
      </c>
      <c r="G49" s="391">
        <f t="shared" si="5"/>
        <v>0</v>
      </c>
      <c r="H49" s="390">
        <f t="shared" si="5"/>
        <v>0</v>
      </c>
      <c r="I49" s="390">
        <f t="shared" si="5"/>
        <v>0</v>
      </c>
      <c r="J49" s="392">
        <f t="shared" si="4"/>
        <v>0</v>
      </c>
    </row>
    <row r="50" spans="3:10" x14ac:dyDescent="0.2">
      <c r="C50" s="39"/>
      <c r="D50" s="52"/>
      <c r="E50" s="38"/>
      <c r="F50" s="52"/>
      <c r="G50" s="38"/>
      <c r="H50" s="52"/>
      <c r="I50" s="52"/>
      <c r="J50" s="40"/>
    </row>
  </sheetData>
  <mergeCells count="9">
    <mergeCell ref="R13:S13"/>
    <mergeCell ref="T13:U13"/>
    <mergeCell ref="E33:F33"/>
    <mergeCell ref="G33:H33"/>
    <mergeCell ref="I33:J33"/>
    <mergeCell ref="E13:F13"/>
    <mergeCell ref="G13:H13"/>
    <mergeCell ref="I13:J13"/>
    <mergeCell ref="P13:Q13"/>
  </mergeCells>
  <phoneticPr fontId="13" type="noConversion"/>
  <pageMargins left="0.75" right="0.75" top="1" bottom="1" header="0.5" footer="0.5"/>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K25:T183"/>
  <sheetViews>
    <sheetView workbookViewId="0">
      <selection activeCell="B5" sqref="B5"/>
    </sheetView>
  </sheetViews>
  <sheetFormatPr defaultRowHeight="12.75" x14ac:dyDescent="0.2"/>
  <cols>
    <col min="13" max="13" width="10.85546875" customWidth="1"/>
  </cols>
  <sheetData>
    <row r="25" ht="13.15" customHeight="1" x14ac:dyDescent="0.2"/>
    <row r="171" spans="11:20" x14ac:dyDescent="0.2">
      <c r="K171" s="28"/>
      <c r="L171" s="28"/>
      <c r="Q171" s="29"/>
      <c r="R171" s="29"/>
      <c r="S171" s="29"/>
      <c r="T171" s="29"/>
    </row>
    <row r="172" spans="11:20" x14ac:dyDescent="0.2">
      <c r="K172" s="28"/>
      <c r="L172" s="28"/>
      <c r="Q172" s="29"/>
      <c r="R172" s="29"/>
      <c r="S172" s="29"/>
      <c r="T172" s="29"/>
    </row>
    <row r="173" spans="11:20" x14ac:dyDescent="0.2">
      <c r="K173" s="28"/>
      <c r="L173" s="28"/>
      <c r="Q173" s="29"/>
      <c r="R173" s="29"/>
      <c r="S173" s="29"/>
      <c r="T173" s="29"/>
    </row>
    <row r="174" spans="11:20" x14ac:dyDescent="0.2">
      <c r="K174" s="28"/>
      <c r="L174" s="28"/>
      <c r="Q174" s="29"/>
      <c r="R174" s="29"/>
      <c r="S174" s="29"/>
      <c r="T174" s="29"/>
    </row>
    <row r="175" spans="11:20" x14ac:dyDescent="0.2">
      <c r="K175" s="28"/>
      <c r="L175" s="28"/>
      <c r="Q175" s="29"/>
      <c r="R175" s="29"/>
      <c r="S175" s="29"/>
      <c r="T175" s="29"/>
    </row>
    <row r="176" spans="11:20" x14ac:dyDescent="0.2">
      <c r="K176" s="28"/>
      <c r="L176" s="28"/>
      <c r="Q176" s="29"/>
      <c r="R176" s="29"/>
      <c r="S176" s="29"/>
      <c r="T176" s="29"/>
    </row>
    <row r="177" spans="11:20" x14ac:dyDescent="0.2">
      <c r="K177" s="28"/>
      <c r="L177" s="28"/>
      <c r="Q177" s="29"/>
      <c r="R177" s="29"/>
      <c r="S177" s="29"/>
      <c r="T177" s="29"/>
    </row>
    <row r="178" spans="11:20" x14ac:dyDescent="0.2">
      <c r="K178" s="28"/>
      <c r="L178" s="28"/>
      <c r="Q178" s="29"/>
      <c r="R178" s="29"/>
      <c r="S178" s="29"/>
      <c r="T178" s="29"/>
    </row>
    <row r="179" spans="11:20" x14ac:dyDescent="0.2">
      <c r="K179" s="28"/>
      <c r="L179" s="28"/>
      <c r="Q179" s="29"/>
      <c r="R179" s="29"/>
      <c r="S179" s="29"/>
      <c r="T179" s="29"/>
    </row>
    <row r="180" spans="11:20" x14ac:dyDescent="0.2">
      <c r="Q180" s="29"/>
      <c r="R180" s="29"/>
      <c r="S180" s="29"/>
      <c r="T180" s="29"/>
    </row>
    <row r="181" spans="11:20" x14ac:dyDescent="0.2">
      <c r="Q181" s="29"/>
      <c r="R181" s="29"/>
      <c r="S181" s="29"/>
      <c r="T181" s="29"/>
    </row>
    <row r="182" spans="11:20" x14ac:dyDescent="0.2">
      <c r="Q182" s="29"/>
      <c r="R182" s="29"/>
      <c r="S182" s="29"/>
      <c r="T182" s="29"/>
    </row>
    <row r="183" spans="11:20" x14ac:dyDescent="0.2">
      <c r="Q183" s="29"/>
      <c r="R183" s="29"/>
      <c r="S183" s="29"/>
      <c r="T183" s="29"/>
    </row>
  </sheetData>
  <phoneticPr fontId="13"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19</vt:i4>
      </vt:variant>
    </vt:vector>
  </HeadingPairs>
  <TitlesOfParts>
    <vt:vector size="34" baseType="lpstr">
      <vt:lpstr>UserGuide</vt:lpstr>
      <vt:lpstr>Ambient Conditions</vt:lpstr>
      <vt:lpstr>5 A data</vt:lpstr>
      <vt:lpstr>ForPython</vt:lpstr>
      <vt:lpstr>PythonResults</vt:lpstr>
      <vt:lpstr>BurdenTables</vt:lpstr>
      <vt:lpstr>5 A calc</vt:lpstr>
      <vt:lpstr>5 A Tables</vt:lpstr>
      <vt:lpstr>Uncertainties</vt:lpstr>
      <vt:lpstr>TwoStageCT</vt:lpstr>
      <vt:lpstr>844400</vt:lpstr>
      <vt:lpstr>Arnold</vt:lpstr>
      <vt:lpstr>Changes</vt:lpstr>
      <vt:lpstr>V2.0 Validation</vt:lpstr>
      <vt:lpstr>Cf Previous results</vt:lpstr>
      <vt:lpstr>aux_CT_phase</vt:lpstr>
      <vt:lpstr>aux_CT_ratio</vt:lpstr>
      <vt:lpstr>B5A0VA</vt:lpstr>
      <vt:lpstr>B5A5.0VA</vt:lpstr>
      <vt:lpstr>burdens</vt:lpstr>
      <vt:lpstr>BurdenUnc</vt:lpstr>
      <vt:lpstr>config_Im</vt:lpstr>
      <vt:lpstr>config_Re</vt:lpstr>
      <vt:lpstr>current_coef</vt:lpstr>
      <vt:lpstr>earthing_Im</vt:lpstr>
      <vt:lpstr>earthing_Re</vt:lpstr>
      <vt:lpstr>high_burden</vt:lpstr>
      <vt:lpstr>low__burden</vt:lpstr>
      <vt:lpstr>mutual_ind</vt:lpstr>
      <vt:lpstr>phase_factor</vt:lpstr>
      <vt:lpstr>ratio_factor</vt:lpstr>
      <vt:lpstr>slidewire_res</vt:lpstr>
      <vt:lpstr>TestSetPhaseCor</vt:lpstr>
      <vt:lpstr>TestSetRatioCor</vt:lpstr>
    </vt:vector>
  </TitlesOfParts>
  <Company>Industrial Research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Andrew Corney</dc:creator>
  <cp:lastModifiedBy>Keith Jones</cp:lastModifiedBy>
  <cp:lastPrinted>2017-09-15T04:10:24Z</cp:lastPrinted>
  <dcterms:created xsi:type="dcterms:W3CDTF">2002-07-08T20:42:04Z</dcterms:created>
  <dcterms:modified xsi:type="dcterms:W3CDTF">2017-09-15T04:25:54Z</dcterms:modified>
</cp:coreProperties>
</file>